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현재_통합_문서" defaultThemeVersion="124226"/>
  <mc:AlternateContent xmlns:mc="http://schemas.openxmlformats.org/markup-compatibility/2006">
    <mc:Choice Requires="x15">
      <x15ac:absPath xmlns:x15ac="http://schemas.microsoft.com/office/spreadsheetml/2010/11/ac" url="C:\Users\user\Desktop\홈페이지게시용 편집\"/>
    </mc:Choice>
  </mc:AlternateContent>
  <xr:revisionPtr revIDLastSave="0" documentId="8_{8008A0FC-6A52-42C3-A3EE-0900B74BA871}" xr6:coauthVersionLast="47" xr6:coauthVersionMax="47" xr10:uidLastSave="{00000000-0000-0000-0000-000000000000}"/>
  <bookViews>
    <workbookView xWindow="-120" yWindow="-120" windowWidth="29040" windowHeight="15720" tabRatio="924" xr2:uid="{00000000-000D-0000-FFFF-FFFF00000000}"/>
  </bookViews>
  <sheets>
    <sheet name="목록" sheetId="85" r:id="rId1"/>
    <sheet name="4 - 1.중학교 개황(1)" sheetId="1" r:id="rId2"/>
    <sheet name="4 - 1.중학교 개황(2)" sheetId="2" r:id="rId3"/>
    <sheet name="4 - 2.학급수별 학교수" sheetId="3" r:id="rId4"/>
    <sheet name="4 - 3.학생수별 학교수" sheetId="4" r:id="rId5"/>
    <sheet name="4 - 4.학생수별 학급수" sheetId="5" r:id="rId6"/>
    <sheet name="4 - 5.특수지 공립중학교 현황(1)" sheetId="6" r:id="rId7"/>
    <sheet name="4 - 5.특수지 공립중학교 현황(2)" sheetId="83" r:id="rId8"/>
    <sheet name="4 - 6.학년별 학급수 및 학생수" sheetId="72" r:id="rId9"/>
    <sheet name="4 - 7.학년 및 연령별 학생수" sheetId="8" r:id="rId10"/>
    <sheet name="4 - 8.학생변동상황" sheetId="9" r:id="rId11"/>
    <sheet name="4 - 9.학업중단학생현황" sheetId="46" r:id="rId12"/>
    <sheet name="4 - 10.유학현황" sheetId="54" r:id="rId13"/>
    <sheet name="4 - 11.귀국현황(1)" sheetId="55" r:id="rId14"/>
    <sheet name="4 - 11.귀국현황(2)" sheetId="56" r:id="rId15"/>
    <sheet name="4 - 12.다문화 학생 현황(1)" sheetId="70" r:id="rId16"/>
    <sheet name="4 - 12.다문화 학생 현황(2)" sheetId="64" r:id="rId17"/>
    <sheet name="4 - 12.다문화 학생 현황(3)" sheetId="69" r:id="rId18"/>
    <sheet name="4 - 13.입학상황" sheetId="10" r:id="rId19"/>
    <sheet name="4 - 14.졸업 후 상황" sheetId="11" r:id="rId20"/>
    <sheet name="졸업 후 상황 퍼센트" sheetId="84" state="hidden" r:id="rId21"/>
    <sheet name="4 - 15.직위별 교원수(1)" sheetId="15" r:id="rId22"/>
    <sheet name="4 - 15.직위별 교원수(2)" sheetId="16" r:id="rId23"/>
    <sheet name="4 - 16.자격별 교원수" sheetId="57" r:id="rId24"/>
    <sheet name="4 - 17.경력연수별 교원수" sheetId="18" r:id="rId25"/>
    <sheet name="4 - 18.소지자격 취득후 경과연수별 교원수" sheetId="20" r:id="rId26"/>
    <sheet name="4 - 19.소지자격별 연수이수 교원수" sheetId="58" r:id="rId27"/>
    <sheet name="4 - 20.담당교과목별 교원수" sheetId="22" r:id="rId28"/>
    <sheet name="4 - 21.연령별 교원수" sheetId="23" r:id="rId29"/>
    <sheet name="4 - 22.주당수업시수별 교원수" sheetId="24" r:id="rId30"/>
    <sheet name="4 - 23.호봉별 교원수(1)" sheetId="25" r:id="rId31"/>
    <sheet name="4 - 23.호봉별 교원수(2)" sheetId="26" r:id="rId32"/>
    <sheet name="4 - 24.교원변동상황" sheetId="59" r:id="rId33"/>
    <sheet name="4 - 25.출신별 자격증과목별 교원수(1)" sheetId="76" r:id="rId34"/>
    <sheet name="4 - 25.출신별 자격증과목별 교원수(2)" sheetId="77" r:id="rId35"/>
    <sheet name="4 - 25.출신별 자격증과목별 교원수(3)" sheetId="78" r:id="rId36"/>
    <sheet name="4 - 26.자격증과목별 퇴직교원수(1)" sheetId="79" r:id="rId37"/>
    <sheet name="4 - 26.자격증과목별 퇴직교원수(2)" sheetId="80" r:id="rId38"/>
    <sheet name="4 - 27.학교용지" sheetId="60" r:id="rId39"/>
    <sheet name="4 - 28.용도별 교사면적" sheetId="65" r:id="rId40"/>
    <sheet name="4 - 29.구조별 건물 면적(1)" sheetId="66" r:id="rId41"/>
    <sheet name="4 - 29.구조별 건물 면적(2)" sheetId="67" r:id="rId42"/>
    <sheet name="4 - 30.구조별 건물 동수" sheetId="35" r:id="rId43"/>
    <sheet name="4 - 31.에너지 사용량" sheetId="36" r:id="rId44"/>
    <sheet name="4 - 32.냉난방 면적" sheetId="68" r:id="rId45"/>
    <sheet name="4 - 33.컴퓨터 보유 현황" sheetId="38" r:id="rId46"/>
    <sheet name="4 - 34.직원수" sheetId="39" r:id="rId47"/>
  </sheets>
  <definedNames>
    <definedName name="_xlnm.Print_Area" localSheetId="1">'4 - 1.중학교 개황(1)'!$A$2:$W$60</definedName>
    <definedName name="_xlnm.Print_Area" localSheetId="2">'4 - 1.중학교 개황(2)'!$A$2:$O$60</definedName>
    <definedName name="_xlnm.Print_Area" localSheetId="12">'4 - 10.유학현황'!$A$2:$AH$62</definedName>
    <definedName name="_xlnm.Print_Area" localSheetId="13">'4 - 11.귀국현황(1)'!$A$2:$R$62</definedName>
    <definedName name="_xlnm.Print_Area" localSheetId="14">'4 - 11.귀국현황(2)'!$A$2:$Z$62</definedName>
    <definedName name="_xlnm.Print_Area" localSheetId="15">'4 - 12.다문화 학생 현황(1)'!$A$2:$AP$65</definedName>
    <definedName name="_xlnm.Print_Area" localSheetId="16">'4 - 12.다문화 학생 현황(2)'!$A$2:$AN$65</definedName>
    <definedName name="_xlnm.Print_Area" localSheetId="17">'4 - 12.다문화 학생 현황(3)'!$A$2:$AN$65</definedName>
    <definedName name="_xlnm.Print_Area" localSheetId="18">'4 - 13.입학상황'!$A$2:$F$58</definedName>
    <definedName name="_xlnm.Print_Area" localSheetId="19">'4 - 14.졸업 후 상황'!$A$2:$U$67</definedName>
    <definedName name="_xlnm.Print_Area" localSheetId="21">'4 - 15.직위별 교원수(1)'!$A$2:$Z$63</definedName>
    <definedName name="_xlnm.Print_Area" localSheetId="22">'4 - 15.직위별 교원수(2)'!$A$2:$AF$63</definedName>
    <definedName name="_xlnm.Print_Area" localSheetId="23">'4 - 16.자격별 교원수'!$A$2:$Z$83</definedName>
    <definedName name="_xlnm.Print_Area" localSheetId="24">'4 - 17.경력연수별 교원수'!$A$2:$V$82</definedName>
    <definedName name="_xlnm.Print_Area" localSheetId="25">'4 - 18.소지자격 취득후 경과연수별 교원수'!$A$2:$R$85</definedName>
    <definedName name="_xlnm.Print_Area" localSheetId="26">'4 - 19.소지자격별 연수이수 교원수'!$A$2:$AB$79</definedName>
    <definedName name="_xlnm.Print_Area" localSheetId="3">'4 - 2.학급수별 학교수'!$A$2:$AE$56</definedName>
    <definedName name="_xlnm.Print_Area" localSheetId="27">'4 - 20.담당교과목별 교원수'!$A$2:$Z$59</definedName>
    <definedName name="_xlnm.Print_Area" localSheetId="28">'4 - 21.연령별 교원수'!$A$2:$AJ$82</definedName>
    <definedName name="_xlnm.Print_Area" localSheetId="29">'4 - 22.주당수업시수별 교원수'!$A$2:$T$83</definedName>
    <definedName name="_xlnm.Print_Area" localSheetId="30">'4 - 23.호봉별 교원수(1)'!$A$2:$X$80</definedName>
    <definedName name="_xlnm.Print_Area" localSheetId="31">'4 - 23.호봉별 교원수(2)'!$A$2:$AC$80</definedName>
    <definedName name="_xlnm.Print_Area" localSheetId="32">'4 - 24.교원변동상황'!$A$2:$AR$76</definedName>
    <definedName name="_xlnm.Print_Area" localSheetId="33">'4 - 25.출신별 자격증과목별 교원수(1)'!$A$2:$X$72</definedName>
    <definedName name="_xlnm.Print_Area" localSheetId="34">'4 - 25.출신별 자격증과목별 교원수(2)'!$A$2:$V$72</definedName>
    <definedName name="_xlnm.Print_Area" localSheetId="35">'4 - 25.출신별 자격증과목별 교원수(3)'!$A$2:$V$72</definedName>
    <definedName name="_xlnm.Print_Area" localSheetId="36">'4 - 26.자격증과목별 퇴직교원수(1)'!$A$2:$V$59</definedName>
    <definedName name="_xlnm.Print_Area" localSheetId="37">'4 - 26.자격증과목별 퇴직교원수(2)'!$A$2:$W$59</definedName>
    <definedName name="_xlnm.Print_Area" localSheetId="38">'4 - 27.학교용지'!$A$2:$J$58</definedName>
    <definedName name="_xlnm.Print_Area" localSheetId="39">'4 - 28.용도별 교사면적'!$A$2:$L$58</definedName>
    <definedName name="_xlnm.Print_Area" localSheetId="40">'4 - 29.구조별 건물 면적(1)'!$A$2:$R$58</definedName>
    <definedName name="_xlnm.Print_Area" localSheetId="41">'4 - 29.구조별 건물 면적(2)'!$A$2:$Z$58</definedName>
    <definedName name="_xlnm.Print_Area" localSheetId="4">'4 - 3.학생수별 학교수'!$A$2:$M$57</definedName>
    <definedName name="_xlnm.Print_Area" localSheetId="42">'4 - 30.구조별 건물 동수'!$A$2:$J$57</definedName>
    <definedName name="_xlnm.Print_Area" localSheetId="43">'4 - 31.에너지 사용량'!$A$2:$I$59</definedName>
    <definedName name="_xlnm.Print_Area" localSheetId="44">'4 - 32.냉난방 면적'!$A$2:$N$61</definedName>
    <definedName name="_xlnm.Print_Area" localSheetId="45">'4 - 33.컴퓨터 보유 현황'!$A$2:$AA$59</definedName>
    <definedName name="_xlnm.Print_Area" localSheetId="46">'4 - 34.직원수'!$A$2:$R$64</definedName>
    <definedName name="_xlnm.Print_Area" localSheetId="5">'4 - 4.학생수별 학급수'!$A$2:$H$57</definedName>
    <definedName name="_xlnm.Print_Area" localSheetId="6">'4 - 5.특수지 공립중학교 현황(1)'!$A$2:$P$32</definedName>
    <definedName name="_xlnm.Print_Area" localSheetId="7">'4 - 5.특수지 공립중학교 현황(2)'!$A$2:$AF$30</definedName>
    <definedName name="_xlnm.Print_Area" localSheetId="8">'4 - 6.학년별 학급수 및 학생수'!$A$2:$W$65</definedName>
    <definedName name="_xlnm.Print_Area" localSheetId="9">'4 - 7.학년 및 연령별 학생수'!$A$2:$V$74</definedName>
    <definedName name="_xlnm.Print_Area" localSheetId="10">'4 - 8.학생변동상황'!$A$2:$Z$70</definedName>
    <definedName name="_xlnm.Print_Area" localSheetId="11">'4 - 9.학업중단학생현황'!$A$2:$Z$70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3" i="39" l="1"/>
  <c r="Q33" i="39"/>
  <c r="R32" i="39"/>
  <c r="Q32" i="39"/>
  <c r="R31" i="39"/>
  <c r="Q31" i="39"/>
  <c r="R30" i="39"/>
  <c r="Q30" i="39"/>
  <c r="R29" i="39"/>
  <c r="Q29" i="39"/>
  <c r="R28" i="39"/>
  <c r="Q28" i="39"/>
  <c r="R27" i="39"/>
  <c r="Q27" i="39"/>
  <c r="R26" i="39"/>
  <c r="Q26" i="39"/>
  <c r="R25" i="39"/>
  <c r="Q25" i="39"/>
  <c r="R24" i="39"/>
  <c r="Q24" i="39"/>
  <c r="R23" i="39"/>
  <c r="Q23" i="39"/>
  <c r="R22" i="39"/>
  <c r="Q22" i="39"/>
  <c r="R21" i="39"/>
  <c r="Q21" i="39"/>
  <c r="R20" i="39"/>
  <c r="Q20" i="39"/>
  <c r="R19" i="39"/>
  <c r="Q19" i="39"/>
  <c r="H50" i="84" l="1"/>
  <c r="D53" i="84"/>
  <c r="D46" i="84"/>
  <c r="L45" i="84" l="1"/>
  <c r="L44" i="84"/>
  <c r="L42" i="84"/>
  <c r="L41" i="84"/>
  <c r="L36" i="84"/>
  <c r="L35" i="8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X9" authorId="0" shapeId="0" xr:uid="{AEC2A8F7-989C-48F8-9255-ED5E15B8A0ED}">
      <text>
        <r>
          <rPr>
            <sz val="9"/>
            <color indexed="81"/>
            <rFont val="돋움"/>
            <family val="3"/>
            <charset val="129"/>
          </rPr>
          <t>테두리오른쪽</t>
        </r>
        <r>
          <rPr>
            <sz val="9"/>
            <color indexed="81"/>
            <rFont val="Tahoma"/>
            <family val="2"/>
          </rPr>
          <t xml:space="preserve"> </t>
        </r>
        <r>
          <rPr>
            <sz val="9"/>
            <color indexed="81"/>
            <rFont val="돋움"/>
            <family val="3"/>
            <charset val="129"/>
          </rPr>
          <t>삽입</t>
        </r>
        <r>
          <rPr>
            <sz val="9"/>
            <color indexed="81"/>
            <rFont val="Tahoma"/>
            <family val="2"/>
          </rPr>
          <t>(251118)</t>
        </r>
      </text>
    </comment>
    <comment ref="W68" authorId="0" shapeId="0" xr:uid="{6D1EB762-AA48-43DA-898F-19F7F9967DDE}">
      <text>
        <r>
          <rPr>
            <b/>
            <sz val="9"/>
            <color indexed="81"/>
            <rFont val="Tahoma"/>
            <family val="2"/>
          </rPr>
          <t>user:</t>
        </r>
        <r>
          <rPr>
            <sz val="9"/>
            <color indexed="81"/>
            <rFont val="Tahoma"/>
            <family val="2"/>
          </rPr>
          <t xml:space="preserve">
</t>
        </r>
        <r>
          <rPr>
            <sz val="9"/>
            <color indexed="81"/>
            <rFont val="돋움"/>
            <family val="3"/>
            <charset val="129"/>
          </rPr>
          <t>데이터</t>
        </r>
        <r>
          <rPr>
            <sz val="9"/>
            <color indexed="81"/>
            <rFont val="Tahoma"/>
            <family val="2"/>
          </rPr>
          <t xml:space="preserve"> </t>
        </r>
        <r>
          <rPr>
            <sz val="9"/>
            <color indexed="81"/>
            <rFont val="돋움"/>
            <family val="3"/>
            <charset val="129"/>
          </rPr>
          <t>입력</t>
        </r>
        <r>
          <rPr>
            <sz val="9"/>
            <color indexed="81"/>
            <rFont val="Tahoma"/>
            <family val="2"/>
          </rPr>
          <t>_241216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P60" authorId="0" shapeId="0" xr:uid="{B0D06694-96C0-4408-8C05-17549EBC9CF0}">
      <text>
        <r>
          <rPr>
            <b/>
            <sz val="9"/>
            <color indexed="81"/>
            <rFont val="Tahoma"/>
            <family val="2"/>
          </rPr>
          <t>user:</t>
        </r>
        <r>
          <rPr>
            <sz val="9"/>
            <color indexed="81"/>
            <rFont val="Tahoma"/>
            <family val="2"/>
          </rPr>
          <t xml:space="preserve">
</t>
        </r>
        <r>
          <rPr>
            <sz val="9"/>
            <color indexed="81"/>
            <rFont val="돋움"/>
            <family val="3"/>
            <charset val="129"/>
          </rPr>
          <t>오른쪽</t>
        </r>
        <r>
          <rPr>
            <sz val="9"/>
            <color indexed="81"/>
            <rFont val="Tahoma"/>
            <family val="2"/>
          </rPr>
          <t xml:space="preserve"> </t>
        </r>
        <r>
          <rPr>
            <sz val="9"/>
            <color indexed="81"/>
            <rFont val="돋움"/>
            <family val="3"/>
            <charset val="129"/>
          </rPr>
          <t>테두리</t>
        </r>
        <r>
          <rPr>
            <sz val="9"/>
            <color indexed="81"/>
            <rFont val="Tahoma"/>
            <family val="2"/>
          </rPr>
          <t xml:space="preserve"> </t>
        </r>
        <r>
          <rPr>
            <sz val="9"/>
            <color indexed="81"/>
            <rFont val="돋움"/>
            <family val="3"/>
            <charset val="129"/>
          </rPr>
          <t>추가</t>
        </r>
        <r>
          <rPr>
            <sz val="9"/>
            <color indexed="81"/>
            <rFont val="Tahoma"/>
            <family val="2"/>
          </rPr>
          <t>_241222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사용자</author>
    <author>user</author>
  </authors>
  <commentList>
    <comment ref="E21" authorId="0" shapeId="0" xr:uid="{0C1BD09C-1588-4B57-81E4-585D0E89BD15}">
      <text>
        <r>
          <rPr>
            <b/>
            <sz val="9"/>
            <color indexed="81"/>
            <rFont val="돋움"/>
            <family val="3"/>
            <charset val="129"/>
          </rPr>
          <t>각</t>
        </r>
        <r>
          <rPr>
            <b/>
            <sz val="9"/>
            <color indexed="81"/>
            <rFont val="Tahoma"/>
            <family val="2"/>
          </rPr>
          <t xml:space="preserve"> </t>
        </r>
        <r>
          <rPr>
            <b/>
            <sz val="9"/>
            <color indexed="81"/>
            <rFont val="돋움"/>
            <family val="3"/>
            <charset val="129"/>
          </rPr>
          <t>교육청</t>
        </r>
        <r>
          <rPr>
            <b/>
            <sz val="9"/>
            <color indexed="81"/>
            <rFont val="Tahoma"/>
            <family val="2"/>
          </rPr>
          <t xml:space="preserve"> </t>
        </r>
        <r>
          <rPr>
            <b/>
            <sz val="9"/>
            <color indexed="81"/>
            <rFont val="돋움"/>
            <family val="3"/>
            <charset val="129"/>
          </rPr>
          <t>별로</t>
        </r>
        <r>
          <rPr>
            <b/>
            <sz val="9"/>
            <color indexed="81"/>
            <rFont val="Tahoma"/>
            <family val="2"/>
          </rPr>
          <t xml:space="preserve"> </t>
        </r>
        <r>
          <rPr>
            <b/>
            <sz val="9"/>
            <color indexed="81"/>
            <rFont val="돋움"/>
            <family val="3"/>
            <charset val="129"/>
          </rPr>
          <t>퍼센트</t>
        </r>
        <r>
          <rPr>
            <b/>
            <sz val="9"/>
            <color indexed="81"/>
            <rFont val="Tahoma"/>
            <family val="2"/>
          </rPr>
          <t xml:space="preserve"> </t>
        </r>
        <r>
          <rPr>
            <b/>
            <sz val="9"/>
            <color indexed="81"/>
            <rFont val="돋움"/>
            <family val="3"/>
            <charset val="129"/>
          </rPr>
          <t>비율계산함</t>
        </r>
      </text>
    </comment>
    <comment ref="U21" authorId="1" shapeId="0" xr:uid="{56044032-1122-437F-90DF-671B5B32393E}">
      <text>
        <r>
          <rPr>
            <b/>
            <sz val="9"/>
            <color indexed="81"/>
            <rFont val="Tahoma"/>
            <family val="2"/>
          </rPr>
          <t>user:</t>
        </r>
        <r>
          <rPr>
            <sz val="9"/>
            <color indexed="81"/>
            <rFont val="Tahoma"/>
            <family val="2"/>
          </rPr>
          <t xml:space="preserve">
</t>
        </r>
        <r>
          <rPr>
            <sz val="9"/>
            <color indexed="81"/>
            <rFont val="돋움"/>
            <family val="3"/>
            <charset val="129"/>
          </rPr>
          <t>오른쪽</t>
        </r>
        <r>
          <rPr>
            <sz val="9"/>
            <color indexed="81"/>
            <rFont val="Tahoma"/>
            <family val="2"/>
          </rPr>
          <t xml:space="preserve"> </t>
        </r>
        <r>
          <rPr>
            <sz val="9"/>
            <color indexed="81"/>
            <rFont val="돋움"/>
            <family val="3"/>
            <charset val="129"/>
          </rPr>
          <t>테두리</t>
        </r>
        <r>
          <rPr>
            <sz val="9"/>
            <color indexed="81"/>
            <rFont val="Tahoma"/>
            <family val="2"/>
          </rPr>
          <t xml:space="preserve"> </t>
        </r>
        <r>
          <rPr>
            <sz val="9"/>
            <color indexed="81"/>
            <rFont val="돋움"/>
            <family val="3"/>
            <charset val="129"/>
          </rPr>
          <t>제거</t>
        </r>
        <r>
          <rPr>
            <sz val="9"/>
            <color indexed="81"/>
            <rFont val="Tahoma"/>
            <family val="2"/>
          </rPr>
          <t>_241221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20" authorId="0" shapeId="0" xr:uid="{73AA7A39-3A34-4E58-BCC7-1E0CE6D5A816}">
      <text>
        <r>
          <rPr>
            <b/>
            <sz val="9"/>
            <color indexed="81"/>
            <rFont val="Tahoma"/>
            <family val="2"/>
          </rPr>
          <t>user:</t>
        </r>
        <r>
          <rPr>
            <sz val="9"/>
            <color indexed="81"/>
            <rFont val="Tahoma"/>
            <family val="2"/>
          </rPr>
          <t xml:space="preserve">
</t>
        </r>
        <r>
          <rPr>
            <sz val="9"/>
            <color indexed="81"/>
            <rFont val="돋움"/>
            <family val="3"/>
            <charset val="129"/>
          </rPr>
          <t>글씨색이</t>
        </r>
        <r>
          <rPr>
            <sz val="9"/>
            <color indexed="81"/>
            <rFont val="Tahoma"/>
            <family val="2"/>
          </rPr>
          <t xml:space="preserve"> </t>
        </r>
        <r>
          <rPr>
            <sz val="9"/>
            <color indexed="81"/>
            <rFont val="돋움"/>
            <family val="3"/>
            <charset val="129"/>
          </rPr>
          <t>검정색이</t>
        </r>
        <r>
          <rPr>
            <sz val="9"/>
            <color indexed="81"/>
            <rFont val="Tahoma"/>
            <family val="2"/>
          </rPr>
          <t xml:space="preserve"> </t>
        </r>
        <r>
          <rPr>
            <sz val="9"/>
            <color indexed="81"/>
            <rFont val="돋움"/>
            <family val="3"/>
            <charset val="129"/>
          </rPr>
          <t>아님</t>
        </r>
        <r>
          <rPr>
            <sz val="9"/>
            <color indexed="81"/>
            <rFont val="Tahoma"/>
            <family val="2"/>
          </rPr>
          <t>_241221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사용자</author>
    <author>user</author>
  </authors>
  <commentList>
    <comment ref="A4" authorId="0" shapeId="0" xr:uid="{B0A152FC-634C-4B3F-89C7-A1D8C87439C6}">
      <text>
        <r>
          <rPr>
            <b/>
            <sz val="9"/>
            <color indexed="81"/>
            <rFont val="돋움"/>
            <family val="3"/>
            <charset val="129"/>
          </rPr>
          <t>상단년도</t>
        </r>
        <r>
          <rPr>
            <b/>
            <sz val="9"/>
            <color indexed="81"/>
            <rFont val="Tahoma"/>
            <family val="2"/>
          </rPr>
          <t xml:space="preserve"> </t>
        </r>
        <r>
          <rPr>
            <b/>
            <sz val="9"/>
            <color indexed="81"/>
            <rFont val="돋움"/>
            <family val="3"/>
            <charset val="129"/>
          </rPr>
          <t>수정함
상단년도수정함</t>
        </r>
      </text>
    </comment>
    <comment ref="A81" authorId="1" shapeId="0" xr:uid="{7BB84B7D-9F33-4FD2-AA2B-608BF255162A}">
      <text>
        <r>
          <rPr>
            <b/>
            <sz val="9"/>
            <color indexed="81"/>
            <rFont val="Tahoma"/>
            <family val="2"/>
          </rPr>
          <t>user:</t>
        </r>
        <r>
          <rPr>
            <sz val="9"/>
            <color indexed="81"/>
            <rFont val="Tahoma"/>
            <family val="2"/>
          </rPr>
          <t xml:space="preserve">
</t>
        </r>
        <r>
          <rPr>
            <sz val="9"/>
            <color indexed="81"/>
            <rFont val="돋움"/>
            <family val="3"/>
            <charset val="129"/>
          </rPr>
          <t>행</t>
        </r>
        <r>
          <rPr>
            <sz val="9"/>
            <color indexed="81"/>
            <rFont val="Tahoma"/>
            <family val="2"/>
          </rPr>
          <t xml:space="preserve"> </t>
        </r>
        <r>
          <rPr>
            <sz val="9"/>
            <color indexed="81"/>
            <rFont val="돋움"/>
            <family val="3"/>
            <charset val="129"/>
          </rPr>
          <t>높이</t>
        </r>
        <r>
          <rPr>
            <sz val="9"/>
            <color indexed="81"/>
            <rFont val="Tahoma"/>
            <family val="2"/>
          </rPr>
          <t xml:space="preserve"> </t>
        </r>
        <r>
          <rPr>
            <sz val="9"/>
            <color indexed="81"/>
            <rFont val="돋움"/>
            <family val="3"/>
            <charset val="129"/>
          </rPr>
          <t>조절</t>
        </r>
        <r>
          <rPr>
            <sz val="9"/>
            <color indexed="81"/>
            <rFont val="Tahoma"/>
            <family val="2"/>
          </rPr>
          <t>_241219</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44" authorId="0" shapeId="0" xr:uid="{F07DE23D-BDA5-49F4-8C40-7EFEEB4ABC58}">
      <text>
        <r>
          <rPr>
            <b/>
            <sz val="9"/>
            <color indexed="81"/>
            <rFont val="Tahoma"/>
            <family val="2"/>
          </rPr>
          <t>user:</t>
        </r>
        <r>
          <rPr>
            <sz val="9"/>
            <color indexed="81"/>
            <rFont val="Tahoma"/>
            <family val="2"/>
          </rPr>
          <t xml:space="preserve">
</t>
        </r>
        <r>
          <rPr>
            <sz val="9"/>
            <color indexed="81"/>
            <rFont val="돋움"/>
            <family val="3"/>
            <charset val="129"/>
          </rPr>
          <t>데이터</t>
        </r>
        <r>
          <rPr>
            <sz val="9"/>
            <color indexed="81"/>
            <rFont val="Tahoma"/>
            <family val="2"/>
          </rPr>
          <t xml:space="preserve"> </t>
        </r>
        <r>
          <rPr>
            <sz val="9"/>
            <color indexed="81"/>
            <rFont val="돋움"/>
            <family val="3"/>
            <charset val="129"/>
          </rPr>
          <t>수정</t>
        </r>
        <r>
          <rPr>
            <sz val="9"/>
            <color indexed="81"/>
            <rFont val="Tahoma"/>
            <family val="2"/>
          </rPr>
          <t>_241216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Windows 사용자</author>
  </authors>
  <commentList>
    <comment ref="A29" authorId="0" shapeId="0" xr:uid="{3E476B6D-997A-42FE-99FD-1FF06218118D}">
      <text>
        <r>
          <rPr>
            <b/>
            <sz val="9"/>
            <color indexed="81"/>
            <rFont val="Tahoma"/>
            <family val="2"/>
          </rPr>
          <t>user:</t>
        </r>
        <r>
          <rPr>
            <sz val="9"/>
            <color indexed="81"/>
            <rFont val="Tahoma"/>
            <family val="2"/>
          </rPr>
          <t xml:space="preserve">
</t>
        </r>
        <r>
          <rPr>
            <sz val="9"/>
            <color indexed="81"/>
            <rFont val="돋움"/>
            <family val="3"/>
            <charset val="129"/>
          </rPr>
          <t>잘림</t>
        </r>
        <r>
          <rPr>
            <sz val="9"/>
            <color indexed="81"/>
            <rFont val="Tahoma"/>
            <family val="2"/>
          </rPr>
          <t>_241223</t>
        </r>
      </text>
    </comment>
    <comment ref="C53" authorId="1" shapeId="0" xr:uid="{49F2783A-FA0C-4532-9E1D-4B13FBC4FBBC}">
      <text>
        <r>
          <rPr>
            <b/>
            <sz val="9"/>
            <color indexed="81"/>
            <rFont val="돋움"/>
            <family val="3"/>
            <charset val="129"/>
          </rPr>
          <t>데이터</t>
        </r>
        <r>
          <rPr>
            <b/>
            <sz val="9"/>
            <color indexed="81"/>
            <rFont val="Tahoma"/>
            <family val="2"/>
          </rPr>
          <t xml:space="preserve"> </t>
        </r>
        <r>
          <rPr>
            <b/>
            <sz val="9"/>
            <color indexed="81"/>
            <rFont val="돋움"/>
            <family val="3"/>
            <charset val="129"/>
          </rPr>
          <t>누락</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 xml:space="preserve">수정
</t>
        </r>
      </text>
    </comment>
    <comment ref="A83" authorId="0" shapeId="0" xr:uid="{EA86193E-9C22-40A5-B5EB-D470F904698D}">
      <text>
        <r>
          <rPr>
            <b/>
            <sz val="9"/>
            <color indexed="81"/>
            <rFont val="Tahoma"/>
            <family val="2"/>
          </rPr>
          <t>user:</t>
        </r>
        <r>
          <rPr>
            <sz val="9"/>
            <color indexed="81"/>
            <rFont val="Tahoma"/>
            <family val="2"/>
          </rPr>
          <t xml:space="preserve">
</t>
        </r>
        <r>
          <rPr>
            <sz val="9"/>
            <color indexed="81"/>
            <rFont val="돋움"/>
            <family val="3"/>
            <charset val="129"/>
          </rPr>
          <t>행</t>
        </r>
        <r>
          <rPr>
            <sz val="9"/>
            <color indexed="81"/>
            <rFont val="Tahoma"/>
            <family val="2"/>
          </rPr>
          <t xml:space="preserve"> </t>
        </r>
        <r>
          <rPr>
            <sz val="9"/>
            <color indexed="81"/>
            <rFont val="돋움"/>
            <family val="3"/>
            <charset val="129"/>
          </rPr>
          <t>높이</t>
        </r>
        <r>
          <rPr>
            <sz val="9"/>
            <color indexed="81"/>
            <rFont val="Tahoma"/>
            <family val="2"/>
          </rPr>
          <t xml:space="preserve"> </t>
        </r>
        <r>
          <rPr>
            <sz val="9"/>
            <color indexed="81"/>
            <rFont val="돋움"/>
            <family val="3"/>
            <charset val="129"/>
          </rPr>
          <t>수정</t>
        </r>
        <r>
          <rPr>
            <sz val="9"/>
            <color indexed="81"/>
            <rFont val="Tahoma"/>
            <family val="2"/>
          </rPr>
          <t>_241218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80" authorId="0" shapeId="0" xr:uid="{C01AA8DC-70F3-40F1-9707-62F787BB2114}">
      <text>
        <r>
          <rPr>
            <b/>
            <sz val="9"/>
            <color indexed="81"/>
            <rFont val="Tahoma"/>
            <family val="2"/>
          </rPr>
          <t>user:</t>
        </r>
        <r>
          <rPr>
            <sz val="9"/>
            <color indexed="81"/>
            <rFont val="Tahoma"/>
            <family val="2"/>
          </rPr>
          <t xml:space="preserve">
</t>
        </r>
        <r>
          <rPr>
            <sz val="9"/>
            <color indexed="81"/>
            <rFont val="돋움"/>
            <family val="3"/>
            <charset val="129"/>
          </rPr>
          <t>행</t>
        </r>
        <r>
          <rPr>
            <sz val="9"/>
            <color indexed="81"/>
            <rFont val="Tahoma"/>
            <family val="2"/>
          </rPr>
          <t xml:space="preserve"> </t>
        </r>
        <r>
          <rPr>
            <sz val="9"/>
            <color indexed="81"/>
            <rFont val="돋움"/>
            <family val="3"/>
            <charset val="129"/>
          </rPr>
          <t>높이</t>
        </r>
        <r>
          <rPr>
            <sz val="9"/>
            <color indexed="81"/>
            <rFont val="Tahoma"/>
            <family val="2"/>
          </rPr>
          <t xml:space="preserve"> </t>
        </r>
        <r>
          <rPr>
            <sz val="9"/>
            <color indexed="81"/>
            <rFont val="돋움"/>
            <family val="3"/>
            <charset val="129"/>
          </rPr>
          <t>수정</t>
        </r>
        <r>
          <rPr>
            <sz val="9"/>
            <color indexed="81"/>
            <rFont val="Tahoma"/>
            <family val="2"/>
          </rPr>
          <t>_241218</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9" authorId="0" shapeId="0" xr:uid="{8FA1D6D9-270E-4240-A736-13F7C86BF6EF}">
      <text>
        <r>
          <rPr>
            <b/>
            <sz val="9"/>
            <color indexed="81"/>
            <rFont val="Tahoma"/>
            <family val="2"/>
          </rPr>
          <t>user:</t>
        </r>
        <r>
          <rPr>
            <sz val="9"/>
            <color indexed="81"/>
            <rFont val="Tahoma"/>
            <family val="2"/>
          </rPr>
          <t xml:space="preserve">
</t>
        </r>
        <r>
          <rPr>
            <sz val="9"/>
            <color indexed="81"/>
            <rFont val="돋움"/>
            <family val="3"/>
            <charset val="129"/>
          </rPr>
          <t>전체적으로</t>
        </r>
        <r>
          <rPr>
            <sz val="9"/>
            <color indexed="81"/>
            <rFont val="Tahoma"/>
            <family val="2"/>
          </rPr>
          <t xml:space="preserve"> </t>
        </r>
        <r>
          <rPr>
            <sz val="9"/>
            <color indexed="81"/>
            <rFont val="돋움"/>
            <family val="3"/>
            <charset val="129"/>
          </rPr>
          <t>행높이</t>
        </r>
        <r>
          <rPr>
            <sz val="9"/>
            <color indexed="81"/>
            <rFont val="Tahoma"/>
            <family val="2"/>
          </rPr>
          <t xml:space="preserve"> </t>
        </r>
        <r>
          <rPr>
            <sz val="9"/>
            <color indexed="81"/>
            <rFont val="돋움"/>
            <family val="3"/>
            <charset val="129"/>
          </rPr>
          <t>수정</t>
        </r>
        <r>
          <rPr>
            <sz val="9"/>
            <color indexed="81"/>
            <rFont val="Tahoma"/>
            <family val="2"/>
          </rPr>
          <t>_241216</t>
        </r>
      </text>
    </comment>
    <comment ref="B21" authorId="0" shapeId="0" xr:uid="{73B7922A-6636-4482-A7C2-EF6CA30429EF}">
      <text>
        <r>
          <rPr>
            <b/>
            <sz val="9"/>
            <color indexed="81"/>
            <rFont val="Tahoma"/>
            <family val="2"/>
          </rPr>
          <t>user:</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잘림</t>
        </r>
        <r>
          <rPr>
            <sz val="9"/>
            <color indexed="81"/>
            <rFont val="Tahoma"/>
            <family val="2"/>
          </rPr>
          <t>_</t>
        </r>
        <r>
          <rPr>
            <sz val="9"/>
            <color indexed="81"/>
            <rFont val="돋움"/>
            <family val="3"/>
            <charset val="129"/>
          </rPr>
          <t>열너비</t>
        </r>
        <r>
          <rPr>
            <sz val="9"/>
            <color indexed="81"/>
            <rFont val="Tahoma"/>
            <family val="2"/>
          </rPr>
          <t xml:space="preserve"> </t>
        </r>
        <r>
          <rPr>
            <sz val="9"/>
            <color indexed="81"/>
            <rFont val="돋움"/>
            <family val="3"/>
            <charset val="129"/>
          </rPr>
          <t>수정</t>
        </r>
        <r>
          <rPr>
            <sz val="9"/>
            <color indexed="81"/>
            <rFont val="Tahoma"/>
            <family val="2"/>
          </rPr>
          <t>_241218</t>
        </r>
      </text>
    </comment>
    <comment ref="L33" authorId="0" shapeId="0" xr:uid="{C3E708A1-986B-47FF-A769-FA062DAC69C9}">
      <text>
        <r>
          <rPr>
            <b/>
            <sz val="9"/>
            <color indexed="81"/>
            <rFont val="Tahoma"/>
            <family val="2"/>
          </rPr>
          <t>user:</t>
        </r>
        <r>
          <rPr>
            <sz val="9"/>
            <color indexed="81"/>
            <rFont val="Tahoma"/>
            <family val="2"/>
          </rPr>
          <t xml:space="preserve">
</t>
        </r>
        <r>
          <rPr>
            <sz val="9"/>
            <color indexed="81"/>
            <rFont val="돋움"/>
            <family val="3"/>
            <charset val="129"/>
          </rPr>
          <t>왼쪽</t>
        </r>
        <r>
          <rPr>
            <sz val="9"/>
            <color indexed="81"/>
            <rFont val="Tahoma"/>
            <family val="2"/>
          </rPr>
          <t xml:space="preserve"> </t>
        </r>
        <r>
          <rPr>
            <sz val="9"/>
            <color indexed="81"/>
            <rFont val="돋움"/>
            <family val="3"/>
            <charset val="129"/>
          </rPr>
          <t>테두리</t>
        </r>
        <r>
          <rPr>
            <sz val="9"/>
            <color indexed="81"/>
            <rFont val="Tahoma"/>
            <family val="2"/>
          </rPr>
          <t xml:space="preserve"> </t>
        </r>
        <r>
          <rPr>
            <sz val="9"/>
            <color indexed="81"/>
            <rFont val="돋움"/>
            <family val="3"/>
            <charset val="129"/>
          </rPr>
          <t>추가</t>
        </r>
        <r>
          <rPr>
            <sz val="9"/>
            <color indexed="81"/>
            <rFont val="Tahoma"/>
            <family val="2"/>
          </rPr>
          <t>_241221</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9" authorId="0" shapeId="0" xr:uid="{3234AC12-AFAA-4EFC-92F9-7F646481F552}">
      <text>
        <r>
          <rPr>
            <b/>
            <sz val="9"/>
            <color indexed="81"/>
            <rFont val="Tahoma"/>
            <family val="2"/>
          </rPr>
          <t>user:</t>
        </r>
        <r>
          <rPr>
            <sz val="9"/>
            <color indexed="81"/>
            <rFont val="Tahoma"/>
            <family val="2"/>
          </rPr>
          <t xml:space="preserve">
</t>
        </r>
        <r>
          <rPr>
            <sz val="9"/>
            <color indexed="81"/>
            <rFont val="돋움"/>
            <family val="3"/>
            <charset val="129"/>
          </rPr>
          <t>전체적인</t>
        </r>
        <r>
          <rPr>
            <sz val="9"/>
            <color indexed="81"/>
            <rFont val="Tahoma"/>
            <family val="2"/>
          </rPr>
          <t xml:space="preserve"> </t>
        </r>
        <r>
          <rPr>
            <sz val="9"/>
            <color indexed="81"/>
            <rFont val="돋움"/>
            <family val="3"/>
            <charset val="129"/>
          </rPr>
          <t>행</t>
        </r>
        <r>
          <rPr>
            <sz val="9"/>
            <color indexed="81"/>
            <rFont val="Tahoma"/>
            <family val="2"/>
          </rPr>
          <t xml:space="preserve"> </t>
        </r>
        <r>
          <rPr>
            <sz val="9"/>
            <color indexed="81"/>
            <rFont val="돋움"/>
            <family val="3"/>
            <charset val="129"/>
          </rPr>
          <t>높이</t>
        </r>
        <r>
          <rPr>
            <sz val="9"/>
            <color indexed="81"/>
            <rFont val="Tahoma"/>
            <family val="2"/>
          </rPr>
          <t xml:space="preserve"> </t>
        </r>
        <r>
          <rPr>
            <sz val="9"/>
            <color indexed="81"/>
            <rFont val="돋움"/>
            <family val="3"/>
            <charset val="129"/>
          </rPr>
          <t>수정</t>
        </r>
        <r>
          <rPr>
            <sz val="9"/>
            <color indexed="81"/>
            <rFont val="Tahoma"/>
            <family val="2"/>
          </rPr>
          <t>_241216</t>
        </r>
      </text>
    </comment>
    <comment ref="J73" authorId="0" shapeId="0" xr:uid="{7D08D6D2-738D-4C91-8D71-83B593A41D2F}">
      <text>
        <r>
          <rPr>
            <b/>
            <sz val="9"/>
            <color indexed="81"/>
            <rFont val="Tahoma"/>
            <family val="2"/>
          </rPr>
          <t>user:</t>
        </r>
        <r>
          <rPr>
            <sz val="9"/>
            <color indexed="81"/>
            <rFont val="Tahoma"/>
            <family val="2"/>
          </rPr>
          <t xml:space="preserve">
</t>
        </r>
        <r>
          <rPr>
            <sz val="9"/>
            <color indexed="81"/>
            <rFont val="돋움"/>
            <family val="3"/>
            <charset val="129"/>
          </rPr>
          <t>수정</t>
        </r>
        <r>
          <rPr>
            <sz val="9"/>
            <color indexed="81"/>
            <rFont val="Tahoma"/>
            <family val="2"/>
          </rPr>
          <t>_241218</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9" authorId="0" shapeId="0" xr:uid="{8B647E79-9C5F-4B19-ACD9-8B4DDA388196}">
      <text>
        <r>
          <rPr>
            <b/>
            <sz val="9"/>
            <color indexed="81"/>
            <rFont val="Tahoma"/>
            <family val="2"/>
          </rPr>
          <t>user:</t>
        </r>
        <r>
          <rPr>
            <sz val="9"/>
            <color indexed="81"/>
            <rFont val="Tahoma"/>
            <family val="2"/>
          </rPr>
          <t xml:space="preserve">
</t>
        </r>
        <r>
          <rPr>
            <sz val="9"/>
            <color indexed="81"/>
            <rFont val="돋움"/>
            <family val="3"/>
            <charset val="129"/>
          </rPr>
          <t>행높이</t>
        </r>
        <r>
          <rPr>
            <sz val="9"/>
            <color indexed="81"/>
            <rFont val="Tahoma"/>
            <family val="2"/>
          </rPr>
          <t xml:space="preserve">, </t>
        </r>
        <r>
          <rPr>
            <sz val="9"/>
            <color indexed="81"/>
            <rFont val="돋움"/>
            <family val="3"/>
            <charset val="129"/>
          </rPr>
          <t>열너비</t>
        </r>
        <r>
          <rPr>
            <sz val="9"/>
            <color indexed="81"/>
            <rFont val="Tahoma"/>
            <family val="2"/>
          </rPr>
          <t xml:space="preserve"> </t>
        </r>
        <r>
          <rPr>
            <sz val="9"/>
            <color indexed="81"/>
            <rFont val="돋움"/>
            <family val="3"/>
            <charset val="129"/>
          </rPr>
          <t>수정</t>
        </r>
        <r>
          <rPr>
            <sz val="9"/>
            <color indexed="81"/>
            <rFont val="Tahoma"/>
            <family val="2"/>
          </rPr>
          <t>_241216</t>
        </r>
      </text>
    </comment>
    <comment ref="I72" authorId="0" shapeId="0" xr:uid="{E82E46C4-C578-4530-B7ED-384F17562037}">
      <text>
        <r>
          <rPr>
            <b/>
            <sz val="9"/>
            <color indexed="81"/>
            <rFont val="Tahoma"/>
            <family val="2"/>
          </rPr>
          <t>user:</t>
        </r>
        <r>
          <rPr>
            <sz val="9"/>
            <color indexed="81"/>
            <rFont val="Tahoma"/>
            <family val="2"/>
          </rPr>
          <t xml:space="preserve">
</t>
        </r>
        <r>
          <rPr>
            <sz val="9"/>
            <color indexed="81"/>
            <rFont val="돋움"/>
            <family val="3"/>
            <charset val="129"/>
          </rPr>
          <t>수정</t>
        </r>
        <r>
          <rPr>
            <sz val="9"/>
            <color indexed="81"/>
            <rFont val="Tahoma"/>
            <family val="2"/>
          </rPr>
          <t>_241218</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24" authorId="0" shapeId="0" xr:uid="{8FA1B69B-FE2E-4E42-9810-0EEA8B451A9C}">
      <text>
        <r>
          <rPr>
            <b/>
            <sz val="9"/>
            <color indexed="81"/>
            <rFont val="Tahoma"/>
            <family val="2"/>
          </rPr>
          <t>user:</t>
        </r>
        <r>
          <rPr>
            <sz val="9"/>
            <color indexed="81"/>
            <rFont val="Tahoma"/>
            <family val="2"/>
          </rPr>
          <t xml:space="preserve">
</t>
        </r>
        <r>
          <rPr>
            <sz val="9"/>
            <color indexed="81"/>
            <rFont val="돋움"/>
            <family val="3"/>
            <charset val="129"/>
          </rPr>
          <t>데이터</t>
        </r>
        <r>
          <rPr>
            <sz val="9"/>
            <color indexed="81"/>
            <rFont val="Tahoma"/>
            <family val="2"/>
          </rPr>
          <t xml:space="preserve"> </t>
        </r>
        <r>
          <rPr>
            <sz val="9"/>
            <color indexed="81"/>
            <rFont val="돋움"/>
            <family val="3"/>
            <charset val="129"/>
          </rPr>
          <t>입력</t>
        </r>
        <r>
          <rPr>
            <sz val="9"/>
            <color indexed="81"/>
            <rFont val="Tahoma"/>
            <family val="2"/>
          </rPr>
          <t>_241216</t>
        </r>
      </text>
    </comment>
    <comment ref="G27" authorId="0" shapeId="0" xr:uid="{C3349307-87D4-4055-B061-13FA387C4FB3}">
      <text>
        <r>
          <rPr>
            <b/>
            <sz val="9"/>
            <color indexed="81"/>
            <rFont val="Tahoma"/>
            <family val="2"/>
          </rPr>
          <t>user:</t>
        </r>
        <r>
          <rPr>
            <sz val="9"/>
            <color indexed="81"/>
            <rFont val="Tahoma"/>
            <family val="2"/>
          </rPr>
          <t xml:space="preserve">
</t>
        </r>
        <r>
          <rPr>
            <sz val="9"/>
            <color indexed="81"/>
            <rFont val="돋움"/>
            <family val="3"/>
            <charset val="129"/>
          </rPr>
          <t>데이터</t>
        </r>
        <r>
          <rPr>
            <sz val="9"/>
            <color indexed="81"/>
            <rFont val="Tahoma"/>
            <family val="2"/>
          </rPr>
          <t xml:space="preserve"> </t>
        </r>
        <r>
          <rPr>
            <sz val="9"/>
            <color indexed="81"/>
            <rFont val="돋움"/>
            <family val="3"/>
            <charset val="129"/>
          </rPr>
          <t>입력</t>
        </r>
        <r>
          <rPr>
            <sz val="9"/>
            <color indexed="81"/>
            <rFont val="Tahoma"/>
            <family val="2"/>
          </rPr>
          <t>_241216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N7" authorId="0" shapeId="0" xr:uid="{910D4364-7C3A-44AB-BD52-C56DE59B4E73}">
      <text>
        <r>
          <rPr>
            <b/>
            <sz val="9"/>
            <color indexed="81"/>
            <rFont val="Tahoma"/>
            <family val="2"/>
          </rPr>
          <t>user:</t>
        </r>
        <r>
          <rPr>
            <sz val="9"/>
            <color indexed="81"/>
            <rFont val="Tahoma"/>
            <family val="2"/>
          </rPr>
          <t xml:space="preserve">
</t>
        </r>
        <r>
          <rPr>
            <sz val="9"/>
            <color indexed="81"/>
            <rFont val="돋움"/>
            <family val="3"/>
            <charset val="129"/>
          </rPr>
          <t>수정</t>
        </r>
        <r>
          <rPr>
            <sz val="9"/>
            <color indexed="81"/>
            <rFont val="Tahoma"/>
            <family val="2"/>
          </rPr>
          <t>_241216</t>
        </r>
      </text>
    </comment>
    <comment ref="A35" authorId="0" shapeId="0" xr:uid="{8220ADBF-1CF7-4975-95BC-FADFD2B94C08}">
      <text>
        <r>
          <rPr>
            <b/>
            <sz val="9"/>
            <color indexed="81"/>
            <rFont val="Tahoma"/>
            <family val="2"/>
          </rPr>
          <t>user:</t>
        </r>
        <r>
          <rPr>
            <sz val="9"/>
            <color indexed="81"/>
            <rFont val="Tahoma"/>
            <family val="2"/>
          </rPr>
          <t xml:space="preserve">
</t>
        </r>
        <r>
          <rPr>
            <sz val="9"/>
            <color indexed="81"/>
            <rFont val="돋움"/>
            <family val="3"/>
            <charset val="129"/>
          </rPr>
          <t>열</t>
        </r>
        <r>
          <rPr>
            <sz val="9"/>
            <color indexed="81"/>
            <rFont val="Tahoma"/>
            <family val="2"/>
          </rPr>
          <t xml:space="preserve"> </t>
        </r>
        <r>
          <rPr>
            <sz val="9"/>
            <color indexed="81"/>
            <rFont val="돋움"/>
            <family val="3"/>
            <charset val="129"/>
          </rPr>
          <t>너비</t>
        </r>
        <r>
          <rPr>
            <sz val="9"/>
            <color indexed="81"/>
            <rFont val="Tahoma"/>
            <family val="2"/>
          </rPr>
          <t xml:space="preserve"> </t>
        </r>
        <r>
          <rPr>
            <sz val="9"/>
            <color indexed="81"/>
            <rFont val="돋움"/>
            <family val="3"/>
            <charset val="129"/>
          </rPr>
          <t>수정</t>
        </r>
        <r>
          <rPr>
            <sz val="9"/>
            <color indexed="81"/>
            <rFont val="Tahoma"/>
            <family val="2"/>
          </rPr>
          <t>_241216</t>
        </r>
      </text>
    </comment>
    <comment ref="B35" authorId="0" shapeId="0" xr:uid="{47DC11B6-ACCC-454F-86C2-948D9BB04F08}">
      <text>
        <r>
          <rPr>
            <b/>
            <sz val="9"/>
            <color indexed="81"/>
            <rFont val="Tahoma"/>
            <family val="2"/>
          </rPr>
          <t>user:</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잘림</t>
        </r>
        <r>
          <rPr>
            <sz val="9"/>
            <color indexed="81"/>
            <rFont val="Tahoma"/>
            <family val="2"/>
          </rPr>
          <t>_</t>
        </r>
        <r>
          <rPr>
            <sz val="9"/>
            <color indexed="81"/>
            <rFont val="돋움"/>
            <family val="3"/>
            <charset val="129"/>
          </rPr>
          <t>열너비</t>
        </r>
        <r>
          <rPr>
            <sz val="9"/>
            <color indexed="81"/>
            <rFont val="Tahoma"/>
            <family val="2"/>
          </rPr>
          <t xml:space="preserve"> </t>
        </r>
        <r>
          <rPr>
            <sz val="9"/>
            <color indexed="81"/>
            <rFont val="돋움"/>
            <family val="3"/>
            <charset val="129"/>
          </rPr>
          <t>수정</t>
        </r>
        <r>
          <rPr>
            <sz val="9"/>
            <color indexed="81"/>
            <rFont val="Tahoma"/>
            <family val="2"/>
          </rPr>
          <t>_241218</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5" authorId="0" shapeId="0" xr:uid="{48F6A049-7B28-435F-87AE-80CB04DC176F}">
      <text>
        <r>
          <rPr>
            <b/>
            <sz val="9"/>
            <color indexed="81"/>
            <rFont val="Tahoma"/>
            <family val="2"/>
          </rPr>
          <t>user:</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잘림</t>
        </r>
        <r>
          <rPr>
            <sz val="9"/>
            <color indexed="81"/>
            <rFont val="Tahoma"/>
            <family val="2"/>
          </rPr>
          <t>_</t>
        </r>
        <r>
          <rPr>
            <sz val="9"/>
            <color indexed="81"/>
            <rFont val="돋움"/>
            <family val="3"/>
            <charset val="129"/>
          </rPr>
          <t>열너비수정</t>
        </r>
        <r>
          <rPr>
            <sz val="9"/>
            <color indexed="81"/>
            <rFont val="Tahoma"/>
            <family val="2"/>
          </rPr>
          <t>_241218</t>
        </r>
      </text>
    </comment>
    <comment ref="B35" authorId="0" shapeId="0" xr:uid="{2F791A3B-7126-46EB-9025-ED7109128E03}">
      <text>
        <r>
          <rPr>
            <b/>
            <sz val="9"/>
            <color indexed="81"/>
            <rFont val="Tahoma"/>
            <family val="2"/>
          </rPr>
          <t>user:</t>
        </r>
        <r>
          <rPr>
            <sz val="9"/>
            <color indexed="81"/>
            <rFont val="Tahoma"/>
            <family val="2"/>
          </rPr>
          <t xml:space="preserve">
</t>
        </r>
        <r>
          <rPr>
            <sz val="9"/>
            <color indexed="81"/>
            <rFont val="돋움"/>
            <family val="3"/>
            <charset val="129"/>
          </rPr>
          <t>열</t>
        </r>
        <r>
          <rPr>
            <sz val="9"/>
            <color indexed="81"/>
            <rFont val="Tahoma"/>
            <family val="2"/>
          </rPr>
          <t xml:space="preserve"> </t>
        </r>
        <r>
          <rPr>
            <sz val="9"/>
            <color indexed="81"/>
            <rFont val="돋움"/>
            <family val="3"/>
            <charset val="129"/>
          </rPr>
          <t>너비</t>
        </r>
        <r>
          <rPr>
            <sz val="9"/>
            <color indexed="81"/>
            <rFont val="Tahoma"/>
            <family val="2"/>
          </rPr>
          <t xml:space="preserve"> </t>
        </r>
        <r>
          <rPr>
            <sz val="9"/>
            <color indexed="81"/>
            <rFont val="돋움"/>
            <family val="3"/>
            <charset val="129"/>
          </rPr>
          <t>수정</t>
        </r>
        <r>
          <rPr>
            <sz val="9"/>
            <color indexed="81"/>
            <rFont val="Tahoma"/>
            <family val="2"/>
          </rPr>
          <t>_241218</t>
        </r>
      </text>
    </comment>
    <comment ref="B53" authorId="0" shapeId="0" xr:uid="{19EF5C53-858C-4AC0-AFDE-32244697A446}">
      <text>
        <r>
          <rPr>
            <b/>
            <sz val="9"/>
            <color indexed="81"/>
            <rFont val="Tahoma"/>
            <family val="2"/>
          </rPr>
          <t>user:</t>
        </r>
        <r>
          <rPr>
            <sz val="9"/>
            <color indexed="81"/>
            <rFont val="Tahoma"/>
            <family val="2"/>
          </rPr>
          <t xml:space="preserve">
</t>
        </r>
        <r>
          <rPr>
            <sz val="9"/>
            <color indexed="81"/>
            <rFont val="돋움"/>
            <family val="3"/>
            <charset val="129"/>
          </rPr>
          <t>열</t>
        </r>
        <r>
          <rPr>
            <sz val="9"/>
            <color indexed="81"/>
            <rFont val="Tahoma"/>
            <family val="2"/>
          </rPr>
          <t xml:space="preserve"> </t>
        </r>
        <r>
          <rPr>
            <sz val="9"/>
            <color indexed="81"/>
            <rFont val="돋움"/>
            <family val="3"/>
            <charset val="129"/>
          </rPr>
          <t>너비</t>
        </r>
        <r>
          <rPr>
            <sz val="9"/>
            <color indexed="81"/>
            <rFont val="Tahoma"/>
            <family val="2"/>
          </rPr>
          <t xml:space="preserve"> </t>
        </r>
        <r>
          <rPr>
            <sz val="9"/>
            <color indexed="81"/>
            <rFont val="돋움"/>
            <family val="3"/>
            <charset val="129"/>
          </rPr>
          <t>수정</t>
        </r>
        <r>
          <rPr>
            <sz val="9"/>
            <color indexed="81"/>
            <rFont val="Tahoma"/>
            <family val="2"/>
          </rPr>
          <t>_241216</t>
        </r>
      </text>
    </comment>
  </commentList>
</comments>
</file>

<file path=xl/sharedStrings.xml><?xml version="1.0" encoding="utf-8"?>
<sst xmlns="http://schemas.openxmlformats.org/spreadsheetml/2006/main" count="32276" uniqueCount="1471">
  <si>
    <t>4 - 1. 중 학 교 개 황 (1)</t>
  </si>
  <si>
    <t>4 - 1. Summary (1)</t>
  </si>
  <si>
    <t>구 분</t>
  </si>
  <si>
    <t>학 교 수</t>
  </si>
  <si>
    <t>교 직 원 수</t>
  </si>
  <si>
    <t>입 학 자 수</t>
  </si>
  <si>
    <t>졸 업 자 수</t>
  </si>
  <si>
    <t>Classification</t>
  </si>
  <si>
    <t>Schools</t>
  </si>
  <si>
    <t>School Staffs</t>
  </si>
  <si>
    <t>Entrants</t>
  </si>
  <si>
    <t>Graduates</t>
  </si>
  <si>
    <t>Classrooms</t>
  </si>
  <si>
    <t>계</t>
  </si>
  <si>
    <t>남 여 별</t>
  </si>
  <si>
    <t>교 원 수</t>
  </si>
  <si>
    <t>Total</t>
  </si>
  <si>
    <t>By Sex</t>
  </si>
  <si>
    <t>Teachers</t>
  </si>
  <si>
    <t>Clerical Staffs</t>
  </si>
  <si>
    <t>남 자</t>
  </si>
  <si>
    <t>여 자</t>
  </si>
  <si>
    <t>공 학</t>
  </si>
  <si>
    <t>여자</t>
  </si>
  <si>
    <t>Boys</t>
  </si>
  <si>
    <t>T</t>
  </si>
  <si>
    <t>F</t>
  </si>
  <si>
    <t>총계</t>
  </si>
  <si>
    <t>-</t>
  </si>
  <si>
    <t>   공립</t>
  </si>
  <si>
    <t>  Public</t>
  </si>
  <si>
    <t>   사립</t>
  </si>
  <si>
    <t>  Private</t>
  </si>
  <si>
    <t>교 육 청 별</t>
  </si>
  <si>
    <t>By Local Educational Agency</t>
  </si>
  <si>
    <t>남부</t>
  </si>
  <si>
    <t>Nambu</t>
  </si>
  <si>
    <t>북부</t>
  </si>
  <si>
    <t>Bukbu</t>
  </si>
  <si>
    <t>동부</t>
  </si>
  <si>
    <t>Dongbu</t>
  </si>
  <si>
    <t>서부</t>
  </si>
  <si>
    <t>Seobu</t>
  </si>
  <si>
    <t>강화</t>
  </si>
  <si>
    <t>Ganghwa</t>
  </si>
  <si>
    <t>행 정 구 역 별</t>
  </si>
  <si>
    <t>By District</t>
  </si>
  <si>
    <t>중구</t>
  </si>
  <si>
    <t>Jung-gu</t>
  </si>
  <si>
    <t>동구</t>
  </si>
  <si>
    <t>Dong-gu</t>
  </si>
  <si>
    <t>연수구</t>
  </si>
  <si>
    <t>Yeonsu-gu</t>
  </si>
  <si>
    <t>남동구</t>
  </si>
  <si>
    <t>Namdong-gu</t>
  </si>
  <si>
    <t>부평구</t>
  </si>
  <si>
    <t>Bupyeong-gu</t>
  </si>
  <si>
    <t>계양구</t>
  </si>
  <si>
    <t>Gyeyang-gu</t>
  </si>
  <si>
    <t>서구</t>
  </si>
  <si>
    <t>Seo-gu</t>
  </si>
  <si>
    <t>강화군</t>
  </si>
  <si>
    <t>Ganghwagun</t>
  </si>
  <si>
    <t>옹진군</t>
  </si>
  <si>
    <t>Ongjingun</t>
  </si>
  <si>
    <t>4 - 1. 중 학 교 개 황 (2)  </t>
  </si>
  <si>
    <t>4 - 1. Summary (2) </t>
  </si>
  <si>
    <t>학 급 수</t>
  </si>
  <si>
    <t>학 생 수</t>
  </si>
  <si>
    <t>Classes</t>
  </si>
  <si>
    <t>Students</t>
  </si>
  <si>
    <t>합계</t>
  </si>
  <si>
    <t>1학년</t>
  </si>
  <si>
    <t>2학년</t>
  </si>
  <si>
    <t>3학년</t>
  </si>
  <si>
    <t>7th Grade</t>
  </si>
  <si>
    <t>8th Grade</t>
  </si>
  <si>
    <t>9th Grade</t>
  </si>
  <si>
    <t>교 육 청 별 </t>
  </si>
  <si>
    <t> By Local Educational Agency</t>
  </si>
  <si>
    <t>행 정 구 역 별 </t>
  </si>
  <si>
    <t> By District</t>
  </si>
  <si>
    <t>  </t>
  </si>
  <si>
    <t>4 - 2. 학 급 수 별 학 교 수</t>
  </si>
  <si>
    <t>~ 1</t>
  </si>
  <si>
    <t>4 - 3. 학 생 수 별 학 교 수  </t>
  </si>
  <si>
    <t>Schools by the Number of Students  </t>
  </si>
  <si>
    <t>교 육 청 별  By Local Educational Agency</t>
  </si>
  <si>
    <t>행 정 구 역 별  By District</t>
  </si>
  <si>
    <t>4 - 4. 학 생 수 별 학 급 수  </t>
  </si>
  <si>
    <t>Classes by the Number of Students  </t>
  </si>
  <si>
    <t>31 ~ 35</t>
  </si>
  <si>
    <t>20 and less</t>
  </si>
  <si>
    <t>4 - 5. 특 수 지 공 립 중 학 교 현 황 (1)</t>
  </si>
  <si>
    <t>4 - 5. Public Middle Schools in Remote Places &amp; Islands (1)</t>
  </si>
  <si>
    <t>합 계</t>
  </si>
  <si>
    <t>1 학년</t>
  </si>
  <si>
    <t>2 학년</t>
  </si>
  <si>
    <t>3 학년</t>
  </si>
  <si>
    <t>   도서</t>
  </si>
  <si>
    <t>  lslands</t>
  </si>
  <si>
    <t>   벽지</t>
  </si>
  <si>
    <t>  Remote Places</t>
  </si>
  <si>
    <t>   접적지</t>
  </si>
  <si>
    <t>  Border Areas</t>
  </si>
  <si>
    <t>4 - 5. Public Middle Schools in Remote Places &amp; Islands (2)</t>
  </si>
  <si>
    <t>가 지</t>
  </si>
  <si>
    <t>나 지</t>
  </si>
  <si>
    <t>다 지</t>
  </si>
  <si>
    <t>라 지</t>
  </si>
  <si>
    <t>Class A</t>
  </si>
  <si>
    <t>Class B</t>
  </si>
  <si>
    <t>Class C</t>
  </si>
  <si>
    <t>Class D</t>
  </si>
  <si>
    <t>11 years old and less</t>
  </si>
  <si>
    <t>19 years old and more</t>
  </si>
  <si>
    <t>   1 학년</t>
  </si>
  <si>
    <t>  7th Grade</t>
  </si>
  <si>
    <t>   2 학년</t>
  </si>
  <si>
    <t>  8th Grade</t>
  </si>
  <si>
    <t>   3 학년</t>
  </si>
  <si>
    <t>  9th Grade</t>
  </si>
  <si>
    <t>     </t>
  </si>
  <si>
    <t>사 망</t>
  </si>
  <si>
    <t>유 급</t>
  </si>
  <si>
    <t>전 출</t>
  </si>
  <si>
    <t>Postponed Enrollment &amp; Exempts</t>
  </si>
  <si>
    <t>Death</t>
  </si>
  <si>
    <t>Moving Out</t>
  </si>
  <si>
    <t>Moving in</t>
  </si>
  <si>
    <t>도 내</t>
  </si>
  <si>
    <t>도 외</t>
  </si>
  <si>
    <t>Postponed Enrollment</t>
  </si>
  <si>
    <t>Exempts</t>
  </si>
  <si>
    <t>Within the province</t>
  </si>
  <si>
    <t>Outside the province</t>
  </si>
  <si>
    <t>  공립</t>
  </si>
  <si>
    <t>  사립</t>
  </si>
  <si>
    <t>행 정 구 역 별  </t>
  </si>
  <si>
    <t>특 목 고</t>
  </si>
  <si>
    <t>비율</t>
  </si>
  <si>
    <t>   도내</t>
  </si>
  <si>
    <t>  Within the Province</t>
  </si>
  <si>
    <t>   도외</t>
  </si>
  <si>
    <t>공립</t>
  </si>
  <si>
    <t>Public</t>
  </si>
  <si>
    <t>사립</t>
  </si>
  <si>
    <t>Private</t>
  </si>
  <si>
    <t>기 타</t>
  </si>
  <si>
    <t>총 계</t>
  </si>
  <si>
    <t>Others</t>
  </si>
  <si>
    <t>한 문</t>
  </si>
  <si>
    <t>정 원 수</t>
  </si>
  <si>
    <t>재 직 교 원 수</t>
  </si>
  <si>
    <t>T.O</t>
  </si>
  <si>
    <t>Enrollment</t>
  </si>
  <si>
    <t>교 장</t>
  </si>
  <si>
    <t>교 감</t>
  </si>
  <si>
    <t>보직교사</t>
  </si>
  <si>
    <t>Principals</t>
  </si>
  <si>
    <t>Vice Principals</t>
  </si>
  <si>
    <t>Master Teachers</t>
  </si>
  <si>
    <t>교 사</t>
  </si>
  <si>
    <t>Part-Time Teachers</t>
  </si>
  <si>
    <t>Librarians</t>
  </si>
  <si>
    <t>Temporary Instructors</t>
  </si>
  <si>
    <t>전문상담교사</t>
  </si>
  <si>
    <t>사서교사</t>
  </si>
  <si>
    <t>보건교사</t>
  </si>
  <si>
    <t>영양교사</t>
  </si>
  <si>
    <t>Assistant Teachers</t>
  </si>
  <si>
    <t>교(원)장</t>
  </si>
  <si>
    <t>교(원)감</t>
  </si>
  <si>
    <t>교사</t>
  </si>
  <si>
    <t>기간제교사</t>
  </si>
  <si>
    <t>5년 미만</t>
  </si>
  <si>
    <t>5년 이상 ~</t>
  </si>
  <si>
    <t>10년 이상 ~</t>
  </si>
  <si>
    <t>15년 이상 ~</t>
  </si>
  <si>
    <t>20년 이상 ~</t>
  </si>
  <si>
    <t>25년 이상 ~</t>
  </si>
  <si>
    <t>30년 이상 ~</t>
  </si>
  <si>
    <t>35년 이상 ~</t>
  </si>
  <si>
    <t>10년 미만</t>
  </si>
  <si>
    <t>15년 미만</t>
  </si>
  <si>
    <t>20년 미만</t>
  </si>
  <si>
    <t>25년 미만</t>
  </si>
  <si>
    <t>30년 미만</t>
  </si>
  <si>
    <t>35년 미만</t>
  </si>
  <si>
    <t>40년 미만</t>
  </si>
  <si>
    <t>   Public</t>
  </si>
  <si>
    <t>   Private</t>
  </si>
  <si>
    <t>   현 직</t>
  </si>
  <si>
    <t>  Present</t>
  </si>
  <si>
    <t>   비현직</t>
  </si>
  <si>
    <t>  Certified</t>
  </si>
  <si>
    <t>Subtotal</t>
  </si>
  <si>
    <t>국 어</t>
  </si>
  <si>
    <t>도 덕</t>
  </si>
  <si>
    <t>수 학</t>
  </si>
  <si>
    <t>과 학</t>
  </si>
  <si>
    <t>기술ㆍ가정</t>
  </si>
  <si>
    <t>체 육</t>
  </si>
  <si>
    <t>음 악</t>
  </si>
  <si>
    <t>미 술</t>
  </si>
  <si>
    <t>Korean</t>
  </si>
  <si>
    <t>Social Studies</t>
  </si>
  <si>
    <t>Mathematics</t>
  </si>
  <si>
    <t>Science</t>
  </si>
  <si>
    <t>Technologyㆍ</t>
  </si>
  <si>
    <t>Physical</t>
  </si>
  <si>
    <t>Music</t>
  </si>
  <si>
    <t>Fine Arts</t>
  </si>
  <si>
    <t>Language</t>
  </si>
  <si>
    <t>Education</t>
  </si>
  <si>
    <t>(Korean History)</t>
  </si>
  <si>
    <t>24 years old and less</t>
  </si>
  <si>
    <t>63 years old and more</t>
  </si>
  <si>
    <t>~ 9시간</t>
  </si>
  <si>
    <t>9 hours and less</t>
  </si>
  <si>
    <t>4호봉</t>
  </si>
  <si>
    <t>5호봉</t>
  </si>
  <si>
    <t>6호봉</t>
  </si>
  <si>
    <t>7호봉</t>
  </si>
  <si>
    <t>8호봉</t>
  </si>
  <si>
    <t>9호봉</t>
  </si>
  <si>
    <t>10호봉</t>
  </si>
  <si>
    <t>11호봉</t>
  </si>
  <si>
    <t>12호봉</t>
  </si>
  <si>
    <t>13호봉</t>
  </si>
  <si>
    <t>14호봉</t>
  </si>
  <si>
    <t>15호봉</t>
  </si>
  <si>
    <t>16호봉</t>
  </si>
  <si>
    <t>17호봉</t>
  </si>
  <si>
    <t>18호봉</t>
  </si>
  <si>
    <t>19호봉</t>
  </si>
  <si>
    <t>20호봉</t>
  </si>
  <si>
    <t>21호봉</t>
  </si>
  <si>
    <t>22호봉</t>
  </si>
  <si>
    <t>23호봉</t>
  </si>
  <si>
    <t>근가1</t>
  </si>
  <si>
    <t>근가2</t>
  </si>
  <si>
    <t>근가3</t>
  </si>
  <si>
    <t>근가4</t>
  </si>
  <si>
    <t>근가5</t>
  </si>
  <si>
    <t>근가6</t>
  </si>
  <si>
    <t>근가7</t>
  </si>
  <si>
    <t>근가8</t>
  </si>
  <si>
    <t>근가9</t>
  </si>
  <si>
    <t>근가10</t>
  </si>
  <si>
    <t>Added Pay Grade for Continuous Service 1</t>
  </si>
  <si>
    <t>Added Pay Grade for Continuous Service 2</t>
  </si>
  <si>
    <t>Added Pay Grade for Continuous Service 3</t>
  </si>
  <si>
    <t>Added Pay Grade for Continuous Service 4</t>
  </si>
  <si>
    <t>Added Pay Grade for Continuous Service 5</t>
  </si>
  <si>
    <t>Added Pay Grade for Continuous Service 6</t>
  </si>
  <si>
    <t>Added Pay Grade for Continuous Service 7</t>
  </si>
  <si>
    <t>Added Pay Grade for Continuous Service 8</t>
  </si>
  <si>
    <t>Added Pay Grade for Continuous Service 9</t>
  </si>
  <si>
    <t>Added Pay Grade for Continuous Service 10</t>
  </si>
  <si>
    <t>퇴 직</t>
  </si>
  <si>
    <t>복 직</t>
  </si>
  <si>
    <t>휴 직</t>
  </si>
  <si>
    <t>파 견</t>
  </si>
  <si>
    <t>Retired</t>
  </si>
  <si>
    <t>Reinstated</t>
  </si>
  <si>
    <t>Temporary Leave from Service</t>
  </si>
  <si>
    <t>질 병</t>
  </si>
  <si>
    <t>정 년</t>
  </si>
  <si>
    <t>징 계</t>
  </si>
  <si>
    <t>명 예</t>
  </si>
  <si>
    <t>육 아</t>
  </si>
  <si>
    <t>동 반</t>
  </si>
  <si>
    <t>Disease</t>
  </si>
  <si>
    <t>Retirement</t>
  </si>
  <si>
    <t>Honorary</t>
  </si>
  <si>
    <t>Child Care</t>
  </si>
  <si>
    <t>물 리</t>
  </si>
  <si>
    <t>화 학</t>
  </si>
  <si>
    <t>생 물</t>
  </si>
  <si>
    <t>역 사</t>
  </si>
  <si>
    <t>지 리</t>
  </si>
  <si>
    <t>교육학</t>
  </si>
  <si>
    <t>철 학</t>
  </si>
  <si>
    <t>Physics</t>
  </si>
  <si>
    <t>Chemistry</t>
  </si>
  <si>
    <t>Biology</t>
  </si>
  <si>
    <t>History</t>
  </si>
  <si>
    <t>English</t>
  </si>
  <si>
    <t>국립사범대졸업자</t>
  </si>
  <si>
    <t>사립사범대졸업자</t>
  </si>
  <si>
    <t>교직과정이수자</t>
  </si>
  <si>
    <t>Those Who Completed Teacher Training Course</t>
  </si>
  <si>
    <t>교육대학원졸업자</t>
  </si>
  <si>
    <t>Graduates of Educational Graduate School</t>
  </si>
  <si>
    <t>양성소·양성과정·보수교육이수자</t>
  </si>
  <si>
    <t>Training Center Graduates</t>
  </si>
  <si>
    <t>교원자격검정고시합격자</t>
  </si>
  <si>
    <t>기타</t>
  </si>
  <si>
    <t>기 술</t>
  </si>
  <si>
    <t>가 정</t>
  </si>
  <si>
    <t>건 설</t>
  </si>
  <si>
    <t>(단위:㎡) </t>
  </si>
  <si>
    <t>School Site</t>
  </si>
  <si>
    <t>Attached Site</t>
  </si>
  <si>
    <t>Playground</t>
  </si>
  <si>
    <t>Farm</t>
  </si>
  <si>
    <t>Forest for Experimentation</t>
  </si>
  <si>
    <t>Dormitories</t>
  </si>
  <si>
    <t>Public Area</t>
  </si>
  <si>
    <t>교 육 청 별  </t>
  </si>
  <si>
    <t>철 골 조</t>
  </si>
  <si>
    <t>석 조</t>
  </si>
  <si>
    <t>목 조</t>
  </si>
  <si>
    <t>Brick/Block</t>
  </si>
  <si>
    <t>Stone</t>
  </si>
  <si>
    <t>Wooden</t>
  </si>
  <si>
    <t>Reinforced Concrete</t>
  </si>
  <si>
    <t>Quantity of Energy Usage  </t>
  </si>
  <si>
    <t>전 기</t>
  </si>
  <si>
    <t>물</t>
  </si>
  <si>
    <t>Electricity</t>
  </si>
  <si>
    <t>Water</t>
  </si>
  <si>
    <t>Gas</t>
  </si>
  <si>
    <t>Oil</t>
  </si>
  <si>
    <t>Coal</t>
  </si>
  <si>
    <t>Waterworks</t>
  </si>
  <si>
    <t>냉 방</t>
  </si>
  <si>
    <t>개 별 난 방</t>
  </si>
  <si>
    <t>중 앙 난 방</t>
  </si>
  <si>
    <t>Individual Heating</t>
  </si>
  <si>
    <t>가 스</t>
  </si>
  <si>
    <t>유 류</t>
  </si>
  <si>
    <t>탄 류</t>
  </si>
  <si>
    <t>교원용 컴퓨터</t>
  </si>
  <si>
    <t>Computers for Students</t>
  </si>
  <si>
    <t>Computers for Teachers</t>
  </si>
  <si>
    <t>Computers for Administration</t>
  </si>
  <si>
    <t>일 반 직</t>
  </si>
  <si>
    <t>6 급</t>
  </si>
  <si>
    <t>7 급</t>
  </si>
  <si>
    <t>8 급</t>
  </si>
  <si>
    <t>9 급</t>
  </si>
  <si>
    <t>Class 6</t>
  </si>
  <si>
    <t>Class 7</t>
  </si>
  <si>
    <t>Class 8</t>
  </si>
  <si>
    <t>Class 9</t>
  </si>
  <si>
    <t>정 원</t>
  </si>
  <si>
    <t>T. O</t>
  </si>
  <si>
    <t>현 원</t>
  </si>
  <si>
    <t>P. O</t>
  </si>
  <si>
    <t>학 생 수</t>
    <phoneticPr fontId="4" type="noConversion"/>
  </si>
  <si>
    <t>특수학급수</t>
    <phoneticPr fontId="4" type="noConversion"/>
  </si>
  <si>
    <t>Special Classes</t>
    <phoneticPr fontId="4" type="noConversion"/>
  </si>
  <si>
    <t>계</t>
    <phoneticPr fontId="4" type="noConversion"/>
  </si>
  <si>
    <t>~
150</t>
    <phoneticPr fontId="4" type="noConversion"/>
  </si>
  <si>
    <t>~ 
300</t>
    <phoneticPr fontId="4" type="noConversion"/>
  </si>
  <si>
    <t>~ 
450</t>
    <phoneticPr fontId="4" type="noConversion"/>
  </si>
  <si>
    <t>~ 
600</t>
    <phoneticPr fontId="4" type="noConversion"/>
  </si>
  <si>
    <t>~ 
750</t>
    <phoneticPr fontId="4" type="noConversion"/>
  </si>
  <si>
    <t>~ 
900</t>
    <phoneticPr fontId="4" type="noConversion"/>
  </si>
  <si>
    <t>~ 
1050</t>
    <phoneticPr fontId="4" type="noConversion"/>
  </si>
  <si>
    <t>~ 
1200</t>
    <phoneticPr fontId="4" type="noConversion"/>
  </si>
  <si>
    <t>교 육 청 별</t>
    <phoneticPr fontId="4" type="noConversion"/>
  </si>
  <si>
    <t>행 정 구 역 별</t>
    <phoneticPr fontId="4" type="noConversion"/>
  </si>
  <si>
    <t>Employed</t>
    <phoneticPr fontId="4" type="noConversion"/>
  </si>
  <si>
    <t>Classification</t>
    <phoneticPr fontId="4" type="noConversion"/>
  </si>
  <si>
    <t>T</t>
    <phoneticPr fontId="4" type="noConversion"/>
  </si>
  <si>
    <t>F</t>
    <phoneticPr fontId="4" type="noConversion"/>
  </si>
  <si>
    <t>3호봉 이하</t>
    <phoneticPr fontId="4" type="noConversion"/>
  </si>
  <si>
    <t>24
호봉</t>
    <phoneticPr fontId="4" type="noConversion"/>
  </si>
  <si>
    <t>25
호봉</t>
    <phoneticPr fontId="4" type="noConversion"/>
  </si>
  <si>
    <t>26
호봉</t>
    <phoneticPr fontId="4" type="noConversion"/>
  </si>
  <si>
    <t>27
호봉</t>
    <phoneticPr fontId="4" type="noConversion"/>
  </si>
  <si>
    <t>28
호봉</t>
    <phoneticPr fontId="4" type="noConversion"/>
  </si>
  <si>
    <t>29
호봉</t>
    <phoneticPr fontId="4" type="noConversion"/>
  </si>
  <si>
    <t>30
호봉</t>
    <phoneticPr fontId="4" type="noConversion"/>
  </si>
  <si>
    <t>31
호봉</t>
    <phoneticPr fontId="4" type="noConversion"/>
  </si>
  <si>
    <t>32
호봉</t>
    <phoneticPr fontId="4" type="noConversion"/>
  </si>
  <si>
    <t>33
호봉</t>
    <phoneticPr fontId="4" type="noConversion"/>
  </si>
  <si>
    <t>34
호봉</t>
    <phoneticPr fontId="4" type="noConversion"/>
  </si>
  <si>
    <t>35
호봉</t>
    <phoneticPr fontId="4" type="noConversion"/>
  </si>
  <si>
    <t>36
호봉</t>
    <phoneticPr fontId="4" type="noConversion"/>
  </si>
  <si>
    <t>37
호봉</t>
    <phoneticPr fontId="4" type="noConversion"/>
  </si>
  <si>
    <t>38
호봉</t>
    <phoneticPr fontId="4" type="noConversion"/>
  </si>
  <si>
    <t>39
호봉</t>
    <phoneticPr fontId="4" type="noConversion"/>
  </si>
  <si>
    <t>40
호봉</t>
    <phoneticPr fontId="4" type="noConversion"/>
  </si>
  <si>
    <t>Total</t>
    <phoneticPr fontId="4" type="noConversion"/>
  </si>
  <si>
    <t>철근
콘크리트</t>
    <phoneticPr fontId="4" type="noConversion"/>
  </si>
  <si>
    <t>벽돌/
블럭조</t>
    <phoneticPr fontId="4" type="noConversion"/>
  </si>
  <si>
    <t>Repeaters</t>
    <phoneticPr fontId="4" type="noConversion"/>
  </si>
  <si>
    <t>Ohters</t>
  </si>
  <si>
    <t>여자</t>
    <phoneticPr fontId="4" type="noConversion"/>
  </si>
  <si>
    <t>By Local Educational Agency</t>
    <phoneticPr fontId="4" type="noConversion"/>
  </si>
  <si>
    <t>By District</t>
    <phoneticPr fontId="4" type="noConversion"/>
  </si>
  <si>
    <t>(1)</t>
  </si>
  <si>
    <t>원인별</t>
  </si>
  <si>
    <t/>
  </si>
  <si>
    <t>해외이주</t>
  </si>
  <si>
    <t>파견동행</t>
  </si>
  <si>
    <t>미국</t>
  </si>
  <si>
    <t>캐나다</t>
  </si>
  <si>
    <t>유럽</t>
  </si>
  <si>
    <t>일본</t>
  </si>
  <si>
    <t>중국</t>
  </si>
  <si>
    <t>호주</t>
  </si>
  <si>
    <t>뉴질랜드</t>
  </si>
  <si>
    <t>중동</t>
  </si>
  <si>
    <t>남미</t>
  </si>
  <si>
    <t>동남아</t>
  </si>
  <si>
    <t>미확인</t>
  </si>
  <si>
    <t xml:space="preserve">   공립</t>
  </si>
  <si>
    <t xml:space="preserve">   사립</t>
  </si>
  <si>
    <t>(4)</t>
  </si>
  <si>
    <t>(8)</t>
  </si>
  <si>
    <t>(7)</t>
  </si>
  <si>
    <t>(5)</t>
  </si>
  <si>
    <t>(2)</t>
  </si>
  <si>
    <t>(3)</t>
  </si>
  <si>
    <t>(6)</t>
  </si>
  <si>
    <t>Emigration</t>
  </si>
  <si>
    <t>Canada</t>
  </si>
  <si>
    <t>Europe</t>
  </si>
  <si>
    <t>Japan</t>
  </si>
  <si>
    <t>China</t>
  </si>
  <si>
    <t>South 
America</t>
  </si>
  <si>
    <t>Unconfirmed</t>
  </si>
  <si>
    <t>수석교사</t>
  </si>
  <si>
    <t>수석교사</t>
    <phoneticPr fontId="4" type="noConversion"/>
  </si>
  <si>
    <t>Advanced Skills Teachers</t>
  </si>
  <si>
    <t xml:space="preserve">   Public</t>
  </si>
  <si>
    <t xml:space="preserve">     공립</t>
    <phoneticPr fontId="4" type="noConversion"/>
  </si>
  <si>
    <t>Advanced Skills Teachers</t>
    <phoneticPr fontId="4" type="noConversion"/>
  </si>
  <si>
    <t>학 년 별</t>
    <phoneticPr fontId="4" type="noConversion"/>
  </si>
  <si>
    <t xml:space="preserve"> 행 정 구 역 별</t>
    <phoneticPr fontId="4" type="noConversion"/>
  </si>
  <si>
    <t>체류기간별</t>
    <phoneticPr fontId="4" type="noConversion"/>
  </si>
  <si>
    <t>국가별</t>
    <phoneticPr fontId="4" type="noConversion"/>
  </si>
  <si>
    <t>교 육 청 별  By Local Educational Agency</t>
    <phoneticPr fontId="4" type="noConversion"/>
  </si>
  <si>
    <t>By Grade</t>
    <phoneticPr fontId="4" type="noConversion"/>
  </si>
  <si>
    <t>일 반 고</t>
    <phoneticPr fontId="4" type="noConversion"/>
  </si>
  <si>
    <t>자 율 고</t>
    <phoneticPr fontId="4" type="noConversion"/>
  </si>
  <si>
    <t>교 사</t>
    <phoneticPr fontId="4" type="noConversion"/>
  </si>
  <si>
    <t>보 건 교 사</t>
    <phoneticPr fontId="4" type="noConversion"/>
  </si>
  <si>
    <t>영 양 교 사</t>
    <phoneticPr fontId="4" type="noConversion"/>
  </si>
  <si>
    <t>기 간 제 교 사</t>
    <phoneticPr fontId="4" type="noConversion"/>
  </si>
  <si>
    <t>Health Teachers</t>
  </si>
  <si>
    <t>Studying Abroad</t>
    <phoneticPr fontId="4" type="noConversion"/>
  </si>
  <si>
    <t>(12)</t>
  </si>
  <si>
    <t>Subtotal</t>
    <phoneticPr fontId="4" type="noConversion"/>
  </si>
  <si>
    <t>Disease</t>
    <phoneticPr fontId="4" type="noConversion"/>
  </si>
  <si>
    <t>Others</t>
    <phoneticPr fontId="4" type="noConversion"/>
  </si>
  <si>
    <t>Exempts</t>
    <phoneticPr fontId="4" type="noConversion"/>
  </si>
  <si>
    <t>Postponed Enrollment</t>
    <phoneticPr fontId="4" type="noConversion"/>
  </si>
  <si>
    <t>유학</t>
    <phoneticPr fontId="4" type="noConversion"/>
  </si>
  <si>
    <t>Studying 
abroad</t>
    <phoneticPr fontId="4" type="noConversion"/>
  </si>
  <si>
    <t>필리핀</t>
  </si>
  <si>
    <t>베트남</t>
  </si>
  <si>
    <t>태국</t>
  </si>
  <si>
    <t>인도네시아</t>
  </si>
  <si>
    <t>중앙아시아</t>
  </si>
  <si>
    <t>러시아</t>
  </si>
  <si>
    <t>아프리카</t>
  </si>
  <si>
    <t>Philippines</t>
  </si>
  <si>
    <t>Vietnam</t>
  </si>
  <si>
    <t>Thailand</t>
  </si>
  <si>
    <t>Indonesia</t>
  </si>
  <si>
    <t>Central Asia</t>
  </si>
  <si>
    <t>Russia</t>
  </si>
  <si>
    <t>Africa</t>
  </si>
  <si>
    <t>대만</t>
  </si>
  <si>
    <t>몽골</t>
  </si>
  <si>
    <t>Taiwan</t>
  </si>
  <si>
    <t>Mongolia</t>
  </si>
  <si>
    <t>United States
of America</t>
  </si>
  <si>
    <t>합 계</t>
    <phoneticPr fontId="4" type="noConversion"/>
  </si>
  <si>
    <t>소 계</t>
    <phoneticPr fontId="4" type="noConversion"/>
  </si>
  <si>
    <t>(13)</t>
  </si>
  <si>
    <t>(9)</t>
  </si>
  <si>
    <t>Note: 1) The Principals and Vice Principals on duty are included in "Others".</t>
    <phoneticPr fontId="4" type="noConversion"/>
  </si>
  <si>
    <t>데스크탑</t>
  </si>
  <si>
    <t>노트북</t>
  </si>
  <si>
    <t>Desktop</t>
  </si>
  <si>
    <t>Laptop</t>
  </si>
  <si>
    <t>직 원 수</t>
    <phoneticPr fontId="4" type="noConversion"/>
  </si>
  <si>
    <t>1 and
less</t>
    <phoneticPr fontId="4" type="noConversion"/>
  </si>
  <si>
    <t>100 and
less</t>
    <phoneticPr fontId="4" type="noConversion"/>
  </si>
  <si>
    <t>교 원 수</t>
    <phoneticPr fontId="4" type="noConversion"/>
  </si>
  <si>
    <t>교 실 수</t>
    <phoneticPr fontId="4" type="noConversion"/>
  </si>
  <si>
    <t>학
급
수</t>
    <phoneticPr fontId="4" type="noConversion"/>
  </si>
  <si>
    <t>학
생
수</t>
    <phoneticPr fontId="4" type="noConversion"/>
  </si>
  <si>
    <t>교
원
수</t>
    <phoneticPr fontId="4" type="noConversion"/>
  </si>
  <si>
    <t>직
원
수</t>
    <phoneticPr fontId="4" type="noConversion"/>
  </si>
  <si>
    <t>교
실
수</t>
    <phoneticPr fontId="4" type="noConversion"/>
  </si>
  <si>
    <t>4 - 5. 특 수 지 공 립 중 학 교 현 황 (2)</t>
    <phoneticPr fontId="4" type="noConversion"/>
  </si>
  <si>
    <t>~ 만 11세</t>
    <phoneticPr fontId="4" type="noConversion"/>
  </si>
  <si>
    <t>만 12세</t>
    <phoneticPr fontId="4" type="noConversion"/>
  </si>
  <si>
    <t>만 13세</t>
    <phoneticPr fontId="4" type="noConversion"/>
  </si>
  <si>
    <t>만 14세</t>
    <phoneticPr fontId="4" type="noConversion"/>
  </si>
  <si>
    <t>만 15세</t>
    <phoneticPr fontId="4" type="noConversion"/>
  </si>
  <si>
    <t>만 16세</t>
    <phoneticPr fontId="4" type="noConversion"/>
  </si>
  <si>
    <t>만 17세</t>
    <phoneticPr fontId="4" type="noConversion"/>
  </si>
  <si>
    <t>만 18세</t>
    <phoneticPr fontId="4" type="noConversion"/>
  </si>
  <si>
    <t>면 제</t>
    <phoneticPr fontId="4" type="noConversion"/>
  </si>
  <si>
    <t>유 예</t>
    <phoneticPr fontId="4" type="noConversion"/>
  </si>
  <si>
    <t>구 분</t>
    <phoneticPr fontId="4" type="noConversion"/>
  </si>
  <si>
    <t>질 병</t>
    <phoneticPr fontId="4" type="noConversion"/>
  </si>
  <si>
    <t>기 타</t>
    <phoneticPr fontId="4" type="noConversion"/>
  </si>
  <si>
    <t>United States
of America</t>
    <phoneticPr fontId="4" type="noConversion"/>
  </si>
  <si>
    <t>New Zealand</t>
    <phoneticPr fontId="4" type="noConversion"/>
  </si>
  <si>
    <t>By Cause</t>
    <phoneticPr fontId="4" type="noConversion"/>
  </si>
  <si>
    <t>By Country</t>
    <phoneticPr fontId="4" type="noConversion"/>
  </si>
  <si>
    <t>Dispatch &amp;
Accompanied</t>
    <phoneticPr fontId="4" type="noConversion"/>
  </si>
  <si>
    <t>South-East
Asia</t>
  </si>
  <si>
    <t xml:space="preserve"> By District</t>
  </si>
  <si>
    <t>원인별</t>
    <phoneticPr fontId="4" type="noConversion"/>
  </si>
  <si>
    <t>By Length of Stay</t>
    <phoneticPr fontId="4" type="noConversion"/>
  </si>
  <si>
    <t>파견동행</t>
    <phoneticPr fontId="4" type="noConversion"/>
  </si>
  <si>
    <t>2년 미만</t>
    <phoneticPr fontId="4" type="noConversion"/>
  </si>
  <si>
    <t>2년 이상~3년 미만</t>
    <phoneticPr fontId="4" type="noConversion"/>
  </si>
  <si>
    <t>3년 이상~5년 미만</t>
    <phoneticPr fontId="4" type="noConversion"/>
  </si>
  <si>
    <t>5년 이상</t>
    <phoneticPr fontId="4" type="noConversion"/>
  </si>
  <si>
    <t>Dispatch &amp; Accompanied</t>
    <phoneticPr fontId="4" type="noConversion"/>
  </si>
  <si>
    <t>Emigration</t>
    <phoneticPr fontId="4" type="noConversion"/>
  </si>
  <si>
    <t>5 years and more</t>
    <phoneticPr fontId="4" type="noConversion"/>
  </si>
  <si>
    <t>미국</t>
    <phoneticPr fontId="4" type="noConversion"/>
  </si>
  <si>
    <t>캐나다</t>
    <phoneticPr fontId="4" type="noConversion"/>
  </si>
  <si>
    <t>유럽</t>
    <phoneticPr fontId="4" type="noConversion"/>
  </si>
  <si>
    <t>일본</t>
    <phoneticPr fontId="4" type="noConversion"/>
  </si>
  <si>
    <t>중국</t>
    <phoneticPr fontId="4" type="noConversion"/>
  </si>
  <si>
    <t>호주</t>
    <phoneticPr fontId="4" type="noConversion"/>
  </si>
  <si>
    <t>뉴질랜드</t>
    <phoneticPr fontId="4" type="noConversion"/>
  </si>
  <si>
    <t>중동</t>
    <phoneticPr fontId="4" type="noConversion"/>
  </si>
  <si>
    <t>남미</t>
    <phoneticPr fontId="4" type="noConversion"/>
  </si>
  <si>
    <t>동남아</t>
    <phoneticPr fontId="4" type="noConversion"/>
  </si>
  <si>
    <t>기타</t>
    <phoneticPr fontId="4" type="noConversion"/>
  </si>
  <si>
    <t>미확인</t>
    <phoneticPr fontId="4" type="noConversion"/>
  </si>
  <si>
    <t>United States of America</t>
    <phoneticPr fontId="4" type="noConversion"/>
  </si>
  <si>
    <t>Canada</t>
    <phoneticPr fontId="4" type="noConversion"/>
  </si>
  <si>
    <t>Europe</t>
    <phoneticPr fontId="4" type="noConversion"/>
  </si>
  <si>
    <t>Japan</t>
    <phoneticPr fontId="4" type="noConversion"/>
  </si>
  <si>
    <t>China</t>
    <phoneticPr fontId="4" type="noConversion"/>
  </si>
  <si>
    <t>Australia</t>
    <phoneticPr fontId="4" type="noConversion"/>
  </si>
  <si>
    <t>South America</t>
    <phoneticPr fontId="4" type="noConversion"/>
  </si>
  <si>
    <t>South-East Asia</t>
    <phoneticPr fontId="4" type="noConversion"/>
  </si>
  <si>
    <t>Unconfirmed</t>
    <phoneticPr fontId="4" type="noConversion"/>
  </si>
  <si>
    <t>입 학 지 원 자</t>
    <phoneticPr fontId="4" type="noConversion"/>
  </si>
  <si>
    <t>입 학 자</t>
    <phoneticPr fontId="4" type="noConversion"/>
  </si>
  <si>
    <t>Applicants</t>
    <phoneticPr fontId="4" type="noConversion"/>
  </si>
  <si>
    <t>  Outside the Province</t>
    <phoneticPr fontId="4" type="noConversion"/>
  </si>
  <si>
    <t>보직교사</t>
    <phoneticPr fontId="4" type="noConversion"/>
  </si>
  <si>
    <t>Master Teachers</t>
    <phoneticPr fontId="4" type="noConversion"/>
  </si>
  <si>
    <t>특 수 교 사</t>
    <phoneticPr fontId="4" type="noConversion"/>
  </si>
  <si>
    <t>Special Teachers</t>
    <phoneticPr fontId="4" type="noConversion"/>
  </si>
  <si>
    <t>School Counselors</t>
    <phoneticPr fontId="4" type="noConversion"/>
  </si>
  <si>
    <t>사 서 교 사</t>
    <phoneticPr fontId="4" type="noConversion"/>
  </si>
  <si>
    <t>Health Teachers</t>
    <phoneticPr fontId="4" type="noConversion"/>
  </si>
  <si>
    <t>Nutrition Teachers</t>
    <phoneticPr fontId="4" type="noConversion"/>
  </si>
  <si>
    <t>특수교사</t>
    <phoneticPr fontId="4" type="noConversion"/>
  </si>
  <si>
    <t>전문상담교사</t>
    <phoneticPr fontId="4" type="noConversion"/>
  </si>
  <si>
    <t>Less than 5 years</t>
    <phoneticPr fontId="4" type="noConversion"/>
  </si>
  <si>
    <t>     공립</t>
    <phoneticPr fontId="4" type="noConversion"/>
  </si>
  <si>
    <t>     사립</t>
    <phoneticPr fontId="4" type="noConversion"/>
  </si>
  <si>
    <t>    Public</t>
    <phoneticPr fontId="4" type="noConversion"/>
  </si>
  <si>
    <t>    Private</t>
    <phoneticPr fontId="4" type="noConversion"/>
  </si>
  <si>
    <t>   공립</t>
    <phoneticPr fontId="4" type="noConversion"/>
  </si>
  <si>
    <t>14 years and more</t>
    <phoneticPr fontId="4" type="noConversion"/>
  </si>
  <si>
    <t>2년미만</t>
    <phoneticPr fontId="4" type="noConversion"/>
  </si>
  <si>
    <t>3년미만</t>
    <phoneticPr fontId="4" type="noConversion"/>
  </si>
  <si>
    <t>4년미만</t>
  </si>
  <si>
    <t>5년미만</t>
    <phoneticPr fontId="4" type="noConversion"/>
  </si>
  <si>
    <t>6년미만</t>
    <phoneticPr fontId="4" type="noConversion"/>
  </si>
  <si>
    <t>7년미만</t>
    <phoneticPr fontId="4" type="noConversion"/>
  </si>
  <si>
    <t>8년미만</t>
    <phoneticPr fontId="4" type="noConversion"/>
  </si>
  <si>
    <t>9년미만</t>
    <phoneticPr fontId="4" type="noConversion"/>
  </si>
  <si>
    <t>11년미만</t>
    <phoneticPr fontId="4" type="noConversion"/>
  </si>
  <si>
    <t>12년미만</t>
    <phoneticPr fontId="4" type="noConversion"/>
  </si>
  <si>
    <t>13년미만</t>
    <phoneticPr fontId="4" type="noConversion"/>
  </si>
  <si>
    <t>14년미만</t>
    <phoneticPr fontId="4" type="noConversion"/>
  </si>
  <si>
    <t>13년이상~</t>
    <phoneticPr fontId="4" type="noConversion"/>
  </si>
  <si>
    <t>12년이상~</t>
    <phoneticPr fontId="4" type="noConversion"/>
  </si>
  <si>
    <t>11년이상~</t>
    <phoneticPr fontId="4" type="noConversion"/>
  </si>
  <si>
    <t>10년이상~</t>
    <phoneticPr fontId="4" type="noConversion"/>
  </si>
  <si>
    <t>9년이상~</t>
    <phoneticPr fontId="4" type="noConversion"/>
  </si>
  <si>
    <t>8년이상~</t>
    <phoneticPr fontId="4" type="noConversion"/>
  </si>
  <si>
    <t>7년이상~</t>
    <phoneticPr fontId="4" type="noConversion"/>
  </si>
  <si>
    <t>6년이상~</t>
    <phoneticPr fontId="4" type="noConversion"/>
  </si>
  <si>
    <t>5년이상~</t>
    <phoneticPr fontId="4" type="noConversion"/>
  </si>
  <si>
    <t>4년이상~</t>
    <phoneticPr fontId="4" type="noConversion"/>
  </si>
  <si>
    <t>3년이상~</t>
    <phoneticPr fontId="4" type="noConversion"/>
  </si>
  <si>
    <t>2년이상~</t>
    <phoneticPr fontId="4" type="noConversion"/>
  </si>
  <si>
    <t>1년이상~</t>
    <phoneticPr fontId="4" type="noConversion"/>
  </si>
  <si>
    <t>1년 미만</t>
    <phoneticPr fontId="4" type="noConversion"/>
  </si>
  <si>
    <t>10년미만</t>
    <phoneticPr fontId="4" type="noConversion"/>
  </si>
  <si>
    <t>Less than 1 year</t>
    <phoneticPr fontId="4" type="noConversion"/>
  </si>
  <si>
    <t>0 회</t>
    <phoneticPr fontId="18" type="noConversion"/>
  </si>
  <si>
    <t>1 회</t>
    <phoneticPr fontId="18" type="noConversion"/>
  </si>
  <si>
    <t>2 회</t>
    <phoneticPr fontId="18" type="noConversion"/>
  </si>
  <si>
    <t>3 회</t>
    <phoneticPr fontId="18" type="noConversion"/>
  </si>
  <si>
    <t>4 회</t>
    <phoneticPr fontId="18" type="noConversion"/>
  </si>
  <si>
    <t>5 회</t>
    <phoneticPr fontId="18" type="noConversion"/>
  </si>
  <si>
    <t>6 회</t>
    <phoneticPr fontId="18" type="noConversion"/>
  </si>
  <si>
    <t>7 회</t>
    <phoneticPr fontId="18" type="noConversion"/>
  </si>
  <si>
    <t>8 회</t>
    <phoneticPr fontId="18" type="noConversion"/>
  </si>
  <si>
    <t>9 회</t>
    <phoneticPr fontId="18" type="noConversion"/>
  </si>
  <si>
    <t>10 회</t>
    <phoneticPr fontId="18" type="noConversion"/>
  </si>
  <si>
    <t>11회 이상</t>
    <phoneticPr fontId="18" type="noConversion"/>
  </si>
  <si>
    <t>Total</t>
    <phoneticPr fontId="18" type="noConversion"/>
  </si>
  <si>
    <t>0 time</t>
    <phoneticPr fontId="18" type="noConversion"/>
  </si>
  <si>
    <t>11 times and more</t>
    <phoneticPr fontId="18" type="noConversion"/>
  </si>
  <si>
    <t>수석교사</t>
    <phoneticPr fontId="18" type="noConversion"/>
  </si>
  <si>
    <t>Advanced Skills Teachers</t>
    <phoneticPr fontId="18" type="noConversion"/>
  </si>
  <si>
    <t>사서교사</t>
    <phoneticPr fontId="4" type="noConversion"/>
  </si>
  <si>
    <t>Librarians</t>
    <phoneticPr fontId="4" type="noConversion"/>
  </si>
  <si>
    <t>Health Teachers</t>
    <phoneticPr fontId="18" type="noConversion"/>
  </si>
  <si>
    <t>중구</t>
    <phoneticPr fontId="18" type="noConversion"/>
  </si>
  <si>
    <t>동부</t>
    <phoneticPr fontId="4" type="noConversion"/>
  </si>
  <si>
    <t>  Private</t>
    <phoneticPr fontId="4" type="noConversion"/>
  </si>
  <si>
    <t>   사립</t>
    <phoneticPr fontId="4" type="noConversion"/>
  </si>
  <si>
    <t>(14)</t>
  </si>
  <si>
    <t>Grade 3 and less</t>
    <phoneticPr fontId="4" type="noConversion"/>
  </si>
  <si>
    <t>신 규
채 용</t>
    <phoneticPr fontId="18" type="noConversion"/>
  </si>
  <si>
    <t>Newly Recruited</t>
  </si>
  <si>
    <t>병 역</t>
  </si>
  <si>
    <t>Detachment</t>
    <phoneticPr fontId="18" type="noConversion"/>
  </si>
  <si>
    <t>Moving within
the province</t>
    <phoneticPr fontId="18" type="noConversion"/>
  </si>
  <si>
    <t>Moving into
the province</t>
    <phoneticPr fontId="18" type="noConversion"/>
  </si>
  <si>
    <t>Maternity Leave</t>
    <phoneticPr fontId="18" type="noConversion"/>
  </si>
  <si>
    <t>Military Service</t>
  </si>
  <si>
    <t>Accompanied</t>
  </si>
  <si>
    <t>여</t>
    <phoneticPr fontId="18" type="noConversion"/>
  </si>
  <si>
    <t>계</t>
    <phoneticPr fontId="18" type="noConversion"/>
  </si>
  <si>
    <t>T</t>
    <phoneticPr fontId="18" type="noConversion"/>
  </si>
  <si>
    <t xml:space="preserve">  공립</t>
    <phoneticPr fontId="18" type="noConversion"/>
  </si>
  <si>
    <t xml:space="preserve">  Public</t>
    <phoneticPr fontId="18" type="noConversion"/>
  </si>
  <si>
    <t xml:space="preserve">  사립</t>
    <phoneticPr fontId="18" type="noConversion"/>
  </si>
  <si>
    <t xml:space="preserve">  Private</t>
    <phoneticPr fontId="18" type="noConversion"/>
  </si>
  <si>
    <t>특수교사</t>
    <phoneticPr fontId="18" type="noConversion"/>
  </si>
  <si>
    <t>Special Teachers</t>
    <phoneticPr fontId="18" type="noConversion"/>
  </si>
  <si>
    <t>전문상담교사</t>
    <phoneticPr fontId="18" type="noConversion"/>
  </si>
  <si>
    <t>School Counselors</t>
    <phoneticPr fontId="18" type="noConversion"/>
  </si>
  <si>
    <t>여</t>
    <phoneticPr fontId="4" type="noConversion"/>
  </si>
  <si>
    <t>Disciplinary
Measure</t>
    <phoneticPr fontId="18" type="noConversion"/>
  </si>
  <si>
    <t>(단위:㎡)</t>
  </si>
  <si>
    <t>부속토지</t>
  </si>
  <si>
    <t>체육장</t>
  </si>
  <si>
    <t>연습림</t>
  </si>
  <si>
    <t>By Local Educational Agency</t>
    <phoneticPr fontId="18" type="noConversion"/>
  </si>
  <si>
    <t>남부</t>
    <phoneticPr fontId="18" type="noConversion"/>
  </si>
  <si>
    <t>Nambu</t>
    <phoneticPr fontId="18" type="noConversion"/>
  </si>
  <si>
    <t>By District</t>
    <phoneticPr fontId="18" type="noConversion"/>
  </si>
  <si>
    <t>Public Officials in General Service</t>
    <phoneticPr fontId="4" type="noConversion"/>
  </si>
  <si>
    <t>5 급</t>
    <phoneticPr fontId="4" type="noConversion"/>
  </si>
  <si>
    <t>Public Officials
in Extraordinary
Civil Service</t>
    <phoneticPr fontId="4" type="noConversion"/>
  </si>
  <si>
    <t>만 19세 ~</t>
    <phoneticPr fontId="4" type="noConversion"/>
  </si>
  <si>
    <t>행 정 구 역 별  By District</t>
    <phoneticPr fontId="4" type="noConversion"/>
  </si>
  <si>
    <t>교과교실</t>
  </si>
  <si>
    <t>특별교실</t>
  </si>
  <si>
    <t>수준별교실</t>
  </si>
  <si>
    <t>일반교실</t>
    <phoneticPr fontId="4" type="noConversion"/>
  </si>
  <si>
    <t>Regular
Classrooms</t>
    <phoneticPr fontId="4" type="noConversion"/>
  </si>
  <si>
    <t>Subject
Classrooms</t>
    <phoneticPr fontId="4" type="noConversion"/>
  </si>
  <si>
    <t>Co-education</t>
    <phoneticPr fontId="4" type="noConversion"/>
  </si>
  <si>
    <t>Schools</t>
    <phoneticPr fontId="4" type="noConversion"/>
  </si>
  <si>
    <t>Classes</t>
    <phoneticPr fontId="4" type="noConversion"/>
  </si>
  <si>
    <t>Teachers</t>
    <phoneticPr fontId="4" type="noConversion"/>
  </si>
  <si>
    <t>Enrollment</t>
    <phoneticPr fontId="4" type="noConversion"/>
  </si>
  <si>
    <t>Special Subject
Classrooms</t>
    <phoneticPr fontId="4" type="noConversion"/>
  </si>
  <si>
    <t>학
교
수</t>
    <phoneticPr fontId="4" type="noConversion"/>
  </si>
  <si>
    <t>구분</t>
    <phoneticPr fontId="4" type="noConversion"/>
  </si>
  <si>
    <t>학업중단자</t>
    <phoneticPr fontId="4" type="noConversion"/>
  </si>
  <si>
    <t>Readmission
&amp; Transfer</t>
    <phoneticPr fontId="4" type="noConversion"/>
  </si>
  <si>
    <t>총계</t>
    <phoneticPr fontId="4" type="noConversion"/>
  </si>
  <si>
    <t xml:space="preserve">      2) 유학에는 미인정유학 및 인정유학이 포함됨</t>
    <phoneticPr fontId="4" type="noConversion"/>
  </si>
  <si>
    <t>  Public</t>
    <phoneticPr fontId="4" type="noConversion"/>
  </si>
  <si>
    <t>해외이주</t>
    <phoneticPr fontId="4" type="noConversion"/>
  </si>
  <si>
    <t>Less than 2 years</t>
    <phoneticPr fontId="4" type="noConversion"/>
  </si>
  <si>
    <t>총계(D)</t>
    <phoneticPr fontId="4" type="noConversion"/>
  </si>
  <si>
    <t>By Original Nationality of Parents</t>
    <phoneticPr fontId="4" type="noConversion"/>
  </si>
  <si>
    <t>China(Korean Descent)</t>
    <phoneticPr fontId="4" type="noConversion"/>
  </si>
  <si>
    <t xml:space="preserve">      2) 조선족은 중국(한국계)에 포함됨</t>
    <phoneticPr fontId="4" type="noConversion"/>
  </si>
  <si>
    <t xml:space="preserve">         2) Korean-Chinese is included in China(Korean Descent).</t>
    <phoneticPr fontId="4" type="noConversion"/>
  </si>
  <si>
    <t>외국인가정 자녀</t>
    <phoneticPr fontId="4" type="noConversion"/>
  </si>
  <si>
    <t>Foreign Family Children</t>
    <phoneticPr fontId="4" type="noConversion"/>
  </si>
  <si>
    <t>중국(한국계)</t>
  </si>
  <si>
    <t>취 업 자</t>
    <phoneticPr fontId="4" type="noConversion"/>
  </si>
  <si>
    <t>무 직 자
및  미 상</t>
    <phoneticPr fontId="4" type="noConversion"/>
  </si>
  <si>
    <t>Unemployed
&amp; Unknown</t>
    <phoneticPr fontId="4" type="noConversion"/>
  </si>
  <si>
    <t>Specialized
High School</t>
    <phoneticPr fontId="4" type="noConversion"/>
  </si>
  <si>
    <t>Autonomous
High School</t>
    <phoneticPr fontId="4" type="noConversion"/>
  </si>
  <si>
    <t>General
High School</t>
    <phoneticPr fontId="4" type="noConversion"/>
  </si>
  <si>
    <t>특 성 화 고</t>
    <phoneticPr fontId="4" type="noConversion"/>
  </si>
  <si>
    <t>주 : 1) (  )는 휴직교원수이며 전체수에 포함됨</t>
    <phoneticPr fontId="4" type="noConversion"/>
  </si>
  <si>
    <t>강 사</t>
    <phoneticPr fontId="4" type="noConversion"/>
  </si>
  <si>
    <t>1st Class Regular Teachers</t>
    <phoneticPr fontId="4" type="noConversion"/>
  </si>
  <si>
    <t>2nd Class Regular Teachers</t>
    <phoneticPr fontId="4" type="noConversion"/>
  </si>
  <si>
    <t>14년이상</t>
    <phoneticPr fontId="4" type="noConversion"/>
  </si>
  <si>
    <t>총 계</t>
    <phoneticPr fontId="18" type="noConversion"/>
  </si>
  <si>
    <t>사 회(국 사)</t>
    <phoneticPr fontId="4" type="noConversion"/>
  </si>
  <si>
    <t>Ethics</t>
    <phoneticPr fontId="4" type="noConversion"/>
  </si>
  <si>
    <t>합계</t>
    <phoneticPr fontId="4" type="noConversion"/>
  </si>
  <si>
    <t>도 외
전 입</t>
    <phoneticPr fontId="18" type="noConversion"/>
  </si>
  <si>
    <t>도 내
이 동</t>
    <phoneticPr fontId="4" type="noConversion"/>
  </si>
  <si>
    <t>출 산
휴 가</t>
    <phoneticPr fontId="18" type="noConversion"/>
  </si>
  <si>
    <t>주 : 기간제교사 및 강사는 제외됨</t>
    <phoneticPr fontId="18" type="noConversion"/>
  </si>
  <si>
    <t>German</t>
  </si>
  <si>
    <t>Chinese</t>
  </si>
  <si>
    <t>Japanese</t>
  </si>
  <si>
    <t>Technology</t>
  </si>
  <si>
    <t>인 쇄</t>
  </si>
  <si>
    <t>Designㆍ
Craft</t>
  </si>
  <si>
    <t>Construction</t>
  </si>
  <si>
    <t>Printing</t>
  </si>
  <si>
    <t>Earth
Science</t>
  </si>
  <si>
    <t>Ethics</t>
  </si>
  <si>
    <t>Physical
Education</t>
  </si>
  <si>
    <t>합계</t>
    <phoneticPr fontId="18" type="noConversion"/>
  </si>
  <si>
    <t>농장</t>
    <phoneticPr fontId="4" type="noConversion"/>
  </si>
  <si>
    <t>교수학습 공간</t>
    <phoneticPr fontId="18" type="noConversion"/>
  </si>
  <si>
    <t>지원 공간</t>
    <phoneticPr fontId="18" type="noConversion"/>
  </si>
  <si>
    <t>관리/행정 공간</t>
    <phoneticPr fontId="18" type="noConversion"/>
  </si>
  <si>
    <t>보건/위생 공간</t>
  </si>
  <si>
    <t>기타시설</t>
    <phoneticPr fontId="18" type="noConversion"/>
  </si>
  <si>
    <t>공유면적</t>
  </si>
  <si>
    <t>Classrooms</t>
    <phoneticPr fontId="18" type="noConversion"/>
  </si>
  <si>
    <t>Support Rooms</t>
    <phoneticPr fontId="18" type="noConversion"/>
  </si>
  <si>
    <t>기 숙 사</t>
    <phoneticPr fontId="18" type="noConversion"/>
  </si>
  <si>
    <t>사 택</t>
    <phoneticPr fontId="18" type="noConversion"/>
  </si>
  <si>
    <t>온 실</t>
    <phoneticPr fontId="18" type="noConversion"/>
  </si>
  <si>
    <t>Company Housing</t>
    <phoneticPr fontId="18" type="noConversion"/>
  </si>
  <si>
    <t>Glass House</t>
  </si>
  <si>
    <t>(단위:㎡) </t>
    <phoneticPr fontId="4" type="noConversion"/>
  </si>
  <si>
    <t>철근
콘크리트</t>
    <phoneticPr fontId="18" type="noConversion"/>
  </si>
  <si>
    <t>철골조</t>
    <phoneticPr fontId="18" type="noConversion"/>
  </si>
  <si>
    <t>벽돌/
블럭조</t>
    <phoneticPr fontId="18" type="noConversion"/>
  </si>
  <si>
    <t>석조</t>
    <phoneticPr fontId="18" type="noConversion"/>
  </si>
  <si>
    <t>목조</t>
    <phoneticPr fontId="18" type="noConversion"/>
  </si>
  <si>
    <t>기타</t>
    <phoneticPr fontId="18" type="noConversion"/>
  </si>
  <si>
    <t>철근
콘크리트</t>
  </si>
  <si>
    <t>철골조</t>
  </si>
  <si>
    <t>벽돌/
블럭조</t>
  </si>
  <si>
    <t>석조</t>
  </si>
  <si>
    <t>목조</t>
  </si>
  <si>
    <t>Reinforced Concrete</t>
    <phoneticPr fontId="18" type="noConversion"/>
  </si>
  <si>
    <t>Brick/
Block</t>
    <phoneticPr fontId="18" type="noConversion"/>
  </si>
  <si>
    <t>Stone</t>
    <phoneticPr fontId="18" type="noConversion"/>
  </si>
  <si>
    <t>Wooden</t>
    <phoneticPr fontId="18" type="noConversion"/>
  </si>
  <si>
    <t>Brick/
Block</t>
  </si>
  <si>
    <t>지원공간</t>
    <phoneticPr fontId="18" type="noConversion"/>
  </si>
  <si>
    <t xml:space="preserve"> Management &amp; Administration Rooms</t>
    <phoneticPr fontId="18" type="noConversion"/>
  </si>
  <si>
    <t>난 방</t>
    <phoneticPr fontId="18" type="noConversion"/>
  </si>
  <si>
    <t>신재생에너지</t>
    <phoneticPr fontId="18" type="noConversion"/>
  </si>
  <si>
    <t>바 닥 난 방</t>
    <phoneticPr fontId="18" type="noConversion"/>
  </si>
  <si>
    <t>Heating</t>
    <phoneticPr fontId="18" type="noConversion"/>
  </si>
  <si>
    <t>Cooling</t>
    <phoneticPr fontId="18" type="noConversion"/>
  </si>
  <si>
    <t>New &amp; Renewable
Energy</t>
    <phoneticPr fontId="18" type="noConversion"/>
  </si>
  <si>
    <t>Floor Heating</t>
    <phoneticPr fontId="18" type="noConversion"/>
  </si>
  <si>
    <t>지 역 난 방</t>
    <phoneticPr fontId="18" type="noConversion"/>
  </si>
  <si>
    <t>Central Heating</t>
    <phoneticPr fontId="18" type="noConversion"/>
  </si>
  <si>
    <t>District Heating</t>
    <phoneticPr fontId="18" type="noConversion"/>
  </si>
  <si>
    <t>소 계</t>
    <phoneticPr fontId="18" type="noConversion"/>
  </si>
  <si>
    <t>전 기</t>
    <phoneticPr fontId="18" type="noConversion"/>
  </si>
  <si>
    <t>Subtotal</t>
    <phoneticPr fontId="18" type="noConversion"/>
  </si>
  <si>
    <t>Electricity</t>
    <phoneticPr fontId="18" type="noConversion"/>
  </si>
  <si>
    <t>행 정 구 역 별  </t>
    <phoneticPr fontId="18" type="noConversion"/>
  </si>
  <si>
    <t>Clerical Staffs</t>
    <phoneticPr fontId="4" type="noConversion"/>
  </si>
  <si>
    <t>~ 만24세</t>
    <phoneticPr fontId="4" type="noConversion"/>
  </si>
  <si>
    <t>만63세 ~</t>
    <phoneticPr fontId="4" type="noConversion"/>
  </si>
  <si>
    <t>만62세</t>
    <phoneticPr fontId="4" type="noConversion"/>
  </si>
  <si>
    <t>만61세</t>
    <phoneticPr fontId="4" type="noConversion"/>
  </si>
  <si>
    <t>만60세</t>
    <phoneticPr fontId="4" type="noConversion"/>
  </si>
  <si>
    <t>만59세</t>
    <phoneticPr fontId="4" type="noConversion"/>
  </si>
  <si>
    <t>만58세</t>
    <phoneticPr fontId="4" type="noConversion"/>
  </si>
  <si>
    <t>만57세</t>
    <phoneticPr fontId="4" type="noConversion"/>
  </si>
  <si>
    <t>만56세</t>
    <phoneticPr fontId="4" type="noConversion"/>
  </si>
  <si>
    <t>만55세</t>
    <phoneticPr fontId="4" type="noConversion"/>
  </si>
  <si>
    <t>만25세 ~
만29세</t>
    <phoneticPr fontId="4" type="noConversion"/>
  </si>
  <si>
    <t>만30세 ~
만34세</t>
    <phoneticPr fontId="4" type="noConversion"/>
  </si>
  <si>
    <t>만35세 ~
만39세</t>
    <phoneticPr fontId="4" type="noConversion"/>
  </si>
  <si>
    <t>만40세 ~
만44세</t>
    <phoneticPr fontId="4" type="noConversion"/>
  </si>
  <si>
    <t>만45세 ~
만49세</t>
    <phoneticPr fontId="4" type="noConversion"/>
  </si>
  <si>
    <t>만50세 ~
만54세</t>
    <phoneticPr fontId="4" type="noConversion"/>
  </si>
  <si>
    <t>~100</t>
    <phoneticPr fontId="4" type="noConversion"/>
  </si>
  <si>
    <t>상수도
(톤)</t>
    <phoneticPr fontId="4" type="noConversion"/>
  </si>
  <si>
    <t>가 스
(㎥)</t>
    <phoneticPr fontId="4" type="noConversion"/>
  </si>
  <si>
    <t>유 류
(ℓ)</t>
    <phoneticPr fontId="4" type="noConversion"/>
  </si>
  <si>
    <t>탄 류
(kg)</t>
    <phoneticPr fontId="4" type="noConversion"/>
  </si>
  <si>
    <t>Midnight
Discounts</t>
    <phoneticPr fontId="4" type="noConversion"/>
  </si>
  <si>
    <t>Standard
Charges</t>
    <phoneticPr fontId="4" type="noConversion"/>
  </si>
  <si>
    <t>New &amp; Renewable
Energy</t>
    <phoneticPr fontId="4" type="noConversion"/>
  </si>
  <si>
    <t>Tea-
chers</t>
    <phoneticPr fontId="4" type="noConversion"/>
  </si>
  <si>
    <t>Class-
rooms</t>
    <phoneticPr fontId="4" type="noConversion"/>
  </si>
  <si>
    <t>Cla-
sses</t>
    <phoneticPr fontId="4" type="noConversion"/>
  </si>
  <si>
    <t>Stu-
dents</t>
    <phoneticPr fontId="4" type="noConversion"/>
  </si>
  <si>
    <t>Class 5</t>
    <phoneticPr fontId="4" type="noConversion"/>
  </si>
  <si>
    <t>국제결혼가정의 국내출생 자녀</t>
    <phoneticPr fontId="4" type="noConversion"/>
  </si>
  <si>
    <t>International Marriage Children of National Birth</t>
    <phoneticPr fontId="4" type="noConversion"/>
  </si>
  <si>
    <t>소계(A)</t>
    <phoneticPr fontId="4" type="noConversion"/>
  </si>
  <si>
    <t xml:space="preserve">부모출신국별 </t>
    <phoneticPr fontId="4" type="noConversion"/>
  </si>
  <si>
    <t xml:space="preserve">주 : 1) (D)=(A)+(B)+(C) </t>
    <phoneticPr fontId="4" type="noConversion"/>
  </si>
  <si>
    <t xml:space="preserve">주 : 1) (D)=(A)+(B)+(C) </t>
  </si>
  <si>
    <t xml:space="preserve">      2) 조선족은 중국(한국계)에 포함됨</t>
  </si>
  <si>
    <t xml:space="preserve">Note : 1) (D)=(A)+(B)+(C) </t>
    <phoneticPr fontId="4" type="noConversion"/>
  </si>
  <si>
    <t xml:space="preserve">Note : 1) (D)=(A)+(B)+(C) </t>
  </si>
  <si>
    <t>국제결혼가정의 중도입국 자녀</t>
    <phoneticPr fontId="4" type="noConversion"/>
  </si>
  <si>
    <t>International Marriage Children Immigrated</t>
    <phoneticPr fontId="4" type="noConversion"/>
  </si>
  <si>
    <t>소계(B)</t>
    <phoneticPr fontId="4" type="noConversion"/>
  </si>
  <si>
    <t>부모출신국별</t>
    <phoneticPr fontId="4" type="noConversion"/>
  </si>
  <si>
    <t>소계(C)</t>
    <phoneticPr fontId="4" type="noConversion"/>
  </si>
  <si>
    <t>(18)</t>
  </si>
  <si>
    <t>(10)</t>
  </si>
  <si>
    <t>(20)</t>
  </si>
  <si>
    <t>종 교</t>
  </si>
  <si>
    <t>Religion</t>
  </si>
  <si>
    <t>Integrated Science</t>
  </si>
  <si>
    <t>Integrated Social Studies</t>
  </si>
  <si>
    <t>일반전기
(kWh)</t>
    <phoneticPr fontId="4" type="noConversion"/>
  </si>
  <si>
    <t>심야전기
(kWh)</t>
    <phoneticPr fontId="4" type="noConversion"/>
  </si>
  <si>
    <t>신재생에너지
(kWh)</t>
    <phoneticPr fontId="4" type="noConversion"/>
  </si>
  <si>
    <t>단 식 학 급</t>
    <phoneticPr fontId="4" type="noConversion"/>
  </si>
  <si>
    <t>복 식 학 급</t>
    <phoneticPr fontId="4" type="noConversion"/>
  </si>
  <si>
    <t>특 수 학 급</t>
    <phoneticPr fontId="18" type="noConversion"/>
  </si>
  <si>
    <t>Special Classes</t>
    <phoneticPr fontId="18" type="noConversion"/>
  </si>
  <si>
    <t>1학년</t>
    <phoneticPr fontId="18" type="noConversion"/>
  </si>
  <si>
    <t>학급수</t>
    <phoneticPr fontId="4" type="noConversion"/>
  </si>
  <si>
    <t>학생수</t>
    <phoneticPr fontId="4" type="noConversion"/>
  </si>
  <si>
    <t>Students</t>
    <phoneticPr fontId="4" type="noConversion"/>
  </si>
  <si>
    <t>통합과학</t>
  </si>
  <si>
    <t>지구과학</t>
  </si>
  <si>
    <t>통합사회</t>
  </si>
  <si>
    <t>일반사회</t>
  </si>
  <si>
    <t>Korean
Language</t>
  </si>
  <si>
    <t>Social 
Studies</t>
  </si>
  <si>
    <t>National Teacher College Graduates</t>
    <phoneticPr fontId="18" type="noConversion"/>
  </si>
  <si>
    <t>Private Teacher College Graduates</t>
    <phoneticPr fontId="18" type="noConversion"/>
  </si>
  <si>
    <t>Those Who Passed a Certificate Exam</t>
    <phoneticPr fontId="4" type="noConversion"/>
  </si>
  <si>
    <t>기타자격증</t>
  </si>
  <si>
    <t>Other Certificate</t>
  </si>
  <si>
    <t>정보ㆍ
컴퓨터</t>
  </si>
  <si>
    <t>Teaching Certificate for Training Teacher</t>
  </si>
  <si>
    <t>Home 
Economics</t>
  </si>
  <si>
    <t>Certificate for School Counselor</t>
  </si>
  <si>
    <t>Certificate for School Librarian Teacher</t>
  </si>
  <si>
    <t>Certificate for School Health Teacher</t>
  </si>
  <si>
    <t>Certificate for School Nutrition Teacher</t>
  </si>
  <si>
    <t>중등교사 자격증</t>
    <phoneticPr fontId="18" type="noConversion"/>
  </si>
  <si>
    <t>Teaching Certificate for Secondary School Teacher</t>
    <phoneticPr fontId="18" type="noConversion"/>
  </si>
  <si>
    <t>교 육 청 별</t>
    <phoneticPr fontId="18" type="noConversion"/>
  </si>
  <si>
    <t>기술ㆍ
가정</t>
  </si>
  <si>
    <t>식품
가공</t>
  </si>
  <si>
    <t>디자인ㆍ공예</t>
  </si>
  <si>
    <t>TechnologyㆍHome 
Economics</t>
  </si>
  <si>
    <t>Food 
Processing</t>
  </si>
  <si>
    <t>Electricalㆍ
Electronicㆍ
Communication
 Engineering</t>
  </si>
  <si>
    <t>Electrical</t>
  </si>
  <si>
    <t>독일어</t>
    <phoneticPr fontId="18" type="noConversion"/>
  </si>
  <si>
    <t>중국어</t>
    <phoneticPr fontId="18" type="noConversion"/>
  </si>
  <si>
    <t>일본어</t>
    <phoneticPr fontId="18" type="noConversion"/>
  </si>
  <si>
    <t>기 계</t>
  </si>
  <si>
    <t>화 공</t>
  </si>
  <si>
    <t>상 업</t>
  </si>
  <si>
    <t>Mechanical &amp; Metallurgical Engineering</t>
  </si>
  <si>
    <t>Mechanical Engineering</t>
  </si>
  <si>
    <t>Chemical Engineering &amp; Textile</t>
  </si>
  <si>
    <t>Chemical Engineering</t>
  </si>
  <si>
    <t>Environmental Engineering</t>
  </si>
  <si>
    <t>Commerce</t>
  </si>
  <si>
    <t>FisheryㆍMarine</t>
  </si>
  <si>
    <t>기계ㆍ
금속</t>
    <phoneticPr fontId="4" type="noConversion"/>
  </si>
  <si>
    <t>화공ㆍ
섬유</t>
    <phoneticPr fontId="4" type="noConversion"/>
  </si>
  <si>
    <t>수산ㆍ
해양</t>
    <phoneticPr fontId="4" type="noConversion"/>
  </si>
  <si>
    <t>전문상담
교사</t>
    <phoneticPr fontId="4" type="noConversion"/>
  </si>
  <si>
    <t>특수교사
자격증</t>
    <phoneticPr fontId="18" type="noConversion"/>
  </si>
  <si>
    <t>실기교사
자격증</t>
    <phoneticPr fontId="4" type="noConversion"/>
  </si>
  <si>
    <t>Geography</t>
    <phoneticPr fontId="18" type="noConversion"/>
  </si>
  <si>
    <t>중등교사 자격증</t>
    <phoneticPr fontId="4" type="noConversion"/>
  </si>
  <si>
    <t>   공립</t>
    <phoneticPr fontId="18" type="noConversion"/>
  </si>
  <si>
    <t>  Public</t>
    <phoneticPr fontId="18" type="noConversion"/>
  </si>
  <si>
    <t>   사립</t>
    <phoneticPr fontId="18" type="noConversion"/>
  </si>
  <si>
    <t>  Private</t>
    <phoneticPr fontId="18" type="noConversion"/>
  </si>
  <si>
    <t>특수교사
자격증</t>
    <phoneticPr fontId="4" type="noConversion"/>
  </si>
  <si>
    <t>Teaching Certificate for Secondary School Teacher</t>
    <phoneticPr fontId="4" type="noConversion"/>
  </si>
  <si>
    <t>Teaching Certificate for Special Education Teacher</t>
  </si>
  <si>
    <t> By District</t>
    <phoneticPr fontId="18" type="noConversion"/>
  </si>
  <si>
    <t>영 어</t>
    <phoneticPr fontId="18" type="noConversion"/>
  </si>
  <si>
    <t>2학년</t>
    <phoneticPr fontId="18" type="noConversion"/>
  </si>
  <si>
    <t>3학년</t>
    <phoneticPr fontId="18" type="noConversion"/>
  </si>
  <si>
    <t>Mathematics</t>
    <phoneticPr fontId="18" type="noConversion"/>
  </si>
  <si>
    <t>7th Grade</t>
    <phoneticPr fontId="18" type="noConversion"/>
  </si>
  <si>
    <t>8th Grade</t>
    <phoneticPr fontId="18" type="noConversion"/>
  </si>
  <si>
    <t>9th Grade</t>
    <phoneticPr fontId="18" type="noConversion"/>
  </si>
  <si>
    <t>4 - 34. 직 원 수</t>
    <phoneticPr fontId="4" type="noConversion"/>
  </si>
  <si>
    <t>4 - 33. 컴 퓨 터 보 유 현 황</t>
    <phoneticPr fontId="4" type="noConversion"/>
  </si>
  <si>
    <t>4 - 32. 냉 난 방 면 적</t>
    <phoneticPr fontId="18" type="noConversion"/>
  </si>
  <si>
    <t>4 - 32. Cooling &amp; Heating Areas</t>
    <phoneticPr fontId="4" type="noConversion"/>
  </si>
  <si>
    <t>4 - 31. 에 너 지 사 용 량  </t>
    <phoneticPr fontId="4" type="noConversion"/>
  </si>
  <si>
    <t>4 - 30. 구 조 별 건 물 동 수  </t>
    <phoneticPr fontId="4" type="noConversion"/>
  </si>
  <si>
    <t>4 - 29. 구 조 별 건 물 면 적 (2)</t>
    <phoneticPr fontId="18" type="noConversion"/>
  </si>
  <si>
    <t>4 - 29. 구 조 별 건 물 면 적 (1)</t>
    <phoneticPr fontId="18" type="noConversion"/>
  </si>
  <si>
    <t>4 - 28. Areas by Usage</t>
    <phoneticPr fontId="18" type="noConversion"/>
  </si>
  <si>
    <t>4 - 28. 용 도 별 교 사 면 적</t>
    <phoneticPr fontId="18" type="noConversion"/>
  </si>
  <si>
    <t>4 - 27. School Site</t>
    <phoneticPr fontId="4" type="noConversion"/>
  </si>
  <si>
    <t>4 - 27. 학 교 용 지</t>
    <phoneticPr fontId="4" type="noConversion"/>
  </si>
  <si>
    <t>4 - 26. Retired Teachers by Certified Subjects (2)</t>
    <phoneticPr fontId="18" type="noConversion"/>
  </si>
  <si>
    <t>4 - 26. 자 격 증 과 목 별 퇴 직 교 원 수 (2)</t>
    <phoneticPr fontId="4" type="noConversion"/>
  </si>
  <si>
    <t>4 - 26. Retired Teachers by Certified Subjects (1)</t>
    <phoneticPr fontId="4" type="noConversion"/>
  </si>
  <si>
    <t>4 - 26. 자 격 증 과 목 별 퇴 직 교 원 수 (1)</t>
    <phoneticPr fontId="4" type="noConversion"/>
  </si>
  <si>
    <t>4 - 25. Teachers by Educational Backgrounds &amp; Certified Subjects (3)</t>
    <phoneticPr fontId="4" type="noConversion"/>
  </si>
  <si>
    <t>4 - 25. 출 신 별 자 격 증 과 목 별 교 원 수 (3)</t>
    <phoneticPr fontId="4" type="noConversion"/>
  </si>
  <si>
    <t>4 - 25. 출 신 별 자 격 증 과 목 별 교 원 수 (2)</t>
    <phoneticPr fontId="4" type="noConversion"/>
  </si>
  <si>
    <t>4 - 24. Annual Turnover of Teachers</t>
    <phoneticPr fontId="4" type="noConversion"/>
  </si>
  <si>
    <t>4 - 24. 교 원 변 동 상 황</t>
    <phoneticPr fontId="4" type="noConversion"/>
  </si>
  <si>
    <t>4 - 23. Teachers by Pay Grades (2)</t>
    <phoneticPr fontId="4" type="noConversion"/>
  </si>
  <si>
    <t>4 - 23. 호 봉 별 교 원 수 (2)</t>
    <phoneticPr fontId="4" type="noConversion"/>
  </si>
  <si>
    <t>4 - 23. Teachers by Pay Grades (1)</t>
    <phoneticPr fontId="4" type="noConversion"/>
  </si>
  <si>
    <t>4 - 23. 호 봉 별 교 원 수 (1)</t>
    <phoneticPr fontId="4" type="noConversion"/>
  </si>
  <si>
    <t>4 - 22. Teachers by Teaching Hours per Week</t>
    <phoneticPr fontId="4" type="noConversion"/>
  </si>
  <si>
    <t>4 - 21. Teachers by Age</t>
    <phoneticPr fontId="4" type="noConversion"/>
  </si>
  <si>
    <t>4 - 21. 연 령 별 교 원 수</t>
    <phoneticPr fontId="4" type="noConversion"/>
  </si>
  <si>
    <t>4 - 20. Teachers by Teaching Subjects</t>
    <phoneticPr fontId="4" type="noConversion"/>
  </si>
  <si>
    <t>4 - 20. 담 당 교 과 목 별 교 원 수</t>
    <phoneticPr fontId="4" type="noConversion"/>
  </si>
  <si>
    <t>4 - 19. 소 지 자 격 별 연 수 이 수 교 원 수</t>
    <phoneticPr fontId="18" type="noConversion"/>
  </si>
  <si>
    <t>4 - 18. Teachers by the Number of Years Passed After Acquiring Certification</t>
    <phoneticPr fontId="4" type="noConversion"/>
  </si>
  <si>
    <t>4 - 17. Teachers by Teaching Experience</t>
    <phoneticPr fontId="4" type="noConversion"/>
  </si>
  <si>
    <t>4 - 15. Teachers by Position (2)</t>
    <phoneticPr fontId="4" type="noConversion"/>
  </si>
  <si>
    <t>4 - 15. 직 위 별 교 원 수 (2)</t>
    <phoneticPr fontId="4" type="noConversion"/>
  </si>
  <si>
    <t>4 - 15. Teachers by Position (1)</t>
    <phoneticPr fontId="4" type="noConversion"/>
  </si>
  <si>
    <t>4 - 15. 직 위 별 교 원 수 (1)</t>
    <phoneticPr fontId="4" type="noConversion"/>
  </si>
  <si>
    <t>4 - 14. The Situation after Graduating</t>
    <phoneticPr fontId="4" type="noConversion"/>
  </si>
  <si>
    <t xml:space="preserve">4 - 14. 졸 업 후 상 황 </t>
    <phoneticPr fontId="4" type="noConversion"/>
  </si>
  <si>
    <t>4 - 13. Admission of Freshmen  </t>
    <phoneticPr fontId="4" type="noConversion"/>
  </si>
  <si>
    <t>4 - 13. 입 학 상 황  </t>
    <phoneticPr fontId="4" type="noConversion"/>
  </si>
  <si>
    <t>4 - 12. Multicultural Students (3)</t>
    <phoneticPr fontId="4" type="noConversion"/>
  </si>
  <si>
    <t>4 - 12. 다 문 화 학 생 현 황 (3)</t>
    <phoneticPr fontId="4" type="noConversion"/>
  </si>
  <si>
    <t>4 - 12. Multicultural Students (2)</t>
    <phoneticPr fontId="4" type="noConversion"/>
  </si>
  <si>
    <t>4 - 12. 다 문 화 학 생 현 황 (2)</t>
    <phoneticPr fontId="4" type="noConversion"/>
  </si>
  <si>
    <t>4 - 12. Multicultural Students (1)</t>
    <phoneticPr fontId="4" type="noConversion"/>
  </si>
  <si>
    <t>4 - 12. 다 문 화 학 생 현 황 (1)</t>
    <phoneticPr fontId="4" type="noConversion"/>
  </si>
  <si>
    <t xml:space="preserve">4 - 11. Returnee (2) </t>
    <phoneticPr fontId="4" type="noConversion"/>
  </si>
  <si>
    <t xml:space="preserve">4 - 11. 귀 국 현 황 (2) </t>
    <phoneticPr fontId="4" type="noConversion"/>
  </si>
  <si>
    <t>4 - 11. Returnee (1)</t>
    <phoneticPr fontId="4" type="noConversion"/>
  </si>
  <si>
    <t>4 - 11. 귀 국 현 황 (1)</t>
    <phoneticPr fontId="4" type="noConversion"/>
  </si>
  <si>
    <t xml:space="preserve">4 - 10. Studying Abroad </t>
    <phoneticPr fontId="4" type="noConversion"/>
  </si>
  <si>
    <t xml:space="preserve">4 - 10. 유 학 현 황 
</t>
    <phoneticPr fontId="4" type="noConversion"/>
  </si>
  <si>
    <t>4 - 9. 학 업 중 단 학 생 현 황</t>
    <phoneticPr fontId="4" type="noConversion"/>
  </si>
  <si>
    <t>4 - 8. Annual Turnover of Students</t>
    <phoneticPr fontId="4" type="noConversion"/>
  </si>
  <si>
    <t>4 - 8. 학 생 변 동 상 황</t>
    <phoneticPr fontId="4" type="noConversion"/>
  </si>
  <si>
    <t>학생용 컴퓨터</t>
    <phoneticPr fontId="4" type="noConversion"/>
  </si>
  <si>
    <t>직원용 컴퓨터</t>
    <phoneticPr fontId="4" type="noConversion"/>
  </si>
  <si>
    <t>4 - 6. 학 년 별 학 급 수 및 학 생 수</t>
    <phoneticPr fontId="18" type="noConversion"/>
  </si>
  <si>
    <t>4 - 6. Students &amp; Classes by Grades</t>
    <phoneticPr fontId="4" type="noConversion"/>
  </si>
  <si>
    <t>4 - 7. 학 년 및 연 령 별 학 생 수</t>
    <phoneticPr fontId="4" type="noConversion"/>
  </si>
  <si>
    <t>4 - 7. Students by Grades &amp; Age</t>
    <phoneticPr fontId="4" type="noConversion"/>
  </si>
  <si>
    <t>Middle School   215</t>
    <phoneticPr fontId="4" type="noConversion"/>
  </si>
  <si>
    <t>216   중학교 </t>
    <phoneticPr fontId="4" type="noConversion"/>
  </si>
  <si>
    <t>Middle School   217</t>
    <phoneticPr fontId="4" type="noConversion"/>
  </si>
  <si>
    <t>Middle School   227</t>
    <phoneticPr fontId="4" type="noConversion"/>
  </si>
  <si>
    <t>Middle School   241</t>
    <phoneticPr fontId="4" type="noConversion"/>
  </si>
  <si>
    <t>242   중학교 </t>
    <phoneticPr fontId="4" type="noConversion"/>
  </si>
  <si>
    <t>Middle School   245</t>
    <phoneticPr fontId="4" type="noConversion"/>
  </si>
  <si>
    <t>248   중학교 </t>
    <phoneticPr fontId="4" type="noConversion"/>
  </si>
  <si>
    <t>256   중학교 </t>
    <phoneticPr fontId="4" type="noConversion"/>
  </si>
  <si>
    <t>264   중학교 </t>
    <phoneticPr fontId="4" type="noConversion"/>
  </si>
  <si>
    <t>266   중학교 </t>
    <phoneticPr fontId="4" type="noConversion"/>
  </si>
  <si>
    <t>미추홀구</t>
  </si>
  <si>
    <t>Michuhol-gu</t>
  </si>
  <si>
    <t xml:space="preserve">  사립</t>
  </si>
  <si>
    <t xml:space="preserve">  Private</t>
  </si>
  <si>
    <t xml:space="preserve">  공립</t>
    <phoneticPr fontId="4" type="noConversion"/>
  </si>
  <si>
    <t xml:space="preserve">  사립</t>
    <phoneticPr fontId="4" type="noConversion"/>
  </si>
  <si>
    <t>항해ㆍ기관</t>
  </si>
  <si>
    <t>냉 동</t>
  </si>
  <si>
    <t>NavigationㆍShip Engineering</t>
  </si>
  <si>
    <t>Refrigeration</t>
  </si>
  <si>
    <t>Girls</t>
    <phoneticPr fontId="4" type="noConversion"/>
  </si>
  <si>
    <t>중등교사자격증</t>
    <phoneticPr fontId="4" type="noConversion"/>
  </si>
  <si>
    <t>260   중학교 </t>
    <phoneticPr fontId="4" type="noConversion"/>
  </si>
  <si>
    <t>Middle School   261</t>
    <phoneticPr fontId="4" type="noConversion"/>
  </si>
  <si>
    <t>262   중학교 </t>
    <phoneticPr fontId="4" type="noConversion"/>
  </si>
  <si>
    <t>Middle School   273</t>
    <phoneticPr fontId="18" type="noConversion"/>
  </si>
  <si>
    <t>Middle School   277</t>
    <phoneticPr fontId="18" type="noConversion"/>
  </si>
  <si>
    <t>286   중학교 </t>
    <phoneticPr fontId="4" type="noConversion"/>
  </si>
  <si>
    <t>19 ~20</t>
    <phoneticPr fontId="4" type="noConversion"/>
  </si>
  <si>
    <t>21 ~23</t>
    <phoneticPr fontId="4" type="noConversion"/>
  </si>
  <si>
    <t>24 ~26</t>
    <phoneticPr fontId="4" type="noConversion"/>
  </si>
  <si>
    <t>27 ~29</t>
    <phoneticPr fontId="4" type="noConversion"/>
  </si>
  <si>
    <t>30 ~32</t>
    <phoneticPr fontId="4" type="noConversion"/>
  </si>
  <si>
    <t>33 ~35</t>
    <phoneticPr fontId="4" type="noConversion"/>
  </si>
  <si>
    <t>36 ~38</t>
    <phoneticPr fontId="4" type="noConversion"/>
  </si>
  <si>
    <t>39 ~41</t>
    <phoneticPr fontId="4" type="noConversion"/>
  </si>
  <si>
    <t>42 ~44</t>
    <phoneticPr fontId="4" type="noConversion"/>
  </si>
  <si>
    <t>(15)</t>
  </si>
  <si>
    <t>Assistant Teachers</t>
    <phoneticPr fontId="4" type="noConversion"/>
  </si>
  <si>
    <t xml:space="preserve">    Public</t>
    <phoneticPr fontId="4" type="noConversion"/>
  </si>
  <si>
    <t xml:space="preserve">    공립</t>
    <phoneticPr fontId="4" type="noConversion"/>
  </si>
  <si>
    <t xml:space="preserve">   Public</t>
    <phoneticPr fontId="4" type="noConversion"/>
  </si>
  <si>
    <t>(26)</t>
  </si>
  <si>
    <t>디자인</t>
  </si>
  <si>
    <t>Design</t>
  </si>
  <si>
    <t>미 용</t>
  </si>
  <si>
    <t>DramaㆍMovie</t>
  </si>
  <si>
    <t>Cosmetology</t>
    <phoneticPr fontId="4" type="noConversion"/>
  </si>
  <si>
    <t>연극ㆍ영화</t>
    <phoneticPr fontId="4" type="noConversion"/>
  </si>
  <si>
    <t>전기ㆍ전자
ㆍ통신</t>
    <phoneticPr fontId="18" type="noConversion"/>
  </si>
  <si>
    <t>중등교사 자격증</t>
  </si>
  <si>
    <t>Teaching Certificate for Secondary School Teacher</t>
  </si>
  <si>
    <t>Mechanical &amp; Metallurgical Engineering</t>
    <phoneticPr fontId="18" type="noConversion"/>
  </si>
  <si>
    <t>Electricalㆍ
Electronicㆍ
Communication
 Engineering</t>
    <phoneticPr fontId="18" type="noConversion"/>
  </si>
  <si>
    <t>기계ㆍ   금속</t>
    <phoneticPr fontId="18" type="noConversion"/>
  </si>
  <si>
    <t>화공ㆍ    섬유</t>
    <phoneticPr fontId="18" type="noConversion"/>
  </si>
  <si>
    <t xml:space="preserve">40년 이상 </t>
    <phoneticPr fontId="4" type="noConversion"/>
  </si>
  <si>
    <t>40 years and more</t>
    <phoneticPr fontId="4" type="noConversion"/>
  </si>
  <si>
    <t>214   중학교 </t>
    <phoneticPr fontId="4" type="noConversion"/>
  </si>
  <si>
    <t>218   중학교 </t>
    <phoneticPr fontId="4" type="noConversion"/>
  </si>
  <si>
    <t>Middle School   219</t>
    <phoneticPr fontId="4" type="noConversion"/>
  </si>
  <si>
    <t>220   중학교 </t>
    <phoneticPr fontId="4" type="noConversion"/>
  </si>
  <si>
    <t>Middle School   221</t>
    <phoneticPr fontId="4" type="noConversion"/>
  </si>
  <si>
    <t>222   중학교 </t>
    <phoneticPr fontId="4" type="noConversion"/>
  </si>
  <si>
    <t>Middle School   223</t>
    <phoneticPr fontId="4" type="noConversion"/>
  </si>
  <si>
    <t>224   중학교 </t>
    <phoneticPr fontId="4" type="noConversion"/>
  </si>
  <si>
    <t>Middle School   225</t>
    <phoneticPr fontId="4" type="noConversion"/>
  </si>
  <si>
    <t>Middle School   229</t>
    <phoneticPr fontId="4" type="noConversion"/>
  </si>
  <si>
    <t>230   중학교 </t>
    <phoneticPr fontId="4" type="noConversion"/>
  </si>
  <si>
    <t>Middle School   231</t>
    <phoneticPr fontId="4" type="noConversion"/>
  </si>
  <si>
    <t>234   중학교</t>
    <phoneticPr fontId="4" type="noConversion"/>
  </si>
  <si>
    <t>236   중학교</t>
    <phoneticPr fontId="4" type="noConversion"/>
  </si>
  <si>
    <t>Middle School   237</t>
    <phoneticPr fontId="4" type="noConversion"/>
  </si>
  <si>
    <t>240   중학교 </t>
    <phoneticPr fontId="4" type="noConversion"/>
  </si>
  <si>
    <t>Middle School   243</t>
    <phoneticPr fontId="4" type="noConversion"/>
  </si>
  <si>
    <t>244   중학교 </t>
    <phoneticPr fontId="4" type="noConversion"/>
  </si>
  <si>
    <t>246   중학교 </t>
    <phoneticPr fontId="4" type="noConversion"/>
  </si>
  <si>
    <t>250   중학교 </t>
    <phoneticPr fontId="4" type="noConversion"/>
  </si>
  <si>
    <t>Middle School   251</t>
    <phoneticPr fontId="4" type="noConversion"/>
  </si>
  <si>
    <t>252   중학교 </t>
    <phoneticPr fontId="4" type="noConversion"/>
  </si>
  <si>
    <t>Middle School   257</t>
    <phoneticPr fontId="4" type="noConversion"/>
  </si>
  <si>
    <t>258   중학교 </t>
    <phoneticPr fontId="4" type="noConversion"/>
  </si>
  <si>
    <t>Middle School   259</t>
    <phoneticPr fontId="4" type="noConversion"/>
  </si>
  <si>
    <t>Middle School   263</t>
    <phoneticPr fontId="4" type="noConversion"/>
  </si>
  <si>
    <t>Middle School   265</t>
    <phoneticPr fontId="4" type="noConversion"/>
  </si>
  <si>
    <t>Middle School   267</t>
    <phoneticPr fontId="4" type="noConversion"/>
  </si>
  <si>
    <t>268   중학교 </t>
    <phoneticPr fontId="4" type="noConversion"/>
  </si>
  <si>
    <t>Middle School   269</t>
    <phoneticPr fontId="4" type="noConversion"/>
  </si>
  <si>
    <t>270   중학교 </t>
    <phoneticPr fontId="4" type="noConversion"/>
  </si>
  <si>
    <t>274   중학교 </t>
    <phoneticPr fontId="18" type="noConversion"/>
  </si>
  <si>
    <t>Middle School   275</t>
    <phoneticPr fontId="18" type="noConversion"/>
  </si>
  <si>
    <t>진로진학
상담</t>
    <phoneticPr fontId="18" type="noConversion"/>
  </si>
  <si>
    <t>276   중학교 </t>
    <phoneticPr fontId="18" type="noConversion"/>
  </si>
  <si>
    <t>Middle School   285</t>
    <phoneticPr fontId="4" type="noConversion"/>
  </si>
  <si>
    <t>Middle School   289</t>
    <phoneticPr fontId="4" type="noConversion"/>
  </si>
  <si>
    <t>Middle School   291</t>
    <phoneticPr fontId="4" type="noConversion"/>
  </si>
  <si>
    <t>292   중학교 </t>
    <phoneticPr fontId="4" type="noConversion"/>
  </si>
  <si>
    <t>294   중학교 </t>
    <phoneticPr fontId="4" type="noConversion"/>
  </si>
  <si>
    <t>Middle School   235</t>
    <phoneticPr fontId="4" type="noConversion"/>
  </si>
  <si>
    <t>Middle School   253</t>
    <phoneticPr fontId="4" type="noConversion"/>
  </si>
  <si>
    <t>Philosophy</t>
    <phoneticPr fontId="18" type="noConversion"/>
  </si>
  <si>
    <t>취학</t>
    <phoneticPr fontId="4" type="noConversion"/>
  </si>
  <si>
    <t>Admission</t>
    <phoneticPr fontId="4" type="noConversion"/>
  </si>
  <si>
    <t>캄보디아</t>
  </si>
  <si>
    <t>Cambodia</t>
  </si>
  <si>
    <t>러시아 및
중앙아시아
(한국계)</t>
  </si>
  <si>
    <t>Russia and Central Asia(Korean Descent)</t>
  </si>
  <si>
    <t>Middle East</t>
  </si>
  <si>
    <t xml:space="preserve">      3) 고려인은 러시아 및 중앙아시아(한국계)에 포함됨.</t>
    <phoneticPr fontId="4" type="noConversion"/>
  </si>
  <si>
    <t xml:space="preserve">         3) Koryo-saram is included in Russia and Central Asia(Korean Descent)</t>
    <phoneticPr fontId="4" type="noConversion"/>
  </si>
  <si>
    <t>(-)</t>
  </si>
  <si>
    <t>(30)</t>
  </si>
  <si>
    <t>주 : 무자격교원은 `기타`에 포함됨.</t>
  </si>
  <si>
    <t>주 : 무자격교원은 `기타`에 포함됨.</t>
    <phoneticPr fontId="4" type="noConversion"/>
  </si>
  <si>
    <t>Note : Unqualified teachers are included in `Others`.</t>
    <phoneticPr fontId="4" type="noConversion"/>
  </si>
  <si>
    <t>(11)</t>
  </si>
  <si>
    <t>의원면직</t>
  </si>
  <si>
    <t>가 사</t>
  </si>
  <si>
    <t>유 학</t>
  </si>
  <si>
    <t>Studying
Abroad</t>
  </si>
  <si>
    <t>상 담</t>
  </si>
  <si>
    <t>French</t>
  </si>
  <si>
    <t>식물자원
ㆍ조경</t>
    <phoneticPr fontId="18" type="noConversion"/>
  </si>
  <si>
    <t>세라믹</t>
  </si>
  <si>
    <t>Ceramic</t>
  </si>
  <si>
    <t>주 : 냉방, 신재생에너지, 바닥난방의 면적은 총계에 불포함.</t>
    <phoneticPr fontId="4" type="noConversion"/>
  </si>
  <si>
    <t xml:space="preserve"> Note : Cooling, New &amp; Renewable Energy and Floor Heating areas are not included in the total number of areas. </t>
    <phoneticPr fontId="4" type="noConversion"/>
  </si>
  <si>
    <t>별 정 직</t>
    <phoneticPr fontId="4" type="noConversion"/>
  </si>
  <si>
    <t>45 ~</t>
    <phoneticPr fontId="4" type="noConversion"/>
  </si>
  <si>
    <t>45 and more</t>
    <phoneticPr fontId="4" type="noConversion"/>
  </si>
  <si>
    <t>1201~</t>
    <phoneticPr fontId="4" type="noConversion"/>
  </si>
  <si>
    <t>1201 and more</t>
    <phoneticPr fontId="4" type="noConversion"/>
  </si>
  <si>
    <t>36 ~</t>
    <phoneticPr fontId="4" type="noConversion"/>
  </si>
  <si>
    <t>36 and more</t>
    <phoneticPr fontId="4" type="noConversion"/>
  </si>
  <si>
    <t>28 hours and more</t>
    <phoneticPr fontId="4" type="noConversion"/>
  </si>
  <si>
    <t>프랑스어</t>
    <phoneticPr fontId="18" type="noConversion"/>
  </si>
  <si>
    <t>280   중학교 </t>
    <phoneticPr fontId="4" type="noConversion"/>
  </si>
  <si>
    <t>4 - 9. Postponed &amp; Exempted Students</t>
    <phoneticPr fontId="4" type="noConversion"/>
  </si>
  <si>
    <t>4 - 19. Teachers by the Hours of Training Completion</t>
    <phoneticPr fontId="18" type="noConversion"/>
  </si>
  <si>
    <t>Voluntary Dismissal</t>
    <phoneticPr fontId="18" type="noConversion"/>
  </si>
  <si>
    <t>~ 20</t>
    <phoneticPr fontId="4" type="noConversion"/>
  </si>
  <si>
    <t>21 ~25</t>
    <phoneticPr fontId="4" type="noConversion"/>
  </si>
  <si>
    <t>26 ~ 30</t>
    <phoneticPr fontId="4" type="noConversion"/>
  </si>
  <si>
    <t>주 : 대안교육기관진학(학력미인정)은 `무직자 및 미상`에 포함됨.</t>
    <phoneticPr fontId="4" type="noConversion"/>
  </si>
  <si>
    <t>주: 1) 현직에 있는 교장, 교감은 '기타'에 포함됨</t>
    <phoneticPr fontId="4" type="noConversion"/>
  </si>
  <si>
    <t>Note : Temporary Instructors and Part-Time Teachers are excluded.</t>
    <phoneticPr fontId="18" type="noConversion"/>
  </si>
  <si>
    <t>Ethics</t>
    <phoneticPr fontId="18" type="noConversion"/>
  </si>
  <si>
    <t>도덕ㆍ윤리</t>
    <phoneticPr fontId="18" type="noConversion"/>
  </si>
  <si>
    <t>Teaching Certificate for Special Education Teacher</t>
    <phoneticPr fontId="4" type="noConversion"/>
  </si>
  <si>
    <t>Classification</t>
    <phoneticPr fontId="18" type="noConversion"/>
  </si>
  <si>
    <t>전기</t>
    <phoneticPr fontId="18" type="noConversion"/>
  </si>
  <si>
    <t>Electrical</t>
    <phoneticPr fontId="18" type="noConversion"/>
  </si>
  <si>
    <t>(단위:동) </t>
    <phoneticPr fontId="4" type="noConversion"/>
  </si>
  <si>
    <t>태블릿</t>
  </si>
  <si>
    <t>Tablet</t>
  </si>
  <si>
    <t>주 : 클라우드 PC, 스틱 PC는 `기타`에 포함됨.</t>
    <phoneticPr fontId="4" type="noConversion"/>
  </si>
  <si>
    <t>주 : 특수학급에는 순회학급이 포함되며, ()는 순회학급 수치임.</t>
    <phoneticPr fontId="18" type="noConversion"/>
  </si>
  <si>
    <t>Note : Itinerant classes are included in Special classes, and ( ) is the number of itinerant classes.</t>
    <phoneticPr fontId="18" type="noConversion"/>
  </si>
  <si>
    <t>주 : 1) 유럽 : 영국, 프랑스, 독일, 스페인, 러시아 / 동남아 : 필리핀, 태국, 싱가포르, 인도, 인도네시아, 말레이시아, 베트남, 그 외.</t>
    <phoneticPr fontId="4" type="noConversion"/>
  </si>
  <si>
    <t>(50)</t>
  </si>
  <si>
    <t>(21)</t>
  </si>
  <si>
    <t>4 - 33. The Current Status of Possessed Computer</t>
    <phoneticPr fontId="4" type="noConversion"/>
  </si>
  <si>
    <t>Middle School   295</t>
    <phoneticPr fontId="4" type="noConversion"/>
  </si>
  <si>
    <t>Jung-gu</t>
    <phoneticPr fontId="18" type="noConversion"/>
  </si>
  <si>
    <t>Dong-gu</t>
    <phoneticPr fontId="18" type="noConversion"/>
  </si>
  <si>
    <t>Michuhol-gu</t>
    <phoneticPr fontId="18" type="noConversion"/>
  </si>
  <si>
    <t>Yeonsu-gu</t>
    <phoneticPr fontId="18" type="noConversion"/>
  </si>
  <si>
    <t>Namdong-gu</t>
    <phoneticPr fontId="18" type="noConversion"/>
  </si>
  <si>
    <t>Bupyeong-gu</t>
    <phoneticPr fontId="18" type="noConversion"/>
  </si>
  <si>
    <t>Gyeyang-gu</t>
    <phoneticPr fontId="18" type="noConversion"/>
  </si>
  <si>
    <t>Seo-gu</t>
    <phoneticPr fontId="18" type="noConversion"/>
  </si>
  <si>
    <t>Ganghwagun</t>
    <phoneticPr fontId="18" type="noConversion"/>
  </si>
  <si>
    <t>(66)</t>
  </si>
  <si>
    <t>(31)</t>
  </si>
  <si>
    <t>(25)</t>
  </si>
  <si>
    <t>(63)</t>
  </si>
  <si>
    <t>(-)</t>
    <phoneticPr fontId="4" type="noConversion"/>
  </si>
  <si>
    <t>Nutrition Teachers</t>
  </si>
  <si>
    <t>(32)</t>
  </si>
  <si>
    <t>(29)</t>
  </si>
  <si>
    <t>심리학</t>
  </si>
  <si>
    <t>환 경</t>
  </si>
  <si>
    <t>Psy
chology</t>
  </si>
  <si>
    <t xml:space="preserve">     4 - 25. Teachers by Educational Backgrounds &amp; Certified Subjects (2)</t>
    <phoneticPr fontId="4" type="noConversion"/>
  </si>
  <si>
    <t>School Counseling</t>
  </si>
  <si>
    <t>도덕ㆍ윤리</t>
  </si>
  <si>
    <t>진로진학상담</t>
  </si>
  <si>
    <t>Mathe
matics</t>
  </si>
  <si>
    <t>Geo
graphy</t>
  </si>
  <si>
    <t>Career Education &amp; Guidance</t>
  </si>
  <si>
    <t>철골철근
콘크리트</t>
    <phoneticPr fontId="18" type="noConversion"/>
  </si>
  <si>
    <t>Steel framed reinforced concrete</t>
    <phoneticPr fontId="18" type="noConversion"/>
  </si>
  <si>
    <t>철골철근
콘크리트</t>
  </si>
  <si>
    <t>Steel framed reinforced concrete</t>
  </si>
  <si>
    <t>전 문 상 담 교 사</t>
    <phoneticPr fontId="4" type="noConversion"/>
  </si>
  <si>
    <t>  공립</t>
    <phoneticPr fontId="4" type="noConversion"/>
  </si>
  <si>
    <t>장기결석에 따른 정원외 학적관리</t>
  </si>
  <si>
    <t>대 안 교 육 기 관</t>
  </si>
  <si>
    <t>소계</t>
    <phoneticPr fontId="4" type="noConversion"/>
  </si>
  <si>
    <t>미인정 결석</t>
    <phoneticPr fontId="4" type="noConversion"/>
  </si>
  <si>
    <t>해 외 출 국</t>
    <phoneticPr fontId="4" type="noConversion"/>
  </si>
  <si>
    <t>(49)</t>
  </si>
  <si>
    <t>(119)</t>
  </si>
  <si>
    <t>(42)</t>
  </si>
  <si>
    <t>(60)</t>
  </si>
  <si>
    <t>(68)</t>
  </si>
  <si>
    <t>(62)</t>
  </si>
  <si>
    <t>(19)</t>
  </si>
  <si>
    <t>(51)</t>
  </si>
  <si>
    <t>(78)</t>
  </si>
  <si>
    <t>(72)</t>
  </si>
  <si>
    <t>(107)</t>
  </si>
  <si>
    <t>(59)</t>
  </si>
  <si>
    <t>(52)</t>
  </si>
  <si>
    <t>(23)</t>
  </si>
  <si>
    <t>(24)</t>
  </si>
  <si>
    <t>전기ㆍ전자
ㆍ통신</t>
  </si>
  <si>
    <t>전기</t>
  </si>
  <si>
    <t>전자</t>
  </si>
  <si>
    <t>통신</t>
  </si>
  <si>
    <t>Informatics &amp; Computer</t>
  </si>
  <si>
    <t>Electron</t>
  </si>
  <si>
    <t>Communication Engineering</t>
  </si>
  <si>
    <t>-</t>
    <phoneticPr fontId="4" type="noConversion"/>
  </si>
  <si>
    <t>Alternative Educational
Institutions</t>
    <phoneticPr fontId="4" type="noConversion"/>
  </si>
  <si>
    <t>Disapproved Absence</t>
    <phoneticPr fontId="4" type="noConversion"/>
  </si>
  <si>
    <t>남부</t>
    <phoneticPr fontId="4" type="noConversion"/>
  </si>
  <si>
    <t>226   중학교 </t>
    <phoneticPr fontId="4" type="noConversion"/>
  </si>
  <si>
    <t>228   중학교</t>
    <phoneticPr fontId="4" type="noConversion"/>
  </si>
  <si>
    <t>Middle School   239</t>
    <phoneticPr fontId="4" type="noConversion"/>
  </si>
  <si>
    <t>238   중학교</t>
    <phoneticPr fontId="4" type="noConversion"/>
  </si>
  <si>
    <t>Middle School   247</t>
    <phoneticPr fontId="4" type="noConversion"/>
  </si>
  <si>
    <t>Middle School   249</t>
    <phoneticPr fontId="4" type="noConversion"/>
  </si>
  <si>
    <t>Middle School   271</t>
    <phoneticPr fontId="4" type="noConversion"/>
  </si>
  <si>
    <t>272   중학교 </t>
    <phoneticPr fontId="4" type="noConversion"/>
  </si>
  <si>
    <t>278   중학교 </t>
    <phoneticPr fontId="18" type="noConversion"/>
  </si>
  <si>
    <t>Middle School   279</t>
    <phoneticPr fontId="18" type="noConversion"/>
  </si>
  <si>
    <t>Middle School   281</t>
    <phoneticPr fontId="4" type="noConversion"/>
  </si>
  <si>
    <t>282   중학교 </t>
    <phoneticPr fontId="4" type="noConversion"/>
  </si>
  <si>
    <t>Middle School   283</t>
    <phoneticPr fontId="18" type="noConversion"/>
  </si>
  <si>
    <t>284  중학교 </t>
    <phoneticPr fontId="4" type="noConversion"/>
  </si>
  <si>
    <t>Middle School   287</t>
    <phoneticPr fontId="4" type="noConversion"/>
  </si>
  <si>
    <t>288   중학교 </t>
    <phoneticPr fontId="4" type="noConversion"/>
  </si>
  <si>
    <t>290  중학교 </t>
    <phoneticPr fontId="4" type="noConversion"/>
  </si>
  <si>
    <t>Middle School   293</t>
    <phoneticPr fontId="4" type="noConversion"/>
  </si>
  <si>
    <t>296   중학교 </t>
    <phoneticPr fontId="4" type="noConversion"/>
  </si>
  <si>
    <t>Middle School   297</t>
    <phoneticPr fontId="4" type="noConversion"/>
  </si>
  <si>
    <t>298   중학교 </t>
    <phoneticPr fontId="4" type="noConversion"/>
  </si>
  <si>
    <t>일 반 학 급</t>
    <phoneticPr fontId="18" type="noConversion"/>
  </si>
  <si>
    <t>General Classes</t>
    <phoneticPr fontId="18" type="noConversion"/>
  </si>
  <si>
    <t>Single-Grade Classes</t>
    <phoneticPr fontId="4" type="noConversion"/>
  </si>
  <si>
    <t>Multi-Grade Classes</t>
    <phoneticPr fontId="18" type="noConversion"/>
  </si>
  <si>
    <t>재취학 및 편입학</t>
    <phoneticPr fontId="4" type="noConversion"/>
  </si>
  <si>
    <t>장기결석에 따른 
정원외 학적관리</t>
    <phoneticPr fontId="4" type="noConversion"/>
  </si>
  <si>
    <t>Student Records Management 
for Non-enrolled Students 
Due to Long-Term Absence</t>
    <phoneticPr fontId="4" type="noConversion"/>
  </si>
  <si>
    <t>유예</t>
    <phoneticPr fontId="4" type="noConversion"/>
  </si>
  <si>
    <t>면제</t>
    <phoneticPr fontId="4" type="noConversion"/>
  </si>
  <si>
    <t>전 입 학</t>
    <phoneticPr fontId="4" type="noConversion"/>
  </si>
  <si>
    <t>Student Records Management for Non-enrolled
Students Due to Long-Term Absence</t>
    <phoneticPr fontId="4" type="noConversion"/>
  </si>
  <si>
    <t>Overseas Departure</t>
    <phoneticPr fontId="4" type="noConversion"/>
  </si>
  <si>
    <t xml:space="preserve"> 구분</t>
    <phoneticPr fontId="4" type="noConversion"/>
  </si>
  <si>
    <t>Middle East</t>
    <phoneticPr fontId="4" type="noConversion"/>
  </si>
  <si>
    <t>Note : 1) Europe : United Kingdom, France, Germany, Spain, Russia / South-East Asia : Philippines, Thailand, Singapore, India, Indonesia, Malaysia, Vietnam and others. </t>
    <phoneticPr fontId="4" type="noConversion"/>
  </si>
  <si>
    <t xml:space="preserve">Note : 1) Europe(United Kingdom, France, Germany, Spain, Russia), South-East Asia(Philippines, Thailand, Singapore, India, Indonesia, Malaysia, Vietnam and Others).     </t>
    <phoneticPr fontId="4" type="noConversion"/>
  </si>
  <si>
    <t xml:space="preserve">주 : 1) 유럽(영국, 프랑스, 독일, 스페인, 러시아), 동남아(필리핀, 태국, 싱가포르, 인도, 인도네시아, 말레이시아, 베트남 그 외).          </t>
    <phoneticPr fontId="4" type="noConversion"/>
  </si>
  <si>
    <t>Note : 1) Europe(United Kingdom, France, Germany, Spain, Russia), South-East Asia(Philippines, Thailand, Singapore, India, Indonesia, Malaysia, Vietnam and Others).                      
         2) Studying Abroad is included both disapproved and approved.</t>
    <phoneticPr fontId="4" type="noConversion"/>
  </si>
  <si>
    <t>주 : 1) 유럽(영국, 프랑스, 독일, 스페인, 러시아), 동남아(필리핀, 태국, 싱가포르, 인도, 인도네시아, 말레이시아, 베트남 그 외).                    
      2) 유학에는 미인정유학 및 인정유학이 포함됨.</t>
    <phoneticPr fontId="4" type="noConversion"/>
  </si>
  <si>
    <t xml:space="preserve">          3) Koryo-saram is included in Russia and Central Asia(Korean Descent).</t>
    <phoneticPr fontId="4" type="noConversion"/>
  </si>
  <si>
    <t>졸 업 자(A)</t>
    <phoneticPr fontId="4" type="noConversion"/>
  </si>
  <si>
    <t>Graduates</t>
    <phoneticPr fontId="4" type="noConversion"/>
  </si>
  <si>
    <t>진 학 자(B)</t>
    <phoneticPr fontId="4" type="noConversion"/>
  </si>
  <si>
    <t>Advancement into Higher Schooling</t>
    <phoneticPr fontId="4" type="noConversion"/>
  </si>
  <si>
    <t>Special-Purposed
High School</t>
    <phoneticPr fontId="4" type="noConversion"/>
  </si>
  <si>
    <t>Note : Advancing to alternative educational institutions (not recognized of academic background) are included in the ‘Non-Advancement’ category.</t>
    <phoneticPr fontId="4" type="noConversion"/>
  </si>
  <si>
    <t>Ratio(B/A)%</t>
    <phoneticPr fontId="4" type="noConversion"/>
  </si>
  <si>
    <t>Note : 1) The figures in ( ) indicate the teachers on temporary leave from service are included in the total number of teachers.</t>
  </si>
  <si>
    <t>Note : 1) The figures in ( ) indicate the teachers on temporary leave from service are included in the total number of teachers.</t>
    <phoneticPr fontId="4" type="noConversion"/>
  </si>
  <si>
    <t xml:space="preserve">         2) Part-Time Teachers are not included in the total number of teachers.                </t>
  </si>
  <si>
    <t>         3) From 2019, The figures in T.O. are displayed to one decimal place in accordance with the revised guidelines.</t>
  </si>
  <si>
    <t>주 : 1) (  )는 휴직교원 수로 전체교원 수에 포함됨.</t>
    <phoneticPr fontId="4" type="noConversion"/>
  </si>
  <si>
    <t xml:space="preserve">      2) 강사수는 전체수에 불포함.</t>
    <phoneticPr fontId="4" type="noConversion"/>
  </si>
  <si>
    <t xml:space="preserve">      3) 2019년부터 지침 변경에 따라 정원수는 소수점 첫째자리까지 표기함. </t>
    <phoneticPr fontId="4" type="noConversion"/>
  </si>
  <si>
    <t>4 - 17. 경 력 연 수 별 교 원 수</t>
    <phoneticPr fontId="4" type="noConversion"/>
  </si>
  <si>
    <t>4 - 18. 소 지 자 격 취 득 후 경 과 연 수 별 교 원 수</t>
    <phoneticPr fontId="4" type="noConversion"/>
  </si>
  <si>
    <t>10시간 ~ 12시간</t>
    <phoneticPr fontId="4" type="noConversion"/>
  </si>
  <si>
    <t>13시간 ~ 15시간</t>
    <phoneticPr fontId="4" type="noConversion"/>
  </si>
  <si>
    <t>16시간 ~ 18시간</t>
    <phoneticPr fontId="4" type="noConversion"/>
  </si>
  <si>
    <t>19시간 ~ 21시간</t>
    <phoneticPr fontId="4" type="noConversion"/>
  </si>
  <si>
    <t>22시간 ~ 24시간</t>
    <phoneticPr fontId="4" type="noConversion"/>
  </si>
  <si>
    <t>25시간 ~ 27시간</t>
    <phoneticPr fontId="4" type="noConversion"/>
  </si>
  <si>
    <t>28시간 ~</t>
    <phoneticPr fontId="4" type="noConversion"/>
  </si>
  <si>
    <t>Note : Based on first semester subject,Teaching hours per week included hours of class instruction and creative experiential activities.</t>
    <phoneticPr fontId="4" type="noConversion"/>
  </si>
  <si>
    <t>Domestic
Affairs</t>
    <phoneticPr fontId="18" type="noConversion"/>
  </si>
  <si>
    <t>정교사1정</t>
    <phoneticPr fontId="4" type="noConversion"/>
  </si>
  <si>
    <t>정교사2정</t>
    <phoneticPr fontId="4" type="noConversion"/>
  </si>
  <si>
    <t>준교사</t>
    <phoneticPr fontId="4" type="noConversion"/>
  </si>
  <si>
    <t>4 - 22. 주 당 수 업 시 수 별 교 원 수</t>
    <phoneticPr fontId="4" type="noConversion"/>
  </si>
  <si>
    <t>주 : 주당수업시수는 1학기 과목 기준으로, 교과담당수업 및 창의적 체험활동이 포함됨.</t>
    <phoneticPr fontId="4" type="noConversion"/>
  </si>
  <si>
    <t>4 - 25. Teachers by Educational Backgrounds &amp; Certified Subjects (1)</t>
    <phoneticPr fontId="18" type="noConversion"/>
  </si>
  <si>
    <t xml:space="preserve"> 4 - 25. 출 신 별 자 격 증 과 목 별 교 원 수(1)</t>
    <phoneticPr fontId="4" type="noConversion"/>
  </si>
  <si>
    <t>총계</t>
    <phoneticPr fontId="18" type="noConversion"/>
  </si>
  <si>
    <t>Career Education &amp; Guidance</t>
    <phoneticPr fontId="18" type="noConversion"/>
  </si>
  <si>
    <t>Pedagogics</t>
    <phoneticPr fontId="18" type="noConversion"/>
  </si>
  <si>
    <t>Chinese 
Characters</t>
    <phoneticPr fontId="18" type="noConversion"/>
  </si>
  <si>
    <t>Plant Resources &amp; Landscaping</t>
    <phoneticPr fontId="18" type="noConversion"/>
  </si>
  <si>
    <t>Informatics &amp; Computer</t>
    <phoneticPr fontId="18" type="noConversion"/>
  </si>
  <si>
    <t xml:space="preserve"> Note : 1) Certified subjects are teachers’ highest certificate considering one’s current school, position, and teaching subject.               
           2) Due to the changes in subject indications of teacher certificates on Dec. 8th 2016, common science, common social studies and commercial 
                information have been renamed into integrated science, integrated social studies and commerce respectively.
                In addition, design·craft, electrical·electronic·communication engineering, mechanical·metallurgical engineering, chemical engineering·textile,
                resource·environment, and navigation·ship engineering have been separated into each subject.                     
           3) School counselor, school librarian teacher, school health teacher, and school nutrition teacher are included in ‘Other Certificate’.               
           4) Industrial-educational teachers (without certification) and unqualified teachers are included in ‘Others’.              
           5) Temporary Instructors are excluded</t>
    <phoneticPr fontId="18" type="noConversion"/>
  </si>
  <si>
    <t>주 :  1) 자격증과목은 현재 학교급, 직위, 담당과목을 기준으로 입력한 교원의 최상급 자격증임.
       2) 2016.12.8 에 자격증 표시과목이 개정됨에 따라, 공통과학, 공통사회, 요업, 상업정보가 통합과학, 통합사회, 세라믹, 상업으로 명칭이 변경됨. 
          또한 디자인ㆍ공예, 전기ㆍ전자ㆍ통신, 기계ㆍ금속, 화공ㆍ섬유, 자원ㆍ환경, 항해ㆍ기관은 디자인, 공예, 전기, 전자, 통신, 기계, 재료, 화공, 섬유,
          자원, 환경공업, 항해, 기관으로 과목이 분리됨.
       3) 과목을 담당하지 않는 전문상담교사,사서교사, 보건교사, 영양교사는 기타자격증 분류에 포함됨.
       4) (자격증이 없는) 산학겸임교사, 무자격 교원은 `기타`에 포함됨.</t>
    <phoneticPr fontId="4" type="noConversion"/>
  </si>
  <si>
    <t>주 :  1) 자격증과목은 현재 학교급, 직위, 담당과목을 기준으로 입력한 교원의 최상급 자격증임.
       2) 2016.12.8 에 자격증 표시과목이 개정됨에 따라, 공통과학, 공통사회, 요업, 상업정보가 통합과학, 통합사회, 세라믹, 상업으로 명칭이 변경됨. 
          또한 디자인ㆍ공예, 전기ㆍ전자ㆍ통신, 기계ㆍ금속, 화공ㆍ섬유, 자원ㆍ환경, 항해ㆍ기관은 디자인, 공예, 전기, 전자, 통신, 기계, 재료, 화공, 섬유,
          자원, 환경공업, 항해, 기관으로 과목이 분리됨.
       3) 과목을 담당하지 않는 전문상담교사,사서교사, 보건교사, 영양교사는 기타자격증 분류에 포함됨.
       4) (자격증이 없는) 산학겸임교사, 무자격 교원은 `기타`에 포함됨.</t>
    <phoneticPr fontId="4" type="noConversion"/>
  </si>
  <si>
    <t>주 : 1) 자격증과목은 현재 학교급, 직위, 담당과목을 기준으로 입력한 교원의 최상급 자격증임.
       2) 2016.12.8 에 자격증 표시과목이 개정됨에 따라, 공통과학, 공통사회, 요업, 상업정보가 통합과학, 통합사회, 세라믹, 상업으로 명칭이 변경됨. 
          또한 디자인ㆍ공예, 전기ㆍ전자ㆍ통신, 기계ㆍ금속, 화공ㆍ섬유, 자원ㆍ환경, 항해ㆍ기관은 디자인, 공예, 전기, 전자, 통신, 기계, 재료, 화공, 섬유,
          자원, 환경공업, 항해, 기관으로 과목이 분리됨.
      3) 과목을 담당하지 않는 전문상담교사,사서교사, 보건교사, 영양교사는 기타자격증 분류에 포함됨.
      4) (자격증이 없는) 산학겸임교사, 무자격 교원은 `기타`에 포함됨.
      5) 기간제 교사는 제외됨.</t>
    <phoneticPr fontId="4" type="noConversion"/>
  </si>
  <si>
    <t>주 : 1) 자격증과목은 현재 학교급, 직위, 담당과목을 기준으로 입력한 교원의 최상급 자격증임.
       2) 2016.12.8 에 자격증 표시과목이 개정됨에 따라, 공통과학, 공통사회, 요업, 상업정보가 통합과학, 통합사회, 세라믹, 상업으로 명칭이 변경됨. 
          또한 디자인ㆍ공예, 전기ㆍ전자ㆍ통신, 기계ㆍ금속, 화공ㆍ섬유, 자원ㆍ환경, 항해ㆍ기관은 디자인, 공예, 전기, 전자, 통신, 기계, 재료, 화공, 섬유,
          자원, 환경공업, 항해, 기관으로 과목이 분리됨.
      3) 과목을 담당하지 않는 전문상담교사,사서교사, 보건교사, 영양교사는 기타자격증 분류에 포함됨.
      4) (자격증이 없는) 산학겸임교사, 무자격 교원은 `기타`에 포함됨.
      5) 기간제 교사는 제외됨.</t>
    <phoneticPr fontId="4" type="noConversion"/>
  </si>
  <si>
    <t>교사대지</t>
    <phoneticPr fontId="18" type="noConversion"/>
  </si>
  <si>
    <t>Building Sites</t>
    <phoneticPr fontId="18" type="noConversion"/>
  </si>
  <si>
    <t>Management 
&amp; Administration rooms</t>
    <phoneticPr fontId="18" type="noConversion"/>
  </si>
  <si>
    <t xml:space="preserve"> Health &amp; Sanitation
rooms</t>
    <phoneticPr fontId="18" type="noConversion"/>
  </si>
  <si>
    <t>Steel frame</t>
    <phoneticPr fontId="4" type="noConversion"/>
  </si>
  <si>
    <t>Steel frame</t>
    <phoneticPr fontId="18" type="noConversion"/>
  </si>
  <si>
    <t>Steel framed
reinfored
concrete</t>
    <phoneticPr fontId="4" type="noConversion"/>
  </si>
  <si>
    <t>총 계</t>
    <phoneticPr fontId="4" type="noConversion"/>
  </si>
  <si>
    <t>비 난 방</t>
    <phoneticPr fontId="4" type="noConversion"/>
  </si>
  <si>
    <t>No Heating</t>
    <phoneticPr fontId="4" type="noConversion"/>
  </si>
  <si>
    <t>Note : Cloud PCs and stick PCs are included in the ‘Others’.</t>
    <phoneticPr fontId="4" type="noConversion"/>
  </si>
  <si>
    <t>교지면적</t>
    <phoneticPr fontId="4" type="noConversion"/>
  </si>
  <si>
    <t>Number of Buildings by Structure</t>
    <phoneticPr fontId="4" type="noConversion"/>
  </si>
  <si>
    <t>Environ
ment 
Science</t>
    <phoneticPr fontId="18" type="noConversion"/>
  </si>
  <si>
    <t>School 
Counseling</t>
    <phoneticPr fontId="18" type="noConversion"/>
  </si>
  <si>
    <t>기타공간</t>
    <phoneticPr fontId="18" type="noConversion"/>
  </si>
  <si>
    <t>4 - 29. Building Area by Structure (1)</t>
    <phoneticPr fontId="18" type="noConversion"/>
  </si>
  <si>
    <t>4 - 29. Building Area by Structure (2)</t>
    <phoneticPr fontId="18" type="noConversion"/>
  </si>
  <si>
    <t>철골철근
콘크리트</t>
    <phoneticPr fontId="4" type="noConversion"/>
  </si>
  <si>
    <t>Note  :  1) Certified subjects are teachers’ highest certificate considering one’s current school, position, and teaching subject.
           2) Due to the changes in subject indications of teacher certificates on Dec. 8th 2016, common science, common social studies and
              commercial information have been renamed into integrated science, integrated social studies and commerce respectively. 
              In addition, design·craft, electrical·electronic·communication engineering, mechanical·metallurgical engineering, chemical engineering·textile, 
              resource·environment, and navigation·ship engineering have been separated into each subject.
           3) School counselor, school librarian teacher, school health teacher, and school nutrition teacher are included in ‘Other Certificate’.
           4) Uncertified teachers(including industrial-educational teachers without teacher certificate) are included in ‘Others’.</t>
    <phoneticPr fontId="18" type="noConversion"/>
  </si>
  <si>
    <t xml:space="preserve"> Note :  1) Certified subjects are teachers’ highest certificate considering one’s current school, position, and teaching subject. 
           2) Due to the changes in subject indications of teacher certificates on Dec. 8th 2016, common science, common social studies 
                 and commercial information have been renamed into integrated science, integrated social studies and commerce respectively. 
                 In addition, design·craft, electrical·electronic·communication engineering, mechanical·metallurgical engineering, chemical engineering·textile,
                 resource·environment, and navigation·ship engineering have been separated into each subject.
           3) School counselor, school librarian teacher, school health teacher, and school nutrition teacher are included in ‘Other Certificate’.
           4) Industrial-educational teachers (without certification) and unqualified teachers are included in ‘Others’.</t>
    <phoneticPr fontId="4" type="noConversion"/>
  </si>
  <si>
    <t>Note :  1) Certified subjects are teachers’ highest certificate considering one’s current school, position, and teaching subject.
          2) Due to the changes in subject indications of teacher certificates on Dec. 8th 2016, common science, common social studies and 
              commercial information have been renamed into integrated science, integrated social studies and commerce respectively. 
              In addition, design·craft, electrical·electronic·communication engineering, mechanical·metallurgical engineering, chemical engineering·textile, 
              resource·environment, and navigation·ship engineering have been separated into each subject.
          3) School counselor, school librarian teacher, school health teacher, and school nutrition teacher are included in ‘Other Certificate’.
          4) Uncertified teachers(including industrial-educational teachers without teacher certificate) are included in ‘Others’.</t>
    <phoneticPr fontId="4" type="noConversion"/>
  </si>
  <si>
    <t xml:space="preserve"> Note : 1) Certified subjects are teachers’ highest certificate considering one’s current school, position, and teaching subject.
          2) Due to the changes in subject indications of teacher certificates on Dec. 8th 2016, common science, common social studies and commercial 
                information have been renamed into integrated science, integrated social studies and commerce respectively.
                In addition, design·craft, electrical·electronic·communication engineering, mechanical·metallurgical engineering, chemical engineering·textile,
                resource·environment, and navigation·ship engineering have been separated into each subject.
          3) School counselor, school librarian teacher, school health teacher, and school nutrition teacher are included in ‘Other Certificate’.
          4) Industrial-educational teachers (without certification) and unqualified teachers are included in ‘Others’.     
          5) Temporary Instructors are excluded.</t>
    <phoneticPr fontId="4" type="noConversion"/>
  </si>
  <si>
    <t>각 항목의 제목을 누르면 해당 항목의 페이지로 이동합니다.</t>
    <phoneticPr fontId="4" type="noConversion"/>
  </si>
  <si>
    <t>NO</t>
    <phoneticPr fontId="4" type="noConversion"/>
  </si>
  <si>
    <t>목록</t>
    <phoneticPr fontId="4" type="noConversion"/>
  </si>
  <si>
    <t>중학교 개황(1)</t>
    <phoneticPr fontId="4" type="noConversion"/>
  </si>
  <si>
    <t>중학교 개황(2)</t>
    <phoneticPr fontId="4" type="noConversion"/>
  </si>
  <si>
    <t>학급수별 학교 수</t>
    <phoneticPr fontId="4" type="noConversion"/>
  </si>
  <si>
    <t>학생수별 학교 수</t>
    <phoneticPr fontId="4" type="noConversion"/>
  </si>
  <si>
    <t>학생수별 학급 수</t>
    <phoneticPr fontId="4" type="noConversion"/>
  </si>
  <si>
    <t>특수지 공립 중학교 현황(1)</t>
    <phoneticPr fontId="4" type="noConversion"/>
  </si>
  <si>
    <t>특수지 공립 중학교 현황(2)</t>
    <phoneticPr fontId="4" type="noConversion"/>
  </si>
  <si>
    <t>학년별 학급수 및 학생수</t>
    <phoneticPr fontId="4" type="noConversion"/>
  </si>
  <si>
    <t>학년 및 연령별 학생 수</t>
    <phoneticPr fontId="4" type="noConversion"/>
  </si>
  <si>
    <t>학생변동상황</t>
    <phoneticPr fontId="4" type="noConversion"/>
  </si>
  <si>
    <t>학업중단학생 현황</t>
    <phoneticPr fontId="4" type="noConversion"/>
  </si>
  <si>
    <t>유학현황</t>
    <phoneticPr fontId="4" type="noConversion"/>
  </si>
  <si>
    <t>귀국현황(1)</t>
    <phoneticPr fontId="4" type="noConversion"/>
  </si>
  <si>
    <t>귀국현황(2)</t>
    <phoneticPr fontId="4" type="noConversion"/>
  </si>
  <si>
    <t>다문화 학생 현황(1)</t>
    <phoneticPr fontId="4" type="noConversion"/>
  </si>
  <si>
    <t>다문화 학생 현황(2)</t>
    <phoneticPr fontId="4" type="noConversion"/>
  </si>
  <si>
    <t>다문화 학생 현황(3)</t>
    <phoneticPr fontId="4" type="noConversion"/>
  </si>
  <si>
    <t>입학상황</t>
    <phoneticPr fontId="4" type="noConversion"/>
  </si>
  <si>
    <t>졸업 후 상황</t>
    <phoneticPr fontId="4" type="noConversion"/>
  </si>
  <si>
    <t>직위별 교원 수(1)</t>
    <phoneticPr fontId="4" type="noConversion"/>
  </si>
  <si>
    <t>직위별 교원 수(2)</t>
    <phoneticPr fontId="4" type="noConversion"/>
  </si>
  <si>
    <t>자격별 교원 수</t>
    <phoneticPr fontId="4" type="noConversion"/>
  </si>
  <si>
    <t>소지자격별 연수이수 교원 수</t>
    <phoneticPr fontId="4" type="noConversion"/>
  </si>
  <si>
    <t>담당교과목별 교원 수</t>
    <phoneticPr fontId="4" type="noConversion"/>
  </si>
  <si>
    <t>연령별 교원 수</t>
    <phoneticPr fontId="4" type="noConversion"/>
  </si>
  <si>
    <t>호봉별 교원 수(1)</t>
    <phoneticPr fontId="4" type="noConversion"/>
  </si>
  <si>
    <t>호봉별 교원 수(2)</t>
    <phoneticPr fontId="4" type="noConversion"/>
  </si>
  <si>
    <t>교원변동상황</t>
    <phoneticPr fontId="4" type="noConversion"/>
  </si>
  <si>
    <t>출신별 자격증과목별 교원 수(1)</t>
    <phoneticPr fontId="4" type="noConversion"/>
  </si>
  <si>
    <t>출신별 자격증과목별 교원 수(2)</t>
    <phoneticPr fontId="4" type="noConversion"/>
  </si>
  <si>
    <t>출신별 자격증과목별 교원 수(3)</t>
    <phoneticPr fontId="4" type="noConversion"/>
  </si>
  <si>
    <t>자격증과목별 퇴직교원 수(1)</t>
    <phoneticPr fontId="4" type="noConversion"/>
  </si>
  <si>
    <t>자격증과목별 퇴직교원 수(2)</t>
    <phoneticPr fontId="4" type="noConversion"/>
  </si>
  <si>
    <t>학교용지</t>
    <phoneticPr fontId="4" type="noConversion"/>
  </si>
  <si>
    <t>용도별 교사 면적</t>
    <phoneticPr fontId="4" type="noConversion"/>
  </si>
  <si>
    <t>구조별 건물 면적(1)</t>
    <phoneticPr fontId="4" type="noConversion"/>
  </si>
  <si>
    <t>구조별 건물 면적(2)</t>
    <phoneticPr fontId="4" type="noConversion"/>
  </si>
  <si>
    <t>구조별 건물 동수</t>
    <phoneticPr fontId="4" type="noConversion"/>
  </si>
  <si>
    <t>에너지 사용량</t>
    <phoneticPr fontId="4" type="noConversion"/>
  </si>
  <si>
    <t>냉난방 면적</t>
    <phoneticPr fontId="4" type="noConversion"/>
  </si>
  <si>
    <t>컴퓨터 보유 현황</t>
    <phoneticPr fontId="4" type="noConversion"/>
  </si>
  <si>
    <t>직원 수</t>
    <phoneticPr fontId="4" type="noConversion"/>
  </si>
  <si>
    <t>목록으로 가기</t>
    <phoneticPr fontId="4" type="noConversion"/>
  </si>
  <si>
    <t>주당수업시수별 교원 수</t>
    <phoneticPr fontId="4" type="noConversion"/>
  </si>
  <si>
    <t>소지자격 취득 후 경과연수별 교원 수</t>
    <phoneticPr fontId="4" type="noConversion"/>
  </si>
  <si>
    <t>경력연수별 교원 수</t>
    <phoneticPr fontId="4" type="noConversion"/>
  </si>
  <si>
    <t>기타교실</t>
  </si>
  <si>
    <t>Level of
Classrooms</t>
  </si>
  <si>
    <t>Other
Classrooms</t>
  </si>
  <si>
    <t>4 - 2. Schools by the Number of Classes</t>
    <phoneticPr fontId="4" type="noConversion"/>
  </si>
  <si>
    <t>(2024.03.01 ~ 2025.02.28)</t>
    <phoneticPr fontId="4" type="noConversion"/>
  </si>
  <si>
    <t>234   중학교 </t>
    <phoneticPr fontId="4" type="noConversion"/>
  </si>
  <si>
    <t>Middle School   235</t>
    <phoneticPr fontId="4" type="noConversion"/>
  </si>
  <si>
    <t>        2) Studying Abroad is included both disapproved and approved </t>
    <phoneticPr fontId="4" type="noConversion"/>
  </si>
  <si>
    <t xml:space="preserve">     2) 유학에는 미인정유학 및 인정유학이 포함됨.</t>
    <phoneticPr fontId="4" type="noConversion"/>
  </si>
  <si>
    <t>          2) Studying Abroad is included both disapproved and approved.</t>
    <phoneticPr fontId="4" type="noConversion"/>
  </si>
  <si>
    <t>6,185</t>
  </si>
  <si>
    <t>(398)</t>
  </si>
  <si>
    <t>4,541</t>
  </si>
  <si>
    <t>(344)</t>
  </si>
  <si>
    <t>1,370</t>
  </si>
  <si>
    <t>1,004</t>
  </si>
  <si>
    <t>5,885</t>
  </si>
  <si>
    <t>(388)</t>
  </si>
  <si>
    <t>4,389</t>
  </si>
  <si>
    <t>(338)</t>
  </si>
  <si>
    <t>1,284</t>
  </si>
  <si>
    <t>1,172</t>
  </si>
  <si>
    <t>(55)</t>
  </si>
  <si>
    <t>(46)</t>
  </si>
  <si>
    <t>1,446</t>
  </si>
  <si>
    <t>(102)</t>
  </si>
  <si>
    <t>1,133</t>
  </si>
  <si>
    <t>(91)</t>
  </si>
  <si>
    <t>2,021</t>
  </si>
  <si>
    <t>(149)</t>
  </si>
  <si>
    <t>1,546</t>
  </si>
  <si>
    <t>(132)</t>
  </si>
  <si>
    <t>1,950</t>
  </si>
  <si>
    <t>(145)</t>
  </si>
  <si>
    <t>1,501</t>
  </si>
  <si>
    <t>(129)</t>
  </si>
  <si>
    <t>1,376</t>
  </si>
  <si>
    <t>(82)</t>
  </si>
  <si>
    <t>(69)</t>
  </si>
  <si>
    <t>(43)</t>
  </si>
  <si>
    <t>(36)</t>
  </si>
  <si>
    <t>(41)</t>
  </si>
  <si>
    <t>(35)</t>
  </si>
  <si>
    <t>(75)</t>
  </si>
  <si>
    <t>(64)</t>
  </si>
  <si>
    <t>1,037</t>
  </si>
  <si>
    <t>(74)</t>
  </si>
  <si>
    <t>1,012</t>
  </si>
  <si>
    <t>(73)</t>
  </si>
  <si>
    <t>(67)</t>
  </si>
  <si>
    <t xml:space="preserve">      2) 강사수는 전체수에 불포함</t>
    <phoneticPr fontId="4" type="noConversion"/>
  </si>
  <si>
    <t>         2) Part-Time Teachers are not included in the total number of teachers.</t>
    <phoneticPr fontId="4" type="noConversion"/>
  </si>
  <si>
    <t>         3) From 2019, The figures in T.O. are displayed to one decimal place in accordance with the revised guidelines.</t>
    <phoneticPr fontId="4" type="noConversion"/>
  </si>
  <si>
    <t>(337)</t>
  </si>
  <si>
    <t>(289)</t>
  </si>
  <si>
    <t>(16)</t>
  </si>
  <si>
    <t>(328)</t>
  </si>
  <si>
    <t>(284)</t>
  </si>
  <si>
    <t>(39)</t>
  </si>
  <si>
    <t>(88)</t>
  </si>
  <si>
    <t>(122)</t>
  </si>
  <si>
    <t>(105)</t>
  </si>
  <si>
    <t>(37)</t>
  </si>
  <si>
    <t>(54)</t>
  </si>
  <si>
    <t>실기교사</t>
  </si>
  <si>
    <t>Training Teachers</t>
  </si>
  <si>
    <t xml:space="preserve">   공립</t>
    <phoneticPr fontId="4" type="noConversion"/>
  </si>
  <si>
    <t xml:space="preserve">  Public</t>
    <phoneticPr fontId="4" type="noConversion"/>
  </si>
  <si>
    <t>(2024.04.02 ~ 2025.04.01)</t>
    <phoneticPr fontId="18" type="noConversion"/>
  </si>
  <si>
    <t>정 보</t>
  </si>
  <si>
    <t>영 어</t>
    <phoneticPr fontId="4" type="noConversion"/>
  </si>
  <si>
    <t>외국어</t>
    <phoneticPr fontId="4" type="noConversion"/>
  </si>
  <si>
    <t>한 문</t>
    <phoneticPr fontId="4" type="noConversion"/>
  </si>
  <si>
    <t>특수교과</t>
    <phoneticPr fontId="4" type="noConversion"/>
  </si>
  <si>
    <t>Information</t>
    <phoneticPr fontId="4" type="noConversion"/>
  </si>
  <si>
    <t>English</t>
    <phoneticPr fontId="4" type="noConversion"/>
  </si>
  <si>
    <t xml:space="preserve">Foreign </t>
    <phoneticPr fontId="4" type="noConversion"/>
  </si>
  <si>
    <t>Chinese</t>
    <phoneticPr fontId="4" type="noConversion"/>
  </si>
  <si>
    <t>Spectial Subjects</t>
    <phoneticPr fontId="4" type="noConversion"/>
  </si>
  <si>
    <t>Home Economics</t>
  </si>
  <si>
    <t>Languages</t>
    <phoneticPr fontId="4" type="noConversion"/>
  </si>
  <si>
    <t>Characters</t>
    <phoneticPr fontId="4" type="noConversion"/>
  </si>
  <si>
    <t>(154)</t>
  </si>
  <si>
    <t>(22)</t>
  </si>
  <si>
    <t>(153)</t>
  </si>
  <si>
    <t>(60)</t>
    <phoneticPr fontId="4" type="noConversion"/>
  </si>
  <si>
    <t>(4)</t>
    <phoneticPr fontId="4" type="noConversion"/>
  </si>
  <si>
    <t>(3)</t>
    <phoneticPr fontId="4" type="noConversion"/>
  </si>
  <si>
    <t>(7)</t>
    <phoneticPr fontId="4" type="noConversion"/>
  </si>
  <si>
    <t>(29)</t>
    <phoneticPr fontId="4" type="noConversion"/>
  </si>
  <si>
    <t>(55)</t>
    <phoneticPr fontId="4" type="noConversion"/>
  </si>
  <si>
    <t>(1)</t>
    <phoneticPr fontId="4" type="noConversion"/>
  </si>
  <si>
    <t>(5)</t>
    <phoneticPr fontId="4" type="noConversion"/>
  </si>
  <si>
    <t>(2)</t>
    <phoneticPr fontId="4" type="noConversion"/>
  </si>
  <si>
    <t>(102)</t>
    <phoneticPr fontId="4" type="noConversion"/>
  </si>
  <si>
    <t>(6)</t>
    <phoneticPr fontId="4" type="noConversion"/>
  </si>
  <si>
    <t>(15)</t>
    <phoneticPr fontId="4" type="noConversion"/>
  </si>
  <si>
    <t>(33)</t>
    <phoneticPr fontId="4" type="noConversion"/>
  </si>
  <si>
    <t>(149)</t>
    <phoneticPr fontId="4" type="noConversion"/>
  </si>
  <si>
    <t>(9)</t>
    <phoneticPr fontId="4" type="noConversion"/>
  </si>
  <si>
    <t>(8)</t>
    <phoneticPr fontId="4" type="noConversion"/>
  </si>
  <si>
    <t>(10)</t>
    <phoneticPr fontId="4" type="noConversion"/>
  </si>
  <si>
    <t>(54)</t>
    <phoneticPr fontId="4" type="noConversion"/>
  </si>
  <si>
    <t>(11)</t>
    <phoneticPr fontId="4" type="noConversion"/>
  </si>
  <si>
    <t>(145)</t>
    <phoneticPr fontId="4" type="noConversion"/>
  </si>
  <si>
    <t>(53)</t>
    <phoneticPr fontId="4" type="noConversion"/>
  </si>
  <si>
    <t>4)</t>
    <phoneticPr fontId="4" type="noConversion"/>
  </si>
  <si>
    <t xml:space="preserve">    2) ( )는 휴직교원수로 전체교원수에 포함됨.</t>
    <phoneticPr fontId="4" type="noConversion"/>
  </si>
  <si>
    <t xml:space="preserve">         2) The figures in ( ) indicate the teachers on temporary leave from service are included in the total number of teachers.</t>
    <phoneticPr fontId="4" type="noConversion"/>
  </si>
  <si>
    <t xml:space="preserve">  공립</t>
  </si>
  <si>
    <t xml:space="preserve">  Public</t>
  </si>
  <si>
    <t>5,522</t>
  </si>
  <si>
    <t>5,244</t>
  </si>
  <si>
    <t>1,609</t>
  </si>
  <si>
    <t>1,550</t>
  </si>
  <si>
    <t>1,561</t>
  </si>
  <si>
    <t>1,502</t>
  </si>
  <si>
    <t>2,327</t>
  </si>
  <si>
    <t>2,155</t>
  </si>
  <si>
    <t>2,209</t>
  </si>
  <si>
    <t>2,040</t>
  </si>
  <si>
    <t>1,354</t>
  </si>
  <si>
    <t>1,063</t>
  </si>
  <si>
    <t>1,271</t>
  </si>
  <si>
    <t>   Public</t>
    <phoneticPr fontId="18" type="noConversion"/>
  </si>
  <si>
    <t>1,048</t>
  </si>
  <si>
    <t>1,291</t>
  </si>
  <si>
    <t>1,808</t>
  </si>
  <si>
    <t>1,743</t>
  </si>
  <si>
    <t>1,233</t>
  </si>
  <si>
    <t>주 :  1) 자격증과목은 현재 학교급, 직위, 담당과목을 기준으로 입력한 교원의 최상급 자격증임. 
      2) 2016.12.8 에 자격증 표시과목이 개정됨에 따라, 공통과학, 공통사회, 요업, 상업정보가 통합과학, 통합사회, 세라믹, 상업으로 명칭이 변경됨. 
         또한 디자인ㆍ공예, 전기ㆍ전자ㆍ통신, 기계ㆍ금속, 화공ㆍ섬유, 자원ㆍ환경, 항해ㆍ기관은 디자인, 공예, 전기, 전자, 통신, 기계, 재료, 화공, 섬유,
         자원, 환경공업, 항해, 기관으로 과목이 분리됨. 
      3) 과목을 담당하지 않는 전문상담교사,사서교사, 보건교사, 영양교사는 기타자격증 분류에 포함됨. 
      4) (자격증이 없는) 산학겸임교사, 무자격 교원은 `기타`에 포함됨.</t>
    <phoneticPr fontId="18" type="noConversion"/>
  </si>
  <si>
    <t>실기교사 자격증</t>
    <phoneticPr fontId="4" type="noConversion"/>
  </si>
  <si>
    <t>환경   
공업</t>
    <phoneticPr fontId="4" type="noConversion"/>
  </si>
  <si>
    <t>(2024.01.01 ~ 2024.12.31)</t>
    <phoneticPr fontId="4" type="noConversion"/>
  </si>
  <si>
    <t>(2025.01.01)</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</si>
</sst>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76" formatCode="#,##0_ "/>
    <numFmt numFmtId="177" formatCode="_ * #,##0_ ;_ * \-#,##0_ ;_ * &quot;-&quot;_ ;_ @_ "/>
    <numFmt numFmtId="178" formatCode="0_);[Red]\(0\)"/>
    <numFmt numFmtId="179" formatCode="#,###"/>
    <numFmt numFmtId="180" formatCode="0.0_ "/>
    <numFmt numFmtId="181" formatCode="\(General\)"/>
    <numFmt numFmtId="182" formatCode="0.0%"/>
    <numFmt numFmtId="183" formatCode="&quot;4-&quot;##"/>
  </numFmts>
  <fonts count="146">
    <font>
      <sz val="11"/>
      <name val="돋움"/>
      <family val="3"/>
      <charset val="129"/>
    </font>
    <font>
      <sz val="11"/>
      <color theme="1"/>
      <name val="맑은 고딕"/>
      <family val="2"/>
      <charset val="129"/>
      <scheme val="minor"/>
    </font>
    <font>
      <sz val="11"/>
      <color theme="1"/>
      <name val="맑은 고딕"/>
      <family val="2"/>
      <charset val="129"/>
      <scheme val="minor"/>
    </font>
    <font>
      <sz val="10"/>
      <color indexed="8"/>
      <name val="맑은 고딕"/>
      <family val="3"/>
      <charset val="129"/>
    </font>
    <font>
      <sz val="8"/>
      <name val="돋움"/>
      <family val="3"/>
      <charset val="129"/>
    </font>
    <font>
      <sz val="11"/>
      <name val="돋움"/>
      <family val="3"/>
      <charset val="129"/>
    </font>
    <font>
      <sz val="7"/>
      <name val="돋움"/>
      <family val="3"/>
      <charset val="129"/>
    </font>
    <font>
      <b/>
      <sz val="11"/>
      <name val="돋움"/>
      <family val="3"/>
      <charset val="129"/>
    </font>
    <font>
      <sz val="18"/>
      <name val="돋움"/>
      <family val="3"/>
      <charset val="129"/>
    </font>
    <font>
      <b/>
      <sz val="9"/>
      <name val="돋움"/>
      <family val="3"/>
      <charset val="129"/>
    </font>
    <font>
      <b/>
      <sz val="8"/>
      <name val="돋움"/>
      <family val="3"/>
      <charset val="129"/>
    </font>
    <font>
      <sz val="6"/>
      <name val="돋움"/>
      <family val="3"/>
      <charset val="129"/>
    </font>
    <font>
      <sz val="14"/>
      <name val="돋움"/>
      <family val="3"/>
      <charset val="129"/>
    </font>
    <font>
      <b/>
      <sz val="6"/>
      <name val="돋움"/>
      <family val="3"/>
      <charset val="129"/>
    </font>
    <font>
      <b/>
      <sz val="7.5"/>
      <name val="돋움"/>
      <family val="3"/>
      <charset val="129"/>
    </font>
    <font>
      <sz val="12"/>
      <name val="바탕체"/>
      <family val="1"/>
      <charset val="129"/>
    </font>
    <font>
      <sz val="10"/>
      <name val="Arial"/>
      <family val="2"/>
    </font>
    <font>
      <sz val="10"/>
      <name val="Arial"/>
      <family val="2"/>
    </font>
    <font>
      <sz val="8"/>
      <name val="맑은 고딕"/>
      <family val="3"/>
      <charset val="129"/>
    </font>
    <font>
      <sz val="8"/>
      <color indexed="8"/>
      <name val="맑은 고딕"/>
      <family val="3"/>
      <charset val="129"/>
    </font>
    <font>
      <b/>
      <sz val="18"/>
      <color indexed="8"/>
      <name val="맑은 고딕"/>
      <family val="3"/>
      <charset val="129"/>
    </font>
    <font>
      <sz val="10"/>
      <color theme="1"/>
      <name val="맑은 고딕"/>
      <family val="3"/>
      <charset val="129"/>
    </font>
    <font>
      <sz val="10"/>
      <color theme="0"/>
      <name val="맑은 고딕"/>
      <family val="3"/>
      <charset val="129"/>
    </font>
    <font>
      <sz val="10"/>
      <color rgb="FFFF0000"/>
      <name val="맑은 고딕"/>
      <family val="3"/>
      <charset val="129"/>
    </font>
    <font>
      <b/>
      <sz val="10"/>
      <color rgb="FFFA7D00"/>
      <name val="맑은 고딕"/>
      <family val="3"/>
      <charset val="129"/>
    </font>
    <font>
      <sz val="10"/>
      <color rgb="FF9C0006"/>
      <name val="맑은 고딕"/>
      <family val="3"/>
      <charset val="129"/>
    </font>
    <font>
      <sz val="10"/>
      <color rgb="FF9C6500"/>
      <name val="맑은 고딕"/>
      <family val="3"/>
      <charset val="129"/>
    </font>
    <font>
      <i/>
      <sz val="10"/>
      <color rgb="FF7F7F7F"/>
      <name val="맑은 고딕"/>
      <family val="3"/>
      <charset val="129"/>
    </font>
    <font>
      <b/>
      <sz val="10"/>
      <color theme="0"/>
      <name val="맑은 고딕"/>
      <family val="3"/>
      <charset val="129"/>
    </font>
    <font>
      <sz val="10"/>
      <color rgb="FFFA7D00"/>
      <name val="맑은 고딕"/>
      <family val="3"/>
      <charset val="129"/>
    </font>
    <font>
      <b/>
      <sz val="10"/>
      <color theme="1"/>
      <name val="맑은 고딕"/>
      <family val="3"/>
      <charset val="129"/>
    </font>
    <font>
      <sz val="10"/>
      <color rgb="FF3F3F76"/>
      <name val="맑은 고딕"/>
      <family val="3"/>
      <charset val="129"/>
    </font>
    <font>
      <b/>
      <sz val="18"/>
      <color theme="3"/>
      <name val="맑은 고딕"/>
      <family val="3"/>
      <charset val="129"/>
      <scheme val="major"/>
    </font>
    <font>
      <b/>
      <sz val="15"/>
      <color theme="3"/>
      <name val="맑은 고딕"/>
      <family val="3"/>
      <charset val="129"/>
    </font>
    <font>
      <b/>
      <sz val="13"/>
      <color theme="3"/>
      <name val="맑은 고딕"/>
      <family val="3"/>
      <charset val="129"/>
    </font>
    <font>
      <b/>
      <sz val="11"/>
      <color theme="3"/>
      <name val="맑은 고딕"/>
      <family val="3"/>
      <charset val="129"/>
    </font>
    <font>
      <sz val="10"/>
      <color rgb="FF006100"/>
      <name val="맑은 고딕"/>
      <family val="3"/>
      <charset val="129"/>
    </font>
    <font>
      <b/>
      <sz val="10"/>
      <color rgb="FF3F3F3F"/>
      <name val="맑은 고딕"/>
      <family val="3"/>
      <charset val="129"/>
    </font>
    <font>
      <sz val="11"/>
      <color rgb="FF000000"/>
      <name val="맑은 고딕"/>
      <family val="3"/>
      <charset val="129"/>
    </font>
    <font>
      <sz val="8"/>
      <color theme="1"/>
      <name val="돋움"/>
      <family val="3"/>
      <charset val="129"/>
    </font>
    <font>
      <sz val="7"/>
      <color theme="1"/>
      <name val="돋움"/>
      <family val="3"/>
      <charset val="129"/>
    </font>
    <font>
      <sz val="18"/>
      <color theme="1"/>
      <name val="돋움"/>
      <family val="3"/>
      <charset val="129"/>
    </font>
    <font>
      <sz val="11"/>
      <color theme="1"/>
      <name val="돋움"/>
      <family val="3"/>
      <charset val="129"/>
    </font>
    <font>
      <b/>
      <sz val="11"/>
      <color theme="1"/>
      <name val="돋움"/>
      <family val="3"/>
      <charset val="129"/>
    </font>
    <font>
      <sz val="9"/>
      <color theme="1"/>
      <name val="돋움"/>
      <family val="3"/>
      <charset val="129"/>
    </font>
    <font>
      <b/>
      <sz val="9"/>
      <color rgb="FF000000"/>
      <name val="맑은 고딕"/>
      <family val="3"/>
      <charset val="129"/>
    </font>
    <font>
      <sz val="8"/>
      <color rgb="FF000000"/>
      <name val="맑은 고딕"/>
      <family val="3"/>
      <charset val="129"/>
    </font>
    <font>
      <sz val="18"/>
      <color rgb="FF000000"/>
      <name val="맑은 고딕"/>
      <family val="3"/>
      <charset val="129"/>
    </font>
    <font>
      <b/>
      <sz val="7.5"/>
      <color rgb="FF000000"/>
      <name val="맑은 고딕"/>
      <family val="3"/>
      <charset val="129"/>
    </font>
    <font>
      <sz val="7"/>
      <color rgb="FF000000"/>
      <name val="맑은 고딕"/>
      <family val="3"/>
      <charset val="129"/>
    </font>
    <font>
      <sz val="7.5"/>
      <color rgb="FF000000"/>
      <name val="맑은 고딕"/>
      <family val="3"/>
      <charset val="129"/>
    </font>
    <font>
      <sz val="6"/>
      <color rgb="FF000000"/>
      <name val="맑은 고딕"/>
      <family val="3"/>
      <charset val="129"/>
    </font>
    <font>
      <b/>
      <sz val="6"/>
      <color rgb="FF000000"/>
      <name val="맑은 고딕"/>
      <family val="3"/>
      <charset val="129"/>
    </font>
    <font>
      <b/>
      <sz val="11"/>
      <color rgb="FF000000"/>
      <name val="맑은 고딕"/>
      <family val="3"/>
      <charset val="129"/>
    </font>
    <font>
      <sz val="9"/>
      <color rgb="FF000000"/>
      <name val="맑은 고딕"/>
      <family val="3"/>
      <charset val="129"/>
    </font>
    <font>
      <sz val="6"/>
      <color indexed="72"/>
      <name val="돋움"/>
      <family val="3"/>
      <charset val="129"/>
    </font>
    <font>
      <u/>
      <sz val="11"/>
      <color theme="10"/>
      <name val="돋움"/>
      <family val="3"/>
      <charset val="129"/>
    </font>
    <font>
      <u/>
      <sz val="11"/>
      <color theme="10"/>
      <name val="맑은 고딕"/>
      <family val="3"/>
      <charset val="129"/>
    </font>
    <font>
      <sz val="9"/>
      <name val="돋움"/>
      <family val="3"/>
      <charset val="129"/>
    </font>
    <font>
      <sz val="8"/>
      <name val="맑은 고딕"/>
      <family val="3"/>
      <charset val="129"/>
      <scheme val="minor"/>
    </font>
    <font>
      <b/>
      <sz val="18"/>
      <name val="맑은 고딕"/>
      <family val="3"/>
      <charset val="129"/>
      <scheme val="minor"/>
    </font>
    <font>
      <sz val="7"/>
      <name val="맑은 고딕"/>
      <family val="3"/>
      <charset val="129"/>
      <scheme val="minor"/>
    </font>
    <font>
      <b/>
      <sz val="9"/>
      <name val="맑은 고딕"/>
      <family val="3"/>
      <charset val="129"/>
      <scheme val="minor"/>
    </font>
    <font>
      <b/>
      <sz val="8"/>
      <name val="맑은 고딕"/>
      <family val="3"/>
      <charset val="129"/>
      <scheme val="minor"/>
    </font>
    <font>
      <sz val="11"/>
      <name val="맑은 고딕"/>
      <family val="3"/>
      <charset val="129"/>
      <scheme val="minor"/>
    </font>
    <font>
      <sz val="9"/>
      <name val="맑은 고딕"/>
      <family val="3"/>
      <charset val="129"/>
      <scheme val="minor"/>
    </font>
    <font>
      <b/>
      <sz val="14"/>
      <name val="맑은 고딕"/>
      <family val="3"/>
      <charset val="129"/>
      <scheme val="minor"/>
    </font>
    <font>
      <sz val="6"/>
      <name val="맑은 고딕"/>
      <family val="3"/>
      <charset val="129"/>
      <scheme val="minor"/>
    </font>
    <font>
      <b/>
      <sz val="16"/>
      <name val="맑은 고딕"/>
      <family val="3"/>
      <charset val="129"/>
      <scheme val="minor"/>
    </font>
    <font>
      <sz val="8"/>
      <color rgb="FF000000"/>
      <name val="맑은 고딕"/>
      <family val="3"/>
      <charset val="129"/>
      <scheme val="minor"/>
    </font>
    <font>
      <b/>
      <sz val="18"/>
      <color rgb="FF000000"/>
      <name val="맑은 고딕"/>
      <family val="3"/>
      <charset val="129"/>
      <scheme val="minor"/>
    </font>
    <font>
      <b/>
      <sz val="9"/>
      <color rgb="FF000000"/>
      <name val="맑은 고딕"/>
      <family val="3"/>
      <charset val="129"/>
      <scheme val="minor"/>
    </font>
    <font>
      <b/>
      <sz val="8"/>
      <color rgb="FF000000"/>
      <name val="맑은 고딕"/>
      <family val="3"/>
      <charset val="129"/>
      <scheme val="minor"/>
    </font>
    <font>
      <sz val="7"/>
      <color rgb="FF000000"/>
      <name val="맑은 고딕"/>
      <family val="3"/>
      <charset val="129"/>
      <scheme val="minor"/>
    </font>
    <font>
      <sz val="6"/>
      <color indexed="72"/>
      <name val="맑은 고딕"/>
      <family val="3"/>
      <charset val="129"/>
      <scheme val="minor"/>
    </font>
    <font>
      <sz val="11"/>
      <color rgb="FF000000"/>
      <name val="맑은 고딕"/>
      <family val="3"/>
      <charset val="129"/>
      <scheme val="minor"/>
    </font>
    <font>
      <sz val="9"/>
      <color rgb="FF000000"/>
      <name val="맑은 고딕"/>
      <family val="3"/>
      <charset val="129"/>
      <scheme val="minor"/>
    </font>
    <font>
      <b/>
      <sz val="9"/>
      <color indexed="72"/>
      <name val="맑은 고딕"/>
      <family val="3"/>
      <charset val="129"/>
      <scheme val="minor"/>
    </font>
    <font>
      <sz val="7"/>
      <color indexed="72"/>
      <name val="맑은 고딕"/>
      <family val="3"/>
      <charset val="129"/>
      <scheme val="minor"/>
    </font>
    <font>
      <sz val="8"/>
      <color theme="1"/>
      <name val="맑은 고딕"/>
      <family val="3"/>
      <charset val="129"/>
      <scheme val="minor"/>
    </font>
    <font>
      <sz val="7"/>
      <color theme="1"/>
      <name val="맑은 고딕"/>
      <family val="3"/>
      <charset val="129"/>
      <scheme val="minor"/>
    </font>
    <font>
      <b/>
      <sz val="18"/>
      <color theme="1"/>
      <name val="맑은 고딕"/>
      <family val="3"/>
      <charset val="129"/>
      <scheme val="minor"/>
    </font>
    <font>
      <sz val="10"/>
      <color theme="1"/>
      <name val="맑은 고딕"/>
      <family val="3"/>
      <charset val="129"/>
      <scheme val="minor"/>
    </font>
    <font>
      <b/>
      <sz val="9"/>
      <color theme="1"/>
      <name val="맑은 고딕"/>
      <family val="3"/>
      <charset val="129"/>
      <scheme val="minor"/>
    </font>
    <font>
      <sz val="11"/>
      <color theme="1"/>
      <name val="맑은 고딕"/>
      <family val="3"/>
      <charset val="129"/>
      <scheme val="minor"/>
    </font>
    <font>
      <b/>
      <sz val="7"/>
      <color theme="1"/>
      <name val="맑은 고딕"/>
      <family val="3"/>
      <charset val="129"/>
      <scheme val="minor"/>
    </font>
    <font>
      <b/>
      <sz val="8"/>
      <color theme="1"/>
      <name val="맑은 고딕"/>
      <family val="3"/>
      <charset val="129"/>
      <scheme val="minor"/>
    </font>
    <font>
      <sz val="9"/>
      <color theme="1"/>
      <name val="맑은 고딕"/>
      <family val="3"/>
      <charset val="129"/>
      <scheme val="minor"/>
    </font>
    <font>
      <sz val="6"/>
      <color theme="1"/>
      <name val="맑은 고딕"/>
      <family val="3"/>
      <charset val="129"/>
      <scheme val="minor"/>
    </font>
    <font>
      <b/>
      <sz val="7"/>
      <name val="맑은 고딕"/>
      <family val="3"/>
      <charset val="129"/>
      <scheme val="minor"/>
    </font>
    <font>
      <b/>
      <sz val="8.5"/>
      <name val="맑은 고딕"/>
      <family val="3"/>
      <charset val="129"/>
      <scheme val="minor"/>
    </font>
    <font>
      <sz val="5.5"/>
      <name val="맑은 고딕"/>
      <family val="3"/>
      <charset val="129"/>
      <scheme val="minor"/>
    </font>
    <font>
      <sz val="5"/>
      <name val="맑은 고딕"/>
      <family val="3"/>
      <charset val="129"/>
      <scheme val="minor"/>
    </font>
    <font>
      <b/>
      <sz val="13"/>
      <name val="맑은 고딕"/>
      <family val="3"/>
      <charset val="129"/>
      <scheme val="minor"/>
    </font>
    <font>
      <sz val="9"/>
      <color rgb="FFFF0000"/>
      <name val="맑은 고딕"/>
      <family val="3"/>
      <charset val="129"/>
      <scheme val="minor"/>
    </font>
    <font>
      <sz val="8"/>
      <color indexed="8"/>
      <name val="맑은 고딕"/>
      <family val="3"/>
      <charset val="129"/>
      <scheme val="minor"/>
    </font>
    <font>
      <b/>
      <sz val="18"/>
      <color indexed="8"/>
      <name val="맑은 고딕"/>
      <family val="3"/>
      <charset val="129"/>
      <scheme val="minor"/>
    </font>
    <font>
      <b/>
      <sz val="16"/>
      <color indexed="8"/>
      <name val="맑은 고딕"/>
      <family val="3"/>
      <charset val="129"/>
      <scheme val="minor"/>
    </font>
    <font>
      <sz val="7"/>
      <color indexed="8"/>
      <name val="맑은 고딕"/>
      <family val="3"/>
      <charset val="129"/>
      <scheme val="minor"/>
    </font>
    <font>
      <b/>
      <sz val="7"/>
      <color indexed="8"/>
      <name val="맑은 고딕"/>
      <family val="3"/>
      <charset val="129"/>
      <scheme val="minor"/>
    </font>
    <font>
      <sz val="6"/>
      <color indexed="8"/>
      <name val="맑은 고딕"/>
      <family val="3"/>
      <charset val="129"/>
      <scheme val="minor"/>
    </font>
    <font>
      <b/>
      <sz val="8"/>
      <color indexed="8"/>
      <name val="맑은 고딕"/>
      <family val="3"/>
      <charset val="129"/>
      <scheme val="minor"/>
    </font>
    <font>
      <b/>
      <sz val="7.5"/>
      <name val="맑은 고딕"/>
      <family val="3"/>
      <charset val="129"/>
      <scheme val="minor"/>
    </font>
    <font>
      <b/>
      <sz val="6"/>
      <name val="맑은 고딕"/>
      <family val="3"/>
      <charset val="129"/>
      <scheme val="minor"/>
    </font>
    <font>
      <sz val="7.5"/>
      <name val="맑은 고딕"/>
      <family val="3"/>
      <charset val="129"/>
      <scheme val="minor"/>
    </font>
    <font>
      <sz val="9"/>
      <color rgb="FF0070C0"/>
      <name val="맑은 고딕"/>
      <family val="3"/>
      <charset val="129"/>
      <scheme val="minor"/>
    </font>
    <font>
      <b/>
      <sz val="9"/>
      <color indexed="8"/>
      <name val="맑은 고딕"/>
      <family val="3"/>
      <charset val="129"/>
      <scheme val="minor"/>
    </font>
    <font>
      <b/>
      <sz val="7"/>
      <color rgb="FFFF0000"/>
      <name val="맑은 고딕"/>
      <family val="3"/>
      <charset val="129"/>
      <scheme val="minor"/>
    </font>
    <font>
      <b/>
      <sz val="9"/>
      <color rgb="FFFF0000"/>
      <name val="맑은 고딕"/>
      <family val="3"/>
      <charset val="129"/>
      <scheme val="minor"/>
    </font>
    <font>
      <b/>
      <sz val="18"/>
      <color theme="1"/>
      <name val="맑은 고딕"/>
      <family val="3"/>
      <charset val="129"/>
    </font>
    <font>
      <b/>
      <sz val="18"/>
      <name val="맑은 고딕"/>
      <family val="3"/>
      <charset val="129"/>
    </font>
    <font>
      <sz val="8"/>
      <color theme="1"/>
      <name val="맑은 고딕"/>
      <family val="3"/>
      <charset val="129"/>
    </font>
    <font>
      <sz val="7"/>
      <color theme="1"/>
      <name val="맑은 고딕"/>
      <family val="3"/>
      <charset val="129"/>
    </font>
    <font>
      <b/>
      <sz val="9"/>
      <color theme="1"/>
      <name val="맑은 고딕"/>
      <family val="3"/>
      <charset val="129"/>
    </font>
    <font>
      <sz val="7"/>
      <name val="맑은 고딕"/>
      <family val="3"/>
      <charset val="129"/>
    </font>
    <font>
      <b/>
      <sz val="7"/>
      <color theme="1"/>
      <name val="맑은 고딕"/>
      <family val="3"/>
      <charset val="129"/>
    </font>
    <font>
      <sz val="9"/>
      <color theme="1"/>
      <name val="맑은 고딕"/>
      <family val="3"/>
      <charset val="129"/>
    </font>
    <font>
      <sz val="6"/>
      <name val="맑은 고딕"/>
      <family val="3"/>
      <charset val="129"/>
    </font>
    <font>
      <b/>
      <sz val="9"/>
      <name val="맑은 고딕"/>
      <family val="3"/>
      <charset val="129"/>
    </font>
    <font>
      <sz val="6"/>
      <color theme="1"/>
      <name val="맑은 고딕"/>
      <family val="3"/>
      <charset val="129"/>
    </font>
    <font>
      <b/>
      <sz val="8"/>
      <name val="맑은 고딕"/>
      <family val="3"/>
      <charset val="129"/>
    </font>
    <font>
      <b/>
      <sz val="7"/>
      <name val="맑은 고딕"/>
      <family val="3"/>
      <charset val="129"/>
    </font>
    <font>
      <sz val="18"/>
      <name val="맑은 고딕"/>
      <family val="3"/>
      <charset val="129"/>
    </font>
    <font>
      <sz val="11"/>
      <name val="맑은 고딕"/>
      <family val="3"/>
      <charset val="129"/>
    </font>
    <font>
      <sz val="9"/>
      <name val="맑은 고딕"/>
      <family val="3"/>
      <charset val="129"/>
    </font>
    <font>
      <b/>
      <sz val="8"/>
      <color theme="1"/>
      <name val="맑은 고딕"/>
      <family val="3"/>
      <charset val="129"/>
    </font>
    <font>
      <b/>
      <sz val="14"/>
      <name val="맑은 고딕"/>
      <family val="3"/>
      <charset val="129"/>
    </font>
    <font>
      <b/>
      <sz val="11"/>
      <name val="맑은 고딕"/>
      <family val="3"/>
      <charset val="129"/>
    </font>
    <font>
      <b/>
      <sz val="6"/>
      <name val="맑은 고딕"/>
      <family val="3"/>
      <charset val="129"/>
    </font>
    <font>
      <b/>
      <sz val="7.5"/>
      <name val="맑은 고딕"/>
      <family val="3"/>
      <charset val="129"/>
    </font>
    <font>
      <sz val="7.5"/>
      <name val="맑은 고딕"/>
      <family val="3"/>
      <charset val="129"/>
    </font>
    <font>
      <sz val="6.5"/>
      <name val="맑은 고딕"/>
      <family val="3"/>
      <charset val="129"/>
    </font>
    <font>
      <sz val="9"/>
      <color rgb="FFFF0000"/>
      <name val="맑은 고딕"/>
      <family val="3"/>
      <charset val="129"/>
    </font>
    <font>
      <sz val="9"/>
      <color rgb="FF0070C0"/>
      <name val="맑은 고딕"/>
      <family val="3"/>
      <charset val="129"/>
    </font>
    <font>
      <b/>
      <sz val="18"/>
      <color rgb="FF000000"/>
      <name val="맑은 고딕"/>
      <family val="3"/>
      <charset val="129"/>
    </font>
    <font>
      <sz val="7"/>
      <color indexed="8"/>
      <name val="맑은 고딕"/>
      <family val="3"/>
      <charset val="129"/>
    </font>
    <font>
      <b/>
      <sz val="9"/>
      <color indexed="8"/>
      <name val="맑은 고딕"/>
      <family val="3"/>
      <charset val="129"/>
    </font>
    <font>
      <sz val="6"/>
      <color indexed="8"/>
      <name val="맑은 고딕"/>
      <family val="3"/>
      <charset val="129"/>
    </font>
    <font>
      <b/>
      <sz val="8"/>
      <color indexed="8"/>
      <name val="맑은 고딕"/>
      <family val="3"/>
      <charset val="129"/>
    </font>
    <font>
      <b/>
      <sz val="11"/>
      <color rgb="FFFF0000"/>
      <name val="맑은 고딕"/>
      <family val="3"/>
      <charset val="129"/>
      <scheme val="minor"/>
    </font>
    <font>
      <b/>
      <sz val="11"/>
      <name val="맑은 고딕"/>
      <family val="3"/>
      <charset val="129"/>
      <scheme val="minor"/>
    </font>
    <font>
      <u/>
      <sz val="18"/>
      <color theme="10"/>
      <name val="돋움"/>
      <family val="3"/>
      <charset val="129"/>
    </font>
    <font>
      <sz val="9"/>
      <color indexed="81"/>
      <name val="돋움"/>
      <family val="3"/>
      <charset val="129"/>
    </font>
    <font>
      <sz val="9"/>
      <color indexed="81"/>
      <name val="Tahoma"/>
      <family val="2"/>
    </font>
    <font>
      <b/>
      <sz val="9"/>
      <color indexed="81"/>
      <name val="Tahoma"/>
      <family val="2"/>
    </font>
    <font>
      <b/>
      <sz val="9"/>
      <color indexed="81"/>
      <name val="돋움"/>
      <family val="3"/>
      <charset val="129"/>
    </font>
  </fonts>
  <fills count="48">
    <fill>
      <patternFill patternType="none"/>
    </fill>
    <fill>
      <patternFill patternType="gray125"/>
    </fill>
    <fill>
      <patternFill patternType="solid">
        <fgColor indexed="22"/>
        <bgColor indexed="8"/>
      </patternFill>
    </fill>
    <fill>
      <patternFill patternType="solid">
        <fgColor indexed="9"/>
        <bgColor indexed="8"/>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7CE"/>
      </patternFill>
    </fill>
    <fill>
      <patternFill patternType="solid">
        <fgColor rgb="FFFFFFCC"/>
      </patternFill>
    </fill>
    <fill>
      <patternFill patternType="solid">
        <fgColor rgb="FFFFEB9C"/>
      </patternFill>
    </fill>
    <fill>
      <patternFill patternType="solid">
        <fgColor rgb="FFA5A5A5"/>
      </patternFill>
    </fill>
    <fill>
      <patternFill patternType="solid">
        <fgColor rgb="FFFFCC99"/>
      </patternFill>
    </fill>
    <fill>
      <patternFill patternType="solid">
        <fgColor rgb="FFC6EFCE"/>
      </patternFill>
    </fill>
    <fill>
      <patternFill patternType="solid">
        <fgColor rgb="FFC0C0C0"/>
        <bgColor rgb="FF000000"/>
      </patternFill>
    </fill>
    <fill>
      <patternFill patternType="solid">
        <fgColor rgb="FFFFFFFF"/>
        <bgColor rgb="FF000000"/>
      </patternFill>
    </fill>
    <fill>
      <patternFill patternType="solid">
        <fgColor rgb="FFCCCCCC"/>
        <bgColor indexed="64"/>
      </patternFill>
    </fill>
    <fill>
      <patternFill patternType="solid">
        <fgColor rgb="FFFFFFFF"/>
        <bgColor indexed="64"/>
      </patternFill>
    </fill>
    <fill>
      <patternFill patternType="solid">
        <fgColor theme="0" tint="-0.24994659260841701"/>
        <bgColor indexed="64"/>
      </patternFill>
    </fill>
    <fill>
      <patternFill patternType="solid">
        <fgColor theme="0" tint="-0.24994659260841701"/>
        <bgColor rgb="FF000000"/>
      </patternFill>
    </fill>
    <fill>
      <patternFill patternType="solid">
        <fgColor theme="0"/>
        <bgColor indexed="64"/>
      </patternFill>
    </fill>
    <fill>
      <patternFill patternType="solid">
        <fgColor theme="0" tint="-0.249977111117893"/>
        <bgColor rgb="FF000000"/>
      </patternFill>
    </fill>
    <fill>
      <patternFill patternType="solid">
        <fgColor theme="0" tint="-0.249977111117893"/>
        <bgColor indexed="64"/>
      </patternFill>
    </fill>
    <fill>
      <patternFill patternType="solid">
        <fgColor rgb="FFFFFF00"/>
        <bgColor rgb="FF000000"/>
      </patternFill>
    </fill>
    <fill>
      <patternFill patternType="solid">
        <fgColor rgb="FFC0C0C0"/>
        <bgColor indexed="64"/>
      </patternFill>
    </fill>
    <fill>
      <patternFill patternType="solid">
        <fgColor theme="0"/>
        <bgColor rgb="FF000000"/>
      </patternFill>
    </fill>
  </fills>
  <borders count="225">
    <border>
      <left/>
      <right/>
      <top/>
      <bottom/>
      <diagonal/>
    </border>
    <border>
      <left/>
      <right style="thin">
        <color indexed="8"/>
      </right>
      <top/>
      <bottom/>
      <diagonal/>
    </border>
    <border>
      <left/>
      <right/>
      <top/>
      <bottom style="medium">
        <color indexed="64"/>
      </bottom>
      <diagonal/>
    </border>
    <border>
      <left/>
      <right style="thin">
        <color indexed="8"/>
      </right>
      <top/>
      <bottom style="medium">
        <color indexed="64"/>
      </bottom>
      <diagonal/>
    </border>
    <border>
      <left/>
      <right style="thin">
        <color indexed="8"/>
      </right>
      <top/>
      <bottom style="thin">
        <color indexed="8"/>
      </bottom>
      <diagonal/>
    </border>
    <border>
      <left style="thin">
        <color indexed="8"/>
      </left>
      <right/>
      <top/>
      <bottom style="medium">
        <color indexed="64"/>
      </bottom>
      <diagonal/>
    </border>
    <border>
      <left style="thin">
        <color indexed="8"/>
      </left>
      <right style="thin">
        <color indexed="8"/>
      </right>
      <top/>
      <bottom style="medium">
        <color indexed="64"/>
      </bottom>
      <diagonal/>
    </border>
    <border>
      <left style="thin">
        <color indexed="8"/>
      </left>
      <right style="thin">
        <color indexed="8"/>
      </right>
      <top/>
      <bottom style="thin">
        <color indexed="8"/>
      </bottom>
      <diagonal/>
    </border>
    <border>
      <left style="thin">
        <color indexed="8"/>
      </left>
      <right/>
      <top style="medium">
        <color indexed="64"/>
      </top>
      <bottom/>
      <diagonal/>
    </border>
    <border>
      <left style="thin">
        <color indexed="8"/>
      </left>
      <right style="thin">
        <color indexed="64"/>
      </right>
      <top/>
      <bottom/>
      <diagonal/>
    </border>
    <border>
      <left style="thin">
        <color indexed="8"/>
      </left>
      <right style="thin">
        <color indexed="8"/>
      </right>
      <top style="medium">
        <color indexed="64"/>
      </top>
      <bottom/>
      <diagonal/>
    </border>
    <border>
      <left style="thin">
        <color indexed="64"/>
      </left>
      <right/>
      <top/>
      <bottom/>
      <diagonal/>
    </border>
    <border>
      <left style="thin">
        <color indexed="64"/>
      </left>
      <right style="thin">
        <color indexed="8"/>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8"/>
      </left>
      <right style="thin">
        <color indexed="64"/>
      </right>
      <top/>
      <bottom style="medium">
        <color indexed="64"/>
      </bottom>
      <diagonal/>
    </border>
    <border>
      <left/>
      <right/>
      <top/>
      <bottom style="thin">
        <color indexed="8"/>
      </bottom>
      <diagonal/>
    </border>
    <border>
      <left style="thin">
        <color indexed="8"/>
      </left>
      <right/>
      <top/>
      <bottom style="thin">
        <color indexed="8"/>
      </bottom>
      <diagonal/>
    </border>
    <border>
      <left/>
      <right/>
      <top style="medium">
        <color indexed="64"/>
      </top>
      <bottom/>
      <diagonal/>
    </border>
    <border>
      <left/>
      <right style="thin">
        <color indexed="8"/>
      </right>
      <top style="medium">
        <color indexed="64"/>
      </top>
      <bottom/>
      <diagonal/>
    </border>
    <border>
      <left style="thin">
        <color indexed="64"/>
      </left>
      <right style="thin">
        <color indexed="8"/>
      </right>
      <top style="medium">
        <color indexed="64"/>
      </top>
      <bottom/>
      <diagonal/>
    </border>
    <border>
      <left style="thin">
        <color indexed="8"/>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right/>
      <top style="medium">
        <color indexed="8"/>
      </top>
      <bottom/>
      <diagonal/>
    </border>
    <border>
      <left style="thin">
        <color indexed="64"/>
      </left>
      <right style="thin">
        <color indexed="64"/>
      </right>
      <top/>
      <bottom style="thin">
        <color indexed="64"/>
      </bottom>
      <diagonal/>
    </border>
    <border>
      <left/>
      <right/>
      <top/>
      <bottom style="medium">
        <color indexed="8"/>
      </bottom>
      <diagonal/>
    </border>
    <border>
      <left/>
      <right style="thin">
        <color indexed="8"/>
      </right>
      <top style="medium">
        <color indexed="8"/>
      </top>
      <bottom/>
      <diagonal/>
    </border>
    <border>
      <left/>
      <right/>
      <top style="medium">
        <color indexed="64"/>
      </top>
      <bottom style="medium">
        <color indexed="64"/>
      </bottom>
      <diagonal/>
    </border>
    <border>
      <left style="thin">
        <color indexed="8"/>
      </left>
      <right/>
      <top style="medium">
        <color indexed="8"/>
      </top>
      <bottom/>
      <diagonal/>
    </border>
    <border>
      <left/>
      <right/>
      <top style="thin">
        <color indexed="8"/>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bottom style="thin">
        <color indexed="64"/>
      </bottom>
      <diagonal/>
    </border>
    <border>
      <left/>
      <right style="thin">
        <color indexed="64"/>
      </right>
      <top/>
      <bottom style="thin">
        <color indexed="8"/>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medium">
        <color indexed="64"/>
      </bottom>
      <diagonal/>
    </border>
    <border>
      <left/>
      <right style="thin">
        <color rgb="FF000000"/>
      </right>
      <top/>
      <bottom style="thin">
        <color rgb="FF000000"/>
      </bottom>
      <diagonal/>
    </border>
    <border>
      <left style="thin">
        <color rgb="FF000000"/>
      </left>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bottom style="thin">
        <color rgb="FF000000"/>
      </bottom>
      <diagonal/>
    </border>
    <border>
      <left style="thin">
        <color rgb="FF000000"/>
      </left>
      <right/>
      <top style="medium">
        <color indexed="64"/>
      </top>
      <bottom/>
      <diagonal/>
    </border>
    <border>
      <left style="thin">
        <color rgb="FF000000"/>
      </left>
      <right style="thin">
        <color indexed="64"/>
      </right>
      <top/>
      <bottom/>
      <diagonal/>
    </border>
    <border>
      <left style="thin">
        <color rgb="FF000000"/>
      </left>
      <right style="thin">
        <color rgb="FF000000"/>
      </right>
      <top style="medium">
        <color indexed="64"/>
      </top>
      <bottom/>
      <diagonal/>
    </border>
    <border>
      <left style="thin">
        <color indexed="64"/>
      </left>
      <right/>
      <top/>
      <bottom style="thin">
        <color rgb="FF000000"/>
      </bottom>
      <diagonal/>
    </border>
    <border>
      <left style="thin">
        <color indexed="64"/>
      </left>
      <right style="thin">
        <color rgb="FF000000"/>
      </right>
      <top/>
      <bottom/>
      <diagonal/>
    </border>
    <border>
      <left style="thin">
        <color indexed="64"/>
      </left>
      <right style="thin">
        <color rgb="FF000000"/>
      </right>
      <top/>
      <bottom style="medium">
        <color indexed="64"/>
      </bottom>
      <diagonal/>
    </border>
    <border>
      <left style="thin">
        <color indexed="64"/>
      </left>
      <right style="thin">
        <color indexed="64"/>
      </right>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bottom style="medium">
        <color indexed="64"/>
      </bottom>
      <diagonal/>
    </border>
    <border>
      <left/>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medium">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medium">
        <color indexed="64"/>
      </top>
      <bottom/>
      <diagonal/>
    </border>
    <border>
      <left/>
      <right/>
      <top style="medium">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style="thin">
        <color rgb="FF000000"/>
      </top>
      <bottom/>
      <diagonal/>
    </border>
    <border>
      <left/>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indexed="64"/>
      </left>
      <right style="thin">
        <color rgb="FF000000"/>
      </right>
      <top/>
      <bottom style="thin">
        <color indexed="64"/>
      </bottom>
      <diagonal/>
    </border>
    <border>
      <left/>
      <right/>
      <top style="thin">
        <color rgb="FF000000"/>
      </top>
      <bottom/>
      <diagonal/>
    </border>
    <border>
      <left style="thin">
        <color rgb="FF000000"/>
      </left>
      <right style="thin">
        <color indexed="8"/>
      </right>
      <top style="medium">
        <color rgb="FF000000"/>
      </top>
      <bottom/>
      <diagonal/>
    </border>
    <border>
      <left style="thin">
        <color indexed="8"/>
      </left>
      <right style="thin">
        <color rgb="FF000000"/>
      </right>
      <top/>
      <bottom/>
      <diagonal/>
    </border>
    <border>
      <left/>
      <right style="thin">
        <color indexed="8"/>
      </right>
      <top/>
      <bottom style="thin">
        <color rgb="FF000000"/>
      </bottom>
      <diagonal/>
    </border>
    <border>
      <left style="thin">
        <color indexed="8"/>
      </left>
      <right style="thin">
        <color rgb="FF000000"/>
      </right>
      <top/>
      <bottom style="thin">
        <color rgb="FF000000"/>
      </bottom>
      <diagonal/>
    </border>
    <border>
      <left style="thin">
        <color rgb="FF000000"/>
      </left>
      <right style="thin">
        <color rgb="FF000000"/>
      </right>
      <top/>
      <bottom style="thin">
        <color indexed="8"/>
      </bottom>
      <diagonal/>
    </border>
    <border>
      <left style="thin">
        <color indexed="8"/>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thin">
        <color indexed="8"/>
      </right>
      <top style="thin">
        <color rgb="FF000000"/>
      </top>
      <bottom/>
      <diagonal/>
    </border>
    <border>
      <left style="thin">
        <color rgb="FF000000"/>
      </left>
      <right style="thin">
        <color indexed="64"/>
      </right>
      <top style="thin">
        <color rgb="FF000000"/>
      </top>
      <bottom/>
      <diagonal/>
    </border>
    <border>
      <left style="thin">
        <color indexed="64"/>
      </left>
      <right style="thin">
        <color theme="1"/>
      </right>
      <top/>
      <bottom/>
      <diagonal/>
    </border>
    <border>
      <left style="thin">
        <color indexed="64"/>
      </left>
      <right style="thin">
        <color theme="1"/>
      </right>
      <top/>
      <bottom style="thin">
        <color rgb="FF000000"/>
      </bottom>
      <diagonal/>
    </border>
    <border>
      <left style="thin">
        <color indexed="64"/>
      </left>
      <right style="thin">
        <color theme="1"/>
      </right>
      <top/>
      <bottom style="medium">
        <color indexed="64"/>
      </bottom>
      <diagonal/>
    </border>
    <border>
      <left style="thin">
        <color theme="1"/>
      </left>
      <right style="thin">
        <color indexed="64"/>
      </right>
      <top/>
      <bottom/>
      <diagonal/>
    </border>
    <border>
      <left style="thin">
        <color theme="1"/>
      </left>
      <right style="thin">
        <color indexed="64"/>
      </right>
      <top/>
      <bottom style="thin">
        <color rgb="FF000000"/>
      </bottom>
      <diagonal/>
    </border>
    <border>
      <left style="thin">
        <color theme="1"/>
      </left>
      <right style="thin">
        <color indexed="64"/>
      </right>
      <top/>
      <bottom style="medium">
        <color indexed="64"/>
      </bottom>
      <diagonal/>
    </border>
    <border>
      <left style="thin">
        <color rgb="FF000000"/>
      </left>
      <right style="thin">
        <color indexed="8"/>
      </right>
      <top/>
      <bottom/>
      <diagonal/>
    </border>
    <border>
      <left style="thin">
        <color indexed="8"/>
      </left>
      <right/>
      <top style="medium">
        <color rgb="FF000000"/>
      </top>
      <bottom/>
      <diagonal/>
    </border>
    <border>
      <left style="thin">
        <color indexed="8"/>
      </left>
      <right style="thin">
        <color indexed="8"/>
      </right>
      <top style="thin">
        <color rgb="FF000000"/>
      </top>
      <bottom/>
      <diagonal/>
    </border>
    <border>
      <left style="thin">
        <color indexed="8"/>
      </left>
      <right/>
      <top style="thin">
        <color rgb="FF000000"/>
      </top>
      <bottom/>
      <diagonal/>
    </border>
    <border>
      <left/>
      <right style="thin">
        <color indexed="64"/>
      </right>
      <top/>
      <bottom style="thin">
        <color rgb="FF000000"/>
      </bottom>
      <diagonal/>
    </border>
    <border>
      <left style="thin">
        <color indexed="64"/>
      </left>
      <right style="thin">
        <color rgb="FF000000"/>
      </right>
      <top style="thin">
        <color rgb="FF000000"/>
      </top>
      <bottom/>
      <diagonal/>
    </border>
    <border>
      <left/>
      <right/>
      <top style="medium">
        <color rgb="FF000000"/>
      </top>
      <bottom style="medium">
        <color rgb="FF000000"/>
      </bottom>
      <diagonal/>
    </border>
    <border>
      <left/>
      <right style="thin">
        <color theme="1"/>
      </right>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diagonal/>
    </border>
    <border>
      <left/>
      <right/>
      <top/>
      <bottom style="thin">
        <color theme="1"/>
      </bottom>
      <diagonal/>
    </border>
    <border>
      <left/>
      <right style="thin">
        <color theme="1"/>
      </right>
      <top/>
      <bottom style="thin">
        <color theme="1"/>
      </bottom>
      <diagonal/>
    </border>
    <border>
      <left style="thin">
        <color theme="1"/>
      </left>
      <right/>
      <top/>
      <bottom style="thin">
        <color theme="1"/>
      </bottom>
      <diagonal/>
    </border>
    <border>
      <left/>
      <right style="thin">
        <color indexed="64"/>
      </right>
      <top/>
      <bottom style="thin">
        <color theme="1"/>
      </bottom>
      <diagonal/>
    </border>
    <border>
      <left/>
      <right style="thin">
        <color indexed="64"/>
      </right>
      <top style="thin">
        <color theme="1"/>
      </top>
      <bottom/>
      <diagonal/>
    </border>
    <border>
      <left/>
      <right style="thin">
        <color indexed="8"/>
      </right>
      <top style="thin">
        <color rgb="FF000000"/>
      </top>
      <bottom/>
      <diagonal/>
    </border>
    <border>
      <left style="thin">
        <color theme="1"/>
      </left>
      <right/>
      <top/>
      <bottom style="thin">
        <color rgb="FF000000"/>
      </bottom>
      <diagonal/>
    </border>
    <border>
      <left/>
      <right style="thin">
        <color theme="1"/>
      </right>
      <top/>
      <bottom style="thin">
        <color rgb="FF000000"/>
      </bottom>
      <diagonal/>
    </border>
    <border>
      <left/>
      <right/>
      <top style="thin">
        <color auto="1"/>
      </top>
      <bottom/>
      <diagonal/>
    </border>
    <border>
      <left/>
      <right style="thin">
        <color rgb="FF000000"/>
      </right>
      <top style="thin">
        <color auto="1"/>
      </top>
      <bottom/>
      <diagonal/>
    </border>
    <border>
      <left/>
      <right/>
      <top/>
      <bottom style="thin">
        <color auto="1"/>
      </bottom>
      <diagonal/>
    </border>
    <border>
      <left/>
      <right style="thin">
        <color rgb="FF000000"/>
      </right>
      <top/>
      <bottom style="thin">
        <color auto="1"/>
      </bottom>
      <diagonal/>
    </border>
    <border>
      <left style="thin">
        <color rgb="FF000000"/>
      </left>
      <right/>
      <top/>
      <bottom style="thin">
        <color theme="1"/>
      </bottom>
      <diagonal/>
    </border>
    <border>
      <left/>
      <right/>
      <top/>
      <bottom style="medium">
        <color auto="1"/>
      </bottom>
      <diagonal/>
    </border>
    <border>
      <left/>
      <right style="thin">
        <color rgb="FF000000"/>
      </right>
      <top/>
      <bottom style="medium">
        <color auto="1"/>
      </bottom>
      <diagonal/>
    </border>
    <border>
      <left style="thin">
        <color rgb="FF000000"/>
      </left>
      <right/>
      <top/>
      <bottom style="medium">
        <color auto="1"/>
      </bottom>
      <diagonal/>
    </border>
    <border>
      <left style="thin">
        <color indexed="64"/>
      </left>
      <right style="thin">
        <color rgb="FF000000"/>
      </right>
      <top/>
      <bottom style="medium">
        <color auto="1"/>
      </bottom>
      <diagonal/>
    </border>
    <border>
      <left style="thin">
        <color indexed="64"/>
      </left>
      <right style="thin">
        <color indexed="64"/>
      </right>
      <top/>
      <bottom style="medium">
        <color auto="1"/>
      </bottom>
      <diagonal/>
    </border>
    <border>
      <left style="thin">
        <color auto="1"/>
      </left>
      <right style="thin">
        <color auto="1"/>
      </right>
      <top/>
      <bottom/>
      <diagonal/>
    </border>
    <border>
      <left style="thin">
        <color auto="1"/>
      </left>
      <right style="thin">
        <color rgb="FF000000"/>
      </right>
      <top/>
      <bottom/>
      <diagonal/>
    </border>
    <border>
      <left style="thin">
        <color rgb="FF000000"/>
      </left>
      <right style="thin">
        <color indexed="64"/>
      </right>
      <top/>
      <bottom style="thin">
        <color indexed="8"/>
      </bottom>
      <diagonal/>
    </border>
    <border>
      <left style="thin">
        <color indexed="8"/>
      </left>
      <right/>
      <top/>
      <bottom style="medium">
        <color indexed="64"/>
      </bottom>
      <diagonal/>
    </border>
    <border>
      <left/>
      <right style="thin">
        <color indexed="8"/>
      </right>
      <top/>
      <bottom style="thin">
        <color indexed="64"/>
      </bottom>
      <diagonal/>
    </border>
    <border>
      <left style="thin">
        <color indexed="8"/>
      </left>
      <right style="thin">
        <color indexed="8"/>
      </right>
      <top/>
      <bottom style="thin">
        <color indexed="64"/>
      </bottom>
      <diagonal/>
    </border>
    <border>
      <left style="thin">
        <color indexed="8"/>
      </left>
      <right style="thin">
        <color indexed="8"/>
      </right>
      <top style="thin">
        <color indexed="8"/>
      </top>
      <bottom/>
      <diagonal/>
    </border>
    <border>
      <left style="thin">
        <color rgb="FF000000"/>
      </left>
      <right style="thin">
        <color rgb="FF000000"/>
      </right>
      <top style="thin">
        <color indexed="64"/>
      </top>
      <bottom/>
      <diagonal/>
    </border>
    <border>
      <left/>
      <right/>
      <top style="medium">
        <color indexed="64"/>
      </top>
      <bottom style="medium">
        <color rgb="FF000000"/>
      </bottom>
      <diagonal/>
    </border>
    <border>
      <left style="thin">
        <color rgb="FF000000"/>
      </left>
      <right/>
      <top/>
      <bottom style="thin">
        <color indexed="8"/>
      </bottom>
      <diagonal/>
    </border>
    <border>
      <left/>
      <right style="thin">
        <color rgb="FF000000"/>
      </right>
      <top/>
      <bottom style="thin">
        <color indexed="8"/>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indexed="8"/>
      </left>
      <right/>
      <top style="thin">
        <color indexed="8"/>
      </top>
      <bottom/>
      <diagonal/>
    </border>
    <border>
      <left style="thin">
        <color rgb="FF000000"/>
      </left>
      <right style="thin">
        <color indexed="8"/>
      </right>
      <top/>
      <bottom style="thin">
        <color indexed="8"/>
      </bottom>
      <diagonal/>
    </border>
    <border>
      <left style="thin">
        <color indexed="64"/>
      </left>
      <right style="thin">
        <color indexed="8"/>
      </right>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diagonal/>
    </border>
    <border>
      <left style="thin">
        <color indexed="8"/>
      </left>
      <right/>
      <top/>
      <bottom/>
      <diagonal/>
    </border>
    <border>
      <left style="thin">
        <color indexed="8"/>
      </left>
      <right style="thin">
        <color indexed="8"/>
      </right>
      <top/>
      <bottom/>
      <diagonal/>
    </border>
    <border>
      <left style="thin">
        <color rgb="FF000000"/>
      </left>
      <right style="thin">
        <color indexed="64"/>
      </right>
      <top style="medium">
        <color indexed="64"/>
      </top>
      <bottom/>
      <diagonal/>
    </border>
    <border>
      <left style="thin">
        <color rgb="FF000000"/>
      </left>
      <right style="thin">
        <color indexed="64"/>
      </right>
      <top/>
      <bottom style="medium">
        <color auto="1"/>
      </bottom>
      <diagonal/>
    </border>
    <border>
      <left/>
      <right style="thin">
        <color indexed="8"/>
      </right>
      <top style="thin">
        <color indexed="8"/>
      </top>
      <bottom/>
      <diagonal/>
    </border>
    <border>
      <left style="thin">
        <color indexed="64"/>
      </left>
      <right style="thin">
        <color rgb="FF000000"/>
      </right>
      <top/>
      <bottom style="medium">
        <color rgb="FF000000"/>
      </bottom>
      <diagonal/>
    </border>
    <border>
      <left/>
      <right style="thin">
        <color indexed="64"/>
      </right>
      <top style="thin">
        <color rgb="FF000000"/>
      </top>
      <bottom/>
      <diagonal/>
    </border>
    <border>
      <left style="thin">
        <color auto="1"/>
      </left>
      <right style="thin">
        <color rgb="FF000000"/>
      </right>
      <top style="thin">
        <color indexed="64"/>
      </top>
      <bottom/>
      <diagonal/>
    </border>
    <border>
      <left style="thin">
        <color rgb="FF000000"/>
      </left>
      <right style="thin">
        <color indexed="8"/>
      </right>
      <top/>
      <bottom style="medium">
        <color auto="1"/>
      </bottom>
      <diagonal/>
    </border>
    <border>
      <left/>
      <right/>
      <top style="medium">
        <color auto="1"/>
      </top>
      <bottom/>
      <diagonal/>
    </border>
    <border>
      <left style="thin">
        <color rgb="FF000000"/>
      </left>
      <right style="thin">
        <color indexed="8"/>
      </right>
      <top/>
      <bottom style="medium">
        <color indexed="64"/>
      </bottom>
      <diagonal/>
    </border>
    <border>
      <left style="thin">
        <color rgb="FF000000"/>
      </left>
      <right style="thin">
        <color theme="1"/>
      </right>
      <top/>
      <bottom style="medium">
        <color indexed="64"/>
      </bottom>
      <diagonal/>
    </border>
    <border>
      <left style="thin">
        <color rgb="FF000000"/>
      </left>
      <right style="thin">
        <color theme="1"/>
      </right>
      <top/>
      <bottom/>
      <diagonal/>
    </border>
    <border>
      <left style="thin">
        <color rgb="FF000000"/>
      </left>
      <right style="thin">
        <color indexed="64"/>
      </right>
      <top style="medium">
        <color rgb="FF000000"/>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rgb="FF000000"/>
      </left>
      <right style="medium">
        <color indexed="64"/>
      </right>
      <top/>
      <bottom/>
      <diagonal/>
    </border>
    <border>
      <left style="thin">
        <color rgb="FF000000"/>
      </left>
      <right style="thin">
        <color indexed="64"/>
      </right>
      <top style="thin">
        <color indexed="64"/>
      </top>
      <bottom/>
      <diagonal/>
    </border>
    <border>
      <left style="thin">
        <color rgb="FF000000"/>
      </left>
      <right style="thin">
        <color indexed="64"/>
      </right>
      <top/>
      <bottom style="medium">
        <color rgb="FF000000"/>
      </bottom>
      <diagonal/>
    </border>
    <border>
      <left style="thin">
        <color rgb="FF000000"/>
      </left>
      <right style="thin">
        <color theme="1"/>
      </right>
      <top style="medium">
        <color indexed="64"/>
      </top>
      <bottom/>
      <diagonal/>
    </border>
    <border>
      <left style="thin">
        <color theme="1"/>
      </left>
      <right/>
      <top style="medium">
        <color auto="1"/>
      </top>
      <bottom/>
      <diagonal/>
    </border>
    <border>
      <left style="thin">
        <color theme="1"/>
      </left>
      <right style="thin">
        <color rgb="FF000000"/>
      </right>
      <top/>
      <bottom/>
      <diagonal/>
    </border>
    <border>
      <left style="thin">
        <color theme="1"/>
      </left>
      <right style="thin">
        <color rgb="FF000000"/>
      </right>
      <top/>
      <bottom style="thin">
        <color rgb="FF000000"/>
      </bottom>
      <diagonal/>
    </border>
    <border>
      <left style="thin">
        <color theme="1"/>
      </left>
      <right style="thin">
        <color rgb="FF000000"/>
      </right>
      <top/>
      <bottom style="medium">
        <color auto="1"/>
      </bottom>
      <diagonal/>
    </border>
    <border>
      <left style="thin">
        <color theme="1"/>
      </left>
      <right style="thin">
        <color rgb="FF000000"/>
      </right>
      <top style="medium">
        <color rgb="FF000000"/>
      </top>
      <bottom/>
      <diagonal/>
    </border>
    <border>
      <left style="thin">
        <color theme="1"/>
      </left>
      <right style="thin">
        <color rgb="FF000000"/>
      </right>
      <top style="medium">
        <color indexed="64"/>
      </top>
      <bottom/>
      <diagonal/>
    </border>
    <border>
      <left/>
      <right style="thin">
        <color theme="1"/>
      </right>
      <top style="medium">
        <color indexed="64"/>
      </top>
      <bottom/>
      <diagonal/>
    </border>
    <border>
      <left style="thin">
        <color rgb="FF000000"/>
      </left>
      <right style="thin">
        <color theme="1"/>
      </right>
      <top style="medium">
        <color rgb="FF000000"/>
      </top>
      <bottom/>
      <diagonal/>
    </border>
    <border>
      <left style="thin">
        <color theme="1"/>
      </left>
      <right style="thin">
        <color rgb="FF000000"/>
      </right>
      <top/>
      <bottom style="medium">
        <color rgb="FF000000"/>
      </bottom>
      <diagonal/>
    </border>
    <border>
      <left style="thin">
        <color rgb="FF000000"/>
      </left>
      <right style="thin">
        <color theme="1"/>
      </right>
      <top/>
      <bottom style="medium">
        <color rgb="FF000000"/>
      </bottom>
      <diagonal/>
    </border>
    <border>
      <left/>
      <right/>
      <top/>
      <bottom style="medium">
        <color indexed="64"/>
      </bottom>
      <diagonal/>
    </border>
    <border>
      <left style="thin">
        <color indexed="8"/>
      </left>
      <right style="thin">
        <color auto="1"/>
      </right>
      <top/>
      <bottom/>
      <diagonal/>
    </border>
    <border>
      <left style="medium">
        <color theme="8" tint="-0.24994659260841701"/>
      </left>
      <right/>
      <top/>
      <bottom/>
      <diagonal/>
    </border>
    <border>
      <left/>
      <right style="medium">
        <color theme="8" tint="-0.24994659260841701"/>
      </right>
      <top/>
      <bottom/>
      <diagonal/>
    </border>
    <border>
      <left style="hair">
        <color indexed="64"/>
      </left>
      <right style="hair">
        <color indexed="64"/>
      </right>
      <top style="hair">
        <color indexed="64"/>
      </top>
      <bottom style="hair">
        <color indexed="64"/>
      </bottom>
      <diagonal/>
    </border>
    <border>
      <left style="medium">
        <color theme="8" tint="-0.24994659260841701"/>
      </left>
      <right/>
      <top/>
      <bottom style="medium">
        <color theme="8" tint="-0.24994659260841701"/>
      </bottom>
      <diagonal/>
    </border>
    <border>
      <left/>
      <right/>
      <top/>
      <bottom style="medium">
        <color theme="8" tint="-0.24994659260841701"/>
      </bottom>
      <diagonal/>
    </border>
    <border>
      <left/>
      <right style="medium">
        <color theme="8" tint="-0.24994659260841701"/>
      </right>
      <top/>
      <bottom style="medium">
        <color theme="8" tint="-0.24994659260841701"/>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rgb="FF000000"/>
      </right>
      <top/>
      <bottom style="medium">
        <color indexed="64"/>
      </bottom>
      <diagonal/>
    </border>
    <border>
      <left style="thin">
        <color rgb="FF000000"/>
      </left>
      <right/>
      <top style="thin">
        <color auto="1"/>
      </top>
      <bottom/>
      <diagonal/>
    </border>
    <border>
      <left style="thin">
        <color rgb="FF000000"/>
      </left>
      <right style="thin">
        <color rgb="FF000000"/>
      </right>
      <top style="thin">
        <color indexed="8"/>
      </top>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8"/>
      </right>
      <top/>
      <bottom style="medium">
        <color indexed="8"/>
      </bottom>
      <diagonal/>
    </border>
    <border>
      <left style="thin">
        <color indexed="64"/>
      </left>
      <right/>
      <top/>
      <bottom style="medium">
        <color indexed="8"/>
      </bottom>
      <diagonal/>
    </border>
    <border>
      <left/>
      <right/>
      <top/>
      <bottom style="medium">
        <color indexed="64"/>
      </bottom>
      <diagonal/>
    </border>
    <border>
      <left style="thin">
        <color auto="1"/>
      </left>
      <right/>
      <top/>
      <bottom style="medium">
        <color indexed="64"/>
      </bottom>
      <diagonal/>
    </border>
    <border>
      <left/>
      <right style="thin">
        <color auto="1"/>
      </right>
      <top/>
      <bottom style="medium">
        <color indexed="64"/>
      </bottom>
      <diagonal/>
    </border>
    <border>
      <left style="thin">
        <color rgb="FF000000"/>
      </left>
      <right style="thin">
        <color rgb="FF000000"/>
      </right>
      <top style="thin">
        <color auto="1"/>
      </top>
      <bottom/>
      <diagonal/>
    </border>
    <border>
      <left style="thin">
        <color auto="1"/>
      </left>
      <right style="thin">
        <color rgb="FF000000"/>
      </right>
      <top style="medium">
        <color rgb="FF000000"/>
      </top>
      <bottom/>
      <diagonal/>
    </border>
    <border>
      <left style="thin">
        <color rgb="FF000000"/>
      </left>
      <right style="thin">
        <color indexed="64"/>
      </right>
      <top style="thin">
        <color indexed="64"/>
      </top>
      <bottom/>
      <diagonal/>
    </border>
    <border>
      <left style="thin">
        <color auto="1"/>
      </left>
      <right style="thin">
        <color auto="1"/>
      </right>
      <top style="thin">
        <color indexed="64"/>
      </top>
      <bottom/>
      <diagonal/>
    </border>
    <border>
      <left style="thin">
        <color rgb="FF000000"/>
      </left>
      <right/>
      <top style="thin">
        <color indexed="8"/>
      </top>
      <bottom/>
      <diagonal/>
    </border>
    <border>
      <left style="thin">
        <color indexed="8"/>
      </left>
      <right style="thin">
        <color rgb="FF000000"/>
      </right>
      <top/>
      <bottom style="medium">
        <color indexed="64"/>
      </bottom>
      <diagonal/>
    </border>
    <border>
      <left style="thin">
        <color rgb="FF000000"/>
      </left>
      <right style="thin">
        <color indexed="8"/>
      </right>
      <top/>
      <bottom style="medium">
        <color indexed="64"/>
      </bottom>
      <diagonal/>
    </border>
    <border>
      <left style="thin">
        <color indexed="8"/>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theme="1"/>
      </right>
      <top/>
      <bottom style="medium">
        <color indexed="64"/>
      </bottom>
      <diagonal/>
    </border>
    <border>
      <left style="thin">
        <color indexed="8"/>
      </left>
      <right style="thin">
        <color indexed="8"/>
      </right>
      <top style="thin">
        <color auto="1"/>
      </top>
      <bottom/>
      <diagonal/>
    </border>
    <border>
      <left style="thin">
        <color indexed="8"/>
      </left>
      <right/>
      <top style="thin">
        <color indexed="64"/>
      </top>
      <bottom/>
      <diagonal/>
    </border>
    <border>
      <left style="thin">
        <color indexed="8"/>
      </left>
      <right style="thin">
        <color indexed="8"/>
      </right>
      <top style="thin">
        <color indexed="8"/>
      </top>
      <bottom/>
      <diagonal/>
    </border>
    <border>
      <left style="thin">
        <color indexed="64"/>
      </left>
      <right style="thin">
        <color indexed="8"/>
      </right>
      <top/>
      <bottom style="medium">
        <color auto="1"/>
      </bottom>
      <diagonal/>
    </border>
  </borders>
  <cellStyleXfs count="301">
    <xf numFmtId="0" fontId="0" fillId="0" borderId="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1" borderId="0" applyNumberFormat="0" applyBorder="0" applyAlignment="0" applyProtection="0">
      <alignment vertical="center"/>
    </xf>
    <xf numFmtId="0" fontId="21" fillId="11"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2" fillId="19" borderId="0" applyNumberFormat="0" applyBorder="0" applyAlignment="0" applyProtection="0">
      <alignment vertical="center"/>
    </xf>
    <xf numFmtId="0" fontId="22" fillId="19"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4" borderId="0" applyNumberFormat="0" applyBorder="0" applyAlignment="0" applyProtection="0">
      <alignment vertical="center"/>
    </xf>
    <xf numFmtId="0" fontId="22" fillId="24"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28" borderId="0" applyNumberFormat="0" applyBorder="0" applyAlignment="0" applyProtection="0">
      <alignment vertical="center"/>
    </xf>
    <xf numFmtId="0" fontId="22" fillId="28" borderId="0" applyNumberFormat="0" applyBorder="0" applyAlignment="0" applyProtection="0">
      <alignment vertical="center"/>
    </xf>
    <xf numFmtId="0" fontId="22" fillId="2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29" borderId="38" applyNumberFormat="0" applyAlignment="0" applyProtection="0">
      <alignment vertical="center"/>
    </xf>
    <xf numFmtId="0" fontId="24" fillId="29" borderId="38" applyNumberFormat="0" applyAlignment="0" applyProtection="0">
      <alignment vertical="center"/>
    </xf>
    <xf numFmtId="0" fontId="24" fillId="29" borderId="38" applyNumberFormat="0" applyAlignment="0" applyProtection="0">
      <alignment vertical="center"/>
    </xf>
    <xf numFmtId="0" fontId="24" fillId="29" borderId="38" applyNumberFormat="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21" fillId="31" borderId="39" applyNumberFormat="0" applyFont="0" applyAlignment="0" applyProtection="0">
      <alignment vertical="center"/>
    </xf>
    <xf numFmtId="0" fontId="21" fillId="31" borderId="39" applyNumberFormat="0" applyFont="0" applyAlignment="0" applyProtection="0">
      <alignment vertical="center"/>
    </xf>
    <xf numFmtId="0" fontId="21" fillId="31" borderId="39" applyNumberFormat="0" applyFont="0" applyAlignment="0" applyProtection="0">
      <alignment vertical="center"/>
    </xf>
    <xf numFmtId="0" fontId="21" fillId="31" borderId="39" applyNumberFormat="0" applyFont="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6" fillId="32" borderId="0" applyNumberFormat="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33" borderId="40" applyNumberFormat="0" applyAlignment="0" applyProtection="0">
      <alignment vertical="center"/>
    </xf>
    <xf numFmtId="0" fontId="28" fillId="33" borderId="40" applyNumberFormat="0" applyAlignment="0" applyProtection="0">
      <alignment vertical="center"/>
    </xf>
    <xf numFmtId="0" fontId="28" fillId="33" borderId="40" applyNumberFormat="0" applyAlignment="0" applyProtection="0">
      <alignment vertical="center"/>
    </xf>
    <xf numFmtId="0" fontId="28" fillId="33" borderId="40" applyNumberFormat="0" applyAlignment="0" applyProtection="0">
      <alignment vertical="center"/>
    </xf>
    <xf numFmtId="41" fontId="21" fillId="0" borderId="0" applyFont="0" applyFill="0" applyBorder="0" applyAlignment="0" applyProtection="0">
      <alignment vertical="center"/>
    </xf>
    <xf numFmtId="41" fontId="5"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3" fillId="0" borderId="0" applyFont="0" applyFill="0" applyBorder="0" applyAlignment="0" applyProtection="0">
      <alignment vertical="center"/>
    </xf>
    <xf numFmtId="0" fontId="29" fillId="0" borderId="41" applyNumberFormat="0" applyFill="0" applyAlignment="0" applyProtection="0">
      <alignment vertical="center"/>
    </xf>
    <xf numFmtId="0" fontId="29" fillId="0" borderId="41" applyNumberFormat="0" applyFill="0" applyAlignment="0" applyProtection="0">
      <alignment vertical="center"/>
    </xf>
    <xf numFmtId="0" fontId="29" fillId="0" borderId="41" applyNumberFormat="0" applyFill="0" applyAlignment="0" applyProtection="0">
      <alignment vertical="center"/>
    </xf>
    <xf numFmtId="0" fontId="29" fillId="0" borderId="41" applyNumberFormat="0" applyFill="0" applyAlignment="0" applyProtection="0">
      <alignment vertical="center"/>
    </xf>
    <xf numFmtId="0" fontId="30" fillId="0" borderId="42" applyNumberFormat="0" applyFill="0" applyAlignment="0" applyProtection="0">
      <alignment vertical="center"/>
    </xf>
    <xf numFmtId="0" fontId="30" fillId="0" borderId="42" applyNumberFormat="0" applyFill="0" applyAlignment="0" applyProtection="0">
      <alignment vertical="center"/>
    </xf>
    <xf numFmtId="0" fontId="30" fillId="0" borderId="42" applyNumberFormat="0" applyFill="0" applyAlignment="0" applyProtection="0">
      <alignment vertical="center"/>
    </xf>
    <xf numFmtId="0" fontId="30" fillId="0" borderId="42" applyNumberFormat="0" applyFill="0" applyAlignment="0" applyProtection="0">
      <alignment vertical="center"/>
    </xf>
    <xf numFmtId="0" fontId="31" fillId="34" borderId="38" applyNumberFormat="0" applyAlignment="0" applyProtection="0">
      <alignment vertical="center"/>
    </xf>
    <xf numFmtId="0" fontId="31" fillId="34" borderId="38" applyNumberFormat="0" applyAlignment="0" applyProtection="0">
      <alignment vertical="center"/>
    </xf>
    <xf numFmtId="0" fontId="31" fillId="34" borderId="38" applyNumberFormat="0" applyAlignment="0" applyProtection="0">
      <alignment vertical="center"/>
    </xf>
    <xf numFmtId="0" fontId="31" fillId="34" borderId="38" applyNumberFormat="0" applyAlignment="0" applyProtection="0">
      <alignment vertical="center"/>
    </xf>
    <xf numFmtId="0" fontId="32" fillId="0" borderId="0" applyNumberFormat="0" applyFill="0" applyBorder="0" applyAlignment="0" applyProtection="0">
      <alignment vertical="center"/>
    </xf>
    <xf numFmtId="0" fontId="33" fillId="0" borderId="43" applyNumberFormat="0" applyFill="0" applyAlignment="0" applyProtection="0">
      <alignment vertical="center"/>
    </xf>
    <xf numFmtId="0" fontId="33" fillId="0" borderId="43" applyNumberFormat="0" applyFill="0" applyAlignment="0" applyProtection="0">
      <alignment vertical="center"/>
    </xf>
    <xf numFmtId="0" fontId="33" fillId="0" borderId="43" applyNumberFormat="0" applyFill="0" applyAlignment="0" applyProtection="0">
      <alignment vertical="center"/>
    </xf>
    <xf numFmtId="0" fontId="33" fillId="0" borderId="43" applyNumberFormat="0" applyFill="0" applyAlignment="0" applyProtection="0">
      <alignment vertical="center"/>
    </xf>
    <xf numFmtId="0" fontId="34" fillId="0" borderId="44" applyNumberFormat="0" applyFill="0" applyAlignment="0" applyProtection="0">
      <alignment vertical="center"/>
    </xf>
    <xf numFmtId="0" fontId="34" fillId="0" borderId="44" applyNumberFormat="0" applyFill="0" applyAlignment="0" applyProtection="0">
      <alignment vertical="center"/>
    </xf>
    <xf numFmtId="0" fontId="34" fillId="0" borderId="44" applyNumberFormat="0" applyFill="0" applyAlignment="0" applyProtection="0">
      <alignment vertical="center"/>
    </xf>
    <xf numFmtId="0" fontId="34" fillId="0" borderId="44" applyNumberFormat="0" applyFill="0" applyAlignment="0" applyProtection="0">
      <alignment vertical="center"/>
    </xf>
    <xf numFmtId="0" fontId="35" fillId="0" borderId="45" applyNumberFormat="0" applyFill="0" applyAlignment="0" applyProtection="0">
      <alignment vertical="center"/>
    </xf>
    <xf numFmtId="0" fontId="35" fillId="0" borderId="45" applyNumberFormat="0" applyFill="0" applyAlignment="0" applyProtection="0">
      <alignment vertical="center"/>
    </xf>
    <xf numFmtId="0" fontId="35" fillId="0" borderId="45" applyNumberFormat="0" applyFill="0" applyAlignment="0" applyProtection="0">
      <alignment vertical="center"/>
    </xf>
    <xf numFmtId="0" fontId="35" fillId="0" borderId="45" applyNumberFormat="0" applyFill="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7" fillId="29" borderId="46" applyNumberFormat="0" applyAlignment="0" applyProtection="0">
      <alignment vertical="center"/>
    </xf>
    <xf numFmtId="0" fontId="37" fillId="29" borderId="46" applyNumberFormat="0" applyAlignment="0" applyProtection="0">
      <alignment vertical="center"/>
    </xf>
    <xf numFmtId="0" fontId="37" fillId="29" borderId="46" applyNumberFormat="0" applyAlignment="0" applyProtection="0">
      <alignment vertical="center"/>
    </xf>
    <xf numFmtId="0" fontId="37" fillId="29" borderId="46" applyNumberFormat="0" applyAlignment="0" applyProtection="0">
      <alignment vertical="center"/>
    </xf>
    <xf numFmtId="177" fontId="15"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5" fillId="0" borderId="0"/>
    <xf numFmtId="0" fontId="38" fillId="0" borderId="0">
      <alignment vertical="center"/>
    </xf>
    <xf numFmtId="0" fontId="5" fillId="0" borderId="0"/>
    <xf numFmtId="0" fontId="16" fillId="0" borderId="0"/>
    <xf numFmtId="0" fontId="17" fillId="0" borderId="0"/>
    <xf numFmtId="0" fontId="16" fillId="0" borderId="0"/>
    <xf numFmtId="0" fontId="16" fillId="0" borderId="0"/>
    <xf numFmtId="0" fontId="16" fillId="0" borderId="0"/>
    <xf numFmtId="0" fontId="16" fillId="0" borderId="0"/>
    <xf numFmtId="0" fontId="5" fillId="0" borderId="0">
      <alignment vertical="center"/>
    </xf>
    <xf numFmtId="0" fontId="16" fillId="0" borderId="0"/>
    <xf numFmtId="0" fontId="38" fillId="0" borderId="0">
      <alignment vertical="center"/>
    </xf>
    <xf numFmtId="0" fontId="38" fillId="0" borderId="0">
      <alignment vertical="center"/>
    </xf>
    <xf numFmtId="0" fontId="38" fillId="0" borderId="0">
      <alignment vertical="center"/>
    </xf>
    <xf numFmtId="0" fontId="5" fillId="0" borderId="0">
      <alignment vertical="center"/>
    </xf>
    <xf numFmtId="0" fontId="38" fillId="0" borderId="0">
      <alignment vertical="center"/>
    </xf>
    <xf numFmtId="0" fontId="5" fillId="0" borderId="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0" borderId="0" applyNumberFormat="0" applyFill="0" applyBorder="0" applyAlignment="0" applyProtection="0">
      <alignment vertical="center"/>
    </xf>
    <xf numFmtId="0" fontId="24" fillId="29" borderId="38" applyNumberFormat="0" applyAlignment="0" applyProtection="0">
      <alignment vertical="center"/>
    </xf>
    <xf numFmtId="0" fontId="25" fillId="30" borderId="0" applyNumberFormat="0" applyBorder="0" applyAlignment="0" applyProtection="0">
      <alignment vertical="center"/>
    </xf>
    <xf numFmtId="0" fontId="21" fillId="31" borderId="39" applyNumberFormat="0" applyFont="0" applyAlignment="0" applyProtection="0">
      <alignment vertical="center"/>
    </xf>
    <xf numFmtId="0" fontId="26" fillId="32" borderId="0" applyNumberFormat="0" applyBorder="0" applyAlignment="0" applyProtection="0">
      <alignment vertical="center"/>
    </xf>
    <xf numFmtId="0" fontId="27" fillId="0" borderId="0" applyNumberFormat="0" applyFill="0" applyBorder="0" applyAlignment="0" applyProtection="0">
      <alignment vertical="center"/>
    </xf>
    <xf numFmtId="0" fontId="28" fillId="33" borderId="40" applyNumberFormat="0" applyAlignment="0" applyProtection="0">
      <alignment vertical="center"/>
    </xf>
    <xf numFmtId="41" fontId="38"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38" fillId="0" borderId="0" applyFont="0" applyFill="0" applyBorder="0" applyAlignment="0" applyProtection="0">
      <alignment vertical="center"/>
    </xf>
    <xf numFmtId="41" fontId="38" fillId="0" borderId="0" applyFont="0" applyFill="0" applyBorder="0" applyAlignment="0" applyProtection="0">
      <alignment vertical="center"/>
    </xf>
    <xf numFmtId="41" fontId="38" fillId="0" borderId="0" applyFont="0" applyFill="0" applyBorder="0" applyAlignment="0" applyProtection="0">
      <alignment vertical="center"/>
    </xf>
    <xf numFmtId="41" fontId="21" fillId="0" borderId="0" applyFont="0" applyFill="0" applyBorder="0" applyAlignment="0" applyProtection="0">
      <alignment vertical="center"/>
    </xf>
    <xf numFmtId="41" fontId="38" fillId="0" borderId="0" applyFont="0" applyFill="0" applyBorder="0" applyAlignment="0" applyProtection="0">
      <alignment vertical="center"/>
    </xf>
    <xf numFmtId="41" fontId="3" fillId="0" borderId="0" applyFont="0" applyFill="0" applyBorder="0" applyAlignment="0" applyProtection="0">
      <alignment vertical="center"/>
    </xf>
    <xf numFmtId="178" fontId="55" fillId="0" borderId="129" applyNumberFormat="0" applyFont="0" applyFill="0" applyBorder="0" applyAlignment="0" applyProtection="0">
      <alignment horizontal="right" vertical="center" wrapText="1"/>
    </xf>
    <xf numFmtId="0" fontId="29" fillId="0" borderId="41" applyNumberFormat="0" applyFill="0" applyAlignment="0" applyProtection="0">
      <alignment vertical="center"/>
    </xf>
    <xf numFmtId="0" fontId="30" fillId="0" borderId="42" applyNumberFormat="0" applyFill="0" applyAlignment="0" applyProtection="0">
      <alignment vertical="center"/>
    </xf>
    <xf numFmtId="0" fontId="31" fillId="34" borderId="38" applyNumberFormat="0" applyAlignment="0" applyProtection="0">
      <alignment vertical="center"/>
    </xf>
    <xf numFmtId="0" fontId="33" fillId="0" borderId="43" applyNumberFormat="0" applyFill="0" applyAlignment="0" applyProtection="0">
      <alignment vertical="center"/>
    </xf>
    <xf numFmtId="0" fontId="34" fillId="0" borderId="44" applyNumberFormat="0" applyFill="0" applyAlignment="0" applyProtection="0">
      <alignment vertical="center"/>
    </xf>
    <xf numFmtId="0" fontId="35" fillId="0" borderId="45" applyNumberFormat="0" applyFill="0" applyAlignment="0" applyProtection="0">
      <alignment vertical="center"/>
    </xf>
    <xf numFmtId="0" fontId="35"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6" fillId="35" borderId="0" applyNumberFormat="0" applyBorder="0" applyAlignment="0" applyProtection="0">
      <alignment vertical="center"/>
    </xf>
    <xf numFmtId="0" fontId="37" fillId="29" borderId="46" applyNumberFormat="0" applyAlignment="0" applyProtection="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38" fillId="0" borderId="0">
      <alignment vertical="center"/>
    </xf>
    <xf numFmtId="0" fontId="5" fillId="0" borderId="0"/>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5" fillId="0" borderId="0"/>
    <xf numFmtId="0" fontId="5" fillId="0" borderId="0"/>
    <xf numFmtId="0" fontId="5" fillId="0" borderId="0"/>
    <xf numFmtId="0" fontId="16" fillId="0" borderId="0"/>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16" fillId="0" borderId="0"/>
    <xf numFmtId="0" fontId="16" fillId="0" borderId="0"/>
    <xf numFmtId="0" fontId="38"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 fillId="0" borderId="0">
      <alignment vertical="center"/>
    </xf>
    <xf numFmtId="0" fontId="16" fillId="0" borderId="0"/>
    <xf numFmtId="0" fontId="16" fillId="0" borderId="0"/>
    <xf numFmtId="0" fontId="16" fillId="0" borderId="0"/>
    <xf numFmtId="0" fontId="16" fillId="0" borderId="0"/>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41" fontId="21" fillId="0" borderId="0" applyFont="0" applyFill="0" applyBorder="0" applyAlignment="0" applyProtection="0">
      <alignment vertical="center"/>
    </xf>
    <xf numFmtId="41" fontId="5"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3" fillId="0" borderId="0" applyFont="0" applyFill="0" applyBorder="0" applyAlignment="0" applyProtection="0">
      <alignment vertical="center"/>
    </xf>
    <xf numFmtId="0" fontId="56" fillId="0" borderId="0" applyNumberFormat="0" applyFill="0" applyBorder="0" applyAlignment="0" applyProtection="0">
      <alignment vertical="center"/>
    </xf>
    <xf numFmtId="0" fontId="2" fillId="0" borderId="0">
      <alignment vertical="center"/>
    </xf>
    <xf numFmtId="0" fontId="1" fillId="0" borderId="0">
      <alignment vertical="center"/>
    </xf>
    <xf numFmtId="41" fontId="21" fillId="0" borderId="0" applyFont="0" applyFill="0" applyBorder="0" applyAlignment="0" applyProtection="0">
      <alignment vertical="center"/>
    </xf>
    <xf numFmtId="0" fontId="5" fillId="0" borderId="0">
      <alignment vertical="center"/>
    </xf>
  </cellStyleXfs>
  <cellXfs count="2234">
    <xf numFmtId="0" fontId="5" fillId="0" borderId="0" xfId="0" applyFont="1">
      <alignment vertical="center"/>
    </xf>
    <xf numFmtId="0" fontId="4" fillId="36" borderId="0" xfId="0" applyFont="1" applyFill="1" applyAlignment="1">
      <alignment horizontal="left" vertical="center" wrapText="1"/>
    </xf>
    <xf numFmtId="0" fontId="4" fillId="37" borderId="0" xfId="0" applyFont="1" applyFill="1" applyAlignment="1">
      <alignment horizontal="left" vertical="center" wrapText="1"/>
    </xf>
    <xf numFmtId="0" fontId="4" fillId="0" borderId="0" xfId="0" applyFont="1">
      <alignment vertical="center"/>
    </xf>
    <xf numFmtId="0" fontId="8" fillId="0" borderId="0" xfId="0" applyFont="1">
      <alignment vertical="center"/>
    </xf>
    <xf numFmtId="0" fontId="9" fillId="0" borderId="0" xfId="0" applyFont="1">
      <alignment vertical="center"/>
    </xf>
    <xf numFmtId="0" fontId="6" fillId="36" borderId="0" xfId="0" applyFont="1" applyFill="1" applyAlignment="1">
      <alignment horizontal="left" vertical="center" wrapText="1"/>
    </xf>
    <xf numFmtId="0" fontId="11" fillId="36" borderId="47" xfId="0" applyFont="1" applyFill="1" applyBorder="1" applyAlignment="1">
      <alignment horizontal="left" vertical="center" wrapText="1"/>
    </xf>
    <xf numFmtId="0" fontId="11" fillId="37" borderId="47" xfId="0" applyFont="1" applyFill="1" applyBorder="1" applyAlignment="1">
      <alignment horizontal="left" vertical="center" wrapText="1"/>
    </xf>
    <xf numFmtId="0" fontId="11" fillId="37" borderId="50" xfId="0" applyFont="1" applyFill="1" applyBorder="1" applyAlignment="1">
      <alignment horizontal="left" vertical="center" wrapText="1"/>
    </xf>
    <xf numFmtId="0" fontId="4" fillId="37" borderId="2" xfId="0" applyFont="1" applyFill="1" applyBorder="1" applyAlignment="1">
      <alignment horizontal="left" vertical="center" wrapText="1"/>
    </xf>
    <xf numFmtId="0" fontId="40" fillId="0" borderId="0" xfId="0" applyFont="1">
      <alignment vertical="center"/>
    </xf>
    <xf numFmtId="0" fontId="8" fillId="0" borderId="0" xfId="0" applyFont="1" applyAlignment="1">
      <alignment vertical="center"/>
    </xf>
    <xf numFmtId="0" fontId="11" fillId="0" borderId="0" xfId="0" applyFont="1" applyAlignment="1">
      <alignment vertical="center"/>
    </xf>
    <xf numFmtId="0" fontId="39" fillId="0" borderId="0" xfId="0" applyFont="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xf numFmtId="0" fontId="44" fillId="0" borderId="0" xfId="0" applyFont="1">
      <alignment vertical="center"/>
    </xf>
    <xf numFmtId="0" fontId="42" fillId="0" borderId="0" xfId="0" applyFont="1" applyAlignment="1">
      <alignment vertical="center"/>
    </xf>
    <xf numFmtId="0" fontId="42" fillId="0" borderId="0" xfId="0" applyFont="1" applyBorder="1">
      <alignment vertical="center"/>
    </xf>
    <xf numFmtId="0" fontId="5" fillId="0" borderId="0" xfId="0" applyFont="1" applyFill="1">
      <alignment vertical="center"/>
    </xf>
    <xf numFmtId="0" fontId="46" fillId="0" borderId="0" xfId="189" applyFont="1" applyFill="1">
      <alignment vertical="center"/>
    </xf>
    <xf numFmtId="0" fontId="47" fillId="0" borderId="0" xfId="189" applyFont="1" applyFill="1">
      <alignment vertical="center"/>
    </xf>
    <xf numFmtId="0" fontId="38" fillId="0" borderId="0" xfId="189" applyFont="1" applyFill="1">
      <alignment vertical="center"/>
    </xf>
    <xf numFmtId="0" fontId="48" fillId="0" borderId="0" xfId="189" applyFont="1" applyFill="1">
      <alignment vertical="center"/>
    </xf>
    <xf numFmtId="0" fontId="49" fillId="0" borderId="0" xfId="189" applyFont="1" applyFill="1">
      <alignment vertical="center"/>
    </xf>
    <xf numFmtId="0" fontId="50" fillId="0" borderId="0" xfId="189" applyFont="1" applyFill="1" applyAlignment="1">
      <alignment vertical="top"/>
    </xf>
    <xf numFmtId="0" fontId="51" fillId="0" borderId="0" xfId="189" applyFont="1" applyFill="1">
      <alignment vertical="center"/>
    </xf>
    <xf numFmtId="0" fontId="51" fillId="36" borderId="0" xfId="189" applyFont="1" applyFill="1">
      <alignment vertical="center"/>
    </xf>
    <xf numFmtId="0" fontId="51" fillId="37" borderId="0" xfId="189" applyFont="1" applyFill="1">
      <alignment vertical="center"/>
    </xf>
    <xf numFmtId="0" fontId="52" fillId="37" borderId="0" xfId="189" applyFont="1" applyFill="1">
      <alignment vertical="center"/>
    </xf>
    <xf numFmtId="0" fontId="45" fillId="37" borderId="0" xfId="189" applyFont="1" applyFill="1">
      <alignment vertical="center"/>
    </xf>
    <xf numFmtId="0" fontId="46" fillId="0" borderId="0" xfId="190" applyFont="1" applyFill="1">
      <alignment vertical="center"/>
    </xf>
    <xf numFmtId="0" fontId="47" fillId="0" borderId="0" xfId="190" applyFont="1" applyFill="1">
      <alignment vertical="center"/>
    </xf>
    <xf numFmtId="0" fontId="38" fillId="0" borderId="0" xfId="190" applyFont="1" applyFill="1">
      <alignment vertical="center"/>
    </xf>
    <xf numFmtId="0" fontId="45" fillId="0" borderId="0" xfId="190" applyFont="1" applyFill="1">
      <alignment vertical="center"/>
    </xf>
    <xf numFmtId="0" fontId="49" fillId="0" borderId="0" xfId="190" applyFont="1" applyFill="1">
      <alignment vertical="center"/>
    </xf>
    <xf numFmtId="0" fontId="38" fillId="36" borderId="0" xfId="190" applyFont="1" applyFill="1">
      <alignment vertical="center"/>
    </xf>
    <xf numFmtId="0" fontId="38" fillId="37" borderId="0" xfId="190" applyFont="1" applyFill="1">
      <alignment vertical="center"/>
    </xf>
    <xf numFmtId="0" fontId="45" fillId="37" borderId="0" xfId="190" applyFont="1" applyFill="1">
      <alignment vertical="center"/>
    </xf>
    <xf numFmtId="0" fontId="4" fillId="36" borderId="59" xfId="125" applyNumberFormat="1" applyFont="1" applyFill="1" applyBorder="1" applyAlignment="1">
      <alignment horizontal="right" vertical="center" wrapText="1"/>
    </xf>
    <xf numFmtId="0" fontId="4" fillId="37" borderId="59" xfId="125" applyNumberFormat="1" applyFont="1" applyFill="1" applyBorder="1" applyAlignment="1">
      <alignment horizontal="right" vertical="center" wrapText="1"/>
    </xf>
    <xf numFmtId="0" fontId="4" fillId="37" borderId="60" xfId="125" applyNumberFormat="1" applyFont="1" applyFill="1" applyBorder="1" applyAlignment="1">
      <alignment horizontal="right" vertical="center" wrapText="1"/>
    </xf>
    <xf numFmtId="0" fontId="19" fillId="0" borderId="0" xfId="191" applyFont="1">
      <alignment vertical="center"/>
    </xf>
    <xf numFmtId="0" fontId="20" fillId="0" borderId="0" xfId="191" applyFont="1">
      <alignment vertical="center"/>
    </xf>
    <xf numFmtId="0" fontId="38" fillId="0" borderId="0" xfId="191" applyFont="1">
      <alignment vertical="center"/>
    </xf>
    <xf numFmtId="0" fontId="46" fillId="0" borderId="0" xfId="191" applyFont="1">
      <alignment vertical="center"/>
    </xf>
    <xf numFmtId="0" fontId="49" fillId="2" borderId="0" xfId="191" applyFont="1" applyFill="1">
      <alignment vertical="center"/>
    </xf>
    <xf numFmtId="0" fontId="49" fillId="3" borderId="0" xfId="191" applyFont="1" applyFill="1">
      <alignment vertical="center"/>
    </xf>
    <xf numFmtId="0" fontId="49" fillId="0" borderId="0" xfId="191" applyFont="1">
      <alignment vertical="center"/>
    </xf>
    <xf numFmtId="0" fontId="38" fillId="0" borderId="0" xfId="254" applyFont="1">
      <alignment vertical="center"/>
    </xf>
    <xf numFmtId="180" fontId="4" fillId="36" borderId="59" xfId="125" applyNumberFormat="1" applyFont="1" applyFill="1" applyBorder="1" applyAlignment="1">
      <alignment horizontal="right" vertical="center" wrapText="1"/>
    </xf>
    <xf numFmtId="0" fontId="10" fillId="0" borderId="0" xfId="194" applyFont="1" applyFill="1">
      <alignment vertical="center"/>
    </xf>
    <xf numFmtId="0" fontId="11" fillId="0" borderId="0" xfId="194" applyFont="1" applyFill="1">
      <alignment vertical="center"/>
    </xf>
    <xf numFmtId="0" fontId="5" fillId="0" borderId="0" xfId="194" applyFont="1" applyFill="1">
      <alignment vertical="center"/>
    </xf>
    <xf numFmtId="0" fontId="9" fillId="0" borderId="0" xfId="194" applyFont="1" applyFill="1">
      <alignment vertical="center"/>
    </xf>
    <xf numFmtId="0" fontId="8" fillId="0" borderId="0" xfId="194" applyFont="1" applyFill="1">
      <alignment vertical="center"/>
    </xf>
    <xf numFmtId="0" fontId="38" fillId="0" borderId="0" xfId="254" applyFont="1" applyFill="1">
      <alignment vertical="center"/>
    </xf>
    <xf numFmtId="0" fontId="5" fillId="0" borderId="0" xfId="194" applyFont="1" applyFill="1" applyBorder="1">
      <alignment vertical="center"/>
    </xf>
    <xf numFmtId="0" fontId="5" fillId="0" borderId="0" xfId="0" applyFont="1" applyFill="1" applyBorder="1">
      <alignment vertical="center"/>
    </xf>
    <xf numFmtId="0" fontId="4" fillId="36" borderId="162" xfId="0" applyFont="1" applyFill="1" applyBorder="1" applyAlignment="1">
      <alignment horizontal="left" vertical="center" wrapText="1"/>
    </xf>
    <xf numFmtId="0" fontId="11" fillId="36" borderId="69" xfId="0" applyFont="1" applyFill="1" applyBorder="1" applyAlignment="1">
      <alignment horizontal="left" vertical="center" wrapText="1"/>
    </xf>
    <xf numFmtId="0" fontId="4" fillId="37" borderId="164" xfId="0" applyFont="1" applyFill="1" applyBorder="1" applyAlignment="1">
      <alignment horizontal="left" vertical="center" wrapText="1"/>
    </xf>
    <xf numFmtId="0" fontId="4" fillId="37" borderId="166" xfId="0" applyFont="1" applyFill="1" applyBorder="1" applyAlignment="1">
      <alignment horizontal="left" vertical="center" wrapText="1"/>
    </xf>
    <xf numFmtId="0" fontId="4" fillId="36" borderId="164" xfId="0" applyFont="1" applyFill="1" applyBorder="1" applyAlignment="1">
      <alignment horizontal="left" vertical="center" wrapText="1"/>
    </xf>
    <xf numFmtId="182" fontId="4" fillId="36" borderId="59" xfId="125" applyNumberFormat="1" applyFont="1" applyFill="1" applyBorder="1" applyAlignment="1">
      <alignment horizontal="right" vertical="center" wrapText="1"/>
    </xf>
    <xf numFmtId="182" fontId="4" fillId="37" borderId="59" xfId="125" applyNumberFormat="1" applyFont="1" applyFill="1" applyBorder="1" applyAlignment="1">
      <alignment horizontal="right" vertical="center" wrapText="1"/>
    </xf>
    <xf numFmtId="182" fontId="4" fillId="37" borderId="60" xfId="125" applyNumberFormat="1" applyFont="1" applyFill="1" applyBorder="1" applyAlignment="1">
      <alignment horizontal="right" vertical="center" wrapText="1"/>
    </xf>
    <xf numFmtId="182" fontId="4" fillId="36" borderId="163" xfId="125" applyNumberFormat="1" applyFont="1" applyFill="1" applyBorder="1" applyAlignment="1">
      <alignment horizontal="right" vertical="center" wrapText="1"/>
    </xf>
    <xf numFmtId="182" fontId="4" fillId="37" borderId="165" xfId="125" applyNumberFormat="1" applyFont="1" applyFill="1" applyBorder="1" applyAlignment="1">
      <alignment horizontal="right" vertical="center" wrapText="1"/>
    </xf>
    <xf numFmtId="182" fontId="4" fillId="37" borderId="167" xfId="125" applyNumberFormat="1" applyFont="1" applyFill="1" applyBorder="1" applyAlignment="1">
      <alignment horizontal="right" vertical="center" wrapText="1"/>
    </xf>
    <xf numFmtId="182" fontId="5" fillId="0" borderId="0" xfId="0" applyNumberFormat="1" applyFont="1">
      <alignment vertical="center"/>
    </xf>
    <xf numFmtId="182" fontId="4" fillId="37" borderId="169" xfId="125" applyNumberFormat="1" applyFont="1" applyFill="1" applyBorder="1" applyAlignment="1">
      <alignment horizontal="right" vertical="center" wrapText="1"/>
    </xf>
    <xf numFmtId="182" fontId="4" fillId="36" borderId="165" xfId="125" applyNumberFormat="1" applyFont="1" applyFill="1" applyBorder="1" applyAlignment="1">
      <alignment horizontal="right" vertical="center" wrapText="1"/>
    </xf>
    <xf numFmtId="182" fontId="4" fillId="37" borderId="170" xfId="125" applyNumberFormat="1" applyFont="1" applyFill="1" applyBorder="1" applyAlignment="1">
      <alignment horizontal="right" vertical="center" wrapText="1"/>
    </xf>
    <xf numFmtId="182" fontId="4" fillId="45" borderId="168" xfId="125" applyNumberFormat="1" applyFont="1" applyFill="1" applyBorder="1" applyAlignment="1">
      <alignment horizontal="right" vertical="center" wrapText="1"/>
    </xf>
    <xf numFmtId="182" fontId="4" fillId="45" borderId="169" xfId="125" applyNumberFormat="1" applyFont="1" applyFill="1" applyBorder="1" applyAlignment="1">
      <alignment horizontal="right" vertical="center" wrapText="1"/>
    </xf>
    <xf numFmtId="41" fontId="4" fillId="0" borderId="0" xfId="125" applyFont="1" applyFill="1">
      <alignment vertical="center"/>
    </xf>
    <xf numFmtId="41" fontId="5" fillId="0" borderId="0" xfId="125" applyFont="1" applyFill="1">
      <alignment vertical="center"/>
    </xf>
    <xf numFmtId="41" fontId="7" fillId="0" borderId="0" xfId="125" applyFont="1" applyFill="1">
      <alignment vertical="center"/>
    </xf>
    <xf numFmtId="41" fontId="63" fillId="0" borderId="66" xfId="125" applyFont="1" applyBorder="1" applyAlignment="1">
      <alignment horizontal="center" vertical="center" wrapText="1"/>
    </xf>
    <xf numFmtId="41" fontId="59" fillId="36" borderId="0" xfId="125" applyFont="1" applyFill="1" applyBorder="1" applyAlignment="1">
      <alignment horizontal="left" vertical="center" wrapText="1"/>
    </xf>
    <xf numFmtId="41" fontId="61" fillId="36" borderId="23" xfId="125" applyFont="1" applyFill="1" applyBorder="1" applyAlignment="1">
      <alignment horizontal="left" vertical="center" wrapText="1"/>
    </xf>
    <xf numFmtId="41" fontId="59" fillId="4" borderId="146" xfId="0" applyNumberFormat="1" applyFont="1" applyFill="1" applyBorder="1" applyAlignment="1">
      <alignment horizontal="right" vertical="center" wrapText="1"/>
    </xf>
    <xf numFmtId="41" fontId="59" fillId="37" borderId="0" xfId="125" applyFont="1" applyFill="1" applyBorder="1" applyAlignment="1">
      <alignment horizontal="left" vertical="center" wrapText="1"/>
    </xf>
    <xf numFmtId="41" fontId="61" fillId="37" borderId="23" xfId="125" applyFont="1" applyFill="1" applyBorder="1" applyAlignment="1">
      <alignment horizontal="left" vertical="center" wrapText="1"/>
    </xf>
    <xf numFmtId="41" fontId="59" fillId="0" borderId="13" xfId="0" applyNumberFormat="1" applyFont="1" applyBorder="1" applyAlignment="1">
      <alignment horizontal="right" vertical="center" wrapText="1"/>
    </xf>
    <xf numFmtId="41" fontId="61" fillId="37" borderId="24" xfId="125" applyFont="1" applyFill="1" applyBorder="1" applyAlignment="1">
      <alignment horizontal="left" vertical="center" wrapText="1"/>
    </xf>
    <xf numFmtId="41" fontId="59" fillId="36" borderId="0" xfId="125" applyFont="1" applyFill="1" applyAlignment="1">
      <alignment horizontal="left" vertical="center" wrapText="1"/>
    </xf>
    <xf numFmtId="41" fontId="61" fillId="36" borderId="25" xfId="125" applyFont="1" applyFill="1" applyBorder="1" applyAlignment="1">
      <alignment horizontal="left" vertical="center" wrapText="1"/>
    </xf>
    <xf numFmtId="41" fontId="59" fillId="36" borderId="47" xfId="125" applyFont="1" applyFill="1" applyBorder="1" applyAlignment="1">
      <alignment horizontal="right" vertical="center" wrapText="1"/>
    </xf>
    <xf numFmtId="41" fontId="59" fillId="36" borderId="48" xfId="125" applyFont="1" applyFill="1" applyBorder="1" applyAlignment="1">
      <alignment horizontal="right" vertical="center" wrapText="1"/>
    </xf>
    <xf numFmtId="41" fontId="59" fillId="36" borderId="57" xfId="125" applyFont="1" applyFill="1" applyBorder="1" applyAlignment="1">
      <alignment horizontal="right" vertical="center" wrapText="1"/>
    </xf>
    <xf numFmtId="41" fontId="59" fillId="37" borderId="0" xfId="125" applyFont="1" applyFill="1" applyAlignment="1">
      <alignment horizontal="left" vertical="center" wrapText="1"/>
    </xf>
    <xf numFmtId="41" fontId="59" fillId="37" borderId="47" xfId="125" applyFont="1" applyFill="1" applyBorder="1" applyAlignment="1">
      <alignment horizontal="right" vertical="center" wrapText="1"/>
    </xf>
    <xf numFmtId="41" fontId="59" fillId="37" borderId="48" xfId="125" applyFont="1" applyFill="1" applyBorder="1" applyAlignment="1">
      <alignment horizontal="right" vertical="center" wrapText="1"/>
    </xf>
    <xf numFmtId="41" fontId="59" fillId="37" borderId="49" xfId="125" applyFont="1" applyFill="1" applyBorder="1" applyAlignment="1">
      <alignment horizontal="right" vertical="center" wrapText="1"/>
    </xf>
    <xf numFmtId="41" fontId="59" fillId="36" borderId="49" xfId="125" applyFont="1" applyFill="1" applyBorder="1" applyAlignment="1">
      <alignment horizontal="right" vertical="center" wrapText="1"/>
    </xf>
    <xf numFmtId="41" fontId="59" fillId="37" borderId="50" xfId="125" applyFont="1" applyFill="1" applyBorder="1" applyAlignment="1">
      <alignment horizontal="right" vertical="center" wrapText="1"/>
    </xf>
    <xf numFmtId="41" fontId="59" fillId="37" borderId="53" xfId="125" applyFont="1" applyFill="1" applyBorder="1" applyAlignment="1">
      <alignment horizontal="right" vertical="center" wrapText="1"/>
    </xf>
    <xf numFmtId="41" fontId="59" fillId="37" borderId="52" xfId="125" applyFont="1" applyFill="1" applyBorder="1" applyAlignment="1">
      <alignment horizontal="right" vertical="center" wrapText="1"/>
    </xf>
    <xf numFmtId="41" fontId="61" fillId="36" borderId="0" xfId="125" applyFont="1" applyFill="1" applyAlignment="1">
      <alignment horizontal="left" vertical="center" wrapText="1"/>
    </xf>
    <xf numFmtId="41" fontId="59" fillId="37" borderId="13" xfId="125" applyFont="1" applyFill="1" applyBorder="1" applyAlignment="1">
      <alignment horizontal="right" vertical="center" wrapText="1"/>
    </xf>
    <xf numFmtId="41" fontId="59" fillId="0" borderId="0" xfId="125" applyFont="1">
      <alignment vertical="center"/>
    </xf>
    <xf numFmtId="41" fontId="61" fillId="0" borderId="0" xfId="125" applyFont="1">
      <alignment vertical="center"/>
    </xf>
    <xf numFmtId="41" fontId="64" fillId="0" borderId="0" xfId="125" applyFont="1">
      <alignment vertical="center"/>
    </xf>
    <xf numFmtId="41" fontId="59" fillId="36" borderId="55" xfId="125" applyFont="1" applyFill="1" applyBorder="1" applyAlignment="1">
      <alignment horizontal="right" vertical="center" wrapText="1"/>
    </xf>
    <xf numFmtId="41" fontId="61" fillId="36" borderId="0" xfId="125" applyFont="1" applyFill="1" applyBorder="1" applyAlignment="1">
      <alignment horizontal="left" vertical="center" wrapText="1"/>
    </xf>
    <xf numFmtId="41" fontId="59" fillId="0" borderId="0" xfId="125" applyFont="1" applyBorder="1">
      <alignment vertical="center"/>
    </xf>
    <xf numFmtId="41" fontId="61" fillId="0" borderId="0" xfId="125" applyFont="1" applyBorder="1">
      <alignment vertical="center"/>
    </xf>
    <xf numFmtId="41" fontId="64" fillId="0" borderId="0" xfId="125" applyFont="1" applyBorder="1">
      <alignment vertical="center"/>
    </xf>
    <xf numFmtId="41" fontId="4" fillId="0" borderId="0" xfId="125" applyFont="1" applyFill="1" applyBorder="1">
      <alignment vertical="center"/>
    </xf>
    <xf numFmtId="41" fontId="8" fillId="0" borderId="0" xfId="125" applyFont="1" applyFill="1" applyBorder="1">
      <alignment vertical="center"/>
    </xf>
    <xf numFmtId="41" fontId="5" fillId="0" borderId="0" xfId="125" applyFont="1" applyFill="1" applyBorder="1">
      <alignment vertical="center"/>
    </xf>
    <xf numFmtId="41" fontId="7" fillId="0" borderId="0" xfId="125" applyFont="1" applyFill="1" applyBorder="1">
      <alignment vertical="center"/>
    </xf>
    <xf numFmtId="41" fontId="61" fillId="0" borderId="70" xfId="125" applyFont="1" applyBorder="1" applyAlignment="1">
      <alignment horizontal="center" vertical="center" wrapText="1"/>
    </xf>
    <xf numFmtId="41" fontId="61" fillId="0" borderId="72" xfId="125" applyFont="1" applyBorder="1" applyAlignment="1">
      <alignment horizontal="center" vertical="center" wrapText="1"/>
    </xf>
    <xf numFmtId="41" fontId="61" fillId="0" borderId="71" xfId="125" applyFont="1" applyBorder="1" applyAlignment="1">
      <alignment horizontal="center" vertical="center" wrapText="1"/>
    </xf>
    <xf numFmtId="41" fontId="59" fillId="36" borderId="23" xfId="125" applyFont="1" applyFill="1" applyBorder="1" applyAlignment="1">
      <alignment horizontal="left" vertical="center" wrapText="1"/>
    </xf>
    <xf numFmtId="41" fontId="59" fillId="37" borderId="23" xfId="125" applyFont="1" applyFill="1" applyBorder="1" applyAlignment="1">
      <alignment horizontal="left" vertical="center" wrapText="1"/>
    </xf>
    <xf numFmtId="41" fontId="59" fillId="36" borderId="25" xfId="125" applyFont="1" applyFill="1" applyBorder="1" applyAlignment="1">
      <alignment horizontal="left" vertical="center" wrapText="1"/>
    </xf>
    <xf numFmtId="0" fontId="4" fillId="0" borderId="0" xfId="0" applyFont="1" applyFill="1" applyBorder="1">
      <alignment vertical="center"/>
    </xf>
    <xf numFmtId="0" fontId="58" fillId="0" borderId="0" xfId="0" applyFont="1" applyFill="1" applyBorder="1">
      <alignment vertical="center"/>
    </xf>
    <xf numFmtId="0" fontId="8" fillId="0" borderId="0" xfId="0" applyFont="1" applyFill="1" applyBorder="1">
      <alignment vertical="center"/>
    </xf>
    <xf numFmtId="0" fontId="9" fillId="0" borderId="0" xfId="0" applyFont="1" applyFill="1" applyBorder="1">
      <alignment vertical="center"/>
    </xf>
    <xf numFmtId="0" fontId="59" fillId="0" borderId="0" xfId="0" applyFont="1" applyAlignment="1">
      <alignment vertical="center" wrapText="1"/>
    </xf>
    <xf numFmtId="0" fontId="62" fillId="0" borderId="55" xfId="0" applyFont="1" applyBorder="1" applyAlignment="1">
      <alignment horizontal="center" wrapText="1"/>
    </xf>
    <xf numFmtId="0" fontId="59" fillId="36" borderId="0" xfId="0" applyFont="1" applyFill="1" applyAlignment="1">
      <alignment horizontal="left" vertical="center" wrapText="1"/>
    </xf>
    <xf numFmtId="0" fontId="61" fillId="36" borderId="47" xfId="0" applyFont="1" applyFill="1" applyBorder="1" applyAlignment="1">
      <alignment horizontal="left" vertical="center" wrapText="1"/>
    </xf>
    <xf numFmtId="0" fontId="59" fillId="37" borderId="0" xfId="0" applyFont="1" applyFill="1" applyAlignment="1">
      <alignment horizontal="left" vertical="center" wrapText="1"/>
    </xf>
    <xf numFmtId="0" fontId="61" fillId="37" borderId="47" xfId="0" applyFont="1" applyFill="1" applyBorder="1" applyAlignment="1">
      <alignment horizontal="left" vertical="center" wrapText="1"/>
    </xf>
    <xf numFmtId="0" fontId="61" fillId="37" borderId="50" xfId="0" applyFont="1" applyFill="1" applyBorder="1" applyAlignment="1">
      <alignment horizontal="left" vertical="center" wrapText="1"/>
    </xf>
    <xf numFmtId="41" fontId="59" fillId="36" borderId="47" xfId="0" applyNumberFormat="1" applyFont="1" applyFill="1" applyBorder="1" applyAlignment="1">
      <alignment horizontal="right" vertical="center" wrapText="1"/>
    </xf>
    <xf numFmtId="41" fontId="59" fillId="36" borderId="57" xfId="0" applyNumberFormat="1" applyFont="1" applyFill="1" applyBorder="1" applyAlignment="1">
      <alignment horizontal="right" vertical="center" wrapText="1"/>
    </xf>
    <xf numFmtId="41" fontId="59" fillId="37" borderId="47" xfId="0" applyNumberFormat="1" applyFont="1" applyFill="1" applyBorder="1" applyAlignment="1">
      <alignment horizontal="right" vertical="center" wrapText="1"/>
    </xf>
    <xf numFmtId="41" fontId="59" fillId="37" borderId="48" xfId="0" applyNumberFormat="1" applyFont="1" applyFill="1" applyBorder="1" applyAlignment="1">
      <alignment horizontal="right" vertical="center" wrapText="1"/>
    </xf>
    <xf numFmtId="41" fontId="59" fillId="37" borderId="56" xfId="0" applyNumberFormat="1" applyFont="1" applyFill="1" applyBorder="1" applyAlignment="1">
      <alignment horizontal="right" vertical="center" wrapText="1"/>
    </xf>
    <xf numFmtId="41" fontId="59" fillId="37" borderId="59" xfId="0" applyNumberFormat="1" applyFont="1" applyFill="1" applyBorder="1" applyAlignment="1">
      <alignment horizontal="right" vertical="center" wrapText="1"/>
    </xf>
    <xf numFmtId="41" fontId="59" fillId="36" borderId="48" xfId="0" applyNumberFormat="1" applyFont="1" applyFill="1" applyBorder="1" applyAlignment="1">
      <alignment horizontal="right" vertical="center" wrapText="1"/>
    </xf>
    <xf numFmtId="41" fontId="59" fillId="36" borderId="56" xfId="0" applyNumberFormat="1" applyFont="1" applyFill="1" applyBorder="1" applyAlignment="1">
      <alignment horizontal="right" vertical="center" wrapText="1"/>
    </xf>
    <xf numFmtId="41" fontId="59" fillId="36" borderId="59" xfId="0" applyNumberFormat="1" applyFont="1" applyFill="1" applyBorder="1" applyAlignment="1">
      <alignment horizontal="right" vertical="center" wrapText="1"/>
    </xf>
    <xf numFmtId="41" fontId="59" fillId="37" borderId="49" xfId="0" applyNumberFormat="1" applyFont="1" applyFill="1" applyBorder="1" applyAlignment="1">
      <alignment horizontal="right" vertical="center" wrapText="1"/>
    </xf>
    <xf numFmtId="41" fontId="59" fillId="37" borderId="50" xfId="0" applyNumberFormat="1" applyFont="1" applyFill="1" applyBorder="1" applyAlignment="1">
      <alignment horizontal="right" vertical="center" wrapText="1"/>
    </xf>
    <xf numFmtId="41" fontId="59" fillId="37" borderId="53" xfId="0" applyNumberFormat="1" applyFont="1" applyFill="1" applyBorder="1" applyAlignment="1">
      <alignment horizontal="right" vertical="center" wrapText="1"/>
    </xf>
    <xf numFmtId="41" fontId="59" fillId="37" borderId="151" xfId="0" applyNumberFormat="1" applyFont="1" applyFill="1" applyBorder="1" applyAlignment="1">
      <alignment horizontal="right" vertical="center" wrapText="1"/>
    </xf>
    <xf numFmtId="41" fontId="59" fillId="37" borderId="127" xfId="0" applyNumberFormat="1" applyFont="1" applyFill="1" applyBorder="1" applyAlignment="1">
      <alignment horizontal="right" vertical="center" wrapText="1"/>
    </xf>
    <xf numFmtId="41" fontId="59" fillId="37" borderId="124" xfId="0" applyNumberFormat="1" applyFont="1" applyFill="1" applyBorder="1" applyAlignment="1">
      <alignment horizontal="right" vertical="center" wrapText="1"/>
    </xf>
    <xf numFmtId="41" fontId="59" fillId="4" borderId="57" xfId="172" applyNumberFormat="1" applyFont="1" applyFill="1" applyBorder="1" applyAlignment="1">
      <alignment horizontal="right" vertical="center" wrapText="1"/>
    </xf>
    <xf numFmtId="41" fontId="59" fillId="0" borderId="48" xfId="172" applyNumberFormat="1" applyFont="1" applyBorder="1" applyAlignment="1">
      <alignment horizontal="right" vertical="center" wrapText="1"/>
    </xf>
    <xf numFmtId="41" fontId="59" fillId="4" borderId="48" xfId="172" applyNumberFormat="1" applyFont="1" applyFill="1" applyBorder="1" applyAlignment="1">
      <alignment horizontal="right" vertical="center" wrapText="1"/>
    </xf>
    <xf numFmtId="41" fontId="59" fillId="37" borderId="126" xfId="0" applyNumberFormat="1" applyFont="1" applyFill="1" applyBorder="1" applyAlignment="1">
      <alignment horizontal="right" vertical="center" wrapText="1"/>
    </xf>
    <xf numFmtId="0" fontId="64" fillId="0" borderId="0" xfId="0" applyFont="1">
      <alignment vertical="center"/>
    </xf>
    <xf numFmtId="0" fontId="61" fillId="0" borderId="0" xfId="0" applyFont="1">
      <alignment vertical="center"/>
    </xf>
    <xf numFmtId="0" fontId="64" fillId="0" borderId="0" xfId="0" applyFont="1" applyBorder="1">
      <alignment vertical="center"/>
    </xf>
    <xf numFmtId="0" fontId="65" fillId="0" borderId="0" xfId="0" applyFont="1">
      <alignment vertical="center"/>
    </xf>
    <xf numFmtId="0" fontId="11" fillId="0" borderId="0" xfId="0" applyFont="1" applyFill="1" applyBorder="1">
      <alignment vertical="center"/>
    </xf>
    <xf numFmtId="0" fontId="62" fillId="0" borderId="150" xfId="0" applyFont="1" applyBorder="1" applyAlignment="1">
      <alignment horizontal="center" vertical="center" wrapText="1"/>
    </xf>
    <xf numFmtId="0" fontId="61" fillId="0" borderId="62" xfId="0" applyFont="1" applyBorder="1" applyAlignment="1">
      <alignment horizontal="center" vertical="center" wrapText="1"/>
    </xf>
    <xf numFmtId="0" fontId="62" fillId="0" borderId="51" xfId="0" applyFont="1" applyBorder="1" applyAlignment="1">
      <alignment horizontal="center" vertical="center" wrapText="1"/>
    </xf>
    <xf numFmtId="41" fontId="59" fillId="39" borderId="48" xfId="0" applyNumberFormat="1" applyFont="1" applyFill="1" applyBorder="1" applyAlignment="1">
      <alignment horizontal="right" vertical="center" wrapText="1"/>
    </xf>
    <xf numFmtId="41" fontId="59" fillId="39" borderId="76" xfId="0" applyNumberFormat="1" applyFont="1" applyFill="1" applyBorder="1" applyAlignment="1">
      <alignment horizontal="right" vertical="center" wrapText="1"/>
    </xf>
    <xf numFmtId="41" fontId="59" fillId="38" borderId="57" xfId="0" applyNumberFormat="1" applyFont="1" applyFill="1" applyBorder="1" applyAlignment="1">
      <alignment horizontal="right" vertical="center" wrapText="1"/>
    </xf>
    <xf numFmtId="41" fontId="59" fillId="38" borderId="55" xfId="0" applyNumberFormat="1" applyFont="1" applyFill="1" applyBorder="1" applyAlignment="1">
      <alignment horizontal="right" vertical="center" wrapText="1"/>
    </xf>
    <xf numFmtId="41" fontId="59" fillId="39" borderId="49" xfId="0" applyNumberFormat="1" applyFont="1" applyFill="1" applyBorder="1" applyAlignment="1">
      <alignment horizontal="right" vertical="center" wrapText="1"/>
    </xf>
    <xf numFmtId="41" fontId="59" fillId="38" borderId="48" xfId="0" applyNumberFormat="1" applyFont="1" applyFill="1" applyBorder="1" applyAlignment="1">
      <alignment horizontal="right" vertical="center" wrapText="1"/>
    </xf>
    <xf numFmtId="41" fontId="59" fillId="38" borderId="49" xfId="0" applyNumberFormat="1" applyFont="1" applyFill="1" applyBorder="1" applyAlignment="1">
      <alignment horizontal="right" vertical="center" wrapText="1"/>
    </xf>
    <xf numFmtId="41" fontId="59" fillId="39" borderId="53" xfId="0" applyNumberFormat="1" applyFont="1" applyFill="1" applyBorder="1" applyAlignment="1">
      <alignment horizontal="right" vertical="center" wrapText="1"/>
    </xf>
    <xf numFmtId="41" fontId="12" fillId="0" borderId="0" xfId="125" applyFont="1" applyFill="1" applyBorder="1">
      <alignment vertical="center"/>
    </xf>
    <xf numFmtId="41" fontId="9" fillId="0" borderId="0" xfId="125" applyFont="1" applyFill="1" applyBorder="1">
      <alignment vertical="center"/>
    </xf>
    <xf numFmtId="41" fontId="61" fillId="36" borderId="47" xfId="125" applyFont="1" applyFill="1" applyBorder="1" applyAlignment="1">
      <alignment horizontal="left" vertical="center" wrapText="1"/>
    </xf>
    <xf numFmtId="41" fontId="59" fillId="36" borderId="0" xfId="125" applyFont="1" applyFill="1" applyBorder="1" applyAlignment="1">
      <alignment horizontal="right" vertical="center" wrapText="1"/>
    </xf>
    <xf numFmtId="41" fontId="61" fillId="37" borderId="47" xfId="125" applyFont="1" applyFill="1" applyBorder="1" applyAlignment="1">
      <alignment horizontal="left" vertical="center" wrapText="1"/>
    </xf>
    <xf numFmtId="41" fontId="59" fillId="37" borderId="0" xfId="125" applyFont="1" applyFill="1" applyBorder="1" applyAlignment="1">
      <alignment horizontal="right" vertical="center" wrapText="1"/>
    </xf>
    <xf numFmtId="41" fontId="61" fillId="37" borderId="50" xfId="125" applyFont="1" applyFill="1" applyBorder="1" applyAlignment="1">
      <alignment horizontal="left" vertical="center" wrapText="1"/>
    </xf>
    <xf numFmtId="41" fontId="65" fillId="0" borderId="0" xfId="125" applyFont="1">
      <alignment vertical="center"/>
    </xf>
    <xf numFmtId="41" fontId="11" fillId="0" borderId="0" xfId="125" applyFont="1" applyFill="1" applyBorder="1">
      <alignment vertical="center"/>
    </xf>
    <xf numFmtId="41" fontId="62" fillId="0" borderId="150" xfId="125" applyFont="1" applyBorder="1" applyAlignment="1">
      <alignment horizontal="center" vertical="center" wrapText="1"/>
    </xf>
    <xf numFmtId="41" fontId="61" fillId="0" borderId="56" xfId="125" applyFont="1" applyBorder="1" applyAlignment="1">
      <alignment horizontal="center" vertical="center" wrapText="1"/>
    </xf>
    <xf numFmtId="41" fontId="59" fillId="0" borderId="56" xfId="125" applyFont="1" applyBorder="1" applyAlignment="1">
      <alignment horizontal="center" vertical="center" wrapText="1"/>
    </xf>
    <xf numFmtId="41" fontId="63" fillId="0" borderId="56" xfId="125" applyFont="1" applyBorder="1" applyAlignment="1">
      <alignment horizontal="center" vertical="center" wrapText="1"/>
    </xf>
    <xf numFmtId="41" fontId="63" fillId="0" borderId="13" xfId="125" applyFont="1" applyBorder="1" applyAlignment="1">
      <alignment horizontal="center" vertical="center" wrapText="1"/>
    </xf>
    <xf numFmtId="41" fontId="63" fillId="0" borderId="59" xfId="125" applyFont="1" applyBorder="1" applyAlignment="1">
      <alignment horizontal="center" vertical="center" wrapText="1"/>
    </xf>
    <xf numFmtId="41" fontId="59" fillId="0" borderId="62" xfId="125" applyFont="1" applyBorder="1" applyAlignment="1">
      <alignment horizontal="center" vertical="center" wrapText="1"/>
    </xf>
    <xf numFmtId="41" fontId="59" fillId="0" borderId="54" xfId="125" applyFont="1" applyBorder="1" applyAlignment="1">
      <alignment horizontal="center" vertical="center" wrapText="1"/>
    </xf>
    <xf numFmtId="41" fontId="59" fillId="0" borderId="61" xfId="125" applyFont="1" applyBorder="1" applyAlignment="1">
      <alignment horizontal="center" vertical="center" wrapText="1"/>
    </xf>
    <xf numFmtId="41" fontId="59" fillId="0" borderId="65" xfId="125" applyFont="1" applyBorder="1" applyAlignment="1">
      <alignment horizontal="center" vertical="center" wrapText="1"/>
    </xf>
    <xf numFmtId="41" fontId="59" fillId="36" borderId="56" xfId="125" applyFont="1" applyFill="1" applyBorder="1" applyAlignment="1">
      <alignment horizontal="right" vertical="center" wrapText="1"/>
    </xf>
    <xf numFmtId="41" fontId="59" fillId="36" borderId="13" xfId="125" applyFont="1" applyFill="1" applyBorder="1" applyAlignment="1">
      <alignment horizontal="right" vertical="center" wrapText="1"/>
    </xf>
    <xf numFmtId="41" fontId="59" fillId="36" borderId="59" xfId="125" applyFont="1" applyFill="1" applyBorder="1" applyAlignment="1">
      <alignment horizontal="right" vertical="center" wrapText="1"/>
    </xf>
    <xf numFmtId="41" fontId="59" fillId="37" borderId="56" xfId="125" applyFont="1" applyFill="1" applyBorder="1" applyAlignment="1">
      <alignment horizontal="right" vertical="center" wrapText="1"/>
    </xf>
    <xf numFmtId="41" fontId="59" fillId="37" borderId="59" xfId="125" applyFont="1" applyFill="1" applyBorder="1" applyAlignment="1">
      <alignment horizontal="right" vertical="center" wrapText="1"/>
    </xf>
    <xf numFmtId="0" fontId="63" fillId="0" borderId="93" xfId="0" applyFont="1" applyBorder="1" applyAlignment="1">
      <alignment horizontal="center" vertical="center" wrapText="1"/>
    </xf>
    <xf numFmtId="0" fontId="63" fillId="0" borderId="66" xfId="0" applyFont="1" applyBorder="1" applyAlignment="1">
      <alignment horizontal="center" vertical="center" wrapText="1"/>
    </xf>
    <xf numFmtId="0" fontId="63" fillId="0" borderId="48" xfId="0" applyFont="1" applyBorder="1" applyAlignment="1">
      <alignment horizontal="center" vertical="center" wrapText="1"/>
    </xf>
    <xf numFmtId="0" fontId="59" fillId="37" borderId="79" xfId="0" applyFont="1" applyFill="1" applyBorder="1" applyAlignment="1">
      <alignment horizontal="left" vertical="center" wrapText="1"/>
    </xf>
    <xf numFmtId="0" fontId="61" fillId="37" borderId="75" xfId="0" applyFont="1" applyFill="1" applyBorder="1" applyAlignment="1">
      <alignment horizontal="left" vertical="center" wrapText="1"/>
    </xf>
    <xf numFmtId="41" fontId="59" fillId="37" borderId="75" xfId="0" applyNumberFormat="1" applyFont="1" applyFill="1" applyBorder="1" applyAlignment="1">
      <alignment horizontal="right" vertical="center" wrapText="1"/>
    </xf>
    <xf numFmtId="41" fontId="59" fillId="37" borderId="76" xfId="0" applyNumberFormat="1" applyFont="1" applyFill="1" applyBorder="1" applyAlignment="1">
      <alignment horizontal="right" vertical="center" wrapText="1"/>
    </xf>
    <xf numFmtId="41" fontId="59" fillId="37" borderId="79" xfId="0" applyNumberFormat="1" applyFont="1" applyFill="1" applyBorder="1" applyAlignment="1">
      <alignment horizontal="right" vertical="center" wrapText="1"/>
    </xf>
    <xf numFmtId="0" fontId="61" fillId="36" borderId="69" xfId="0" applyFont="1" applyFill="1" applyBorder="1" applyAlignment="1">
      <alignment horizontal="left" vertical="center" wrapText="1"/>
    </xf>
    <xf numFmtId="41" fontId="59" fillId="36" borderId="69" xfId="0" applyNumberFormat="1" applyFont="1" applyFill="1" applyBorder="1" applyAlignment="1">
      <alignment horizontal="right" vertical="center" wrapText="1"/>
    </xf>
    <xf numFmtId="0" fontId="59" fillId="36" borderId="74" xfId="0" applyFont="1" applyFill="1" applyBorder="1" applyAlignment="1">
      <alignment horizontal="left" vertical="center" wrapText="1"/>
    </xf>
    <xf numFmtId="0" fontId="61" fillId="36" borderId="80" xfId="0" applyFont="1" applyFill="1" applyBorder="1" applyAlignment="1">
      <alignment horizontal="left" vertical="center" wrapText="1"/>
    </xf>
    <xf numFmtId="41" fontId="59" fillId="36" borderId="80" xfId="0" applyNumberFormat="1" applyFont="1" applyFill="1" applyBorder="1" applyAlignment="1">
      <alignment horizontal="right" vertical="center" wrapText="1"/>
    </xf>
    <xf numFmtId="41" fontId="59" fillId="36" borderId="81" xfId="0" applyNumberFormat="1" applyFont="1" applyFill="1" applyBorder="1" applyAlignment="1">
      <alignment horizontal="right" vertical="center" wrapText="1"/>
    </xf>
    <xf numFmtId="41" fontId="59" fillId="36" borderId="74" xfId="0" applyNumberFormat="1" applyFont="1" applyFill="1" applyBorder="1" applyAlignment="1">
      <alignment horizontal="right" vertical="center" wrapText="1"/>
    </xf>
    <xf numFmtId="0" fontId="46" fillId="0" borderId="0" xfId="190" applyFont="1" applyFill="1" applyBorder="1">
      <alignment vertical="center"/>
    </xf>
    <xf numFmtId="0" fontId="47" fillId="0" borderId="0" xfId="190" applyFont="1" applyFill="1" applyBorder="1">
      <alignment vertical="center"/>
    </xf>
    <xf numFmtId="0" fontId="38" fillId="0" borderId="0" xfId="190" applyFont="1" applyFill="1" applyBorder="1">
      <alignment vertical="center"/>
    </xf>
    <xf numFmtId="0" fontId="45" fillId="0" borderId="0" xfId="190" applyFont="1" applyFill="1" applyBorder="1">
      <alignment vertical="center"/>
    </xf>
    <xf numFmtId="0" fontId="49" fillId="0" borderId="0" xfId="190" applyFont="1" applyFill="1" applyBorder="1">
      <alignment vertical="center"/>
    </xf>
    <xf numFmtId="0" fontId="71" fillId="0" borderId="66" xfId="190" applyFont="1" applyBorder="1" applyAlignment="1">
      <alignment horizontal="center" vertical="center" wrapText="1"/>
    </xf>
    <xf numFmtId="0" fontId="73" fillId="0" borderId="48" xfId="190" applyFont="1" applyBorder="1" applyAlignment="1">
      <alignment horizontal="center" vertical="center" wrapText="1"/>
    </xf>
    <xf numFmtId="0" fontId="71" fillId="0" borderId="48" xfId="190" applyFont="1" applyBorder="1" applyAlignment="1">
      <alignment horizontal="center" vertical="center" wrapText="1"/>
    </xf>
    <xf numFmtId="0" fontId="73" fillId="0" borderId="54" xfId="190" applyFont="1" applyBorder="1" applyAlignment="1">
      <alignment horizontal="center" vertical="center" wrapText="1"/>
    </xf>
    <xf numFmtId="0" fontId="69" fillId="36" borderId="119" xfId="190" applyFont="1" applyFill="1" applyBorder="1" applyAlignment="1">
      <alignment horizontal="left" vertical="center" wrapText="1"/>
    </xf>
    <xf numFmtId="0" fontId="73" fillId="36" borderId="120" xfId="190" applyFont="1" applyFill="1" applyBorder="1" applyAlignment="1">
      <alignment horizontal="left" vertical="center" wrapText="1"/>
    </xf>
    <xf numFmtId="41" fontId="69" fillId="36" borderId="136" xfId="125" applyFont="1" applyFill="1" applyBorder="1" applyAlignment="1">
      <alignment horizontal="right" vertical="center" wrapText="1"/>
    </xf>
    <xf numFmtId="0" fontId="73" fillId="37" borderId="47" xfId="190" applyFont="1" applyFill="1" applyBorder="1" applyAlignment="1">
      <alignment horizontal="left" vertical="center" wrapText="1"/>
    </xf>
    <xf numFmtId="41" fontId="69" fillId="37" borderId="48" xfId="125" applyFont="1" applyFill="1" applyBorder="1" applyAlignment="1">
      <alignment horizontal="right" vertical="center" wrapText="1"/>
    </xf>
    <xf numFmtId="41" fontId="69" fillId="37" borderId="49" xfId="125" applyFont="1" applyFill="1" applyBorder="1" applyAlignment="1">
      <alignment horizontal="right" vertical="center" wrapText="1"/>
    </xf>
    <xf numFmtId="0" fontId="69" fillId="37" borderId="79" xfId="190" applyFont="1" applyFill="1" applyBorder="1" applyAlignment="1">
      <alignment horizontal="left" vertical="center" wrapText="1"/>
    </xf>
    <xf numFmtId="0" fontId="73" fillId="37" borderId="75" xfId="190" applyFont="1" applyFill="1" applyBorder="1" applyAlignment="1">
      <alignment horizontal="left" vertical="center" wrapText="1"/>
    </xf>
    <xf numFmtId="41" fontId="69" fillId="37" borderId="76" xfId="125" applyFont="1" applyFill="1" applyBorder="1" applyAlignment="1">
      <alignment horizontal="right" vertical="center" wrapText="1"/>
    </xf>
    <xf numFmtId="41" fontId="69" fillId="37" borderId="77" xfId="125" applyFont="1" applyFill="1" applyBorder="1" applyAlignment="1">
      <alignment horizontal="right" vertical="center" wrapText="1"/>
    </xf>
    <xf numFmtId="0" fontId="69" fillId="36" borderId="74" xfId="190" applyFont="1" applyFill="1" applyBorder="1" applyAlignment="1">
      <alignment horizontal="left" vertical="center" wrapText="1"/>
    </xf>
    <xf numFmtId="0" fontId="73" fillId="36" borderId="80" xfId="190" applyFont="1" applyFill="1" applyBorder="1" applyAlignment="1">
      <alignment horizontal="left" vertical="center" wrapText="1"/>
    </xf>
    <xf numFmtId="41" fontId="69" fillId="36" borderId="80" xfId="125" applyFont="1" applyFill="1" applyBorder="1" applyAlignment="1">
      <alignment horizontal="right" vertical="center" wrapText="1"/>
    </xf>
    <xf numFmtId="41" fontId="69" fillId="36" borderId="81" xfId="125" applyFont="1" applyFill="1" applyBorder="1" applyAlignment="1">
      <alignment horizontal="right" vertical="center" wrapText="1"/>
    </xf>
    <xf numFmtId="41" fontId="69" fillId="36" borderId="82" xfId="125" applyFont="1" applyFill="1" applyBorder="1" applyAlignment="1">
      <alignment horizontal="right" vertical="center" wrapText="1"/>
    </xf>
    <xf numFmtId="41" fontId="69" fillId="37" borderId="47" xfId="125" applyFont="1" applyFill="1" applyBorder="1" applyAlignment="1">
      <alignment horizontal="right" vertical="center" wrapText="1"/>
    </xf>
    <xf numFmtId="0" fontId="73" fillId="36" borderId="47" xfId="190" applyFont="1" applyFill="1" applyBorder="1" applyAlignment="1">
      <alignment horizontal="left" vertical="center" wrapText="1"/>
    </xf>
    <xf numFmtId="41" fontId="69" fillId="36" borderId="47" xfId="125" applyFont="1" applyFill="1" applyBorder="1" applyAlignment="1">
      <alignment horizontal="right" vertical="center" wrapText="1"/>
    </xf>
    <xf numFmtId="41" fontId="69" fillId="36" borderId="48" xfId="125" applyFont="1" applyFill="1" applyBorder="1" applyAlignment="1">
      <alignment horizontal="right" vertical="center" wrapText="1"/>
    </xf>
    <xf numFmtId="41" fontId="69" fillId="36" borderId="49" xfId="125" applyFont="1" applyFill="1" applyBorder="1" applyAlignment="1">
      <alignment horizontal="right" vertical="center" wrapText="1"/>
    </xf>
    <xf numFmtId="41" fontId="69" fillId="37" borderId="75" xfId="125" applyFont="1" applyFill="1" applyBorder="1" applyAlignment="1">
      <alignment horizontal="right" vertical="center" wrapText="1"/>
    </xf>
    <xf numFmtId="0" fontId="69" fillId="0" borderId="0" xfId="190" applyFont="1" applyFill="1">
      <alignment vertical="center"/>
    </xf>
    <xf numFmtId="0" fontId="76" fillId="0" borderId="0" xfId="190" applyFont="1" applyFill="1">
      <alignment vertical="center"/>
    </xf>
    <xf numFmtId="0" fontId="73" fillId="0" borderId="0" xfId="190" applyFont="1" applyFill="1">
      <alignment vertical="center"/>
    </xf>
    <xf numFmtId="0" fontId="75" fillId="0" borderId="0" xfId="190" applyFont="1" applyFill="1">
      <alignment vertical="center"/>
    </xf>
    <xf numFmtId="41" fontId="6" fillId="0" borderId="0" xfId="125" applyFont="1" applyFill="1" applyBorder="1">
      <alignment vertical="center"/>
    </xf>
    <xf numFmtId="41" fontId="10" fillId="0" borderId="0" xfId="125" applyFont="1" applyFill="1" applyBorder="1">
      <alignment vertical="center"/>
    </xf>
    <xf numFmtId="41" fontId="61" fillId="36" borderId="47" xfId="125" applyFont="1" applyFill="1" applyBorder="1" applyAlignment="1">
      <alignment horizontal="right" vertical="center" wrapText="1"/>
    </xf>
    <xf numFmtId="41" fontId="61" fillId="36" borderId="48" xfId="125" applyFont="1" applyFill="1" applyBorder="1" applyAlignment="1">
      <alignment horizontal="right" vertical="center" wrapText="1"/>
    </xf>
    <xf numFmtId="41" fontId="61" fillId="36" borderId="0" xfId="125" applyFont="1" applyFill="1" applyBorder="1" applyAlignment="1">
      <alignment horizontal="right" vertical="center" wrapText="1"/>
    </xf>
    <xf numFmtId="41" fontId="61" fillId="37" borderId="0" xfId="125" applyFont="1" applyFill="1" applyAlignment="1">
      <alignment horizontal="left" vertical="center" wrapText="1"/>
    </xf>
    <xf numFmtId="41" fontId="61" fillId="37" borderId="47" xfId="125" applyFont="1" applyFill="1" applyBorder="1" applyAlignment="1">
      <alignment horizontal="right" vertical="center" wrapText="1"/>
    </xf>
    <xf numFmtId="41" fontId="61" fillId="37" borderId="48" xfId="125" applyFont="1" applyFill="1" applyBorder="1" applyAlignment="1">
      <alignment horizontal="right" vertical="center" wrapText="1"/>
    </xf>
    <xf numFmtId="41" fontId="61" fillId="37" borderId="0" xfId="125" applyFont="1" applyFill="1" applyBorder="1" applyAlignment="1">
      <alignment horizontal="right" vertical="center" wrapText="1"/>
    </xf>
    <xf numFmtId="41" fontId="61" fillId="37" borderId="50" xfId="125" applyFont="1" applyFill="1" applyBorder="1" applyAlignment="1">
      <alignment horizontal="right" vertical="center" wrapText="1"/>
    </xf>
    <xf numFmtId="41" fontId="61" fillId="37" borderId="53" xfId="125" applyFont="1" applyFill="1" applyBorder="1" applyAlignment="1">
      <alignment horizontal="right" vertical="center" wrapText="1"/>
    </xf>
    <xf numFmtId="41" fontId="61" fillId="36" borderId="57" xfId="125" applyFont="1" applyFill="1" applyBorder="1" applyAlignment="1">
      <alignment horizontal="right" vertical="center" wrapText="1"/>
    </xf>
    <xf numFmtId="41" fontId="61" fillId="36" borderId="49" xfId="125" applyFont="1" applyFill="1" applyBorder="1" applyAlignment="1">
      <alignment horizontal="right" vertical="center" wrapText="1"/>
    </xf>
    <xf numFmtId="41" fontId="61" fillId="37" borderId="49" xfId="125" applyFont="1" applyFill="1" applyBorder="1" applyAlignment="1">
      <alignment horizontal="right" vertical="center" wrapText="1"/>
    </xf>
    <xf numFmtId="41" fontId="61" fillId="37" borderId="52" xfId="125" applyFont="1" applyFill="1" applyBorder="1" applyAlignment="1">
      <alignment horizontal="right" vertical="center" wrapText="1"/>
    </xf>
    <xf numFmtId="41" fontId="61" fillId="0" borderId="0" xfId="125" applyFont="1" applyBorder="1" applyAlignment="1">
      <alignment horizontal="left" vertical="center" wrapText="1"/>
    </xf>
    <xf numFmtId="41" fontId="65" fillId="0" borderId="0" xfId="125" applyFont="1" applyBorder="1" applyAlignment="1">
      <alignment horizontal="left" vertical="center" wrapText="1"/>
    </xf>
    <xf numFmtId="41" fontId="61" fillId="36" borderId="55" xfId="125" applyFont="1" applyFill="1" applyBorder="1" applyAlignment="1">
      <alignment horizontal="right" vertical="center" wrapText="1"/>
    </xf>
    <xf numFmtId="0" fontId="10" fillId="0" borderId="0" xfId="0" applyFont="1" applyFill="1" applyBorder="1">
      <alignment vertical="center"/>
    </xf>
    <xf numFmtId="0" fontId="6" fillId="0" borderId="0" xfId="0" applyFont="1" applyFill="1" applyBorder="1">
      <alignment vertical="center"/>
    </xf>
    <xf numFmtId="0" fontId="10" fillId="0" borderId="0" xfId="0" applyFont="1" applyFill="1" applyBorder="1" applyAlignment="1">
      <alignment vertical="top"/>
    </xf>
    <xf numFmtId="0" fontId="62" fillId="0" borderId="48" xfId="0" applyFont="1" applyBorder="1" applyAlignment="1">
      <alignment horizontal="center" vertical="center" wrapText="1"/>
    </xf>
    <xf numFmtId="0" fontId="61" fillId="36" borderId="0" xfId="0" applyFont="1" applyFill="1" applyAlignment="1">
      <alignment horizontal="left" vertical="center" wrapText="1"/>
    </xf>
    <xf numFmtId="0" fontId="61" fillId="37" borderId="0" xfId="0" applyFont="1" applyFill="1" applyAlignment="1">
      <alignment horizontal="left" vertical="center" wrapText="1"/>
    </xf>
    <xf numFmtId="41" fontId="61" fillId="36" borderId="47" xfId="0" applyNumberFormat="1" applyFont="1" applyFill="1" applyBorder="1" applyAlignment="1">
      <alignment horizontal="right" vertical="center" wrapText="1"/>
    </xf>
    <xf numFmtId="41" fontId="61" fillId="36" borderId="57" xfId="0" applyNumberFormat="1" applyFont="1" applyFill="1" applyBorder="1" applyAlignment="1">
      <alignment horizontal="right" vertical="center" wrapText="1"/>
    </xf>
    <xf numFmtId="41" fontId="61" fillId="36" borderId="69" xfId="0" applyNumberFormat="1" applyFont="1" applyFill="1" applyBorder="1" applyAlignment="1">
      <alignment horizontal="right" vertical="center" wrapText="1"/>
    </xf>
    <xf numFmtId="41" fontId="61" fillId="36" borderId="55" xfId="0" applyNumberFormat="1" applyFont="1" applyFill="1" applyBorder="1" applyAlignment="1">
      <alignment horizontal="right" vertical="center" wrapText="1"/>
    </xf>
    <xf numFmtId="41" fontId="61" fillId="37" borderId="47" xfId="0" applyNumberFormat="1" applyFont="1" applyFill="1" applyBorder="1" applyAlignment="1">
      <alignment horizontal="right" vertical="center" wrapText="1"/>
    </xf>
    <xf numFmtId="41" fontId="61" fillId="37" borderId="48" xfId="0" applyNumberFormat="1" applyFont="1" applyFill="1" applyBorder="1" applyAlignment="1">
      <alignment horizontal="right" vertical="center" wrapText="1"/>
    </xf>
    <xf numFmtId="41" fontId="61" fillId="37" borderId="49" xfId="0" applyNumberFormat="1" applyFont="1" applyFill="1" applyBorder="1" applyAlignment="1">
      <alignment horizontal="right" vertical="center" wrapText="1"/>
    </xf>
    <xf numFmtId="41" fontId="61" fillId="36" borderId="48" xfId="0" applyNumberFormat="1" applyFont="1" applyFill="1" applyBorder="1" applyAlignment="1">
      <alignment horizontal="right" vertical="center" wrapText="1"/>
    </xf>
    <xf numFmtId="41" fontId="61" fillId="36" borderId="49" xfId="0" applyNumberFormat="1" applyFont="1" applyFill="1" applyBorder="1" applyAlignment="1">
      <alignment horizontal="right" vertical="center" wrapText="1"/>
    </xf>
    <xf numFmtId="41" fontId="61" fillId="37" borderId="53" xfId="0" applyNumberFormat="1" applyFont="1" applyFill="1" applyBorder="1" applyAlignment="1">
      <alignment horizontal="right" vertical="center" wrapText="1"/>
    </xf>
    <xf numFmtId="41" fontId="61" fillId="37" borderId="76" xfId="0" applyNumberFormat="1" applyFont="1" applyFill="1" applyBorder="1" applyAlignment="1">
      <alignment horizontal="right" vertical="center" wrapText="1"/>
    </xf>
    <xf numFmtId="0" fontId="65" fillId="0" borderId="0" xfId="0" applyFont="1" applyAlignment="1"/>
    <xf numFmtId="0" fontId="64" fillId="0" borderId="0" xfId="0" applyFont="1" applyAlignment="1"/>
    <xf numFmtId="0" fontId="62" fillId="0" borderId="86" xfId="0" applyFont="1" applyBorder="1" applyAlignment="1">
      <alignment horizontal="center" vertical="center" wrapText="1"/>
    </xf>
    <xf numFmtId="49" fontId="74" fillId="0" borderId="17" xfId="183" applyNumberFormat="1" applyFont="1" applyBorder="1" applyAlignment="1">
      <alignment horizontal="center" vertical="center" wrapText="1"/>
    </xf>
    <xf numFmtId="49" fontId="74" fillId="0" borderId="4" xfId="183" applyNumberFormat="1" applyFont="1" applyBorder="1" applyAlignment="1">
      <alignment horizontal="center" vertical="center" wrapText="1"/>
    </xf>
    <xf numFmtId="0" fontId="61" fillId="0" borderId="88" xfId="0" applyFont="1" applyBorder="1" applyAlignment="1">
      <alignment horizontal="center" vertical="center" wrapText="1"/>
    </xf>
    <xf numFmtId="0" fontId="61" fillId="0" borderId="89" xfId="0" applyFont="1" applyBorder="1" applyAlignment="1">
      <alignment horizontal="center" vertical="center" wrapText="1"/>
    </xf>
    <xf numFmtId="49" fontId="79" fillId="4" borderId="32" xfId="183" applyNumberFormat="1" applyFont="1" applyFill="1" applyBorder="1" applyAlignment="1">
      <alignment horizontal="left" vertical="center" wrapText="1"/>
    </xf>
    <xf numFmtId="41" fontId="79" fillId="4" borderId="90" xfId="183" applyNumberFormat="1" applyFont="1" applyFill="1" applyBorder="1" applyAlignment="1">
      <alignment horizontal="right" vertical="center" wrapText="1"/>
    </xf>
    <xf numFmtId="41" fontId="79" fillId="4" borderId="91" xfId="183" applyNumberFormat="1" applyFont="1" applyFill="1" applyBorder="1" applyAlignment="1">
      <alignment horizontal="right" vertical="center" wrapText="1"/>
    </xf>
    <xf numFmtId="41" fontId="79" fillId="4" borderId="92" xfId="183" applyNumberFormat="1" applyFont="1" applyFill="1" applyBorder="1" applyAlignment="1">
      <alignment horizontal="right" vertical="center" wrapText="1"/>
    </xf>
    <xf numFmtId="49" fontId="80" fillId="0" borderId="1" xfId="183" applyNumberFormat="1" applyFont="1" applyBorder="1" applyAlignment="1">
      <alignment horizontal="left" vertical="center" wrapText="1"/>
    </xf>
    <xf numFmtId="41" fontId="79" fillId="0" borderId="9" xfId="183" applyNumberFormat="1" applyFont="1" applyBorder="1" applyAlignment="1">
      <alignment horizontal="right" vertical="center" wrapText="1"/>
    </xf>
    <xf numFmtId="41" fontId="79" fillId="0" borderId="13" xfId="183" applyNumberFormat="1" applyFont="1" applyBorder="1" applyAlignment="1">
      <alignment horizontal="right" vertical="center" wrapText="1"/>
    </xf>
    <xf numFmtId="41" fontId="79" fillId="0" borderId="12" xfId="183" applyNumberFormat="1" applyFont="1" applyBorder="1" applyAlignment="1">
      <alignment horizontal="right" vertical="center" wrapText="1"/>
    </xf>
    <xf numFmtId="41" fontId="79" fillId="0" borderId="11" xfId="183" applyNumberFormat="1" applyFont="1" applyBorder="1" applyAlignment="1">
      <alignment horizontal="right" vertical="center" wrapText="1"/>
    </xf>
    <xf numFmtId="0" fontId="80" fillId="36" borderId="69" xfId="187" applyFont="1" applyFill="1" applyBorder="1" applyAlignment="1">
      <alignment horizontal="left" vertical="center" wrapText="1"/>
    </xf>
    <xf numFmtId="41" fontId="79" fillId="36" borderId="25" xfId="187" applyNumberFormat="1" applyFont="1" applyFill="1" applyBorder="1" applyAlignment="1">
      <alignment horizontal="right" vertical="center" wrapText="1"/>
    </xf>
    <xf numFmtId="0" fontId="80" fillId="37" borderId="47" xfId="187" applyFont="1" applyFill="1" applyBorder="1" applyAlignment="1">
      <alignment horizontal="left" vertical="center" wrapText="1"/>
    </xf>
    <xf numFmtId="41" fontId="79" fillId="37" borderId="23" xfId="187" applyNumberFormat="1" applyFont="1" applyFill="1" applyBorder="1" applyAlignment="1">
      <alignment horizontal="right" vertical="center" wrapText="1"/>
    </xf>
    <xf numFmtId="41" fontId="79" fillId="37" borderId="13" xfId="187" applyNumberFormat="1" applyFont="1" applyFill="1" applyBorder="1" applyAlignment="1">
      <alignment horizontal="right" vertical="center" wrapText="1"/>
    </xf>
    <xf numFmtId="41" fontId="79" fillId="37" borderId="11" xfId="187" applyNumberFormat="1" applyFont="1" applyFill="1" applyBorder="1" applyAlignment="1">
      <alignment horizontal="right" vertical="center" wrapText="1"/>
    </xf>
    <xf numFmtId="0" fontId="80" fillId="36" borderId="47" xfId="187" applyFont="1" applyFill="1" applyBorder="1" applyAlignment="1">
      <alignment horizontal="left" vertical="center" wrapText="1"/>
    </xf>
    <xf numFmtId="41" fontId="79" fillId="4" borderId="9" xfId="183" applyNumberFormat="1" applyFont="1" applyFill="1" applyBorder="1" applyAlignment="1">
      <alignment horizontal="right" vertical="center" wrapText="1"/>
    </xf>
    <xf numFmtId="41" fontId="79" fillId="0" borderId="56" xfId="183" applyNumberFormat="1" applyFont="1" applyBorder="1" applyAlignment="1">
      <alignment horizontal="right" vertical="center" wrapText="1"/>
    </xf>
    <xf numFmtId="41" fontId="79" fillId="36" borderId="23" xfId="187" applyNumberFormat="1" applyFont="1" applyFill="1" applyBorder="1" applyAlignment="1">
      <alignment horizontal="right" vertical="center" wrapText="1"/>
    </xf>
    <xf numFmtId="41" fontId="79" fillId="36" borderId="13" xfId="187" applyNumberFormat="1" applyFont="1" applyFill="1" applyBorder="1" applyAlignment="1">
      <alignment horizontal="right" vertical="center" wrapText="1"/>
    </xf>
    <xf numFmtId="0" fontId="80" fillId="37" borderId="50" xfId="187" applyFont="1" applyFill="1" applyBorder="1" applyAlignment="1">
      <alignment horizontal="left" vertical="center" wrapText="1"/>
    </xf>
    <xf numFmtId="41" fontId="79" fillId="37" borderId="14" xfId="187" applyNumberFormat="1" applyFont="1" applyFill="1" applyBorder="1" applyAlignment="1">
      <alignment horizontal="right" vertical="center" wrapText="1"/>
    </xf>
    <xf numFmtId="49" fontId="79" fillId="4" borderId="19" xfId="183" applyNumberFormat="1" applyFont="1" applyFill="1" applyBorder="1" applyAlignment="1">
      <alignment horizontal="left" vertical="center" wrapText="1"/>
    </xf>
    <xf numFmtId="49" fontId="80" fillId="4" borderId="20" xfId="183" applyNumberFormat="1" applyFont="1" applyFill="1" applyBorder="1" applyAlignment="1">
      <alignment horizontal="left" vertical="center" wrapText="1"/>
    </xf>
    <xf numFmtId="41" fontId="79" fillId="4" borderId="22" xfId="183" applyNumberFormat="1" applyFont="1" applyFill="1" applyBorder="1" applyAlignment="1">
      <alignment horizontal="right" vertical="center" wrapText="1"/>
    </xf>
    <xf numFmtId="41" fontId="79" fillId="4" borderId="33" xfId="183" applyNumberFormat="1" applyFont="1" applyFill="1" applyBorder="1" applyAlignment="1">
      <alignment horizontal="right" vertical="center" wrapText="1"/>
    </xf>
    <xf numFmtId="41" fontId="79" fillId="4" borderId="34" xfId="183" applyNumberFormat="1" applyFont="1" applyFill="1" applyBorder="1" applyAlignment="1">
      <alignment horizontal="right" vertical="center" wrapText="1"/>
    </xf>
    <xf numFmtId="49" fontId="79" fillId="0" borderId="0" xfId="183" applyNumberFormat="1" applyFont="1" applyAlignment="1">
      <alignment horizontal="left" vertical="center" wrapText="1"/>
    </xf>
    <xf numFmtId="49" fontId="79" fillId="4" borderId="0" xfId="183" applyNumberFormat="1" applyFont="1" applyFill="1" applyAlignment="1">
      <alignment horizontal="left" vertical="center" wrapText="1"/>
    </xf>
    <xf numFmtId="49" fontId="80" fillId="4" borderId="1" xfId="183" applyNumberFormat="1" applyFont="1" applyFill="1" applyBorder="1" applyAlignment="1">
      <alignment horizontal="left" vertical="center" wrapText="1"/>
    </xf>
    <xf numFmtId="41" fontId="79" fillId="4" borderId="13" xfId="183" applyNumberFormat="1" applyFont="1" applyFill="1" applyBorder="1" applyAlignment="1">
      <alignment horizontal="right" vertical="center" wrapText="1"/>
    </xf>
    <xf numFmtId="41" fontId="79" fillId="4" borderId="12" xfId="183" applyNumberFormat="1" applyFont="1" applyFill="1" applyBorder="1" applyAlignment="1">
      <alignment horizontal="right" vertical="center" wrapText="1"/>
    </xf>
    <xf numFmtId="41" fontId="79" fillId="4" borderId="11" xfId="183" applyNumberFormat="1" applyFont="1" applyFill="1" applyBorder="1" applyAlignment="1">
      <alignment horizontal="right" vertical="center" wrapText="1"/>
    </xf>
    <xf numFmtId="49" fontId="80" fillId="0" borderId="3" xfId="183" applyNumberFormat="1" applyFont="1" applyBorder="1" applyAlignment="1">
      <alignment horizontal="left" vertical="center" wrapText="1"/>
    </xf>
    <xf numFmtId="41" fontId="79" fillId="0" borderId="16" xfId="183" applyNumberFormat="1" applyFont="1" applyBorder="1" applyAlignment="1">
      <alignment horizontal="right" vertical="center" wrapText="1"/>
    </xf>
    <xf numFmtId="41" fontId="79" fillId="0" borderId="14" xfId="183" applyNumberFormat="1" applyFont="1" applyBorder="1" applyAlignment="1">
      <alignment horizontal="right" vertical="center" wrapText="1"/>
    </xf>
    <xf numFmtId="41" fontId="79" fillId="0" borderId="15" xfId="183" applyNumberFormat="1" applyFont="1" applyBorder="1" applyAlignment="1">
      <alignment horizontal="right" vertical="center" wrapText="1"/>
    </xf>
    <xf numFmtId="49" fontId="78" fillId="0" borderId="0" xfId="183" applyNumberFormat="1" applyFont="1" applyBorder="1" applyAlignment="1">
      <alignment horizontal="left" vertical="center" wrapText="1"/>
    </xf>
    <xf numFmtId="0" fontId="67" fillId="0" borderId="0" xfId="0" applyFont="1" applyBorder="1" applyAlignment="1">
      <alignment horizontal="left" vertical="center"/>
    </xf>
    <xf numFmtId="41" fontId="79" fillId="4" borderId="148" xfId="183" applyNumberFormat="1" applyFont="1" applyFill="1" applyBorder="1" applyAlignment="1">
      <alignment horizontal="right" vertical="center" wrapText="1"/>
    </xf>
    <xf numFmtId="41" fontId="79" fillId="36" borderId="11" xfId="187" applyNumberFormat="1" applyFont="1" applyFill="1" applyBorder="1" applyAlignment="1">
      <alignment horizontal="right" vertical="center" wrapText="1"/>
    </xf>
    <xf numFmtId="41" fontId="79" fillId="36" borderId="33" xfId="187" applyNumberFormat="1" applyFont="1" applyFill="1" applyBorder="1" applyAlignment="1">
      <alignment horizontal="right" vertical="center" wrapText="1"/>
    </xf>
    <xf numFmtId="49" fontId="83" fillId="0" borderId="1" xfId="183" applyNumberFormat="1" applyFont="1" applyBorder="1" applyAlignment="1">
      <alignment horizontal="center" vertical="center" wrapText="1"/>
    </xf>
    <xf numFmtId="49" fontId="87" fillId="0" borderId="1" xfId="183" applyNumberFormat="1" applyFont="1" applyBorder="1" applyAlignment="1">
      <alignment horizontal="center" vertical="center" wrapText="1"/>
    </xf>
    <xf numFmtId="49" fontId="80" fillId="0" borderId="17" xfId="183" applyNumberFormat="1" applyFont="1" applyBorder="1" applyAlignment="1">
      <alignment horizontal="center" vertical="center" wrapText="1"/>
    </xf>
    <xf numFmtId="49" fontId="87" fillId="0" borderId="4" xfId="183" applyNumberFormat="1" applyFont="1" applyBorder="1" applyAlignment="1">
      <alignment horizontal="center" vertical="center" wrapText="1"/>
    </xf>
    <xf numFmtId="41" fontId="79" fillId="0" borderId="6" xfId="183" applyNumberFormat="1" applyFont="1" applyBorder="1" applyAlignment="1">
      <alignment horizontal="right" vertical="center" wrapText="1"/>
    </xf>
    <xf numFmtId="41" fontId="79" fillId="0" borderId="5" xfId="183" applyNumberFormat="1" applyFont="1" applyBorder="1" applyAlignment="1">
      <alignment horizontal="right" vertical="center" wrapText="1"/>
    </xf>
    <xf numFmtId="41" fontId="79" fillId="36" borderId="69" xfId="187" applyNumberFormat="1" applyFont="1" applyFill="1" applyBorder="1" applyAlignment="1">
      <alignment horizontal="right" vertical="center" wrapText="1"/>
    </xf>
    <xf numFmtId="41" fontId="79" fillId="37" borderId="47" xfId="187" applyNumberFormat="1" applyFont="1" applyFill="1" applyBorder="1" applyAlignment="1">
      <alignment horizontal="right" vertical="center" wrapText="1"/>
    </xf>
    <xf numFmtId="41" fontId="79" fillId="37" borderId="59" xfId="187" applyNumberFormat="1" applyFont="1" applyFill="1" applyBorder="1" applyAlignment="1">
      <alignment horizontal="right" vertical="center" wrapText="1"/>
    </xf>
    <xf numFmtId="41" fontId="79" fillId="36" borderId="47" xfId="187" applyNumberFormat="1" applyFont="1" applyFill="1" applyBorder="1" applyAlignment="1">
      <alignment horizontal="right" vertical="center" wrapText="1"/>
    </xf>
    <xf numFmtId="41" fontId="79" fillId="37" borderId="50" xfId="187" applyNumberFormat="1" applyFont="1" applyFill="1" applyBorder="1" applyAlignment="1">
      <alignment horizontal="right" vertical="center" wrapText="1"/>
    </xf>
    <xf numFmtId="41" fontId="79" fillId="37" borderId="24" xfId="187" applyNumberFormat="1" applyFont="1" applyFill="1" applyBorder="1" applyAlignment="1">
      <alignment horizontal="right" vertical="center" wrapText="1"/>
    </xf>
    <xf numFmtId="41" fontId="79" fillId="4" borderId="10" xfId="183" applyNumberFormat="1" applyFont="1" applyFill="1" applyBorder="1" applyAlignment="1">
      <alignment horizontal="right" vertical="center" wrapText="1"/>
    </xf>
    <xf numFmtId="41" fontId="79" fillId="4" borderId="8" xfId="183" applyNumberFormat="1" applyFont="1" applyFill="1" applyBorder="1" applyAlignment="1">
      <alignment horizontal="right" vertical="center" wrapText="1"/>
    </xf>
    <xf numFmtId="0" fontId="87" fillId="0" borderId="0" xfId="0" applyFont="1">
      <alignment vertical="center"/>
    </xf>
    <xf numFmtId="0" fontId="84" fillId="0" borderId="0" xfId="0" applyFont="1">
      <alignment vertical="center"/>
    </xf>
    <xf numFmtId="0" fontId="84" fillId="0" borderId="0" xfId="0" applyFont="1" applyAlignment="1">
      <alignment vertical="center"/>
    </xf>
    <xf numFmtId="0" fontId="84" fillId="0" borderId="0" xfId="0" applyFont="1" applyBorder="1">
      <alignment vertical="center"/>
    </xf>
    <xf numFmtId="41" fontId="79" fillId="0" borderId="148" xfId="183" applyNumberFormat="1" applyFont="1" applyBorder="1" applyAlignment="1">
      <alignment horizontal="right" vertical="center" wrapText="1"/>
    </xf>
    <xf numFmtId="41" fontId="79" fillId="36" borderId="73" xfId="187" applyNumberFormat="1" applyFont="1" applyFill="1" applyBorder="1" applyAlignment="1">
      <alignment horizontal="right" vertical="center" wrapText="1"/>
    </xf>
    <xf numFmtId="41" fontId="79" fillId="4" borderId="149" xfId="183" applyNumberFormat="1" applyFont="1" applyFill="1" applyBorder="1" applyAlignment="1">
      <alignment horizontal="right" vertical="center" wrapText="1"/>
    </xf>
    <xf numFmtId="41" fontId="79" fillId="0" borderId="149" xfId="183" applyNumberFormat="1" applyFont="1" applyBorder="1" applyAlignment="1">
      <alignment horizontal="right" vertical="center" wrapText="1"/>
    </xf>
    <xf numFmtId="41" fontId="79" fillId="36" borderId="59" xfId="187" applyNumberFormat="1" applyFont="1" applyFill="1" applyBorder="1" applyAlignment="1">
      <alignment horizontal="right" vertical="center" wrapText="1"/>
    </xf>
    <xf numFmtId="49" fontId="62" fillId="0" borderId="49" xfId="125" applyNumberFormat="1" applyFont="1" applyBorder="1" applyAlignment="1">
      <alignment horizontal="center" vertical="center" wrapText="1"/>
    </xf>
    <xf numFmtId="49" fontId="61" fillId="0" borderId="68" xfId="125" applyNumberFormat="1" applyFont="1" applyBorder="1" applyAlignment="1">
      <alignment horizontal="center" vertical="center" wrapText="1"/>
    </xf>
    <xf numFmtId="41" fontId="59" fillId="0" borderId="49" xfId="186" applyNumberFormat="1" applyFont="1" applyBorder="1" applyAlignment="1">
      <alignment horizontal="right" vertical="center" wrapText="1"/>
    </xf>
    <xf numFmtId="41" fontId="59" fillId="0" borderId="77" xfId="186" applyNumberFormat="1" applyFont="1" applyBorder="1" applyAlignment="1">
      <alignment horizontal="right" vertical="center" wrapText="1"/>
    </xf>
    <xf numFmtId="49" fontId="59" fillId="36" borderId="47" xfId="125" applyNumberFormat="1" applyFont="1" applyFill="1" applyBorder="1" applyAlignment="1">
      <alignment horizontal="right" vertical="center" wrapText="1"/>
    </xf>
    <xf numFmtId="181" fontId="59" fillId="36" borderId="47" xfId="125" applyNumberFormat="1" applyFont="1" applyFill="1" applyBorder="1" applyAlignment="1">
      <alignment horizontal="right" vertical="center" wrapText="1"/>
    </xf>
    <xf numFmtId="49" fontId="59" fillId="37" borderId="47" xfId="125" applyNumberFormat="1" applyFont="1" applyFill="1" applyBorder="1" applyAlignment="1">
      <alignment horizontal="right" vertical="center" wrapText="1"/>
    </xf>
    <xf numFmtId="181" fontId="59" fillId="37" borderId="47" xfId="125" applyNumberFormat="1" applyFont="1" applyFill="1" applyBorder="1" applyAlignment="1">
      <alignment horizontal="right" vertical="center" wrapText="1"/>
    </xf>
    <xf numFmtId="41" fontId="59" fillId="0" borderId="49" xfId="188" applyNumberFormat="1" applyFont="1" applyBorder="1" applyAlignment="1">
      <alignment horizontal="right" vertical="center" wrapText="1"/>
    </xf>
    <xf numFmtId="181" fontId="59" fillId="0" borderId="47" xfId="125" applyNumberFormat="1" applyFont="1" applyFill="1" applyBorder="1" applyAlignment="1">
      <alignment horizontal="right" vertical="center" wrapText="1"/>
    </xf>
    <xf numFmtId="41" fontId="61" fillId="0" borderId="0" xfId="125" applyFont="1">
      <alignment vertical="center"/>
    </xf>
    <xf numFmtId="41" fontId="64" fillId="0" borderId="0" xfId="125" applyFont="1">
      <alignment vertical="center"/>
    </xf>
    <xf numFmtId="49" fontId="64" fillId="0" borderId="0" xfId="125" applyNumberFormat="1" applyFont="1">
      <alignment vertical="center"/>
    </xf>
    <xf numFmtId="41" fontId="61" fillId="0" borderId="100" xfId="125" applyNumberFormat="1" applyFont="1" applyBorder="1" applyAlignment="1">
      <alignment horizontal="right" vertical="center" wrapText="1"/>
    </xf>
    <xf numFmtId="41" fontId="61" fillId="0" borderId="149" xfId="125" applyNumberFormat="1" applyFont="1" applyBorder="1" applyAlignment="1">
      <alignment horizontal="right" vertical="center" wrapText="1"/>
    </xf>
    <xf numFmtId="41" fontId="61" fillId="4" borderId="100" xfId="125" applyNumberFormat="1" applyFont="1" applyFill="1" applyBorder="1" applyAlignment="1">
      <alignment horizontal="right" vertical="center" wrapText="1"/>
    </xf>
    <xf numFmtId="41" fontId="61" fillId="4" borderId="149" xfId="125" applyNumberFormat="1" applyFont="1" applyFill="1" applyBorder="1" applyAlignment="1">
      <alignment horizontal="right" vertical="center" wrapText="1"/>
    </xf>
    <xf numFmtId="41" fontId="61" fillId="0" borderId="6" xfId="184" applyNumberFormat="1" applyFont="1" applyBorder="1" applyAlignment="1">
      <alignment horizontal="right" vertical="center" wrapText="1"/>
    </xf>
    <xf numFmtId="0" fontId="80" fillId="0" borderId="0" xfId="0" applyFont="1" applyFill="1" applyBorder="1" applyAlignment="1">
      <alignment horizontal="left" vertical="center" wrapText="1"/>
    </xf>
    <xf numFmtId="0" fontId="80" fillId="0" borderId="47" xfId="0" applyFont="1" applyFill="1" applyBorder="1" applyAlignment="1">
      <alignment horizontal="left" vertical="center" wrapText="1"/>
    </xf>
    <xf numFmtId="49" fontId="80" fillId="4" borderId="0" xfId="184" applyNumberFormat="1" applyFont="1" applyFill="1" applyBorder="1" applyAlignment="1">
      <alignment horizontal="left" vertical="center" wrapText="1"/>
    </xf>
    <xf numFmtId="49" fontId="80" fillId="4" borderId="1" xfId="184" applyNumberFormat="1" applyFont="1" applyFill="1" applyBorder="1" applyAlignment="1">
      <alignment horizontal="left" vertical="center" wrapText="1"/>
    </xf>
    <xf numFmtId="0" fontId="80" fillId="0" borderId="124" xfId="0" applyFont="1" applyFill="1" applyBorder="1" applyAlignment="1">
      <alignment horizontal="left" vertical="center" wrapText="1"/>
    </xf>
    <xf numFmtId="0" fontId="80" fillId="0" borderId="125" xfId="0" applyFont="1" applyFill="1" applyBorder="1" applyAlignment="1">
      <alignment horizontal="left" vertical="center" wrapText="1"/>
    </xf>
    <xf numFmtId="41" fontId="61" fillId="0" borderId="156" xfId="184" applyNumberFormat="1" applyFont="1" applyBorder="1" applyAlignment="1">
      <alignment horizontal="right" vertical="center" wrapText="1"/>
    </xf>
    <xf numFmtId="41" fontId="61" fillId="0" borderId="132" xfId="184" applyNumberFormat="1" applyFont="1" applyBorder="1" applyAlignment="1">
      <alignment horizontal="right" vertical="center" wrapText="1"/>
    </xf>
    <xf numFmtId="41" fontId="61" fillId="4" borderId="49" xfId="125" applyNumberFormat="1" applyFont="1" applyFill="1" applyBorder="1" applyAlignment="1">
      <alignment horizontal="right" vertical="center" wrapText="1"/>
    </xf>
    <xf numFmtId="41" fontId="61" fillId="0" borderId="49" xfId="125" applyNumberFormat="1" applyFont="1" applyBorder="1" applyAlignment="1">
      <alignment horizontal="right" vertical="center" wrapText="1"/>
    </xf>
    <xf numFmtId="41" fontId="61" fillId="0" borderId="158" xfId="184" applyNumberFormat="1" applyFont="1" applyBorder="1" applyAlignment="1">
      <alignment horizontal="right" vertical="center" wrapText="1"/>
    </xf>
    <xf numFmtId="41" fontId="61" fillId="0" borderId="124" xfId="125" applyFont="1" applyBorder="1" applyAlignment="1">
      <alignment vertical="center" wrapText="1"/>
    </xf>
    <xf numFmtId="41" fontId="63" fillId="0" borderId="93" xfId="125" applyFont="1" applyBorder="1" applyAlignment="1">
      <alignment horizontal="center" vertical="center" wrapText="1"/>
    </xf>
    <xf numFmtId="41" fontId="63" fillId="0" borderId="105" xfId="125" applyFont="1" applyBorder="1" applyAlignment="1">
      <alignment horizontal="center" vertical="center" wrapText="1"/>
    </xf>
    <xf numFmtId="41" fontId="61" fillId="36" borderId="66" xfId="125" applyFont="1" applyFill="1" applyBorder="1" applyAlignment="1">
      <alignment horizontal="right" vertical="center" wrapText="1"/>
    </xf>
    <xf numFmtId="41" fontId="61" fillId="36" borderId="67" xfId="125" applyFont="1" applyFill="1" applyBorder="1" applyAlignment="1">
      <alignment horizontal="right" vertical="center" wrapText="1"/>
    </xf>
    <xf numFmtId="41" fontId="61" fillId="37" borderId="56" xfId="125" applyFont="1" applyFill="1" applyBorder="1" applyAlignment="1">
      <alignment horizontal="right" vertical="center" wrapText="1"/>
    </xf>
    <xf numFmtId="41" fontId="61" fillId="37" borderId="59" xfId="125" applyFont="1" applyFill="1" applyBorder="1" applyAlignment="1">
      <alignment horizontal="right" vertical="center" wrapText="1"/>
    </xf>
    <xf numFmtId="41" fontId="61" fillId="36" borderId="173" xfId="125" applyFont="1" applyFill="1" applyBorder="1" applyAlignment="1">
      <alignment horizontal="right" vertical="center" wrapText="1"/>
    </xf>
    <xf numFmtId="41" fontId="61" fillId="36" borderId="179" xfId="125" applyFont="1" applyFill="1" applyBorder="1" applyAlignment="1">
      <alignment horizontal="right" vertical="center" wrapText="1"/>
    </xf>
    <xf numFmtId="41" fontId="61" fillId="37" borderId="160" xfId="125" applyFont="1" applyFill="1" applyBorder="1" applyAlignment="1">
      <alignment horizontal="right" vertical="center" wrapText="1"/>
    </xf>
    <xf numFmtId="41" fontId="61" fillId="37" borderId="175" xfId="125" applyFont="1" applyFill="1" applyBorder="1" applyAlignment="1">
      <alignment horizontal="right" vertical="center" wrapText="1"/>
    </xf>
    <xf numFmtId="41" fontId="61" fillId="36" borderId="160" xfId="125" applyFont="1" applyFill="1" applyBorder="1" applyAlignment="1">
      <alignment horizontal="right" vertical="center" wrapText="1"/>
    </xf>
    <xf numFmtId="41" fontId="61" fillId="36" borderId="175" xfId="125" applyFont="1" applyFill="1" applyBorder="1" applyAlignment="1">
      <alignment horizontal="right" vertical="center" wrapText="1"/>
    </xf>
    <xf numFmtId="41" fontId="61" fillId="37" borderId="159" xfId="125" applyFont="1" applyFill="1" applyBorder="1" applyAlignment="1">
      <alignment horizontal="right" vertical="center" wrapText="1"/>
    </xf>
    <xf numFmtId="41" fontId="61" fillId="37" borderId="177" xfId="125" applyFont="1" applyFill="1" applyBorder="1" applyAlignment="1">
      <alignment horizontal="right" vertical="center" wrapText="1"/>
    </xf>
    <xf numFmtId="41" fontId="61" fillId="37" borderId="126" xfId="125" applyFont="1" applyFill="1" applyBorder="1" applyAlignment="1">
      <alignment horizontal="right" vertical="center" wrapText="1"/>
    </xf>
    <xf numFmtId="41" fontId="61" fillId="36" borderId="150" xfId="125" applyFont="1" applyFill="1" applyBorder="1" applyAlignment="1">
      <alignment horizontal="right" vertical="center" wrapText="1"/>
    </xf>
    <xf numFmtId="41" fontId="61" fillId="36" borderId="73" xfId="125" applyFont="1" applyFill="1" applyBorder="1" applyAlignment="1">
      <alignment horizontal="right" vertical="center" wrapText="1"/>
    </xf>
    <xf numFmtId="41" fontId="61" fillId="37" borderId="130" xfId="125" applyFont="1" applyFill="1" applyBorder="1" applyAlignment="1">
      <alignment horizontal="right" vertical="center" wrapText="1"/>
    </xf>
    <xf numFmtId="41" fontId="61" fillId="36" borderId="56" xfId="125" applyFont="1" applyFill="1" applyBorder="1" applyAlignment="1">
      <alignment horizontal="right" vertical="center" wrapText="1"/>
    </xf>
    <xf numFmtId="41" fontId="61" fillId="36" borderId="130" xfId="125" applyFont="1" applyFill="1" applyBorder="1" applyAlignment="1">
      <alignment horizontal="right" vertical="center" wrapText="1"/>
    </xf>
    <xf numFmtId="41" fontId="13" fillId="0" borderId="0" xfId="125" applyFont="1" applyFill="1" applyBorder="1">
      <alignment vertical="center"/>
    </xf>
    <xf numFmtId="41" fontId="63" fillId="0" borderId="57" xfId="125" applyFont="1" applyBorder="1" applyAlignment="1">
      <alignment horizontal="center" vertical="center" wrapText="1"/>
    </xf>
    <xf numFmtId="41" fontId="63" fillId="0" borderId="70" xfId="125" applyFont="1" applyBorder="1" applyAlignment="1">
      <alignment horizontal="center" vertical="center" wrapText="1"/>
    </xf>
    <xf numFmtId="41" fontId="63" fillId="0" borderId="72" xfId="125" applyFont="1" applyBorder="1" applyAlignment="1">
      <alignment horizontal="center" vertical="center" wrapText="1"/>
    </xf>
    <xf numFmtId="41" fontId="67" fillId="0" borderId="71" xfId="125" applyFont="1" applyBorder="1" applyAlignment="1">
      <alignment horizontal="center" vertical="center" wrapText="1"/>
    </xf>
    <xf numFmtId="41" fontId="67" fillId="36" borderId="47" xfId="125" applyFont="1" applyFill="1" applyBorder="1" applyAlignment="1">
      <alignment horizontal="left" vertical="center" wrapText="1"/>
    </xf>
    <xf numFmtId="49" fontId="61" fillId="4" borderId="1" xfId="0" applyNumberFormat="1" applyFont="1" applyFill="1" applyBorder="1" applyAlignment="1">
      <alignment horizontal="left" vertical="center" wrapText="1"/>
    </xf>
    <xf numFmtId="179" fontId="61" fillId="4" borderId="148" xfId="0" applyNumberFormat="1" applyFont="1" applyFill="1" applyBorder="1" applyAlignment="1">
      <alignment horizontal="right" vertical="center" wrapText="1"/>
    </xf>
    <xf numFmtId="41" fontId="61" fillId="37" borderId="124" xfId="125" applyFont="1" applyFill="1" applyBorder="1" applyAlignment="1">
      <alignment horizontal="left" vertical="center" wrapText="1"/>
    </xf>
    <xf numFmtId="41" fontId="61" fillId="36" borderId="23" xfId="125" applyFont="1" applyFill="1" applyBorder="1" applyAlignment="1">
      <alignment horizontal="right" vertical="center" wrapText="1"/>
    </xf>
    <xf numFmtId="41" fontId="61" fillId="36" borderId="59" xfId="125" applyFont="1" applyFill="1" applyBorder="1" applyAlignment="1">
      <alignment horizontal="right" vertical="center" wrapText="1"/>
    </xf>
    <xf numFmtId="41" fontId="61" fillId="37" borderId="23" xfId="125" applyFont="1" applyFill="1" applyBorder="1" applyAlignment="1">
      <alignment horizontal="right" vertical="center" wrapText="1"/>
    </xf>
    <xf numFmtId="41" fontId="61" fillId="36" borderId="69" xfId="125" applyFont="1" applyFill="1" applyBorder="1" applyAlignment="1">
      <alignment horizontal="right" vertical="center" wrapText="1"/>
    </xf>
    <xf numFmtId="41" fontId="61" fillId="36" borderId="157" xfId="125" applyFont="1" applyFill="1" applyBorder="1" applyAlignment="1">
      <alignment horizontal="right" vertical="center" wrapText="1"/>
    </xf>
    <xf numFmtId="41" fontId="61" fillId="0" borderId="47" xfId="125" applyFont="1" applyFill="1" applyBorder="1" applyAlignment="1">
      <alignment horizontal="right" vertical="center" wrapText="1"/>
    </xf>
    <xf numFmtId="41" fontId="61" fillId="37" borderId="124" xfId="125" applyFont="1" applyFill="1" applyBorder="1" applyAlignment="1">
      <alignment horizontal="right" vertical="center" wrapText="1"/>
    </xf>
    <xf numFmtId="41" fontId="94" fillId="0" borderId="0" xfId="125" applyFont="1">
      <alignment vertical="center"/>
    </xf>
    <xf numFmtId="41" fontId="87" fillId="0" borderId="0" xfId="125" applyFont="1">
      <alignment vertical="center"/>
    </xf>
    <xf numFmtId="0" fontId="19" fillId="0" borderId="0" xfId="179" applyFont="1" applyFill="1" applyBorder="1">
      <alignment vertical="center"/>
    </xf>
    <xf numFmtId="0" fontId="20" fillId="0" borderId="0" xfId="179" applyFont="1" applyFill="1" applyBorder="1">
      <alignment vertical="center"/>
    </xf>
    <xf numFmtId="0" fontId="38" fillId="0" borderId="0" xfId="179" applyFont="1" applyFill="1" applyBorder="1">
      <alignment vertical="center"/>
    </xf>
    <xf numFmtId="0" fontId="45" fillId="0" borderId="0" xfId="179" applyFont="1" applyFill="1" applyBorder="1">
      <alignment vertical="center"/>
    </xf>
    <xf numFmtId="0" fontId="99" fillId="0" borderId="1" xfId="179" applyFont="1" applyBorder="1" applyAlignment="1">
      <alignment horizontal="center" vertical="center" wrapText="1"/>
    </xf>
    <xf numFmtId="0" fontId="100" fillId="0" borderId="7" xfId="179" applyFont="1" applyBorder="1" applyAlignment="1">
      <alignment horizontal="center" vertical="center" wrapText="1"/>
    </xf>
    <xf numFmtId="0" fontId="80" fillId="39" borderId="23" xfId="179" applyFont="1" applyFill="1" applyBorder="1" applyAlignment="1">
      <alignment horizontal="left" vertical="center" wrapText="1"/>
    </xf>
    <xf numFmtId="0" fontId="80" fillId="39" borderId="124" xfId="179" applyFont="1" applyFill="1" applyBorder="1" applyAlignment="1">
      <alignment horizontal="left" vertical="center" wrapText="1"/>
    </xf>
    <xf numFmtId="0" fontId="76" fillId="0" borderId="0" xfId="179" applyFont="1">
      <alignment vertical="center"/>
    </xf>
    <xf numFmtId="0" fontId="75" fillId="0" borderId="0" xfId="179" applyFont="1">
      <alignment vertical="center"/>
    </xf>
    <xf numFmtId="0" fontId="75" fillId="0" borderId="0" xfId="179" applyFont="1" applyBorder="1">
      <alignment vertical="center"/>
    </xf>
    <xf numFmtId="0" fontId="87" fillId="0" borderId="0" xfId="179" applyFont="1">
      <alignment vertical="center"/>
    </xf>
    <xf numFmtId="0" fontId="14" fillId="0" borderId="0" xfId="0" applyFont="1" applyFill="1" applyBorder="1">
      <alignment vertical="center"/>
    </xf>
    <xf numFmtId="0" fontId="102" fillId="0" borderId="48" xfId="0" applyFont="1" applyBorder="1" applyAlignment="1">
      <alignment horizontal="center" vertical="center" wrapText="1"/>
    </xf>
    <xf numFmtId="0" fontId="102" fillId="0" borderId="66" xfId="0" applyFont="1" applyBorder="1" applyAlignment="1">
      <alignment horizontal="center" vertical="center" wrapText="1"/>
    </xf>
    <xf numFmtId="0" fontId="102" fillId="0" borderId="67" xfId="0" applyFont="1" applyBorder="1" applyAlignment="1">
      <alignment horizontal="center" vertical="center" wrapText="1"/>
    </xf>
    <xf numFmtId="0" fontId="67" fillId="0" borderId="54" xfId="0" applyFont="1" applyBorder="1" applyAlignment="1">
      <alignment horizontal="center" vertical="center" wrapText="1"/>
    </xf>
    <xf numFmtId="49" fontId="61" fillId="0" borderId="0" xfId="173" applyNumberFormat="1" applyFont="1" applyAlignment="1">
      <alignment horizontal="left" vertical="center" wrapText="1"/>
    </xf>
    <xf numFmtId="49" fontId="61" fillId="0" borderId="1" xfId="173" applyNumberFormat="1" applyFont="1" applyBorder="1" applyAlignment="1">
      <alignment horizontal="left" vertical="center" wrapText="1"/>
    </xf>
    <xf numFmtId="41" fontId="61" fillId="0" borderId="148" xfId="125" applyFont="1" applyBorder="1" applyAlignment="1">
      <alignment horizontal="right" vertical="center" wrapText="1"/>
    </xf>
    <xf numFmtId="49" fontId="61" fillId="4" borderId="0" xfId="173" applyNumberFormat="1" applyFont="1" applyFill="1" applyAlignment="1">
      <alignment horizontal="left" vertical="center" wrapText="1"/>
    </xf>
    <xf numFmtId="49" fontId="61" fillId="4" borderId="1" xfId="173" applyNumberFormat="1" applyFont="1" applyFill="1" applyBorder="1" applyAlignment="1">
      <alignment horizontal="left" vertical="center" wrapText="1"/>
    </xf>
    <xf numFmtId="41" fontId="61" fillId="4" borderId="148" xfId="125" applyFont="1" applyFill="1" applyBorder="1" applyAlignment="1">
      <alignment horizontal="right" vertical="center" wrapText="1"/>
    </xf>
    <xf numFmtId="49" fontId="61" fillId="0" borderId="3" xfId="173" applyNumberFormat="1" applyFont="1" applyBorder="1" applyAlignment="1">
      <alignment horizontal="left" vertical="center" wrapText="1"/>
    </xf>
    <xf numFmtId="41" fontId="61" fillId="0" borderId="6" xfId="125" applyFont="1" applyBorder="1" applyAlignment="1">
      <alignment horizontal="right" vertical="center" wrapText="1"/>
    </xf>
    <xf numFmtId="41" fontId="61" fillId="36" borderId="180" xfId="125" applyFont="1" applyFill="1" applyBorder="1" applyAlignment="1">
      <alignment horizontal="right" vertical="center" wrapText="1"/>
    </xf>
    <xf numFmtId="41" fontId="61" fillId="37" borderId="107" xfId="125" applyFont="1" applyFill="1" applyBorder="1" applyAlignment="1">
      <alignment horizontal="right" vertical="center" wrapText="1"/>
    </xf>
    <xf numFmtId="41" fontId="61" fillId="36" borderId="107" xfId="125" applyFont="1" applyFill="1" applyBorder="1" applyAlignment="1">
      <alignment horizontal="right" vertical="center" wrapText="1"/>
    </xf>
    <xf numFmtId="0" fontId="67" fillId="0" borderId="0" xfId="0" applyFont="1">
      <alignment vertical="center"/>
    </xf>
    <xf numFmtId="0" fontId="7" fillId="0" borderId="0" xfId="0" applyFont="1" applyFill="1" applyBorder="1">
      <alignment vertical="center"/>
    </xf>
    <xf numFmtId="0" fontId="61" fillId="0" borderId="124" xfId="0" applyFont="1" applyBorder="1" applyAlignment="1">
      <alignment vertical="center" wrapText="1"/>
    </xf>
    <xf numFmtId="41" fontId="63" fillId="0" borderId="107" xfId="125" applyFont="1" applyBorder="1" applyAlignment="1">
      <alignment horizontal="center" vertical="center" wrapText="1"/>
    </xf>
    <xf numFmtId="41" fontId="63" fillId="0" borderId="175" xfId="125" applyFont="1" applyBorder="1" applyAlignment="1">
      <alignment horizontal="center" vertical="center" wrapText="1"/>
    </xf>
    <xf numFmtId="41" fontId="61" fillId="0" borderId="118" xfId="125" applyFont="1" applyBorder="1" applyAlignment="1">
      <alignment horizontal="center" vertical="center" wrapText="1"/>
    </xf>
    <xf numFmtId="41" fontId="61" fillId="0" borderId="176" xfId="125" applyFont="1" applyBorder="1" applyAlignment="1">
      <alignment horizontal="center" vertical="center" wrapText="1"/>
    </xf>
    <xf numFmtId="41" fontId="61" fillId="41" borderId="47" xfId="125" applyFont="1" applyFill="1" applyBorder="1" applyAlignment="1">
      <alignment horizontal="right" vertical="center" wrapText="1"/>
    </xf>
    <xf numFmtId="41" fontId="61" fillId="41" borderId="107" xfId="125" applyFont="1" applyFill="1" applyBorder="1" applyAlignment="1">
      <alignment horizontal="right" vertical="center" wrapText="1"/>
    </xf>
    <xf numFmtId="41" fontId="61" fillId="41" borderId="175" xfId="125" applyFont="1" applyFill="1" applyBorder="1" applyAlignment="1">
      <alignment horizontal="right" vertical="center" wrapText="1"/>
    </xf>
    <xf numFmtId="41" fontId="61" fillId="41" borderId="49" xfId="125" applyFont="1" applyFill="1" applyBorder="1" applyAlignment="1">
      <alignment horizontal="right" vertical="center" wrapText="1"/>
    </xf>
    <xf numFmtId="41" fontId="61" fillId="41" borderId="48" xfId="125" applyFont="1" applyFill="1" applyBorder="1" applyAlignment="1">
      <alignment horizontal="right" vertical="center" wrapText="1"/>
    </xf>
    <xf numFmtId="41" fontId="61" fillId="41" borderId="0" xfId="125" applyFont="1" applyFill="1" applyBorder="1" applyAlignment="1">
      <alignment horizontal="right" vertical="center" wrapText="1"/>
    </xf>
    <xf numFmtId="41" fontId="61" fillId="37" borderId="14" xfId="125" applyFont="1" applyFill="1" applyBorder="1" applyAlignment="1">
      <alignment horizontal="right" vertical="center" wrapText="1"/>
    </xf>
    <xf numFmtId="41" fontId="61" fillId="37" borderId="96" xfId="125" applyFont="1" applyFill="1" applyBorder="1" applyAlignment="1">
      <alignment horizontal="right" vertical="center" wrapText="1"/>
    </xf>
    <xf numFmtId="41" fontId="61" fillId="37" borderId="63" xfId="125" applyFont="1" applyFill="1" applyBorder="1" applyAlignment="1">
      <alignment horizontal="right" vertical="center" wrapText="1"/>
    </xf>
    <xf numFmtId="41" fontId="61" fillId="36" borderId="74" xfId="125" applyFont="1" applyFill="1" applyBorder="1" applyAlignment="1">
      <alignment horizontal="left" vertical="center" wrapText="1"/>
    </xf>
    <xf numFmtId="41" fontId="61" fillId="36" borderId="80" xfId="125" applyFont="1" applyFill="1" applyBorder="1" applyAlignment="1">
      <alignment horizontal="left" vertical="center" wrapText="1"/>
    </xf>
    <xf numFmtId="41" fontId="61" fillId="36" borderId="80" xfId="125" applyFont="1" applyFill="1" applyBorder="1" applyAlignment="1">
      <alignment horizontal="right" vertical="center" wrapText="1"/>
    </xf>
    <xf numFmtId="41" fontId="61" fillId="36" borderId="181" xfId="125" applyFont="1" applyFill="1" applyBorder="1" applyAlignment="1">
      <alignment horizontal="right" vertical="center" wrapText="1"/>
    </xf>
    <xf numFmtId="41" fontId="61" fillId="36" borderId="178" xfId="125" applyFont="1" applyFill="1" applyBorder="1" applyAlignment="1">
      <alignment horizontal="right" vertical="center" wrapText="1"/>
    </xf>
    <xf numFmtId="41" fontId="61" fillId="36" borderId="74" xfId="125" applyFont="1" applyFill="1" applyBorder="1" applyAlignment="1">
      <alignment horizontal="right" vertical="center" wrapText="1"/>
    </xf>
    <xf numFmtId="41" fontId="61" fillId="36" borderId="69" xfId="125" applyFont="1" applyFill="1" applyBorder="1" applyAlignment="1">
      <alignment horizontal="left" vertical="center" wrapText="1"/>
    </xf>
    <xf numFmtId="0" fontId="62" fillId="0" borderId="66" xfId="194" applyFont="1" applyBorder="1" applyAlignment="1">
      <alignment horizontal="center" vertical="center" wrapText="1"/>
    </xf>
    <xf numFmtId="0" fontId="63" fillId="0" borderId="47" xfId="194" applyFont="1" applyBorder="1" applyAlignment="1">
      <alignment horizontal="center" vertical="center" wrapText="1"/>
    </xf>
    <xf numFmtId="0" fontId="62" fillId="0" borderId="49" xfId="194" applyFont="1" applyBorder="1" applyAlignment="1">
      <alignment horizontal="center" vertical="center" wrapText="1"/>
    </xf>
    <xf numFmtId="0" fontId="61" fillId="0" borderId="72" xfId="194" applyFont="1" applyBorder="1" applyAlignment="1">
      <alignment horizontal="center" vertical="center" wrapText="1"/>
    </xf>
    <xf numFmtId="0" fontId="92" fillId="0" borderId="72" xfId="194" applyFont="1" applyBorder="1" applyAlignment="1">
      <alignment horizontal="center" vertical="center" wrapText="1"/>
    </xf>
    <xf numFmtId="0" fontId="61" fillId="36" borderId="47" xfId="194" applyFont="1" applyFill="1" applyBorder="1" applyAlignment="1">
      <alignment horizontal="left" vertical="center" wrapText="1"/>
    </xf>
    <xf numFmtId="41" fontId="59" fillId="36" borderId="136" xfId="194" applyNumberFormat="1" applyFont="1" applyFill="1" applyBorder="1" applyAlignment="1">
      <alignment horizontal="right" vertical="center" wrapText="1"/>
    </xf>
    <xf numFmtId="41" fontId="59" fillId="36" borderId="140" xfId="194" applyNumberFormat="1" applyFont="1" applyFill="1" applyBorder="1" applyAlignment="1">
      <alignment horizontal="right" vertical="center" wrapText="1"/>
    </xf>
    <xf numFmtId="0" fontId="61" fillId="37" borderId="47" xfId="194" applyFont="1" applyFill="1" applyBorder="1" applyAlignment="1">
      <alignment horizontal="left" vertical="center" wrapText="1"/>
    </xf>
    <xf numFmtId="41" fontId="59" fillId="37" borderId="48" xfId="194" applyNumberFormat="1" applyFont="1" applyFill="1" applyBorder="1" applyAlignment="1">
      <alignment horizontal="right" vertical="center" wrapText="1"/>
    </xf>
    <xf numFmtId="41" fontId="59" fillId="37" borderId="49" xfId="194" applyNumberFormat="1" applyFont="1" applyFill="1" applyBorder="1" applyAlignment="1">
      <alignment horizontal="right" vertical="center" wrapText="1"/>
    </xf>
    <xf numFmtId="41" fontId="59" fillId="36" borderId="48" xfId="194" applyNumberFormat="1" applyFont="1" applyFill="1" applyBorder="1" applyAlignment="1">
      <alignment horizontal="right" vertical="center" wrapText="1"/>
    </xf>
    <xf numFmtId="41" fontId="59" fillId="36" borderId="49" xfId="194" applyNumberFormat="1" applyFont="1" applyFill="1" applyBorder="1" applyAlignment="1">
      <alignment horizontal="right" vertical="center" wrapText="1"/>
    </xf>
    <xf numFmtId="0" fontId="67" fillId="36" borderId="47" xfId="194" applyFont="1" applyFill="1" applyBorder="1" applyAlignment="1">
      <alignment horizontal="left" vertical="center" wrapText="1"/>
    </xf>
    <xf numFmtId="41" fontId="59" fillId="43" borderId="48" xfId="194" applyNumberFormat="1" applyFont="1" applyFill="1" applyBorder="1" applyAlignment="1">
      <alignment horizontal="right" vertical="center" wrapText="1"/>
    </xf>
    <xf numFmtId="41" fontId="59" fillId="37" borderId="76" xfId="194" applyNumberFormat="1" applyFont="1" applyFill="1" applyBorder="1" applyAlignment="1">
      <alignment horizontal="right" vertical="center" wrapText="1"/>
    </xf>
    <xf numFmtId="41" fontId="59" fillId="37" borderId="77" xfId="194" applyNumberFormat="1" applyFont="1" applyFill="1" applyBorder="1" applyAlignment="1">
      <alignment horizontal="right" vertical="center" wrapText="1"/>
    </xf>
    <xf numFmtId="0" fontId="59" fillId="36" borderId="74" xfId="194" applyFont="1" applyFill="1" applyBorder="1" applyAlignment="1">
      <alignment horizontal="left" vertical="center" wrapText="1"/>
    </xf>
    <xf numFmtId="0" fontId="61" fillId="36" borderId="80" xfId="194" applyFont="1" applyFill="1" applyBorder="1" applyAlignment="1">
      <alignment horizontal="left" vertical="center" wrapText="1"/>
    </xf>
    <xf numFmtId="41" fontId="59" fillId="36" borderId="80" xfId="194" applyNumberFormat="1" applyFont="1" applyFill="1" applyBorder="1" applyAlignment="1">
      <alignment horizontal="right" vertical="center" wrapText="1"/>
    </xf>
    <xf numFmtId="41" fontId="59" fillId="36" borderId="81" xfId="194" applyNumberFormat="1" applyFont="1" applyFill="1" applyBorder="1" applyAlignment="1">
      <alignment horizontal="right" vertical="center" wrapText="1"/>
    </xf>
    <xf numFmtId="41" fontId="59" fillId="36" borderId="74" xfId="194" applyNumberFormat="1" applyFont="1" applyFill="1" applyBorder="1" applyAlignment="1">
      <alignment horizontal="right" vertical="center" wrapText="1"/>
    </xf>
    <xf numFmtId="41" fontId="59" fillId="37" borderId="47" xfId="194" applyNumberFormat="1" applyFont="1" applyFill="1" applyBorder="1" applyAlignment="1">
      <alignment horizontal="right" vertical="center" wrapText="1"/>
    </xf>
    <xf numFmtId="41" fontId="59" fillId="36" borderId="47" xfId="194" applyNumberFormat="1" applyFont="1" applyFill="1" applyBorder="1" applyAlignment="1">
      <alignment horizontal="right" vertical="center" wrapText="1"/>
    </xf>
    <xf numFmtId="41" fontId="59" fillId="37" borderId="75" xfId="194" applyNumberFormat="1" applyFont="1" applyFill="1" applyBorder="1" applyAlignment="1">
      <alignment horizontal="right" vertical="center" wrapText="1"/>
    </xf>
    <xf numFmtId="41" fontId="59" fillId="36" borderId="82" xfId="194" applyNumberFormat="1" applyFont="1" applyFill="1" applyBorder="1" applyAlignment="1">
      <alignment horizontal="right" vertical="center" wrapText="1"/>
    </xf>
    <xf numFmtId="0" fontId="59" fillId="37" borderId="79" xfId="194" applyFont="1" applyFill="1" applyBorder="1" applyAlignment="1">
      <alignment horizontal="left" vertical="center" wrapText="1"/>
    </xf>
    <xf numFmtId="0" fontId="61" fillId="37" borderId="75" xfId="194" applyFont="1" applyFill="1" applyBorder="1" applyAlignment="1">
      <alignment horizontal="left" vertical="center" wrapText="1"/>
    </xf>
    <xf numFmtId="0" fontId="94" fillId="0" borderId="0" xfId="194" applyFont="1">
      <alignment vertical="center"/>
    </xf>
    <xf numFmtId="0" fontId="65" fillId="0" borderId="0" xfId="194" applyFont="1">
      <alignment vertical="center"/>
    </xf>
    <xf numFmtId="0" fontId="64" fillId="0" borderId="0" xfId="194" applyFont="1">
      <alignment vertical="center"/>
    </xf>
    <xf numFmtId="0" fontId="64" fillId="0" borderId="0" xfId="194" applyFont="1" applyBorder="1">
      <alignment vertical="center"/>
    </xf>
    <xf numFmtId="0" fontId="105" fillId="0" borderId="0" xfId="194" applyFont="1">
      <alignment vertical="center"/>
    </xf>
    <xf numFmtId="0" fontId="4" fillId="0" borderId="0" xfId="194" applyFont="1" applyFill="1">
      <alignment vertical="center"/>
    </xf>
    <xf numFmtId="0" fontId="4" fillId="0" borderId="0" xfId="194" applyFont="1" applyFill="1" applyBorder="1">
      <alignment vertical="center"/>
    </xf>
    <xf numFmtId="0" fontId="8" fillId="0" borderId="0" xfId="194" applyFont="1" applyFill="1" applyBorder="1">
      <alignment vertical="center"/>
    </xf>
    <xf numFmtId="0" fontId="10" fillId="0" borderId="0" xfId="194" applyFont="1" applyFill="1" applyBorder="1">
      <alignment vertical="center"/>
    </xf>
    <xf numFmtId="0" fontId="11" fillId="0" borderId="0" xfId="194" applyFont="1" applyFill="1" applyBorder="1">
      <alignment vertical="center"/>
    </xf>
    <xf numFmtId="41" fontId="5" fillId="0" borderId="0" xfId="194" applyNumberFormat="1" applyFont="1" applyFill="1" applyBorder="1">
      <alignment vertical="center"/>
    </xf>
    <xf numFmtId="0" fontId="9" fillId="0" borderId="0" xfId="194" applyFont="1" applyFill="1" applyBorder="1">
      <alignment vertical="center"/>
    </xf>
    <xf numFmtId="0" fontId="62" fillId="0" borderId="78" xfId="194" applyFont="1" applyBorder="1" applyAlignment="1">
      <alignment horizontal="center" vertical="center" wrapText="1"/>
    </xf>
    <xf numFmtId="0" fontId="62" fillId="0" borderId="154" xfId="194" applyFont="1" applyBorder="1" applyAlignment="1">
      <alignment horizontal="center" vertical="center" wrapText="1"/>
    </xf>
    <xf numFmtId="0" fontId="62" fillId="0" borderId="92" xfId="194" applyFont="1" applyBorder="1" applyAlignment="1">
      <alignment horizontal="center" vertical="center" wrapText="1"/>
    </xf>
    <xf numFmtId="49" fontId="62" fillId="0" borderId="135" xfId="0" applyNumberFormat="1" applyFont="1" applyBorder="1" applyAlignment="1">
      <alignment horizontal="center" vertical="center" wrapText="1"/>
    </xf>
    <xf numFmtId="0" fontId="63" fillId="0" borderId="48" xfId="194" applyFont="1" applyBorder="1" applyAlignment="1">
      <alignment horizontal="center" vertical="center" wrapText="1"/>
    </xf>
    <xf numFmtId="0" fontId="91" fillId="0" borderId="47" xfId="194" applyFont="1" applyBorder="1" applyAlignment="1">
      <alignment horizontal="center" vertical="center" wrapText="1"/>
    </xf>
    <xf numFmtId="0" fontId="67" fillId="0" borderId="72" xfId="194" applyFont="1" applyBorder="1" applyAlignment="1">
      <alignment horizontal="center" vertical="center" wrapText="1"/>
    </xf>
    <xf numFmtId="0" fontId="91" fillId="0" borderId="72" xfId="194" applyFont="1" applyBorder="1" applyAlignment="1">
      <alignment horizontal="center" vertical="center" wrapText="1"/>
    </xf>
    <xf numFmtId="0" fontId="91" fillId="0" borderId="48" xfId="194" applyFont="1" applyBorder="1" applyAlignment="1">
      <alignment horizontal="center" vertical="center" wrapText="1"/>
    </xf>
    <xf numFmtId="0" fontId="61" fillId="0" borderId="48" xfId="194" applyFont="1" applyBorder="1" applyAlignment="1">
      <alignment horizontal="center" vertical="center" wrapText="1"/>
    </xf>
    <xf numFmtId="0" fontId="67" fillId="0" borderId="48" xfId="194" applyFont="1" applyBorder="1" applyAlignment="1">
      <alignment horizontal="center" vertical="center" wrapText="1"/>
    </xf>
    <xf numFmtId="0" fontId="67" fillId="0" borderId="145" xfId="194" applyFont="1" applyBorder="1" applyAlignment="1">
      <alignment horizontal="center" vertical="center" wrapText="1"/>
    </xf>
    <xf numFmtId="49" fontId="67" fillId="0" borderId="7" xfId="0" applyNumberFormat="1" applyFont="1" applyBorder="1" applyAlignment="1">
      <alignment horizontal="center" vertical="center" wrapText="1"/>
    </xf>
    <xf numFmtId="49" fontId="91" fillId="0" borderId="7" xfId="0" applyNumberFormat="1" applyFont="1" applyBorder="1" applyAlignment="1">
      <alignment horizontal="center" vertical="center" wrapText="1"/>
    </xf>
    <xf numFmtId="0" fontId="92" fillId="0" borderId="47" xfId="194" applyFont="1" applyBorder="1" applyAlignment="1">
      <alignment horizontal="center" vertical="center" wrapText="1"/>
    </xf>
    <xf numFmtId="0" fontId="92" fillId="0" borderId="48" xfId="194" applyFont="1" applyBorder="1" applyAlignment="1">
      <alignment horizontal="center" vertical="center" wrapText="1"/>
    </xf>
    <xf numFmtId="0" fontId="92" fillId="0" borderId="49" xfId="194" applyFont="1" applyBorder="1" applyAlignment="1">
      <alignment horizontal="center" vertical="center" wrapText="1"/>
    </xf>
    <xf numFmtId="41" fontId="59" fillId="36" borderId="142" xfId="194" applyNumberFormat="1" applyFont="1" applyFill="1" applyBorder="1" applyAlignment="1">
      <alignment horizontal="right" vertical="center" wrapText="1"/>
    </xf>
    <xf numFmtId="41" fontId="59" fillId="36" borderId="141" xfId="194" applyNumberFormat="1" applyFont="1" applyFill="1" applyBorder="1" applyAlignment="1">
      <alignment horizontal="right" vertical="center" wrapText="1"/>
    </xf>
    <xf numFmtId="41" fontId="59" fillId="36" borderId="161" xfId="194" applyNumberFormat="1" applyFont="1" applyFill="1" applyBorder="1" applyAlignment="1">
      <alignment horizontal="right" vertical="center" wrapText="1"/>
    </xf>
    <xf numFmtId="41" fontId="59" fillId="37" borderId="56" xfId="194" applyNumberFormat="1" applyFont="1" applyFill="1" applyBorder="1" applyAlignment="1">
      <alignment horizontal="right" vertical="center" wrapText="1"/>
    </xf>
    <xf numFmtId="41" fontId="59" fillId="37" borderId="59" xfId="194" applyNumberFormat="1" applyFont="1" applyFill="1" applyBorder="1" applyAlignment="1">
      <alignment horizontal="right" vertical="center" wrapText="1"/>
    </xf>
    <xf numFmtId="41" fontId="59" fillId="36" borderId="56" xfId="194" applyNumberFormat="1" applyFont="1" applyFill="1" applyBorder="1" applyAlignment="1">
      <alignment horizontal="right" vertical="center" wrapText="1"/>
    </xf>
    <xf numFmtId="41" fontId="59" fillId="36" borderId="59" xfId="194" applyNumberFormat="1" applyFont="1" applyFill="1" applyBorder="1" applyAlignment="1">
      <alignment horizontal="right" vertical="center" wrapText="1"/>
    </xf>
    <xf numFmtId="41" fontId="59" fillId="37" borderId="172" xfId="194" applyNumberFormat="1" applyFont="1" applyFill="1" applyBorder="1" applyAlignment="1">
      <alignment horizontal="right" vertical="center" wrapText="1"/>
    </xf>
    <xf numFmtId="41" fontId="59" fillId="37" borderId="153" xfId="194" applyNumberFormat="1" applyFont="1" applyFill="1" applyBorder="1" applyAlignment="1">
      <alignment horizontal="right" vertical="center" wrapText="1"/>
    </xf>
    <xf numFmtId="0" fontId="6" fillId="0" borderId="0" xfId="194" applyFont="1" applyFill="1" applyBorder="1">
      <alignment vertical="center"/>
    </xf>
    <xf numFmtId="0" fontId="62" fillId="0" borderId="67" xfId="194" applyFont="1" applyBorder="1" applyAlignment="1">
      <alignment horizontal="center" vertical="center" wrapText="1"/>
    </xf>
    <xf numFmtId="0" fontId="67" fillId="0" borderId="49" xfId="194" applyFont="1" applyBorder="1" applyAlignment="1">
      <alignment horizontal="center" vertical="center" wrapText="1"/>
    </xf>
    <xf numFmtId="0" fontId="59" fillId="36" borderId="141" xfId="194" applyFont="1" applyFill="1" applyBorder="1" applyAlignment="1">
      <alignment horizontal="left" vertical="center" wrapText="1"/>
    </xf>
    <xf numFmtId="0" fontId="61" fillId="36" borderId="142" xfId="194" applyFont="1" applyFill="1" applyBorder="1" applyAlignment="1">
      <alignment horizontal="left" vertical="center" wrapText="1"/>
    </xf>
    <xf numFmtId="0" fontId="46" fillId="0" borderId="0" xfId="193" applyFont="1" applyFill="1" applyBorder="1">
      <alignment vertical="center"/>
    </xf>
    <xf numFmtId="0" fontId="47" fillId="0" borderId="0" xfId="193" applyFont="1" applyFill="1" applyBorder="1">
      <alignment vertical="center"/>
    </xf>
    <xf numFmtId="0" fontId="38" fillId="0" borderId="0" xfId="193" applyFont="1" applyFill="1" applyBorder="1">
      <alignment vertical="center"/>
    </xf>
    <xf numFmtId="0" fontId="45" fillId="0" borderId="0" xfId="193" applyFont="1" applyFill="1" applyBorder="1">
      <alignment vertical="center"/>
    </xf>
    <xf numFmtId="0" fontId="61" fillId="0" borderId="48" xfId="0" applyFont="1" applyBorder="1" applyAlignment="1">
      <alignment horizontal="center" vertical="center" wrapText="1"/>
    </xf>
    <xf numFmtId="0" fontId="61" fillId="0" borderId="129" xfId="0" applyFont="1" applyBorder="1" applyAlignment="1">
      <alignment horizontal="center" vertical="center" wrapText="1"/>
    </xf>
    <xf numFmtId="0" fontId="71" fillId="0" borderId="93" xfId="193" applyFont="1" applyBorder="1" applyAlignment="1">
      <alignment horizontal="center" vertical="center" wrapText="1"/>
    </xf>
    <xf numFmtId="0" fontId="61" fillId="0" borderId="27" xfId="0" applyFont="1" applyBorder="1" applyAlignment="1">
      <alignment horizontal="center" vertical="center" wrapText="1"/>
    </xf>
    <xf numFmtId="0" fontId="73" fillId="0" borderId="131" xfId="193" applyFont="1" applyBorder="1" applyAlignment="1">
      <alignment horizontal="center" vertical="center" wrapText="1"/>
    </xf>
    <xf numFmtId="0" fontId="69" fillId="36" borderId="119" xfId="193" applyFont="1" applyFill="1" applyBorder="1" applyAlignment="1">
      <alignment horizontal="left" vertical="center" wrapText="1"/>
    </xf>
    <xf numFmtId="0" fontId="73" fillId="36" borderId="120" xfId="193" applyFont="1" applyFill="1" applyBorder="1" applyAlignment="1">
      <alignment horizontal="left" vertical="center" wrapText="1"/>
    </xf>
    <xf numFmtId="0" fontId="73" fillId="37" borderId="47" xfId="193" applyFont="1" applyFill="1" applyBorder="1" applyAlignment="1">
      <alignment horizontal="left" vertical="center" wrapText="1"/>
    </xf>
    <xf numFmtId="41" fontId="59" fillId="0" borderId="148" xfId="0" applyNumberFormat="1" applyFont="1" applyBorder="1" applyAlignment="1">
      <alignment horizontal="right" vertical="center" wrapText="1"/>
    </xf>
    <xf numFmtId="0" fontId="69" fillId="37" borderId="124" xfId="193" applyFont="1" applyFill="1" applyBorder="1" applyAlignment="1">
      <alignment horizontal="left" vertical="center" wrapText="1"/>
    </xf>
    <xf numFmtId="0" fontId="69" fillId="36" borderId="74" xfId="193" applyFont="1" applyFill="1" applyBorder="1" applyAlignment="1">
      <alignment horizontal="left" vertical="center" wrapText="1"/>
    </xf>
    <xf numFmtId="0" fontId="73" fillId="36" borderId="80" xfId="193" applyFont="1" applyFill="1" applyBorder="1" applyAlignment="1">
      <alignment horizontal="left" vertical="center" wrapText="1"/>
    </xf>
    <xf numFmtId="41" fontId="69" fillId="36" borderId="80" xfId="193" applyNumberFormat="1" applyFont="1" applyFill="1" applyBorder="1" applyAlignment="1">
      <alignment horizontal="right" vertical="center" wrapText="1"/>
    </xf>
    <xf numFmtId="41" fontId="69" fillId="36" borderId="74" xfId="193" applyNumberFormat="1" applyFont="1" applyFill="1" applyBorder="1" applyAlignment="1">
      <alignment horizontal="right" vertical="center" wrapText="1"/>
    </xf>
    <xf numFmtId="41" fontId="69" fillId="37" borderId="47" xfId="193" applyNumberFormat="1" applyFont="1" applyFill="1" applyBorder="1" applyAlignment="1">
      <alignment horizontal="right" vertical="center" wrapText="1"/>
    </xf>
    <xf numFmtId="41" fontId="69" fillId="37" borderId="48" xfId="193" applyNumberFormat="1" applyFont="1" applyFill="1" applyBorder="1" applyAlignment="1">
      <alignment horizontal="right" vertical="center" wrapText="1"/>
    </xf>
    <xf numFmtId="0" fontId="73" fillId="36" borderId="47" xfId="193" applyFont="1" applyFill="1" applyBorder="1" applyAlignment="1">
      <alignment horizontal="left" vertical="center" wrapText="1"/>
    </xf>
    <xf numFmtId="41" fontId="69" fillId="36" borderId="47" xfId="193" applyNumberFormat="1" applyFont="1" applyFill="1" applyBorder="1" applyAlignment="1">
      <alignment horizontal="right" vertical="center" wrapText="1"/>
    </xf>
    <xf numFmtId="0" fontId="69" fillId="37" borderId="79" xfId="193" applyFont="1" applyFill="1" applyBorder="1" applyAlignment="1">
      <alignment horizontal="left" vertical="center" wrapText="1"/>
    </xf>
    <xf numFmtId="0" fontId="73" fillId="37" borderId="75" xfId="193" applyFont="1" applyFill="1" applyBorder="1" applyAlignment="1">
      <alignment horizontal="left" vertical="center" wrapText="1"/>
    </xf>
    <xf numFmtId="41" fontId="69" fillId="37" borderId="75" xfId="193" applyNumberFormat="1" applyFont="1" applyFill="1" applyBorder="1" applyAlignment="1">
      <alignment horizontal="right" vertical="center" wrapText="1"/>
    </xf>
    <xf numFmtId="41" fontId="69" fillId="37" borderId="76" xfId="193" applyNumberFormat="1" applyFont="1" applyFill="1" applyBorder="1" applyAlignment="1">
      <alignment horizontal="right" vertical="center" wrapText="1"/>
    </xf>
    <xf numFmtId="41" fontId="69" fillId="37" borderId="79" xfId="193" applyNumberFormat="1" applyFont="1" applyFill="1" applyBorder="1" applyAlignment="1">
      <alignment horizontal="right" vertical="center" wrapText="1"/>
    </xf>
    <xf numFmtId="0" fontId="73" fillId="36" borderId="69" xfId="193" applyFont="1" applyFill="1" applyBorder="1" applyAlignment="1">
      <alignment horizontal="left" vertical="center" wrapText="1"/>
    </xf>
    <xf numFmtId="41" fontId="59" fillId="4" borderId="10" xfId="0" applyNumberFormat="1" applyFont="1" applyFill="1" applyBorder="1" applyAlignment="1">
      <alignment horizontal="right" vertical="center" wrapText="1"/>
    </xf>
    <xf numFmtId="41" fontId="59" fillId="4" borderId="8" xfId="0" applyNumberFormat="1" applyFont="1" applyFill="1" applyBorder="1" applyAlignment="1">
      <alignment horizontal="right" vertical="center" wrapText="1"/>
    </xf>
    <xf numFmtId="41" fontId="59" fillId="4" borderId="148" xfId="0" applyNumberFormat="1" applyFont="1" applyFill="1" applyBorder="1" applyAlignment="1">
      <alignment horizontal="right" vertical="center" wrapText="1"/>
    </xf>
    <xf numFmtId="41" fontId="59" fillId="44" borderId="148" xfId="0" applyNumberFormat="1" applyFont="1" applyFill="1" applyBorder="1" applyAlignment="1">
      <alignment horizontal="right" vertical="center" wrapText="1"/>
    </xf>
    <xf numFmtId="0" fontId="76" fillId="0" borderId="0" xfId="193" applyFont="1" applyFill="1">
      <alignment vertical="center"/>
    </xf>
    <xf numFmtId="0" fontId="73" fillId="0" borderId="0" xfId="193" applyFont="1" applyFill="1">
      <alignment vertical="center"/>
    </xf>
    <xf numFmtId="0" fontId="75" fillId="0" borderId="0" xfId="193" applyFont="1" applyFill="1">
      <alignment vertical="center"/>
    </xf>
    <xf numFmtId="0" fontId="69" fillId="0" borderId="0" xfId="193" applyFont="1" applyFill="1">
      <alignment vertical="center"/>
    </xf>
    <xf numFmtId="0" fontId="62" fillId="0" borderId="93" xfId="194" applyFont="1" applyBorder="1" applyAlignment="1">
      <alignment horizontal="center" vertical="center" wrapText="1"/>
    </xf>
    <xf numFmtId="0" fontId="62" fillId="0" borderId="105" xfId="194" applyFont="1" applyBorder="1" applyAlignment="1">
      <alignment horizontal="center" vertical="center" wrapText="1"/>
    </xf>
    <xf numFmtId="49" fontId="62" fillId="0" borderId="143" xfId="194" applyNumberFormat="1" applyFont="1" applyBorder="1" applyAlignment="1">
      <alignment horizontal="center" vertical="center" wrapText="1"/>
    </xf>
    <xf numFmtId="0" fontId="91" fillId="0" borderId="56" xfId="194" applyFont="1" applyBorder="1" applyAlignment="1">
      <alignment horizontal="center" vertical="center" wrapText="1"/>
    </xf>
    <xf numFmtId="0" fontId="67" fillId="0" borderId="83" xfId="194" applyFont="1" applyBorder="1" applyAlignment="1">
      <alignment horizontal="center" vertical="center" wrapText="1"/>
    </xf>
    <xf numFmtId="49" fontId="92" fillId="0" borderId="7" xfId="194" applyNumberFormat="1" applyFont="1" applyBorder="1" applyAlignment="1">
      <alignment horizontal="center" vertical="center" wrapText="1"/>
    </xf>
    <xf numFmtId="49" fontId="67" fillId="0" borderId="18" xfId="194" applyNumberFormat="1" applyFont="1" applyBorder="1" applyAlignment="1">
      <alignment horizontal="center" vertical="center" wrapText="1"/>
    </xf>
    <xf numFmtId="41" fontId="59" fillId="36" borderId="171" xfId="194" applyNumberFormat="1" applyFont="1" applyFill="1" applyBorder="1" applyAlignment="1">
      <alignment horizontal="right" vertical="center" wrapText="1"/>
    </xf>
    <xf numFmtId="41" fontId="59" fillId="36" borderId="155" xfId="194" applyNumberFormat="1" applyFont="1" applyFill="1" applyBorder="1" applyAlignment="1">
      <alignment horizontal="right" vertical="center" wrapText="1"/>
    </xf>
    <xf numFmtId="41" fontId="59" fillId="37" borderId="130" xfId="194" applyNumberFormat="1" applyFont="1" applyFill="1" applyBorder="1" applyAlignment="1">
      <alignment horizontal="right" vertical="center" wrapText="1"/>
    </xf>
    <xf numFmtId="41" fontId="59" fillId="37" borderId="79" xfId="194" applyNumberFormat="1" applyFont="1" applyFill="1" applyBorder="1" applyAlignment="1">
      <alignment horizontal="right" vertical="center" wrapText="1"/>
    </xf>
    <xf numFmtId="41" fontId="59" fillId="36" borderId="181" xfId="194" applyNumberFormat="1" applyFont="1" applyFill="1" applyBorder="1" applyAlignment="1">
      <alignment horizontal="right" vertical="center" wrapText="1"/>
    </xf>
    <xf numFmtId="41" fontId="59" fillId="36" borderId="178" xfId="194" applyNumberFormat="1" applyFont="1" applyFill="1" applyBorder="1" applyAlignment="1">
      <alignment horizontal="right" vertical="center" wrapText="1"/>
    </xf>
    <xf numFmtId="41" fontId="59" fillId="37" borderId="160" xfId="194" applyNumberFormat="1" applyFont="1" applyFill="1" applyBorder="1" applyAlignment="1">
      <alignment horizontal="right" vertical="center" wrapText="1"/>
    </xf>
    <xf numFmtId="41" fontId="59" fillId="37" borderId="175" xfId="194" applyNumberFormat="1" applyFont="1" applyFill="1" applyBorder="1" applyAlignment="1">
      <alignment horizontal="right" vertical="center" wrapText="1"/>
    </xf>
    <xf numFmtId="41" fontId="59" fillId="36" borderId="160" xfId="194" applyNumberFormat="1" applyFont="1" applyFill="1" applyBorder="1" applyAlignment="1">
      <alignment horizontal="right" vertical="center" wrapText="1"/>
    </xf>
    <xf numFmtId="41" fontId="59" fillId="36" borderId="175" xfId="194" applyNumberFormat="1" applyFont="1" applyFill="1" applyBorder="1" applyAlignment="1">
      <alignment horizontal="right" vertical="center" wrapText="1"/>
    </xf>
    <xf numFmtId="41" fontId="59" fillId="37" borderId="183" xfId="194" applyNumberFormat="1" applyFont="1" applyFill="1" applyBorder="1" applyAlignment="1">
      <alignment horizontal="right" vertical="center" wrapText="1"/>
    </xf>
    <xf numFmtId="41" fontId="59" fillId="37" borderId="182" xfId="194" applyNumberFormat="1" applyFont="1" applyFill="1" applyBorder="1" applyAlignment="1">
      <alignment horizontal="right" vertical="center" wrapText="1"/>
    </xf>
    <xf numFmtId="41" fontId="59" fillId="36" borderId="130" xfId="194" applyNumberFormat="1" applyFont="1" applyFill="1" applyBorder="1" applyAlignment="1">
      <alignment horizontal="right" vertical="center" wrapText="1"/>
    </xf>
    <xf numFmtId="0" fontId="53" fillId="0" borderId="0" xfId="179" applyFont="1" applyFill="1" applyBorder="1">
      <alignment vertical="center"/>
    </xf>
    <xf numFmtId="0" fontId="106" fillId="0" borderId="1" xfId="179" applyFont="1" applyBorder="1" applyAlignment="1">
      <alignment horizontal="center" vertical="center" wrapText="1"/>
    </xf>
    <xf numFmtId="0" fontId="98" fillId="0" borderId="1" xfId="179" applyFont="1" applyBorder="1" applyAlignment="1">
      <alignment horizontal="center" vertical="center" wrapText="1"/>
    </xf>
    <xf numFmtId="0" fontId="95" fillId="0" borderId="1" xfId="179" applyFont="1" applyBorder="1" applyAlignment="1">
      <alignment horizontal="center" vertical="center" wrapText="1"/>
    </xf>
    <xf numFmtId="0" fontId="106" fillId="0" borderId="1" xfId="179" applyFont="1" applyBorder="1" applyAlignment="1">
      <alignment horizontal="center" vertical="center" shrinkToFit="1"/>
    </xf>
    <xf numFmtId="0" fontId="95" fillId="0" borderId="4" xfId="179" applyFont="1" applyBorder="1" applyAlignment="1">
      <alignment horizontal="center" vertical="center" wrapText="1"/>
    </xf>
    <xf numFmtId="0" fontId="98" fillId="0" borderId="7" xfId="179" applyFont="1" applyBorder="1" applyAlignment="1">
      <alignment horizontal="center" vertical="center" wrapText="1"/>
    </xf>
    <xf numFmtId="0" fontId="98" fillId="2" borderId="23" xfId="179" applyFont="1" applyFill="1" applyBorder="1" applyAlignment="1">
      <alignment horizontal="left" vertical="center" wrapText="1"/>
    </xf>
    <xf numFmtId="0" fontId="98" fillId="3" borderId="23" xfId="179" applyFont="1" applyFill="1" applyBorder="1" applyAlignment="1">
      <alignment horizontal="left" vertical="center" wrapText="1"/>
    </xf>
    <xf numFmtId="0" fontId="98" fillId="3" borderId="24" xfId="179" applyFont="1" applyFill="1" applyBorder="1" applyAlignment="1">
      <alignment horizontal="left" vertical="center" wrapText="1"/>
    </xf>
    <xf numFmtId="0" fontId="95" fillId="2" borderId="0" xfId="179" applyFont="1" applyFill="1" applyAlignment="1">
      <alignment horizontal="left" vertical="center" wrapText="1"/>
    </xf>
    <xf numFmtId="0" fontId="95" fillId="3" borderId="0" xfId="179" applyFont="1" applyFill="1" applyAlignment="1">
      <alignment horizontal="left" vertical="center" wrapText="1"/>
    </xf>
    <xf numFmtId="0" fontId="98" fillId="2" borderId="25" xfId="179" applyFont="1" applyFill="1" applyBorder="1" applyAlignment="1">
      <alignment horizontal="left" vertical="center" wrapText="1"/>
    </xf>
    <xf numFmtId="0" fontId="69" fillId="0" borderId="0" xfId="179" applyFont="1">
      <alignment vertical="center"/>
    </xf>
    <xf numFmtId="0" fontId="73" fillId="0" borderId="0" xfId="179" applyFont="1">
      <alignment vertical="center"/>
    </xf>
    <xf numFmtId="0" fontId="63" fillId="0" borderId="49" xfId="0" applyFont="1" applyBorder="1" applyAlignment="1">
      <alignment horizontal="center" vertical="center" wrapText="1"/>
    </xf>
    <xf numFmtId="41" fontId="59" fillId="37" borderId="126" xfId="125" applyFont="1" applyFill="1" applyBorder="1" applyAlignment="1">
      <alignment horizontal="right" vertical="center" wrapText="1"/>
    </xf>
    <xf numFmtId="0" fontId="56" fillId="0" borderId="0" xfId="296" quotePrefix="1" applyFill="1" applyBorder="1">
      <alignment vertical="center"/>
    </xf>
    <xf numFmtId="41" fontId="59" fillId="36" borderId="55" xfId="0" applyNumberFormat="1" applyFont="1" applyFill="1" applyBorder="1" applyAlignment="1">
      <alignment horizontal="right" vertical="center" wrapText="1"/>
    </xf>
    <xf numFmtId="41" fontId="59" fillId="36" borderId="49" xfId="0" applyNumberFormat="1" applyFont="1" applyFill="1" applyBorder="1" applyAlignment="1">
      <alignment horizontal="right" vertical="center" wrapText="1"/>
    </xf>
    <xf numFmtId="0" fontId="107" fillId="0" borderId="0" xfId="0" applyFont="1">
      <alignment vertical="center"/>
    </xf>
    <xf numFmtId="0" fontId="108" fillId="0" borderId="0" xfId="0" applyFont="1">
      <alignment vertical="center"/>
    </xf>
    <xf numFmtId="49" fontId="113" fillId="0" borderId="1" xfId="183" applyNumberFormat="1" applyFont="1" applyBorder="1" applyAlignment="1">
      <alignment horizontal="center" vertical="center" wrapText="1"/>
    </xf>
    <xf numFmtId="49" fontId="116" fillId="0" borderId="1" xfId="183" applyNumberFormat="1" applyFont="1" applyBorder="1" applyAlignment="1">
      <alignment horizontal="center" vertical="center" wrapText="1"/>
    </xf>
    <xf numFmtId="0" fontId="118" fillId="0" borderId="86" xfId="0" applyFont="1" applyBorder="1" applyAlignment="1">
      <alignment horizontal="center" vertical="center" wrapText="1"/>
    </xf>
    <xf numFmtId="49" fontId="112" fillId="0" borderId="17" xfId="183" applyNumberFormat="1" applyFont="1" applyBorder="1" applyAlignment="1">
      <alignment horizontal="center" vertical="center" wrapText="1"/>
    </xf>
    <xf numFmtId="49" fontId="116" fillId="0" borderId="4" xfId="183" applyNumberFormat="1" applyFont="1" applyBorder="1" applyAlignment="1">
      <alignment horizontal="center" vertical="center" wrapText="1"/>
    </xf>
    <xf numFmtId="0" fontId="114" fillId="0" borderId="87" xfId="0" applyFont="1" applyBorder="1" applyAlignment="1">
      <alignment horizontal="center" vertical="center" wrapText="1"/>
    </xf>
    <xf numFmtId="0" fontId="114" fillId="0" borderId="88" xfId="0" applyFont="1" applyBorder="1" applyAlignment="1">
      <alignment horizontal="center" vertical="center" wrapText="1"/>
    </xf>
    <xf numFmtId="49" fontId="111" fillId="4" borderId="32" xfId="183" applyNumberFormat="1" applyFont="1" applyFill="1" applyBorder="1" applyAlignment="1">
      <alignment horizontal="left" vertical="center" wrapText="1"/>
    </xf>
    <xf numFmtId="0" fontId="112" fillId="37" borderId="47" xfId="187" applyFont="1" applyFill="1" applyBorder="1" applyAlignment="1">
      <alignment horizontal="left" vertical="center" wrapText="1"/>
    </xf>
    <xf numFmtId="0" fontId="112" fillId="37" borderId="50" xfId="187" applyFont="1" applyFill="1" applyBorder="1" applyAlignment="1">
      <alignment horizontal="left" vertical="center" wrapText="1"/>
    </xf>
    <xf numFmtId="41" fontId="111" fillId="0" borderId="6" xfId="183" applyNumberFormat="1" applyFont="1" applyBorder="1" applyAlignment="1">
      <alignment horizontal="right" vertical="center" wrapText="1"/>
    </xf>
    <xf numFmtId="41" fontId="111" fillId="0" borderId="5" xfId="183" applyNumberFormat="1" applyFont="1" applyBorder="1" applyAlignment="1">
      <alignment horizontal="right" vertical="center" wrapText="1"/>
    </xf>
    <xf numFmtId="0" fontId="112" fillId="36" borderId="69" xfId="187" applyFont="1" applyFill="1" applyBorder="1" applyAlignment="1">
      <alignment horizontal="left" vertical="center" wrapText="1"/>
    </xf>
    <xf numFmtId="41" fontId="111" fillId="36" borderId="69" xfId="187" applyNumberFormat="1" applyFont="1" applyFill="1" applyBorder="1" applyAlignment="1">
      <alignment horizontal="right" vertical="center" wrapText="1"/>
    </xf>
    <xf numFmtId="41" fontId="111" fillId="37" borderId="47" xfId="187" applyNumberFormat="1" applyFont="1" applyFill="1" applyBorder="1" applyAlignment="1">
      <alignment horizontal="right" vertical="center" wrapText="1"/>
    </xf>
    <xf numFmtId="41" fontId="111" fillId="37" borderId="13" xfId="187" applyNumberFormat="1" applyFont="1" applyFill="1" applyBorder="1" applyAlignment="1">
      <alignment horizontal="right" vertical="center" wrapText="1"/>
    </xf>
    <xf numFmtId="41" fontId="111" fillId="37" borderId="11" xfId="187" applyNumberFormat="1" applyFont="1" applyFill="1" applyBorder="1" applyAlignment="1">
      <alignment horizontal="right" vertical="center" wrapText="1"/>
    </xf>
    <xf numFmtId="0" fontId="112" fillId="36" borderId="47" xfId="187" applyFont="1" applyFill="1" applyBorder="1" applyAlignment="1">
      <alignment horizontal="left" vertical="center" wrapText="1"/>
    </xf>
    <xf numFmtId="41" fontId="111" fillId="0" borderId="13" xfId="183" applyNumberFormat="1" applyFont="1" applyBorder="1" applyAlignment="1">
      <alignment horizontal="right" vertical="center" wrapText="1"/>
    </xf>
    <xf numFmtId="41" fontId="111" fillId="0" borderId="11" xfId="183" applyNumberFormat="1" applyFont="1" applyBorder="1" applyAlignment="1">
      <alignment horizontal="right" vertical="center" wrapText="1"/>
    </xf>
    <xf numFmtId="41" fontId="111" fillId="36" borderId="47" xfId="187" applyNumberFormat="1" applyFont="1" applyFill="1" applyBorder="1" applyAlignment="1">
      <alignment horizontal="right" vertical="center" wrapText="1"/>
    </xf>
    <xf numFmtId="41" fontId="111" fillId="37" borderId="50" xfId="187" applyNumberFormat="1" applyFont="1" applyFill="1" applyBorder="1" applyAlignment="1">
      <alignment horizontal="right" vertical="center" wrapText="1"/>
    </xf>
    <xf numFmtId="41" fontId="111" fillId="37" borderId="14" xfId="187" applyNumberFormat="1" applyFont="1" applyFill="1" applyBorder="1" applyAlignment="1">
      <alignment horizontal="right" vertical="center" wrapText="1"/>
    </xf>
    <xf numFmtId="49" fontId="112" fillId="4" borderId="20" xfId="183" applyNumberFormat="1" applyFont="1" applyFill="1" applyBorder="1" applyAlignment="1">
      <alignment horizontal="left" vertical="center" wrapText="1"/>
    </xf>
    <xf numFmtId="41" fontId="111" fillId="4" borderId="10" xfId="183" applyNumberFormat="1" applyFont="1" applyFill="1" applyBorder="1" applyAlignment="1">
      <alignment horizontal="right" vertical="center" wrapText="1"/>
    </xf>
    <xf numFmtId="41" fontId="111" fillId="4" borderId="8" xfId="183" applyNumberFormat="1" applyFont="1" applyFill="1" applyBorder="1" applyAlignment="1">
      <alignment horizontal="right" vertical="center" wrapText="1"/>
    </xf>
    <xf numFmtId="49" fontId="111" fillId="4" borderId="0" xfId="183" applyNumberFormat="1" applyFont="1" applyFill="1" applyAlignment="1">
      <alignment horizontal="left" vertical="center" wrapText="1"/>
    </xf>
    <xf numFmtId="49" fontId="112" fillId="4" borderId="1" xfId="183" applyNumberFormat="1" applyFont="1" applyFill="1" applyBorder="1" applyAlignment="1">
      <alignment horizontal="left" vertical="center" wrapText="1"/>
    </xf>
    <xf numFmtId="0" fontId="18" fillId="0" borderId="49" xfId="0" applyFont="1" applyBorder="1" applyAlignment="1">
      <alignment horizontal="center" vertical="center" wrapText="1"/>
    </xf>
    <xf numFmtId="0" fontId="120" fillId="0" borderId="49" xfId="0" applyFont="1" applyBorder="1" applyAlignment="1">
      <alignment horizontal="center" vertical="center" wrapText="1"/>
    </xf>
    <xf numFmtId="0" fontId="120" fillId="0" borderId="48" xfId="0" applyFont="1" applyBorder="1" applyAlignment="1">
      <alignment horizontal="center" vertical="center" wrapText="1"/>
    </xf>
    <xf numFmtId="0" fontId="114" fillId="0" borderId="121" xfId="0" applyFont="1" applyBorder="1" applyAlignment="1">
      <alignment horizontal="center" vertical="center" wrapText="1"/>
    </xf>
    <xf numFmtId="0" fontId="114" fillId="0" borderId="122" xfId="0" applyFont="1" applyBorder="1" applyAlignment="1">
      <alignment horizontal="center" vertical="center" wrapText="1"/>
    </xf>
    <xf numFmtId="0" fontId="114" fillId="0" borderId="71" xfId="0" applyFont="1" applyBorder="1" applyAlignment="1">
      <alignment horizontal="center" vertical="center" wrapText="1"/>
    </xf>
    <xf numFmtId="0" fontId="18" fillId="36" borderId="119" xfId="0" applyFont="1" applyFill="1" applyBorder="1" applyAlignment="1">
      <alignment horizontal="left" vertical="center" wrapText="1"/>
    </xf>
    <xf numFmtId="0" fontId="114" fillId="36" borderId="120" xfId="0" applyFont="1" applyFill="1" applyBorder="1" applyAlignment="1">
      <alignment horizontal="left" vertical="center" wrapText="1"/>
    </xf>
    <xf numFmtId="0" fontId="114" fillId="37" borderId="47" xfId="0" applyFont="1" applyFill="1" applyBorder="1" applyAlignment="1">
      <alignment horizontal="left" vertical="center" wrapText="1"/>
    </xf>
    <xf numFmtId="41" fontId="18" fillId="37" borderId="48" xfId="125" applyFont="1" applyFill="1" applyBorder="1" applyAlignment="1">
      <alignment horizontal="right" vertical="center" wrapText="1"/>
    </xf>
    <xf numFmtId="41" fontId="18" fillId="37" borderId="49" xfId="125" applyFont="1" applyFill="1" applyBorder="1" applyAlignment="1">
      <alignment horizontal="right" vertical="center" wrapText="1"/>
    </xf>
    <xf numFmtId="0" fontId="18" fillId="37" borderId="79" xfId="0" applyFont="1" applyFill="1" applyBorder="1" applyAlignment="1">
      <alignment horizontal="left" vertical="center" wrapText="1"/>
    </xf>
    <xf numFmtId="0" fontId="114" fillId="37" borderId="75" xfId="0" applyFont="1" applyFill="1" applyBorder="1" applyAlignment="1">
      <alignment horizontal="left" vertical="center" wrapText="1"/>
    </xf>
    <xf numFmtId="41" fontId="18" fillId="37" borderId="76" xfId="125" applyFont="1" applyFill="1" applyBorder="1" applyAlignment="1">
      <alignment horizontal="right" vertical="center" wrapText="1"/>
    </xf>
    <xf numFmtId="41" fontId="18" fillId="37" borderId="77" xfId="125" applyFont="1" applyFill="1" applyBorder="1" applyAlignment="1">
      <alignment horizontal="right" vertical="center" wrapText="1"/>
    </xf>
    <xf numFmtId="0" fontId="18" fillId="36" borderId="74" xfId="0" applyFont="1" applyFill="1" applyBorder="1" applyAlignment="1">
      <alignment horizontal="left" vertical="center" wrapText="1"/>
    </xf>
    <xf numFmtId="0" fontId="114" fillId="36" borderId="80" xfId="0" applyFont="1" applyFill="1" applyBorder="1" applyAlignment="1">
      <alignment horizontal="left" vertical="center" wrapText="1"/>
    </xf>
    <xf numFmtId="41" fontId="18" fillId="36" borderId="80" xfId="125" applyFont="1" applyFill="1" applyBorder="1" applyAlignment="1">
      <alignment horizontal="right" vertical="center" wrapText="1"/>
    </xf>
    <xf numFmtId="41" fontId="18" fillId="36" borderId="181" xfId="125" applyFont="1" applyFill="1" applyBorder="1" applyAlignment="1">
      <alignment horizontal="right" vertical="center" wrapText="1"/>
    </xf>
    <xf numFmtId="41" fontId="18" fillId="36" borderId="178" xfId="125" applyFont="1" applyFill="1" applyBorder="1" applyAlignment="1">
      <alignment horizontal="right" vertical="center" wrapText="1"/>
    </xf>
    <xf numFmtId="41" fontId="18" fillId="36" borderId="74" xfId="125" applyFont="1" applyFill="1" applyBorder="1" applyAlignment="1">
      <alignment horizontal="right" vertical="center" wrapText="1"/>
    </xf>
    <xf numFmtId="41" fontId="18" fillId="37" borderId="47" xfId="125" applyFont="1" applyFill="1" applyBorder="1" applyAlignment="1">
      <alignment horizontal="right" vertical="center" wrapText="1"/>
    </xf>
    <xf numFmtId="41" fontId="18" fillId="37" borderId="160" xfId="125" applyFont="1" applyFill="1" applyBorder="1" applyAlignment="1">
      <alignment horizontal="right" vertical="center" wrapText="1"/>
    </xf>
    <xf numFmtId="41" fontId="18" fillId="37" borderId="175" xfId="125" applyFont="1" applyFill="1" applyBorder="1" applyAlignment="1">
      <alignment horizontal="right" vertical="center" wrapText="1"/>
    </xf>
    <xf numFmtId="41" fontId="18" fillId="37" borderId="0" xfId="125" applyFont="1" applyFill="1" applyBorder="1" applyAlignment="1">
      <alignment horizontal="right" vertical="center" wrapText="1"/>
    </xf>
    <xf numFmtId="0" fontId="114" fillId="36" borderId="47" xfId="0" applyFont="1" applyFill="1" applyBorder="1" applyAlignment="1">
      <alignment horizontal="left" vertical="center" wrapText="1"/>
    </xf>
    <xf numFmtId="41" fontId="18" fillId="36" borderId="47" xfId="125" applyFont="1" applyFill="1" applyBorder="1" applyAlignment="1">
      <alignment horizontal="right" vertical="center" wrapText="1"/>
    </xf>
    <xf numFmtId="41" fontId="18" fillId="36" borderId="160" xfId="125" applyFont="1" applyFill="1" applyBorder="1" applyAlignment="1">
      <alignment horizontal="right" vertical="center" wrapText="1"/>
    </xf>
    <xf numFmtId="41" fontId="18" fillId="36" borderId="175" xfId="125" applyFont="1" applyFill="1" applyBorder="1" applyAlignment="1">
      <alignment horizontal="right" vertical="center" wrapText="1"/>
    </xf>
    <xf numFmtId="41" fontId="18" fillId="36" borderId="0" xfId="125" applyFont="1" applyFill="1" applyBorder="1" applyAlignment="1">
      <alignment horizontal="right" vertical="center" wrapText="1"/>
    </xf>
    <xf numFmtId="41" fontId="18" fillId="37" borderId="75" xfId="125" applyFont="1" applyFill="1" applyBorder="1" applyAlignment="1">
      <alignment horizontal="right" vertical="center" wrapText="1"/>
    </xf>
    <xf numFmtId="41" fontId="18" fillId="37" borderId="183" xfId="125" applyFont="1" applyFill="1" applyBorder="1" applyAlignment="1">
      <alignment horizontal="right" vertical="center" wrapText="1"/>
    </xf>
    <xf numFmtId="41" fontId="18" fillId="37" borderId="182" xfId="125" applyFont="1" applyFill="1" applyBorder="1" applyAlignment="1">
      <alignment horizontal="right" vertical="center" wrapText="1"/>
    </xf>
    <xf numFmtId="41" fontId="18" fillId="37" borderId="79" xfId="125" applyFont="1" applyFill="1" applyBorder="1" applyAlignment="1">
      <alignment horizontal="right" vertical="center" wrapText="1"/>
    </xf>
    <xf numFmtId="41" fontId="18" fillId="36" borderId="81" xfId="125" applyFont="1" applyFill="1" applyBorder="1" applyAlignment="1">
      <alignment horizontal="right" vertical="center" wrapText="1"/>
    </xf>
    <xf numFmtId="41" fontId="18" fillId="36" borderId="48" xfId="125" applyFont="1" applyFill="1" applyBorder="1" applyAlignment="1">
      <alignment horizontal="right" vertical="center" wrapText="1"/>
    </xf>
    <xf numFmtId="41" fontId="18" fillId="36" borderId="82" xfId="125" applyFont="1" applyFill="1" applyBorder="1" applyAlignment="1">
      <alignment horizontal="right" vertical="center" wrapText="1"/>
    </xf>
    <xf numFmtId="41" fontId="18" fillId="36" borderId="49" xfId="125" applyFont="1" applyFill="1" applyBorder="1" applyAlignment="1">
      <alignment horizontal="right" vertical="center" wrapText="1"/>
    </xf>
    <xf numFmtId="0" fontId="114" fillId="43" borderId="47" xfId="0" applyFont="1" applyFill="1" applyBorder="1" applyAlignment="1">
      <alignment horizontal="left" vertical="center" wrapText="1"/>
    </xf>
    <xf numFmtId="41" fontId="18" fillId="43" borderId="47" xfId="125" applyFont="1" applyFill="1" applyBorder="1" applyAlignment="1">
      <alignment horizontal="right" vertical="center" wrapText="1"/>
    </xf>
    <xf numFmtId="41" fontId="18" fillId="43" borderId="160" xfId="125" applyFont="1" applyFill="1" applyBorder="1" applyAlignment="1">
      <alignment horizontal="right" vertical="center" wrapText="1"/>
    </xf>
    <xf numFmtId="41" fontId="18" fillId="43" borderId="175" xfId="125" applyFont="1" applyFill="1" applyBorder="1" applyAlignment="1">
      <alignment horizontal="right" vertical="center" wrapText="1"/>
    </xf>
    <xf numFmtId="41" fontId="18" fillId="43" borderId="48" xfId="125" applyFont="1" applyFill="1" applyBorder="1" applyAlignment="1">
      <alignment horizontal="right" vertical="center" wrapText="1"/>
    </xf>
    <xf numFmtId="41" fontId="18" fillId="43" borderId="49" xfId="125" applyFont="1" applyFill="1" applyBorder="1" applyAlignment="1">
      <alignment horizontal="right" vertical="center" wrapText="1"/>
    </xf>
    <xf numFmtId="41" fontId="18" fillId="36" borderId="161" xfId="125" applyFont="1" applyFill="1" applyBorder="1" applyAlignment="1">
      <alignment horizontal="right" vertical="center" wrapText="1"/>
    </xf>
    <xf numFmtId="41" fontId="18" fillId="37" borderId="56" xfId="125" applyFont="1" applyFill="1" applyBorder="1" applyAlignment="1">
      <alignment horizontal="right" vertical="center" wrapText="1"/>
    </xf>
    <xf numFmtId="41" fontId="18" fillId="37" borderId="59" xfId="125" applyFont="1" applyFill="1" applyBorder="1" applyAlignment="1">
      <alignment horizontal="right" vertical="center" wrapText="1"/>
    </xf>
    <xf numFmtId="41" fontId="18" fillId="36" borderId="56" xfId="125" applyFont="1" applyFill="1" applyBorder="1" applyAlignment="1">
      <alignment horizontal="right" vertical="center" wrapText="1"/>
    </xf>
    <xf numFmtId="41" fontId="18" fillId="36" borderId="59" xfId="125" applyFont="1" applyFill="1" applyBorder="1" applyAlignment="1">
      <alignment horizontal="right" vertical="center" wrapText="1"/>
    </xf>
    <xf numFmtId="41" fontId="18" fillId="37" borderId="172" xfId="125" applyFont="1" applyFill="1" applyBorder="1" applyAlignment="1">
      <alignment horizontal="right" vertical="center" wrapText="1"/>
    </xf>
    <xf numFmtId="41" fontId="18" fillId="37" borderId="153" xfId="125" applyFont="1" applyFill="1" applyBorder="1" applyAlignment="1">
      <alignment horizontal="right" vertical="center" wrapText="1"/>
    </xf>
    <xf numFmtId="0" fontId="118" fillId="0" borderId="48" xfId="0" applyFont="1" applyBorder="1" applyAlignment="1">
      <alignment horizontal="center" vertical="center" wrapText="1"/>
    </xf>
    <xf numFmtId="0" fontId="118" fillId="0" borderId="56" xfId="0" applyFont="1" applyBorder="1" applyAlignment="1">
      <alignment horizontal="center" vertical="center" wrapText="1"/>
    </xf>
    <xf numFmtId="0" fontId="118" fillId="0" borderId="13" xfId="0" applyFont="1" applyBorder="1" applyAlignment="1">
      <alignment horizontal="center" vertical="center" wrapText="1"/>
    </xf>
    <xf numFmtId="0" fontId="118" fillId="0" borderId="11" xfId="0" applyFont="1" applyBorder="1" applyAlignment="1">
      <alignment horizontal="center" vertical="center" wrapText="1"/>
    </xf>
    <xf numFmtId="0" fontId="18" fillId="36" borderId="0" xfId="0" applyFont="1" applyFill="1" applyAlignment="1">
      <alignment horizontal="left" vertical="center" wrapText="1"/>
    </xf>
    <xf numFmtId="0" fontId="18" fillId="37" borderId="0" xfId="0" applyFont="1" applyFill="1" applyAlignment="1">
      <alignment horizontal="left" vertical="center" wrapText="1"/>
    </xf>
    <xf numFmtId="0" fontId="18" fillId="0" borderId="0" xfId="0" applyFont="1">
      <alignment vertical="center"/>
    </xf>
    <xf numFmtId="0" fontId="122" fillId="0" borderId="0" xfId="0" applyFont="1">
      <alignment vertical="center"/>
    </xf>
    <xf numFmtId="0" fontId="123" fillId="0" borderId="0" xfId="0" applyFont="1">
      <alignment vertical="center"/>
    </xf>
    <xf numFmtId="0" fontId="118" fillId="0" borderId="0" xfId="0" applyFont="1">
      <alignment vertical="center"/>
    </xf>
    <xf numFmtId="0" fontId="114" fillId="0" borderId="0" xfId="0" applyFont="1">
      <alignment vertical="center"/>
    </xf>
    <xf numFmtId="0" fontId="123" fillId="36" borderId="0" xfId="0" applyFont="1" applyFill="1">
      <alignment vertical="center"/>
    </xf>
    <xf numFmtId="0" fontId="123" fillId="37" borderId="0" xfId="0" applyFont="1" applyFill="1">
      <alignment vertical="center"/>
    </xf>
    <xf numFmtId="0" fontId="124" fillId="0" borderId="0" xfId="0" applyFont="1">
      <alignment vertical="center"/>
    </xf>
    <xf numFmtId="0" fontId="114" fillId="0" borderId="79" xfId="0" applyFont="1" applyBorder="1" applyAlignment="1">
      <alignment vertical="center" wrapText="1"/>
    </xf>
    <xf numFmtId="0" fontId="123" fillId="0" borderId="0" xfId="0" applyFont="1" applyBorder="1">
      <alignment vertical="center"/>
    </xf>
    <xf numFmtId="0" fontId="123" fillId="0" borderId="0" xfId="0" applyFont="1" applyFill="1" applyBorder="1">
      <alignment vertical="center"/>
    </xf>
    <xf numFmtId="41" fontId="18" fillId="0" borderId="0" xfId="125" applyFont="1" applyFill="1" applyBorder="1" applyAlignment="1">
      <alignment horizontal="right" vertical="center" wrapText="1"/>
    </xf>
    <xf numFmtId="0" fontId="124" fillId="0" borderId="0" xfId="0" applyFont="1" applyBorder="1">
      <alignment vertical="center"/>
    </xf>
    <xf numFmtId="0" fontId="18" fillId="0" borderId="0" xfId="0" applyFont="1" applyBorder="1">
      <alignment vertical="center"/>
    </xf>
    <xf numFmtId="0" fontId="114" fillId="0" borderId="47" xfId="0" applyFont="1" applyBorder="1" applyAlignment="1">
      <alignment vertical="center" wrapText="1"/>
    </xf>
    <xf numFmtId="0" fontId="114" fillId="0" borderId="64" xfId="0" applyFont="1" applyBorder="1" applyAlignment="1">
      <alignment vertical="center" wrapText="1"/>
    </xf>
    <xf numFmtId="0" fontId="114" fillId="0" borderId="51" xfId="0" applyFont="1" applyBorder="1" applyAlignment="1">
      <alignment vertical="center" wrapText="1"/>
    </xf>
    <xf numFmtId="0" fontId="118" fillId="0" borderId="94" xfId="0" applyFont="1" applyBorder="1" applyAlignment="1">
      <alignment horizontal="center" vertical="center" wrapText="1"/>
    </xf>
    <xf numFmtId="0" fontId="118" fillId="0" borderId="97" xfId="0" applyFont="1" applyBorder="1" applyAlignment="1">
      <alignment horizontal="center" vertical="center" wrapText="1"/>
    </xf>
    <xf numFmtId="0" fontId="118" fillId="0" borderId="59" xfId="0" applyFont="1" applyBorder="1" applyAlignment="1">
      <alignment horizontal="center" vertical="center" wrapText="1"/>
    </xf>
    <xf numFmtId="0" fontId="117" fillId="0" borderId="62" xfId="0" applyFont="1" applyBorder="1" applyAlignment="1">
      <alignment horizontal="center" vertical="center" wrapText="1"/>
    </xf>
    <xf numFmtId="0" fontId="114" fillId="0" borderId="95" xfId="0" applyFont="1" applyBorder="1" applyAlignment="1">
      <alignment horizontal="center" vertical="center" wrapText="1"/>
    </xf>
    <xf numFmtId="0" fontId="114" fillId="0" borderId="98" xfId="0" applyFont="1" applyBorder="1" applyAlignment="1">
      <alignment horizontal="center" vertical="center" wrapText="1"/>
    </xf>
    <xf numFmtId="0" fontId="114" fillId="0" borderId="65" xfId="0" applyFont="1" applyBorder="1" applyAlignment="1">
      <alignment horizontal="center" vertical="center" wrapText="1"/>
    </xf>
    <xf numFmtId="0" fontId="117" fillId="0" borderId="0" xfId="0" applyFont="1" applyAlignment="1">
      <alignment horizontal="left" vertical="center"/>
    </xf>
    <xf numFmtId="0" fontId="117" fillId="0" borderId="0" xfId="0" applyFont="1">
      <alignment vertical="center"/>
    </xf>
    <xf numFmtId="41" fontId="18" fillId="0" borderId="0" xfId="125" applyFont="1">
      <alignment vertical="center"/>
    </xf>
    <xf numFmtId="41" fontId="123" fillId="0" borderId="0" xfId="125" applyFont="1">
      <alignment vertical="center"/>
    </xf>
    <xf numFmtId="41" fontId="123" fillId="0" borderId="0" xfId="125" applyFont="1" applyBorder="1">
      <alignment vertical="center"/>
    </xf>
    <xf numFmtId="41" fontId="118" fillId="0" borderId="0" xfId="125" applyFont="1" applyBorder="1">
      <alignment vertical="center"/>
    </xf>
    <xf numFmtId="41" fontId="114" fillId="0" borderId="0" xfId="125" applyFont="1">
      <alignment vertical="center"/>
    </xf>
    <xf numFmtId="41" fontId="118" fillId="0" borderId="0" xfId="125" applyFont="1">
      <alignment vertical="center"/>
    </xf>
    <xf numFmtId="41" fontId="117" fillId="0" borderId="51" xfId="125" applyFont="1" applyBorder="1" applyAlignment="1">
      <alignment horizontal="center" vertical="center" wrapText="1"/>
    </xf>
    <xf numFmtId="41" fontId="123" fillId="36" borderId="0" xfId="125" applyFont="1" applyFill="1">
      <alignment vertical="center"/>
    </xf>
    <xf numFmtId="41" fontId="123" fillId="37" borderId="0" xfId="125" applyFont="1" applyFill="1">
      <alignment vertical="center"/>
    </xf>
    <xf numFmtId="41" fontId="123" fillId="37" borderId="0" xfId="125" applyFont="1" applyFill="1" applyBorder="1">
      <alignment vertical="center"/>
    </xf>
    <xf numFmtId="41" fontId="118" fillId="37" borderId="0" xfId="125" applyFont="1" applyFill="1" applyBorder="1">
      <alignment vertical="center"/>
    </xf>
    <xf numFmtId="41" fontId="123" fillId="36" borderId="0" xfId="125" applyFont="1" applyFill="1" applyBorder="1">
      <alignment vertical="center"/>
    </xf>
    <xf numFmtId="181" fontId="18" fillId="0" borderId="47" xfId="125" applyNumberFormat="1" applyFont="1" applyFill="1" applyBorder="1" applyAlignment="1">
      <alignment horizontal="right" vertical="center" wrapText="1"/>
    </xf>
    <xf numFmtId="181" fontId="18" fillId="0" borderId="49" xfId="125" applyNumberFormat="1" applyFont="1" applyFill="1" applyBorder="1" applyAlignment="1">
      <alignment horizontal="right" vertical="center" wrapText="1"/>
    </xf>
    <xf numFmtId="49" fontId="18" fillId="0" borderId="47" xfId="125" applyNumberFormat="1" applyFont="1" applyFill="1" applyBorder="1" applyAlignment="1">
      <alignment horizontal="right" vertical="center" wrapText="1"/>
    </xf>
    <xf numFmtId="181" fontId="18" fillId="0" borderId="50" xfId="125" applyNumberFormat="1" applyFont="1" applyFill="1" applyBorder="1" applyAlignment="1">
      <alignment horizontal="right" vertical="center" wrapText="1"/>
    </xf>
    <xf numFmtId="41" fontId="18" fillId="0" borderId="149" xfId="172" applyNumberFormat="1" applyFont="1" applyBorder="1" applyAlignment="1">
      <alignment horizontal="right" vertical="center" wrapText="1"/>
    </xf>
    <xf numFmtId="0" fontId="18" fillId="0" borderId="149" xfId="172" applyFont="1" applyBorder="1" applyAlignment="1">
      <alignment horizontal="right" vertical="center" wrapText="1"/>
    </xf>
    <xf numFmtId="49" fontId="18" fillId="0" borderId="149" xfId="172" applyNumberFormat="1" applyFont="1" applyBorder="1" applyAlignment="1">
      <alignment horizontal="right" vertical="center" wrapText="1"/>
    </xf>
    <xf numFmtId="0" fontId="18" fillId="44" borderId="149" xfId="172" applyFont="1" applyFill="1" applyBorder="1" applyAlignment="1">
      <alignment horizontal="right" vertical="center" wrapText="1"/>
    </xf>
    <xf numFmtId="49" fontId="18" fillId="44" borderId="149" xfId="172" applyNumberFormat="1" applyFont="1" applyFill="1" applyBorder="1" applyAlignment="1">
      <alignment horizontal="right" vertical="center" wrapText="1"/>
    </xf>
    <xf numFmtId="3" fontId="18" fillId="0" borderId="149" xfId="172" applyNumberFormat="1" applyFont="1" applyBorder="1" applyAlignment="1">
      <alignment horizontal="right" vertical="center" wrapText="1"/>
    </xf>
    <xf numFmtId="41" fontId="18" fillId="0" borderId="6" xfId="172" applyNumberFormat="1" applyFont="1" applyBorder="1" applyAlignment="1">
      <alignment horizontal="right" vertical="center" wrapText="1"/>
    </xf>
    <xf numFmtId="49" fontId="18" fillId="0" borderId="6" xfId="172" applyNumberFormat="1" applyFont="1" applyBorder="1" applyAlignment="1">
      <alignment horizontal="right" vertical="center" wrapText="1"/>
    </xf>
    <xf numFmtId="41" fontId="117" fillId="0" borderId="0" xfId="125" applyFont="1">
      <alignment vertical="center"/>
    </xf>
    <xf numFmtId="49" fontId="123" fillId="0" borderId="0" xfId="125" applyNumberFormat="1" applyFont="1">
      <alignment vertical="center"/>
    </xf>
    <xf numFmtId="0" fontId="117" fillId="36" borderId="0" xfId="0" applyFont="1" applyFill="1">
      <alignment vertical="center"/>
    </xf>
    <xf numFmtId="0" fontId="117" fillId="37" borderId="0" xfId="0" applyFont="1" applyFill="1">
      <alignment vertical="center"/>
    </xf>
    <xf numFmtId="0" fontId="117" fillId="37" borderId="0" xfId="0" applyFont="1" applyFill="1" applyBorder="1">
      <alignment vertical="center"/>
    </xf>
    <xf numFmtId="0" fontId="127" fillId="37" borderId="0" xfId="0" applyFont="1" applyFill="1" applyBorder="1">
      <alignment vertical="center"/>
    </xf>
    <xf numFmtId="0" fontId="117" fillId="36" borderId="0" xfId="0" applyFont="1" applyFill="1" applyBorder="1">
      <alignment vertical="center"/>
    </xf>
    <xf numFmtId="0" fontId="120" fillId="0" borderId="55" xfId="0" applyFont="1" applyBorder="1" applyAlignment="1">
      <alignment horizontal="center" vertical="center" wrapText="1"/>
    </xf>
    <xf numFmtId="0" fontId="117" fillId="0" borderId="70" xfId="0" applyFont="1" applyBorder="1" applyAlignment="1">
      <alignment horizontal="center" vertical="center" wrapText="1"/>
    </xf>
    <xf numFmtId="0" fontId="117" fillId="0" borderId="71" xfId="0" applyFont="1" applyBorder="1" applyAlignment="1">
      <alignment horizontal="center" vertical="center" wrapText="1"/>
    </xf>
    <xf numFmtId="49" fontId="114" fillId="0" borderId="0" xfId="0" applyNumberFormat="1" applyFont="1" applyAlignment="1">
      <alignment horizontal="left" vertical="center" wrapText="1"/>
    </xf>
    <xf numFmtId="49" fontId="114" fillId="0" borderId="1" xfId="0" applyNumberFormat="1" applyFont="1" applyBorder="1" applyAlignment="1">
      <alignment horizontal="left" vertical="center" wrapText="1"/>
    </xf>
    <xf numFmtId="0" fontId="18" fillId="0" borderId="0" xfId="189" applyFont="1" applyBorder="1" applyAlignment="1">
      <alignment vertical="center" wrapText="1"/>
    </xf>
    <xf numFmtId="49" fontId="114" fillId="0" borderId="0" xfId="183" applyNumberFormat="1" applyFont="1" applyAlignment="1">
      <alignment horizontal="left" vertical="center" wrapText="1"/>
    </xf>
    <xf numFmtId="41" fontId="114" fillId="0" borderId="48" xfId="183" applyNumberFormat="1" applyFont="1" applyBorder="1" applyAlignment="1">
      <alignment horizontal="right" vertical="center" wrapText="1"/>
    </xf>
    <xf numFmtId="41" fontId="114" fillId="0" borderId="49" xfId="183" applyNumberFormat="1" applyFont="1" applyBorder="1" applyAlignment="1">
      <alignment horizontal="right" vertical="center" wrapText="1"/>
    </xf>
    <xf numFmtId="41" fontId="114" fillId="4" borderId="49" xfId="183" applyNumberFormat="1" applyFont="1" applyFill="1" applyBorder="1" applyAlignment="1">
      <alignment horizontal="right" vertical="center" wrapText="1"/>
    </xf>
    <xf numFmtId="41" fontId="114" fillId="0" borderId="53" xfId="183" applyNumberFormat="1" applyFont="1" applyBorder="1" applyAlignment="1">
      <alignment horizontal="right" vertical="center" wrapText="1"/>
    </xf>
    <xf numFmtId="41" fontId="114" fillId="0" borderId="52" xfId="183" applyNumberFormat="1" applyFont="1" applyBorder="1" applyAlignment="1">
      <alignment horizontal="right" vertical="center" wrapText="1"/>
    </xf>
    <xf numFmtId="41" fontId="114" fillId="0" borderId="1" xfId="183" applyNumberFormat="1" applyFont="1" applyBorder="1" applyAlignment="1">
      <alignment horizontal="right" vertical="center" wrapText="1"/>
    </xf>
    <xf numFmtId="0" fontId="18" fillId="0" borderId="0" xfId="194" applyFont="1">
      <alignment vertical="center"/>
    </xf>
    <xf numFmtId="0" fontId="122" fillId="0" borderId="0" xfId="194" applyFont="1">
      <alignment vertical="center"/>
    </xf>
    <xf numFmtId="0" fontId="114" fillId="0" borderId="79" xfId="194" applyFont="1" applyBorder="1" applyAlignment="1">
      <alignment vertical="center" wrapText="1"/>
    </xf>
    <xf numFmtId="0" fontId="123" fillId="0" borderId="0" xfId="194" applyFont="1">
      <alignment vertical="center"/>
    </xf>
    <xf numFmtId="0" fontId="118" fillId="0" borderId="49" xfId="194" applyFont="1" applyBorder="1" applyAlignment="1">
      <alignment horizontal="center" vertical="center" wrapText="1"/>
    </xf>
    <xf numFmtId="0" fontId="118" fillId="0" borderId="66" xfId="194" applyFont="1" applyBorder="1" applyAlignment="1">
      <alignment horizontal="center" vertical="center" wrapText="1"/>
    </xf>
    <xf numFmtId="0" fontId="120" fillId="0" borderId="48" xfId="194" applyFont="1" applyBorder="1" applyAlignment="1">
      <alignment horizontal="center" vertical="center" wrapText="1"/>
    </xf>
    <xf numFmtId="0" fontId="120" fillId="0" borderId="47" xfId="194" applyFont="1" applyBorder="1" applyAlignment="1">
      <alignment horizontal="center" vertical="center" wrapText="1"/>
    </xf>
    <xf numFmtId="0" fontId="120" fillId="0" borderId="0" xfId="194" applyFont="1" applyFill="1">
      <alignment vertical="center"/>
    </xf>
    <xf numFmtId="0" fontId="120" fillId="0" borderId="0" xfId="194" applyFont="1">
      <alignment vertical="center"/>
    </xf>
    <xf numFmtId="0" fontId="114" fillId="0" borderId="72" xfId="194" applyFont="1" applyBorder="1" applyAlignment="1">
      <alignment horizontal="center" vertical="center" wrapText="1"/>
    </xf>
    <xf numFmtId="0" fontId="117" fillId="0" borderId="72" xfId="194" applyFont="1" applyBorder="1" applyAlignment="1">
      <alignment horizontal="center" vertical="center" wrapText="1"/>
    </xf>
    <xf numFmtId="0" fontId="131" fillId="0" borderId="72" xfId="194" applyFont="1" applyBorder="1" applyAlignment="1">
      <alignment horizontal="center" vertical="center" wrapText="1"/>
    </xf>
    <xf numFmtId="0" fontId="114" fillId="0" borderId="71" xfId="194" applyFont="1" applyBorder="1" applyAlignment="1">
      <alignment horizontal="center" vertical="center" wrapText="1"/>
    </xf>
    <xf numFmtId="0" fontId="117" fillId="0" borderId="0" xfId="194" applyFont="1" applyFill="1">
      <alignment vertical="center"/>
    </xf>
    <xf numFmtId="0" fontId="117" fillId="0" borderId="0" xfId="194" applyFont="1">
      <alignment vertical="center"/>
    </xf>
    <xf numFmtId="0" fontId="123" fillId="0" borderId="0" xfId="194" applyFont="1" applyFill="1">
      <alignment vertical="center"/>
    </xf>
    <xf numFmtId="0" fontId="123" fillId="36" borderId="0" xfId="194" applyFont="1" applyFill="1">
      <alignment vertical="center"/>
    </xf>
    <xf numFmtId="0" fontId="123" fillId="37" borderId="0" xfId="194" applyFont="1" applyFill="1">
      <alignment vertical="center"/>
    </xf>
    <xf numFmtId="0" fontId="118" fillId="0" borderId="0" xfId="194" applyFont="1" applyFill="1">
      <alignment vertical="center"/>
    </xf>
    <xf numFmtId="0" fontId="118" fillId="37" borderId="0" xfId="194" applyFont="1" applyFill="1">
      <alignment vertical="center"/>
    </xf>
    <xf numFmtId="0" fontId="123" fillId="0" borderId="0" xfId="0" applyFont="1" applyFill="1">
      <alignment vertical="center"/>
    </xf>
    <xf numFmtId="0" fontId="132" fillId="0" borderId="0" xfId="194" applyFont="1">
      <alignment vertical="center"/>
    </xf>
    <xf numFmtId="0" fontId="124" fillId="0" borderId="0" xfId="194" applyFont="1">
      <alignment vertical="center"/>
    </xf>
    <xf numFmtId="0" fontId="123" fillId="0" borderId="0" xfId="194" applyFont="1" applyBorder="1">
      <alignment vertical="center"/>
    </xf>
    <xf numFmtId="0" fontId="133" fillId="0" borderId="0" xfId="194" applyFont="1">
      <alignment vertical="center"/>
    </xf>
    <xf numFmtId="0" fontId="116" fillId="0" borderId="0" xfId="0" applyFont="1">
      <alignment vertical="center"/>
    </xf>
    <xf numFmtId="41" fontId="122" fillId="0" borderId="0" xfId="125" applyFont="1">
      <alignment vertical="center"/>
    </xf>
    <xf numFmtId="0" fontId="114" fillId="0" borderId="48" xfId="0" applyFont="1" applyBorder="1" applyAlignment="1">
      <alignment horizontal="center" vertical="center" wrapText="1"/>
    </xf>
    <xf numFmtId="0" fontId="138" fillId="0" borderId="1" xfId="191" applyFont="1" applyBorder="1" applyAlignment="1">
      <alignment horizontal="center" vertical="center" wrapText="1"/>
    </xf>
    <xf numFmtId="0" fontId="135" fillId="0" borderId="133" xfId="191" applyFont="1" applyBorder="1" applyAlignment="1">
      <alignment horizontal="center" vertical="center" wrapText="1"/>
    </xf>
    <xf numFmtId="0" fontId="135" fillId="0" borderId="134" xfId="191" applyFont="1" applyBorder="1" applyAlignment="1">
      <alignment horizontal="center" vertical="center" wrapText="1"/>
    </xf>
    <xf numFmtId="0" fontId="125" fillId="0" borderId="1" xfId="0" applyFont="1" applyBorder="1" applyAlignment="1">
      <alignment horizontal="center" vertical="center" wrapText="1"/>
    </xf>
    <xf numFmtId="0" fontId="135" fillId="0" borderId="35" xfId="191" applyFont="1" applyBorder="1" applyAlignment="1">
      <alignment horizontal="center" vertical="center" wrapText="1"/>
    </xf>
    <xf numFmtId="41" fontId="59" fillId="4" borderId="147" xfId="0" applyNumberFormat="1" applyFont="1" applyFill="1" applyBorder="1" applyAlignment="1">
      <alignment horizontal="right" vertical="center" wrapText="1"/>
    </xf>
    <xf numFmtId="41" fontId="59" fillId="0" borderId="11" xfId="0" applyNumberFormat="1" applyFont="1" applyBorder="1" applyAlignment="1">
      <alignment horizontal="right" vertical="center" wrapText="1"/>
    </xf>
    <xf numFmtId="41" fontId="59" fillId="4" borderId="66" xfId="172" applyNumberFormat="1" applyFont="1" applyFill="1" applyBorder="1" applyAlignment="1">
      <alignment horizontal="right" vertical="center" wrapText="1"/>
    </xf>
    <xf numFmtId="41" fontId="59" fillId="4" borderId="67" xfId="172" applyNumberFormat="1" applyFont="1" applyFill="1" applyBorder="1" applyAlignment="1">
      <alignment horizontal="right" vertical="center" wrapText="1"/>
    </xf>
    <xf numFmtId="41" fontId="59" fillId="0" borderId="49" xfId="172" applyNumberFormat="1" applyFont="1" applyBorder="1" applyAlignment="1">
      <alignment horizontal="right" vertical="center" wrapText="1"/>
    </xf>
    <xf numFmtId="41" fontId="59" fillId="0" borderId="53" xfId="172" applyNumberFormat="1" applyFont="1" applyBorder="1" applyAlignment="1">
      <alignment horizontal="right" vertical="center" wrapText="1"/>
    </xf>
    <xf numFmtId="41" fontId="59" fillId="0" borderId="126" xfId="172" applyNumberFormat="1" applyFont="1" applyBorder="1" applyAlignment="1">
      <alignment horizontal="right" vertical="center" wrapText="1"/>
    </xf>
    <xf numFmtId="41" fontId="59" fillId="4" borderId="55" xfId="172" applyNumberFormat="1" applyFont="1" applyFill="1" applyBorder="1" applyAlignment="1">
      <alignment horizontal="right" vertical="center" wrapText="1"/>
    </xf>
    <xf numFmtId="41" fontId="59" fillId="4" borderId="49" xfId="172" applyNumberFormat="1" applyFont="1" applyFill="1" applyBorder="1" applyAlignment="1">
      <alignment horizontal="right" vertical="center" wrapText="1"/>
    </xf>
    <xf numFmtId="41" fontId="61" fillId="4" borderId="0" xfId="0" applyNumberFormat="1" applyFont="1" applyFill="1" applyAlignment="1">
      <alignment horizontal="left" vertical="center" wrapText="1"/>
    </xf>
    <xf numFmtId="0" fontId="92" fillId="0" borderId="71" xfId="194" applyFont="1" applyBorder="1" applyAlignment="1">
      <alignment horizontal="center" vertical="center" wrapText="1"/>
    </xf>
    <xf numFmtId="41" fontId="80" fillId="39" borderId="13" xfId="179" applyNumberFormat="1" applyFont="1" applyFill="1" applyBorder="1" applyAlignment="1">
      <alignment horizontal="right" vertical="center" wrapText="1"/>
    </xf>
    <xf numFmtId="41" fontId="80" fillId="39" borderId="11" xfId="179" applyNumberFormat="1" applyFont="1" applyFill="1" applyBorder="1" applyAlignment="1">
      <alignment horizontal="right" vertical="center" wrapText="1"/>
    </xf>
    <xf numFmtId="0" fontId="80" fillId="46" borderId="23" xfId="179" applyFont="1" applyFill="1" applyBorder="1" applyAlignment="1">
      <alignment horizontal="left" vertical="center" wrapText="1"/>
    </xf>
    <xf numFmtId="0" fontId="88" fillId="46" borderId="23" xfId="179" applyFont="1" applyFill="1" applyBorder="1" applyAlignment="1">
      <alignment horizontal="left" vertical="center" wrapText="1"/>
    </xf>
    <xf numFmtId="49" fontId="61" fillId="46" borderId="1" xfId="0" applyNumberFormat="1" applyFont="1" applyFill="1" applyBorder="1" applyAlignment="1">
      <alignment horizontal="left" vertical="center" wrapText="1"/>
    </xf>
    <xf numFmtId="41" fontId="61" fillId="46" borderId="149" xfId="0" applyNumberFormat="1" applyFont="1" applyFill="1" applyBorder="1" applyAlignment="1">
      <alignment horizontal="right" vertical="center" wrapText="1"/>
    </xf>
    <xf numFmtId="41" fontId="61" fillId="46" borderId="148" xfId="0" applyNumberFormat="1" applyFont="1" applyFill="1" applyBorder="1" applyAlignment="1">
      <alignment horizontal="right" vertical="center" wrapText="1"/>
    </xf>
    <xf numFmtId="0" fontId="80" fillId="46" borderId="25" xfId="179" applyFont="1" applyFill="1" applyBorder="1" applyAlignment="1">
      <alignment horizontal="left" vertical="center" wrapText="1"/>
    </xf>
    <xf numFmtId="41" fontId="80" fillId="46" borderId="33" xfId="179" applyNumberFormat="1" applyFont="1" applyFill="1" applyBorder="1" applyAlignment="1">
      <alignment horizontal="right" vertical="center" wrapText="1"/>
    </xf>
    <xf numFmtId="41" fontId="80" fillId="46" borderId="34" xfId="179" applyNumberFormat="1" applyFont="1" applyFill="1" applyBorder="1" applyAlignment="1">
      <alignment horizontal="right" vertical="center" wrapText="1"/>
    </xf>
    <xf numFmtId="41" fontId="80" fillId="46" borderId="13" xfId="179" applyNumberFormat="1" applyFont="1" applyFill="1" applyBorder="1" applyAlignment="1">
      <alignment horizontal="right" vertical="center" wrapText="1"/>
    </xf>
    <xf numFmtId="41" fontId="80" fillId="46" borderId="11" xfId="179" applyNumberFormat="1" applyFont="1" applyFill="1" applyBorder="1" applyAlignment="1">
      <alignment horizontal="right" vertical="center" wrapText="1"/>
    </xf>
    <xf numFmtId="41" fontId="80" fillId="36" borderId="0" xfId="125" applyFont="1" applyFill="1" applyAlignment="1">
      <alignment horizontal="left" vertical="center" wrapText="1"/>
    </xf>
    <xf numFmtId="41" fontId="80" fillId="36" borderId="47" xfId="125" applyFont="1" applyFill="1" applyBorder="1" applyAlignment="1">
      <alignment horizontal="left" vertical="center" wrapText="1"/>
    </xf>
    <xf numFmtId="41" fontId="80" fillId="36" borderId="78" xfId="125" applyFont="1" applyFill="1" applyBorder="1" applyAlignment="1">
      <alignment horizontal="right" vertical="center" wrapText="1"/>
    </xf>
    <xf numFmtId="41" fontId="80" fillId="36" borderId="66" xfId="125" applyFont="1" applyFill="1" applyBorder="1" applyAlignment="1">
      <alignment horizontal="right" vertical="center" wrapText="1"/>
    </xf>
    <xf numFmtId="41" fontId="80" fillId="36" borderId="93" xfId="125" applyFont="1" applyFill="1" applyBorder="1" applyAlignment="1">
      <alignment horizontal="right" vertical="center" wrapText="1"/>
    </xf>
    <xf numFmtId="41" fontId="80" fillId="36" borderId="105" xfId="125" applyFont="1" applyFill="1" applyBorder="1" applyAlignment="1">
      <alignment horizontal="right" vertical="center" wrapText="1"/>
    </xf>
    <xf numFmtId="41" fontId="80" fillId="36" borderId="67" xfId="125" applyFont="1" applyFill="1" applyBorder="1" applyAlignment="1">
      <alignment horizontal="right" vertical="center" wrapText="1"/>
    </xf>
    <xf numFmtId="41" fontId="80" fillId="37" borderId="0" xfId="125" applyFont="1" applyFill="1" applyAlignment="1">
      <alignment horizontal="left" vertical="center" wrapText="1"/>
    </xf>
    <xf numFmtId="41" fontId="80" fillId="37" borderId="47" xfId="125" applyFont="1" applyFill="1" applyBorder="1" applyAlignment="1">
      <alignment horizontal="left" vertical="center" wrapText="1"/>
    </xf>
    <xf numFmtId="41" fontId="80" fillId="37" borderId="47" xfId="125" applyFont="1" applyFill="1" applyBorder="1" applyAlignment="1">
      <alignment horizontal="right" vertical="center" wrapText="1"/>
    </xf>
    <xf numFmtId="41" fontId="80" fillId="37" borderId="48" xfId="125" applyFont="1" applyFill="1" applyBorder="1" applyAlignment="1">
      <alignment horizontal="right" vertical="center" wrapText="1"/>
    </xf>
    <xf numFmtId="41" fontId="80" fillId="37" borderId="56" xfId="125" applyFont="1" applyFill="1" applyBorder="1" applyAlignment="1">
      <alignment horizontal="right" vertical="center" wrapText="1"/>
    </xf>
    <xf numFmtId="41" fontId="80" fillId="37" borderId="59" xfId="125" applyFont="1" applyFill="1" applyBorder="1" applyAlignment="1">
      <alignment horizontal="right" vertical="center" wrapText="1"/>
    </xf>
    <xf numFmtId="41" fontId="80" fillId="37" borderId="49" xfId="125" applyFont="1" applyFill="1" applyBorder="1" applyAlignment="1">
      <alignment horizontal="right" vertical="center" wrapText="1"/>
    </xf>
    <xf numFmtId="179" fontId="80" fillId="4" borderId="86" xfId="0" applyNumberFormat="1" applyFont="1" applyFill="1" applyBorder="1" applyAlignment="1">
      <alignment horizontal="right" vertical="center" wrapText="1"/>
    </xf>
    <xf numFmtId="179" fontId="80" fillId="4" borderId="48" xfId="0" applyNumberFormat="1" applyFont="1" applyFill="1" applyBorder="1" applyAlignment="1">
      <alignment horizontal="right" vertical="center" wrapText="1"/>
    </xf>
    <xf numFmtId="49" fontId="80" fillId="4" borderId="48" xfId="0" applyNumberFormat="1" applyFont="1" applyFill="1" applyBorder="1" applyAlignment="1">
      <alignment horizontal="right" vertical="center" wrapText="1"/>
    </xf>
    <xf numFmtId="49" fontId="80" fillId="4" borderId="100" xfId="0" applyNumberFormat="1" applyFont="1" applyFill="1" applyBorder="1" applyAlignment="1">
      <alignment horizontal="right" vertical="center" wrapText="1"/>
    </xf>
    <xf numFmtId="49" fontId="80" fillId="4" borderId="86" xfId="0" applyNumberFormat="1" applyFont="1" applyFill="1" applyBorder="1" applyAlignment="1">
      <alignment horizontal="right" vertical="center" wrapText="1"/>
    </xf>
    <xf numFmtId="179" fontId="80" fillId="4" borderId="49" xfId="0" applyNumberFormat="1" applyFont="1" applyFill="1" applyBorder="1" applyAlignment="1">
      <alignment horizontal="right" vertical="center" wrapText="1"/>
    </xf>
    <xf numFmtId="179" fontId="80" fillId="0" borderId="86" xfId="0" applyNumberFormat="1" applyFont="1" applyBorder="1" applyAlignment="1">
      <alignment horizontal="right" vertical="center" wrapText="1"/>
    </xf>
    <xf numFmtId="179" fontId="80" fillId="0" borderId="48" xfId="0" applyNumberFormat="1" applyFont="1" applyBorder="1" applyAlignment="1">
      <alignment horizontal="right" vertical="center" wrapText="1"/>
    </xf>
    <xf numFmtId="49" fontId="80" fillId="0" borderId="48" xfId="0" applyNumberFormat="1" applyFont="1" applyBorder="1" applyAlignment="1">
      <alignment horizontal="right" vertical="center" wrapText="1"/>
    </xf>
    <xf numFmtId="49" fontId="80" fillId="0" borderId="100" xfId="0" applyNumberFormat="1" applyFont="1" applyBorder="1" applyAlignment="1">
      <alignment horizontal="right" vertical="center" wrapText="1"/>
    </xf>
    <xf numFmtId="49" fontId="80" fillId="0" borderId="86" xfId="0" applyNumberFormat="1" applyFont="1" applyBorder="1" applyAlignment="1">
      <alignment horizontal="right" vertical="center" wrapText="1"/>
    </xf>
    <xf numFmtId="179" fontId="80" fillId="0" borderId="49" xfId="0" applyNumberFormat="1" applyFont="1" applyBorder="1" applyAlignment="1">
      <alignment horizontal="right" vertical="center" wrapText="1"/>
    </xf>
    <xf numFmtId="49" fontId="80" fillId="0" borderId="49" xfId="0" applyNumberFormat="1" applyFont="1" applyBorder="1" applyAlignment="1">
      <alignment horizontal="right" vertical="center" wrapText="1"/>
    </xf>
    <xf numFmtId="49" fontId="80" fillId="40" borderId="0" xfId="0" applyNumberFormat="1" applyFont="1" applyFill="1" applyAlignment="1">
      <alignment horizontal="left" vertical="center" wrapText="1"/>
    </xf>
    <xf numFmtId="49" fontId="80" fillId="4" borderId="49" xfId="0" applyNumberFormat="1" applyFont="1" applyFill="1" applyBorder="1" applyAlignment="1">
      <alignment horizontal="right" vertical="center" wrapText="1"/>
    </xf>
    <xf numFmtId="49" fontId="80" fillId="0" borderId="0" xfId="0" applyNumberFormat="1" applyFont="1" applyAlignment="1">
      <alignment horizontal="left" vertical="center" wrapText="1"/>
    </xf>
    <xf numFmtId="41" fontId="80" fillId="36" borderId="0" xfId="125" applyFont="1" applyFill="1" applyBorder="1" applyAlignment="1">
      <alignment horizontal="left" vertical="center" wrapText="1"/>
    </xf>
    <xf numFmtId="179" fontId="80" fillId="4" borderId="100" xfId="0" applyNumberFormat="1" applyFont="1" applyFill="1" applyBorder="1" applyAlignment="1">
      <alignment horizontal="right" vertical="center" wrapText="1"/>
    </xf>
    <xf numFmtId="179" fontId="80" fillId="0" borderId="100" xfId="0" applyNumberFormat="1" applyFont="1" applyBorder="1" applyAlignment="1">
      <alignment horizontal="right" vertical="center" wrapText="1"/>
    </xf>
    <xf numFmtId="41" fontId="80" fillId="37" borderId="50" xfId="125" applyFont="1" applyFill="1" applyBorder="1" applyAlignment="1">
      <alignment horizontal="left" vertical="center" wrapText="1"/>
    </xf>
    <xf numFmtId="179" fontId="80" fillId="0" borderId="53" xfId="0" applyNumberFormat="1" applyFont="1" applyBorder="1" applyAlignment="1">
      <alignment horizontal="right" vertical="center" wrapText="1"/>
    </xf>
    <xf numFmtId="49" fontId="80" fillId="0" borderId="53" xfId="0" applyNumberFormat="1" applyFont="1" applyBorder="1" applyAlignment="1">
      <alignment horizontal="right" vertical="center" wrapText="1"/>
    </xf>
    <xf numFmtId="41" fontId="69" fillId="36" borderId="81" xfId="193" applyNumberFormat="1" applyFont="1" applyFill="1" applyBorder="1" applyAlignment="1">
      <alignment horizontal="right" vertical="center" wrapText="1"/>
    </xf>
    <xf numFmtId="41" fontId="69" fillId="36" borderId="48" xfId="193" applyNumberFormat="1" applyFont="1" applyFill="1" applyBorder="1" applyAlignment="1">
      <alignment horizontal="right" vertical="center" wrapText="1"/>
    </xf>
    <xf numFmtId="49" fontId="18" fillId="0" borderId="148" xfId="172" applyNumberFormat="1" applyFont="1" applyBorder="1" applyAlignment="1">
      <alignment horizontal="right" vertical="center" wrapText="1"/>
    </xf>
    <xf numFmtId="49" fontId="18" fillId="44" borderId="148" xfId="172" applyNumberFormat="1" applyFont="1" applyFill="1" applyBorder="1" applyAlignment="1">
      <alignment horizontal="right" vertical="center" wrapText="1"/>
    </xf>
    <xf numFmtId="41" fontId="111" fillId="36" borderId="157" xfId="187" applyNumberFormat="1" applyFont="1" applyFill="1" applyBorder="1" applyAlignment="1">
      <alignment horizontal="right" vertical="center" wrapText="1"/>
    </xf>
    <xf numFmtId="41" fontId="111" fillId="4" borderId="148" xfId="183" applyNumberFormat="1" applyFont="1" applyFill="1" applyBorder="1" applyAlignment="1">
      <alignment horizontal="right" vertical="center" wrapText="1"/>
    </xf>
    <xf numFmtId="41" fontId="111" fillId="36" borderId="73" xfId="187" applyNumberFormat="1" applyFont="1" applyFill="1" applyBorder="1" applyAlignment="1">
      <alignment horizontal="right" vertical="center" wrapText="1"/>
    </xf>
    <xf numFmtId="41" fontId="111" fillId="4" borderId="12" xfId="183" applyNumberFormat="1" applyFont="1" applyFill="1" applyBorder="1" applyAlignment="1">
      <alignment horizontal="right" vertical="center" wrapText="1"/>
    </xf>
    <xf numFmtId="41" fontId="111" fillId="36" borderId="59" xfId="187" applyNumberFormat="1" applyFont="1" applyFill="1" applyBorder="1" applyAlignment="1">
      <alignment horizontal="right" vertical="center" wrapText="1"/>
    </xf>
    <xf numFmtId="41" fontId="79" fillId="36" borderId="34" xfId="187" applyNumberFormat="1" applyFont="1" applyFill="1" applyBorder="1" applyAlignment="1">
      <alignment horizontal="right" vertical="center" wrapText="1"/>
    </xf>
    <xf numFmtId="41" fontId="111" fillId="36" borderId="25" xfId="187" applyNumberFormat="1" applyFont="1" applyFill="1" applyBorder="1" applyAlignment="1">
      <alignment horizontal="right" vertical="center" wrapText="1"/>
    </xf>
    <xf numFmtId="41" fontId="111" fillId="37" borderId="23" xfId="187" applyNumberFormat="1" applyFont="1" applyFill="1" applyBorder="1" applyAlignment="1">
      <alignment horizontal="right" vertical="center" wrapText="1"/>
    </xf>
    <xf numFmtId="41" fontId="111" fillId="4" borderId="185" xfId="183" applyNumberFormat="1" applyFont="1" applyFill="1" applyBorder="1" applyAlignment="1">
      <alignment horizontal="right" vertical="center" wrapText="1"/>
    </xf>
    <xf numFmtId="41" fontId="111" fillId="0" borderId="185" xfId="183" applyNumberFormat="1" applyFont="1" applyBorder="1" applyAlignment="1">
      <alignment horizontal="right" vertical="center" wrapText="1"/>
    </xf>
    <xf numFmtId="41" fontId="111" fillId="36" borderId="23" xfId="187" applyNumberFormat="1" applyFont="1" applyFill="1" applyBorder="1" applyAlignment="1">
      <alignment horizontal="right" vertical="center" wrapText="1"/>
    </xf>
    <xf numFmtId="0" fontId="84" fillId="0" borderId="0" xfId="0" applyFont="1" applyAlignment="1">
      <alignment vertical="center"/>
    </xf>
    <xf numFmtId="41" fontId="67" fillId="36" borderId="0" xfId="125" applyFont="1" applyFill="1" applyAlignment="1">
      <alignment horizontal="left" vertical="center" wrapText="1"/>
    </xf>
    <xf numFmtId="0" fontId="123" fillId="37" borderId="0" xfId="0" applyFont="1" applyFill="1" applyBorder="1">
      <alignment vertical="center"/>
    </xf>
    <xf numFmtId="0" fontId="118" fillId="37" borderId="0" xfId="0" applyFont="1" applyFill="1" applyBorder="1">
      <alignment vertical="center"/>
    </xf>
    <xf numFmtId="0" fontId="118" fillId="0" borderId="0" xfId="0" applyFont="1" applyBorder="1">
      <alignment vertical="center"/>
    </xf>
    <xf numFmtId="0" fontId="38" fillId="0" borderId="0" xfId="191" applyFont="1" applyBorder="1">
      <alignment vertical="center"/>
    </xf>
    <xf numFmtId="0" fontId="54" fillId="0" borderId="0" xfId="191" applyFont="1" applyBorder="1">
      <alignment vertical="center"/>
    </xf>
    <xf numFmtId="0" fontId="49" fillId="3" borderId="0" xfId="191" applyFont="1" applyFill="1" applyBorder="1">
      <alignment vertical="center"/>
    </xf>
    <xf numFmtId="0" fontId="45" fillId="3" borderId="0" xfId="191" applyFont="1" applyFill="1" applyBorder="1">
      <alignment vertical="center"/>
    </xf>
    <xf numFmtId="0" fontId="127" fillId="0" borderId="0" xfId="0" applyFont="1" applyBorder="1">
      <alignment vertical="center"/>
    </xf>
    <xf numFmtId="0" fontId="117" fillId="0" borderId="0" xfId="0" applyFont="1" applyBorder="1">
      <alignment vertical="center"/>
    </xf>
    <xf numFmtId="0" fontId="56" fillId="0" borderId="0" xfId="288" quotePrefix="1" applyBorder="1" applyAlignment="1" applyProtection="1">
      <alignment vertical="center"/>
    </xf>
    <xf numFmtId="0" fontId="64" fillId="0" borderId="0" xfId="0" applyFont="1" applyAlignment="1">
      <alignment horizontal="center" vertical="center"/>
    </xf>
    <xf numFmtId="0" fontId="64" fillId="0" borderId="186" xfId="0" applyFont="1" applyBorder="1">
      <alignment vertical="center"/>
    </xf>
    <xf numFmtId="0" fontId="64" fillId="0" borderId="187" xfId="0" applyFont="1" applyBorder="1">
      <alignment vertical="center"/>
    </xf>
    <xf numFmtId="0" fontId="140" fillId="0" borderId="188" xfId="0" applyFont="1" applyBorder="1" applyAlignment="1">
      <alignment horizontal="center" vertical="center"/>
    </xf>
    <xf numFmtId="183" fontId="64" fillId="0" borderId="188" xfId="0" applyNumberFormat="1" applyFont="1" applyBorder="1" applyAlignment="1">
      <alignment horizontal="center" vertical="center"/>
    </xf>
    <xf numFmtId="0" fontId="56" fillId="0" borderId="188" xfId="296" applyBorder="1" applyAlignment="1" applyProtection="1">
      <alignment vertical="center"/>
    </xf>
    <xf numFmtId="0" fontId="64" fillId="0" borderId="189" xfId="0" applyFont="1" applyBorder="1">
      <alignment vertical="center"/>
    </xf>
    <xf numFmtId="0" fontId="64" fillId="0" borderId="190" xfId="0" applyFont="1" applyBorder="1" applyAlignment="1">
      <alignment horizontal="center" vertical="center"/>
    </xf>
    <xf numFmtId="0" fontId="64" fillId="0" borderId="190" xfId="0" applyFont="1" applyBorder="1">
      <alignment vertical="center"/>
    </xf>
    <xf numFmtId="0" fontId="64" fillId="0" borderId="191" xfId="0" applyFont="1" applyBorder="1">
      <alignment vertical="center"/>
    </xf>
    <xf numFmtId="41" fontId="141" fillId="0" borderId="0" xfId="296" applyNumberFormat="1" applyFont="1" applyBorder="1">
      <alignment vertical="center"/>
    </xf>
    <xf numFmtId="0" fontId="64" fillId="0" borderId="157" xfId="0" applyFont="1" applyBorder="1" applyAlignment="1"/>
    <xf numFmtId="0" fontId="51" fillId="36" borderId="0" xfId="189" applyFont="1" applyFill="1" applyBorder="1">
      <alignment vertical="center"/>
    </xf>
    <xf numFmtId="41" fontId="59" fillId="0" borderId="51" xfId="125" applyFont="1" applyBorder="1" applyAlignment="1">
      <alignment horizontal="center" vertical="center" wrapText="1"/>
    </xf>
    <xf numFmtId="41" fontId="61" fillId="0" borderId="51" xfId="125" applyFont="1" applyBorder="1" applyAlignment="1">
      <alignment horizontal="center" vertical="center" wrapText="1"/>
    </xf>
    <xf numFmtId="41" fontId="59" fillId="0" borderId="47" xfId="125" applyFont="1" applyBorder="1" applyAlignment="1">
      <alignment horizontal="center" vertical="center" wrapText="1"/>
    </xf>
    <xf numFmtId="41" fontId="59" fillId="0" borderId="49" xfId="125" applyFont="1" applyBorder="1" applyAlignment="1">
      <alignment horizontal="center" vertical="center" wrapText="1"/>
    </xf>
    <xf numFmtId="41" fontId="61" fillId="0" borderId="47" xfId="125" applyFont="1" applyBorder="1" applyAlignment="1">
      <alignment horizontal="center" vertical="center" wrapText="1"/>
    </xf>
    <xf numFmtId="41" fontId="61" fillId="0" borderId="64" xfId="125" applyFont="1" applyBorder="1" applyAlignment="1">
      <alignment horizontal="center" vertical="center" wrapText="1"/>
    </xf>
    <xf numFmtId="41" fontId="61" fillId="0" borderId="54" xfId="125" applyFont="1" applyBorder="1" applyAlignment="1">
      <alignment horizontal="center" vertical="center" wrapText="1"/>
    </xf>
    <xf numFmtId="41" fontId="59" fillId="0" borderId="68" xfId="125" applyFont="1" applyBorder="1" applyAlignment="1">
      <alignment horizontal="center" vertical="center" wrapText="1"/>
    </xf>
    <xf numFmtId="41" fontId="62" fillId="0" borderId="66" xfId="125" applyFont="1" applyBorder="1" applyAlignment="1">
      <alignment horizontal="center" vertical="center" wrapText="1"/>
    </xf>
    <xf numFmtId="41" fontId="62" fillId="0" borderId="49" xfId="125" applyFont="1" applyBorder="1" applyAlignment="1">
      <alignment horizontal="center" vertical="center" wrapText="1"/>
    </xf>
    <xf numFmtId="41" fontId="62" fillId="0" borderId="0" xfId="125" applyFont="1" applyBorder="1" applyAlignment="1">
      <alignment horizontal="center" vertical="center" wrapText="1"/>
    </xf>
    <xf numFmtId="41" fontId="61" fillId="0" borderId="49" xfId="125" applyFont="1" applyBorder="1" applyAlignment="1">
      <alignment horizontal="center" vertical="center" wrapText="1"/>
    </xf>
    <xf numFmtId="41" fontId="62" fillId="0" borderId="55" xfId="125" applyFont="1" applyBorder="1" applyAlignment="1">
      <alignment horizontal="center" vertical="center" wrapText="1"/>
    </xf>
    <xf numFmtId="41" fontId="62" fillId="0" borderId="47" xfId="125" applyFont="1" applyBorder="1" applyAlignment="1">
      <alignment horizontal="center" vertical="center" wrapText="1"/>
    </xf>
    <xf numFmtId="41" fontId="62" fillId="0" borderId="48" xfId="125" applyFont="1" applyBorder="1" applyAlignment="1">
      <alignment horizontal="center" vertical="center" wrapText="1"/>
    </xf>
    <xf numFmtId="0" fontId="62" fillId="0" borderId="66" xfId="0" applyFont="1" applyBorder="1" applyAlignment="1">
      <alignment horizontal="center" vertical="center" wrapText="1"/>
    </xf>
    <xf numFmtId="0" fontId="62" fillId="0" borderId="47" xfId="0" applyFont="1" applyBorder="1" applyAlignment="1">
      <alignment horizontal="center" vertical="center" wrapText="1"/>
    </xf>
    <xf numFmtId="0" fontId="60" fillId="0" borderId="0" xfId="0" applyFont="1" applyAlignment="1">
      <alignment horizontal="center" vertical="center" wrapText="1"/>
    </xf>
    <xf numFmtId="0" fontId="61" fillId="0" borderId="64" xfId="0" applyFont="1" applyBorder="1" applyAlignment="1">
      <alignment horizontal="center" vertical="center" wrapText="1"/>
    </xf>
    <xf numFmtId="0" fontId="61" fillId="0" borderId="51" xfId="0" applyFont="1" applyBorder="1" applyAlignment="1">
      <alignment horizontal="center" vertical="center" wrapText="1"/>
    </xf>
    <xf numFmtId="0" fontId="66" fillId="0" borderId="0" xfId="0" applyFont="1" applyAlignment="1">
      <alignment horizontal="center" vertical="center" wrapText="1"/>
    </xf>
    <xf numFmtId="41" fontId="61" fillId="0" borderId="62" xfId="125" applyFont="1" applyBorder="1" applyAlignment="1">
      <alignment horizontal="center" vertical="center" wrapText="1"/>
    </xf>
    <xf numFmtId="41" fontId="61" fillId="0" borderId="65" xfId="125" applyFont="1" applyBorder="1" applyAlignment="1">
      <alignment horizontal="center" vertical="center" wrapText="1"/>
    </xf>
    <xf numFmtId="0" fontId="61" fillId="0" borderId="68" xfId="0" applyFont="1" applyBorder="1" applyAlignment="1">
      <alignment horizontal="center" vertical="center" wrapText="1"/>
    </xf>
    <xf numFmtId="0" fontId="61" fillId="0" borderId="54" xfId="0" applyFont="1" applyBorder="1" applyAlignment="1">
      <alignment horizontal="center" vertical="center" wrapText="1"/>
    </xf>
    <xf numFmtId="0" fontId="63" fillId="0" borderId="47" xfId="0" applyFont="1" applyBorder="1" applyAlignment="1">
      <alignment horizontal="center" vertical="center" wrapText="1"/>
    </xf>
    <xf numFmtId="0" fontId="71" fillId="0" borderId="47" xfId="190" applyFont="1" applyBorder="1" applyAlignment="1">
      <alignment horizontal="center" vertical="center" wrapText="1"/>
    </xf>
    <xf numFmtId="0" fontId="73" fillId="0" borderId="64" xfId="190" applyFont="1" applyBorder="1" applyAlignment="1">
      <alignment horizontal="center" vertical="center" wrapText="1"/>
    </xf>
    <xf numFmtId="0" fontId="73" fillId="0" borderId="51" xfId="190" applyFont="1" applyBorder="1" applyAlignment="1">
      <alignment horizontal="center" vertical="center" wrapText="1"/>
    </xf>
    <xf numFmtId="0" fontId="62" fillId="0" borderId="78" xfId="0" applyFont="1" applyBorder="1" applyAlignment="1">
      <alignment horizontal="center" vertical="center" wrapText="1"/>
    </xf>
    <xf numFmtId="0" fontId="62" fillId="0" borderId="84" xfId="0" applyFont="1" applyBorder="1" applyAlignment="1">
      <alignment horizontal="center" vertical="center" wrapText="1"/>
    </xf>
    <xf numFmtId="0" fontId="62" fillId="0" borderId="49" xfId="0" applyFont="1" applyBorder="1" applyAlignment="1">
      <alignment horizontal="center" vertical="center" wrapText="1"/>
    </xf>
    <xf numFmtId="0" fontId="61" fillId="0" borderId="87" xfId="0" applyFont="1" applyBorder="1" applyAlignment="1">
      <alignment horizontal="center" vertical="center" wrapText="1"/>
    </xf>
    <xf numFmtId="49" fontId="74" fillId="0" borderId="1" xfId="183" applyNumberFormat="1" applyFont="1" applyBorder="1" applyAlignment="1">
      <alignment horizontal="center" vertical="center" wrapText="1"/>
    </xf>
    <xf numFmtId="0" fontId="114" fillId="0" borderId="64" xfId="0" applyFont="1" applyBorder="1" applyAlignment="1">
      <alignment horizontal="center" vertical="center" wrapText="1"/>
    </xf>
    <xf numFmtId="0" fontId="114" fillId="0" borderId="68" xfId="0" applyFont="1" applyBorder="1" applyAlignment="1">
      <alignment horizontal="center" vertical="center" wrapText="1"/>
    </xf>
    <xf numFmtId="0" fontId="120" fillId="0" borderId="67" xfId="0" applyFont="1" applyBorder="1" applyAlignment="1">
      <alignment horizontal="center" vertical="center" wrapText="1"/>
    </xf>
    <xf numFmtId="0" fontId="114" fillId="0" borderId="47" xfId="0" applyFont="1" applyBorder="1" applyAlignment="1">
      <alignment horizontal="center" vertical="center" wrapText="1"/>
    </xf>
    <xf numFmtId="0" fontId="114" fillId="0" borderId="51" xfId="0" applyFont="1" applyBorder="1" applyAlignment="1">
      <alignment horizontal="center" vertical="center" wrapText="1"/>
    </xf>
    <xf numFmtId="0" fontId="18" fillId="0" borderId="47" xfId="0" applyFont="1" applyBorder="1" applyAlignment="1">
      <alignment horizontal="center" vertical="center" wrapText="1"/>
    </xf>
    <xf numFmtId="0" fontId="120" fillId="0" borderId="47" xfId="0" applyFont="1" applyBorder="1" applyAlignment="1">
      <alignment horizontal="center" vertical="center" wrapText="1"/>
    </xf>
    <xf numFmtId="0" fontId="114" fillId="0" borderId="49" xfId="0" applyFont="1" applyBorder="1" applyAlignment="1">
      <alignment horizontal="center" vertical="center" wrapText="1"/>
    </xf>
    <xf numFmtId="0" fontId="114" fillId="0" borderId="0" xfId="0" applyFont="1" applyAlignment="1">
      <alignment horizontal="center" vertical="center" wrapText="1"/>
    </xf>
    <xf numFmtId="0" fontId="114" fillId="0" borderId="54" xfId="0" applyFont="1" applyBorder="1" applyAlignment="1">
      <alignment horizontal="center" vertical="center" wrapText="1"/>
    </xf>
    <xf numFmtId="0" fontId="114" fillId="0" borderId="62" xfId="0" applyFont="1" applyBorder="1" applyAlignment="1">
      <alignment horizontal="center" vertical="center" wrapText="1"/>
    </xf>
    <xf numFmtId="0" fontId="114" fillId="0" borderId="61" xfId="0" applyFont="1" applyBorder="1" applyAlignment="1">
      <alignment horizontal="center" vertical="center" wrapText="1"/>
    </xf>
    <xf numFmtId="0" fontId="114" fillId="0" borderId="58" xfId="0" applyFont="1" applyBorder="1" applyAlignment="1">
      <alignment horizontal="center" vertical="center" wrapText="1"/>
    </xf>
    <xf numFmtId="0" fontId="118" fillId="0" borderId="0" xfId="0" applyFont="1" applyAlignment="1">
      <alignment horizontal="center" vertical="center" wrapText="1"/>
    </xf>
    <xf numFmtId="0" fontId="118" fillId="0" borderId="47" xfId="0" applyFont="1" applyBorder="1" applyAlignment="1">
      <alignment horizontal="center" vertical="center" wrapText="1"/>
    </xf>
    <xf numFmtId="0" fontId="110" fillId="0" borderId="0" xfId="0" applyFont="1" applyAlignment="1">
      <alignment horizontal="center" vertical="center" wrapText="1"/>
    </xf>
    <xf numFmtId="0" fontId="18" fillId="0" borderId="0" xfId="0" applyFont="1" applyAlignment="1">
      <alignment horizontal="left" vertical="center" wrapText="1"/>
    </xf>
    <xf numFmtId="0" fontId="118" fillId="0" borderId="93" xfId="0" applyFont="1" applyBorder="1" applyAlignment="1">
      <alignment horizontal="center" vertical="center" wrapText="1"/>
    </xf>
    <xf numFmtId="0" fontId="118" fillId="0" borderId="91"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69" xfId="0" applyFont="1" applyBorder="1" applyAlignment="1">
      <alignment horizontal="center" vertical="center" wrapText="1"/>
    </xf>
    <xf numFmtId="41" fontId="114" fillId="0" borderId="51" xfId="125" applyFont="1" applyBorder="1" applyAlignment="1">
      <alignment horizontal="center" vertical="center" wrapText="1"/>
    </xf>
    <xf numFmtId="41" fontId="118" fillId="0" borderId="0" xfId="125" applyFont="1" applyFill="1" applyBorder="1" applyAlignment="1">
      <alignment horizontal="center" vertical="center" wrapText="1"/>
    </xf>
    <xf numFmtId="41" fontId="114" fillId="0" borderId="51" xfId="125" applyFont="1" applyFill="1" applyBorder="1" applyAlignment="1">
      <alignment horizontal="center" vertical="center" wrapText="1"/>
    </xf>
    <xf numFmtId="41" fontId="118" fillId="0" borderId="47" xfId="125" applyFont="1" applyBorder="1" applyAlignment="1">
      <alignment horizontal="center" vertical="center" wrapText="1"/>
    </xf>
    <xf numFmtId="41" fontId="63" fillId="0" borderId="78" xfId="125" applyFont="1" applyBorder="1" applyAlignment="1">
      <alignment horizontal="center" vertical="center" wrapText="1"/>
    </xf>
    <xf numFmtId="41" fontId="63" fillId="0" borderId="55" xfId="125" applyFont="1" applyBorder="1" applyAlignment="1">
      <alignment horizontal="center" vertical="center" wrapText="1"/>
    </xf>
    <xf numFmtId="41" fontId="63" fillId="0" borderId="48" xfId="125" applyFont="1" applyBorder="1" applyAlignment="1">
      <alignment horizontal="center" vertical="center" wrapText="1"/>
    </xf>
    <xf numFmtId="41" fontId="63" fillId="0" borderId="47" xfId="125" applyFont="1" applyBorder="1" applyAlignment="1">
      <alignment horizontal="center" vertical="center" wrapText="1"/>
    </xf>
    <xf numFmtId="41" fontId="63" fillId="0" borderId="0" xfId="125" applyFont="1" applyBorder="1" applyAlignment="1">
      <alignment horizontal="center" vertical="center" wrapText="1"/>
    </xf>
    <xf numFmtId="41" fontId="67" fillId="0" borderId="70" xfId="125" applyFont="1" applyBorder="1" applyAlignment="1">
      <alignment horizontal="center" vertical="center" wrapText="1"/>
    </xf>
    <xf numFmtId="41" fontId="63" fillId="0" borderId="69" xfId="125" applyFont="1" applyBorder="1" applyAlignment="1">
      <alignment horizontal="center" vertical="center" wrapText="1"/>
    </xf>
    <xf numFmtId="0" fontId="100" fillId="0" borderId="18" xfId="179" applyFont="1" applyBorder="1" applyAlignment="1">
      <alignment horizontal="center" vertical="center" wrapText="1"/>
    </xf>
    <xf numFmtId="0" fontId="100" fillId="0" borderId="4" xfId="179" applyFont="1" applyBorder="1" applyAlignment="1">
      <alignment horizontal="center" vertical="center" wrapText="1"/>
    </xf>
    <xf numFmtId="0" fontId="102" fillId="0" borderId="47" xfId="0" applyFont="1" applyBorder="1" applyAlignment="1">
      <alignment horizontal="center" vertical="center" wrapText="1"/>
    </xf>
    <xf numFmtId="0" fontId="67" fillId="0" borderId="51" xfId="0" applyFont="1" applyBorder="1" applyAlignment="1">
      <alignment horizontal="center" vertical="center" wrapText="1"/>
    </xf>
    <xf numFmtId="0" fontId="67" fillId="0" borderId="68" xfId="0" applyFont="1" applyBorder="1" applyAlignment="1">
      <alignment horizontal="center" vertical="center" wrapText="1"/>
    </xf>
    <xf numFmtId="0" fontId="126" fillId="0" borderId="0" xfId="0" applyFont="1" applyAlignment="1">
      <alignment horizontal="center" vertical="center" wrapText="1"/>
    </xf>
    <xf numFmtId="0" fontId="120" fillId="0" borderId="69" xfId="0" applyFont="1" applyBorder="1" applyAlignment="1">
      <alignment horizontal="center" vertical="center" wrapText="1"/>
    </xf>
    <xf numFmtId="0" fontId="129" fillId="0" borderId="47" xfId="189" applyFont="1" applyBorder="1" applyAlignment="1">
      <alignment horizontal="center" vertical="center" wrapText="1"/>
    </xf>
    <xf numFmtId="0" fontId="117" fillId="0" borderId="64" xfId="189" applyFont="1" applyBorder="1" applyAlignment="1">
      <alignment horizontal="center" vertical="center" wrapText="1"/>
    </xf>
    <xf numFmtId="0" fontId="117" fillId="0" borderId="51" xfId="189" applyFont="1" applyBorder="1" applyAlignment="1">
      <alignment horizontal="center" vertical="center" wrapText="1"/>
    </xf>
    <xf numFmtId="0" fontId="129" fillId="0" borderId="49" xfId="189" applyFont="1" applyBorder="1" applyAlignment="1">
      <alignment horizontal="center" vertical="center" wrapText="1"/>
    </xf>
    <xf numFmtId="0" fontId="114" fillId="0" borderId="70" xfId="194" applyFont="1" applyBorder="1" applyAlignment="1">
      <alignment horizontal="center" vertical="center" wrapText="1"/>
    </xf>
    <xf numFmtId="0" fontId="18" fillId="0" borderId="0" xfId="194" applyFont="1" applyAlignment="1">
      <alignment horizontal="left" vertical="center" wrapText="1"/>
    </xf>
    <xf numFmtId="0" fontId="118" fillId="0" borderId="47" xfId="194" applyFont="1" applyBorder="1" applyAlignment="1">
      <alignment horizontal="center" vertical="center" wrapText="1"/>
    </xf>
    <xf numFmtId="0" fontId="118" fillId="0" borderId="48" xfId="194" applyFont="1" applyBorder="1" applyAlignment="1">
      <alignment horizontal="center" vertical="center" wrapText="1"/>
    </xf>
    <xf numFmtId="0" fontId="62" fillId="0" borderId="47" xfId="194" applyFont="1" applyBorder="1" applyAlignment="1">
      <alignment horizontal="center" vertical="center" wrapText="1"/>
    </xf>
    <xf numFmtId="0" fontId="61" fillId="0" borderId="70" xfId="194" applyFont="1" applyBorder="1" applyAlignment="1">
      <alignment horizontal="center" vertical="center" wrapText="1"/>
    </xf>
    <xf numFmtId="0" fontId="59" fillId="0" borderId="0" xfId="194" applyFont="1" applyAlignment="1">
      <alignment vertical="center" wrapText="1"/>
    </xf>
    <xf numFmtId="0" fontId="62" fillId="0" borderId="48" xfId="194" applyFont="1" applyBorder="1" applyAlignment="1">
      <alignment horizontal="center" vertical="center" wrapText="1"/>
    </xf>
    <xf numFmtId="0" fontId="67" fillId="0" borderId="47" xfId="194" applyFont="1" applyBorder="1" applyAlignment="1">
      <alignment horizontal="center" vertical="center" wrapText="1"/>
    </xf>
    <xf numFmtId="49" fontId="62" fillId="0" borderId="135" xfId="194" applyNumberFormat="1" applyFont="1" applyBorder="1" applyAlignment="1">
      <alignment horizontal="center" vertical="center" wrapText="1"/>
    </xf>
    <xf numFmtId="0" fontId="98" fillId="0" borderId="17" xfId="179" applyFont="1" applyBorder="1" applyAlignment="1">
      <alignment horizontal="center" vertical="center" wrapText="1"/>
    </xf>
    <xf numFmtId="0" fontId="98" fillId="0" borderId="4" xfId="179" applyFont="1" applyBorder="1" applyAlignment="1">
      <alignment horizontal="center" vertical="center" wrapText="1"/>
    </xf>
    <xf numFmtId="0" fontId="71" fillId="0" borderId="74" xfId="193" applyFont="1" applyBorder="1" applyAlignment="1">
      <alignment horizontal="center" vertical="center" wrapText="1"/>
    </xf>
    <xf numFmtId="0" fontId="64" fillId="0" borderId="47" xfId="0" applyFont="1" applyBorder="1">
      <alignment vertical="center"/>
    </xf>
    <xf numFmtId="0" fontId="19" fillId="0" borderId="0" xfId="191" applyFont="1" applyAlignment="1">
      <alignment horizontal="left" vertical="center" wrapText="1"/>
    </xf>
    <xf numFmtId="0" fontId="45" fillId="0" borderId="74" xfId="190" applyFont="1" applyBorder="1" applyAlignment="1">
      <alignment horizontal="center" vertical="center" wrapText="1"/>
    </xf>
    <xf numFmtId="0" fontId="46" fillId="0" borderId="79" xfId="190" applyFont="1" applyBorder="1" applyAlignment="1">
      <alignment horizontal="left" vertical="center" wrapText="1"/>
    </xf>
    <xf numFmtId="0" fontId="49" fillId="0" borderId="47" xfId="190" applyFont="1" applyBorder="1" applyAlignment="1">
      <alignment horizontal="center" vertical="center" wrapText="1"/>
    </xf>
    <xf numFmtId="0" fontId="45" fillId="0" borderId="47" xfId="190" applyFont="1" applyBorder="1" applyAlignment="1">
      <alignment horizontal="center" vertical="center" wrapText="1"/>
    </xf>
    <xf numFmtId="0" fontId="49" fillId="0" borderId="48" xfId="190" applyFont="1" applyBorder="1" applyAlignment="1">
      <alignment horizontal="center" vertical="center" wrapText="1"/>
    </xf>
    <xf numFmtId="0" fontId="62" fillId="0" borderId="0" xfId="0" applyFont="1" applyAlignment="1">
      <alignment horizontal="center" vertical="center" wrapText="1"/>
    </xf>
    <xf numFmtId="0" fontId="139" fillId="0" borderId="0" xfId="0" applyFont="1" applyAlignment="1">
      <alignment horizontal="center" vertical="center"/>
    </xf>
    <xf numFmtId="41" fontId="62" fillId="0" borderId="49" xfId="125" applyFont="1" applyBorder="1" applyAlignment="1">
      <alignment horizontal="center" vertical="center" wrapText="1"/>
    </xf>
    <xf numFmtId="41" fontId="62" fillId="0" borderId="0" xfId="125" applyFont="1" applyBorder="1" applyAlignment="1">
      <alignment horizontal="center" vertical="center" wrapText="1"/>
    </xf>
    <xf numFmtId="41" fontId="61" fillId="0" borderId="0" xfId="125" applyFont="1" applyBorder="1" applyAlignment="1">
      <alignment horizontal="center" vertical="center" wrapText="1"/>
    </xf>
    <xf numFmtId="41" fontId="61" fillId="0" borderId="23" xfId="125" applyFont="1" applyBorder="1" applyAlignment="1">
      <alignment horizontal="center" vertical="center" wrapText="1"/>
    </xf>
    <xf numFmtId="41" fontId="61" fillId="0" borderId="64" xfId="125" applyFont="1" applyBorder="1" applyAlignment="1">
      <alignment horizontal="center" vertical="center" wrapText="1"/>
    </xf>
    <xf numFmtId="41" fontId="61" fillId="0" borderId="51" xfId="125" applyFont="1" applyBorder="1" applyAlignment="1">
      <alignment horizontal="center" vertical="center" wrapText="1"/>
    </xf>
    <xf numFmtId="41" fontId="61" fillId="0" borderId="49" xfId="125" applyFont="1" applyBorder="1" applyAlignment="1">
      <alignment horizontal="center" vertical="center" wrapText="1"/>
    </xf>
    <xf numFmtId="41" fontId="61" fillId="0" borderId="47" xfId="125" applyFont="1" applyBorder="1" applyAlignment="1">
      <alignment horizontal="center" vertical="center" wrapText="1"/>
    </xf>
    <xf numFmtId="41" fontId="62" fillId="0" borderId="69" xfId="125" applyFont="1" applyBorder="1" applyAlignment="1">
      <alignment horizontal="center" vertical="center" wrapText="1"/>
    </xf>
    <xf numFmtId="41" fontId="62" fillId="0" borderId="55" xfId="125" applyFont="1" applyBorder="1" applyAlignment="1">
      <alignment horizontal="center" vertical="center" wrapText="1"/>
    </xf>
    <xf numFmtId="41" fontId="61" fillId="0" borderId="68" xfId="125" applyFont="1" applyBorder="1" applyAlignment="1">
      <alignment horizontal="center" vertical="center" wrapText="1"/>
    </xf>
    <xf numFmtId="41" fontId="62" fillId="0" borderId="25" xfId="125" applyFont="1" applyBorder="1" applyAlignment="1">
      <alignment horizontal="center" vertical="center" wrapText="1"/>
    </xf>
    <xf numFmtId="41" fontId="62" fillId="0" borderId="47" xfId="125" applyFont="1" applyBorder="1" applyAlignment="1">
      <alignment horizontal="center" vertical="center" wrapText="1"/>
    </xf>
    <xf numFmtId="41" fontId="59" fillId="0" borderId="49" xfId="125" applyFont="1" applyBorder="1" applyAlignment="1">
      <alignment horizontal="center" vertical="center" wrapText="1"/>
    </xf>
    <xf numFmtId="41" fontId="59" fillId="0" borderId="0" xfId="125" applyFont="1" applyBorder="1" applyAlignment="1">
      <alignment horizontal="center" vertical="center" wrapText="1"/>
    </xf>
    <xf numFmtId="41" fontId="59" fillId="0" borderId="23" xfId="125" applyFont="1" applyBorder="1" applyAlignment="1">
      <alignment horizontal="center" vertical="center" wrapText="1"/>
    </xf>
    <xf numFmtId="41" fontId="61" fillId="0" borderId="54" xfId="125" applyFont="1" applyBorder="1" applyAlignment="1">
      <alignment horizontal="center" vertical="center" wrapText="1"/>
    </xf>
    <xf numFmtId="41" fontId="59" fillId="0" borderId="68" xfId="125" applyFont="1" applyBorder="1" applyAlignment="1">
      <alignment horizontal="center" vertical="center" wrapText="1"/>
    </xf>
    <xf numFmtId="41" fontId="59" fillId="0" borderId="51" xfId="125" applyFont="1" applyBorder="1" applyAlignment="1">
      <alignment horizontal="center" vertical="center" wrapText="1"/>
    </xf>
    <xf numFmtId="41" fontId="59" fillId="0" borderId="64" xfId="125" applyFont="1" applyBorder="1" applyAlignment="1">
      <alignment horizontal="center" vertical="center" wrapText="1"/>
    </xf>
    <xf numFmtId="41" fontId="62" fillId="0" borderId="84" xfId="125" applyFont="1" applyBorder="1" applyAlignment="1">
      <alignment horizontal="center" vertical="center" wrapText="1"/>
    </xf>
    <xf numFmtId="41" fontId="62" fillId="0" borderId="78" xfId="125" applyFont="1" applyBorder="1" applyAlignment="1">
      <alignment horizontal="center" vertical="center" wrapText="1"/>
    </xf>
    <xf numFmtId="41" fontId="62" fillId="0" borderId="67" xfId="125" applyFont="1" applyBorder="1" applyAlignment="1">
      <alignment horizontal="center" vertical="center" wrapText="1"/>
    </xf>
    <xf numFmtId="41" fontId="62" fillId="0" borderId="66" xfId="125" applyFont="1" applyBorder="1" applyAlignment="1">
      <alignment horizontal="center" vertical="center" wrapText="1"/>
    </xf>
    <xf numFmtId="41" fontId="59" fillId="0" borderId="0" xfId="125" applyFont="1" applyBorder="1" applyAlignment="1">
      <alignment horizontal="right" vertical="center" wrapText="1"/>
    </xf>
    <xf numFmtId="41" fontId="60" fillId="0" borderId="0" xfId="125" applyFont="1" applyBorder="1" applyAlignment="1">
      <alignment horizontal="center" vertical="center" wrapText="1"/>
    </xf>
    <xf numFmtId="41" fontId="59" fillId="0" borderId="0" xfId="125" applyFont="1" applyBorder="1" applyAlignment="1">
      <alignment horizontal="left" vertical="center" wrapText="1"/>
    </xf>
    <xf numFmtId="41" fontId="59" fillId="0" borderId="104" xfId="125" applyFont="1" applyBorder="1" applyAlignment="1">
      <alignment horizontal="center" vertical="center" wrapText="1"/>
    </xf>
    <xf numFmtId="41" fontId="59" fillId="0" borderId="47" xfId="125" applyFont="1" applyBorder="1" applyAlignment="1">
      <alignment horizontal="center" vertical="center" wrapText="1"/>
    </xf>
    <xf numFmtId="41" fontId="61" fillId="0" borderId="19" xfId="125" applyFont="1" applyBorder="1">
      <alignment vertical="center"/>
    </xf>
    <xf numFmtId="41" fontId="64" fillId="0" borderId="19" xfId="125" applyFont="1" applyBorder="1">
      <alignment vertical="center"/>
    </xf>
    <xf numFmtId="41" fontId="62" fillId="0" borderId="30" xfId="125" applyFont="1" applyFill="1" applyBorder="1" applyAlignment="1">
      <alignment horizontal="center" vertical="center" wrapText="1"/>
    </xf>
    <xf numFmtId="41" fontId="59" fillId="0" borderId="0" xfId="125" applyFont="1" applyAlignment="1">
      <alignment horizontal="left" vertical="center" wrapText="1"/>
    </xf>
    <xf numFmtId="41" fontId="59" fillId="0" borderId="0" xfId="125" applyFont="1" applyAlignment="1">
      <alignment horizontal="right" vertical="center" wrapText="1"/>
    </xf>
    <xf numFmtId="41" fontId="60" fillId="0" borderId="0" xfId="125" applyFont="1" applyAlignment="1">
      <alignment horizontal="center" vertical="center" wrapText="1"/>
    </xf>
    <xf numFmtId="41" fontId="62" fillId="0" borderId="48" xfId="125" applyFont="1" applyBorder="1" applyAlignment="1">
      <alignment horizontal="center" vertical="center" wrapText="1"/>
    </xf>
    <xf numFmtId="41" fontId="61" fillId="0" borderId="0" xfId="125" applyFont="1" applyAlignment="1">
      <alignment horizontal="center" vertical="center" wrapText="1"/>
    </xf>
    <xf numFmtId="41" fontId="59" fillId="0" borderId="0" xfId="125" applyFont="1" applyAlignment="1">
      <alignment horizontal="center" vertical="center" wrapText="1"/>
    </xf>
    <xf numFmtId="41" fontId="61" fillId="0" borderId="157" xfId="125" applyFont="1" applyBorder="1">
      <alignment vertical="center"/>
    </xf>
    <xf numFmtId="41" fontId="59" fillId="0" borderId="35" xfId="125" applyFont="1" applyBorder="1" applyAlignment="1">
      <alignment horizontal="center" vertical="center" wrapText="1"/>
    </xf>
    <xf numFmtId="41" fontId="59" fillId="0" borderId="37" xfId="125" applyFont="1" applyBorder="1" applyAlignment="1">
      <alignment horizontal="center" vertical="center" wrapText="1"/>
    </xf>
    <xf numFmtId="0" fontId="61" fillId="0" borderId="157" xfId="0" applyFont="1" applyBorder="1">
      <alignment vertical="center"/>
    </xf>
    <xf numFmtId="0" fontId="64" fillId="0" borderId="157" xfId="0" applyFont="1" applyBorder="1">
      <alignment vertical="center"/>
    </xf>
    <xf numFmtId="0" fontId="59" fillId="0" borderId="0" xfId="0" applyFont="1" applyAlignment="1">
      <alignment horizontal="left" vertical="center" wrapText="1"/>
    </xf>
    <xf numFmtId="0" fontId="62" fillId="0" borderId="66" xfId="0" applyFont="1" applyBorder="1" applyAlignment="1">
      <alignment horizontal="center" vertical="center" wrapText="1"/>
    </xf>
    <xf numFmtId="0" fontId="62" fillId="0" borderId="54" xfId="0" applyFont="1" applyBorder="1" applyAlignment="1">
      <alignment horizontal="center" vertical="center" wrapText="1"/>
    </xf>
    <xf numFmtId="0" fontId="59" fillId="0" borderId="0" xfId="0" applyFont="1" applyAlignment="1">
      <alignment horizontal="right" vertical="center" wrapText="1"/>
    </xf>
    <xf numFmtId="0" fontId="60" fillId="0" borderId="0" xfId="0" applyFont="1" applyAlignment="1">
      <alignment horizontal="center" vertical="center" wrapText="1"/>
    </xf>
    <xf numFmtId="0" fontId="61" fillId="0" borderId="64" xfId="0" applyFont="1" applyBorder="1" applyAlignment="1">
      <alignment horizontal="center" vertical="center" wrapText="1"/>
    </xf>
    <xf numFmtId="0" fontId="61" fillId="0" borderId="51" xfId="0" applyFont="1" applyBorder="1" applyAlignment="1">
      <alignment horizontal="center" vertical="center" wrapText="1"/>
    </xf>
    <xf numFmtId="0" fontId="62" fillId="0" borderId="57" xfId="0" applyFont="1" applyBorder="1" applyAlignment="1">
      <alignment horizontal="center" vertical="center" wrapText="1"/>
    </xf>
    <xf numFmtId="0" fontId="62" fillId="0" borderId="67" xfId="0" applyFont="1" applyBorder="1" applyAlignment="1">
      <alignment horizontal="center" vertical="center" wrapText="1"/>
    </xf>
    <xf numFmtId="0" fontId="62" fillId="0" borderId="68" xfId="0" applyFont="1" applyBorder="1" applyAlignment="1">
      <alignment horizontal="center" vertical="center" wrapText="1"/>
    </xf>
    <xf numFmtId="0" fontId="62" fillId="0" borderId="47" xfId="0" applyFont="1" applyBorder="1" applyAlignment="1">
      <alignment horizontal="center" vertical="center" wrapText="1"/>
    </xf>
    <xf numFmtId="0" fontId="61" fillId="37" borderId="19" xfId="0" applyFont="1" applyFill="1" applyBorder="1" applyAlignment="1">
      <alignment horizontal="left" vertical="center" wrapText="1"/>
    </xf>
    <xf numFmtId="0" fontId="61" fillId="0" borderId="0" xfId="0" applyFont="1" applyBorder="1" applyAlignment="1">
      <alignment horizontal="left" vertical="center" wrapText="1"/>
    </xf>
    <xf numFmtId="0" fontId="66" fillId="0" borderId="0" xfId="0" applyFont="1" applyAlignment="1">
      <alignment horizontal="center" vertical="center" wrapText="1"/>
    </xf>
    <xf numFmtId="41" fontId="66" fillId="0" borderId="0" xfId="125" applyFont="1" applyAlignment="1">
      <alignment horizontal="center" vertical="center" wrapText="1"/>
    </xf>
    <xf numFmtId="41" fontId="61" fillId="0" borderId="124" xfId="125" applyFont="1" applyBorder="1" applyAlignment="1">
      <alignment horizontal="left" vertical="center" wrapText="1"/>
    </xf>
    <xf numFmtId="41" fontId="62" fillId="0" borderId="124" xfId="125" applyFont="1" applyFill="1" applyBorder="1" applyAlignment="1">
      <alignment horizontal="center" vertical="center" wrapText="1"/>
    </xf>
    <xf numFmtId="41" fontId="62" fillId="37" borderId="124" xfId="125" applyFont="1" applyFill="1" applyBorder="1" applyAlignment="1">
      <alignment horizontal="center" vertical="center" wrapText="1"/>
    </xf>
    <xf numFmtId="41" fontId="61" fillId="0" borderId="0" xfId="125" applyFont="1" applyBorder="1" applyAlignment="1">
      <alignment horizontal="left" vertical="center" wrapText="1"/>
    </xf>
    <xf numFmtId="41" fontId="62" fillId="0" borderId="57" xfId="125" applyFont="1" applyBorder="1" applyAlignment="1">
      <alignment horizontal="center" vertical="center" wrapText="1"/>
    </xf>
    <xf numFmtId="41" fontId="62" fillId="0" borderId="54" xfId="125" applyFont="1" applyBorder="1" applyAlignment="1">
      <alignment horizontal="center" vertical="center" wrapText="1"/>
    </xf>
    <xf numFmtId="41" fontId="68" fillId="0" borderId="0" xfId="125" applyFont="1" applyAlignment="1">
      <alignment horizontal="center" vertical="center" wrapText="1"/>
    </xf>
    <xf numFmtId="41" fontId="61" fillId="0" borderId="104" xfId="125" applyFont="1" applyBorder="1" applyAlignment="1">
      <alignment horizontal="center" vertical="center" wrapText="1"/>
    </xf>
    <xf numFmtId="41" fontId="61" fillId="0" borderId="61" xfId="125" applyFont="1" applyBorder="1" applyAlignment="1">
      <alignment horizontal="center" vertical="center" wrapText="1"/>
    </xf>
    <xf numFmtId="41" fontId="61" fillId="0" borderId="65" xfId="125" applyFont="1" applyBorder="1" applyAlignment="1">
      <alignment horizontal="center" vertical="center" wrapText="1"/>
    </xf>
    <xf numFmtId="41" fontId="62" fillId="0" borderId="33" xfId="125" applyFont="1" applyBorder="1" applyAlignment="1">
      <alignment horizontal="center" vertical="center" wrapText="1"/>
    </xf>
    <xf numFmtId="41" fontId="62" fillId="0" borderId="73" xfId="125" applyFont="1" applyBorder="1" applyAlignment="1">
      <alignment horizontal="center" vertical="center" wrapText="1"/>
    </xf>
    <xf numFmtId="41" fontId="61" fillId="0" borderId="62" xfId="125" applyFont="1" applyBorder="1" applyAlignment="1">
      <alignment horizontal="center" vertical="center" wrapText="1"/>
    </xf>
    <xf numFmtId="41" fontId="62" fillId="0" borderId="93" xfId="125" applyFont="1" applyBorder="1" applyAlignment="1">
      <alignment horizontal="center" vertical="center" wrapText="1"/>
    </xf>
    <xf numFmtId="41" fontId="62" fillId="0" borderId="91" xfId="125" applyFont="1" applyBorder="1" applyAlignment="1">
      <alignment horizontal="center" vertical="center" wrapText="1"/>
    </xf>
    <xf numFmtId="41" fontId="62" fillId="0" borderId="105" xfId="125" applyFont="1" applyBorder="1" applyAlignment="1">
      <alignment horizontal="center" vertical="center" wrapText="1"/>
    </xf>
    <xf numFmtId="41" fontId="67" fillId="0" borderId="0" xfId="125" applyFont="1" applyBorder="1" applyAlignment="1">
      <alignment horizontal="left" vertical="center" wrapText="1"/>
    </xf>
    <xf numFmtId="41" fontId="61" fillId="0" borderId="74" xfId="125" applyFont="1" applyBorder="1" applyAlignment="1">
      <alignment horizontal="left" vertical="center"/>
    </xf>
    <xf numFmtId="0" fontId="63" fillId="0" borderId="47" xfId="0" applyFont="1" applyBorder="1" applyAlignment="1">
      <alignment horizontal="center" vertical="center" wrapText="1"/>
    </xf>
    <xf numFmtId="0" fontId="63" fillId="0" borderId="74" xfId="0" applyFont="1" applyBorder="1" applyAlignment="1">
      <alignment horizontal="center" vertical="center" wrapText="1"/>
    </xf>
    <xf numFmtId="0" fontId="63" fillId="0" borderId="80" xfId="0" applyFont="1" applyBorder="1" applyAlignment="1">
      <alignment horizontal="center" vertical="center" wrapText="1"/>
    </xf>
    <xf numFmtId="0" fontId="61" fillId="0" borderId="47" xfId="0" applyFont="1" applyBorder="1" applyAlignment="1">
      <alignment horizontal="center" vertical="center" wrapText="1"/>
    </xf>
    <xf numFmtId="0" fontId="61" fillId="0" borderId="68" xfId="0" applyFont="1" applyBorder="1" applyAlignment="1">
      <alignment horizontal="center" vertical="center" wrapText="1"/>
    </xf>
    <xf numFmtId="0" fontId="63" fillId="0" borderId="82" xfId="0" applyFont="1" applyBorder="1" applyAlignment="1">
      <alignment horizontal="center" vertical="center" wrapText="1"/>
    </xf>
    <xf numFmtId="0" fontId="63" fillId="0" borderId="81" xfId="0" applyFont="1" applyBorder="1" applyAlignment="1">
      <alignment horizontal="center" vertical="center" wrapText="1"/>
    </xf>
    <xf numFmtId="0" fontId="62" fillId="37" borderId="0" xfId="0" applyFont="1" applyFill="1" applyAlignment="1">
      <alignment horizontal="center" vertical="center" wrapText="1"/>
    </xf>
    <xf numFmtId="0" fontId="61" fillId="0" borderId="54" xfId="0" applyFont="1" applyBorder="1" applyAlignment="1">
      <alignment horizontal="center" vertical="center" wrapText="1"/>
    </xf>
    <xf numFmtId="0" fontId="68" fillId="0" borderId="0" xfId="0" applyFont="1" applyAlignment="1">
      <alignment horizontal="center" vertical="center" wrapText="1"/>
    </xf>
    <xf numFmtId="0" fontId="71" fillId="0" borderId="82" xfId="190" applyFont="1" applyBorder="1" applyAlignment="1">
      <alignment horizontal="center" vertical="center" wrapText="1"/>
    </xf>
    <xf numFmtId="0" fontId="71" fillId="0" borderId="74" xfId="190" applyFont="1" applyBorder="1" applyAlignment="1">
      <alignment horizontal="center" vertical="center" wrapText="1"/>
    </xf>
    <xf numFmtId="0" fontId="71" fillId="0" borderId="80" xfId="190" applyFont="1" applyBorder="1" applyAlignment="1">
      <alignment horizontal="center" vertical="center" wrapText="1"/>
    </xf>
    <xf numFmtId="0" fontId="69" fillId="0" borderId="64" xfId="190" applyFont="1" applyBorder="1" applyAlignment="1">
      <alignment horizontal="center" vertical="center" wrapText="1"/>
    </xf>
    <xf numFmtId="0" fontId="69" fillId="0" borderId="51" xfId="190" applyFont="1" applyBorder="1" applyAlignment="1">
      <alignment horizontal="center" vertical="center" wrapText="1"/>
    </xf>
    <xf numFmtId="0" fontId="69" fillId="0" borderId="68" xfId="190" applyFont="1" applyBorder="1" applyAlignment="1">
      <alignment horizontal="center" vertical="center" wrapText="1"/>
    </xf>
    <xf numFmtId="0" fontId="71" fillId="0" borderId="47" xfId="190" applyFont="1" applyBorder="1" applyAlignment="1">
      <alignment horizontal="center" vertical="center" wrapText="1"/>
    </xf>
    <xf numFmtId="0" fontId="73" fillId="0" borderId="47" xfId="190" applyFont="1" applyBorder="1" applyAlignment="1">
      <alignment horizontal="center" vertical="center" wrapText="1"/>
    </xf>
    <xf numFmtId="49" fontId="62" fillId="0" borderId="67" xfId="0" applyNumberFormat="1" applyFont="1" applyBorder="1" applyAlignment="1">
      <alignment horizontal="center" vertical="center" wrapText="1"/>
    </xf>
    <xf numFmtId="49" fontId="62" fillId="0" borderId="84" xfId="0" applyNumberFormat="1" applyFont="1" applyBorder="1" applyAlignment="1">
      <alignment horizontal="center" vertical="center" wrapText="1"/>
    </xf>
    <xf numFmtId="49" fontId="62" fillId="0" borderId="78" xfId="0" applyNumberFormat="1" applyFont="1" applyBorder="1" applyAlignment="1">
      <alignment horizontal="center" vertical="center" wrapText="1"/>
    </xf>
    <xf numFmtId="49" fontId="61" fillId="0" borderId="49" xfId="0" applyNumberFormat="1" applyFont="1" applyBorder="1" applyAlignment="1">
      <alignment horizontal="center" vertical="center" wrapText="1"/>
    </xf>
    <xf numFmtId="49" fontId="61" fillId="0" borderId="47" xfId="0" applyNumberFormat="1" applyFont="1" applyBorder="1" applyAlignment="1">
      <alignment horizontal="center" vertical="center" wrapText="1"/>
    </xf>
    <xf numFmtId="0" fontId="73" fillId="0" borderId="121" xfId="190" applyFont="1" applyBorder="1" applyAlignment="1">
      <alignment horizontal="center" vertical="center" wrapText="1"/>
    </xf>
    <xf numFmtId="0" fontId="73" fillId="0" borderId="122" xfId="190" applyFont="1" applyBorder="1" applyAlignment="1">
      <alignment horizontal="center" vertical="center" wrapText="1"/>
    </xf>
    <xf numFmtId="0" fontId="71" fillId="37" borderId="106" xfId="190" applyFont="1" applyFill="1" applyBorder="1" applyAlignment="1">
      <alignment horizontal="center" vertical="center" wrapText="1"/>
    </xf>
    <xf numFmtId="0" fontId="71" fillId="0" borderId="67" xfId="190" applyFont="1" applyBorder="1" applyAlignment="1">
      <alignment horizontal="center" vertical="center" wrapText="1"/>
    </xf>
    <xf numFmtId="0" fontId="71" fillId="0" borderId="78" xfId="190" applyFont="1" applyBorder="1" applyAlignment="1">
      <alignment horizontal="center" vertical="center" wrapText="1"/>
    </xf>
    <xf numFmtId="0" fontId="71" fillId="0" borderId="84" xfId="190" applyFont="1" applyBorder="1" applyAlignment="1">
      <alignment horizontal="center" vertical="center" wrapText="1"/>
    </xf>
    <xf numFmtId="0" fontId="73" fillId="0" borderId="68" xfId="190" applyFont="1" applyBorder="1" applyAlignment="1">
      <alignment horizontal="center" vertical="center" wrapText="1"/>
    </xf>
    <xf numFmtId="0" fontId="73" fillId="0" borderId="51" xfId="190" applyFont="1" applyBorder="1" applyAlignment="1">
      <alignment horizontal="center" vertical="center" wrapText="1"/>
    </xf>
    <xf numFmtId="0" fontId="73" fillId="0" borderId="64" xfId="190" applyFont="1" applyBorder="1" applyAlignment="1">
      <alignment horizontal="center" vertical="center" wrapText="1"/>
    </xf>
    <xf numFmtId="49" fontId="74" fillId="0" borderId="138" xfId="0" applyNumberFormat="1" applyFont="1" applyBorder="1" applyAlignment="1">
      <alignment horizontal="center" vertical="center" wrapText="1"/>
    </xf>
    <xf numFmtId="49" fontId="74" fillId="0" borderId="17" xfId="0" applyNumberFormat="1" applyFont="1" applyBorder="1" applyAlignment="1">
      <alignment horizontal="center" vertical="center" wrapText="1"/>
    </xf>
    <xf numFmtId="49" fontId="74" fillId="0" borderId="139" xfId="0" applyNumberFormat="1" applyFont="1" applyBorder="1" applyAlignment="1">
      <alignment horizontal="center" vertical="center" wrapText="1"/>
    </xf>
    <xf numFmtId="49" fontId="74" fillId="0" borderId="49" xfId="0" applyNumberFormat="1" applyFont="1" applyBorder="1" applyAlignment="1">
      <alignment horizontal="center" vertical="center" wrapText="1"/>
    </xf>
    <xf numFmtId="49" fontId="74" fillId="0" borderId="47" xfId="0" applyNumberFormat="1" applyFont="1" applyBorder="1" applyAlignment="1">
      <alignment horizontal="center" vertical="center" wrapText="1"/>
    </xf>
    <xf numFmtId="49" fontId="62" fillId="0" borderId="49" xfId="0" applyNumberFormat="1" applyFont="1" applyBorder="1" applyAlignment="1">
      <alignment horizontal="center" vertical="center" wrapText="1"/>
    </xf>
    <xf numFmtId="49" fontId="62" fillId="0" borderId="47" xfId="0" applyNumberFormat="1" applyFont="1" applyBorder="1" applyAlignment="1">
      <alignment horizontal="center" vertical="center" wrapText="1"/>
    </xf>
    <xf numFmtId="0" fontId="72" fillId="0" borderId="84" xfId="190" applyFont="1" applyBorder="1" applyAlignment="1">
      <alignment horizontal="center" vertical="center" wrapText="1"/>
    </xf>
    <xf numFmtId="0" fontId="72" fillId="0" borderId="78" xfId="190" applyFont="1" applyBorder="1" applyAlignment="1">
      <alignment horizontal="center" vertical="center" wrapText="1"/>
    </xf>
    <xf numFmtId="0" fontId="69" fillId="0" borderId="79" xfId="190" applyFont="1" applyBorder="1" applyAlignment="1">
      <alignment horizontal="center" vertical="center" wrapText="1"/>
    </xf>
    <xf numFmtId="41" fontId="62" fillId="0" borderId="68" xfId="125" applyFont="1" applyBorder="1" applyAlignment="1">
      <alignment horizontal="center" vertical="center" wrapText="1"/>
    </xf>
    <xf numFmtId="41" fontId="62" fillId="0" borderId="51" xfId="125" applyFont="1" applyBorder="1" applyAlignment="1">
      <alignment horizontal="center" vertical="center" wrapText="1"/>
    </xf>
    <xf numFmtId="41" fontId="63" fillId="0" borderId="30" xfId="125" applyFont="1" applyFill="1" applyBorder="1" applyAlignment="1">
      <alignment horizontal="center" vertical="center" wrapText="1"/>
    </xf>
    <xf numFmtId="0" fontId="63" fillId="37" borderId="30" xfId="0" applyFont="1" applyFill="1" applyBorder="1" applyAlignment="1">
      <alignment horizontal="center" vertical="center" wrapText="1"/>
    </xf>
    <xf numFmtId="0" fontId="62" fillId="0" borderId="49" xfId="0" applyFont="1" applyBorder="1" applyAlignment="1">
      <alignment horizontal="center" vertical="center" wrapText="1"/>
    </xf>
    <xf numFmtId="0" fontId="62" fillId="0" borderId="55" xfId="0" applyFont="1" applyBorder="1" applyAlignment="1">
      <alignment horizontal="center" vertical="center" wrapText="1"/>
    </xf>
    <xf numFmtId="0" fontId="62" fillId="0" borderId="69" xfId="0" applyFont="1" applyBorder="1" applyAlignment="1">
      <alignment horizontal="center" vertical="center" wrapText="1"/>
    </xf>
    <xf numFmtId="0" fontId="61" fillId="0" borderId="49" xfId="0" applyFont="1" applyBorder="1" applyAlignment="1">
      <alignment horizontal="center" vertical="center" wrapText="1"/>
    </xf>
    <xf numFmtId="0" fontId="62" fillId="0" borderId="78" xfId="0" applyFont="1" applyBorder="1" applyAlignment="1">
      <alignment horizontal="center" vertical="center" wrapText="1"/>
    </xf>
    <xf numFmtId="0" fontId="59" fillId="0" borderId="0" xfId="0" applyFont="1" applyAlignment="1">
      <alignment horizontal="center" vertical="center" wrapText="1"/>
    </xf>
    <xf numFmtId="0" fontId="59" fillId="0" borderId="47" xfId="0" applyFont="1" applyBorder="1" applyAlignment="1">
      <alignment horizontal="center" vertical="center" wrapText="1"/>
    </xf>
    <xf numFmtId="0" fontId="59" fillId="0" borderId="68" xfId="0" applyFont="1" applyBorder="1" applyAlignment="1">
      <alignment horizontal="center" vertical="center" wrapText="1"/>
    </xf>
    <xf numFmtId="0" fontId="59" fillId="0" borderId="51" xfId="0" applyFont="1" applyBorder="1" applyAlignment="1">
      <alignment horizontal="center" vertical="center" wrapText="1"/>
    </xf>
    <xf numFmtId="0" fontId="62" fillId="0" borderId="84" xfId="0" applyFont="1" applyBorder="1" applyAlignment="1">
      <alignment horizontal="center" vertical="center" wrapText="1"/>
    </xf>
    <xf numFmtId="0" fontId="59" fillId="0" borderId="49" xfId="0" applyFont="1" applyBorder="1" applyAlignment="1">
      <alignment horizontal="center" vertical="center" wrapText="1"/>
    </xf>
    <xf numFmtId="0" fontId="61" fillId="0" borderId="0" xfId="0" applyFont="1" applyAlignment="1">
      <alignment horizontal="center" vertical="center" wrapText="1"/>
    </xf>
    <xf numFmtId="0" fontId="61" fillId="0" borderId="71" xfId="0" applyFont="1" applyBorder="1" applyAlignment="1">
      <alignment horizontal="center" vertical="center" wrapText="1"/>
    </xf>
    <xf numFmtId="0" fontId="61" fillId="0" borderId="70" xfId="0" applyFont="1" applyBorder="1" applyAlignment="1">
      <alignment horizontal="center" vertical="center" wrapText="1"/>
    </xf>
    <xf numFmtId="0" fontId="61" fillId="0" borderId="23"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157" xfId="0" applyFont="1" applyBorder="1" applyAlignment="1">
      <alignment horizontal="center" vertical="center" wrapText="1"/>
    </xf>
    <xf numFmtId="0" fontId="62" fillId="0" borderId="25" xfId="0" applyFont="1" applyBorder="1" applyAlignment="1">
      <alignment horizontal="center" vertical="center" wrapText="1"/>
    </xf>
    <xf numFmtId="0" fontId="61" fillId="0" borderId="58" xfId="0" applyFont="1" applyBorder="1" applyAlignment="1">
      <alignment horizontal="center" vertical="center" wrapText="1"/>
    </xf>
    <xf numFmtId="0" fontId="61" fillId="0" borderId="104" xfId="0" applyFont="1" applyBorder="1" applyAlignment="1">
      <alignment horizontal="center" vertical="center" wrapText="1"/>
    </xf>
    <xf numFmtId="0" fontId="63" fillId="37" borderId="124" xfId="0" applyFont="1" applyFill="1" applyBorder="1" applyAlignment="1">
      <alignment horizontal="center" vertical="center" wrapText="1"/>
    </xf>
    <xf numFmtId="0" fontId="62" fillId="0" borderId="154" xfId="0" applyFont="1" applyBorder="1" applyAlignment="1">
      <alignment horizontal="center" vertical="center" wrapText="1"/>
    </xf>
    <xf numFmtId="0" fontId="61" fillId="0" borderId="87" xfId="0" applyFont="1" applyBorder="1" applyAlignment="1">
      <alignment horizontal="center" vertical="center" wrapText="1"/>
    </xf>
    <xf numFmtId="0" fontId="61" fillId="0" borderId="58" xfId="0" applyFont="1" applyBorder="1" applyAlignment="1">
      <alignment horizontal="center" vertical="top" wrapText="1"/>
    </xf>
    <xf numFmtId="0" fontId="61" fillId="0" borderId="64" xfId="0" applyFont="1" applyBorder="1" applyAlignment="1">
      <alignment horizontal="center" vertical="top" wrapText="1"/>
    </xf>
    <xf numFmtId="0" fontId="61" fillId="0" borderId="104" xfId="0" applyFont="1" applyBorder="1" applyAlignment="1">
      <alignment horizontal="center" vertical="top" wrapText="1"/>
    </xf>
    <xf numFmtId="49" fontId="62" fillId="0" borderId="30" xfId="183" applyNumberFormat="1" applyFont="1" applyBorder="1" applyAlignment="1">
      <alignment horizontal="center" vertical="center" wrapText="1"/>
    </xf>
    <xf numFmtId="49" fontId="80" fillId="0" borderId="19" xfId="183" applyNumberFormat="1" applyFont="1" applyBorder="1" applyAlignment="1">
      <alignment horizontal="left" vertical="center" wrapText="1"/>
    </xf>
    <xf numFmtId="0" fontId="67" fillId="0" borderId="19" xfId="0" applyFont="1" applyBorder="1" applyAlignment="1">
      <alignment horizontal="left" vertical="center"/>
    </xf>
    <xf numFmtId="49" fontId="61" fillId="0" borderId="18" xfId="175" applyNumberFormat="1" applyFont="1" applyBorder="1" applyAlignment="1">
      <alignment horizontal="center" vertical="center" wrapText="1"/>
    </xf>
    <xf numFmtId="49" fontId="61" fillId="0" borderId="4" xfId="175" applyNumberFormat="1" applyFont="1" applyBorder="1" applyAlignment="1">
      <alignment horizontal="center" vertical="center" wrapText="1"/>
    </xf>
    <xf numFmtId="49" fontId="61" fillId="0" borderId="17" xfId="175" applyNumberFormat="1" applyFont="1" applyBorder="1" applyAlignment="1">
      <alignment horizontal="center" vertical="center" wrapText="1"/>
    </xf>
    <xf numFmtId="49" fontId="74" fillId="0" borderId="1" xfId="183" applyNumberFormat="1" applyFont="1" applyBorder="1" applyAlignment="1">
      <alignment horizontal="center" vertical="center" wrapText="1"/>
    </xf>
    <xf numFmtId="49" fontId="62" fillId="0" borderId="32" xfId="183" applyNumberFormat="1" applyFont="1" applyBorder="1" applyAlignment="1">
      <alignment horizontal="center" vertical="center" wrapText="1"/>
    </xf>
    <xf numFmtId="49" fontId="78" fillId="0" borderId="18" xfId="183" applyNumberFormat="1" applyFont="1" applyBorder="1" applyAlignment="1">
      <alignment horizontal="center" vertical="center" wrapText="1"/>
    </xf>
    <xf numFmtId="49" fontId="78" fillId="0" borderId="4" xfId="183" applyNumberFormat="1" applyFont="1" applyBorder="1" applyAlignment="1">
      <alignment horizontal="center" vertical="center" wrapText="1"/>
    </xf>
    <xf numFmtId="49" fontId="61" fillId="0" borderId="18" xfId="183" applyNumberFormat="1" applyFont="1" applyBorder="1" applyAlignment="1">
      <alignment horizontal="center" vertical="center" wrapText="1"/>
    </xf>
    <xf numFmtId="49" fontId="61" fillId="0" borderId="4" xfId="183" applyNumberFormat="1" applyFont="1" applyBorder="1" applyAlignment="1">
      <alignment horizontal="center" vertical="center" wrapText="1"/>
    </xf>
    <xf numFmtId="49" fontId="77" fillId="0" borderId="1" xfId="183" applyNumberFormat="1" applyFont="1" applyBorder="1" applyAlignment="1">
      <alignment horizontal="center" vertical="center" wrapText="1"/>
    </xf>
    <xf numFmtId="49" fontId="62" fillId="0" borderId="26" xfId="183" applyNumberFormat="1" applyFont="1" applyBorder="1" applyAlignment="1">
      <alignment horizontal="center" vertical="center" wrapText="1"/>
    </xf>
    <xf numFmtId="49" fontId="62" fillId="0" borderId="29" xfId="183" applyNumberFormat="1" applyFont="1" applyBorder="1" applyAlignment="1">
      <alignment horizontal="center" vertical="center" wrapText="1"/>
    </xf>
    <xf numFmtId="49" fontId="62" fillId="0" borderId="31" xfId="183" applyNumberFormat="1" applyFont="1" applyBorder="1" applyAlignment="1">
      <alignment horizontal="center" vertical="center" wrapText="1"/>
    </xf>
    <xf numFmtId="0" fontId="64" fillId="0" borderId="26" xfId="0" applyFont="1" applyBorder="1" applyAlignment="1">
      <alignment horizontal="center" vertical="center" wrapText="1"/>
    </xf>
    <xf numFmtId="49" fontId="61" fillId="0" borderId="1" xfId="183" applyNumberFormat="1" applyFont="1" applyBorder="1" applyAlignment="1">
      <alignment horizontal="center" vertical="center" wrapText="1"/>
    </xf>
    <xf numFmtId="49" fontId="61" fillId="0" borderId="17" xfId="183" applyNumberFormat="1" applyFont="1" applyBorder="1" applyAlignment="1">
      <alignment horizontal="center" vertical="center" wrapText="1"/>
    </xf>
    <xf numFmtId="0" fontId="61" fillId="0" borderId="28" xfId="0" applyFont="1" applyBorder="1" applyAlignment="1">
      <alignment horizontal="left" vertical="center" wrapText="1"/>
    </xf>
    <xf numFmtId="0" fontId="61" fillId="0" borderId="28" xfId="0" applyFont="1" applyBorder="1" applyAlignment="1">
      <alignment horizontal="right" vertical="center" wrapText="1"/>
    </xf>
    <xf numFmtId="49" fontId="83" fillId="0" borderId="30" xfId="183" applyNumberFormat="1" applyFont="1" applyBorder="1" applyAlignment="1">
      <alignment horizontal="center" vertical="center" wrapText="1"/>
    </xf>
    <xf numFmtId="0" fontId="83" fillId="0" borderId="30" xfId="0" applyFont="1" applyBorder="1" applyAlignment="1">
      <alignment horizontal="center" vertical="center"/>
    </xf>
    <xf numFmtId="49" fontId="80" fillId="0" borderId="0" xfId="183" applyNumberFormat="1" applyFont="1" applyAlignment="1">
      <alignment horizontal="left" vertical="center" wrapText="1"/>
    </xf>
    <xf numFmtId="49" fontId="83" fillId="0" borderId="32" xfId="183" applyNumberFormat="1" applyFont="1" applyBorder="1" applyAlignment="1">
      <alignment horizontal="center" vertical="center" wrapText="1"/>
    </xf>
    <xf numFmtId="49" fontId="67" fillId="0" borderId="18" xfId="177" applyNumberFormat="1" applyFont="1" applyBorder="1" applyAlignment="1">
      <alignment horizontal="center" vertical="center" wrapText="1"/>
    </xf>
    <xf numFmtId="49" fontId="67" fillId="0" borderId="4" xfId="177" applyNumberFormat="1" applyFont="1" applyBorder="1" applyAlignment="1">
      <alignment horizontal="center" vertical="center" wrapText="1"/>
    </xf>
    <xf numFmtId="49" fontId="61" fillId="0" borderId="18" xfId="177" applyNumberFormat="1" applyFont="1" applyBorder="1" applyAlignment="1">
      <alignment horizontal="center" vertical="center" wrapText="1"/>
    </xf>
    <xf numFmtId="49" fontId="61" fillId="0" borderId="4" xfId="177" applyNumberFormat="1" applyFont="1" applyBorder="1" applyAlignment="1">
      <alignment horizontal="center" vertical="center" wrapText="1"/>
    </xf>
    <xf numFmtId="49" fontId="61" fillId="0" borderId="17" xfId="177" applyNumberFormat="1" applyFont="1" applyBorder="1" applyAlignment="1">
      <alignment horizontal="center" vertical="center" wrapText="1"/>
    </xf>
    <xf numFmtId="49" fontId="86" fillId="0" borderId="1" xfId="183" applyNumberFormat="1" applyFont="1" applyBorder="1" applyAlignment="1">
      <alignment horizontal="center" vertical="center" wrapText="1"/>
    </xf>
    <xf numFmtId="49" fontId="83" fillId="0" borderId="143" xfId="183" applyNumberFormat="1" applyFont="1" applyBorder="1" applyAlignment="1">
      <alignment horizontal="center" vertical="center" wrapText="1"/>
    </xf>
    <xf numFmtId="49" fontId="83" fillId="0" borderId="152" xfId="183" applyNumberFormat="1" applyFont="1" applyBorder="1" applyAlignment="1">
      <alignment horizontal="center" vertical="center" wrapText="1"/>
    </xf>
    <xf numFmtId="49" fontId="83" fillId="0" borderId="18" xfId="183" applyNumberFormat="1" applyFont="1" applyBorder="1" applyAlignment="1">
      <alignment horizontal="center" vertical="center" wrapText="1"/>
    </xf>
    <xf numFmtId="49" fontId="83" fillId="0" borderId="4" xfId="183" applyNumberFormat="1" applyFont="1" applyBorder="1" applyAlignment="1">
      <alignment horizontal="center" vertical="center" wrapText="1"/>
    </xf>
    <xf numFmtId="0" fontId="81" fillId="0" borderId="0" xfId="0" applyFont="1" applyAlignment="1">
      <alignment horizontal="center" vertical="center" wrapText="1"/>
    </xf>
    <xf numFmtId="0" fontId="81" fillId="0" borderId="0" xfId="0" applyFont="1" applyAlignment="1">
      <alignment horizontal="center" vertical="center"/>
    </xf>
    <xf numFmtId="0" fontId="79" fillId="0" borderId="0" xfId="0" applyFont="1" applyAlignment="1">
      <alignment horizontal="left" vertical="center" wrapText="1"/>
    </xf>
    <xf numFmtId="49" fontId="59" fillId="0" borderId="0" xfId="0" applyNumberFormat="1" applyFont="1" applyAlignment="1">
      <alignment horizontal="right" vertical="center" wrapText="1"/>
    </xf>
    <xf numFmtId="49" fontId="83" fillId="0" borderId="26" xfId="183" applyNumberFormat="1" applyFont="1" applyBorder="1" applyAlignment="1">
      <alignment horizontal="center" vertical="center" wrapText="1"/>
    </xf>
    <xf numFmtId="49" fontId="83" fillId="0" borderId="29" xfId="183" applyNumberFormat="1" applyFont="1" applyBorder="1" applyAlignment="1">
      <alignment horizontal="center" vertical="center" wrapText="1"/>
    </xf>
    <xf numFmtId="49" fontId="83" fillId="0" borderId="31" xfId="183" applyNumberFormat="1" applyFont="1" applyBorder="1" applyAlignment="1">
      <alignment horizontal="center" vertical="center" wrapText="1"/>
    </xf>
    <xf numFmtId="0" fontId="84" fillId="0" borderId="29" xfId="0" applyFont="1" applyBorder="1" applyAlignment="1">
      <alignment horizontal="center" vertical="center" wrapText="1"/>
    </xf>
    <xf numFmtId="49" fontId="80" fillId="0" borderId="1" xfId="183" applyNumberFormat="1" applyFont="1" applyBorder="1" applyAlignment="1">
      <alignment horizontal="center" vertical="center" wrapText="1"/>
    </xf>
    <xf numFmtId="49" fontId="61" fillId="0" borderId="1" xfId="176" applyNumberFormat="1" applyFont="1" applyBorder="1" applyAlignment="1">
      <alignment horizontal="center" vertical="center" wrapText="1"/>
    </xf>
    <xf numFmtId="49" fontId="61" fillId="0" borderId="18" xfId="176" applyNumberFormat="1" applyFont="1" applyBorder="1" applyAlignment="1">
      <alignment horizontal="center" vertical="center" wrapText="1"/>
    </xf>
    <xf numFmtId="49" fontId="61" fillId="0" borderId="17" xfId="176" applyNumberFormat="1" applyFont="1" applyBorder="1" applyAlignment="1">
      <alignment horizontal="center" vertical="center" wrapText="1"/>
    </xf>
    <xf numFmtId="49" fontId="61" fillId="0" borderId="4" xfId="176" applyNumberFormat="1" applyFont="1" applyBorder="1" applyAlignment="1">
      <alignment horizontal="center" vertical="center" wrapText="1"/>
    </xf>
    <xf numFmtId="49" fontId="113" fillId="0" borderId="30" xfId="183" applyNumberFormat="1" applyFont="1" applyBorder="1" applyAlignment="1">
      <alignment horizontal="center" vertical="center" wrapText="1"/>
    </xf>
    <xf numFmtId="0" fontId="113" fillId="0" borderId="30" xfId="0" applyFont="1" applyBorder="1" applyAlignment="1">
      <alignment horizontal="center" vertical="center"/>
    </xf>
    <xf numFmtId="49" fontId="112" fillId="0" borderId="157" xfId="183" applyNumberFormat="1" applyFont="1" applyBorder="1" applyAlignment="1">
      <alignment horizontal="left" vertical="center" wrapText="1"/>
    </xf>
    <xf numFmtId="49" fontId="112" fillId="0" borderId="0" xfId="183" applyNumberFormat="1" applyFont="1" applyAlignment="1">
      <alignment horizontal="left" vertical="center" wrapText="1"/>
    </xf>
    <xf numFmtId="0" fontId="119" fillId="0" borderId="157" xfId="0" applyFont="1" applyBorder="1" applyAlignment="1">
      <alignment horizontal="left" vertical="center" wrapText="1"/>
    </xf>
    <xf numFmtId="0" fontId="119" fillId="0" borderId="157" xfId="0" applyFont="1" applyBorder="1" applyAlignment="1">
      <alignment horizontal="left" vertical="center"/>
    </xf>
    <xf numFmtId="0" fontId="119" fillId="0" borderId="0" xfId="0" applyFont="1" applyAlignment="1">
      <alignment horizontal="left" vertical="center"/>
    </xf>
    <xf numFmtId="49" fontId="114" fillId="0" borderId="18" xfId="177" applyNumberFormat="1" applyFont="1" applyBorder="1" applyAlignment="1">
      <alignment horizontal="center" vertical="center" wrapText="1"/>
    </xf>
    <xf numFmtId="49" fontId="114" fillId="0" borderId="17" xfId="177" applyNumberFormat="1" applyFont="1" applyBorder="1" applyAlignment="1">
      <alignment horizontal="center" vertical="center" wrapText="1"/>
    </xf>
    <xf numFmtId="49" fontId="117" fillId="0" borderId="18" xfId="177" applyNumberFormat="1" applyFont="1" applyBorder="1" applyAlignment="1">
      <alignment horizontal="center" vertical="center" wrapText="1"/>
    </xf>
    <xf numFmtId="49" fontId="117" fillId="0" borderId="4" xfId="177" applyNumberFormat="1" applyFont="1" applyBorder="1" applyAlignment="1">
      <alignment horizontal="center" vertical="center" wrapText="1"/>
    </xf>
    <xf numFmtId="49" fontId="114" fillId="0" borderId="4" xfId="177" applyNumberFormat="1" applyFont="1" applyBorder="1" applyAlignment="1">
      <alignment horizontal="center" vertical="center" wrapText="1"/>
    </xf>
    <xf numFmtId="49" fontId="113" fillId="0" borderId="32" xfId="183" applyNumberFormat="1" applyFont="1" applyBorder="1" applyAlignment="1">
      <alignment horizontal="center" vertical="center" wrapText="1"/>
    </xf>
    <xf numFmtId="49" fontId="113" fillId="0" borderId="26" xfId="183" applyNumberFormat="1" applyFont="1" applyBorder="1" applyAlignment="1">
      <alignment horizontal="center" vertical="center" wrapText="1"/>
    </xf>
    <xf numFmtId="49" fontId="113" fillId="0" borderId="29" xfId="183" applyNumberFormat="1" applyFont="1" applyBorder="1" applyAlignment="1">
      <alignment horizontal="center" vertical="center" wrapText="1"/>
    </xf>
    <xf numFmtId="49" fontId="113" fillId="0" borderId="31" xfId="183" applyNumberFormat="1" applyFont="1" applyBorder="1" applyAlignment="1">
      <alignment horizontal="center" vertical="center" wrapText="1"/>
    </xf>
    <xf numFmtId="49" fontId="112" fillId="0" borderId="1" xfId="183" applyNumberFormat="1" applyFont="1" applyBorder="1" applyAlignment="1">
      <alignment horizontal="center" vertical="center" wrapText="1"/>
    </xf>
    <xf numFmtId="49" fontId="114" fillId="0" borderId="18" xfId="176" applyNumberFormat="1" applyFont="1" applyBorder="1" applyAlignment="1">
      <alignment horizontal="center" vertical="center" wrapText="1"/>
    </xf>
    <xf numFmtId="49" fontId="114" fillId="0" borderId="17" xfId="176" applyNumberFormat="1" applyFont="1" applyBorder="1" applyAlignment="1">
      <alignment horizontal="center" vertical="center" wrapText="1"/>
    </xf>
    <xf numFmtId="0" fontId="109" fillId="0" borderId="0" xfId="0" applyFont="1" applyAlignment="1">
      <alignment horizontal="center" vertical="center" wrapText="1"/>
    </xf>
    <xf numFmtId="0" fontId="110" fillId="0" borderId="0" xfId="0" applyFont="1" applyAlignment="1">
      <alignment horizontal="center" vertical="center"/>
    </xf>
    <xf numFmtId="0" fontId="111" fillId="0" borderId="0" xfId="0" applyFont="1" applyAlignment="1">
      <alignment horizontal="left" vertical="center" wrapText="1"/>
    </xf>
    <xf numFmtId="0" fontId="111" fillId="0" borderId="0" xfId="0" applyFont="1" applyAlignment="1">
      <alignment horizontal="right" vertical="center" wrapText="1"/>
    </xf>
    <xf numFmtId="0" fontId="118" fillId="0" borderId="74" xfId="0" applyFont="1" applyBorder="1" applyAlignment="1">
      <alignment horizontal="center" vertical="center" wrapText="1"/>
    </xf>
    <xf numFmtId="0" fontId="118" fillId="0" borderId="80" xfId="0" applyFont="1" applyBorder="1" applyAlignment="1">
      <alignment horizontal="center" vertical="center" wrapText="1"/>
    </xf>
    <xf numFmtId="0" fontId="118" fillId="0" borderId="82" xfId="0" applyFont="1" applyBorder="1" applyAlignment="1">
      <alignment horizontal="center" vertical="center" wrapText="1"/>
    </xf>
    <xf numFmtId="0" fontId="114" fillId="0" borderId="47" xfId="0" applyFont="1" applyBorder="1" applyAlignment="1">
      <alignment horizontal="center" vertical="center" wrapText="1"/>
    </xf>
    <xf numFmtId="0" fontId="18" fillId="0" borderId="47" xfId="0" applyFont="1" applyBorder="1" applyAlignment="1">
      <alignment horizontal="center" vertical="center" wrapText="1"/>
    </xf>
    <xf numFmtId="0" fontId="120" fillId="0" borderId="67" xfId="0" applyFont="1" applyBorder="1" applyAlignment="1">
      <alignment horizontal="center" vertical="center" wrapText="1"/>
    </xf>
    <xf numFmtId="0" fontId="120" fillId="0" borderId="78" xfId="0" applyFont="1" applyBorder="1" applyAlignment="1">
      <alignment horizontal="center" vertical="center" wrapText="1"/>
    </xf>
    <xf numFmtId="0" fontId="120" fillId="0" borderId="47" xfId="0" applyFont="1" applyBorder="1" applyAlignment="1">
      <alignment horizontal="center" vertical="center" wrapText="1"/>
    </xf>
    <xf numFmtId="0" fontId="121" fillId="0" borderId="67" xfId="0" applyFont="1" applyBorder="1" applyAlignment="1">
      <alignment horizontal="center" vertical="center" wrapText="1"/>
    </xf>
    <xf numFmtId="0" fontId="121" fillId="0" borderId="78" xfId="0" applyFont="1" applyBorder="1" applyAlignment="1">
      <alignment horizontal="center" vertical="center" wrapText="1"/>
    </xf>
    <xf numFmtId="0" fontId="114" fillId="0" borderId="49" xfId="0" applyFont="1" applyBorder="1" applyAlignment="1">
      <alignment horizontal="center" vertical="center" wrapText="1"/>
    </xf>
    <xf numFmtId="0" fontId="114" fillId="0" borderId="68" xfId="0" applyFont="1" applyBorder="1" applyAlignment="1">
      <alignment horizontal="center" vertical="center" wrapText="1"/>
    </xf>
    <xf numFmtId="0" fontId="114" fillId="0" borderId="64" xfId="0" applyFont="1" applyBorder="1" applyAlignment="1">
      <alignment horizontal="center" vertical="center" wrapText="1"/>
    </xf>
    <xf numFmtId="0" fontId="118" fillId="0" borderId="67" xfId="0" applyFont="1" applyBorder="1" applyAlignment="1">
      <alignment horizontal="center" vertical="center" wrapText="1"/>
    </xf>
    <xf numFmtId="0" fontId="118" fillId="0" borderId="84" xfId="0" applyFont="1" applyBorder="1" applyAlignment="1">
      <alignment horizontal="center" vertical="center" wrapText="1"/>
    </xf>
    <xf numFmtId="0" fontId="120" fillId="0" borderId="84" xfId="0" applyFont="1" applyBorder="1" applyAlignment="1">
      <alignment horizontal="center" vertical="center" wrapText="1"/>
    </xf>
    <xf numFmtId="0" fontId="114" fillId="0" borderId="51" xfId="0" applyFont="1" applyBorder="1" applyAlignment="1">
      <alignment horizontal="center" vertical="center" wrapText="1"/>
    </xf>
    <xf numFmtId="41" fontId="114" fillId="37" borderId="74" xfId="125" applyFont="1" applyFill="1" applyBorder="1" applyAlignment="1">
      <alignment horizontal="left" vertical="center" wrapText="1"/>
    </xf>
    <xf numFmtId="0" fontId="114" fillId="0" borderId="74" xfId="0" applyFont="1" applyBorder="1" applyAlignment="1">
      <alignment horizontal="left" vertical="center" wrapText="1"/>
    </xf>
    <xf numFmtId="41" fontId="114" fillId="37" borderId="0" xfId="125" applyFont="1" applyFill="1" applyBorder="1" applyAlignment="1">
      <alignment horizontal="left" vertical="center" wrapText="1"/>
    </xf>
    <xf numFmtId="0" fontId="114" fillId="0" borderId="0" xfId="0" applyFont="1" applyBorder="1" applyAlignment="1">
      <alignment horizontal="left" vertical="center" wrapText="1"/>
    </xf>
    <xf numFmtId="49" fontId="112" fillId="0" borderId="0" xfId="183" applyNumberFormat="1" applyFont="1" applyBorder="1" applyAlignment="1">
      <alignment horizontal="left" vertical="center" wrapText="1"/>
    </xf>
    <xf numFmtId="0" fontId="112" fillId="0" borderId="0" xfId="0" applyFont="1" applyBorder="1" applyAlignment="1">
      <alignment horizontal="left" vertical="center"/>
    </xf>
    <xf numFmtId="0" fontId="118" fillId="37" borderId="106" xfId="0" applyFont="1" applyFill="1" applyBorder="1" applyAlignment="1">
      <alignment horizontal="center" vertical="center" wrapText="1"/>
    </xf>
    <xf numFmtId="0" fontId="114" fillId="37" borderId="74" xfId="0" applyFont="1" applyFill="1" applyBorder="1" applyAlignment="1">
      <alignment horizontal="left" vertical="center" wrapText="1"/>
    </xf>
    <xf numFmtId="0" fontId="123" fillId="0" borderId="0" xfId="0" applyFont="1" applyAlignment="1">
      <alignment vertical="center" wrapText="1"/>
    </xf>
    <xf numFmtId="0" fontId="117" fillId="0" borderId="68" xfId="0" applyFont="1" applyBorder="1" applyAlignment="1">
      <alignment horizontal="center" vertical="center" wrapText="1"/>
    </xf>
    <xf numFmtId="0" fontId="117" fillId="0" borderId="51" xfId="0" applyFont="1" applyBorder="1" applyAlignment="1">
      <alignment horizontal="center" vertical="center" wrapText="1"/>
    </xf>
    <xf numFmtId="49" fontId="112" fillId="0" borderId="74" xfId="183" applyNumberFormat="1" applyFont="1" applyBorder="1" applyAlignment="1">
      <alignment horizontal="left" vertical="center" wrapText="1"/>
    </xf>
    <xf numFmtId="0" fontId="112" fillId="0" borderId="74" xfId="0" applyFont="1" applyBorder="1" applyAlignment="1">
      <alignment horizontal="left" vertical="center"/>
    </xf>
    <xf numFmtId="0" fontId="110" fillId="0" borderId="0" xfId="0" applyFont="1" applyAlignment="1">
      <alignment horizontal="center" vertical="center" wrapText="1"/>
    </xf>
    <xf numFmtId="0" fontId="18" fillId="0" borderId="0" xfId="0" applyFont="1" applyAlignment="1">
      <alignment horizontal="right" vertical="center" wrapText="1"/>
    </xf>
    <xf numFmtId="0" fontId="18" fillId="0" borderId="0" xfId="0" applyFont="1" applyAlignment="1">
      <alignment horizontal="left" vertical="center" wrapText="1"/>
    </xf>
    <xf numFmtId="0" fontId="118" fillId="0" borderId="47" xfId="0" applyFont="1" applyBorder="1" applyAlignment="1">
      <alignment horizontal="center" vertical="center" wrapText="1"/>
    </xf>
    <xf numFmtId="0" fontId="118" fillId="0" borderId="91" xfId="0" applyFont="1" applyBorder="1" applyAlignment="1">
      <alignment horizontal="center" vertical="center" wrapText="1"/>
    </xf>
    <xf numFmtId="0" fontId="114" fillId="0" borderId="0" xfId="0" applyFont="1" applyAlignment="1">
      <alignment horizontal="center" vertical="center" wrapText="1"/>
    </xf>
    <xf numFmtId="0" fontId="114" fillId="0" borderId="54" xfId="0" applyFont="1" applyBorder="1" applyAlignment="1">
      <alignment horizontal="center" vertical="center" wrapText="1"/>
    </xf>
    <xf numFmtId="0" fontId="114" fillId="0" borderId="62" xfId="0" applyFont="1" applyBorder="1" applyAlignment="1">
      <alignment horizontal="center" vertical="center" wrapText="1"/>
    </xf>
    <xf numFmtId="0" fontId="114" fillId="0" borderId="61" xfId="0" applyFont="1" applyBorder="1" applyAlignment="1">
      <alignment horizontal="center" vertical="center" wrapText="1"/>
    </xf>
    <xf numFmtId="0" fontId="114" fillId="0" borderId="58" xfId="0" applyFont="1" applyBorder="1" applyAlignment="1">
      <alignment horizontal="center" vertical="center" wrapText="1"/>
    </xf>
    <xf numFmtId="0" fontId="118" fillId="0" borderId="0" xfId="0" applyFont="1" applyAlignment="1">
      <alignment horizontal="center" vertical="center" wrapText="1"/>
    </xf>
    <xf numFmtId="0" fontId="118" fillId="0" borderId="49" xfId="0" applyFont="1" applyBorder="1" applyAlignment="1">
      <alignment horizontal="center" vertical="center" wrapText="1"/>
    </xf>
    <xf numFmtId="0" fontId="118" fillId="0" borderId="23" xfId="0" applyFont="1" applyBorder="1" applyAlignment="1">
      <alignment horizontal="center" vertical="center" wrapText="1"/>
    </xf>
    <xf numFmtId="0" fontId="112" fillId="0" borderId="111" xfId="0" applyFont="1" applyBorder="1" applyAlignment="1">
      <alignment horizontal="center" vertical="center" wrapText="1"/>
    </xf>
    <xf numFmtId="0" fontId="112" fillId="0" borderId="112" xfId="0" applyFont="1" applyBorder="1" applyAlignment="1">
      <alignment horizontal="center" vertical="center" wrapText="1"/>
    </xf>
    <xf numFmtId="0" fontId="112" fillId="0" borderId="113" xfId="0" applyFont="1" applyBorder="1" applyAlignment="1">
      <alignment horizontal="center" vertical="center" wrapText="1"/>
    </xf>
    <xf numFmtId="0" fontId="112" fillId="0" borderId="114" xfId="0" applyFont="1" applyBorder="1" applyAlignment="1">
      <alignment horizontal="center" vertical="center" wrapText="1"/>
    </xf>
    <xf numFmtId="0" fontId="114" fillId="0" borderId="107" xfId="0" applyFont="1" applyBorder="1" applyAlignment="1">
      <alignment horizontal="center" vertical="center" wrapText="1"/>
    </xf>
    <xf numFmtId="0" fontId="114" fillId="0" borderId="117" xfId="0" applyFont="1" applyBorder="1" applyAlignment="1">
      <alignment horizontal="center" vertical="center" wrapText="1"/>
    </xf>
    <xf numFmtId="0" fontId="114" fillId="0" borderId="118" xfId="0" applyFont="1" applyBorder="1" applyAlignment="1">
      <alignment horizontal="center" vertical="center" wrapText="1"/>
    </xf>
    <xf numFmtId="0" fontId="112" fillId="0" borderId="49" xfId="0" applyFont="1" applyBorder="1" applyAlignment="1">
      <alignment horizontal="center" vertical="center" wrapText="1"/>
    </xf>
    <xf numFmtId="0" fontId="112" fillId="0" borderId="123" xfId="0" applyFont="1" applyBorder="1" applyAlignment="1">
      <alignment horizontal="center" vertical="center" wrapText="1"/>
    </xf>
    <xf numFmtId="0" fontId="125" fillId="0" borderId="110" xfId="0" applyFont="1" applyBorder="1" applyAlignment="1">
      <alignment horizontal="center" vertical="center" wrapText="1"/>
    </xf>
    <xf numFmtId="0" fontId="125" fillId="0" borderId="115" xfId="0" applyFont="1" applyBorder="1" applyAlignment="1">
      <alignment horizontal="center" vertical="center" wrapText="1"/>
    </xf>
    <xf numFmtId="0" fontId="125" fillId="0" borderId="109" xfId="0" applyFont="1" applyBorder="1" applyAlignment="1">
      <alignment horizontal="center" vertical="center" wrapText="1"/>
    </xf>
    <xf numFmtId="0" fontId="118" fillId="0" borderId="78" xfId="0" applyFont="1" applyBorder="1" applyAlignment="1">
      <alignment horizontal="center" vertical="center" wrapText="1"/>
    </xf>
    <xf numFmtId="0" fontId="125" fillId="0" borderId="108" xfId="0" applyFont="1" applyBorder="1" applyAlignment="1">
      <alignment horizontal="center" vertical="center" wrapText="1"/>
    </xf>
    <xf numFmtId="0" fontId="18" fillId="0" borderId="0" xfId="0" applyFont="1" applyAlignment="1">
      <alignment horizontal="right" vertical="center"/>
    </xf>
    <xf numFmtId="0" fontId="118" fillId="0" borderId="55" xfId="0" applyFont="1" applyBorder="1" applyAlignment="1">
      <alignment horizontal="center" vertical="center" wrapText="1"/>
    </xf>
    <xf numFmtId="0" fontId="118" fillId="0" borderId="69" xfId="0" applyFont="1" applyBorder="1" applyAlignment="1">
      <alignment horizontal="center" vertical="center" wrapText="1"/>
    </xf>
    <xf numFmtId="41" fontId="114" fillId="0" borderId="68" xfId="125" applyFont="1" applyBorder="1" applyAlignment="1">
      <alignment horizontal="center" vertical="center" wrapText="1"/>
    </xf>
    <xf numFmtId="41" fontId="114" fillId="0" borderId="51" xfId="125" applyFont="1" applyBorder="1" applyAlignment="1">
      <alignment horizontal="center" vertical="center" wrapText="1"/>
    </xf>
    <xf numFmtId="41" fontId="114" fillId="0" borderId="64" xfId="125" applyFont="1" applyBorder="1" applyAlignment="1">
      <alignment horizontal="center" vertical="center" wrapText="1"/>
    </xf>
    <xf numFmtId="41" fontId="118" fillId="0" borderId="55" xfId="125" applyFont="1" applyBorder="1" applyAlignment="1">
      <alignment horizontal="center" vertical="center" wrapText="1"/>
    </xf>
    <xf numFmtId="41" fontId="118" fillId="0" borderId="157" xfId="125" applyFont="1" applyBorder="1" applyAlignment="1">
      <alignment horizontal="center" vertical="center" wrapText="1"/>
    </xf>
    <xf numFmtId="41" fontId="118" fillId="0" borderId="67" xfId="125" applyFont="1" applyBorder="1" applyAlignment="1">
      <alignment horizontal="center" vertical="center" wrapText="1"/>
    </xf>
    <xf numFmtId="41" fontId="118" fillId="0" borderId="78" xfId="125" applyFont="1" applyBorder="1" applyAlignment="1">
      <alignment horizontal="center" vertical="center" wrapText="1"/>
    </xf>
    <xf numFmtId="41" fontId="118" fillId="0" borderId="84" xfId="125" applyFont="1" applyBorder="1" applyAlignment="1">
      <alignment horizontal="center" vertical="center" wrapText="1"/>
    </xf>
    <xf numFmtId="41" fontId="118" fillId="0" borderId="69" xfId="125" applyFont="1" applyBorder="1" applyAlignment="1">
      <alignment horizontal="center" vertical="center" wrapText="1"/>
    </xf>
    <xf numFmtId="41" fontId="18" fillId="0" borderId="0" xfId="125" applyFont="1" applyAlignment="1">
      <alignment horizontal="left" vertical="center" wrapText="1"/>
    </xf>
    <xf numFmtId="41" fontId="18" fillId="0" borderId="0" xfId="125" applyFont="1" applyAlignment="1">
      <alignment horizontal="right" vertical="center" wrapText="1"/>
    </xf>
    <xf numFmtId="41" fontId="110" fillId="0" borderId="0" xfId="125" applyFont="1" applyAlignment="1">
      <alignment horizontal="center" vertical="center" wrapText="1"/>
    </xf>
    <xf numFmtId="41" fontId="126" fillId="0" borderId="0" xfId="125" applyFont="1" applyAlignment="1">
      <alignment horizontal="center" vertical="center" wrapText="1"/>
    </xf>
    <xf numFmtId="41" fontId="114" fillId="0" borderId="0" xfId="125" applyFont="1" applyBorder="1" applyAlignment="1">
      <alignment horizontal="left" vertical="center" wrapText="1"/>
    </xf>
    <xf numFmtId="41" fontId="114" fillId="0" borderId="0" xfId="125" applyFont="1" applyBorder="1" applyAlignment="1">
      <alignment horizontal="right" vertical="center" wrapText="1"/>
    </xf>
    <xf numFmtId="41" fontId="118" fillId="0" borderId="34" xfId="125" applyFont="1" applyBorder="1" applyAlignment="1">
      <alignment horizontal="center" vertical="center" wrapText="1"/>
    </xf>
    <xf numFmtId="41" fontId="114" fillId="0" borderId="0" xfId="125" applyFont="1" applyBorder="1" applyAlignment="1">
      <alignment horizontal="center" vertical="center" wrapText="1"/>
    </xf>
    <xf numFmtId="41" fontId="114" fillId="0" borderId="47" xfId="125" applyFont="1" applyBorder="1" applyAlignment="1">
      <alignment horizontal="center" vertical="center" wrapText="1"/>
    </xf>
    <xf numFmtId="41" fontId="114" fillId="0" borderId="49" xfId="125" applyFont="1" applyBorder="1" applyAlignment="1">
      <alignment horizontal="center" vertical="center" wrapText="1"/>
    </xf>
    <xf numFmtId="41" fontId="114" fillId="0" borderId="58" xfId="125" applyFont="1" applyBorder="1" applyAlignment="1">
      <alignment horizontal="center" vertical="center" wrapText="1"/>
    </xf>
    <xf numFmtId="41" fontId="118" fillId="0" borderId="66" xfId="125" applyFont="1" applyBorder="1" applyAlignment="1">
      <alignment horizontal="center" vertical="center" wrapText="1"/>
    </xf>
    <xf numFmtId="41" fontId="118" fillId="0" borderId="0" xfId="125" applyFont="1" applyAlignment="1">
      <alignment horizontal="center" vertical="center" wrapText="1"/>
    </xf>
    <xf numFmtId="41" fontId="118" fillId="0" borderId="47" xfId="125" applyFont="1" applyBorder="1" applyAlignment="1">
      <alignment horizontal="center" vertical="center" wrapText="1"/>
    </xf>
    <xf numFmtId="41" fontId="118" fillId="0" borderId="49" xfId="125" applyFont="1" applyBorder="1" applyAlignment="1">
      <alignment horizontal="center" vertical="center" wrapText="1"/>
    </xf>
    <xf numFmtId="49" fontId="114" fillId="0" borderId="68" xfId="181" applyNumberFormat="1" applyFont="1" applyBorder="1" applyAlignment="1">
      <alignment horizontal="center" vertical="center" wrapText="1"/>
    </xf>
    <xf numFmtId="49" fontId="114" fillId="0" borderId="64" xfId="181" applyNumberFormat="1" applyFont="1" applyBorder="1" applyAlignment="1">
      <alignment horizontal="center" vertical="center" wrapText="1"/>
    </xf>
    <xf numFmtId="41" fontId="118" fillId="0" borderId="67" xfId="125" applyFont="1" applyFill="1" applyBorder="1" applyAlignment="1">
      <alignment horizontal="center" vertical="center" wrapText="1"/>
    </xf>
    <xf numFmtId="41" fontId="118" fillId="0" borderId="78" xfId="125" applyFont="1" applyFill="1" applyBorder="1" applyAlignment="1">
      <alignment horizontal="center" vertical="center" wrapText="1"/>
    </xf>
    <xf numFmtId="41" fontId="114" fillId="0" borderId="0" xfId="125" applyFont="1" applyAlignment="1">
      <alignment horizontal="center" vertical="center" wrapText="1"/>
    </xf>
    <xf numFmtId="41" fontId="114" fillId="0" borderId="54" xfId="125" applyFont="1" applyBorder="1" applyAlignment="1">
      <alignment horizontal="center" vertical="center" wrapText="1"/>
    </xf>
    <xf numFmtId="41" fontId="114" fillId="0" borderId="0" xfId="125" applyFont="1" applyAlignment="1">
      <alignment horizontal="left" vertical="center" wrapText="1"/>
    </xf>
    <xf numFmtId="41" fontId="118" fillId="0" borderId="0" xfId="125" applyFont="1" applyFill="1" applyBorder="1" applyAlignment="1">
      <alignment horizontal="center" vertical="center" wrapText="1"/>
    </xf>
    <xf numFmtId="41" fontId="114" fillId="0" borderId="68" xfId="125" applyFont="1" applyFill="1" applyBorder="1" applyAlignment="1">
      <alignment horizontal="center" vertical="center" wrapText="1"/>
    </xf>
    <xf numFmtId="41" fontId="114" fillId="0" borderId="51" xfId="125" applyFont="1" applyFill="1" applyBorder="1" applyAlignment="1">
      <alignment horizontal="center" vertical="center" wrapText="1"/>
    </xf>
    <xf numFmtId="41" fontId="90" fillId="0" borderId="55" xfId="125" applyFont="1" applyFill="1" applyBorder="1" applyAlignment="1">
      <alignment horizontal="center" vertical="center" wrapText="1"/>
    </xf>
    <xf numFmtId="41" fontId="61" fillId="0" borderId="49" xfId="125" applyFont="1" applyFill="1" applyBorder="1" applyAlignment="1">
      <alignment horizontal="center" vertical="center" wrapText="1"/>
    </xf>
    <xf numFmtId="41" fontId="61" fillId="0" borderId="0" xfId="125" applyFont="1" applyFill="1" applyBorder="1" applyAlignment="1">
      <alignment horizontal="center" vertical="center" wrapText="1"/>
    </xf>
    <xf numFmtId="41" fontId="62" fillId="0" borderId="0" xfId="125" applyFont="1" applyAlignment="1">
      <alignment horizontal="center" vertical="center" wrapText="1"/>
    </xf>
    <xf numFmtId="49" fontId="63" fillId="0" borderId="103" xfId="0" applyNumberFormat="1" applyFont="1" applyBorder="1" applyAlignment="1">
      <alignment horizontal="center" vertical="center" wrapText="1"/>
    </xf>
    <xf numFmtId="49" fontId="63" fillId="0" borderId="84" xfId="0" applyNumberFormat="1" applyFont="1" applyBorder="1" applyAlignment="1">
      <alignment horizontal="center" vertical="center" wrapText="1"/>
    </xf>
    <xf numFmtId="49" fontId="63" fillId="0" borderId="116" xfId="0" applyNumberFormat="1" applyFont="1" applyBorder="1" applyAlignment="1">
      <alignment horizontal="center" vertical="center" wrapText="1"/>
    </xf>
    <xf numFmtId="41" fontId="63" fillId="0" borderId="67" xfId="125" applyFont="1" applyBorder="1" applyAlignment="1">
      <alignment horizontal="center" vertical="center" wrapText="1"/>
    </xf>
    <xf numFmtId="41" fontId="63" fillId="0" borderId="84" xfId="125" applyFont="1" applyBorder="1" applyAlignment="1">
      <alignment horizontal="center" vertical="center" wrapText="1"/>
    </xf>
    <xf numFmtId="41" fontId="63" fillId="0" borderId="78" xfId="125" applyFont="1" applyBorder="1" applyAlignment="1">
      <alignment horizontal="center" vertical="center" wrapText="1"/>
    </xf>
    <xf numFmtId="41" fontId="61" fillId="0" borderId="68" xfId="125" applyFont="1" applyFill="1" applyBorder="1" applyAlignment="1">
      <alignment horizontal="center" vertical="center" wrapText="1"/>
    </xf>
    <xf numFmtId="41" fontId="61" fillId="0" borderId="64" xfId="125" applyFont="1" applyFill="1" applyBorder="1" applyAlignment="1">
      <alignment horizontal="center" vertical="center" wrapText="1"/>
    </xf>
    <xf numFmtId="41" fontId="61" fillId="0" borderId="157" xfId="125" applyFont="1" applyBorder="1" applyAlignment="1">
      <alignment horizontal="left" vertical="center" wrapText="1"/>
    </xf>
    <xf numFmtId="0" fontId="80" fillId="0" borderId="0" xfId="0" applyFont="1" applyFill="1" applyBorder="1" applyAlignment="1">
      <alignment horizontal="left" vertical="center" wrapText="1"/>
    </xf>
    <xf numFmtId="41" fontId="89" fillId="37" borderId="30" xfId="125" applyFont="1" applyFill="1" applyBorder="1" applyAlignment="1">
      <alignment horizontal="center" vertical="center" wrapText="1"/>
    </xf>
    <xf numFmtId="41" fontId="59" fillId="0" borderId="0" xfId="125" applyFont="1" applyAlignment="1">
      <alignment vertical="center" wrapText="1"/>
    </xf>
    <xf numFmtId="41" fontId="63" fillId="0" borderId="49" xfId="125" applyFont="1" applyBorder="1" applyAlignment="1">
      <alignment horizontal="center" vertical="center" wrapText="1"/>
    </xf>
    <xf numFmtId="41" fontId="63" fillId="0" borderId="47" xfId="125" applyFont="1" applyBorder="1" applyAlignment="1">
      <alignment horizontal="center" vertical="center" wrapText="1"/>
    </xf>
    <xf numFmtId="41" fontId="63" fillId="0" borderId="0" xfId="125" applyFont="1" applyBorder="1" applyAlignment="1">
      <alignment horizontal="center" vertical="center" wrapText="1"/>
    </xf>
    <xf numFmtId="41" fontId="63" fillId="0" borderId="55" xfId="125" applyFont="1" applyBorder="1" applyAlignment="1">
      <alignment horizontal="center" vertical="center" wrapText="1"/>
    </xf>
    <xf numFmtId="41" fontId="89" fillId="0" borderId="30" xfId="125" applyFont="1" applyFill="1" applyBorder="1" applyAlignment="1">
      <alignment horizontal="center" vertical="center" wrapText="1"/>
    </xf>
    <xf numFmtId="41" fontId="63" fillId="0" borderId="68" xfId="125" applyFont="1" applyBorder="1" applyAlignment="1">
      <alignment horizontal="center" vertical="center" wrapText="1"/>
    </xf>
    <xf numFmtId="41" fontId="63" fillId="0" borderId="51" xfId="125" applyFont="1" applyBorder="1" applyAlignment="1">
      <alignment horizontal="center" vertical="center" wrapText="1"/>
    </xf>
    <xf numFmtId="41" fontId="63" fillId="0" borderId="48" xfId="125" applyFont="1" applyBorder="1" applyAlignment="1">
      <alignment horizontal="center" vertical="center" wrapText="1"/>
    </xf>
    <xf numFmtId="41" fontId="63" fillId="0" borderId="0" xfId="125" applyFont="1" applyAlignment="1">
      <alignment horizontal="center" vertical="center" wrapText="1"/>
    </xf>
    <xf numFmtId="41" fontId="63" fillId="0" borderId="54" xfId="125" applyFont="1" applyBorder="1" applyAlignment="1">
      <alignment horizontal="center" vertical="center" wrapText="1"/>
    </xf>
    <xf numFmtId="49" fontId="88" fillId="0" borderId="0" xfId="0" applyNumberFormat="1" applyFont="1" applyAlignment="1">
      <alignment horizontal="left" vertical="center" wrapText="1"/>
    </xf>
    <xf numFmtId="41" fontId="93" fillId="0" borderId="0" xfId="125" applyFont="1" applyAlignment="1">
      <alignment horizontal="center" vertical="center" wrapText="1"/>
    </xf>
    <xf numFmtId="41" fontId="67" fillId="0" borderId="35" xfId="125" applyFont="1" applyBorder="1" applyAlignment="1">
      <alignment horizontal="center" vertical="center" wrapText="1"/>
    </xf>
    <xf numFmtId="41" fontId="67" fillId="0" borderId="70" xfId="125" applyFont="1" applyBorder="1" applyAlignment="1">
      <alignment horizontal="center" vertical="center" wrapText="1"/>
    </xf>
    <xf numFmtId="41" fontId="63" fillId="0" borderId="69" xfId="125" applyFont="1" applyBorder="1" applyAlignment="1">
      <alignment horizontal="center" vertical="center" wrapText="1"/>
    </xf>
    <xf numFmtId="0" fontId="99" fillId="0" borderId="8" xfId="179" applyFont="1" applyBorder="1" applyAlignment="1">
      <alignment horizontal="center" vertical="center" wrapText="1"/>
    </xf>
    <xf numFmtId="0" fontId="99" fillId="0" borderId="20" xfId="179" applyFont="1" applyBorder="1" applyAlignment="1">
      <alignment horizontal="center" vertical="center" wrapText="1"/>
    </xf>
    <xf numFmtId="0" fontId="99" fillId="0" borderId="18" xfId="179" applyFont="1" applyBorder="1" applyAlignment="1">
      <alignment horizontal="center" vertical="center" wrapText="1"/>
    </xf>
    <xf numFmtId="0" fontId="99" fillId="0" borderId="4" xfId="179" applyFont="1" applyBorder="1" applyAlignment="1">
      <alignment horizontal="center" vertical="center" wrapText="1"/>
    </xf>
    <xf numFmtId="0" fontId="95" fillId="0" borderId="0" xfId="179" applyFont="1" applyAlignment="1">
      <alignment horizontal="left" vertical="center" wrapText="1"/>
    </xf>
    <xf numFmtId="0" fontId="95" fillId="0" borderId="0" xfId="179" applyFont="1" applyAlignment="1">
      <alignment horizontal="right" vertical="center" wrapText="1"/>
    </xf>
    <xf numFmtId="0" fontId="85" fillId="0" borderId="25" xfId="179" applyFont="1" applyBorder="1" applyAlignment="1">
      <alignment horizontal="center" vertical="center" wrapText="1"/>
    </xf>
    <xf numFmtId="0" fontId="85" fillId="0" borderId="33" xfId="179" applyFont="1" applyBorder="1" applyAlignment="1">
      <alignment horizontal="center" vertical="center" wrapText="1"/>
    </xf>
    <xf numFmtId="0" fontId="96" fillId="0" borderId="0" xfId="179" applyFont="1" applyAlignment="1">
      <alignment horizontal="center" vertical="center" wrapText="1"/>
    </xf>
    <xf numFmtId="0" fontId="97" fillId="0" borderId="0" xfId="179" applyFont="1" applyAlignment="1">
      <alignment horizontal="center" vertical="center" wrapText="1"/>
    </xf>
    <xf numFmtId="0" fontId="98" fillId="0" borderId="124" xfId="179" applyFont="1" applyBorder="1" applyAlignment="1">
      <alignment horizontal="left" vertical="center" wrapText="1"/>
    </xf>
    <xf numFmtId="0" fontId="98" fillId="0" borderId="124" xfId="179" applyFont="1" applyBorder="1" applyAlignment="1">
      <alignment horizontal="center" vertical="center" wrapText="1"/>
    </xf>
    <xf numFmtId="0" fontId="88" fillId="0" borderId="23" xfId="179" applyFont="1" applyBorder="1" applyAlignment="1">
      <alignment horizontal="center" vertical="center" wrapText="1"/>
    </xf>
    <xf numFmtId="0" fontId="88" fillId="0" borderId="13" xfId="179" applyFont="1" applyBorder="1" applyAlignment="1">
      <alignment horizontal="center" vertical="center" wrapText="1"/>
    </xf>
    <xf numFmtId="0" fontId="100" fillId="0" borderId="18" xfId="179" applyFont="1" applyBorder="1" applyAlignment="1">
      <alignment horizontal="center" vertical="center" wrapText="1"/>
    </xf>
    <xf numFmtId="0" fontId="100" fillId="0" borderId="4" xfId="179" applyFont="1" applyBorder="1" applyAlignment="1">
      <alignment horizontal="center" vertical="center" wrapText="1"/>
    </xf>
    <xf numFmtId="0" fontId="100" fillId="0" borderId="17" xfId="179" applyFont="1" applyBorder="1" applyAlignment="1">
      <alignment horizontal="center" vertical="center" wrapText="1"/>
    </xf>
    <xf numFmtId="0" fontId="79" fillId="0" borderId="23" xfId="179" applyFont="1" applyBorder="1" applyAlignment="1">
      <alignment horizontal="center" vertical="center" wrapText="1"/>
    </xf>
    <xf numFmtId="0" fontId="79" fillId="0" borderId="13" xfId="179" applyFont="1" applyBorder="1" applyAlignment="1">
      <alignment horizontal="center" vertical="center" wrapText="1"/>
    </xf>
    <xf numFmtId="0" fontId="79" fillId="0" borderId="37" xfId="179" applyFont="1" applyBorder="1" applyAlignment="1">
      <alignment horizontal="center" vertical="center" wrapText="1"/>
    </xf>
    <xf numFmtId="0" fontId="79" fillId="0" borderId="27" xfId="179" applyFont="1" applyBorder="1" applyAlignment="1">
      <alignment horizontal="center" vertical="center" wrapText="1"/>
    </xf>
    <xf numFmtId="41" fontId="61" fillId="0" borderId="0" xfId="125" applyFont="1" applyAlignment="1">
      <alignment horizontal="left" vertical="center" wrapText="1"/>
    </xf>
    <xf numFmtId="0" fontId="102" fillId="0" borderId="55" xfId="0" applyFont="1" applyBorder="1" applyAlignment="1">
      <alignment horizontal="center" vertical="center" wrapText="1"/>
    </xf>
    <xf numFmtId="0" fontId="102" fillId="0" borderId="69" xfId="0" applyFont="1" applyBorder="1" applyAlignment="1">
      <alignment horizontal="center" vertical="center" wrapText="1"/>
    </xf>
    <xf numFmtId="0" fontId="102" fillId="0" borderId="68" xfId="0" applyFont="1" applyBorder="1" applyAlignment="1">
      <alignment horizontal="center" vertical="center" wrapText="1"/>
    </xf>
    <xf numFmtId="0" fontId="102" fillId="0" borderId="51" xfId="0" applyFont="1" applyBorder="1" applyAlignment="1">
      <alignment horizontal="center" vertical="center" wrapText="1"/>
    </xf>
    <xf numFmtId="0" fontId="67" fillId="0" borderId="47" xfId="0" applyFont="1" applyBorder="1" applyAlignment="1">
      <alignment horizontal="center" vertical="center" wrapText="1"/>
    </xf>
    <xf numFmtId="0" fontId="67" fillId="0" borderId="68" xfId="0" applyFont="1" applyBorder="1" applyAlignment="1">
      <alignment horizontal="center" vertical="center" wrapText="1"/>
    </xf>
    <xf numFmtId="0" fontId="67" fillId="0" borderId="51" xfId="0" applyFont="1" applyBorder="1" applyAlignment="1">
      <alignment horizontal="center" vertical="center" wrapText="1"/>
    </xf>
    <xf numFmtId="0" fontId="92" fillId="0" borderId="68" xfId="0" applyFont="1" applyBorder="1" applyAlignment="1">
      <alignment horizontal="center" vertical="center" wrapText="1"/>
    </xf>
    <xf numFmtId="0" fontId="92" fillId="0" borderId="51" xfId="0" applyFont="1" applyBorder="1" applyAlignment="1">
      <alignment horizontal="center" vertical="center" wrapText="1"/>
    </xf>
    <xf numFmtId="0" fontId="102" fillId="0" borderId="0" xfId="0" applyFont="1" applyAlignment="1">
      <alignment horizontal="center" vertical="center" wrapText="1"/>
    </xf>
    <xf numFmtId="0" fontId="102" fillId="0" borderId="47" xfId="0" applyFont="1" applyBorder="1" applyAlignment="1">
      <alignment horizontal="center" vertical="center" wrapText="1"/>
    </xf>
    <xf numFmtId="0" fontId="67" fillId="0" borderId="64" xfId="0" applyFont="1" applyBorder="1" applyAlignment="1">
      <alignment horizontal="center" vertical="center" wrapText="1"/>
    </xf>
    <xf numFmtId="41" fontId="62" fillId="0" borderId="157" xfId="125" applyFont="1" applyBorder="1" applyAlignment="1">
      <alignment horizontal="center" vertical="center" wrapText="1"/>
    </xf>
    <xf numFmtId="41" fontId="103" fillId="0" borderId="137" xfId="125" applyFont="1" applyFill="1" applyBorder="1" applyAlignment="1">
      <alignment horizontal="center" vertical="center" wrapText="1"/>
    </xf>
    <xf numFmtId="41" fontId="62" fillId="0" borderId="180" xfId="125" applyFont="1" applyBorder="1" applyAlignment="1">
      <alignment horizontal="center" vertical="center" wrapText="1"/>
    </xf>
    <xf numFmtId="41" fontId="62" fillId="0" borderId="118" xfId="125" applyFont="1" applyBorder="1" applyAlignment="1">
      <alignment horizontal="center" vertical="center" wrapText="1"/>
    </xf>
    <xf numFmtId="41" fontId="62" fillId="0" borderId="174" xfId="125" applyFont="1" applyBorder="1" applyAlignment="1">
      <alignment horizontal="center" vertical="center" wrapText="1"/>
    </xf>
    <xf numFmtId="41" fontId="62" fillId="0" borderId="117" xfId="125" applyFont="1" applyBorder="1" applyAlignment="1">
      <alignment horizontal="center" vertical="center" wrapText="1"/>
    </xf>
    <xf numFmtId="41" fontId="103" fillId="37" borderId="30" xfId="125" applyFont="1" applyFill="1" applyBorder="1" applyAlignment="1">
      <alignment horizontal="center" vertical="center" wrapText="1"/>
    </xf>
    <xf numFmtId="0" fontId="126" fillId="0" borderId="0" xfId="0" applyFont="1" applyAlignment="1">
      <alignment horizontal="center" vertical="center" wrapText="1"/>
    </xf>
    <xf numFmtId="41" fontId="120" fillId="0" borderId="0" xfId="125" applyFont="1" applyFill="1" applyBorder="1" applyAlignment="1">
      <alignment horizontal="center" vertical="center" wrapText="1"/>
    </xf>
    <xf numFmtId="0" fontId="120" fillId="0" borderId="57" xfId="0" applyFont="1" applyBorder="1" applyAlignment="1">
      <alignment horizontal="center" vertical="center" wrapText="1"/>
    </xf>
    <xf numFmtId="0" fontId="120" fillId="0" borderId="72" xfId="0" applyFont="1" applyBorder="1" applyAlignment="1">
      <alignment horizontal="center" vertical="center" wrapText="1"/>
    </xf>
    <xf numFmtId="0" fontId="120" fillId="0" borderId="69" xfId="0" applyFont="1" applyBorder="1" applyAlignment="1">
      <alignment horizontal="center" vertical="center" wrapText="1"/>
    </xf>
    <xf numFmtId="0" fontId="114" fillId="0" borderId="35" xfId="0" applyFont="1" applyBorder="1" applyAlignment="1">
      <alignment horizontal="center" vertical="center" wrapText="1"/>
    </xf>
    <xf numFmtId="0" fontId="114" fillId="0" borderId="70" xfId="0" applyFont="1" applyBorder="1" applyAlignment="1">
      <alignment horizontal="center" vertical="center" wrapText="1"/>
    </xf>
    <xf numFmtId="0" fontId="129" fillId="0" borderId="82" xfId="189" applyFont="1" applyBorder="1" applyAlignment="1">
      <alignment horizontal="center" vertical="center" wrapText="1"/>
    </xf>
    <xf numFmtId="0" fontId="129" fillId="0" borderId="80" xfId="189" applyFont="1" applyBorder="1" applyAlignment="1">
      <alignment horizontal="center" vertical="center" wrapText="1"/>
    </xf>
    <xf numFmtId="0" fontId="129" fillId="0" borderId="49" xfId="189" applyFont="1" applyBorder="1" applyAlignment="1">
      <alignment horizontal="center" vertical="center" wrapText="1"/>
    </xf>
    <xf numFmtId="0" fontId="129" fillId="0" borderId="47" xfId="189" applyFont="1" applyBorder="1" applyAlignment="1">
      <alignment horizontal="center" vertical="center" wrapText="1"/>
    </xf>
    <xf numFmtId="0" fontId="114" fillId="0" borderId="47" xfId="189" applyFont="1" applyBorder="1" applyAlignment="1">
      <alignment horizontal="center" vertical="center" wrapText="1"/>
    </xf>
    <xf numFmtId="0" fontId="117" fillId="0" borderId="49" xfId="189" applyFont="1" applyBorder="1" applyAlignment="1">
      <alignment horizontal="center" vertical="center" wrapText="1"/>
    </xf>
    <xf numFmtId="0" fontId="117" fillId="0" borderId="47" xfId="189" applyFont="1" applyBorder="1" applyAlignment="1">
      <alignment horizontal="center" vertical="center" wrapText="1"/>
    </xf>
    <xf numFmtId="0" fontId="129" fillId="0" borderId="74" xfId="189" applyFont="1" applyBorder="1" applyAlignment="1">
      <alignment horizontal="center" vertical="center" wrapText="1"/>
    </xf>
    <xf numFmtId="0" fontId="129" fillId="0" borderId="81" xfId="189" applyFont="1" applyBorder="1" applyAlignment="1">
      <alignment horizontal="center" vertical="center" wrapText="1"/>
    </xf>
    <xf numFmtId="0" fontId="114" fillId="0" borderId="79" xfId="189" applyFont="1" applyBorder="1" applyAlignment="1">
      <alignment horizontal="left" vertical="center" wrapText="1"/>
    </xf>
    <xf numFmtId="0" fontId="114" fillId="0" borderId="79" xfId="189" applyFont="1" applyBorder="1" applyAlignment="1">
      <alignment horizontal="center" vertical="center" wrapText="1"/>
    </xf>
    <xf numFmtId="0" fontId="117" fillId="0" borderId="48" xfId="189" applyFont="1" applyBorder="1" applyAlignment="1">
      <alignment horizontal="center" vertical="center" wrapText="1"/>
    </xf>
    <xf numFmtId="0" fontId="117" fillId="0" borderId="68" xfId="189" applyFont="1" applyBorder="1" applyAlignment="1">
      <alignment horizontal="center" vertical="center" wrapText="1"/>
    </xf>
    <xf numFmtId="0" fontId="117" fillId="0" borderId="51" xfId="189" applyFont="1" applyBorder="1" applyAlignment="1">
      <alignment horizontal="center" vertical="center" wrapText="1"/>
    </xf>
    <xf numFmtId="0" fontId="117" fillId="0" borderId="68" xfId="189" applyFont="1" applyBorder="1" applyAlignment="1">
      <alignment horizontal="center" vertical="top" wrapText="1"/>
    </xf>
    <xf numFmtId="0" fontId="117" fillId="0" borderId="51" xfId="189" applyFont="1" applyBorder="1" applyAlignment="1">
      <alignment horizontal="center" vertical="top" wrapText="1"/>
    </xf>
    <xf numFmtId="0" fontId="114" fillId="0" borderId="54" xfId="189" applyFont="1" applyBorder="1" applyAlignment="1">
      <alignment horizontal="center" vertical="top" wrapText="1"/>
    </xf>
    <xf numFmtId="0" fontId="117" fillId="0" borderId="64" xfId="189" applyFont="1" applyBorder="1" applyAlignment="1">
      <alignment horizontal="center" vertical="center" wrapText="1"/>
    </xf>
    <xf numFmtId="0" fontId="114" fillId="0" borderId="70" xfId="194" applyFont="1" applyBorder="1" applyAlignment="1">
      <alignment horizontal="center" vertical="center" wrapText="1"/>
    </xf>
    <xf numFmtId="0" fontId="18" fillId="0" borderId="0" xfId="194" applyFont="1" applyAlignment="1">
      <alignment horizontal="right" vertical="center" wrapText="1"/>
    </xf>
    <xf numFmtId="0" fontId="114" fillId="0" borderId="79" xfId="194" applyFont="1" applyBorder="1" applyAlignment="1">
      <alignment horizontal="center" vertical="center" wrapText="1"/>
    </xf>
    <xf numFmtId="0" fontId="18" fillId="0" borderId="0" xfId="194" applyFont="1" applyAlignment="1">
      <alignment horizontal="left" vertical="center" wrapText="1"/>
    </xf>
    <xf numFmtId="0" fontId="118" fillId="0" borderId="74" xfId="194" applyFont="1" applyBorder="1" applyAlignment="1">
      <alignment horizontal="center" vertical="center" wrapText="1"/>
    </xf>
    <xf numFmtId="0" fontId="118" fillId="0" borderId="80" xfId="194" applyFont="1" applyBorder="1" applyAlignment="1">
      <alignment horizontal="center" vertical="center" wrapText="1"/>
    </xf>
    <xf numFmtId="0" fontId="118" fillId="0" borderId="47" xfId="194" applyFont="1" applyBorder="1" applyAlignment="1">
      <alignment horizontal="center" vertical="center" wrapText="1"/>
    </xf>
    <xf numFmtId="0" fontId="118" fillId="0" borderId="81" xfId="194" applyFont="1" applyBorder="1" applyAlignment="1">
      <alignment horizontal="center" vertical="center" wrapText="1"/>
    </xf>
    <xf numFmtId="0" fontId="118" fillId="0" borderId="48" xfId="194" applyFont="1" applyBorder="1" applyAlignment="1">
      <alignment horizontal="center" vertical="center" wrapText="1"/>
    </xf>
    <xf numFmtId="0" fontId="114" fillId="0" borderId="68" xfId="194" applyFont="1" applyBorder="1" applyAlignment="1">
      <alignment horizontal="center" vertical="center" wrapText="1"/>
    </xf>
    <xf numFmtId="0" fontId="114" fillId="0" borderId="64" xfId="194" applyFont="1" applyBorder="1" applyAlignment="1">
      <alignment horizontal="center" vertical="center" wrapText="1"/>
    </xf>
    <xf numFmtId="0" fontId="49" fillId="0" borderId="64" xfId="254" applyFont="1" applyBorder="1" applyAlignment="1">
      <alignment horizontal="center" vertical="center"/>
    </xf>
    <xf numFmtId="0" fontId="126" fillId="0" borderId="0" xfId="194" applyFont="1" applyAlignment="1">
      <alignment horizontal="center" vertical="center" wrapText="1"/>
    </xf>
    <xf numFmtId="0" fontId="110" fillId="0" borderId="0" xfId="194" applyFont="1" applyAlignment="1">
      <alignment horizontal="center" vertical="center" wrapText="1"/>
    </xf>
    <xf numFmtId="0" fontId="59" fillId="0" borderId="0" xfId="194" applyFont="1" applyAlignment="1">
      <alignment horizontal="right" vertical="center" wrapText="1"/>
    </xf>
    <xf numFmtId="0" fontId="59" fillId="0" borderId="0" xfId="194" applyFont="1" applyAlignment="1">
      <alignment horizontal="left" vertical="center" wrapText="1"/>
    </xf>
    <xf numFmtId="0" fontId="62" fillId="0" borderId="74" xfId="194" applyFont="1" applyBorder="1" applyAlignment="1">
      <alignment horizontal="center" vertical="center" wrapText="1"/>
    </xf>
    <xf numFmtId="0" fontId="62" fillId="0" borderId="80" xfId="194" applyFont="1" applyBorder="1" applyAlignment="1">
      <alignment horizontal="center" vertical="center" wrapText="1"/>
    </xf>
    <xf numFmtId="0" fontId="62" fillId="0" borderId="47" xfId="194" applyFont="1" applyBorder="1" applyAlignment="1">
      <alignment horizontal="center" vertical="center" wrapText="1"/>
    </xf>
    <xf numFmtId="0" fontId="61" fillId="0" borderId="70" xfId="194" applyFont="1" applyBorder="1" applyAlignment="1">
      <alignment horizontal="center" vertical="center" wrapText="1"/>
    </xf>
    <xf numFmtId="0" fontId="73" fillId="0" borderId="68" xfId="254" applyFont="1" applyBorder="1" applyAlignment="1">
      <alignment horizontal="center" vertical="center"/>
    </xf>
    <xf numFmtId="0" fontId="73" fillId="0" borderId="64" xfId="254" applyFont="1" applyBorder="1" applyAlignment="1">
      <alignment horizontal="center" vertical="center"/>
    </xf>
    <xf numFmtId="0" fontId="66" fillId="0" borderId="0" xfId="194" applyFont="1" applyAlignment="1">
      <alignment horizontal="center" vertical="center" wrapText="1"/>
    </xf>
    <xf numFmtId="0" fontId="60" fillId="0" borderId="0" xfId="194" applyFont="1" applyAlignment="1">
      <alignment horizontal="center" vertical="center" wrapText="1"/>
    </xf>
    <xf numFmtId="0" fontId="61" fillId="0" borderId="79" xfId="194" applyFont="1" applyBorder="1" applyAlignment="1">
      <alignment horizontal="center" vertical="center" wrapText="1"/>
    </xf>
    <xf numFmtId="0" fontId="62" fillId="37" borderId="106" xfId="194" applyFont="1" applyFill="1" applyBorder="1" applyAlignment="1">
      <alignment horizontal="center" vertical="center" wrapText="1"/>
    </xf>
    <xf numFmtId="0" fontId="61" fillId="37" borderId="74" xfId="194" applyFont="1" applyFill="1" applyBorder="1" applyAlignment="1">
      <alignment horizontal="left" vertical="center" wrapText="1"/>
    </xf>
    <xf numFmtId="0" fontId="61" fillId="37" borderId="74" xfId="194" applyFont="1" applyFill="1" applyBorder="1" applyAlignment="1">
      <alignment vertical="center" wrapText="1"/>
    </xf>
    <xf numFmtId="0" fontId="62" fillId="0" borderId="82" xfId="194" applyFont="1" applyBorder="1" applyAlignment="1">
      <alignment horizontal="center" vertical="center" wrapText="1"/>
    </xf>
    <xf numFmtId="0" fontId="61" fillId="0" borderId="68" xfId="194" applyFont="1" applyBorder="1" applyAlignment="1">
      <alignment horizontal="center" vertical="center" wrapText="1"/>
    </xf>
    <xf numFmtId="0" fontId="61" fillId="0" borderId="64" xfId="194" applyFont="1" applyBorder="1" applyAlignment="1">
      <alignment horizontal="center" vertical="center" wrapText="1"/>
    </xf>
    <xf numFmtId="0" fontId="61" fillId="0" borderId="47" xfId="194" applyFont="1" applyBorder="1" applyAlignment="1">
      <alignment horizontal="center" vertical="center" wrapText="1"/>
    </xf>
    <xf numFmtId="0" fontId="62" fillId="0" borderId="81" xfId="194" applyFont="1" applyBorder="1" applyAlignment="1">
      <alignment horizontal="center" vertical="center" wrapText="1"/>
    </xf>
    <xf numFmtId="0" fontId="62" fillId="0" borderId="89" xfId="194" applyFont="1" applyBorder="1" applyAlignment="1">
      <alignment horizontal="center" vertical="center" wrapText="1"/>
    </xf>
    <xf numFmtId="49" fontId="61" fillId="0" borderId="135" xfId="254" applyNumberFormat="1" applyFont="1" applyBorder="1" applyAlignment="1">
      <alignment horizontal="center" vertical="center" wrapText="1"/>
    </xf>
    <xf numFmtId="0" fontId="61" fillId="0" borderId="51" xfId="194" applyFont="1" applyBorder="1" applyAlignment="1">
      <alignment horizontal="center" vertical="center" wrapText="1"/>
    </xf>
    <xf numFmtId="0" fontId="59" fillId="0" borderId="0" xfId="194" applyFont="1" applyAlignment="1">
      <alignment vertical="center" wrapText="1"/>
    </xf>
    <xf numFmtId="0" fontId="67" fillId="0" borderId="47" xfId="194" applyFont="1" applyBorder="1" applyAlignment="1">
      <alignment horizontal="center" vertical="center" wrapText="1"/>
    </xf>
    <xf numFmtId="0" fontId="61" fillId="0" borderId="74" xfId="194" applyFont="1" applyBorder="1" applyAlignment="1">
      <alignment vertical="center" wrapText="1"/>
    </xf>
    <xf numFmtId="0" fontId="61" fillId="0" borderId="74" xfId="194" applyFont="1" applyBorder="1" applyAlignment="1">
      <alignment horizontal="left" vertical="center" wrapText="1"/>
    </xf>
    <xf numFmtId="0" fontId="62" fillId="0" borderId="48" xfId="194" applyFont="1" applyBorder="1" applyAlignment="1">
      <alignment horizontal="center" vertical="center" wrapText="1"/>
    </xf>
    <xf numFmtId="49" fontId="61" fillId="0" borderId="18" xfId="194" applyNumberFormat="1" applyFont="1" applyBorder="1" applyAlignment="1">
      <alignment horizontal="center" vertical="center" wrapText="1"/>
    </xf>
    <xf numFmtId="49" fontId="61" fillId="0" borderId="17" xfId="194" applyNumberFormat="1" applyFont="1" applyBorder="1" applyAlignment="1">
      <alignment horizontal="center" vertical="center" wrapText="1"/>
    </xf>
    <xf numFmtId="49" fontId="62" fillId="0" borderId="101" xfId="194" applyNumberFormat="1" applyFont="1" applyBorder="1" applyAlignment="1">
      <alignment horizontal="center" vertical="center" wrapText="1"/>
    </xf>
    <xf numFmtId="49" fontId="62" fillId="0" borderId="74" xfId="194" applyNumberFormat="1" applyFont="1" applyBorder="1" applyAlignment="1">
      <alignment horizontal="center" vertical="center" wrapText="1"/>
    </xf>
    <xf numFmtId="49" fontId="61" fillId="0" borderId="135" xfId="194" applyNumberFormat="1" applyFont="1" applyBorder="1" applyAlignment="1">
      <alignment horizontal="center" vertical="center" wrapText="1"/>
    </xf>
    <xf numFmtId="49" fontId="61" fillId="0" borderId="7" xfId="194" applyNumberFormat="1" applyFont="1" applyBorder="1" applyAlignment="1">
      <alignment horizontal="center" vertical="center" wrapText="1"/>
    </xf>
    <xf numFmtId="49" fontId="62" fillId="0" borderId="85" xfId="194" applyNumberFormat="1" applyFont="1" applyBorder="1" applyAlignment="1">
      <alignment horizontal="center" vertical="center" wrapText="1"/>
    </xf>
    <xf numFmtId="49" fontId="62" fillId="0" borderId="144" xfId="194" applyNumberFormat="1" applyFont="1" applyBorder="1" applyAlignment="1">
      <alignment horizontal="center" vertical="center" wrapText="1"/>
    </xf>
    <xf numFmtId="49" fontId="62" fillId="0" borderId="135" xfId="194" applyNumberFormat="1" applyFont="1" applyBorder="1" applyAlignment="1">
      <alignment horizontal="center" vertical="center" wrapText="1"/>
    </xf>
    <xf numFmtId="0" fontId="106" fillId="3" borderId="30" xfId="179" applyFont="1" applyFill="1" applyBorder="1" applyAlignment="1">
      <alignment horizontal="center" vertical="center" wrapText="1"/>
    </xf>
    <xf numFmtId="0" fontId="98" fillId="0" borderId="23" xfId="179" applyFont="1" applyBorder="1" applyAlignment="1">
      <alignment horizontal="center" vertical="center" wrapText="1"/>
    </xf>
    <xf numFmtId="0" fontId="98" fillId="0" borderId="18" xfId="179" applyFont="1" applyBorder="1" applyAlignment="1">
      <alignment horizontal="center" vertical="center" wrapText="1"/>
    </xf>
    <xf numFmtId="0" fontId="98" fillId="0" borderId="17" xfId="179" applyFont="1" applyBorder="1" applyAlignment="1">
      <alignment horizontal="center" vertical="center" wrapText="1"/>
    </xf>
    <xf numFmtId="0" fontId="98" fillId="0" borderId="4" xfId="179" applyFont="1" applyBorder="1" applyAlignment="1">
      <alignment horizontal="center" vertical="center" wrapText="1"/>
    </xf>
    <xf numFmtId="0" fontId="95" fillId="0" borderId="23" xfId="179" applyFont="1" applyBorder="1" applyAlignment="1">
      <alignment horizontal="center" vertical="center" wrapText="1"/>
    </xf>
    <xf numFmtId="0" fontId="95" fillId="0" borderId="17" xfId="179" applyFont="1" applyBorder="1" applyAlignment="1">
      <alignment horizontal="center" vertical="center" wrapText="1"/>
    </xf>
    <xf numFmtId="0" fontId="95" fillId="0" borderId="36" xfId="179" applyFont="1" applyBorder="1" applyAlignment="1">
      <alignment horizontal="center" vertical="center" wrapText="1"/>
    </xf>
    <xf numFmtId="0" fontId="106" fillId="0" borderId="25" xfId="179" applyFont="1" applyBorder="1" applyAlignment="1">
      <alignment horizontal="center" vertical="center" wrapText="1"/>
    </xf>
    <xf numFmtId="0" fontId="106" fillId="0" borderId="8" xfId="179" applyFont="1" applyBorder="1" applyAlignment="1">
      <alignment horizontal="center" vertical="center" wrapText="1"/>
    </xf>
    <xf numFmtId="0" fontId="71" fillId="37" borderId="124" xfId="193" applyFont="1" applyFill="1" applyBorder="1" applyAlignment="1">
      <alignment horizontal="center" vertical="center" wrapText="1"/>
    </xf>
    <xf numFmtId="0" fontId="71" fillId="0" borderId="74" xfId="193" applyFont="1" applyBorder="1" applyAlignment="1">
      <alignment horizontal="center" vertical="center" wrapText="1"/>
    </xf>
    <xf numFmtId="0" fontId="64" fillId="0" borderId="80" xfId="0" applyFont="1" applyBorder="1">
      <alignment vertical="center"/>
    </xf>
    <xf numFmtId="0" fontId="64" fillId="0" borderId="47" xfId="0" applyFont="1" applyBorder="1">
      <alignment vertical="center"/>
    </xf>
    <xf numFmtId="0" fontId="19" fillId="0" borderId="23" xfId="191" applyFont="1" applyBorder="1" applyAlignment="1">
      <alignment horizontal="center" vertical="center" wrapText="1"/>
    </xf>
    <xf numFmtId="0" fontId="19" fillId="0" borderId="35" xfId="191" applyFont="1" applyBorder="1" applyAlignment="1">
      <alignment horizontal="center" vertical="center" wrapText="1"/>
    </xf>
    <xf numFmtId="0" fontId="19" fillId="0" borderId="37" xfId="191" applyFont="1" applyBorder="1" applyAlignment="1">
      <alignment horizontal="center" vertical="center" wrapText="1"/>
    </xf>
    <xf numFmtId="0" fontId="136" fillId="0" borderId="25" xfId="191" applyFont="1" applyBorder="1" applyAlignment="1">
      <alignment horizontal="center" vertical="center" wrapText="1"/>
    </xf>
    <xf numFmtId="0" fontId="136" fillId="0" borderId="8" xfId="191" applyFont="1" applyBorder="1" applyAlignment="1">
      <alignment horizontal="center" vertical="center" wrapText="1"/>
    </xf>
    <xf numFmtId="0" fontId="135" fillId="0" borderId="23" xfId="191" applyFont="1" applyBorder="1" applyAlignment="1">
      <alignment horizontal="center" vertical="center" wrapText="1"/>
    </xf>
    <xf numFmtId="0" fontId="135" fillId="0" borderId="17" xfId="191" applyFont="1" applyBorder="1" applyAlignment="1">
      <alignment horizontal="center" vertical="center" wrapText="1"/>
    </xf>
    <xf numFmtId="0" fontId="135" fillId="0" borderId="4" xfId="191" applyFont="1" applyBorder="1" applyAlignment="1">
      <alignment horizontal="center" vertical="center" wrapText="1"/>
    </xf>
    <xf numFmtId="0" fontId="135" fillId="0" borderId="18" xfId="191" applyFont="1" applyBorder="1" applyAlignment="1">
      <alignment horizontal="center" vertical="center" wrapText="1"/>
    </xf>
    <xf numFmtId="0" fontId="19" fillId="0" borderId="0" xfId="191" applyFont="1" applyAlignment="1">
      <alignment horizontal="left" vertical="center" wrapText="1"/>
    </xf>
    <xf numFmtId="0" fontId="19" fillId="0" borderId="0" xfId="191" applyFont="1" applyAlignment="1">
      <alignment horizontal="right" vertical="center" wrapText="1"/>
    </xf>
    <xf numFmtId="0" fontId="20" fillId="0" borderId="0" xfId="191" applyFont="1" applyAlignment="1">
      <alignment horizontal="center" vertical="center" wrapText="1"/>
    </xf>
    <xf numFmtId="0" fontId="136" fillId="0" borderId="20" xfId="191" applyFont="1" applyBorder="1" applyAlignment="1">
      <alignment horizontal="center" vertical="center" wrapText="1"/>
    </xf>
    <xf numFmtId="0" fontId="137" fillId="0" borderId="18" xfId="191" applyFont="1" applyBorder="1" applyAlignment="1">
      <alignment horizontal="center" vertical="center" wrapText="1"/>
    </xf>
    <xf numFmtId="0" fontId="137" fillId="0" borderId="17" xfId="191" applyFont="1" applyBorder="1" applyAlignment="1">
      <alignment horizontal="center" vertical="center" wrapText="1"/>
    </xf>
    <xf numFmtId="0" fontId="49" fillId="0" borderId="48" xfId="190" applyFont="1" applyBorder="1" applyAlignment="1">
      <alignment horizontal="center" vertical="center" wrapText="1"/>
    </xf>
    <xf numFmtId="0" fontId="45" fillId="0" borderId="74" xfId="190" applyFont="1" applyBorder="1" applyAlignment="1">
      <alignment horizontal="center" vertical="center" wrapText="1"/>
    </xf>
    <xf numFmtId="0" fontId="45" fillId="0" borderId="80" xfId="190" applyFont="1" applyBorder="1" applyAlignment="1">
      <alignment horizontal="center" vertical="center" wrapText="1"/>
    </xf>
    <xf numFmtId="0" fontId="49" fillId="0" borderId="47" xfId="190" applyFont="1" applyBorder="1" applyAlignment="1">
      <alignment horizontal="center" vertical="center" wrapText="1"/>
    </xf>
    <xf numFmtId="0" fontId="45" fillId="0" borderId="47" xfId="190" applyFont="1" applyBorder="1" applyAlignment="1">
      <alignment horizontal="center" vertical="center" wrapText="1"/>
    </xf>
    <xf numFmtId="0" fontId="45" fillId="0" borderId="67" xfId="190" applyFont="1" applyBorder="1" applyAlignment="1">
      <alignment horizontal="center" vertical="center" wrapText="1"/>
    </xf>
    <xf numFmtId="0" fontId="45" fillId="0" borderId="84" xfId="190" applyFont="1" applyBorder="1" applyAlignment="1">
      <alignment horizontal="center" vertical="center" wrapText="1"/>
    </xf>
    <xf numFmtId="0" fontId="45" fillId="0" borderId="78" xfId="190" applyFont="1" applyBorder="1" applyAlignment="1">
      <alignment horizontal="center" vertical="center" wrapText="1"/>
    </xf>
    <xf numFmtId="0" fontId="49" fillId="0" borderId="68" xfId="190" applyFont="1" applyBorder="1" applyAlignment="1">
      <alignment horizontal="center" vertical="center" wrapText="1"/>
    </xf>
    <xf numFmtId="0" fontId="49" fillId="0" borderId="64" xfId="190" applyFont="1" applyBorder="1" applyAlignment="1">
      <alignment horizontal="center" vertical="center" wrapText="1"/>
    </xf>
    <xf numFmtId="0" fontId="49" fillId="0" borderId="51" xfId="190" applyFont="1" applyBorder="1" applyAlignment="1">
      <alignment horizontal="center" vertical="center" wrapText="1"/>
    </xf>
    <xf numFmtId="0" fontId="46" fillId="0" borderId="79" xfId="190" applyFont="1" applyBorder="1" applyAlignment="1">
      <alignment horizontal="left" vertical="center" wrapText="1"/>
    </xf>
    <xf numFmtId="0" fontId="49" fillId="0" borderId="79" xfId="190" applyFont="1" applyBorder="1" applyAlignment="1">
      <alignment horizontal="right" vertical="center" wrapText="1"/>
    </xf>
    <xf numFmtId="0" fontId="61" fillId="0" borderId="124" xfId="0" applyFont="1" applyBorder="1" applyAlignment="1">
      <alignment horizontal="center" vertical="center" wrapText="1"/>
    </xf>
    <xf numFmtId="0" fontId="61" fillId="42" borderId="124" xfId="0" applyFont="1" applyFill="1" applyBorder="1" applyAlignment="1">
      <alignment horizontal="left" vertical="center" wrapText="1"/>
    </xf>
    <xf numFmtId="0" fontId="62" fillId="0" borderId="0" xfId="0" applyFont="1" applyAlignment="1">
      <alignment horizontal="center" vertical="center" wrapText="1"/>
    </xf>
    <xf numFmtId="41" fontId="62" fillId="37" borderId="30" xfId="125" applyFont="1" applyFill="1" applyBorder="1" applyAlignment="1">
      <alignment horizontal="center" vertical="center" wrapText="1"/>
    </xf>
    <xf numFmtId="0" fontId="61" fillId="0" borderId="157" xfId="0" applyFont="1" applyBorder="1" applyAlignment="1">
      <alignment horizontal="left" vertical="center"/>
    </xf>
    <xf numFmtId="41" fontId="61" fillId="0" borderId="184" xfId="125" applyFont="1" applyBorder="1" applyAlignment="1">
      <alignment vertical="center" wrapText="1"/>
    </xf>
    <xf numFmtId="41" fontId="62" fillId="0" borderId="34" xfId="125" applyFont="1" applyBorder="1" applyAlignment="1">
      <alignment horizontal="center" vertical="center" wrapText="1"/>
    </xf>
    <xf numFmtId="41" fontId="59" fillId="37" borderId="184" xfId="125" applyFont="1" applyFill="1" applyBorder="1" applyAlignment="1">
      <alignment horizontal="left" vertical="center" wrapText="1"/>
    </xf>
    <xf numFmtId="41" fontId="61" fillId="37" borderId="192" xfId="125" applyFont="1" applyFill="1" applyBorder="1" applyAlignment="1">
      <alignment horizontal="left" vertical="center" wrapText="1"/>
    </xf>
    <xf numFmtId="41" fontId="59" fillId="0" borderId="128" xfId="0" applyNumberFormat="1" applyFont="1" applyBorder="1" applyAlignment="1">
      <alignment horizontal="right" vertical="center" wrapText="1"/>
    </xf>
    <xf numFmtId="41" fontId="59" fillId="0" borderId="193" xfId="0" applyNumberFormat="1" applyFont="1" applyBorder="1" applyAlignment="1">
      <alignment horizontal="right" vertical="center" wrapText="1"/>
    </xf>
    <xf numFmtId="41" fontId="59" fillId="37" borderId="194" xfId="125" applyFont="1" applyFill="1" applyBorder="1" applyAlignment="1">
      <alignment horizontal="right" vertical="center" wrapText="1"/>
    </xf>
    <xf numFmtId="41" fontId="59" fillId="37" borderId="184" xfId="125" applyFont="1" applyFill="1" applyBorder="1" applyAlignment="1">
      <alignment horizontal="right" vertical="center" wrapText="1"/>
    </xf>
    <xf numFmtId="41" fontId="59" fillId="4" borderId="13" xfId="125" applyFont="1" applyFill="1" applyBorder="1" applyAlignment="1">
      <alignment horizontal="right" vertical="center" wrapText="1"/>
    </xf>
    <xf numFmtId="41" fontId="59" fillId="4" borderId="11" xfId="125" applyFont="1" applyFill="1" applyBorder="1" applyAlignment="1">
      <alignment horizontal="right" vertical="center" wrapText="1"/>
    </xf>
    <xf numFmtId="41" fontId="59" fillId="0" borderId="13" xfId="125" applyFont="1" applyBorder="1" applyAlignment="1">
      <alignment horizontal="right" vertical="center" wrapText="1"/>
    </xf>
    <xf numFmtId="41" fontId="59" fillId="0" borderId="11" xfId="125" applyFont="1" applyBorder="1" applyAlignment="1">
      <alignment horizontal="right" vertical="center" wrapText="1"/>
    </xf>
    <xf numFmtId="41" fontId="59" fillId="37" borderId="11" xfId="125" applyFont="1" applyFill="1" applyBorder="1" applyAlignment="1">
      <alignment horizontal="right" vertical="center" wrapText="1"/>
    </xf>
    <xf numFmtId="41" fontId="59" fillId="37" borderId="128" xfId="125" applyFont="1" applyFill="1" applyBorder="1" applyAlignment="1">
      <alignment horizontal="right" vertical="center" wrapText="1"/>
    </xf>
    <xf numFmtId="41" fontId="59" fillId="37" borderId="193" xfId="125" applyFont="1" applyFill="1" applyBorder="1" applyAlignment="1">
      <alignment horizontal="right" vertical="center" wrapText="1"/>
    </xf>
    <xf numFmtId="41" fontId="61" fillId="0" borderId="184" xfId="125" applyFont="1" applyBorder="1" applyAlignment="1">
      <alignment horizontal="left" vertical="center" wrapText="1"/>
    </xf>
    <xf numFmtId="41" fontId="61" fillId="0" borderId="184" xfId="125" applyFont="1" applyBorder="1" applyAlignment="1">
      <alignment horizontal="right" vertical="center" wrapText="1"/>
    </xf>
    <xf numFmtId="41" fontId="59" fillId="37" borderId="192" xfId="125" applyFont="1" applyFill="1" applyBorder="1" applyAlignment="1">
      <alignment horizontal="left" vertical="center" wrapText="1"/>
    </xf>
    <xf numFmtId="41" fontId="62" fillId="0" borderId="184" xfId="125" applyFont="1" applyFill="1" applyBorder="1" applyAlignment="1">
      <alignment horizontal="center" vertical="center" wrapText="1"/>
    </xf>
    <xf numFmtId="41" fontId="62" fillId="37" borderId="184" xfId="125" applyFont="1" applyFill="1" applyBorder="1" applyAlignment="1">
      <alignment horizontal="center" vertical="center" wrapText="1"/>
    </xf>
    <xf numFmtId="0" fontId="61" fillId="0" borderId="184" xfId="0" applyFont="1" applyBorder="1" applyAlignment="1">
      <alignment horizontal="left" vertical="center" wrapText="1"/>
    </xf>
    <xf numFmtId="0" fontId="61" fillId="0" borderId="184" xfId="0" applyFont="1" applyBorder="1" applyAlignment="1">
      <alignment horizontal="right" vertical="center" wrapText="1"/>
    </xf>
    <xf numFmtId="0" fontId="59" fillId="37" borderId="184" xfId="0" applyFont="1" applyFill="1" applyBorder="1" applyAlignment="1">
      <alignment horizontal="left" vertical="center" wrapText="1"/>
    </xf>
    <xf numFmtId="0" fontId="61" fillId="37" borderId="194" xfId="0" applyFont="1" applyFill="1" applyBorder="1" applyAlignment="1">
      <alignment horizontal="left" vertical="center" wrapText="1"/>
    </xf>
    <xf numFmtId="0" fontId="62" fillId="0" borderId="184" xfId="0" applyFont="1" applyBorder="1" applyAlignment="1">
      <alignment horizontal="center" vertical="center" wrapText="1"/>
    </xf>
    <xf numFmtId="41" fontId="59" fillId="36" borderId="0" xfId="0" applyNumberFormat="1" applyFont="1" applyFill="1" applyAlignment="1">
      <alignment horizontal="right" vertical="center" wrapText="1"/>
    </xf>
    <xf numFmtId="41" fontId="59" fillId="37" borderId="0" xfId="0" applyNumberFormat="1" applyFont="1" applyFill="1" applyAlignment="1">
      <alignment horizontal="right" vertical="center" wrapText="1"/>
    </xf>
    <xf numFmtId="41" fontId="59" fillId="37" borderId="194" xfId="0" applyNumberFormat="1" applyFont="1" applyFill="1" applyBorder="1" applyAlignment="1">
      <alignment horizontal="right" vertical="center" wrapText="1"/>
    </xf>
    <xf numFmtId="41" fontId="59" fillId="37" borderId="184" xfId="0" applyNumberFormat="1" applyFont="1" applyFill="1" applyBorder="1" applyAlignment="1">
      <alignment horizontal="right" vertical="center" wrapText="1"/>
    </xf>
    <xf numFmtId="0" fontId="62" fillId="37" borderId="184" xfId="0" applyFont="1" applyFill="1" applyBorder="1" applyAlignment="1">
      <alignment horizontal="center" vertical="center" wrapText="1"/>
    </xf>
    <xf numFmtId="41" fontId="59" fillId="0" borderId="47" xfId="0" applyNumberFormat="1" applyFont="1" applyBorder="1" applyAlignment="1">
      <alignment horizontal="right" vertical="center" wrapText="1"/>
    </xf>
    <xf numFmtId="41" fontId="59" fillId="0" borderId="0" xfId="0" applyNumberFormat="1" applyFont="1" applyAlignment="1">
      <alignment horizontal="right" vertical="center" wrapText="1"/>
    </xf>
    <xf numFmtId="41" fontId="59" fillId="39" borderId="126" xfId="0" applyNumberFormat="1" applyFont="1" applyFill="1" applyBorder="1" applyAlignment="1">
      <alignment horizontal="right" vertical="center" wrapText="1"/>
    </xf>
    <xf numFmtId="41" fontId="61" fillId="37" borderId="194" xfId="125" applyFont="1" applyFill="1" applyBorder="1" applyAlignment="1">
      <alignment horizontal="left" vertical="center" wrapText="1"/>
    </xf>
    <xf numFmtId="41" fontId="59" fillId="37" borderId="151" xfId="125" applyFont="1" applyFill="1" applyBorder="1" applyAlignment="1">
      <alignment horizontal="right" vertical="center" wrapText="1"/>
    </xf>
    <xf numFmtId="41" fontId="59" fillId="37" borderId="127" xfId="125" applyFont="1" applyFill="1" applyBorder="1" applyAlignment="1">
      <alignment horizontal="right" vertical="center" wrapText="1"/>
    </xf>
    <xf numFmtId="0" fontId="61" fillId="0" borderId="0" xfId="0" applyFont="1" applyAlignment="1">
      <alignment horizontal="left" vertical="center" wrapText="1"/>
    </xf>
    <xf numFmtId="0" fontId="61" fillId="0" borderId="0" xfId="0" applyFont="1" applyAlignment="1">
      <alignment horizontal="right" vertical="center" wrapText="1"/>
    </xf>
    <xf numFmtId="0" fontId="63" fillId="0" borderId="0" xfId="0" applyFont="1" applyAlignment="1">
      <alignment horizontal="center" vertical="center" wrapText="1"/>
    </xf>
    <xf numFmtId="0" fontId="63" fillId="0" borderId="0" xfId="0" applyFont="1" applyAlignment="1">
      <alignment horizontal="center" vertical="center" wrapText="1"/>
    </xf>
    <xf numFmtId="0" fontId="59" fillId="36" borderId="157" xfId="0" applyFont="1" applyFill="1" applyBorder="1" applyAlignment="1">
      <alignment horizontal="left" vertical="center" wrapText="1"/>
    </xf>
    <xf numFmtId="41" fontId="59" fillId="36" borderId="157" xfId="0" applyNumberFormat="1" applyFont="1" applyFill="1" applyBorder="1" applyAlignment="1">
      <alignment horizontal="right" vertical="center" wrapText="1"/>
    </xf>
    <xf numFmtId="0" fontId="69" fillId="0" borderId="0" xfId="190" applyFont="1" applyAlignment="1">
      <alignment horizontal="left" vertical="center" wrapText="1"/>
    </xf>
    <xf numFmtId="0" fontId="69" fillId="0" borderId="0" xfId="190" applyFont="1" applyAlignment="1">
      <alignment horizontal="right" vertical="center" wrapText="1"/>
    </xf>
    <xf numFmtId="0" fontId="70" fillId="0" borderId="0" xfId="190" applyFont="1" applyAlignment="1">
      <alignment horizontal="center" vertical="center" wrapText="1"/>
    </xf>
    <xf numFmtId="0" fontId="71" fillId="0" borderId="0" xfId="190" applyFont="1" applyAlignment="1">
      <alignment horizontal="center" vertical="center" wrapText="1"/>
    </xf>
    <xf numFmtId="0" fontId="73" fillId="0" borderId="0" xfId="190" applyFont="1" applyAlignment="1">
      <alignment horizontal="center" vertical="center" wrapText="1"/>
    </xf>
    <xf numFmtId="49" fontId="61" fillId="0" borderId="0" xfId="0" applyNumberFormat="1" applyFont="1" applyAlignment="1">
      <alignment horizontal="center" vertical="center" wrapText="1"/>
    </xf>
    <xf numFmtId="0" fontId="73" fillId="0" borderId="49" xfId="190" applyFont="1" applyBorder="1" applyAlignment="1">
      <alignment horizontal="center" vertical="center" wrapText="1"/>
    </xf>
    <xf numFmtId="49" fontId="62" fillId="0" borderId="0" xfId="0" applyNumberFormat="1" applyFont="1" applyAlignment="1">
      <alignment horizontal="center" vertical="center" wrapText="1"/>
    </xf>
    <xf numFmtId="0" fontId="71" fillId="0" borderId="49" xfId="190" applyFont="1" applyBorder="1" applyAlignment="1">
      <alignment horizontal="center" vertical="center" wrapText="1"/>
    </xf>
    <xf numFmtId="0" fontId="71" fillId="0" borderId="0" xfId="190" applyFont="1" applyAlignment="1">
      <alignment horizontal="center" vertical="center"/>
    </xf>
    <xf numFmtId="0" fontId="71" fillId="0" borderId="47" xfId="190" applyFont="1" applyBorder="1" applyAlignment="1">
      <alignment horizontal="center" vertical="center"/>
    </xf>
    <xf numFmtId="49" fontId="74" fillId="0" borderId="0" xfId="0" applyNumberFormat="1" applyFont="1" applyAlignment="1">
      <alignment horizontal="center" vertical="center" wrapText="1"/>
    </xf>
    <xf numFmtId="0" fontId="71" fillId="0" borderId="49" xfId="190" applyFont="1" applyBorder="1" applyAlignment="1">
      <alignment horizontal="center" vertical="center"/>
    </xf>
    <xf numFmtId="0" fontId="73" fillId="0" borderId="0" xfId="190" applyFont="1" applyAlignment="1">
      <alignment horizontal="center" vertical="center"/>
    </xf>
    <xf numFmtId="0" fontId="73" fillId="0" borderId="47" xfId="190" applyFont="1" applyBorder="1" applyAlignment="1">
      <alignment horizontal="center" vertical="center"/>
    </xf>
    <xf numFmtId="0" fontId="73" fillId="0" borderId="68" xfId="190" applyFont="1" applyBorder="1" applyAlignment="1">
      <alignment horizontal="center" vertical="center"/>
    </xf>
    <xf numFmtId="0" fontId="73" fillId="0" borderId="64" xfId="190" applyFont="1" applyBorder="1" applyAlignment="1">
      <alignment horizontal="center" vertical="center"/>
    </xf>
    <xf numFmtId="0" fontId="73" fillId="0" borderId="51" xfId="190" applyFont="1" applyBorder="1" applyAlignment="1">
      <alignment horizontal="center" vertical="center"/>
    </xf>
    <xf numFmtId="0" fontId="71" fillId="0" borderId="0" xfId="190" applyFont="1" applyAlignment="1">
      <alignment horizontal="center" vertical="center" wrapText="1"/>
    </xf>
    <xf numFmtId="41" fontId="69" fillId="36" borderId="195" xfId="125" applyFont="1" applyFill="1" applyBorder="1" applyAlignment="1">
      <alignment horizontal="right" vertical="center" wrapText="1"/>
    </xf>
    <xf numFmtId="0" fontId="69" fillId="37" borderId="0" xfId="190" applyFont="1" applyFill="1" applyAlignment="1">
      <alignment horizontal="left" vertical="center" wrapText="1"/>
    </xf>
    <xf numFmtId="0" fontId="71" fillId="0" borderId="106" xfId="190" applyFont="1" applyBorder="1" applyAlignment="1">
      <alignment horizontal="center" vertical="center" wrapText="1"/>
    </xf>
    <xf numFmtId="0" fontId="69" fillId="36" borderId="0" xfId="190" applyFont="1" applyFill="1" applyAlignment="1">
      <alignment horizontal="left" vertical="center" wrapText="1"/>
    </xf>
    <xf numFmtId="0" fontId="69" fillId="37" borderId="184" xfId="190" applyFont="1" applyFill="1" applyBorder="1" applyAlignment="1">
      <alignment horizontal="left" vertical="center" wrapText="1"/>
    </xf>
    <xf numFmtId="0" fontId="73" fillId="37" borderId="194" xfId="190" applyFont="1" applyFill="1" applyBorder="1" applyAlignment="1">
      <alignment horizontal="left" vertical="center" wrapText="1"/>
    </xf>
    <xf numFmtId="41" fontId="69" fillId="37" borderId="194" xfId="125" applyFont="1" applyFill="1" applyBorder="1" applyAlignment="1">
      <alignment horizontal="right" vertical="center" wrapText="1"/>
    </xf>
    <xf numFmtId="41" fontId="69" fillId="37" borderId="53" xfId="125" applyFont="1" applyFill="1" applyBorder="1" applyAlignment="1">
      <alignment horizontal="right" vertical="center" wrapText="1"/>
    </xf>
    <xf numFmtId="41" fontId="69" fillId="37" borderId="126" xfId="125" applyFont="1" applyFill="1" applyBorder="1" applyAlignment="1">
      <alignment horizontal="right" vertical="center" wrapText="1"/>
    </xf>
    <xf numFmtId="0" fontId="73" fillId="0" borderId="157" xfId="190" applyFont="1" applyBorder="1">
      <alignment vertical="center"/>
    </xf>
    <xf numFmtId="0" fontId="75" fillId="0" borderId="157" xfId="190" applyFont="1" applyBorder="1">
      <alignment vertical="center"/>
    </xf>
    <xf numFmtId="41" fontId="61" fillId="37" borderId="184" xfId="125" applyFont="1" applyFill="1" applyBorder="1" applyAlignment="1">
      <alignment horizontal="left" vertical="center" wrapText="1"/>
    </xf>
    <xf numFmtId="41" fontId="61" fillId="37" borderId="194" xfId="125" applyFont="1" applyFill="1" applyBorder="1" applyAlignment="1">
      <alignment horizontal="right" vertical="center" wrapText="1"/>
    </xf>
    <xf numFmtId="41" fontId="61" fillId="37" borderId="184" xfId="125" applyFont="1" applyFill="1" applyBorder="1" applyAlignment="1">
      <alignment horizontal="right" vertical="center" wrapText="1"/>
    </xf>
    <xf numFmtId="41" fontId="63" fillId="0" borderId="184" xfId="125" applyFont="1" applyFill="1" applyBorder="1" applyAlignment="1">
      <alignment horizontal="center" vertical="center" wrapText="1"/>
    </xf>
    <xf numFmtId="41" fontId="63" fillId="37" borderId="184" xfId="125" applyFont="1" applyFill="1" applyBorder="1" applyAlignment="1">
      <alignment horizontal="center" vertical="center" wrapText="1"/>
    </xf>
    <xf numFmtId="0" fontId="61" fillId="37" borderId="184" xfId="0" applyFont="1" applyFill="1" applyBorder="1" applyAlignment="1">
      <alignment horizontal="left" vertical="center" wrapText="1"/>
    </xf>
    <xf numFmtId="41" fontId="61" fillId="37" borderId="194" xfId="0" applyNumberFormat="1" applyFont="1" applyFill="1" applyBorder="1" applyAlignment="1">
      <alignment horizontal="right" vertical="center" wrapText="1"/>
    </xf>
    <xf numFmtId="41" fontId="61" fillId="37" borderId="126" xfId="0" applyNumberFormat="1" applyFont="1" applyFill="1" applyBorder="1" applyAlignment="1">
      <alignment horizontal="right" vertical="center" wrapText="1"/>
    </xf>
    <xf numFmtId="0" fontId="63" fillId="0" borderId="30" xfId="0" applyFont="1" applyBorder="1" applyAlignment="1">
      <alignment horizontal="center" vertical="center" wrapText="1"/>
    </xf>
    <xf numFmtId="41" fontId="61" fillId="37" borderId="0" xfId="0" applyNumberFormat="1" applyFont="1" applyFill="1" applyAlignment="1">
      <alignment horizontal="right" vertical="center" wrapText="1"/>
    </xf>
    <xf numFmtId="0" fontId="10" fillId="0" borderId="34" xfId="0" applyFont="1" applyBorder="1" applyAlignment="1">
      <alignment horizontal="center" vertical="center"/>
    </xf>
    <xf numFmtId="0" fontId="10" fillId="0" borderId="157" xfId="0" applyFont="1" applyBorder="1" applyAlignment="1">
      <alignment horizontal="center" vertical="center"/>
    </xf>
    <xf numFmtId="0" fontId="114" fillId="0" borderId="64" xfId="0" applyFont="1" applyBorder="1" applyAlignment="1">
      <alignment horizontal="center" vertical="center"/>
    </xf>
    <xf numFmtId="0" fontId="63" fillId="37" borderId="184" xfId="0" applyFont="1" applyFill="1" applyBorder="1" applyAlignment="1">
      <alignment horizontal="center" vertical="center" wrapText="1"/>
    </xf>
    <xf numFmtId="0" fontId="63" fillId="0" borderId="184" xfId="0" applyFont="1" applyBorder="1" applyAlignment="1">
      <alignment horizontal="center" vertical="center" wrapText="1"/>
    </xf>
    <xf numFmtId="49" fontId="61" fillId="0" borderId="0" xfId="183" applyNumberFormat="1" applyFont="1" applyAlignment="1">
      <alignment horizontal="center" vertical="center" wrapText="1"/>
    </xf>
    <xf numFmtId="49" fontId="61" fillId="0" borderId="148" xfId="183" applyNumberFormat="1" applyFont="1" applyBorder="1" applyAlignment="1">
      <alignment horizontal="center" vertical="center" wrapText="1"/>
    </xf>
    <xf numFmtId="49" fontId="74" fillId="0" borderId="0" xfId="183" applyNumberFormat="1" applyFont="1" applyAlignment="1">
      <alignment horizontal="center" vertical="center" wrapText="1"/>
    </xf>
    <xf numFmtId="49" fontId="77" fillId="0" borderId="148" xfId="183" applyNumberFormat="1" applyFont="1" applyBorder="1" applyAlignment="1">
      <alignment horizontal="center" vertical="center" wrapText="1"/>
    </xf>
    <xf numFmtId="49" fontId="62" fillId="0" borderId="143" xfId="183" applyNumberFormat="1" applyFont="1" applyBorder="1" applyAlignment="1">
      <alignment horizontal="center" vertical="center" wrapText="1"/>
    </xf>
    <xf numFmtId="49" fontId="62" fillId="0" borderId="152" xfId="183" applyNumberFormat="1" applyFont="1" applyBorder="1" applyAlignment="1">
      <alignment horizontal="center" vertical="center" wrapText="1"/>
    </xf>
    <xf numFmtId="49" fontId="74" fillId="0" borderId="0" xfId="183" applyNumberFormat="1" applyFont="1" applyAlignment="1">
      <alignment horizontal="center" vertical="center" wrapText="1"/>
    </xf>
    <xf numFmtId="0" fontId="62" fillId="0" borderId="196" xfId="0" applyFont="1" applyBorder="1" applyAlignment="1">
      <alignment horizontal="center" vertical="center" wrapText="1"/>
    </xf>
    <xf numFmtId="49" fontId="80" fillId="4" borderId="152" xfId="183" applyNumberFormat="1" applyFont="1" applyFill="1" applyBorder="1" applyAlignment="1">
      <alignment horizontal="left" vertical="center" wrapText="1"/>
    </xf>
    <xf numFmtId="41" fontId="79" fillId="4" borderId="147" xfId="183" applyNumberFormat="1" applyFont="1" applyFill="1" applyBorder="1" applyAlignment="1">
      <alignment horizontal="right" vertical="center" wrapText="1"/>
    </xf>
    <xf numFmtId="41" fontId="79" fillId="0" borderId="185" xfId="183" applyNumberFormat="1" applyFont="1" applyBorder="1" applyAlignment="1">
      <alignment horizontal="right" vertical="center" wrapText="1"/>
    </xf>
    <xf numFmtId="49" fontId="79" fillId="0" borderId="197" xfId="183" applyNumberFormat="1" applyFont="1" applyBorder="1" applyAlignment="1">
      <alignment horizontal="left" vertical="center" wrapText="1"/>
    </xf>
    <xf numFmtId="49" fontId="80" fillId="0" borderId="198" xfId="183" applyNumberFormat="1" applyFont="1" applyBorder="1" applyAlignment="1">
      <alignment horizontal="left" vertical="center" wrapText="1"/>
    </xf>
    <xf numFmtId="41" fontId="79" fillId="0" borderId="199" xfId="183" applyNumberFormat="1" applyFont="1" applyBorder="1" applyAlignment="1">
      <alignment horizontal="right" vertical="center" wrapText="1"/>
    </xf>
    <xf numFmtId="41" fontId="79" fillId="0" borderId="200" xfId="183" applyNumberFormat="1" applyFont="1" applyBorder="1" applyAlignment="1">
      <alignment horizontal="right" vertical="center" wrapText="1"/>
    </xf>
    <xf numFmtId="41" fontId="79" fillId="0" borderId="201" xfId="183" applyNumberFormat="1" applyFont="1" applyBorder="1" applyAlignment="1">
      <alignment horizontal="right" vertical="center" wrapText="1"/>
    </xf>
    <xf numFmtId="41" fontId="79" fillId="0" borderId="202" xfId="183" applyNumberFormat="1" applyFont="1" applyBorder="1" applyAlignment="1">
      <alignment horizontal="right" vertical="center" wrapText="1"/>
    </xf>
    <xf numFmtId="0" fontId="62" fillId="0" borderId="203" xfId="187" applyFont="1" applyBorder="1" applyAlignment="1">
      <alignment horizontal="center" vertical="center" wrapText="1"/>
    </xf>
    <xf numFmtId="0" fontId="79" fillId="36" borderId="157" xfId="187" applyFont="1" applyFill="1" applyBorder="1" applyAlignment="1">
      <alignment horizontal="left" vertical="top" wrapText="1"/>
    </xf>
    <xf numFmtId="0" fontId="79" fillId="37" borderId="0" xfId="187" applyFont="1" applyFill="1" applyAlignment="1">
      <alignment horizontal="left" vertical="top" wrapText="1"/>
    </xf>
    <xf numFmtId="0" fontId="79" fillId="36" borderId="0" xfId="187" applyFont="1" applyFill="1" applyAlignment="1">
      <alignment horizontal="left" vertical="top" wrapText="1"/>
    </xf>
    <xf numFmtId="41" fontId="79" fillId="4" borderId="185" xfId="183" applyNumberFormat="1" applyFont="1" applyFill="1" applyBorder="1" applyAlignment="1">
      <alignment horizontal="right" vertical="center" wrapText="1"/>
    </xf>
    <xf numFmtId="0" fontId="80" fillId="37" borderId="0" xfId="187" applyFont="1" applyFill="1" applyAlignment="1">
      <alignment horizontal="left" vertical="center" wrapText="1"/>
    </xf>
    <xf numFmtId="0" fontId="79" fillId="37" borderId="124" xfId="187" applyFont="1" applyFill="1" applyBorder="1" applyAlignment="1">
      <alignment horizontal="left" vertical="top" wrapText="1"/>
    </xf>
    <xf numFmtId="41" fontId="79" fillId="37" borderId="204" xfId="187" applyNumberFormat="1" applyFont="1" applyFill="1" applyBorder="1" applyAlignment="1">
      <alignment horizontal="right" vertical="center" wrapText="1"/>
    </xf>
    <xf numFmtId="49" fontId="79" fillId="0" borderId="124" xfId="183" applyNumberFormat="1" applyFont="1" applyBorder="1" applyAlignment="1">
      <alignment horizontal="left" vertical="center" wrapText="1"/>
    </xf>
    <xf numFmtId="0" fontId="67" fillId="0" borderId="0" xfId="0" applyFont="1" applyAlignment="1">
      <alignment horizontal="left" vertical="center"/>
    </xf>
    <xf numFmtId="49" fontId="80" fillId="0" borderId="197" xfId="183" applyNumberFormat="1" applyFont="1" applyBorder="1" applyAlignment="1">
      <alignment horizontal="left" vertical="center" wrapText="1"/>
    </xf>
    <xf numFmtId="0" fontId="82" fillId="0" borderId="197" xfId="183" applyFont="1" applyBorder="1" applyAlignment="1">
      <alignment horizontal="right"/>
    </xf>
    <xf numFmtId="49" fontId="80" fillId="0" borderId="0" xfId="183" applyNumberFormat="1" applyFont="1" applyAlignment="1">
      <alignment horizontal="center" vertical="center" wrapText="1"/>
    </xf>
    <xf numFmtId="49" fontId="61" fillId="0" borderId="148" xfId="176" applyNumberFormat="1" applyFont="1" applyBorder="1" applyAlignment="1">
      <alignment horizontal="center" vertical="center" wrapText="1"/>
    </xf>
    <xf numFmtId="49" fontId="85" fillId="0" borderId="0" xfId="183" applyNumberFormat="1" applyFont="1" applyAlignment="1">
      <alignment horizontal="center" vertical="center" wrapText="1"/>
    </xf>
    <xf numFmtId="49" fontId="86" fillId="0" borderId="148" xfId="183" applyNumberFormat="1" applyFont="1" applyBorder="1" applyAlignment="1">
      <alignment horizontal="center" vertical="center" wrapText="1"/>
    </xf>
    <xf numFmtId="49" fontId="80" fillId="0" borderId="0" xfId="183" applyNumberFormat="1" applyFont="1" applyAlignment="1">
      <alignment horizontal="center" vertical="center" wrapText="1"/>
    </xf>
    <xf numFmtId="41" fontId="79" fillId="4" borderId="135" xfId="183" applyNumberFormat="1" applyFont="1" applyFill="1" applyBorder="1" applyAlignment="1">
      <alignment horizontal="right" vertical="center" wrapText="1"/>
    </xf>
    <xf numFmtId="41" fontId="79" fillId="4" borderId="143" xfId="183" applyNumberFormat="1" applyFont="1" applyFill="1" applyBorder="1" applyAlignment="1">
      <alignment horizontal="right" vertical="center" wrapText="1"/>
    </xf>
    <xf numFmtId="0" fontId="83" fillId="0" borderId="30" xfId="187" applyFont="1" applyBorder="1" applyAlignment="1">
      <alignment horizontal="center" vertical="center" wrapText="1"/>
    </xf>
    <xf numFmtId="41" fontId="79" fillId="36" borderId="157" xfId="187" applyNumberFormat="1" applyFont="1" applyFill="1" applyBorder="1" applyAlignment="1">
      <alignment horizontal="right" vertical="center" wrapText="1"/>
    </xf>
    <xf numFmtId="41" fontId="79" fillId="37" borderId="0" xfId="187" applyNumberFormat="1" applyFont="1" applyFill="1" applyAlignment="1">
      <alignment horizontal="right" vertical="center" wrapText="1"/>
    </xf>
    <xf numFmtId="41" fontId="79" fillId="0" borderId="0" xfId="183" applyNumberFormat="1" applyFont="1" applyAlignment="1">
      <alignment horizontal="right" vertical="center" wrapText="1"/>
    </xf>
    <xf numFmtId="41" fontId="79" fillId="36" borderId="0" xfId="187" applyNumberFormat="1" applyFont="1" applyFill="1" applyAlignment="1">
      <alignment horizontal="right" vertical="center" wrapText="1"/>
    </xf>
    <xf numFmtId="41" fontId="79" fillId="37" borderId="124" xfId="187" applyNumberFormat="1" applyFont="1" applyFill="1" applyBorder="1" applyAlignment="1">
      <alignment horizontal="right" vertical="center" wrapText="1"/>
    </xf>
    <xf numFmtId="49" fontId="79" fillId="4" borderId="157" xfId="183" applyNumberFormat="1" applyFont="1" applyFill="1" applyBorder="1" applyAlignment="1">
      <alignment horizontal="left" vertical="center" wrapText="1"/>
    </xf>
    <xf numFmtId="0" fontId="80" fillId="0" borderId="0" xfId="0" applyFont="1">
      <alignment vertical="center"/>
    </xf>
    <xf numFmtId="0" fontId="88" fillId="0" borderId="0" xfId="0" applyFont="1">
      <alignment vertical="center"/>
    </xf>
    <xf numFmtId="49" fontId="112" fillId="0" borderId="197" xfId="183" applyNumberFormat="1" applyFont="1" applyBorder="1" applyAlignment="1">
      <alignment horizontal="left" vertical="center" wrapText="1"/>
    </xf>
    <xf numFmtId="0" fontId="21" fillId="0" borderId="197" xfId="183" applyFont="1" applyBorder="1" applyAlignment="1">
      <alignment horizontal="right"/>
    </xf>
    <xf numFmtId="49" fontId="112" fillId="0" borderId="0" xfId="183" applyNumberFormat="1" applyFont="1" applyAlignment="1">
      <alignment horizontal="center" vertical="center" wrapText="1"/>
    </xf>
    <xf numFmtId="49" fontId="115" fillId="0" borderId="0" xfId="183" applyNumberFormat="1" applyFont="1" applyAlignment="1">
      <alignment horizontal="center" vertical="center" wrapText="1"/>
    </xf>
    <xf numFmtId="49" fontId="113" fillId="0" borderId="143" xfId="183" applyNumberFormat="1" applyFont="1" applyBorder="1" applyAlignment="1">
      <alignment horizontal="center" vertical="center" wrapText="1"/>
    </xf>
    <xf numFmtId="49" fontId="113" fillId="0" borderId="152" xfId="183" applyNumberFormat="1" applyFont="1" applyBorder="1" applyAlignment="1">
      <alignment horizontal="center" vertical="center" wrapText="1"/>
    </xf>
    <xf numFmtId="49" fontId="112" fillId="0" borderId="0" xfId="183" applyNumberFormat="1" applyFont="1" applyAlignment="1">
      <alignment horizontal="center" vertical="center" wrapText="1"/>
    </xf>
    <xf numFmtId="49" fontId="112" fillId="4" borderId="152" xfId="183" applyNumberFormat="1" applyFont="1" applyFill="1" applyBorder="1" applyAlignment="1">
      <alignment horizontal="left" vertical="center" wrapText="1"/>
    </xf>
    <xf numFmtId="41" fontId="111" fillId="4" borderId="135" xfId="183" applyNumberFormat="1" applyFont="1" applyFill="1" applyBorder="1" applyAlignment="1">
      <alignment horizontal="right" vertical="center" wrapText="1"/>
    </xf>
    <xf numFmtId="41" fontId="111" fillId="4" borderId="143" xfId="183" applyNumberFormat="1" applyFont="1" applyFill="1" applyBorder="1" applyAlignment="1">
      <alignment horizontal="right" vertical="center" wrapText="1"/>
    </xf>
    <xf numFmtId="0" fontId="111" fillId="37" borderId="0" xfId="187" applyFont="1" applyFill="1" applyAlignment="1">
      <alignment horizontal="left" vertical="top" wrapText="1"/>
    </xf>
    <xf numFmtId="41" fontId="111" fillId="0" borderId="149" xfId="183" applyNumberFormat="1" applyFont="1" applyBorder="1" applyAlignment="1">
      <alignment horizontal="right" vertical="center" wrapText="1"/>
    </xf>
    <xf numFmtId="41" fontId="111" fillId="0" borderId="148" xfId="183" applyNumberFormat="1" applyFont="1" applyBorder="1" applyAlignment="1">
      <alignment horizontal="right" vertical="center" wrapText="1"/>
    </xf>
    <xf numFmtId="0" fontId="111" fillId="37" borderId="124" xfId="187" applyFont="1" applyFill="1" applyBorder="1" applyAlignment="1">
      <alignment horizontal="left" vertical="top" wrapText="1"/>
    </xf>
    <xf numFmtId="0" fontId="113" fillId="0" borderId="30" xfId="187" applyFont="1" applyBorder="1" applyAlignment="1">
      <alignment horizontal="center" vertical="center" wrapText="1"/>
    </xf>
    <xf numFmtId="0" fontId="111" fillId="36" borderId="157" xfId="187" applyFont="1" applyFill="1" applyBorder="1" applyAlignment="1">
      <alignment horizontal="left" vertical="top" wrapText="1"/>
    </xf>
    <xf numFmtId="41" fontId="111" fillId="37" borderId="0" xfId="187" applyNumberFormat="1" applyFont="1" applyFill="1" applyAlignment="1">
      <alignment horizontal="right" vertical="center" wrapText="1"/>
    </xf>
    <xf numFmtId="0" fontId="111" fillId="36" borderId="0" xfId="187" applyFont="1" applyFill="1" applyAlignment="1">
      <alignment horizontal="left" vertical="top" wrapText="1"/>
    </xf>
    <xf numFmtId="41" fontId="111" fillId="4" borderId="149" xfId="183" applyNumberFormat="1" applyFont="1" applyFill="1" applyBorder="1" applyAlignment="1">
      <alignment horizontal="right" vertical="center" wrapText="1"/>
    </xf>
    <xf numFmtId="41" fontId="111" fillId="0" borderId="0" xfId="183" applyNumberFormat="1" applyFont="1" applyAlignment="1">
      <alignment horizontal="right" vertical="center" wrapText="1"/>
    </xf>
    <xf numFmtId="41" fontId="111" fillId="36" borderId="0" xfId="187" applyNumberFormat="1" applyFont="1" applyFill="1" applyAlignment="1">
      <alignment horizontal="right" vertical="center" wrapText="1"/>
    </xf>
    <xf numFmtId="41" fontId="111" fillId="37" borderId="124" xfId="187" applyNumberFormat="1" applyFont="1" applyFill="1" applyBorder="1" applyAlignment="1">
      <alignment horizontal="right" vertical="center" wrapText="1"/>
    </xf>
    <xf numFmtId="41" fontId="111" fillId="37" borderId="205" xfId="187" applyNumberFormat="1" applyFont="1" applyFill="1" applyBorder="1" applyAlignment="1">
      <alignment horizontal="right" vertical="center" wrapText="1"/>
    </xf>
    <xf numFmtId="41" fontId="111" fillId="37" borderId="204" xfId="187" applyNumberFormat="1" applyFont="1" applyFill="1" applyBorder="1" applyAlignment="1">
      <alignment horizontal="right" vertical="center" wrapText="1"/>
    </xf>
    <xf numFmtId="49" fontId="111" fillId="4" borderId="157" xfId="183" applyNumberFormat="1" applyFont="1" applyFill="1" applyBorder="1" applyAlignment="1">
      <alignment horizontal="left" vertical="center" wrapText="1"/>
    </xf>
    <xf numFmtId="0" fontId="18" fillId="0" borderId="0" xfId="0" applyFont="1" applyAlignment="1">
      <alignment vertical="center" wrapText="1"/>
    </xf>
    <xf numFmtId="0" fontId="18" fillId="0" borderId="0" xfId="0" applyFont="1" applyAlignment="1">
      <alignment horizontal="center" vertical="center" wrapText="1"/>
    </xf>
    <xf numFmtId="0" fontId="18" fillId="0" borderId="0" xfId="0" applyFont="1" applyAlignment="1">
      <alignment horizontal="center" vertical="center" wrapText="1"/>
    </xf>
    <xf numFmtId="0" fontId="120" fillId="0" borderId="0" xfId="0" applyFont="1" applyAlignment="1">
      <alignment horizontal="center" vertical="center" wrapText="1"/>
    </xf>
    <xf numFmtId="41" fontId="18" fillId="36" borderId="206" xfId="125" applyFont="1" applyFill="1" applyBorder="1" applyAlignment="1">
      <alignment horizontal="right" vertical="center" wrapText="1"/>
    </xf>
    <xf numFmtId="0" fontId="118" fillId="0" borderId="106" xfId="0" applyFont="1" applyBorder="1" applyAlignment="1">
      <alignment horizontal="center" vertical="center" wrapText="1"/>
    </xf>
    <xf numFmtId="0" fontId="114" fillId="37" borderId="0" xfId="0" applyFont="1" applyFill="1" applyAlignment="1">
      <alignment horizontal="left" vertical="center" wrapText="1"/>
    </xf>
    <xf numFmtId="0" fontId="114" fillId="0" borderId="0" xfId="0" applyFont="1" applyAlignment="1">
      <alignment horizontal="left" vertical="center" wrapText="1"/>
    </xf>
    <xf numFmtId="41" fontId="18" fillId="36" borderId="195" xfId="125" applyFont="1" applyFill="1" applyBorder="1" applyAlignment="1">
      <alignment horizontal="right" vertical="center" wrapText="1"/>
    </xf>
    <xf numFmtId="0" fontId="114" fillId="0" borderId="0" xfId="0" applyFont="1" applyAlignment="1">
      <alignment horizontal="left" vertical="center" wrapText="1"/>
    </xf>
    <xf numFmtId="0" fontId="112" fillId="0" borderId="0" xfId="0" applyFont="1" applyAlignment="1">
      <alignment horizontal="left" vertical="center"/>
    </xf>
    <xf numFmtId="41" fontId="18" fillId="36" borderId="207" xfId="125" applyFont="1" applyFill="1" applyBorder="1" applyAlignment="1">
      <alignment horizontal="right" vertical="center" wrapText="1"/>
    </xf>
    <xf numFmtId="0" fontId="114" fillId="0" borderId="0" xfId="0" applyFont="1" applyAlignment="1">
      <alignment vertical="center" wrapText="1"/>
    </xf>
    <xf numFmtId="0" fontId="118" fillId="0" borderId="157" xfId="0" applyFont="1" applyBorder="1" applyAlignment="1">
      <alignment horizontal="center" vertical="center" wrapText="1"/>
    </xf>
    <xf numFmtId="0" fontId="118" fillId="0" borderId="57" xfId="0" applyFont="1" applyBorder="1" applyAlignment="1">
      <alignment horizontal="center" vertical="center" wrapText="1"/>
    </xf>
    <xf numFmtId="0" fontId="118" fillId="0" borderId="150"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34" xfId="0" applyFont="1" applyBorder="1" applyAlignment="1">
      <alignment horizontal="center" vertical="center" wrapText="1"/>
    </xf>
    <xf numFmtId="0" fontId="18" fillId="44" borderId="0" xfId="0" applyFont="1" applyFill="1" applyAlignment="1">
      <alignment horizontal="left" vertical="center" wrapText="1"/>
    </xf>
    <xf numFmtId="0" fontId="114" fillId="44" borderId="47" xfId="0" applyFont="1" applyFill="1" applyBorder="1" applyAlignment="1">
      <alignment horizontal="left" vertical="center" wrapText="1"/>
    </xf>
    <xf numFmtId="41" fontId="18" fillId="44" borderId="48" xfId="0" applyNumberFormat="1" applyFont="1" applyFill="1" applyBorder="1" applyAlignment="1">
      <alignment horizontal="right" vertical="center" wrapText="1"/>
    </xf>
    <xf numFmtId="41" fontId="18" fillId="44" borderId="56" xfId="0" applyNumberFormat="1" applyFont="1" applyFill="1" applyBorder="1" applyAlignment="1">
      <alignment horizontal="right" vertical="center" wrapText="1"/>
    </xf>
    <xf numFmtId="41" fontId="18" fillId="44" borderId="13" xfId="0" applyNumberFormat="1" applyFont="1" applyFill="1" applyBorder="1" applyAlignment="1">
      <alignment horizontal="right" vertical="center" wrapText="1"/>
    </xf>
    <xf numFmtId="41" fontId="18" fillId="44" borderId="11" xfId="0" applyNumberFormat="1" applyFont="1" applyFill="1" applyBorder="1" applyAlignment="1">
      <alignment horizontal="right" vertical="center" wrapText="1"/>
    </xf>
    <xf numFmtId="0" fontId="114" fillId="0" borderId="47" xfId="0" applyFont="1" applyBorder="1" applyAlignment="1">
      <alignment horizontal="left" vertical="center" wrapText="1"/>
    </xf>
    <xf numFmtId="41" fontId="18" fillId="0" borderId="48" xfId="0" applyNumberFormat="1" applyFont="1" applyBorder="1" applyAlignment="1">
      <alignment horizontal="right" vertical="center" wrapText="1"/>
    </xf>
    <xf numFmtId="41" fontId="18" fillId="0" borderId="56" xfId="0" applyNumberFormat="1" applyFont="1" applyBorder="1" applyAlignment="1">
      <alignment horizontal="right" vertical="center" wrapText="1"/>
    </xf>
    <xf numFmtId="41" fontId="18" fillId="0" borderId="13" xfId="0" applyNumberFormat="1" applyFont="1" applyBorder="1" applyAlignment="1">
      <alignment horizontal="right" vertical="center" wrapText="1"/>
    </xf>
    <xf numFmtId="41" fontId="18" fillId="0" borderId="11" xfId="0" applyNumberFormat="1" applyFont="1" applyBorder="1" applyAlignment="1">
      <alignment horizontal="right" vertical="center" wrapText="1"/>
    </xf>
    <xf numFmtId="0" fontId="18" fillId="0" borderId="124" xfId="0" applyFont="1" applyBorder="1" applyAlignment="1">
      <alignment horizontal="left" vertical="center" wrapText="1"/>
    </xf>
    <xf numFmtId="0" fontId="114" fillId="0" borderId="50" xfId="0" applyFont="1" applyBorder="1" applyAlignment="1">
      <alignment horizontal="left" vertical="center" wrapText="1"/>
    </xf>
    <xf numFmtId="41" fontId="18" fillId="0" borderId="53" xfId="0" applyNumberFormat="1" applyFont="1" applyBorder="1" applyAlignment="1">
      <alignment horizontal="right" vertical="center" wrapText="1"/>
    </xf>
    <xf numFmtId="41" fontId="18" fillId="0" borderId="63" xfId="0" applyNumberFormat="1" applyFont="1" applyBorder="1" applyAlignment="1">
      <alignment horizontal="right" vertical="center" wrapText="1"/>
    </xf>
    <xf numFmtId="41" fontId="18" fillId="0" borderId="14" xfId="0" applyNumberFormat="1" applyFont="1" applyBorder="1" applyAlignment="1">
      <alignment horizontal="right" vertical="center" wrapText="1"/>
    </xf>
    <xf numFmtId="41" fontId="18" fillId="0" borderId="15" xfId="0" applyNumberFormat="1" applyFont="1" applyBorder="1" applyAlignment="1">
      <alignment horizontal="right" vertical="center" wrapText="1"/>
    </xf>
    <xf numFmtId="0" fontId="18" fillId="44" borderId="157" xfId="0" applyFont="1" applyFill="1" applyBorder="1" applyAlignment="1">
      <alignment horizontal="left" vertical="center" wrapText="1"/>
    </xf>
    <xf numFmtId="0" fontId="114" fillId="44" borderId="69" xfId="0" applyFont="1" applyFill="1" applyBorder="1" applyAlignment="1">
      <alignment horizontal="left" vertical="center" wrapText="1"/>
    </xf>
    <xf numFmtId="41" fontId="18" fillId="44" borderId="69" xfId="0" applyNumberFormat="1" applyFont="1" applyFill="1" applyBorder="1" applyAlignment="1">
      <alignment horizontal="right" vertical="center" wrapText="1"/>
    </xf>
    <xf numFmtId="41" fontId="18" fillId="44" borderId="150" xfId="0" applyNumberFormat="1" applyFont="1" applyFill="1" applyBorder="1" applyAlignment="1">
      <alignment horizontal="right" vertical="center" wrapText="1"/>
    </xf>
    <xf numFmtId="41" fontId="18" fillId="44" borderId="73" xfId="0" applyNumberFormat="1" applyFont="1" applyFill="1" applyBorder="1" applyAlignment="1">
      <alignment horizontal="right" vertical="center" wrapText="1"/>
    </xf>
    <xf numFmtId="41" fontId="18" fillId="44" borderId="55" xfId="0" applyNumberFormat="1" applyFont="1" applyFill="1" applyBorder="1" applyAlignment="1">
      <alignment horizontal="right" vertical="center" wrapText="1"/>
    </xf>
    <xf numFmtId="41" fontId="18" fillId="0" borderId="47" xfId="0" applyNumberFormat="1" applyFont="1" applyBorder="1" applyAlignment="1">
      <alignment horizontal="right" vertical="center" wrapText="1"/>
    </xf>
    <xf numFmtId="41" fontId="18" fillId="0" borderId="59" xfId="0" applyNumberFormat="1" applyFont="1" applyBorder="1" applyAlignment="1">
      <alignment horizontal="right" vertical="center" wrapText="1"/>
    </xf>
    <xf numFmtId="41" fontId="18" fillId="0" borderId="49" xfId="0" applyNumberFormat="1" applyFont="1" applyBorder="1" applyAlignment="1">
      <alignment horizontal="right" vertical="center" wrapText="1"/>
    </xf>
    <xf numFmtId="41" fontId="18" fillId="44" borderId="47" xfId="0" applyNumberFormat="1" applyFont="1" applyFill="1" applyBorder="1" applyAlignment="1">
      <alignment horizontal="right" vertical="center" wrapText="1"/>
    </xf>
    <xf numFmtId="41" fontId="18" fillId="44" borderId="59" xfId="0" applyNumberFormat="1" applyFont="1" applyFill="1" applyBorder="1" applyAlignment="1">
      <alignment horizontal="right" vertical="center" wrapText="1"/>
    </xf>
    <xf numFmtId="41" fontId="18" fillId="44" borderId="49" xfId="0" applyNumberFormat="1" applyFont="1" applyFill="1" applyBorder="1" applyAlignment="1">
      <alignment horizontal="right" vertical="center" wrapText="1"/>
    </xf>
    <xf numFmtId="41" fontId="18" fillId="0" borderId="50" xfId="0" applyNumberFormat="1" applyFont="1" applyBorder="1" applyAlignment="1">
      <alignment horizontal="right" vertical="center" wrapText="1"/>
    </xf>
    <xf numFmtId="41" fontId="18" fillId="0" borderId="60" xfId="0" applyNumberFormat="1" applyFont="1" applyBorder="1" applyAlignment="1">
      <alignment horizontal="right" vertical="center" wrapText="1"/>
    </xf>
    <xf numFmtId="41" fontId="18" fillId="0" borderId="52" xfId="0" applyNumberFormat="1" applyFont="1" applyBorder="1" applyAlignment="1">
      <alignment horizontal="right" vertical="center" wrapText="1"/>
    </xf>
    <xf numFmtId="41" fontId="18" fillId="44" borderId="157" xfId="0" applyNumberFormat="1" applyFont="1" applyFill="1" applyBorder="1" applyAlignment="1">
      <alignment horizontal="right" vertical="center" wrapText="1"/>
    </xf>
    <xf numFmtId="41" fontId="18" fillId="0" borderId="0" xfId="0" applyNumberFormat="1" applyFont="1" applyAlignment="1">
      <alignment horizontal="right" vertical="center" wrapText="1"/>
    </xf>
    <xf numFmtId="41" fontId="18" fillId="44" borderId="0" xfId="0" applyNumberFormat="1" applyFont="1" applyFill="1" applyAlignment="1">
      <alignment horizontal="right" vertical="center" wrapText="1"/>
    </xf>
    <xf numFmtId="41" fontId="18" fillId="0" borderId="124" xfId="0" applyNumberFormat="1" applyFont="1" applyBorder="1" applyAlignment="1">
      <alignment horizontal="right" vertical="center" wrapText="1"/>
    </xf>
    <xf numFmtId="0" fontId="112" fillId="0" borderId="0" xfId="0" applyFont="1" applyAlignment="1">
      <alignment horizontal="center" vertical="center" wrapText="1"/>
    </xf>
    <xf numFmtId="0" fontId="117" fillId="44" borderId="47" xfId="0" applyFont="1" applyFill="1" applyBorder="1" applyAlignment="1">
      <alignment horizontal="left" vertical="center" wrapText="1"/>
    </xf>
    <xf numFmtId="41" fontId="18" fillId="44" borderId="47" xfId="125" applyFont="1" applyFill="1" applyBorder="1" applyAlignment="1">
      <alignment horizontal="right" vertical="center" wrapText="1"/>
    </xf>
    <xf numFmtId="0" fontId="18" fillId="44" borderId="13" xfId="125" applyNumberFormat="1" applyFont="1" applyFill="1" applyBorder="1" applyAlignment="1">
      <alignment horizontal="right" vertical="center" wrapText="1"/>
    </xf>
    <xf numFmtId="41" fontId="18" fillId="44" borderId="13" xfId="125" applyFont="1" applyFill="1" applyBorder="1" applyAlignment="1">
      <alignment horizontal="right" vertical="center" wrapText="1"/>
    </xf>
    <xf numFmtId="41" fontId="18" fillId="44" borderId="94" xfId="125" applyFont="1" applyFill="1" applyBorder="1" applyAlignment="1">
      <alignment horizontal="right" vertical="center" wrapText="1"/>
    </xf>
    <xf numFmtId="41" fontId="18" fillId="44" borderId="97" xfId="125" applyFont="1" applyFill="1" applyBorder="1" applyAlignment="1">
      <alignment horizontal="right" vertical="center" wrapText="1"/>
    </xf>
    <xf numFmtId="41" fontId="18" fillId="44" borderId="59" xfId="125" applyFont="1" applyFill="1" applyBorder="1" applyAlignment="1">
      <alignment horizontal="right" vertical="center" wrapText="1"/>
    </xf>
    <xf numFmtId="41" fontId="18" fillId="44" borderId="48" xfId="125" applyFont="1" applyFill="1" applyBorder="1" applyAlignment="1">
      <alignment horizontal="right" vertical="center" wrapText="1"/>
    </xf>
    <xf numFmtId="41" fontId="18" fillId="44" borderId="0" xfId="125" applyFont="1" applyFill="1" applyBorder="1" applyAlignment="1">
      <alignment horizontal="right" vertical="center" wrapText="1"/>
    </xf>
    <xf numFmtId="0" fontId="117" fillId="0" borderId="47" xfId="0" applyFont="1" applyBorder="1" applyAlignment="1">
      <alignment horizontal="left" vertical="center" wrapText="1"/>
    </xf>
    <xf numFmtId="41" fontId="18" fillId="0" borderId="47" xfId="125" applyFont="1" applyFill="1" applyBorder="1" applyAlignment="1">
      <alignment horizontal="right" vertical="center" wrapText="1"/>
    </xf>
    <xf numFmtId="0" fontId="18" fillId="0" borderId="13" xfId="125" applyNumberFormat="1" applyFont="1" applyFill="1" applyBorder="1" applyAlignment="1">
      <alignment horizontal="right" vertical="center" wrapText="1"/>
    </xf>
    <xf numFmtId="41" fontId="18" fillId="0" borderId="13" xfId="125" applyFont="1" applyFill="1" applyBorder="1" applyAlignment="1">
      <alignment horizontal="right" vertical="center" wrapText="1"/>
    </xf>
    <xf numFmtId="41" fontId="18" fillId="0" borderId="94" xfId="125" applyFont="1" applyFill="1" applyBorder="1" applyAlignment="1">
      <alignment horizontal="right" vertical="center" wrapText="1"/>
    </xf>
    <xf numFmtId="41" fontId="18" fillId="0" borderId="97" xfId="125" applyFont="1" applyFill="1" applyBorder="1" applyAlignment="1">
      <alignment horizontal="right" vertical="center" wrapText="1"/>
    </xf>
    <xf numFmtId="41" fontId="18" fillId="0" borderId="59" xfId="125" applyFont="1" applyFill="1" applyBorder="1" applyAlignment="1">
      <alignment horizontal="right" vertical="center" wrapText="1"/>
    </xf>
    <xf numFmtId="41" fontId="18" fillId="0" borderId="48" xfId="125" applyFont="1" applyFill="1" applyBorder="1" applyAlignment="1">
      <alignment horizontal="right" vertical="center" wrapText="1"/>
    </xf>
    <xf numFmtId="0" fontId="117" fillId="0" borderId="50" xfId="0" applyFont="1" applyBorder="1" applyAlignment="1">
      <alignment horizontal="left" vertical="center" wrapText="1"/>
    </xf>
    <xf numFmtId="41" fontId="18" fillId="0" borderId="50" xfId="125" applyFont="1" applyFill="1" applyBorder="1" applyAlignment="1">
      <alignment horizontal="right" vertical="center" wrapText="1"/>
    </xf>
    <xf numFmtId="0" fontId="18" fillId="0" borderId="14" xfId="125" applyNumberFormat="1" applyFont="1" applyFill="1" applyBorder="1" applyAlignment="1">
      <alignment horizontal="right" vertical="center" wrapText="1"/>
    </xf>
    <xf numFmtId="41" fontId="18" fillId="0" borderId="14" xfId="125" applyFont="1" applyFill="1" applyBorder="1" applyAlignment="1">
      <alignment horizontal="right" vertical="center" wrapText="1"/>
    </xf>
    <xf numFmtId="41" fontId="18" fillId="0" borderId="96" xfId="125" applyFont="1" applyFill="1" applyBorder="1" applyAlignment="1">
      <alignment horizontal="right" vertical="center" wrapText="1"/>
    </xf>
    <xf numFmtId="41" fontId="18" fillId="0" borderId="99" xfId="125" applyFont="1" applyFill="1" applyBorder="1" applyAlignment="1">
      <alignment horizontal="right" vertical="center" wrapText="1"/>
    </xf>
    <xf numFmtId="41" fontId="18" fillId="0" borderId="60" xfId="125" applyFont="1" applyFill="1" applyBorder="1" applyAlignment="1">
      <alignment horizontal="right" vertical="center" wrapText="1"/>
    </xf>
    <xf numFmtId="41" fontId="18" fillId="0" borderId="53" xfId="125" applyFont="1" applyFill="1" applyBorder="1" applyAlignment="1">
      <alignment horizontal="right" vertical="center" wrapText="1"/>
    </xf>
    <xf numFmtId="41" fontId="18" fillId="0" borderId="124" xfId="125" applyFont="1" applyFill="1" applyBorder="1" applyAlignment="1">
      <alignment horizontal="right" vertical="center" wrapText="1"/>
    </xf>
    <xf numFmtId="0" fontId="117" fillId="44" borderId="69" xfId="0" applyFont="1" applyFill="1" applyBorder="1" applyAlignment="1">
      <alignment horizontal="left" vertical="center" wrapText="1"/>
    </xf>
    <xf numFmtId="41" fontId="18" fillId="44" borderId="69" xfId="125" applyFont="1" applyFill="1" applyBorder="1" applyAlignment="1">
      <alignment horizontal="right" vertical="center" wrapText="1"/>
    </xf>
    <xf numFmtId="0" fontId="18" fillId="44" borderId="69" xfId="125" applyNumberFormat="1" applyFont="1" applyFill="1" applyBorder="1" applyAlignment="1">
      <alignment horizontal="right" vertical="center" wrapText="1"/>
    </xf>
    <xf numFmtId="41" fontId="18" fillId="44" borderId="57" xfId="125" applyFont="1" applyFill="1" applyBorder="1" applyAlignment="1">
      <alignment horizontal="right" vertical="center" wrapText="1"/>
    </xf>
    <xf numFmtId="41" fontId="18" fillId="44" borderId="55" xfId="125" applyFont="1" applyFill="1" applyBorder="1" applyAlignment="1">
      <alignment horizontal="right" vertical="center" wrapText="1"/>
    </xf>
    <xf numFmtId="41" fontId="18" fillId="0" borderId="23" xfId="125" applyFont="1" applyFill="1" applyBorder="1" applyAlignment="1">
      <alignment horizontal="right" vertical="center" wrapText="1"/>
    </xf>
    <xf numFmtId="41" fontId="18" fillId="0" borderId="49" xfId="125" applyFont="1" applyFill="1" applyBorder="1" applyAlignment="1">
      <alignment horizontal="right" vertical="center" wrapText="1"/>
    </xf>
    <xf numFmtId="0" fontId="18" fillId="44" borderId="47" xfId="125" applyNumberFormat="1" applyFont="1" applyFill="1" applyBorder="1" applyAlignment="1">
      <alignment horizontal="right" vertical="center" wrapText="1"/>
    </xf>
    <xf numFmtId="41" fontId="18" fillId="44" borderId="49" xfId="125" applyFont="1" applyFill="1" applyBorder="1" applyAlignment="1">
      <alignment horizontal="right" vertical="center" wrapText="1"/>
    </xf>
    <xf numFmtId="41" fontId="18" fillId="0" borderId="205" xfId="125" applyFont="1" applyFill="1" applyBorder="1" applyAlignment="1">
      <alignment horizontal="right" vertical="center" wrapText="1"/>
    </xf>
    <xf numFmtId="41" fontId="18" fillId="0" borderId="52" xfId="125" applyFont="1" applyFill="1" applyBorder="1" applyAlignment="1">
      <alignment horizontal="right" vertical="center" wrapText="1"/>
    </xf>
    <xf numFmtId="0" fontId="18" fillId="44" borderId="73" xfId="125" applyNumberFormat="1" applyFont="1" applyFill="1" applyBorder="1" applyAlignment="1">
      <alignment horizontal="right" vertical="center" wrapText="1"/>
    </xf>
    <xf numFmtId="0" fontId="18" fillId="0" borderId="59" xfId="125" applyNumberFormat="1" applyFont="1" applyFill="1" applyBorder="1" applyAlignment="1">
      <alignment horizontal="right" vertical="center" wrapText="1"/>
    </xf>
    <xf numFmtId="180" fontId="18" fillId="44" borderId="59" xfId="125" applyNumberFormat="1" applyFont="1" applyFill="1" applyBorder="1" applyAlignment="1">
      <alignment horizontal="right" vertical="center" wrapText="1"/>
    </xf>
    <xf numFmtId="0" fontId="114" fillId="44" borderId="0" xfId="0" applyFont="1" applyFill="1" applyAlignment="1">
      <alignment horizontal="left" vertical="center" wrapText="1"/>
    </xf>
    <xf numFmtId="0" fontId="18" fillId="44" borderId="59" xfId="125" applyNumberFormat="1" applyFont="1" applyFill="1" applyBorder="1" applyAlignment="1">
      <alignment horizontal="right" vertical="center" wrapText="1"/>
    </xf>
    <xf numFmtId="0" fontId="18" fillId="0" borderId="60" xfId="125" applyNumberFormat="1" applyFont="1" applyFill="1" applyBorder="1" applyAlignment="1">
      <alignment horizontal="right" vertical="center" wrapText="1"/>
    </xf>
    <xf numFmtId="0" fontId="117" fillId="0" borderId="0" xfId="0" applyFont="1" applyAlignment="1">
      <alignment horizontal="left" vertical="center"/>
    </xf>
    <xf numFmtId="41" fontId="18" fillId="44" borderId="0" xfId="125" applyFont="1" applyFill="1" applyAlignment="1">
      <alignment horizontal="left" vertical="center" wrapText="1"/>
    </xf>
    <xf numFmtId="41" fontId="114" fillId="44" borderId="47" xfId="125" applyFont="1" applyFill="1" applyBorder="1" applyAlignment="1">
      <alignment horizontal="left" vertical="center" wrapText="1"/>
    </xf>
    <xf numFmtId="3" fontId="18" fillId="44" borderId="208" xfId="172" applyNumberFormat="1" applyFont="1" applyFill="1" applyBorder="1" applyAlignment="1">
      <alignment horizontal="right" vertical="center" wrapText="1"/>
    </xf>
    <xf numFmtId="181" fontId="18" fillId="44" borderId="209" xfId="172" applyNumberFormat="1" applyFont="1" applyFill="1" applyBorder="1" applyAlignment="1">
      <alignment horizontal="right" vertical="center" wrapText="1"/>
    </xf>
    <xf numFmtId="176" fontId="18" fillId="44" borderId="209" xfId="172" applyNumberFormat="1" applyFont="1" applyFill="1" applyBorder="1" applyAlignment="1">
      <alignment horizontal="right" vertical="center" wrapText="1"/>
    </xf>
    <xf numFmtId="181" fontId="18" fillId="44" borderId="105" xfId="172" applyNumberFormat="1" applyFont="1" applyFill="1" applyBorder="1" applyAlignment="1">
      <alignment horizontal="right" vertical="center" wrapText="1"/>
    </xf>
    <xf numFmtId="41" fontId="18" fillId="44" borderId="47" xfId="299" applyFont="1" applyFill="1" applyBorder="1" applyAlignment="1">
      <alignment horizontal="right" vertical="center" wrapText="1"/>
    </xf>
    <xf numFmtId="41" fontId="18" fillId="44" borderId="48" xfId="299" applyFont="1" applyFill="1" applyBorder="1" applyAlignment="1">
      <alignment horizontal="right" vertical="center" wrapText="1"/>
    </xf>
    <xf numFmtId="41" fontId="18" fillId="44" borderId="66" xfId="299" applyFont="1" applyFill="1" applyBorder="1" applyAlignment="1">
      <alignment horizontal="right" vertical="center" wrapText="1"/>
    </xf>
    <xf numFmtId="3" fontId="18" fillId="44" borderId="47" xfId="299" applyNumberFormat="1" applyFont="1" applyFill="1" applyBorder="1" applyAlignment="1">
      <alignment horizontal="right" vertical="center" wrapText="1"/>
    </xf>
    <xf numFmtId="181" fontId="18" fillId="44" borderId="47" xfId="299" applyNumberFormat="1" applyFont="1" applyFill="1" applyBorder="1" applyAlignment="1">
      <alignment horizontal="right" vertical="center" wrapText="1"/>
    </xf>
    <xf numFmtId="181" fontId="18" fillId="44" borderId="0" xfId="299" applyNumberFormat="1" applyFont="1" applyFill="1" applyBorder="1" applyAlignment="1">
      <alignment horizontal="right" vertical="center" wrapText="1"/>
    </xf>
    <xf numFmtId="41" fontId="18" fillId="0" borderId="0" xfId="125" applyFont="1" applyFill="1" applyAlignment="1">
      <alignment horizontal="left" vertical="center" wrapText="1"/>
    </xf>
    <xf numFmtId="41" fontId="114" fillId="0" borderId="47" xfId="125" applyFont="1" applyFill="1" applyBorder="1" applyAlignment="1">
      <alignment horizontal="left" vertical="center" wrapText="1"/>
    </xf>
    <xf numFmtId="3" fontId="18" fillId="0" borderId="56" xfId="172" applyNumberFormat="1" applyFont="1" applyBorder="1" applyAlignment="1">
      <alignment horizontal="right" vertical="center" wrapText="1"/>
    </xf>
    <xf numFmtId="181" fontId="18" fillId="0" borderId="129" xfId="172" applyNumberFormat="1" applyFont="1" applyBorder="1" applyAlignment="1">
      <alignment horizontal="right" vertical="center" wrapText="1"/>
    </xf>
    <xf numFmtId="176" fontId="18" fillId="0" borderId="129" xfId="172" applyNumberFormat="1" applyFont="1" applyBorder="1" applyAlignment="1">
      <alignment horizontal="right" vertical="center" wrapText="1"/>
    </xf>
    <xf numFmtId="181" fontId="18" fillId="0" borderId="130" xfId="172" applyNumberFormat="1" applyFont="1" applyBorder="1" applyAlignment="1">
      <alignment horizontal="right" vertical="center" wrapText="1"/>
    </xf>
    <xf numFmtId="41" fontId="18" fillId="0" borderId="47" xfId="299" applyFont="1" applyFill="1" applyBorder="1" applyAlignment="1">
      <alignment horizontal="right" vertical="center" wrapText="1"/>
    </xf>
    <xf numFmtId="41" fontId="18" fillId="0" borderId="48" xfId="299" applyFont="1" applyFill="1" applyBorder="1" applyAlignment="1">
      <alignment horizontal="right" vertical="center" wrapText="1"/>
    </xf>
    <xf numFmtId="3" fontId="18" fillId="0" borderId="47" xfId="299" applyNumberFormat="1" applyFont="1" applyFill="1" applyBorder="1" applyAlignment="1">
      <alignment horizontal="right" vertical="center" wrapText="1"/>
    </xf>
    <xf numFmtId="181" fontId="18" fillId="0" borderId="47" xfId="299" applyNumberFormat="1" applyFont="1" applyFill="1" applyBorder="1" applyAlignment="1">
      <alignment horizontal="right" vertical="center" wrapText="1"/>
    </xf>
    <xf numFmtId="181" fontId="18" fillId="0" borderId="0" xfId="299" applyNumberFormat="1" applyFont="1" applyFill="1" applyBorder="1" applyAlignment="1">
      <alignment horizontal="right" vertical="center" wrapText="1"/>
    </xf>
    <xf numFmtId="41" fontId="18" fillId="0" borderId="124" xfId="125" applyFont="1" applyFill="1" applyBorder="1" applyAlignment="1">
      <alignment horizontal="left" vertical="center" wrapText="1"/>
    </xf>
    <xf numFmtId="41" fontId="114" fillId="0" borderId="50" xfId="125" applyFont="1" applyFill="1" applyBorder="1" applyAlignment="1">
      <alignment horizontal="left" vertical="center" wrapText="1"/>
    </xf>
    <xf numFmtId="0" fontId="18" fillId="0" borderId="63" xfId="172" applyFont="1" applyBorder="1" applyAlignment="1">
      <alignment horizontal="right" vertical="center" wrapText="1"/>
    </xf>
    <xf numFmtId="181" fontId="18" fillId="0" borderId="14" xfId="172" applyNumberFormat="1" applyFont="1" applyBorder="1" applyAlignment="1">
      <alignment horizontal="right" vertical="center" wrapText="1"/>
    </xf>
    <xf numFmtId="0" fontId="18" fillId="0" borderId="14" xfId="172" applyFont="1" applyBorder="1" applyAlignment="1">
      <alignment horizontal="right" vertical="center" wrapText="1"/>
    </xf>
    <xf numFmtId="181" fontId="18" fillId="0" borderId="60" xfId="172" applyNumberFormat="1" applyFont="1" applyBorder="1" applyAlignment="1">
      <alignment horizontal="right" vertical="center" wrapText="1"/>
    </xf>
    <xf numFmtId="41" fontId="18" fillId="0" borderId="50" xfId="299" applyFont="1" applyFill="1" applyBorder="1" applyAlignment="1">
      <alignment horizontal="right" vertical="center" wrapText="1"/>
    </xf>
    <xf numFmtId="41" fontId="18" fillId="0" borderId="53" xfId="299" applyFont="1" applyFill="1" applyBorder="1" applyAlignment="1">
      <alignment horizontal="right" vertical="center" wrapText="1"/>
    </xf>
    <xf numFmtId="181" fontId="18" fillId="0" borderId="50" xfId="299" applyNumberFormat="1" applyFont="1" applyFill="1" applyBorder="1" applyAlignment="1">
      <alignment horizontal="right" vertical="center" wrapText="1"/>
    </xf>
    <xf numFmtId="181" fontId="18" fillId="0" borderId="124" xfId="299" applyNumberFormat="1" applyFont="1" applyFill="1" applyBorder="1" applyAlignment="1">
      <alignment horizontal="right" vertical="center" wrapText="1"/>
    </xf>
    <xf numFmtId="41" fontId="18" fillId="44" borderId="157" xfId="125" applyFont="1" applyFill="1" applyBorder="1" applyAlignment="1">
      <alignment horizontal="left" vertical="center" wrapText="1"/>
    </xf>
    <xf numFmtId="41" fontId="114" fillId="44" borderId="69" xfId="125" applyFont="1" applyFill="1" applyBorder="1" applyAlignment="1">
      <alignment horizontal="left" vertical="center" wrapText="1"/>
    </xf>
    <xf numFmtId="41" fontId="18" fillId="44" borderId="69" xfId="299" applyFont="1" applyFill="1" applyBorder="1" applyAlignment="1">
      <alignment horizontal="right" vertical="center" wrapText="1"/>
    </xf>
    <xf numFmtId="181" fontId="18" fillId="44" borderId="69" xfId="299" applyNumberFormat="1" applyFont="1" applyFill="1" applyBorder="1" applyAlignment="1">
      <alignment horizontal="right" vertical="center" wrapText="1"/>
    </xf>
    <xf numFmtId="181" fontId="18" fillId="44" borderId="69" xfId="125" applyNumberFormat="1" applyFont="1" applyFill="1" applyBorder="1" applyAlignment="1">
      <alignment horizontal="right" vertical="center" wrapText="1"/>
    </xf>
    <xf numFmtId="181" fontId="18" fillId="44" borderId="157" xfId="125" applyNumberFormat="1" applyFont="1" applyFill="1" applyBorder="1" applyAlignment="1">
      <alignment horizontal="right" vertical="center" wrapText="1"/>
    </xf>
    <xf numFmtId="181" fontId="18" fillId="44" borderId="47" xfId="125" applyNumberFormat="1" applyFont="1" applyFill="1" applyBorder="1" applyAlignment="1">
      <alignment horizontal="right" vertical="center" wrapText="1"/>
    </xf>
    <xf numFmtId="181" fontId="18" fillId="44" borderId="0" xfId="125" applyNumberFormat="1" applyFont="1" applyFill="1" applyBorder="1" applyAlignment="1">
      <alignment horizontal="right" vertical="center" wrapText="1"/>
    </xf>
    <xf numFmtId="49" fontId="18" fillId="44" borderId="47" xfId="125" applyNumberFormat="1" applyFont="1" applyFill="1" applyBorder="1" applyAlignment="1">
      <alignment horizontal="right" vertical="center" wrapText="1"/>
    </xf>
    <xf numFmtId="181" fontId="18" fillId="0" borderId="52" xfId="125" applyNumberFormat="1" applyFont="1" applyFill="1" applyBorder="1" applyAlignment="1">
      <alignment horizontal="right" vertical="center" wrapText="1"/>
    </xf>
    <xf numFmtId="41" fontId="18" fillId="44" borderId="10" xfId="172" applyNumberFormat="1" applyFont="1" applyFill="1" applyBorder="1" applyAlignment="1">
      <alignment horizontal="right" vertical="center" wrapText="1"/>
    </xf>
    <xf numFmtId="0" fontId="18" fillId="44" borderId="10" xfId="172" applyFont="1" applyFill="1" applyBorder="1" applyAlignment="1">
      <alignment horizontal="right" vertical="center" wrapText="1"/>
    </xf>
    <xf numFmtId="49" fontId="18" fillId="44" borderId="10" xfId="172" applyNumberFormat="1" applyFont="1" applyFill="1" applyBorder="1" applyAlignment="1">
      <alignment horizontal="right" vertical="center" wrapText="1"/>
    </xf>
    <xf numFmtId="49" fontId="18" fillId="44" borderId="8" xfId="172" applyNumberFormat="1" applyFont="1" applyFill="1" applyBorder="1" applyAlignment="1">
      <alignment horizontal="right" vertical="center" wrapText="1"/>
    </xf>
    <xf numFmtId="41" fontId="18" fillId="44" borderId="149" xfId="172" applyNumberFormat="1" applyFont="1" applyFill="1" applyBorder="1" applyAlignment="1">
      <alignment horizontal="right" vertical="center" wrapText="1"/>
    </xf>
    <xf numFmtId="3" fontId="18" fillId="44" borderId="149" xfId="172" applyNumberFormat="1" applyFont="1" applyFill="1" applyBorder="1" applyAlignment="1">
      <alignment horizontal="right" vertical="center" wrapText="1"/>
    </xf>
    <xf numFmtId="41" fontId="18" fillId="44" borderId="0" xfId="125" applyFont="1" applyFill="1" applyBorder="1" applyAlignment="1">
      <alignment horizontal="left" vertical="center" wrapText="1"/>
    </xf>
    <xf numFmtId="41" fontId="18" fillId="0" borderId="0" xfId="125" applyFont="1" applyFill="1" applyBorder="1" applyAlignment="1">
      <alignment horizontal="left" vertical="center" wrapText="1"/>
    </xf>
    <xf numFmtId="49" fontId="18" fillId="0" borderId="5" xfId="172" applyNumberFormat="1" applyFont="1" applyBorder="1" applyAlignment="1">
      <alignment horizontal="right" vertical="center" wrapText="1"/>
    </xf>
    <xf numFmtId="41" fontId="61" fillId="0" borderId="124" xfId="125" applyFont="1" applyBorder="1" applyAlignment="1">
      <alignment horizontal="right" vertical="center" wrapText="1"/>
    </xf>
    <xf numFmtId="41" fontId="90" fillId="0" borderId="157" xfId="125" applyFont="1" applyFill="1" applyBorder="1" applyAlignment="1">
      <alignment horizontal="center" vertical="center" wrapText="1"/>
    </xf>
    <xf numFmtId="49" fontId="63" fillId="0" borderId="103" xfId="183" applyNumberFormat="1" applyFont="1" applyBorder="1" applyAlignment="1">
      <alignment horizontal="center" vertical="center" wrapText="1"/>
    </xf>
    <xf numFmtId="49" fontId="63" fillId="0" borderId="84" xfId="183" applyNumberFormat="1" applyFont="1" applyBorder="1" applyAlignment="1">
      <alignment horizontal="center" vertical="center" wrapText="1"/>
    </xf>
    <xf numFmtId="49" fontId="63" fillId="0" borderId="116" xfId="183" applyNumberFormat="1" applyFont="1" applyBorder="1" applyAlignment="1">
      <alignment horizontal="center" vertical="center" wrapText="1"/>
    </xf>
    <xf numFmtId="49" fontId="63" fillId="0" borderId="78" xfId="183" applyNumberFormat="1" applyFont="1" applyBorder="1" applyAlignment="1">
      <alignment horizontal="center" vertical="center" wrapText="1"/>
    </xf>
    <xf numFmtId="41" fontId="59" fillId="43" borderId="47" xfId="125" applyFont="1" applyFill="1" applyBorder="1" applyAlignment="1">
      <alignment horizontal="right" vertical="center" wrapText="1"/>
    </xf>
    <xf numFmtId="41" fontId="59" fillId="4" borderId="210" xfId="186" applyNumberFormat="1" applyFont="1" applyFill="1" applyBorder="1" applyAlignment="1">
      <alignment horizontal="right" vertical="center" wrapText="1"/>
    </xf>
    <xf numFmtId="41" fontId="59" fillId="37" borderId="124" xfId="125" applyFont="1" applyFill="1" applyBorder="1" applyAlignment="1">
      <alignment horizontal="left" vertical="center" wrapText="1"/>
    </xf>
    <xf numFmtId="41" fontId="59" fillId="37" borderId="124" xfId="125" applyFont="1" applyFill="1" applyBorder="1" applyAlignment="1">
      <alignment horizontal="right" vertical="center" wrapText="1"/>
    </xf>
    <xf numFmtId="181" fontId="59" fillId="36" borderId="129" xfId="125" applyNumberFormat="1" applyFont="1" applyFill="1" applyBorder="1" applyAlignment="1">
      <alignment horizontal="right" vertical="center" wrapText="1"/>
    </xf>
    <xf numFmtId="41" fontId="59" fillId="36" borderId="129" xfId="125" applyFont="1" applyFill="1" applyBorder="1" applyAlignment="1">
      <alignment horizontal="right" vertical="center" wrapText="1"/>
    </xf>
    <xf numFmtId="41" fontId="59" fillId="36" borderId="160" xfId="125" applyFont="1" applyFill="1" applyBorder="1" applyAlignment="1">
      <alignment horizontal="right" vertical="center" wrapText="1"/>
    </xf>
    <xf numFmtId="41" fontId="59" fillId="37" borderId="160" xfId="125" applyFont="1" applyFill="1" applyBorder="1" applyAlignment="1">
      <alignment horizontal="right" vertical="center" wrapText="1"/>
    </xf>
    <xf numFmtId="41" fontId="59" fillId="37" borderId="159" xfId="125" applyFont="1" applyFill="1" applyBorder="1" applyAlignment="1">
      <alignment horizontal="right" vertical="center" wrapText="1"/>
    </xf>
    <xf numFmtId="41" fontId="59" fillId="36" borderId="157" xfId="125" applyFont="1" applyFill="1" applyBorder="1" applyAlignment="1">
      <alignment horizontal="right" vertical="center" wrapText="1"/>
    </xf>
    <xf numFmtId="41" fontId="63" fillId="0" borderId="157" xfId="125" applyFont="1" applyBorder="1" applyAlignment="1">
      <alignment horizontal="center" vertical="center" wrapText="1"/>
    </xf>
    <xf numFmtId="179" fontId="61" fillId="4" borderId="86" xfId="0" applyNumberFormat="1" applyFont="1" applyFill="1" applyBorder="1" applyAlignment="1">
      <alignment horizontal="right" vertical="center" wrapText="1"/>
    </xf>
    <xf numFmtId="41" fontId="80" fillId="37" borderId="124" xfId="125" applyFont="1" applyFill="1" applyBorder="1" applyAlignment="1">
      <alignment horizontal="left" vertical="center" wrapText="1"/>
    </xf>
    <xf numFmtId="179" fontId="80" fillId="0" borderId="211" xfId="0" applyNumberFormat="1" applyFont="1" applyBorder="1" applyAlignment="1">
      <alignment horizontal="right" vertical="center" wrapText="1"/>
    </xf>
    <xf numFmtId="179" fontId="80" fillId="0" borderId="212" xfId="0" applyNumberFormat="1" applyFont="1" applyBorder="1" applyAlignment="1">
      <alignment horizontal="right" vertical="center" wrapText="1"/>
    </xf>
    <xf numFmtId="49" fontId="80" fillId="0" borderId="52" xfId="0" applyNumberFormat="1" applyFont="1" applyBorder="1" applyAlignment="1">
      <alignment horizontal="right" vertical="center" wrapText="1"/>
    </xf>
    <xf numFmtId="41" fontId="61" fillId="37" borderId="60" xfId="125" applyFont="1" applyFill="1" applyBorder="1" applyAlignment="1">
      <alignment horizontal="right" vertical="center" wrapText="1"/>
    </xf>
    <xf numFmtId="179" fontId="61" fillId="4" borderId="149" xfId="0" applyNumberFormat="1" applyFont="1" applyFill="1" applyBorder="1" applyAlignment="1">
      <alignment horizontal="right" vertical="center" wrapText="1"/>
    </xf>
    <xf numFmtId="49" fontId="61" fillId="4" borderId="149" xfId="0" applyNumberFormat="1" applyFont="1" applyFill="1" applyBorder="1" applyAlignment="1">
      <alignment horizontal="right" vertical="center" wrapText="1"/>
    </xf>
    <xf numFmtId="49" fontId="61" fillId="0" borderId="0" xfId="0" applyNumberFormat="1" applyFont="1" applyAlignment="1">
      <alignment horizontal="left" vertical="center" wrapText="1"/>
    </xf>
    <xf numFmtId="49" fontId="61" fillId="0" borderId="1" xfId="0" applyNumberFormat="1" applyFont="1" applyBorder="1" applyAlignment="1">
      <alignment horizontal="left" vertical="center" wrapText="1"/>
    </xf>
    <xf numFmtId="179" fontId="61" fillId="0" borderId="149" xfId="0" applyNumberFormat="1" applyFont="1" applyBorder="1" applyAlignment="1">
      <alignment horizontal="right" vertical="center" wrapText="1"/>
    </xf>
    <xf numFmtId="49" fontId="61" fillId="0" borderId="149" xfId="0" applyNumberFormat="1" applyFont="1" applyBorder="1" applyAlignment="1">
      <alignment horizontal="right" vertical="center" wrapText="1"/>
    </xf>
    <xf numFmtId="179" fontId="61" fillId="0" borderId="148" xfId="0" applyNumberFormat="1" applyFont="1" applyBorder="1" applyAlignment="1">
      <alignment horizontal="right" vertical="center" wrapText="1"/>
    </xf>
    <xf numFmtId="41" fontId="63" fillId="37" borderId="124" xfId="125" applyFont="1" applyFill="1" applyBorder="1" applyAlignment="1">
      <alignment horizontal="center" vertical="center" wrapText="1"/>
    </xf>
    <xf numFmtId="41" fontId="61" fillId="37" borderId="205" xfId="125" applyFont="1" applyFill="1" applyBorder="1" applyAlignment="1">
      <alignment horizontal="right" vertical="center" wrapText="1"/>
    </xf>
    <xf numFmtId="0" fontId="84" fillId="0" borderId="0" xfId="0" applyFont="1">
      <alignment vertical="center"/>
    </xf>
    <xf numFmtId="0" fontId="99" fillId="0" borderId="157" xfId="179" applyFont="1" applyBorder="1" applyAlignment="1">
      <alignment horizontal="center" vertical="center" wrapText="1"/>
    </xf>
    <xf numFmtId="0" fontId="99" fillId="0" borderId="149" xfId="179" applyFont="1" applyBorder="1" applyAlignment="1">
      <alignment horizontal="center" vertical="center" wrapText="1"/>
    </xf>
    <xf numFmtId="0" fontId="99" fillId="0" borderId="213" xfId="179" applyFont="1" applyBorder="1" applyAlignment="1">
      <alignment horizontal="center" vertical="center" wrapText="1"/>
    </xf>
    <xf numFmtId="0" fontId="80" fillId="46" borderId="214" xfId="179" applyFont="1" applyFill="1" applyBorder="1" applyAlignment="1">
      <alignment horizontal="left" vertical="center" wrapText="1"/>
    </xf>
    <xf numFmtId="0" fontId="80" fillId="46" borderId="215" xfId="179" applyFont="1" applyFill="1" applyBorder="1" applyAlignment="1">
      <alignment horizontal="left" vertical="center" wrapText="1"/>
    </xf>
    <xf numFmtId="41" fontId="80" fillId="46" borderId="13" xfId="130" applyFont="1" applyFill="1" applyBorder="1" applyAlignment="1">
      <alignment horizontal="right" vertical="center" wrapText="1"/>
    </xf>
    <xf numFmtId="41" fontId="80" fillId="46" borderId="11" xfId="130" applyFont="1" applyFill="1" applyBorder="1" applyAlignment="1">
      <alignment horizontal="right" vertical="center" wrapText="1"/>
    </xf>
    <xf numFmtId="0" fontId="80" fillId="39" borderId="0" xfId="179" applyFont="1" applyFill="1" applyAlignment="1">
      <alignment horizontal="left" vertical="center" wrapText="1"/>
    </xf>
    <xf numFmtId="41" fontId="80" fillId="39" borderId="13" xfId="130" applyFont="1" applyFill="1" applyBorder="1" applyAlignment="1">
      <alignment horizontal="right" vertical="center" wrapText="1"/>
    </xf>
    <xf numFmtId="41" fontId="80" fillId="39" borderId="11" xfId="130" applyFont="1" applyFill="1" applyBorder="1" applyAlignment="1">
      <alignment horizontal="right" vertical="center" wrapText="1"/>
    </xf>
    <xf numFmtId="0" fontId="80" fillId="46" borderId="0" xfId="179" applyFont="1" applyFill="1" applyAlignment="1">
      <alignment horizontal="left" vertical="center" wrapText="1"/>
    </xf>
    <xf numFmtId="0" fontId="61" fillId="46" borderId="0" xfId="0" applyFont="1" applyFill="1" applyAlignment="1">
      <alignment horizontal="left" vertical="center" wrapText="1"/>
    </xf>
    <xf numFmtId="41" fontId="61" fillId="0" borderId="149" xfId="0" applyNumberFormat="1" applyFont="1" applyBorder="1" applyAlignment="1">
      <alignment horizontal="right" vertical="center" wrapText="1"/>
    </xf>
    <xf numFmtId="41" fontId="61" fillId="0" borderId="148" xfId="0" applyNumberFormat="1" applyFont="1" applyBorder="1" applyAlignment="1">
      <alignment horizontal="right" vertical="center" wrapText="1"/>
    </xf>
    <xf numFmtId="0" fontId="80" fillId="39" borderId="205" xfId="179" applyFont="1" applyFill="1" applyBorder="1" applyAlignment="1">
      <alignment horizontal="left" vertical="center" wrapText="1"/>
    </xf>
    <xf numFmtId="41" fontId="80" fillId="39" borderId="14" xfId="130" applyFont="1" applyFill="1" applyBorder="1" applyAlignment="1">
      <alignment horizontal="right" vertical="center" wrapText="1"/>
    </xf>
    <xf numFmtId="41" fontId="80" fillId="39" borderId="15" xfId="130" applyFont="1" applyFill="1" applyBorder="1" applyAlignment="1">
      <alignment horizontal="right" vertical="center" wrapText="1"/>
    </xf>
    <xf numFmtId="0" fontId="101" fillId="3" borderId="124" xfId="179" applyFont="1" applyFill="1" applyBorder="1" applyAlignment="1">
      <alignment horizontal="center" vertical="center" wrapText="1"/>
    </xf>
    <xf numFmtId="0" fontId="80" fillId="46" borderId="157" xfId="179" applyFont="1" applyFill="1" applyBorder="1" applyAlignment="1">
      <alignment horizontal="left" vertical="center" wrapText="1"/>
    </xf>
    <xf numFmtId="41" fontId="80" fillId="39" borderId="14" xfId="179" applyNumberFormat="1" applyFont="1" applyFill="1" applyBorder="1" applyAlignment="1">
      <alignment horizontal="right" vertical="center" wrapText="1"/>
    </xf>
    <xf numFmtId="41" fontId="80" fillId="39" borderId="15" xfId="179" applyNumberFormat="1" applyFont="1" applyFill="1" applyBorder="1" applyAlignment="1">
      <alignment horizontal="right" vertical="center" wrapText="1"/>
    </xf>
    <xf numFmtId="0" fontId="73" fillId="42" borderId="157" xfId="179" applyFont="1" applyFill="1" applyBorder="1">
      <alignment vertical="center"/>
    </xf>
    <xf numFmtId="0" fontId="73" fillId="0" borderId="157" xfId="179" applyFont="1" applyBorder="1">
      <alignment vertical="center"/>
    </xf>
    <xf numFmtId="0" fontId="59" fillId="36" borderId="47" xfId="125" quotePrefix="1" applyNumberFormat="1" applyFont="1" applyFill="1" applyBorder="1" applyAlignment="1">
      <alignment horizontal="right" vertical="center" wrapText="1"/>
    </xf>
    <xf numFmtId="41" fontId="59" fillId="36" borderId="47" xfId="125" quotePrefix="1" applyFont="1" applyFill="1" applyBorder="1" applyAlignment="1">
      <alignment horizontal="right" vertical="center" wrapText="1"/>
    </xf>
    <xf numFmtId="41" fontId="59" fillId="36" borderId="55" xfId="125" quotePrefix="1" applyFont="1" applyFill="1" applyBorder="1" applyAlignment="1">
      <alignment horizontal="right" vertical="center" wrapText="1"/>
    </xf>
    <xf numFmtId="41" fontId="59" fillId="37" borderId="47" xfId="125" quotePrefix="1" applyFont="1" applyFill="1" applyBorder="1" applyAlignment="1">
      <alignment horizontal="right" vertical="center" wrapText="1"/>
    </xf>
    <xf numFmtId="41" fontId="59" fillId="37" borderId="49" xfId="125" quotePrefix="1" applyFont="1" applyFill="1" applyBorder="1" applyAlignment="1">
      <alignment horizontal="right" vertical="center" wrapText="1"/>
    </xf>
    <xf numFmtId="41" fontId="59" fillId="36" borderId="48" xfId="125" quotePrefix="1" applyFont="1" applyFill="1" applyBorder="1" applyAlignment="1">
      <alignment horizontal="right" vertical="center" wrapText="1"/>
    </xf>
    <xf numFmtId="41" fontId="59" fillId="0" borderId="47" xfId="125" quotePrefix="1" applyFont="1" applyFill="1" applyBorder="1" applyAlignment="1">
      <alignment horizontal="right" vertical="center" wrapText="1"/>
    </xf>
    <xf numFmtId="41" fontId="59" fillId="37" borderId="48" xfId="125" quotePrefix="1" applyFont="1" applyFill="1" applyBorder="1" applyAlignment="1">
      <alignment horizontal="right" vertical="center" wrapText="1"/>
    </xf>
    <xf numFmtId="41" fontId="59" fillId="36" borderId="49" xfId="125" quotePrefix="1" applyFont="1" applyFill="1" applyBorder="1" applyAlignment="1">
      <alignment horizontal="right" vertical="center" wrapText="1"/>
    </xf>
    <xf numFmtId="0" fontId="102" fillId="0" borderId="157" xfId="0" applyFont="1" applyBorder="1" applyAlignment="1">
      <alignment horizontal="center" vertical="center" wrapText="1"/>
    </xf>
    <xf numFmtId="0" fontId="67" fillId="0" borderId="0" xfId="0" applyFont="1" applyAlignment="1">
      <alignment horizontal="center" vertical="center" wrapText="1"/>
    </xf>
    <xf numFmtId="0" fontId="92" fillId="0" borderId="64" xfId="0" applyFont="1" applyBorder="1" applyAlignment="1">
      <alignment horizontal="center" vertical="center" wrapText="1"/>
    </xf>
    <xf numFmtId="49" fontId="61" fillId="4" borderId="216" xfId="173" applyNumberFormat="1" applyFont="1" applyFill="1" applyBorder="1" applyAlignment="1">
      <alignment horizontal="left" vertical="center" wrapText="1"/>
    </xf>
    <xf numFmtId="49" fontId="61" fillId="4" borderId="217" xfId="173" applyNumberFormat="1" applyFont="1" applyFill="1" applyBorder="1" applyAlignment="1">
      <alignment horizontal="left" vertical="center" wrapText="1"/>
    </xf>
    <xf numFmtId="41" fontId="61" fillId="4" borderId="218" xfId="125" applyFont="1" applyFill="1" applyBorder="1" applyAlignment="1">
      <alignment horizontal="right" vertical="center" wrapText="1"/>
    </xf>
    <xf numFmtId="41" fontId="61" fillId="4" borderId="219" xfId="125" applyFont="1" applyFill="1" applyBorder="1" applyAlignment="1">
      <alignment horizontal="right" vertical="center" wrapText="1"/>
    </xf>
    <xf numFmtId="41" fontId="61" fillId="0" borderId="149" xfId="125" applyFont="1" applyBorder="1" applyAlignment="1">
      <alignment horizontal="right" vertical="center" wrapText="1"/>
    </xf>
    <xf numFmtId="41" fontId="61" fillId="4" borderId="149" xfId="125" applyFont="1" applyFill="1" applyBorder="1" applyAlignment="1">
      <alignment horizontal="right" vertical="center" wrapText="1"/>
    </xf>
    <xf numFmtId="49" fontId="61" fillId="0" borderId="124" xfId="173" applyNumberFormat="1" applyFont="1" applyBorder="1" applyAlignment="1">
      <alignment horizontal="left" vertical="center" wrapText="1"/>
    </xf>
    <xf numFmtId="41" fontId="61" fillId="0" borderId="5" xfId="125" applyFont="1" applyBorder="1" applyAlignment="1">
      <alignment horizontal="right" vertical="center" wrapText="1"/>
    </xf>
    <xf numFmtId="0" fontId="63" fillId="0" borderId="124" xfId="0" applyFont="1" applyBorder="1" applyAlignment="1">
      <alignment horizontal="center" vertical="center" wrapText="1"/>
    </xf>
    <xf numFmtId="0" fontId="61" fillId="37" borderId="124" xfId="0" applyFont="1" applyFill="1" applyBorder="1" applyAlignment="1">
      <alignment horizontal="left" vertical="center" wrapText="1"/>
    </xf>
    <xf numFmtId="41" fontId="61" fillId="37" borderId="220" xfId="125" applyFont="1" applyFill="1" applyBorder="1" applyAlignment="1">
      <alignment horizontal="right" vertical="center" wrapText="1"/>
    </xf>
    <xf numFmtId="41" fontId="61" fillId="37" borderId="15" xfId="125" applyFont="1" applyFill="1" applyBorder="1" applyAlignment="1">
      <alignment horizontal="right" vertical="center" wrapText="1"/>
    </xf>
    <xf numFmtId="41" fontId="61" fillId="36" borderId="157" xfId="125" applyFont="1" applyFill="1" applyBorder="1" applyAlignment="1">
      <alignment horizontal="left" vertical="center" wrapText="1"/>
    </xf>
    <xf numFmtId="0" fontId="114" fillId="0" borderId="0" xfId="0" applyFont="1" applyAlignment="1">
      <alignment horizontal="right" vertical="center" wrapText="1"/>
    </xf>
    <xf numFmtId="41" fontId="120" fillId="0" borderId="74" xfId="125" applyFont="1" applyFill="1" applyBorder="1" applyAlignment="1">
      <alignment horizontal="center" vertical="center" wrapText="1"/>
    </xf>
    <xf numFmtId="41" fontId="120" fillId="0" borderId="80" xfId="125" applyFont="1" applyFill="1" applyBorder="1" applyAlignment="1">
      <alignment horizontal="center" vertical="center" wrapText="1"/>
    </xf>
    <xf numFmtId="41" fontId="120" fillId="0" borderId="81" xfId="125" applyFont="1" applyFill="1" applyBorder="1" applyAlignment="1">
      <alignment horizontal="center" vertical="center" wrapText="1"/>
    </xf>
    <xf numFmtId="41" fontId="120" fillId="0" borderId="80" xfId="125" applyFont="1" applyFill="1" applyBorder="1" applyAlignment="1">
      <alignment horizontal="center" vertical="center" wrapText="1"/>
    </xf>
    <xf numFmtId="41" fontId="120" fillId="0" borderId="81" xfId="125" applyFont="1" applyFill="1" applyBorder="1" applyAlignment="1">
      <alignment horizontal="center" vertical="center" wrapText="1"/>
    </xf>
    <xf numFmtId="41" fontId="120" fillId="0" borderId="82" xfId="125" applyFont="1" applyFill="1" applyBorder="1" applyAlignment="1">
      <alignment horizontal="center" vertical="center" wrapText="1"/>
    </xf>
    <xf numFmtId="41" fontId="18" fillId="0" borderId="64" xfId="125" applyFont="1" applyFill="1" applyBorder="1" applyAlignment="1">
      <alignment horizontal="center" vertical="center" wrapText="1"/>
    </xf>
    <xf numFmtId="41" fontId="18" fillId="0" borderId="51" xfId="125" applyFont="1" applyFill="1" applyBorder="1" applyAlignment="1">
      <alignment horizontal="center" vertical="center" wrapText="1"/>
    </xf>
    <xf numFmtId="41" fontId="18" fillId="0" borderId="54" xfId="125" applyFont="1" applyFill="1" applyBorder="1" applyAlignment="1">
      <alignment horizontal="center" vertical="center" wrapText="1"/>
    </xf>
    <xf numFmtId="41" fontId="117" fillId="0" borderId="51" xfId="125" applyFont="1" applyFill="1" applyBorder="1" applyAlignment="1">
      <alignment horizontal="center" vertical="center" wrapText="1"/>
    </xf>
    <xf numFmtId="41" fontId="120" fillId="0" borderId="54" xfId="125" applyFont="1" applyFill="1" applyBorder="1" applyAlignment="1">
      <alignment horizontal="center" vertical="center" wrapText="1"/>
    </xf>
    <xf numFmtId="41" fontId="120" fillId="0" borderId="68" xfId="125" applyFont="1" applyFill="1" applyBorder="1" applyAlignment="1">
      <alignment horizontal="center" vertical="center" wrapText="1"/>
    </xf>
    <xf numFmtId="41" fontId="114" fillId="44" borderId="0" xfId="125" applyFont="1" applyFill="1" applyAlignment="1">
      <alignment horizontal="left" vertical="center" wrapText="1"/>
    </xf>
    <xf numFmtId="41" fontId="114" fillId="44" borderId="47" xfId="125" applyFont="1" applyFill="1" applyBorder="1" applyAlignment="1">
      <alignment horizontal="right" vertical="center" wrapText="1"/>
    </xf>
    <xf numFmtId="41" fontId="114" fillId="44" borderId="48" xfId="125" applyFont="1" applyFill="1" applyBorder="1" applyAlignment="1">
      <alignment horizontal="right" vertical="center" wrapText="1"/>
    </xf>
    <xf numFmtId="41" fontId="114" fillId="44" borderId="49" xfId="125" applyFont="1" applyFill="1" applyBorder="1" applyAlignment="1">
      <alignment horizontal="right" vertical="center" wrapText="1"/>
    </xf>
    <xf numFmtId="41" fontId="114" fillId="0" borderId="0" xfId="125" applyFont="1" applyFill="1" applyAlignment="1">
      <alignment horizontal="left" vertical="center" wrapText="1"/>
    </xf>
    <xf numFmtId="41" fontId="114" fillId="0" borderId="47" xfId="125" applyFont="1" applyFill="1" applyBorder="1" applyAlignment="1">
      <alignment horizontal="right" vertical="center" wrapText="1"/>
    </xf>
    <xf numFmtId="41" fontId="114" fillId="0" borderId="48" xfId="125" applyFont="1" applyFill="1" applyBorder="1" applyAlignment="1">
      <alignment horizontal="right" vertical="center" wrapText="1"/>
    </xf>
    <xf numFmtId="41" fontId="114" fillId="0" borderId="49" xfId="125" applyFont="1" applyFill="1" applyBorder="1" applyAlignment="1">
      <alignment horizontal="right" vertical="center" wrapText="1"/>
    </xf>
    <xf numFmtId="41" fontId="114" fillId="0" borderId="124" xfId="125" applyFont="1" applyFill="1" applyBorder="1" applyAlignment="1">
      <alignment horizontal="left" vertical="center" wrapText="1"/>
    </xf>
    <xf numFmtId="41" fontId="114" fillId="0" borderId="50" xfId="125" applyFont="1" applyFill="1" applyBorder="1" applyAlignment="1">
      <alignment horizontal="right" vertical="center" wrapText="1"/>
    </xf>
    <xf numFmtId="41" fontId="114" fillId="0" borderId="53" xfId="125" applyFont="1" applyFill="1" applyBorder="1" applyAlignment="1">
      <alignment horizontal="right" vertical="center" wrapText="1"/>
    </xf>
    <xf numFmtId="41" fontId="114" fillId="0" borderId="52" xfId="125" applyFont="1" applyFill="1" applyBorder="1" applyAlignment="1">
      <alignment horizontal="right" vertical="center" wrapText="1"/>
    </xf>
    <xf numFmtId="41" fontId="114" fillId="44" borderId="74" xfId="125" applyFont="1" applyFill="1" applyBorder="1" applyAlignment="1">
      <alignment horizontal="left" vertical="center" wrapText="1"/>
    </xf>
    <xf numFmtId="41" fontId="114" fillId="44" borderId="80" xfId="125" applyFont="1" applyFill="1" applyBorder="1" applyAlignment="1">
      <alignment horizontal="left" vertical="center" wrapText="1"/>
    </xf>
    <xf numFmtId="41" fontId="114" fillId="44" borderId="80" xfId="125" applyFont="1" applyFill="1" applyBorder="1" applyAlignment="1">
      <alignment horizontal="right" vertical="center" wrapText="1"/>
    </xf>
    <xf numFmtId="41" fontId="114" fillId="44" borderId="161" xfId="125" applyFont="1" applyFill="1" applyBorder="1" applyAlignment="1">
      <alignment horizontal="right" vertical="center" wrapText="1"/>
    </xf>
    <xf numFmtId="41" fontId="114" fillId="44" borderId="207" xfId="125" applyFont="1" applyFill="1" applyBorder="1" applyAlignment="1">
      <alignment horizontal="right" vertical="center" wrapText="1"/>
    </xf>
    <xf numFmtId="41" fontId="114" fillId="44" borderId="82" xfId="125" applyFont="1" applyFill="1" applyBorder="1" applyAlignment="1">
      <alignment horizontal="right" vertical="center" wrapText="1"/>
    </xf>
    <xf numFmtId="41" fontId="114" fillId="0" borderId="56" xfId="125" applyFont="1" applyFill="1" applyBorder="1" applyAlignment="1">
      <alignment horizontal="right" vertical="center" wrapText="1"/>
    </xf>
    <xf numFmtId="41" fontId="114" fillId="0" borderId="59" xfId="125" applyFont="1" applyFill="1" applyBorder="1" applyAlignment="1">
      <alignment horizontal="right" vertical="center" wrapText="1"/>
    </xf>
    <xf numFmtId="41" fontId="114" fillId="44" borderId="56" xfId="125" applyFont="1" applyFill="1" applyBorder="1" applyAlignment="1">
      <alignment horizontal="right" vertical="center" wrapText="1"/>
    </xf>
    <xf numFmtId="41" fontId="114" fillId="44" borderId="59" xfId="125" applyFont="1" applyFill="1" applyBorder="1" applyAlignment="1">
      <alignment horizontal="right" vertical="center" wrapText="1"/>
    </xf>
    <xf numFmtId="41" fontId="114" fillId="0" borderId="63" xfId="125" applyFont="1" applyFill="1" applyBorder="1" applyAlignment="1">
      <alignment horizontal="right" vertical="center" wrapText="1"/>
    </xf>
    <xf numFmtId="41" fontId="114" fillId="0" borderId="60" xfId="125" applyFont="1" applyFill="1" applyBorder="1" applyAlignment="1">
      <alignment horizontal="right" vertical="center" wrapText="1"/>
    </xf>
    <xf numFmtId="41" fontId="114" fillId="44" borderId="157" xfId="125" applyFont="1" applyFill="1" applyBorder="1" applyAlignment="1">
      <alignment horizontal="left" vertical="center" wrapText="1"/>
    </xf>
    <xf numFmtId="41" fontId="114" fillId="44" borderId="69" xfId="125" applyFont="1" applyFill="1" applyBorder="1" applyAlignment="1">
      <alignment horizontal="right" vertical="center" wrapText="1"/>
    </xf>
    <xf numFmtId="41" fontId="114" fillId="44" borderId="57" xfId="125" applyFont="1" applyFill="1" applyBorder="1" applyAlignment="1">
      <alignment horizontal="right" vertical="center" wrapText="1"/>
    </xf>
    <xf numFmtId="41" fontId="114" fillId="44" borderId="55" xfId="125" applyFont="1" applyFill="1" applyBorder="1" applyAlignment="1">
      <alignment horizontal="right" vertical="center" wrapText="1"/>
    </xf>
    <xf numFmtId="0" fontId="120" fillId="0" borderId="157" xfId="0" applyFont="1" applyBorder="1" applyAlignment="1">
      <alignment horizontal="center" vertical="center" wrapText="1"/>
    </xf>
    <xf numFmtId="41" fontId="114" fillId="44" borderId="47" xfId="0" applyNumberFormat="1" applyFont="1" applyFill="1" applyBorder="1" applyAlignment="1">
      <alignment horizontal="right" vertical="center" wrapText="1"/>
    </xf>
    <xf numFmtId="41" fontId="114" fillId="44" borderId="48" xfId="0" applyNumberFormat="1" applyFont="1" applyFill="1" applyBorder="1" applyAlignment="1">
      <alignment horizontal="right" vertical="center" wrapText="1"/>
    </xf>
    <xf numFmtId="41" fontId="114" fillId="44" borderId="49" xfId="0" applyNumberFormat="1" applyFont="1" applyFill="1" applyBorder="1" applyAlignment="1">
      <alignment horizontal="right" vertical="center" wrapText="1"/>
    </xf>
    <xf numFmtId="41" fontId="114" fillId="0" borderId="47" xfId="0" applyNumberFormat="1" applyFont="1" applyBorder="1" applyAlignment="1">
      <alignment horizontal="right" vertical="center" wrapText="1"/>
    </xf>
    <xf numFmtId="41" fontId="114" fillId="0" borderId="48" xfId="0" applyNumberFormat="1" applyFont="1" applyBorder="1" applyAlignment="1">
      <alignment horizontal="right" vertical="center" wrapText="1"/>
    </xf>
    <xf numFmtId="41" fontId="114" fillId="0" borderId="49" xfId="0" applyNumberFormat="1" applyFont="1" applyBorder="1" applyAlignment="1">
      <alignment horizontal="right" vertical="center" wrapText="1"/>
    </xf>
    <xf numFmtId="0" fontId="128" fillId="0" borderId="30" xfId="0" applyFont="1" applyBorder="1" applyAlignment="1">
      <alignment horizontal="center" vertical="center" wrapText="1"/>
    </xf>
    <xf numFmtId="41" fontId="114" fillId="44" borderId="160" xfId="0" applyNumberFormat="1" applyFont="1" applyFill="1" applyBorder="1" applyAlignment="1">
      <alignment horizontal="right" vertical="center" wrapText="1"/>
    </xf>
    <xf numFmtId="41" fontId="114" fillId="44" borderId="175" xfId="0" applyNumberFormat="1" applyFont="1" applyFill="1" applyBorder="1" applyAlignment="1">
      <alignment horizontal="right" vertical="center" wrapText="1"/>
    </xf>
    <xf numFmtId="41" fontId="114" fillId="0" borderId="160" xfId="0" applyNumberFormat="1" applyFont="1" applyBorder="1" applyAlignment="1">
      <alignment horizontal="right" vertical="center" wrapText="1"/>
    </xf>
    <xf numFmtId="41" fontId="114" fillId="0" borderId="175" xfId="0" applyNumberFormat="1" applyFont="1" applyBorder="1" applyAlignment="1">
      <alignment horizontal="right" vertical="center" wrapText="1"/>
    </xf>
    <xf numFmtId="0" fontId="114" fillId="0" borderId="124" xfId="0" applyFont="1" applyBorder="1" applyAlignment="1">
      <alignment horizontal="left" vertical="center" wrapText="1"/>
    </xf>
    <xf numFmtId="41" fontId="114" fillId="0" borderId="50" xfId="0" applyNumberFormat="1" applyFont="1" applyBorder="1" applyAlignment="1">
      <alignment horizontal="right" vertical="center" wrapText="1"/>
    </xf>
    <xf numFmtId="41" fontId="114" fillId="0" borderId="53" xfId="0" applyNumberFormat="1" applyFont="1" applyBorder="1" applyAlignment="1">
      <alignment horizontal="right" vertical="center" wrapText="1"/>
    </xf>
    <xf numFmtId="41" fontId="114" fillId="0" borderId="52" xfId="0" applyNumberFormat="1" applyFont="1" applyBorder="1" applyAlignment="1">
      <alignment horizontal="right" vertical="center" wrapText="1"/>
    </xf>
    <xf numFmtId="0" fontId="18" fillId="0" borderId="0" xfId="189" applyFont="1" applyAlignment="1">
      <alignment vertical="center" wrapText="1"/>
    </xf>
    <xf numFmtId="0" fontId="18" fillId="0" borderId="0" xfId="189" applyFont="1" applyAlignment="1">
      <alignment horizontal="right" vertical="center" wrapText="1"/>
    </xf>
    <xf numFmtId="0" fontId="110" fillId="0" borderId="0" xfId="189" applyFont="1" applyAlignment="1">
      <alignment horizontal="center" vertical="center" wrapText="1"/>
    </xf>
    <xf numFmtId="0" fontId="114" fillId="0" borderId="0" xfId="189" applyFont="1" applyAlignment="1">
      <alignment horizontal="center" vertical="center" wrapText="1"/>
    </xf>
    <xf numFmtId="0" fontId="117" fillId="0" borderId="0" xfId="189" applyFont="1" applyAlignment="1">
      <alignment horizontal="center" vertical="center" wrapText="1"/>
    </xf>
    <xf numFmtId="0" fontId="130" fillId="0" borderId="0" xfId="189" applyFont="1" applyAlignment="1">
      <alignment horizontal="center" vertical="center" wrapText="1"/>
    </xf>
    <xf numFmtId="0" fontId="130" fillId="0" borderId="47" xfId="189" applyFont="1" applyBorder="1" applyAlignment="1">
      <alignment horizontal="center" vertical="center" wrapText="1"/>
    </xf>
    <xf numFmtId="0" fontId="129" fillId="0" borderId="67" xfId="189" applyFont="1" applyBorder="1" applyAlignment="1">
      <alignment horizontal="center" vertical="center" wrapText="1"/>
    </xf>
    <xf numFmtId="0" fontId="129" fillId="0" borderId="78" xfId="189" applyFont="1" applyBorder="1" applyAlignment="1">
      <alignment horizontal="center" vertical="center" wrapText="1"/>
    </xf>
    <xf numFmtId="0" fontId="129" fillId="0" borderId="66" xfId="189" applyFont="1" applyBorder="1" applyAlignment="1">
      <alignment horizontal="center" vertical="center" wrapText="1"/>
    </xf>
    <xf numFmtId="0" fontId="129" fillId="0" borderId="66" xfId="189" applyFont="1" applyBorder="1" applyAlignment="1">
      <alignment horizontal="center" vertical="center" wrapText="1"/>
    </xf>
    <xf numFmtId="0" fontId="117" fillId="0" borderId="54" xfId="189" applyFont="1" applyBorder="1" applyAlignment="1">
      <alignment horizontal="center" vertical="top" wrapText="1"/>
    </xf>
    <xf numFmtId="0" fontId="129" fillId="0" borderId="0" xfId="189" applyFont="1" applyAlignment="1">
      <alignment horizontal="center" vertical="center" wrapText="1"/>
    </xf>
    <xf numFmtId="0" fontId="129" fillId="0" borderId="48" xfId="189" applyFont="1" applyBorder="1" applyAlignment="1">
      <alignment horizontal="center" vertical="center" wrapText="1"/>
    </xf>
    <xf numFmtId="0" fontId="117" fillId="0" borderId="54" xfId="189" applyFont="1" applyBorder="1" applyAlignment="1">
      <alignment horizontal="center" vertical="center" wrapText="1"/>
    </xf>
    <xf numFmtId="49" fontId="114" fillId="44" borderId="216" xfId="183" applyNumberFormat="1" applyFont="1" applyFill="1" applyBorder="1" applyAlignment="1">
      <alignment horizontal="left" vertical="center" wrapText="1"/>
    </xf>
    <xf numFmtId="41" fontId="114" fillId="44" borderId="218" xfId="183" applyNumberFormat="1" applyFont="1" applyFill="1" applyBorder="1" applyAlignment="1">
      <alignment horizontal="right" vertical="center" wrapText="1"/>
    </xf>
    <xf numFmtId="41" fontId="114" fillId="44" borderId="102" xfId="183" applyNumberFormat="1" applyFont="1" applyFill="1" applyBorder="1" applyAlignment="1">
      <alignment horizontal="right" vertical="center" wrapText="1"/>
    </xf>
    <xf numFmtId="41" fontId="114" fillId="44" borderId="103" xfId="183" applyNumberFormat="1" applyFont="1" applyFill="1" applyBorder="1" applyAlignment="1">
      <alignment horizontal="right" vertical="center" wrapText="1"/>
    </xf>
    <xf numFmtId="49" fontId="114" fillId="44" borderId="0" xfId="183" applyNumberFormat="1" applyFont="1" applyFill="1" applyAlignment="1">
      <alignment horizontal="left" vertical="center" wrapText="1"/>
    </xf>
    <xf numFmtId="41" fontId="114" fillId="44" borderId="48" xfId="183" applyNumberFormat="1" applyFont="1" applyFill="1" applyBorder="1" applyAlignment="1">
      <alignment horizontal="right" vertical="center" wrapText="1"/>
    </xf>
    <xf numFmtId="41" fontId="114" fillId="44" borderId="49" xfId="183" applyNumberFormat="1" applyFont="1" applyFill="1" applyBorder="1" applyAlignment="1">
      <alignment horizontal="right" vertical="center" wrapText="1"/>
    </xf>
    <xf numFmtId="49" fontId="114" fillId="0" borderId="124" xfId="183" applyNumberFormat="1" applyFont="1" applyBorder="1" applyAlignment="1">
      <alignment horizontal="left" vertical="center" wrapText="1"/>
    </xf>
    <xf numFmtId="0" fontId="120" fillId="0" borderId="137" xfId="189" applyFont="1" applyBorder="1" applyAlignment="1">
      <alignment horizontal="center" vertical="center" wrapText="1"/>
    </xf>
    <xf numFmtId="0" fontId="114" fillId="44" borderId="74" xfId="189" applyFont="1" applyFill="1" applyBorder="1" applyAlignment="1">
      <alignment horizontal="left" vertical="center" wrapText="1"/>
    </xf>
    <xf numFmtId="0" fontId="114" fillId="44" borderId="80" xfId="189" applyFont="1" applyFill="1" applyBorder="1" applyAlignment="1">
      <alignment horizontal="left" vertical="center" wrapText="1"/>
    </xf>
    <xf numFmtId="41" fontId="114" fillId="44" borderId="81" xfId="189" applyNumberFormat="1" applyFont="1" applyFill="1" applyBorder="1" applyAlignment="1">
      <alignment horizontal="right" vertical="center" wrapText="1"/>
    </xf>
    <xf numFmtId="41" fontId="114" fillId="44" borderId="82" xfId="189" applyNumberFormat="1" applyFont="1" applyFill="1" applyBorder="1" applyAlignment="1">
      <alignment horizontal="right" vertical="center" wrapText="1"/>
    </xf>
    <xf numFmtId="0" fontId="114" fillId="0" borderId="0" xfId="189" applyFont="1" applyAlignment="1">
      <alignment horizontal="left" vertical="center" wrapText="1"/>
    </xf>
    <xf numFmtId="0" fontId="114" fillId="0" borderId="47" xfId="189" applyFont="1" applyBorder="1" applyAlignment="1">
      <alignment horizontal="left" vertical="center" wrapText="1"/>
    </xf>
    <xf numFmtId="41" fontId="114" fillId="0" borderId="48" xfId="189" applyNumberFormat="1" applyFont="1" applyBorder="1" applyAlignment="1">
      <alignment horizontal="right" vertical="center" wrapText="1"/>
    </xf>
    <xf numFmtId="41" fontId="114" fillId="0" borderId="47" xfId="189" applyNumberFormat="1" applyFont="1" applyBorder="1" applyAlignment="1">
      <alignment horizontal="right" vertical="center" wrapText="1"/>
    </xf>
    <xf numFmtId="41" fontId="114" fillId="0" borderId="49" xfId="189" applyNumberFormat="1" applyFont="1" applyBorder="1" applyAlignment="1">
      <alignment horizontal="right" vertical="center" wrapText="1"/>
    </xf>
    <xf numFmtId="0" fontId="114" fillId="44" borderId="0" xfId="189" applyFont="1" applyFill="1" applyAlignment="1">
      <alignment horizontal="left" vertical="center" wrapText="1"/>
    </xf>
    <xf numFmtId="0" fontId="114" fillId="44" borderId="47" xfId="189" applyFont="1" applyFill="1" applyBorder="1" applyAlignment="1">
      <alignment horizontal="left" vertical="center" wrapText="1"/>
    </xf>
    <xf numFmtId="41" fontId="114" fillId="44" borderId="48" xfId="189" applyNumberFormat="1" applyFont="1" applyFill="1" applyBorder="1" applyAlignment="1">
      <alignment horizontal="right" vertical="center" wrapText="1"/>
    </xf>
    <xf numFmtId="41" fontId="114" fillId="44" borderId="49" xfId="189" applyNumberFormat="1" applyFont="1" applyFill="1" applyBorder="1" applyAlignment="1">
      <alignment horizontal="right" vertical="center" wrapText="1"/>
    </xf>
    <xf numFmtId="41" fontId="114" fillId="0" borderId="0" xfId="183" applyNumberFormat="1" applyFont="1" applyAlignment="1">
      <alignment horizontal="right" vertical="center" wrapText="1"/>
    </xf>
    <xf numFmtId="0" fontId="120" fillId="0" borderId="30" xfId="189" applyFont="1" applyBorder="1" applyAlignment="1">
      <alignment horizontal="center" vertical="center" wrapText="1"/>
    </xf>
    <xf numFmtId="49" fontId="114" fillId="44" borderId="157" xfId="183" applyNumberFormat="1" applyFont="1" applyFill="1" applyBorder="1" applyAlignment="1">
      <alignment horizontal="left" vertical="center" wrapText="1"/>
    </xf>
    <xf numFmtId="41" fontId="114" fillId="44" borderId="10" xfId="183" applyNumberFormat="1" applyFont="1" applyFill="1" applyBorder="1" applyAlignment="1">
      <alignment horizontal="right" vertical="center" wrapText="1"/>
    </xf>
    <xf numFmtId="41" fontId="114" fillId="44" borderId="8" xfId="183" applyNumberFormat="1" applyFont="1" applyFill="1" applyBorder="1" applyAlignment="1">
      <alignment horizontal="right" vertical="center" wrapText="1"/>
    </xf>
    <xf numFmtId="0" fontId="114" fillId="0" borderId="0" xfId="189" applyFont="1" applyAlignment="1">
      <alignment vertical="center" wrapText="1"/>
    </xf>
    <xf numFmtId="0" fontId="114" fillId="0" borderId="157" xfId="189" applyFont="1" applyBorder="1" applyAlignment="1">
      <alignment vertical="center" wrapText="1"/>
    </xf>
    <xf numFmtId="0" fontId="114" fillId="0" borderId="0" xfId="194" applyFont="1" applyAlignment="1">
      <alignment vertical="center" wrapText="1"/>
    </xf>
    <xf numFmtId="0" fontId="118" fillId="0" borderId="82" xfId="194" applyFont="1" applyBorder="1" applyAlignment="1">
      <alignment horizontal="center" vertical="top" wrapText="1"/>
    </xf>
    <xf numFmtId="0" fontId="118" fillId="0" borderId="74" xfId="194" applyFont="1" applyBorder="1" applyAlignment="1">
      <alignment horizontal="center" vertical="top" wrapText="1"/>
    </xf>
    <xf numFmtId="0" fontId="45" fillId="0" borderId="74" xfId="254" applyFont="1" applyBorder="1" applyAlignment="1">
      <alignment horizontal="center" vertical="top"/>
    </xf>
    <xf numFmtId="0" fontId="118" fillId="0" borderId="0" xfId="194" applyFont="1" applyAlignment="1">
      <alignment horizontal="center" vertical="center" wrapText="1"/>
    </xf>
    <xf numFmtId="0" fontId="114" fillId="0" borderId="35" xfId="194" applyFont="1" applyBorder="1" applyAlignment="1">
      <alignment horizontal="center" vertical="center" wrapText="1"/>
    </xf>
    <xf numFmtId="0" fontId="18" fillId="44" borderId="0" xfId="194" applyFont="1" applyFill="1" applyAlignment="1">
      <alignment horizontal="left" vertical="center" wrapText="1"/>
    </xf>
    <xf numFmtId="0" fontId="114" fillId="44" borderId="47" xfId="194" applyFont="1" applyFill="1" applyBorder="1" applyAlignment="1">
      <alignment horizontal="left" vertical="center" wrapText="1"/>
    </xf>
    <xf numFmtId="41" fontId="18" fillId="44" borderId="47" xfId="194" applyNumberFormat="1" applyFont="1" applyFill="1" applyBorder="1" applyAlignment="1">
      <alignment horizontal="right" vertical="center" wrapText="1"/>
    </xf>
    <xf numFmtId="41" fontId="18" fillId="44" borderId="48" xfId="194" applyNumberFormat="1" applyFont="1" applyFill="1" applyBorder="1" applyAlignment="1">
      <alignment horizontal="right" vertical="center" wrapText="1"/>
    </xf>
    <xf numFmtId="41" fontId="18" fillId="44" borderId="49" xfId="194" applyNumberFormat="1" applyFont="1" applyFill="1" applyBorder="1" applyAlignment="1">
      <alignment horizontal="right" vertical="center" wrapText="1"/>
    </xf>
    <xf numFmtId="0" fontId="114" fillId="0" borderId="47" xfId="194" applyFont="1" applyBorder="1" applyAlignment="1">
      <alignment horizontal="left" vertical="center" wrapText="1"/>
    </xf>
    <xf numFmtId="41" fontId="18" fillId="0" borderId="47" xfId="194" applyNumberFormat="1" applyFont="1" applyBorder="1" applyAlignment="1">
      <alignment horizontal="right" vertical="center" wrapText="1"/>
    </xf>
    <xf numFmtId="41" fontId="18" fillId="0" borderId="48" xfId="194" applyNumberFormat="1" applyFont="1" applyBorder="1" applyAlignment="1">
      <alignment horizontal="right" vertical="center" wrapText="1"/>
    </xf>
    <xf numFmtId="41" fontId="18" fillId="0" borderId="49" xfId="194" applyNumberFormat="1" applyFont="1" applyBorder="1" applyAlignment="1">
      <alignment horizontal="right" vertical="center" wrapText="1"/>
    </xf>
    <xf numFmtId="0" fontId="117" fillId="44" borderId="47" xfId="194" applyFont="1" applyFill="1" applyBorder="1" applyAlignment="1">
      <alignment horizontal="left" vertical="center" wrapText="1"/>
    </xf>
    <xf numFmtId="41" fontId="18" fillId="0" borderId="48" xfId="194" applyNumberFormat="1" applyFont="1" applyBorder="1" applyAlignment="1">
      <alignment horizontal="right" vertical="top" wrapText="1"/>
    </xf>
    <xf numFmtId="0" fontId="114" fillId="44" borderId="0" xfId="194" applyFont="1" applyFill="1" applyAlignment="1">
      <alignment horizontal="left" vertical="center" wrapText="1"/>
    </xf>
    <xf numFmtId="0" fontId="130" fillId="44" borderId="0" xfId="194" applyFont="1" applyFill="1" applyAlignment="1">
      <alignment horizontal="left" vertical="center" wrapText="1"/>
    </xf>
    <xf numFmtId="41" fontId="18" fillId="0" borderId="77" xfId="194" applyNumberFormat="1" applyFont="1" applyBorder="1" applyAlignment="1">
      <alignment horizontal="right" vertical="center" wrapText="1"/>
    </xf>
    <xf numFmtId="0" fontId="118" fillId="0" borderId="106" xfId="194" applyFont="1" applyBorder="1" applyAlignment="1">
      <alignment horizontal="center" vertical="center" wrapText="1"/>
    </xf>
    <xf numFmtId="0" fontId="18" fillId="44" borderId="74" xfId="194" applyFont="1" applyFill="1" applyBorder="1" applyAlignment="1">
      <alignment horizontal="left" vertical="center" wrapText="1"/>
    </xf>
    <xf numFmtId="0" fontId="114" fillId="44" borderId="80" xfId="194" applyFont="1" applyFill="1" applyBorder="1" applyAlignment="1">
      <alignment horizontal="left" vertical="center" wrapText="1"/>
    </xf>
    <xf numFmtId="41" fontId="18" fillId="44" borderId="80" xfId="194" applyNumberFormat="1" applyFont="1" applyFill="1" applyBorder="1" applyAlignment="1">
      <alignment horizontal="right" vertical="center" wrapText="1"/>
    </xf>
    <xf numFmtId="41" fontId="18" fillId="44" borderId="81" xfId="194" applyNumberFormat="1" applyFont="1" applyFill="1" applyBorder="1" applyAlignment="1">
      <alignment horizontal="right" vertical="center" wrapText="1"/>
    </xf>
    <xf numFmtId="41" fontId="18" fillId="44" borderId="82" xfId="194" applyNumberFormat="1" applyFont="1" applyFill="1" applyBorder="1" applyAlignment="1">
      <alignment horizontal="right" vertical="center" wrapText="1"/>
    </xf>
    <xf numFmtId="41" fontId="18" fillId="0" borderId="76" xfId="194" applyNumberFormat="1" applyFont="1" applyBorder="1" applyAlignment="1">
      <alignment horizontal="right" vertical="center" wrapText="1"/>
    </xf>
    <xf numFmtId="0" fontId="114" fillId="0" borderId="74" xfId="194" applyFont="1" applyBorder="1" applyAlignment="1">
      <alignment horizontal="left" vertical="center" wrapText="1"/>
    </xf>
    <xf numFmtId="0" fontId="114" fillId="0" borderId="74" xfId="194" applyFont="1" applyBorder="1" applyAlignment="1">
      <alignment horizontal="left" vertical="center"/>
    </xf>
    <xf numFmtId="0" fontId="71" fillId="0" borderId="82" xfId="254" applyFont="1" applyBorder="1" applyAlignment="1">
      <alignment horizontal="center" vertical="top"/>
    </xf>
    <xf numFmtId="0" fontId="71" fillId="0" borderId="74" xfId="254" applyFont="1" applyBorder="1" applyAlignment="1">
      <alignment horizontal="center" vertical="top"/>
    </xf>
    <xf numFmtId="0" fontId="62" fillId="0" borderId="0" xfId="194" applyFont="1" applyAlignment="1">
      <alignment horizontal="center" vertical="center" wrapText="1"/>
    </xf>
    <xf numFmtId="0" fontId="61" fillId="0" borderId="35" xfId="194" applyFont="1" applyBorder="1" applyAlignment="1">
      <alignment horizontal="center" vertical="center" wrapText="1"/>
    </xf>
    <xf numFmtId="0" fontId="59" fillId="36" borderId="0" xfId="194" applyFont="1" applyFill="1" applyAlignment="1">
      <alignment horizontal="left" vertical="center" wrapText="1"/>
    </xf>
    <xf numFmtId="41" fontId="59" fillId="36" borderId="206" xfId="194" applyNumberFormat="1" applyFont="1" applyFill="1" applyBorder="1" applyAlignment="1">
      <alignment horizontal="right" vertical="center" wrapText="1"/>
    </xf>
    <xf numFmtId="41" fontId="59" fillId="36" borderId="195" xfId="194" applyNumberFormat="1" applyFont="1" applyFill="1" applyBorder="1" applyAlignment="1">
      <alignment horizontal="right" vertical="center" wrapText="1"/>
    </xf>
    <xf numFmtId="0" fontId="59" fillId="37" borderId="0" xfId="194" applyFont="1" applyFill="1" applyAlignment="1">
      <alignment horizontal="left" vertical="center" wrapText="1"/>
    </xf>
    <xf numFmtId="0" fontId="104" fillId="36" borderId="0" xfId="194" applyFont="1" applyFill="1" applyAlignment="1">
      <alignment horizontal="left" vertical="center" wrapText="1"/>
    </xf>
    <xf numFmtId="0" fontId="59" fillId="47" borderId="0" xfId="194" applyFont="1" applyFill="1" applyAlignment="1">
      <alignment horizontal="left" vertical="center" wrapText="1"/>
    </xf>
    <xf numFmtId="0" fontId="61" fillId="47" borderId="47" xfId="194" applyFont="1" applyFill="1" applyBorder="1" applyAlignment="1">
      <alignment horizontal="left" vertical="center" wrapText="1"/>
    </xf>
    <xf numFmtId="41" fontId="59" fillId="47" borderId="48" xfId="194" applyNumberFormat="1" applyFont="1" applyFill="1" applyBorder="1" applyAlignment="1">
      <alignment horizontal="right" vertical="center" wrapText="1"/>
    </xf>
    <xf numFmtId="41" fontId="59" fillId="47" borderId="49" xfId="194" applyNumberFormat="1" applyFont="1" applyFill="1" applyBorder="1" applyAlignment="1">
      <alignment horizontal="right" vertical="center" wrapText="1"/>
    </xf>
    <xf numFmtId="0" fontId="62" fillId="0" borderId="106" xfId="194" applyFont="1" applyBorder="1" applyAlignment="1">
      <alignment horizontal="center" vertical="center" wrapText="1"/>
    </xf>
    <xf numFmtId="41" fontId="59" fillId="36" borderId="0" xfId="194" applyNumberFormat="1" applyFont="1" applyFill="1" applyAlignment="1">
      <alignment horizontal="right" vertical="center" wrapText="1"/>
    </xf>
    <xf numFmtId="0" fontId="61" fillId="0" borderId="0" xfId="194" applyFont="1" applyAlignment="1">
      <alignment horizontal="center" vertical="center" wrapText="1"/>
    </xf>
    <xf numFmtId="0" fontId="62" fillId="0" borderId="0" xfId="194" applyFont="1" applyAlignment="1">
      <alignment horizontal="center" vertical="center" wrapText="1"/>
    </xf>
    <xf numFmtId="0" fontId="67" fillId="0" borderId="0" xfId="194" applyFont="1" applyAlignment="1">
      <alignment horizontal="center" vertical="center" wrapText="1"/>
    </xf>
    <xf numFmtId="49" fontId="61" fillId="0" borderId="149" xfId="254" applyNumberFormat="1" applyFont="1" applyBorder="1" applyAlignment="1">
      <alignment horizontal="center" vertical="center" wrapText="1"/>
    </xf>
    <xf numFmtId="41" fontId="59" fillId="37" borderId="0" xfId="194" applyNumberFormat="1" applyFont="1" applyFill="1" applyAlignment="1">
      <alignment horizontal="right" vertical="center" wrapText="1"/>
    </xf>
    <xf numFmtId="41" fontId="59" fillId="47" borderId="47" xfId="194" applyNumberFormat="1" applyFont="1" applyFill="1" applyBorder="1" applyAlignment="1">
      <alignment horizontal="right" vertical="center" wrapText="1"/>
    </xf>
    <xf numFmtId="41" fontId="59" fillId="47" borderId="0" xfId="194" applyNumberFormat="1" applyFont="1" applyFill="1" applyAlignment="1">
      <alignment horizontal="right" vertical="center" wrapText="1"/>
    </xf>
    <xf numFmtId="41" fontId="59" fillId="0" borderId="47" xfId="194" applyNumberFormat="1" applyFont="1" applyBorder="1" applyAlignment="1">
      <alignment horizontal="right" vertical="center" wrapText="1"/>
    </xf>
    <xf numFmtId="41" fontId="59" fillId="0" borderId="48" xfId="194" applyNumberFormat="1" applyFont="1" applyBorder="1" applyAlignment="1">
      <alignment horizontal="right" vertical="center" wrapText="1"/>
    </xf>
    <xf numFmtId="41" fontId="59" fillId="0" borderId="0" xfId="194" applyNumberFormat="1" applyFont="1" applyAlignment="1">
      <alignment horizontal="right" vertical="center" wrapText="1"/>
    </xf>
    <xf numFmtId="41" fontId="59" fillId="36" borderId="207" xfId="194" applyNumberFormat="1" applyFont="1" applyFill="1" applyBorder="1" applyAlignment="1">
      <alignment horizontal="right" vertical="center" wrapText="1"/>
    </xf>
    <xf numFmtId="0" fontId="67" fillId="0" borderId="0" xfId="194" applyFont="1" applyAlignment="1">
      <alignment horizontal="center" vertical="center" wrapText="1"/>
    </xf>
    <xf numFmtId="49" fontId="62" fillId="0" borderId="149" xfId="194" applyNumberFormat="1" applyFont="1" applyBorder="1" applyAlignment="1">
      <alignment horizontal="center" vertical="center" wrapText="1"/>
    </xf>
    <xf numFmtId="49" fontId="61" fillId="0" borderId="149" xfId="194" applyNumberFormat="1" applyFont="1" applyBorder="1" applyAlignment="1">
      <alignment horizontal="center" vertical="center" wrapText="1"/>
    </xf>
    <xf numFmtId="0" fontId="98" fillId="0" borderId="124" xfId="179" applyFont="1" applyBorder="1" applyAlignment="1">
      <alignment horizontal="right" vertical="center" wrapText="1"/>
    </xf>
    <xf numFmtId="0" fontId="106" fillId="0" borderId="157" xfId="179" applyFont="1" applyBorder="1" applyAlignment="1">
      <alignment horizontal="center" vertical="center" wrapText="1"/>
    </xf>
    <xf numFmtId="0" fontId="106" fillId="0" borderId="143" xfId="179" applyFont="1" applyBorder="1" applyAlignment="1">
      <alignment horizontal="center" vertical="center" wrapText="1"/>
    </xf>
    <xf numFmtId="0" fontId="106" fillId="0" borderId="216" xfId="179" applyFont="1" applyBorder="1" applyAlignment="1">
      <alignment horizontal="center" vertical="center" wrapText="1"/>
    </xf>
    <xf numFmtId="0" fontId="106" fillId="0" borderId="152" xfId="179" applyFont="1" applyBorder="1" applyAlignment="1">
      <alignment horizontal="center" vertical="center" wrapText="1"/>
    </xf>
    <xf numFmtId="0" fontId="98" fillId="0" borderId="0" xfId="179" applyFont="1" applyAlignment="1">
      <alignment horizontal="center" vertical="center" wrapText="1"/>
    </xf>
    <xf numFmtId="0" fontId="95" fillId="0" borderId="0" xfId="179" applyFont="1" applyAlignment="1">
      <alignment horizontal="center" vertical="center" wrapText="1"/>
    </xf>
    <xf numFmtId="0" fontId="106" fillId="0" borderId="149" xfId="179" applyFont="1" applyBorder="1" applyAlignment="1">
      <alignment horizontal="center" vertical="center" wrapText="1"/>
    </xf>
    <xf numFmtId="0" fontId="106" fillId="0" borderId="0" xfId="179" applyFont="1" applyAlignment="1">
      <alignment horizontal="center" vertical="center" wrapText="1"/>
    </xf>
    <xf numFmtId="41" fontId="95" fillId="2" borderId="1" xfId="130" applyFont="1" applyFill="1" applyBorder="1" applyAlignment="1">
      <alignment horizontal="right" vertical="center" wrapText="1"/>
    </xf>
    <xf numFmtId="41" fontId="95" fillId="2" borderId="149" xfId="130" applyFont="1" applyFill="1" applyBorder="1" applyAlignment="1">
      <alignment horizontal="right" vertical="center" wrapText="1"/>
    </xf>
    <xf numFmtId="41" fontId="95" fillId="2" borderId="0" xfId="130" applyFont="1" applyFill="1" applyBorder="1" applyAlignment="1">
      <alignment horizontal="right" vertical="center" wrapText="1"/>
    </xf>
    <xf numFmtId="41" fontId="95" fillId="3" borderId="1" xfId="130" applyFont="1" applyFill="1" applyBorder="1" applyAlignment="1">
      <alignment horizontal="right" vertical="center" wrapText="1"/>
    </xf>
    <xf numFmtId="41" fontId="95" fillId="3" borderId="149" xfId="130" applyFont="1" applyFill="1" applyBorder="1" applyAlignment="1">
      <alignment horizontal="right" vertical="center" wrapText="1"/>
    </xf>
    <xf numFmtId="41" fontId="95" fillId="3" borderId="0" xfId="130" applyFont="1" applyFill="1" applyBorder="1" applyAlignment="1">
      <alignment horizontal="right" vertical="center" wrapText="1"/>
    </xf>
    <xf numFmtId="0" fontId="95" fillId="3" borderId="124" xfId="179" applyFont="1" applyFill="1" applyBorder="1" applyAlignment="1">
      <alignment horizontal="left" vertical="center" wrapText="1"/>
    </xf>
    <xf numFmtId="41" fontId="95" fillId="3" borderId="3" xfId="130" applyFont="1" applyFill="1" applyBorder="1" applyAlignment="1">
      <alignment horizontal="right" vertical="center" wrapText="1"/>
    </xf>
    <xf numFmtId="41" fontId="95" fillId="3" borderId="6" xfId="130" applyFont="1" applyFill="1" applyBorder="1" applyAlignment="1">
      <alignment horizontal="right" vertical="center" wrapText="1"/>
    </xf>
    <xf numFmtId="41" fontId="95" fillId="3" borderId="124" xfId="130" applyFont="1" applyFill="1" applyBorder="1" applyAlignment="1">
      <alignment horizontal="right" vertical="center" wrapText="1"/>
    </xf>
    <xf numFmtId="0" fontId="106" fillId="0" borderId="30" xfId="179" applyFont="1" applyBorder="1" applyAlignment="1">
      <alignment horizontal="center" vertical="center" wrapText="1"/>
    </xf>
    <xf numFmtId="41" fontId="95" fillId="2" borderId="10" xfId="130" applyFont="1" applyFill="1" applyBorder="1" applyAlignment="1">
      <alignment horizontal="right" vertical="center" wrapText="1"/>
    </xf>
    <xf numFmtId="41" fontId="95" fillId="3" borderId="148" xfId="130" applyFont="1" applyFill="1" applyBorder="1" applyAlignment="1">
      <alignment horizontal="right" vertical="center" wrapText="1"/>
    </xf>
    <xf numFmtId="41" fontId="95" fillId="3" borderId="5" xfId="130" applyFont="1" applyFill="1" applyBorder="1" applyAlignment="1">
      <alignment horizontal="right" vertical="center" wrapText="1"/>
    </xf>
    <xf numFmtId="41" fontId="95" fillId="2" borderId="8" xfId="130" applyFont="1" applyFill="1" applyBorder="1" applyAlignment="1">
      <alignment horizontal="right" vertical="center" wrapText="1"/>
    </xf>
    <xf numFmtId="41" fontId="95" fillId="2" borderId="148" xfId="130" applyFont="1" applyFill="1" applyBorder="1" applyAlignment="1">
      <alignment horizontal="right" vertical="center" wrapText="1"/>
    </xf>
    <xf numFmtId="0" fontId="69" fillId="0" borderId="0" xfId="193" applyFont="1" applyAlignment="1">
      <alignment horizontal="left" vertical="center" wrapText="1"/>
    </xf>
    <xf numFmtId="0" fontId="69" fillId="0" borderId="0" xfId="193" applyFont="1" applyAlignment="1">
      <alignment horizontal="right" vertical="center" wrapText="1"/>
    </xf>
    <xf numFmtId="0" fontId="70" fillId="0" borderId="0" xfId="193" applyFont="1" applyAlignment="1">
      <alignment horizontal="center" vertical="center" wrapText="1"/>
    </xf>
    <xf numFmtId="0" fontId="73" fillId="0" borderId="0" xfId="193" applyFont="1" applyAlignment="1">
      <alignment horizontal="left" vertical="center" wrapText="1"/>
    </xf>
    <xf numFmtId="0" fontId="73" fillId="0" borderId="0" xfId="193" applyFont="1" applyAlignment="1">
      <alignment horizontal="right" vertical="center" wrapText="1"/>
    </xf>
    <xf numFmtId="0" fontId="71" fillId="0" borderId="81" xfId="193" applyFont="1" applyBorder="1" applyAlignment="1">
      <alignment horizontal="center" vertical="center" wrapText="1"/>
    </xf>
    <xf numFmtId="0" fontId="71" fillId="0" borderId="82" xfId="193" applyFont="1" applyBorder="1" applyAlignment="1">
      <alignment horizontal="center" vertical="center" wrapText="1"/>
    </xf>
    <xf numFmtId="0" fontId="71" fillId="0" borderId="80" xfId="193" applyFont="1" applyBorder="1" applyAlignment="1">
      <alignment horizontal="center" vertical="center" wrapText="1"/>
    </xf>
    <xf numFmtId="0" fontId="73" fillId="0" borderId="0" xfId="193" applyFont="1" applyAlignment="1">
      <alignment horizontal="center" vertical="center" wrapText="1"/>
    </xf>
    <xf numFmtId="0" fontId="73" fillId="0" borderId="48" xfId="193" applyFont="1" applyBorder="1" applyAlignment="1">
      <alignment horizontal="center" vertical="center" wrapText="1"/>
    </xf>
    <xf numFmtId="0" fontId="73" fillId="0" borderId="49" xfId="193" applyFont="1" applyBorder="1" applyAlignment="1">
      <alignment horizontal="center" vertical="center" wrapText="1"/>
    </xf>
    <xf numFmtId="0" fontId="73" fillId="0" borderId="47" xfId="193" applyFont="1" applyBorder="1" applyAlignment="1">
      <alignment horizontal="center" vertical="center" wrapText="1"/>
    </xf>
    <xf numFmtId="0" fontId="73" fillId="0" borderId="0" xfId="193" applyFont="1" applyAlignment="1">
      <alignment horizontal="center" vertical="center" wrapText="1"/>
    </xf>
    <xf numFmtId="0" fontId="73" fillId="0" borderId="129" xfId="193" applyFont="1" applyBorder="1" applyAlignment="1">
      <alignment horizontal="center" vertical="center" wrapText="1"/>
    </xf>
    <xf numFmtId="0" fontId="73" fillId="0" borderId="130" xfId="193" applyFont="1" applyBorder="1" applyAlignment="1">
      <alignment horizontal="center" vertical="center" wrapText="1"/>
    </xf>
    <xf numFmtId="0" fontId="71" fillId="0" borderId="78" xfId="193" applyFont="1" applyBorder="1" applyAlignment="1">
      <alignment horizontal="center" vertical="center" wrapText="1"/>
    </xf>
    <xf numFmtId="0" fontId="73" fillId="0" borderId="27" xfId="193" applyFont="1" applyBorder="1" applyAlignment="1">
      <alignment horizontal="center" vertical="center" wrapText="1"/>
    </xf>
    <xf numFmtId="0" fontId="73" fillId="0" borderId="83" xfId="193" applyFont="1" applyBorder="1" applyAlignment="1">
      <alignment horizontal="center" vertical="center" wrapText="1"/>
    </xf>
    <xf numFmtId="0" fontId="73" fillId="0" borderId="47" xfId="193" applyFont="1" applyBorder="1" applyAlignment="1">
      <alignment horizontal="center" vertical="center" wrapText="1"/>
    </xf>
    <xf numFmtId="41" fontId="59" fillId="4" borderId="221" xfId="0" applyNumberFormat="1" applyFont="1" applyFill="1" applyBorder="1" applyAlignment="1">
      <alignment horizontal="right" vertical="center" wrapText="1"/>
    </xf>
    <xf numFmtId="41" fontId="59" fillId="4" borderId="222" xfId="0" applyNumberFormat="1" applyFont="1" applyFill="1" applyBorder="1" applyAlignment="1">
      <alignment horizontal="right" vertical="center" wrapText="1"/>
    </xf>
    <xf numFmtId="0" fontId="69" fillId="37" borderId="0" xfId="193" applyFont="1" applyFill="1" applyAlignment="1">
      <alignment horizontal="left" vertical="center" wrapText="1"/>
    </xf>
    <xf numFmtId="41" fontId="59" fillId="0" borderId="149" xfId="0" applyNumberFormat="1" applyFont="1" applyBorder="1" applyAlignment="1">
      <alignment horizontal="right" vertical="center" wrapText="1"/>
    </xf>
    <xf numFmtId="0" fontId="73" fillId="37" borderId="50" xfId="193" applyFont="1" applyFill="1" applyBorder="1" applyAlignment="1">
      <alignment horizontal="left" vertical="center" wrapText="1"/>
    </xf>
    <xf numFmtId="41" fontId="59" fillId="0" borderId="6" xfId="0" applyNumberFormat="1" applyFont="1" applyBorder="1" applyAlignment="1">
      <alignment horizontal="right" vertical="center" wrapText="1"/>
    </xf>
    <xf numFmtId="41" fontId="59" fillId="0" borderId="5" xfId="0" applyNumberFormat="1" applyFont="1" applyBorder="1" applyAlignment="1">
      <alignment horizontal="right" vertical="center" wrapText="1"/>
    </xf>
    <xf numFmtId="0" fontId="71" fillId="0" borderId="79" xfId="193" applyFont="1" applyBorder="1" applyAlignment="1">
      <alignment horizontal="center" vertical="center" wrapText="1"/>
    </xf>
    <xf numFmtId="41" fontId="69" fillId="37" borderId="0" xfId="193" applyNumberFormat="1" applyFont="1" applyFill="1" applyAlignment="1">
      <alignment horizontal="right" vertical="center" wrapText="1"/>
    </xf>
    <xf numFmtId="0" fontId="69" fillId="36" borderId="0" xfId="193" applyFont="1" applyFill="1" applyAlignment="1">
      <alignment horizontal="left" vertical="center" wrapText="1"/>
    </xf>
    <xf numFmtId="41" fontId="69" fillId="36" borderId="0" xfId="193" applyNumberFormat="1" applyFont="1" applyFill="1" applyAlignment="1">
      <alignment horizontal="right" vertical="center" wrapText="1"/>
    </xf>
    <xf numFmtId="0" fontId="69" fillId="36" borderId="157" xfId="193" applyFont="1" applyFill="1" applyBorder="1" applyAlignment="1">
      <alignment horizontal="left" vertical="center" wrapText="1"/>
    </xf>
    <xf numFmtId="41" fontId="59" fillId="4" borderId="149" xfId="0" applyNumberFormat="1" applyFont="1" applyFill="1" applyBorder="1" applyAlignment="1">
      <alignment horizontal="right" vertical="center" wrapText="1"/>
    </xf>
    <xf numFmtId="41" fontId="59" fillId="44" borderId="149" xfId="0" applyNumberFormat="1" applyFont="1" applyFill="1" applyBorder="1" applyAlignment="1">
      <alignment horizontal="right" vertical="center" wrapText="1"/>
    </xf>
    <xf numFmtId="0" fontId="135" fillId="0" borderId="0" xfId="191" applyFont="1" applyAlignment="1">
      <alignment horizontal="center" vertical="center" wrapText="1"/>
    </xf>
    <xf numFmtId="0" fontId="135" fillId="0" borderId="0" xfId="191" applyFont="1" applyAlignment="1">
      <alignment horizontal="right" vertical="center" wrapText="1"/>
    </xf>
    <xf numFmtId="0" fontId="136" fillId="0" borderId="157" xfId="191" applyFont="1" applyBorder="1" applyAlignment="1">
      <alignment horizontal="center" vertical="center" wrapText="1"/>
    </xf>
    <xf numFmtId="0" fontId="19" fillId="0" borderId="0" xfId="191" applyFont="1" applyAlignment="1">
      <alignment horizontal="center" vertical="center" wrapText="1"/>
    </xf>
    <xf numFmtId="0" fontId="138" fillId="0" borderId="149" xfId="191" applyFont="1" applyBorder="1" applyAlignment="1">
      <alignment horizontal="center" vertical="center" wrapText="1"/>
    </xf>
    <xf numFmtId="0" fontId="138" fillId="0" borderId="0" xfId="191" applyFont="1" applyAlignment="1">
      <alignment horizontal="center" vertical="center" wrapText="1"/>
    </xf>
    <xf numFmtId="0" fontId="19" fillId="44" borderId="0" xfId="191" applyFont="1" applyFill="1" applyAlignment="1">
      <alignment horizontal="left" vertical="center" wrapText="1"/>
    </xf>
    <xf numFmtId="0" fontId="19" fillId="44" borderId="23" xfId="191" applyFont="1" applyFill="1" applyBorder="1" applyAlignment="1">
      <alignment horizontal="left" vertical="center" wrapText="1"/>
    </xf>
    <xf numFmtId="41" fontId="19" fillId="44" borderId="1" xfId="130" applyFont="1" applyFill="1" applyBorder="1" applyAlignment="1">
      <alignment horizontal="right" vertical="center" wrapText="1"/>
    </xf>
    <xf numFmtId="41" fontId="19" fillId="44" borderId="149" xfId="130" applyFont="1" applyFill="1" applyBorder="1" applyAlignment="1">
      <alignment horizontal="right" vertical="center" wrapText="1"/>
    </xf>
    <xf numFmtId="41" fontId="19" fillId="44" borderId="0" xfId="130" applyFont="1" applyFill="1" applyBorder="1" applyAlignment="1">
      <alignment horizontal="right" vertical="center" wrapText="1"/>
    </xf>
    <xf numFmtId="0" fontId="19" fillId="0" borderId="23" xfId="191" applyFont="1" applyBorder="1" applyAlignment="1">
      <alignment horizontal="left" vertical="center" wrapText="1"/>
    </xf>
    <xf numFmtId="41" fontId="19" fillId="0" borderId="1" xfId="130" applyFont="1" applyFill="1" applyBorder="1" applyAlignment="1">
      <alignment horizontal="right" vertical="center" wrapText="1"/>
    </xf>
    <xf numFmtId="41" fontId="19" fillId="0" borderId="149" xfId="130" applyFont="1" applyFill="1" applyBorder="1" applyAlignment="1">
      <alignment horizontal="right" vertical="center" wrapText="1"/>
    </xf>
    <xf numFmtId="41" fontId="19" fillId="0" borderId="0" xfId="130" applyFont="1" applyFill="1" applyBorder="1" applyAlignment="1">
      <alignment horizontal="right" vertical="center" wrapText="1"/>
    </xf>
    <xf numFmtId="0" fontId="19" fillId="0" borderId="124" xfId="191" applyFont="1" applyBorder="1" applyAlignment="1">
      <alignment horizontal="left" vertical="center" wrapText="1"/>
    </xf>
    <xf numFmtId="0" fontId="19" fillId="0" borderId="24" xfId="191" applyFont="1" applyBorder="1" applyAlignment="1">
      <alignment horizontal="left" vertical="center" wrapText="1"/>
    </xf>
    <xf numFmtId="41" fontId="19" fillId="0" borderId="3" xfId="130" applyFont="1" applyFill="1" applyBorder="1" applyAlignment="1">
      <alignment horizontal="right" vertical="center" wrapText="1"/>
    </xf>
    <xf numFmtId="41" fontId="19" fillId="0" borderId="6" xfId="130" applyFont="1" applyFill="1" applyBorder="1" applyAlignment="1">
      <alignment horizontal="right" vertical="center" wrapText="1"/>
    </xf>
    <xf numFmtId="41" fontId="19" fillId="0" borderId="124" xfId="130" applyFont="1" applyFill="1" applyBorder="1" applyAlignment="1">
      <alignment horizontal="right" vertical="center" wrapText="1"/>
    </xf>
    <xf numFmtId="0" fontId="138" fillId="0" borderId="0" xfId="191" applyFont="1" applyAlignment="1">
      <alignment horizontal="center" vertical="center" wrapText="1"/>
    </xf>
    <xf numFmtId="0" fontId="19" fillId="44" borderId="157" xfId="191" applyFont="1" applyFill="1" applyBorder="1" applyAlignment="1">
      <alignment horizontal="left" vertical="center" wrapText="1"/>
    </xf>
    <xf numFmtId="0" fontId="19" fillId="44" borderId="25" xfId="191" applyFont="1" applyFill="1" applyBorder="1" applyAlignment="1">
      <alignment horizontal="left" vertical="center" wrapText="1"/>
    </xf>
    <xf numFmtId="41" fontId="19" fillId="44" borderId="20" xfId="130" applyFont="1" applyFill="1" applyBorder="1" applyAlignment="1">
      <alignment horizontal="right" vertical="center" wrapText="1"/>
    </xf>
    <xf numFmtId="41" fontId="19" fillId="44" borderId="10" xfId="130" applyFont="1" applyFill="1" applyBorder="1" applyAlignment="1">
      <alignment horizontal="right" vertical="center" wrapText="1"/>
    </xf>
    <xf numFmtId="41" fontId="19" fillId="44" borderId="8" xfId="130" applyFont="1" applyFill="1" applyBorder="1" applyAlignment="1">
      <alignment horizontal="right" vertical="center" wrapText="1"/>
    </xf>
    <xf numFmtId="41" fontId="19" fillId="0" borderId="148" xfId="130" applyFont="1" applyFill="1" applyBorder="1" applyAlignment="1">
      <alignment horizontal="right" vertical="center" wrapText="1"/>
    </xf>
    <xf numFmtId="41" fontId="19" fillId="44" borderId="148" xfId="130" applyFont="1" applyFill="1" applyBorder="1" applyAlignment="1">
      <alignment horizontal="right" vertical="center" wrapText="1"/>
    </xf>
    <xf numFmtId="41" fontId="19" fillId="0" borderId="5" xfId="130" applyFont="1" applyFill="1" applyBorder="1" applyAlignment="1">
      <alignment horizontal="right" vertical="center" wrapText="1"/>
    </xf>
    <xf numFmtId="0" fontId="138" fillId="0" borderId="223" xfId="191" applyFont="1" applyBorder="1" applyAlignment="1">
      <alignment horizontal="center" vertical="center" wrapText="1"/>
    </xf>
    <xf numFmtId="41" fontId="19" fillId="44" borderId="22" xfId="130" applyFont="1" applyFill="1" applyBorder="1" applyAlignment="1">
      <alignment horizontal="right" vertical="center" wrapText="1"/>
    </xf>
    <xf numFmtId="41" fontId="19" fillId="44" borderId="21" xfId="130" applyFont="1" applyFill="1" applyBorder="1" applyAlignment="1">
      <alignment horizontal="right" vertical="center" wrapText="1"/>
    </xf>
    <xf numFmtId="41" fontId="19" fillId="0" borderId="9" xfId="130" applyFont="1" applyFill="1" applyBorder="1" applyAlignment="1">
      <alignment horizontal="right" vertical="center" wrapText="1"/>
    </xf>
    <xf numFmtId="41" fontId="19" fillId="0" borderId="12" xfId="130" applyFont="1" applyFill="1" applyBorder="1" applyAlignment="1">
      <alignment horizontal="right" vertical="center" wrapText="1"/>
    </xf>
    <xf numFmtId="41" fontId="19" fillId="44" borderId="9" xfId="130" applyFont="1" applyFill="1" applyBorder="1" applyAlignment="1">
      <alignment horizontal="right" vertical="center" wrapText="1"/>
    </xf>
    <xf numFmtId="41" fontId="19" fillId="44" borderId="12" xfId="130" applyFont="1" applyFill="1" applyBorder="1" applyAlignment="1">
      <alignment horizontal="right" vertical="center" wrapText="1"/>
    </xf>
    <xf numFmtId="41" fontId="19" fillId="0" borderId="16" xfId="130" applyFont="1" applyFill="1" applyBorder="1" applyAlignment="1">
      <alignment horizontal="right" vertical="center" wrapText="1"/>
    </xf>
    <xf numFmtId="41" fontId="19" fillId="0" borderId="224" xfId="130" applyFont="1" applyFill="1" applyBorder="1" applyAlignment="1">
      <alignment horizontal="right" vertical="center" wrapText="1"/>
    </xf>
    <xf numFmtId="0" fontId="18" fillId="44" borderId="119" xfId="0" applyFont="1" applyFill="1" applyBorder="1" applyAlignment="1">
      <alignment horizontal="left" vertical="center" wrapText="1"/>
    </xf>
    <xf numFmtId="0" fontId="114" fillId="44" borderId="120" xfId="0" applyFont="1" applyFill="1" applyBorder="1" applyAlignment="1">
      <alignment horizontal="left" vertical="center" wrapText="1"/>
    </xf>
    <xf numFmtId="41" fontId="18" fillId="44" borderId="120" xfId="0" applyNumberFormat="1" applyFont="1" applyFill="1" applyBorder="1" applyAlignment="1">
      <alignment horizontal="right" vertical="center" wrapText="1"/>
    </xf>
    <xf numFmtId="41" fontId="18" fillId="44" borderId="140" xfId="0" applyNumberFormat="1" applyFont="1" applyFill="1" applyBorder="1" applyAlignment="1">
      <alignment horizontal="right" vertical="center" wrapText="1"/>
    </xf>
    <xf numFmtId="41" fontId="18" fillId="0" borderId="0" xfId="125" applyFont="1" applyFill="1" applyAlignment="1">
      <alignment horizontal="right" vertical="center" wrapText="1"/>
    </xf>
    <xf numFmtId="41" fontId="110" fillId="0" borderId="0" xfId="125" applyFont="1" applyFill="1" applyAlignment="1">
      <alignment horizontal="center" vertical="center" wrapText="1"/>
    </xf>
    <xf numFmtId="41" fontId="126" fillId="0" borderId="0" xfId="125" applyFont="1" applyFill="1" applyAlignment="1">
      <alignment horizontal="center" vertical="center" wrapText="1"/>
    </xf>
    <xf numFmtId="41" fontId="114" fillId="0" borderId="0" xfId="125" applyFont="1" applyFill="1" applyBorder="1" applyAlignment="1">
      <alignment horizontal="left" vertical="center" wrapText="1"/>
    </xf>
    <xf numFmtId="41" fontId="118" fillId="0" borderId="157" xfId="125" applyFont="1" applyFill="1" applyBorder="1" applyAlignment="1">
      <alignment horizontal="center" vertical="center" wrapText="1"/>
    </xf>
    <xf numFmtId="41" fontId="118" fillId="0" borderId="69" xfId="125" applyFont="1" applyFill="1" applyBorder="1" applyAlignment="1">
      <alignment horizontal="center" vertical="center" wrapText="1"/>
    </xf>
    <xf numFmtId="41" fontId="118" fillId="0" borderId="55" xfId="125" applyFont="1" applyFill="1" applyBorder="1" applyAlignment="1">
      <alignment horizontal="center" vertical="center" wrapText="1"/>
    </xf>
    <xf numFmtId="41" fontId="118" fillId="0" borderId="57" xfId="125" applyFont="1" applyFill="1" applyBorder="1" applyAlignment="1">
      <alignment horizontal="center" vertical="center" wrapText="1"/>
    </xf>
    <xf numFmtId="41" fontId="114" fillId="0" borderId="0" xfId="125" applyFont="1" applyFill="1" applyBorder="1" applyAlignment="1">
      <alignment horizontal="center" vertical="center" wrapText="1"/>
    </xf>
    <xf numFmtId="41" fontId="114" fillId="0" borderId="47" xfId="125" applyFont="1" applyFill="1" applyBorder="1" applyAlignment="1">
      <alignment horizontal="center" vertical="center" wrapText="1"/>
    </xf>
    <xf numFmtId="41" fontId="114" fillId="0" borderId="54" xfId="125" applyFont="1" applyFill="1" applyBorder="1" applyAlignment="1">
      <alignment horizontal="center" vertical="center" wrapText="1"/>
    </xf>
    <xf numFmtId="41" fontId="114" fillId="0" borderId="64" xfId="125" applyFont="1" applyFill="1" applyBorder="1" applyAlignment="1">
      <alignment horizontal="center" vertical="center" wrapText="1"/>
    </xf>
    <xf numFmtId="41" fontId="118" fillId="0" borderId="47" xfId="125" applyFont="1" applyFill="1" applyBorder="1" applyAlignment="1">
      <alignment horizontal="center" vertical="center" wrapText="1"/>
    </xf>
    <xf numFmtId="41" fontId="118" fillId="0" borderId="47" xfId="125" applyFont="1" applyFill="1" applyBorder="1" applyAlignment="1">
      <alignment horizontal="center" vertical="center" wrapText="1"/>
    </xf>
    <xf numFmtId="41" fontId="118" fillId="0" borderId="48" xfId="125" applyFont="1" applyFill="1" applyBorder="1" applyAlignment="1">
      <alignment horizontal="center" vertical="center" wrapText="1"/>
    </xf>
    <xf numFmtId="41" fontId="114" fillId="0" borderId="64" xfId="125" applyFont="1" applyFill="1" applyBorder="1" applyAlignment="1">
      <alignment horizontal="center" vertical="center" wrapText="1"/>
    </xf>
    <xf numFmtId="41" fontId="18" fillId="44" borderId="157" xfId="125" applyFont="1" applyFill="1" applyBorder="1" applyAlignment="1">
      <alignment horizontal="right" vertical="center" wrapText="1"/>
    </xf>
    <xf numFmtId="41" fontId="114" fillId="44" borderId="0" xfId="125" applyFont="1" applyFill="1" applyBorder="1" applyAlignment="1">
      <alignment horizontal="left" vertical="center" wrapText="1"/>
    </xf>
    <xf numFmtId="0" fontId="46" fillId="0" borderId="0" xfId="190" applyFont="1" applyAlignment="1">
      <alignment horizontal="left" vertical="center" wrapText="1"/>
    </xf>
    <xf numFmtId="0" fontId="46" fillId="0" borderId="0" xfId="190" applyFont="1" applyAlignment="1">
      <alignment horizontal="right" vertical="center" wrapText="1"/>
    </xf>
    <xf numFmtId="0" fontId="134" fillId="0" borderId="0" xfId="190" applyFont="1" applyAlignment="1">
      <alignment horizontal="center" vertical="center" wrapText="1"/>
    </xf>
    <xf numFmtId="0" fontId="45" fillId="0" borderId="82" xfId="190" applyFont="1" applyBorder="1" applyAlignment="1">
      <alignment horizontal="center" vertical="center" wrapText="1"/>
    </xf>
    <xf numFmtId="0" fontId="45" fillId="0" borderId="82" xfId="190" applyFont="1" applyBorder="1" applyAlignment="1">
      <alignment horizontal="center" vertical="center" wrapText="1"/>
    </xf>
    <xf numFmtId="0" fontId="45" fillId="0" borderId="81" xfId="190" applyFont="1" applyBorder="1" applyAlignment="1">
      <alignment horizontal="center" vertical="center" wrapText="1"/>
    </xf>
    <xf numFmtId="0" fontId="45" fillId="0" borderId="48" xfId="190" applyFont="1" applyBorder="1" applyAlignment="1">
      <alignment horizontal="center" vertical="center" wrapText="1"/>
    </xf>
    <xf numFmtId="0" fontId="49" fillId="0" borderId="0" xfId="190" applyFont="1" applyAlignment="1">
      <alignment horizontal="center" vertical="center" wrapText="1"/>
    </xf>
    <xf numFmtId="0" fontId="49" fillId="0" borderId="49" xfId="190" applyFont="1" applyBorder="1" applyAlignment="1">
      <alignment horizontal="center" vertical="center" wrapText="1"/>
    </xf>
    <xf numFmtId="0" fontId="49" fillId="0" borderId="49" xfId="190" applyFont="1" applyBorder="1" applyAlignment="1">
      <alignment horizontal="center" vertical="center" wrapText="1"/>
    </xf>
    <xf numFmtId="0" fontId="45" fillId="0" borderId="0" xfId="190" applyFont="1" applyAlignment="1">
      <alignment horizontal="center" vertical="center" wrapText="1"/>
    </xf>
    <xf numFmtId="0" fontId="45" fillId="0" borderId="66" xfId="190" applyFont="1" applyBorder="1" applyAlignment="1">
      <alignment horizontal="center" vertical="center" wrapText="1"/>
    </xf>
    <xf numFmtId="0" fontId="49" fillId="0" borderId="0" xfId="190" applyFont="1" applyAlignment="1">
      <alignment horizontal="center" vertical="center" wrapText="1"/>
    </xf>
    <xf numFmtId="0" fontId="45" fillId="0" borderId="0" xfId="190" applyFont="1" applyAlignment="1">
      <alignment horizontal="center" vertical="center" wrapText="1"/>
    </xf>
    <xf numFmtId="0" fontId="46" fillId="44" borderId="119" xfId="190" applyFont="1" applyFill="1" applyBorder="1" applyAlignment="1">
      <alignment horizontal="left" vertical="center" wrapText="1"/>
    </xf>
    <xf numFmtId="0" fontId="49" fillId="44" borderId="120" xfId="190" applyFont="1" applyFill="1" applyBorder="1" applyAlignment="1">
      <alignment horizontal="left" vertical="center" wrapText="1"/>
    </xf>
    <xf numFmtId="41" fontId="46" fillId="44" borderId="120" xfId="125" applyFont="1" applyFill="1" applyBorder="1" applyAlignment="1">
      <alignment horizontal="right" vertical="center" wrapText="1"/>
    </xf>
    <xf numFmtId="41" fontId="46" fillId="44" borderId="136" xfId="125" applyFont="1" applyFill="1" applyBorder="1" applyAlignment="1">
      <alignment horizontal="right" vertical="center" wrapText="1"/>
    </xf>
    <xf numFmtId="41" fontId="46" fillId="44" borderId="119" xfId="125" applyFont="1" applyFill="1" applyBorder="1" applyAlignment="1">
      <alignment horizontal="right" vertical="center" wrapText="1"/>
    </xf>
    <xf numFmtId="0" fontId="46" fillId="0" borderId="0" xfId="190" applyFont="1" applyAlignment="1">
      <alignment horizontal="left" vertical="center" wrapText="1"/>
    </xf>
    <xf numFmtId="0" fontId="49" fillId="0" borderId="47" xfId="190" applyFont="1" applyBorder="1" applyAlignment="1">
      <alignment horizontal="left" vertical="center" wrapText="1"/>
    </xf>
    <xf numFmtId="41" fontId="46" fillId="0" borderId="47" xfId="125" applyFont="1" applyFill="1" applyBorder="1" applyAlignment="1">
      <alignment horizontal="right" vertical="center" wrapText="1"/>
    </xf>
    <xf numFmtId="41" fontId="46" fillId="0" borderId="48" xfId="125" applyFont="1" applyFill="1" applyBorder="1" applyAlignment="1">
      <alignment horizontal="right" vertical="center" wrapText="1"/>
    </xf>
    <xf numFmtId="41" fontId="46" fillId="0" borderId="0" xfId="125" applyFont="1" applyFill="1" applyBorder="1" applyAlignment="1">
      <alignment horizontal="right" vertical="center" wrapText="1"/>
    </xf>
    <xf numFmtId="0" fontId="49" fillId="0" borderId="75" xfId="190" applyFont="1" applyBorder="1" applyAlignment="1">
      <alignment horizontal="left" vertical="center" wrapText="1"/>
    </xf>
    <xf numFmtId="41" fontId="46" fillId="0" borderId="75" xfId="125" applyFont="1" applyFill="1" applyBorder="1" applyAlignment="1">
      <alignment horizontal="right" vertical="center" wrapText="1"/>
    </xf>
    <xf numFmtId="41" fontId="46" fillId="0" borderId="76" xfId="125" applyFont="1" applyFill="1" applyBorder="1" applyAlignment="1">
      <alignment horizontal="right" vertical="center" wrapText="1"/>
    </xf>
    <xf numFmtId="41" fontId="46" fillId="0" borderId="79" xfId="125" applyFont="1" applyFill="1" applyBorder="1" applyAlignment="1">
      <alignment horizontal="right" vertical="center" wrapText="1"/>
    </xf>
    <xf numFmtId="0" fontId="45" fillId="0" borderId="106" xfId="190" applyFont="1" applyBorder="1" applyAlignment="1">
      <alignment horizontal="center" vertical="center" wrapText="1"/>
    </xf>
    <xf numFmtId="0" fontId="46" fillId="44" borderId="74" xfId="190" applyFont="1" applyFill="1" applyBorder="1" applyAlignment="1">
      <alignment horizontal="left" vertical="center" wrapText="1"/>
    </xf>
    <xf numFmtId="0" fontId="49" fillId="44" borderId="80" xfId="190" applyFont="1" applyFill="1" applyBorder="1" applyAlignment="1">
      <alignment horizontal="left" vertical="center" wrapText="1"/>
    </xf>
    <xf numFmtId="41" fontId="46" fillId="44" borderId="80" xfId="125" applyFont="1" applyFill="1" applyBorder="1" applyAlignment="1">
      <alignment horizontal="right" vertical="center" wrapText="1"/>
    </xf>
    <xf numFmtId="41" fontId="46" fillId="44" borderId="181" xfId="125" applyFont="1" applyFill="1" applyBorder="1" applyAlignment="1">
      <alignment horizontal="right" vertical="center" wrapText="1"/>
    </xf>
    <xf numFmtId="41" fontId="46" fillId="44" borderId="178" xfId="125" applyFont="1" applyFill="1" applyBorder="1" applyAlignment="1">
      <alignment horizontal="right" vertical="center" wrapText="1"/>
    </xf>
    <xf numFmtId="41" fontId="46" fillId="44" borderId="82" xfId="125" applyFont="1" applyFill="1" applyBorder="1" applyAlignment="1">
      <alignment horizontal="right" vertical="center" wrapText="1"/>
    </xf>
    <xf numFmtId="41" fontId="46" fillId="0" borderId="160" xfId="125" applyFont="1" applyFill="1" applyBorder="1" applyAlignment="1">
      <alignment horizontal="right" vertical="center" wrapText="1"/>
    </xf>
    <xf numFmtId="41" fontId="46" fillId="0" borderId="175" xfId="125" applyFont="1" applyFill="1" applyBorder="1" applyAlignment="1">
      <alignment horizontal="right" vertical="center" wrapText="1"/>
    </xf>
    <xf numFmtId="41" fontId="46" fillId="0" borderId="49" xfId="125" applyFont="1" applyFill="1" applyBorder="1" applyAlignment="1">
      <alignment horizontal="right" vertical="center" wrapText="1"/>
    </xf>
    <xf numFmtId="0" fontId="46" fillId="44" borderId="0" xfId="190" applyFont="1" applyFill="1" applyAlignment="1">
      <alignment horizontal="left" vertical="center" wrapText="1"/>
    </xf>
    <xf numFmtId="0" fontId="49" fillId="44" borderId="47" xfId="190" applyFont="1" applyFill="1" applyBorder="1" applyAlignment="1">
      <alignment horizontal="left" vertical="center" wrapText="1"/>
    </xf>
    <xf numFmtId="41" fontId="46" fillId="44" borderId="47" xfId="125" applyFont="1" applyFill="1" applyBorder="1" applyAlignment="1">
      <alignment horizontal="right" vertical="center" wrapText="1"/>
    </xf>
    <xf numFmtId="41" fontId="46" fillId="44" borderId="160" xfId="125" applyFont="1" applyFill="1" applyBorder="1" applyAlignment="1">
      <alignment horizontal="right" vertical="center" wrapText="1"/>
    </xf>
    <xf numFmtId="41" fontId="46" fillId="44" borderId="175" xfId="125" applyFont="1" applyFill="1" applyBorder="1" applyAlignment="1">
      <alignment horizontal="right" vertical="center" wrapText="1"/>
    </xf>
    <xf numFmtId="41" fontId="46" fillId="44" borderId="49" xfId="125" applyFont="1" applyFill="1" applyBorder="1" applyAlignment="1">
      <alignment horizontal="right" vertical="center" wrapText="1"/>
    </xf>
    <xf numFmtId="41" fontId="46" fillId="0" borderId="183" xfId="125" applyFont="1" applyFill="1" applyBorder="1" applyAlignment="1">
      <alignment horizontal="right" vertical="center" wrapText="1"/>
    </xf>
    <xf numFmtId="41" fontId="46" fillId="0" borderId="182" xfId="125" applyFont="1" applyFill="1" applyBorder="1" applyAlignment="1">
      <alignment horizontal="right" vertical="center" wrapText="1"/>
    </xf>
    <xf numFmtId="41" fontId="46" fillId="0" borderId="77" xfId="125" applyFont="1" applyFill="1" applyBorder="1" applyAlignment="1">
      <alignment horizontal="right" vertical="center" wrapText="1"/>
    </xf>
    <xf numFmtId="41" fontId="46" fillId="44" borderId="81" xfId="125" applyFont="1" applyFill="1" applyBorder="1" applyAlignment="1">
      <alignment horizontal="right" vertical="center" wrapText="1"/>
    </xf>
    <xf numFmtId="41" fontId="46" fillId="44" borderId="74" xfId="125" applyFont="1" applyFill="1" applyBorder="1" applyAlignment="1">
      <alignment horizontal="right" vertical="center" wrapText="1"/>
    </xf>
    <xf numFmtId="41" fontId="46" fillId="44" borderId="48" xfId="125" applyFont="1" applyFill="1" applyBorder="1" applyAlignment="1">
      <alignment horizontal="right" vertical="center" wrapText="1"/>
    </xf>
    <xf numFmtId="41" fontId="46" fillId="44" borderId="0" xfId="125" applyFont="1" applyFill="1" applyBorder="1" applyAlignment="1">
      <alignment horizontal="right" vertical="center" wrapText="1"/>
    </xf>
    <xf numFmtId="0" fontId="49" fillId="0" borderId="74" xfId="190" applyFont="1" applyBorder="1">
      <alignment vertical="center"/>
    </xf>
    <xf numFmtId="0" fontId="59" fillId="37" borderId="124" xfId="0" applyFont="1" applyFill="1" applyBorder="1" applyAlignment="1">
      <alignment horizontal="left" vertical="center" wrapText="1"/>
    </xf>
    <xf numFmtId="0" fontId="62" fillId="0" borderId="30" xfId="0" applyFont="1" applyBorder="1" applyAlignment="1">
      <alignment horizontal="center" vertical="center" wrapText="1"/>
    </xf>
    <xf numFmtId="0" fontId="62" fillId="0" borderId="124" xfId="0" applyFont="1" applyBorder="1" applyAlignment="1">
      <alignment horizontal="center" vertical="center" wrapText="1"/>
    </xf>
    <xf numFmtId="41" fontId="61" fillId="37" borderId="157" xfId="125" applyFont="1" applyFill="1" applyBorder="1" applyAlignment="1">
      <alignment vertical="center" wrapText="1"/>
    </xf>
    <xf numFmtId="41" fontId="59" fillId="37" borderId="157" xfId="125" applyFont="1" applyFill="1" applyBorder="1" applyAlignment="1">
      <alignment vertical="center" wrapText="1"/>
    </xf>
    <xf numFmtId="41" fontId="59" fillId="37" borderId="52" xfId="0" applyNumberFormat="1" applyFont="1" applyFill="1" applyBorder="1" applyAlignment="1">
      <alignment horizontal="right" vertical="center" wrapText="1"/>
    </xf>
  </cellXfs>
  <cellStyles count="301">
    <cellStyle name="20% - 강조색1" xfId="1" builtinId="30" customBuiltin="1"/>
    <cellStyle name="20% - 강조색1 2" xfId="2" xr:uid="{00000000-0005-0000-0000-000001000000}"/>
    <cellStyle name="20% - 강조색1 2 2" xfId="195" xr:uid="{00000000-0005-0000-0000-000002000000}"/>
    <cellStyle name="20% - 강조색1 3" xfId="3" xr:uid="{00000000-0005-0000-0000-000003000000}"/>
    <cellStyle name="20% - 강조색1 4" xfId="4" xr:uid="{00000000-0005-0000-0000-000004000000}"/>
    <cellStyle name="20% - 강조색2" xfId="5" builtinId="34" customBuiltin="1"/>
    <cellStyle name="20% - 강조색2 2" xfId="6" xr:uid="{00000000-0005-0000-0000-000006000000}"/>
    <cellStyle name="20% - 강조색2 2 2" xfId="196" xr:uid="{00000000-0005-0000-0000-000007000000}"/>
    <cellStyle name="20% - 강조색2 3" xfId="7" xr:uid="{00000000-0005-0000-0000-000008000000}"/>
    <cellStyle name="20% - 강조색2 4" xfId="8" xr:uid="{00000000-0005-0000-0000-000009000000}"/>
    <cellStyle name="20% - 강조색3" xfId="9" builtinId="38" customBuiltin="1"/>
    <cellStyle name="20% - 강조색3 2" xfId="10" xr:uid="{00000000-0005-0000-0000-00000B000000}"/>
    <cellStyle name="20% - 강조색3 2 2" xfId="197" xr:uid="{00000000-0005-0000-0000-00000C000000}"/>
    <cellStyle name="20% - 강조색3 3" xfId="11" xr:uid="{00000000-0005-0000-0000-00000D000000}"/>
    <cellStyle name="20% - 강조색3 4" xfId="12" xr:uid="{00000000-0005-0000-0000-00000E000000}"/>
    <cellStyle name="20% - 강조색4" xfId="13" builtinId="42" customBuiltin="1"/>
    <cellStyle name="20% - 강조색4 2" xfId="14" xr:uid="{00000000-0005-0000-0000-000010000000}"/>
    <cellStyle name="20% - 강조색4 2 2" xfId="198" xr:uid="{00000000-0005-0000-0000-000011000000}"/>
    <cellStyle name="20% - 강조색4 3" xfId="15" xr:uid="{00000000-0005-0000-0000-000012000000}"/>
    <cellStyle name="20% - 강조색4 4" xfId="16" xr:uid="{00000000-0005-0000-0000-000013000000}"/>
    <cellStyle name="20% - 강조색5" xfId="17" builtinId="46" customBuiltin="1"/>
    <cellStyle name="20% - 강조색5 2" xfId="18" xr:uid="{00000000-0005-0000-0000-000015000000}"/>
    <cellStyle name="20% - 강조색5 2 2" xfId="199" xr:uid="{00000000-0005-0000-0000-000016000000}"/>
    <cellStyle name="20% - 강조색5 3" xfId="19" xr:uid="{00000000-0005-0000-0000-000017000000}"/>
    <cellStyle name="20% - 강조색5 4" xfId="20" xr:uid="{00000000-0005-0000-0000-000018000000}"/>
    <cellStyle name="20% - 강조색6" xfId="21" builtinId="50" customBuiltin="1"/>
    <cellStyle name="20% - 강조색6 2" xfId="22" xr:uid="{00000000-0005-0000-0000-00001A000000}"/>
    <cellStyle name="20% - 강조색6 2 2" xfId="200" xr:uid="{00000000-0005-0000-0000-00001B000000}"/>
    <cellStyle name="20% - 강조색6 3" xfId="23" xr:uid="{00000000-0005-0000-0000-00001C000000}"/>
    <cellStyle name="20% - 강조색6 4" xfId="24" xr:uid="{00000000-0005-0000-0000-00001D000000}"/>
    <cellStyle name="40% - 강조색1" xfId="25" builtinId="31" customBuiltin="1"/>
    <cellStyle name="40% - 강조색1 2" xfId="26" xr:uid="{00000000-0005-0000-0000-00001F000000}"/>
    <cellStyle name="40% - 강조색1 2 2" xfId="201" xr:uid="{00000000-0005-0000-0000-000020000000}"/>
    <cellStyle name="40% - 강조색1 3" xfId="27" xr:uid="{00000000-0005-0000-0000-000021000000}"/>
    <cellStyle name="40% - 강조색1 4" xfId="28" xr:uid="{00000000-0005-0000-0000-000022000000}"/>
    <cellStyle name="40% - 강조색2" xfId="29" builtinId="35" customBuiltin="1"/>
    <cellStyle name="40% - 강조색2 2" xfId="30" xr:uid="{00000000-0005-0000-0000-000024000000}"/>
    <cellStyle name="40% - 강조색2 2 2" xfId="202" xr:uid="{00000000-0005-0000-0000-000025000000}"/>
    <cellStyle name="40% - 강조색2 3" xfId="31" xr:uid="{00000000-0005-0000-0000-000026000000}"/>
    <cellStyle name="40% - 강조색2 4" xfId="32" xr:uid="{00000000-0005-0000-0000-000027000000}"/>
    <cellStyle name="40% - 강조색3" xfId="33" builtinId="39" customBuiltin="1"/>
    <cellStyle name="40% - 강조색3 2" xfId="34" xr:uid="{00000000-0005-0000-0000-000029000000}"/>
    <cellStyle name="40% - 강조색3 2 2" xfId="203" xr:uid="{00000000-0005-0000-0000-00002A000000}"/>
    <cellStyle name="40% - 강조색3 3" xfId="35" xr:uid="{00000000-0005-0000-0000-00002B000000}"/>
    <cellStyle name="40% - 강조색3 4" xfId="36" xr:uid="{00000000-0005-0000-0000-00002C000000}"/>
    <cellStyle name="40% - 강조색4" xfId="37" builtinId="43" customBuiltin="1"/>
    <cellStyle name="40% - 강조색4 2" xfId="38" xr:uid="{00000000-0005-0000-0000-00002E000000}"/>
    <cellStyle name="40% - 강조색4 2 2" xfId="204" xr:uid="{00000000-0005-0000-0000-00002F000000}"/>
    <cellStyle name="40% - 강조색4 3" xfId="39" xr:uid="{00000000-0005-0000-0000-000030000000}"/>
    <cellStyle name="40% - 강조색4 4" xfId="40" xr:uid="{00000000-0005-0000-0000-000031000000}"/>
    <cellStyle name="40% - 강조색5" xfId="41" builtinId="47" customBuiltin="1"/>
    <cellStyle name="40% - 강조색5 2" xfId="42" xr:uid="{00000000-0005-0000-0000-000033000000}"/>
    <cellStyle name="40% - 강조색5 2 2" xfId="205" xr:uid="{00000000-0005-0000-0000-000034000000}"/>
    <cellStyle name="40% - 강조색5 3" xfId="43" xr:uid="{00000000-0005-0000-0000-000035000000}"/>
    <cellStyle name="40% - 강조색5 4" xfId="44" xr:uid="{00000000-0005-0000-0000-000036000000}"/>
    <cellStyle name="40% - 강조색6" xfId="45" builtinId="51" customBuiltin="1"/>
    <cellStyle name="40% - 강조색6 2" xfId="46" xr:uid="{00000000-0005-0000-0000-000038000000}"/>
    <cellStyle name="40% - 강조색6 2 2" xfId="206" xr:uid="{00000000-0005-0000-0000-000039000000}"/>
    <cellStyle name="40% - 강조색6 3" xfId="47" xr:uid="{00000000-0005-0000-0000-00003A000000}"/>
    <cellStyle name="40% - 강조색6 4" xfId="48" xr:uid="{00000000-0005-0000-0000-00003B000000}"/>
    <cellStyle name="60% - 강조색1" xfId="49" builtinId="32" customBuiltin="1"/>
    <cellStyle name="60% - 강조색1 2" xfId="50" xr:uid="{00000000-0005-0000-0000-00003D000000}"/>
    <cellStyle name="60% - 강조색1 2 2" xfId="207" xr:uid="{00000000-0005-0000-0000-00003E000000}"/>
    <cellStyle name="60% - 강조색1 3" xfId="51" xr:uid="{00000000-0005-0000-0000-00003F000000}"/>
    <cellStyle name="60% - 강조색1 4" xfId="52" xr:uid="{00000000-0005-0000-0000-000040000000}"/>
    <cellStyle name="60% - 강조색2" xfId="53" builtinId="36" customBuiltin="1"/>
    <cellStyle name="60% - 강조색2 2" xfId="54" xr:uid="{00000000-0005-0000-0000-000042000000}"/>
    <cellStyle name="60% - 강조색2 2 2" xfId="208" xr:uid="{00000000-0005-0000-0000-000043000000}"/>
    <cellStyle name="60% - 강조색2 3" xfId="55" xr:uid="{00000000-0005-0000-0000-000044000000}"/>
    <cellStyle name="60% - 강조색2 4" xfId="56" xr:uid="{00000000-0005-0000-0000-000045000000}"/>
    <cellStyle name="60% - 강조색3" xfId="57" builtinId="40" customBuiltin="1"/>
    <cellStyle name="60% - 강조색3 2" xfId="58" xr:uid="{00000000-0005-0000-0000-000047000000}"/>
    <cellStyle name="60% - 강조색3 2 2" xfId="209" xr:uid="{00000000-0005-0000-0000-000048000000}"/>
    <cellStyle name="60% - 강조색3 3" xfId="59" xr:uid="{00000000-0005-0000-0000-000049000000}"/>
    <cellStyle name="60% - 강조색3 4" xfId="60" xr:uid="{00000000-0005-0000-0000-00004A000000}"/>
    <cellStyle name="60% - 강조색4" xfId="61" builtinId="44" customBuiltin="1"/>
    <cellStyle name="60% - 강조색4 2" xfId="62" xr:uid="{00000000-0005-0000-0000-00004C000000}"/>
    <cellStyle name="60% - 강조색4 2 2" xfId="210" xr:uid="{00000000-0005-0000-0000-00004D000000}"/>
    <cellStyle name="60% - 강조색4 3" xfId="63" xr:uid="{00000000-0005-0000-0000-00004E000000}"/>
    <cellStyle name="60% - 강조색4 4" xfId="64" xr:uid="{00000000-0005-0000-0000-00004F000000}"/>
    <cellStyle name="60% - 강조색5" xfId="65" builtinId="48" customBuiltin="1"/>
    <cellStyle name="60% - 강조색5 2" xfId="66" xr:uid="{00000000-0005-0000-0000-000051000000}"/>
    <cellStyle name="60% - 강조색5 2 2" xfId="211" xr:uid="{00000000-0005-0000-0000-000052000000}"/>
    <cellStyle name="60% - 강조색5 3" xfId="67" xr:uid="{00000000-0005-0000-0000-000053000000}"/>
    <cellStyle name="60% - 강조색5 4" xfId="68" xr:uid="{00000000-0005-0000-0000-000054000000}"/>
    <cellStyle name="60% - 강조색6" xfId="69" builtinId="52" customBuiltin="1"/>
    <cellStyle name="60% - 강조색6 2" xfId="70" xr:uid="{00000000-0005-0000-0000-000056000000}"/>
    <cellStyle name="60% - 강조색6 2 2" xfId="212" xr:uid="{00000000-0005-0000-0000-000057000000}"/>
    <cellStyle name="60% - 강조색6 3" xfId="71" xr:uid="{00000000-0005-0000-0000-000058000000}"/>
    <cellStyle name="60% - 강조색6 4" xfId="72" xr:uid="{00000000-0005-0000-0000-000059000000}"/>
    <cellStyle name="강조색1" xfId="73" builtinId="29" customBuiltin="1"/>
    <cellStyle name="강조색1 2" xfId="74" xr:uid="{00000000-0005-0000-0000-00005B000000}"/>
    <cellStyle name="강조색1 2 2" xfId="213" xr:uid="{00000000-0005-0000-0000-00005C000000}"/>
    <cellStyle name="강조색1 3" xfId="75" xr:uid="{00000000-0005-0000-0000-00005D000000}"/>
    <cellStyle name="강조색1 4" xfId="76" xr:uid="{00000000-0005-0000-0000-00005E000000}"/>
    <cellStyle name="강조색2" xfId="77" builtinId="33" customBuiltin="1"/>
    <cellStyle name="강조색2 2" xfId="78" xr:uid="{00000000-0005-0000-0000-000060000000}"/>
    <cellStyle name="강조색2 2 2" xfId="214" xr:uid="{00000000-0005-0000-0000-000061000000}"/>
    <cellStyle name="강조색2 3" xfId="79" xr:uid="{00000000-0005-0000-0000-000062000000}"/>
    <cellStyle name="강조색2 4" xfId="80" xr:uid="{00000000-0005-0000-0000-000063000000}"/>
    <cellStyle name="강조색3" xfId="81" builtinId="37" customBuiltin="1"/>
    <cellStyle name="강조색3 2" xfId="82" xr:uid="{00000000-0005-0000-0000-000065000000}"/>
    <cellStyle name="강조색3 2 2" xfId="215" xr:uid="{00000000-0005-0000-0000-000066000000}"/>
    <cellStyle name="강조색3 3" xfId="83" xr:uid="{00000000-0005-0000-0000-000067000000}"/>
    <cellStyle name="강조색3 4" xfId="84" xr:uid="{00000000-0005-0000-0000-000068000000}"/>
    <cellStyle name="강조색4" xfId="85" builtinId="41" customBuiltin="1"/>
    <cellStyle name="강조색4 2" xfId="86" xr:uid="{00000000-0005-0000-0000-00006A000000}"/>
    <cellStyle name="강조색4 2 2" xfId="216" xr:uid="{00000000-0005-0000-0000-00006B000000}"/>
    <cellStyle name="강조색4 3" xfId="87" xr:uid="{00000000-0005-0000-0000-00006C000000}"/>
    <cellStyle name="강조색4 4" xfId="88" xr:uid="{00000000-0005-0000-0000-00006D000000}"/>
    <cellStyle name="강조색5" xfId="89" builtinId="45" customBuiltin="1"/>
    <cellStyle name="강조색5 2" xfId="90" xr:uid="{00000000-0005-0000-0000-00006F000000}"/>
    <cellStyle name="강조색5 2 2" xfId="217" xr:uid="{00000000-0005-0000-0000-000070000000}"/>
    <cellStyle name="강조색5 3" xfId="91" xr:uid="{00000000-0005-0000-0000-000071000000}"/>
    <cellStyle name="강조색5 4" xfId="92" xr:uid="{00000000-0005-0000-0000-000072000000}"/>
    <cellStyle name="강조색6" xfId="93" builtinId="49" customBuiltin="1"/>
    <cellStyle name="강조색6 2" xfId="94" xr:uid="{00000000-0005-0000-0000-000074000000}"/>
    <cellStyle name="강조색6 2 2" xfId="218" xr:uid="{00000000-0005-0000-0000-000075000000}"/>
    <cellStyle name="강조색6 3" xfId="95" xr:uid="{00000000-0005-0000-0000-000076000000}"/>
    <cellStyle name="강조색6 4" xfId="96" xr:uid="{00000000-0005-0000-0000-000077000000}"/>
    <cellStyle name="경고문" xfId="97" builtinId="11" customBuiltin="1"/>
    <cellStyle name="경고문 2" xfId="98" xr:uid="{00000000-0005-0000-0000-000079000000}"/>
    <cellStyle name="경고문 2 2" xfId="219" xr:uid="{00000000-0005-0000-0000-00007A000000}"/>
    <cellStyle name="경고문 3" xfId="99" xr:uid="{00000000-0005-0000-0000-00007B000000}"/>
    <cellStyle name="경고문 4" xfId="100" xr:uid="{00000000-0005-0000-0000-00007C000000}"/>
    <cellStyle name="계산" xfId="101" builtinId="22" customBuiltin="1"/>
    <cellStyle name="계산 2" xfId="102" xr:uid="{00000000-0005-0000-0000-00007E000000}"/>
    <cellStyle name="계산 2 2" xfId="220" xr:uid="{00000000-0005-0000-0000-00007F000000}"/>
    <cellStyle name="계산 3" xfId="103" xr:uid="{00000000-0005-0000-0000-000080000000}"/>
    <cellStyle name="계산 4" xfId="104" xr:uid="{00000000-0005-0000-0000-000081000000}"/>
    <cellStyle name="나쁨" xfId="105" builtinId="27" customBuiltin="1"/>
    <cellStyle name="나쁨 2" xfId="106" xr:uid="{00000000-0005-0000-0000-000083000000}"/>
    <cellStyle name="나쁨 2 2" xfId="221" xr:uid="{00000000-0005-0000-0000-000084000000}"/>
    <cellStyle name="나쁨 3" xfId="107" xr:uid="{00000000-0005-0000-0000-000085000000}"/>
    <cellStyle name="나쁨 4" xfId="108" xr:uid="{00000000-0005-0000-0000-000086000000}"/>
    <cellStyle name="메모" xfId="109" builtinId="10" customBuiltin="1"/>
    <cellStyle name="메모 2" xfId="110" xr:uid="{00000000-0005-0000-0000-000088000000}"/>
    <cellStyle name="메모 2 2" xfId="222" xr:uid="{00000000-0005-0000-0000-000089000000}"/>
    <cellStyle name="메모 3" xfId="111" xr:uid="{00000000-0005-0000-0000-00008A000000}"/>
    <cellStyle name="메모 4" xfId="112" xr:uid="{00000000-0005-0000-0000-00008B000000}"/>
    <cellStyle name="보통" xfId="113" builtinId="28" customBuiltin="1"/>
    <cellStyle name="보통 2" xfId="114" xr:uid="{00000000-0005-0000-0000-00008D000000}"/>
    <cellStyle name="보통 2 2" xfId="223" xr:uid="{00000000-0005-0000-0000-00008E000000}"/>
    <cellStyle name="보통 3" xfId="115" xr:uid="{00000000-0005-0000-0000-00008F000000}"/>
    <cellStyle name="보통 4" xfId="116" xr:uid="{00000000-0005-0000-0000-000090000000}"/>
    <cellStyle name="설명 텍스트" xfId="117" builtinId="53" customBuiltin="1"/>
    <cellStyle name="설명 텍스트 2" xfId="118" xr:uid="{00000000-0005-0000-0000-000092000000}"/>
    <cellStyle name="설명 텍스트 2 2" xfId="224" xr:uid="{00000000-0005-0000-0000-000093000000}"/>
    <cellStyle name="설명 텍스트 3" xfId="119" xr:uid="{00000000-0005-0000-0000-000094000000}"/>
    <cellStyle name="설명 텍스트 4" xfId="120" xr:uid="{00000000-0005-0000-0000-000095000000}"/>
    <cellStyle name="셀 확인" xfId="121" builtinId="23" customBuiltin="1"/>
    <cellStyle name="셀 확인 2" xfId="122" xr:uid="{00000000-0005-0000-0000-000097000000}"/>
    <cellStyle name="셀 확인 2 2" xfId="225" xr:uid="{00000000-0005-0000-0000-000098000000}"/>
    <cellStyle name="셀 확인 3" xfId="123" xr:uid="{00000000-0005-0000-0000-000099000000}"/>
    <cellStyle name="셀 확인 4" xfId="124" xr:uid="{00000000-0005-0000-0000-00009A000000}"/>
    <cellStyle name="쉼표 [0]" xfId="125" builtinId="6"/>
    <cellStyle name="쉼표 [0] 2" xfId="126" xr:uid="{00000000-0005-0000-0000-00009C000000}"/>
    <cellStyle name="쉼표 [0] 2 2" xfId="226" xr:uid="{00000000-0005-0000-0000-00009D000000}"/>
    <cellStyle name="쉼표 [0] 2 2 2" xfId="227" xr:uid="{00000000-0005-0000-0000-00009E000000}"/>
    <cellStyle name="쉼표 [0] 2 2 3" xfId="228" xr:uid="{00000000-0005-0000-0000-00009F000000}"/>
    <cellStyle name="쉼표 [0] 2 2 4" xfId="229" xr:uid="{00000000-0005-0000-0000-0000A0000000}"/>
    <cellStyle name="쉼표 [0] 2 2 5" xfId="230" xr:uid="{00000000-0005-0000-0000-0000A1000000}"/>
    <cellStyle name="쉼표 [0] 2 3" xfId="231" xr:uid="{00000000-0005-0000-0000-0000A2000000}"/>
    <cellStyle name="쉼표 [0] 2 4" xfId="232" xr:uid="{00000000-0005-0000-0000-0000A3000000}"/>
    <cellStyle name="쉼표 [0] 2 5" xfId="233" xr:uid="{00000000-0005-0000-0000-0000A4000000}"/>
    <cellStyle name="쉼표 [0] 2 6" xfId="291" xr:uid="{00000000-0005-0000-0000-0000A5000000}"/>
    <cellStyle name="쉼표 [0] 2 7" xfId="299" xr:uid="{00000000-0005-0000-0000-0000A6000000}"/>
    <cellStyle name="쉼표 [0] 3" xfId="127" xr:uid="{00000000-0005-0000-0000-0000A7000000}"/>
    <cellStyle name="쉼표 [0] 3 2" xfId="292" xr:uid="{00000000-0005-0000-0000-0000A8000000}"/>
    <cellStyle name="쉼표 [0] 4" xfId="128" xr:uid="{00000000-0005-0000-0000-0000A9000000}"/>
    <cellStyle name="쉼표 [0] 4 2" xfId="234" xr:uid="{00000000-0005-0000-0000-0000AA000000}"/>
    <cellStyle name="쉼표 [0] 4 3" xfId="235" xr:uid="{00000000-0005-0000-0000-0000AB000000}"/>
    <cellStyle name="쉼표 [0] 4 4" xfId="293" xr:uid="{00000000-0005-0000-0000-0000AC000000}"/>
    <cellStyle name="쉼표 [0] 5" xfId="129" xr:uid="{00000000-0005-0000-0000-0000AD000000}"/>
    <cellStyle name="쉼표 [0] 5 2" xfId="294" xr:uid="{00000000-0005-0000-0000-0000AE000000}"/>
    <cellStyle name="쉼표 [0] 6" xfId="130" xr:uid="{00000000-0005-0000-0000-0000AF000000}"/>
    <cellStyle name="쉼표 [0] 6 2" xfId="236" xr:uid="{00000000-0005-0000-0000-0000B0000000}"/>
    <cellStyle name="쉼표 [0] 6 3" xfId="295" xr:uid="{00000000-0005-0000-0000-0000B1000000}"/>
    <cellStyle name="쉼표 [0] 7" xfId="290" xr:uid="{00000000-0005-0000-0000-0000B2000000}"/>
    <cellStyle name="스타일 1" xfId="237" xr:uid="{00000000-0005-0000-0000-0000B3000000}"/>
    <cellStyle name="연결된 셀" xfId="131" builtinId="24" customBuiltin="1"/>
    <cellStyle name="연결된 셀 2" xfId="132" xr:uid="{00000000-0005-0000-0000-0000B5000000}"/>
    <cellStyle name="연결된 셀 2 2" xfId="238" xr:uid="{00000000-0005-0000-0000-0000B6000000}"/>
    <cellStyle name="연결된 셀 3" xfId="133" xr:uid="{00000000-0005-0000-0000-0000B7000000}"/>
    <cellStyle name="연결된 셀 4" xfId="134" xr:uid="{00000000-0005-0000-0000-0000B8000000}"/>
    <cellStyle name="요약" xfId="135" builtinId="25" customBuiltin="1"/>
    <cellStyle name="요약 2" xfId="136" xr:uid="{00000000-0005-0000-0000-0000BA000000}"/>
    <cellStyle name="요약 2 2" xfId="239" xr:uid="{00000000-0005-0000-0000-0000BB000000}"/>
    <cellStyle name="요약 3" xfId="137" xr:uid="{00000000-0005-0000-0000-0000BC000000}"/>
    <cellStyle name="요약 4" xfId="138" xr:uid="{00000000-0005-0000-0000-0000BD000000}"/>
    <cellStyle name="입력" xfId="139" builtinId="20" customBuiltin="1"/>
    <cellStyle name="입력 2" xfId="140" xr:uid="{00000000-0005-0000-0000-0000BF000000}"/>
    <cellStyle name="입력 2 2" xfId="240" xr:uid="{00000000-0005-0000-0000-0000C0000000}"/>
    <cellStyle name="입력 3" xfId="141" xr:uid="{00000000-0005-0000-0000-0000C1000000}"/>
    <cellStyle name="입력 4" xfId="142" xr:uid="{00000000-0005-0000-0000-0000C2000000}"/>
    <cellStyle name="제목" xfId="143" builtinId="15" customBuiltin="1"/>
    <cellStyle name="제목 1" xfId="144" builtinId="16" customBuiltin="1"/>
    <cellStyle name="제목 1 2" xfId="145" xr:uid="{00000000-0005-0000-0000-0000C5000000}"/>
    <cellStyle name="제목 1 2 2" xfId="241" xr:uid="{00000000-0005-0000-0000-0000C6000000}"/>
    <cellStyle name="제목 1 3" xfId="146" xr:uid="{00000000-0005-0000-0000-0000C7000000}"/>
    <cellStyle name="제목 1 4" xfId="147" xr:uid="{00000000-0005-0000-0000-0000C8000000}"/>
    <cellStyle name="제목 2" xfId="148" builtinId="17" customBuiltin="1"/>
    <cellStyle name="제목 2 2" xfId="149" xr:uid="{00000000-0005-0000-0000-0000CA000000}"/>
    <cellStyle name="제목 2 2 2" xfId="242" xr:uid="{00000000-0005-0000-0000-0000CB000000}"/>
    <cellStyle name="제목 2 3" xfId="150" xr:uid="{00000000-0005-0000-0000-0000CC000000}"/>
    <cellStyle name="제목 2 4" xfId="151" xr:uid="{00000000-0005-0000-0000-0000CD000000}"/>
    <cellStyle name="제목 3" xfId="152" builtinId="18" customBuiltin="1"/>
    <cellStyle name="제목 3 2" xfId="153" xr:uid="{00000000-0005-0000-0000-0000CF000000}"/>
    <cellStyle name="제목 3 2 2" xfId="243" xr:uid="{00000000-0005-0000-0000-0000D0000000}"/>
    <cellStyle name="제목 3 3" xfId="154" xr:uid="{00000000-0005-0000-0000-0000D1000000}"/>
    <cellStyle name="제목 3 4" xfId="155" xr:uid="{00000000-0005-0000-0000-0000D2000000}"/>
    <cellStyle name="제목 4" xfId="156" builtinId="19" customBuiltin="1"/>
    <cellStyle name="제목 4 2" xfId="157" xr:uid="{00000000-0005-0000-0000-0000D4000000}"/>
    <cellStyle name="제목 4 2 2" xfId="244" xr:uid="{00000000-0005-0000-0000-0000D5000000}"/>
    <cellStyle name="제목 4 3" xfId="158" xr:uid="{00000000-0005-0000-0000-0000D6000000}"/>
    <cellStyle name="제목 4 4" xfId="159" xr:uid="{00000000-0005-0000-0000-0000D7000000}"/>
    <cellStyle name="제목 5" xfId="160" xr:uid="{00000000-0005-0000-0000-0000D8000000}"/>
    <cellStyle name="제목 5 2" xfId="245" xr:uid="{00000000-0005-0000-0000-0000D9000000}"/>
    <cellStyle name="제목 6" xfId="161" xr:uid="{00000000-0005-0000-0000-0000DA000000}"/>
    <cellStyle name="제목 7" xfId="162" xr:uid="{00000000-0005-0000-0000-0000DB000000}"/>
    <cellStyle name="좋음" xfId="163" builtinId="26" customBuiltin="1"/>
    <cellStyle name="좋음 2" xfId="164" xr:uid="{00000000-0005-0000-0000-0000DD000000}"/>
    <cellStyle name="좋음 2 2" xfId="246" xr:uid="{00000000-0005-0000-0000-0000DE000000}"/>
    <cellStyle name="좋음 3" xfId="165" xr:uid="{00000000-0005-0000-0000-0000DF000000}"/>
    <cellStyle name="좋음 4" xfId="166" xr:uid="{00000000-0005-0000-0000-0000E0000000}"/>
    <cellStyle name="출력" xfId="167" builtinId="21" customBuiltin="1"/>
    <cellStyle name="출력 2" xfId="168" xr:uid="{00000000-0005-0000-0000-0000E2000000}"/>
    <cellStyle name="출력 2 2" xfId="247" xr:uid="{00000000-0005-0000-0000-0000E3000000}"/>
    <cellStyle name="출력 3" xfId="169" xr:uid="{00000000-0005-0000-0000-0000E4000000}"/>
    <cellStyle name="출력 4" xfId="170" xr:uid="{00000000-0005-0000-0000-0000E5000000}"/>
    <cellStyle name="콤마 [0]_jumin2000" xfId="171" xr:uid="{00000000-0005-0000-0000-0000E6000000}"/>
    <cellStyle name="표준" xfId="0" builtinId="0"/>
    <cellStyle name="표준 10" xfId="172" xr:uid="{00000000-0005-0000-0000-0000E8000000}"/>
    <cellStyle name="표준 10 2" xfId="248" xr:uid="{00000000-0005-0000-0000-0000E9000000}"/>
    <cellStyle name="표준 10 3" xfId="249" xr:uid="{00000000-0005-0000-0000-0000EA000000}"/>
    <cellStyle name="표준 10 4" xfId="250" xr:uid="{00000000-0005-0000-0000-0000EB000000}"/>
    <cellStyle name="표준 10 5" xfId="251" xr:uid="{00000000-0005-0000-0000-0000EC000000}"/>
    <cellStyle name="표준 11" xfId="173" xr:uid="{00000000-0005-0000-0000-0000ED000000}"/>
    <cellStyle name="표준 12" xfId="252" xr:uid="{00000000-0005-0000-0000-0000EE000000}"/>
    <cellStyle name="표준 13" xfId="174" xr:uid="{00000000-0005-0000-0000-0000EF000000}"/>
    <cellStyle name="표준 14" xfId="175" xr:uid="{00000000-0005-0000-0000-0000F0000000}"/>
    <cellStyle name="표준 15" xfId="176" xr:uid="{00000000-0005-0000-0000-0000F1000000}"/>
    <cellStyle name="표준 16" xfId="177" xr:uid="{00000000-0005-0000-0000-0000F2000000}"/>
    <cellStyle name="표준 17" xfId="297" xr:uid="{00000000-0005-0000-0000-0000F3000000}"/>
    <cellStyle name="표준 18" xfId="298" xr:uid="{00000000-0005-0000-0000-0000F4000000}"/>
    <cellStyle name="표준 2" xfId="178" xr:uid="{00000000-0005-0000-0000-0000F5000000}"/>
    <cellStyle name="표준 2 10" xfId="253" xr:uid="{00000000-0005-0000-0000-0000F6000000}"/>
    <cellStyle name="표준 2 11" xfId="300" xr:uid="{00000000-0005-0000-0000-0000F7000000}"/>
    <cellStyle name="표준 2 2" xfId="254" xr:uid="{00000000-0005-0000-0000-0000F8000000}"/>
    <cellStyle name="표준 2 2 2" xfId="255" xr:uid="{00000000-0005-0000-0000-0000F9000000}"/>
    <cellStyle name="표준 2 2 2 2" xfId="256" xr:uid="{00000000-0005-0000-0000-0000FA000000}"/>
    <cellStyle name="표준 2 2 2 3" xfId="257" xr:uid="{00000000-0005-0000-0000-0000FB000000}"/>
    <cellStyle name="표준 2 2 2 4" xfId="258" xr:uid="{00000000-0005-0000-0000-0000FC000000}"/>
    <cellStyle name="표준 2 2 2 5" xfId="259" xr:uid="{00000000-0005-0000-0000-0000FD000000}"/>
    <cellStyle name="표준 2 2 3" xfId="260" xr:uid="{00000000-0005-0000-0000-0000FE000000}"/>
    <cellStyle name="표준 2 2 4" xfId="261" xr:uid="{00000000-0005-0000-0000-0000FF000000}"/>
    <cellStyle name="표준 2 2 5" xfId="262" xr:uid="{00000000-0005-0000-0000-000000010000}"/>
    <cellStyle name="표준 2 3" xfId="263" xr:uid="{00000000-0005-0000-0000-000001010000}"/>
    <cellStyle name="표준 2 4" xfId="264" xr:uid="{00000000-0005-0000-0000-000002010000}"/>
    <cellStyle name="표준 2 5" xfId="265" xr:uid="{00000000-0005-0000-0000-000003010000}"/>
    <cellStyle name="표준 2 6" xfId="266" xr:uid="{00000000-0005-0000-0000-000004010000}"/>
    <cellStyle name="표준 2 7" xfId="267" xr:uid="{00000000-0005-0000-0000-000005010000}"/>
    <cellStyle name="표준 2 8" xfId="268" xr:uid="{00000000-0005-0000-0000-000006010000}"/>
    <cellStyle name="표준 2 9" xfId="269" xr:uid="{00000000-0005-0000-0000-000007010000}"/>
    <cellStyle name="표준 25" xfId="191" xr:uid="{00000000-0005-0000-0000-000008010000}"/>
    <cellStyle name="표준 25 2" xfId="179" xr:uid="{00000000-0005-0000-0000-000009010000}"/>
    <cellStyle name="표준 3" xfId="180" xr:uid="{00000000-0005-0000-0000-00000A010000}"/>
    <cellStyle name="표준 4" xfId="181" xr:uid="{00000000-0005-0000-0000-00000B010000}"/>
    <cellStyle name="표준 4 2" xfId="194" xr:uid="{00000000-0005-0000-0000-00000C010000}"/>
    <cellStyle name="표준 5" xfId="182" xr:uid="{00000000-0005-0000-0000-00000D010000}"/>
    <cellStyle name="표준 5 2" xfId="183" xr:uid="{00000000-0005-0000-0000-00000E010000}"/>
    <cellStyle name="표준 5 3" xfId="270" xr:uid="{00000000-0005-0000-0000-00000F010000}"/>
    <cellStyle name="표준 54" xfId="271" xr:uid="{00000000-0005-0000-0000-000010010000}"/>
    <cellStyle name="표준 57" xfId="272" xr:uid="{00000000-0005-0000-0000-000011010000}"/>
    <cellStyle name="표준 6" xfId="184" xr:uid="{00000000-0005-0000-0000-000012010000}"/>
    <cellStyle name="표준 6 2" xfId="185" xr:uid="{00000000-0005-0000-0000-000013010000}"/>
    <cellStyle name="표준 6 3" xfId="273" xr:uid="{00000000-0005-0000-0000-000014010000}"/>
    <cellStyle name="표준 6 4" xfId="274" xr:uid="{00000000-0005-0000-0000-000015010000}"/>
    <cellStyle name="표준 6 5" xfId="275" xr:uid="{00000000-0005-0000-0000-000016010000}"/>
    <cellStyle name="표준 6 6" xfId="276" xr:uid="{00000000-0005-0000-0000-000017010000}"/>
    <cellStyle name="표준 64" xfId="277" xr:uid="{00000000-0005-0000-0000-000018010000}"/>
    <cellStyle name="표준 7" xfId="192" xr:uid="{00000000-0005-0000-0000-000019010000}"/>
    <cellStyle name="표준 7 2" xfId="278" xr:uid="{00000000-0005-0000-0000-00001A010000}"/>
    <cellStyle name="표준 7 3" xfId="279" xr:uid="{00000000-0005-0000-0000-00001B010000}"/>
    <cellStyle name="표준 7 4" xfId="280" xr:uid="{00000000-0005-0000-0000-00001C010000}"/>
    <cellStyle name="표준 7 5" xfId="281" xr:uid="{00000000-0005-0000-0000-00001D010000}"/>
    <cellStyle name="표준 7 6" xfId="282" xr:uid="{00000000-0005-0000-0000-00001E010000}"/>
    <cellStyle name="표준 8" xfId="186" xr:uid="{00000000-0005-0000-0000-00001F010000}"/>
    <cellStyle name="표준 8 2" xfId="187" xr:uid="{00000000-0005-0000-0000-000020010000}"/>
    <cellStyle name="표준 8 2 2" xfId="283" xr:uid="{00000000-0005-0000-0000-000021010000}"/>
    <cellStyle name="표준 8 3" xfId="284" xr:uid="{00000000-0005-0000-0000-000022010000}"/>
    <cellStyle name="표준 8 4" xfId="285" xr:uid="{00000000-0005-0000-0000-000023010000}"/>
    <cellStyle name="표준 8 5" xfId="286" xr:uid="{00000000-0005-0000-0000-000024010000}"/>
    <cellStyle name="표준 8 6" xfId="287" xr:uid="{00000000-0005-0000-0000-000025010000}"/>
    <cellStyle name="표준 9" xfId="188" xr:uid="{00000000-0005-0000-0000-000026010000}"/>
    <cellStyle name="표준_3-22.교원변동상황" xfId="189" xr:uid="{00000000-0005-0000-0000-000027010000}"/>
    <cellStyle name="표준_3-24.용도별 교사면적" xfId="193" xr:uid="{00000000-0005-0000-0000-000028010000}"/>
    <cellStyle name="표준_3-28.냉난방 면적" xfId="190" xr:uid="{00000000-0005-0000-0000-000029010000}"/>
    <cellStyle name="하이퍼링크" xfId="296" builtinId="8"/>
    <cellStyle name="하이퍼링크 2" xfId="288" xr:uid="{00000000-0005-0000-0000-00002B010000}"/>
    <cellStyle name="하이퍼링크 3" xfId="289" xr:uid="{00000000-0005-0000-0000-00002C010000}"/>
  </cellStyles>
  <dxfs count="10">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s>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1</xdr:col>
      <xdr:colOff>28575</xdr:colOff>
      <xdr:row>2</xdr:row>
      <xdr:rowOff>38100</xdr:rowOff>
    </xdr:from>
    <xdr:to>
      <xdr:col>3</xdr:col>
      <xdr:colOff>0</xdr:colOff>
      <xdr:row>5</xdr:row>
      <xdr:rowOff>171449</xdr:rowOff>
    </xdr:to>
    <xdr:sp macro="" textlink="">
      <xdr:nvSpPr>
        <xdr:cNvPr id="2" name="TextBox 1">
          <a:extLst>
            <a:ext uri="{FF2B5EF4-FFF2-40B4-BE49-F238E27FC236}">
              <a16:creationId xmlns:a16="http://schemas.microsoft.com/office/drawing/2014/main" id="{EAD6AC7F-AEEA-463B-8C9B-9A0F86019C6B}"/>
            </a:ext>
          </a:extLst>
        </xdr:cNvPr>
        <xdr:cNvSpPr txBox="1"/>
      </xdr:nvSpPr>
      <xdr:spPr>
        <a:xfrm>
          <a:off x="790575" y="457200"/>
          <a:ext cx="5105400" cy="76199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altLang="ko-KR" sz="1500" b="1">
              <a:solidFill>
                <a:schemeClr val="accent1">
                  <a:lumMod val="75000"/>
                </a:schemeClr>
              </a:solidFill>
            </a:rPr>
            <a:t>2025</a:t>
          </a:r>
          <a:r>
            <a:rPr lang="ko-KR" altLang="en-US" sz="1500" b="1">
              <a:solidFill>
                <a:schemeClr val="accent1">
                  <a:lumMod val="75000"/>
                </a:schemeClr>
              </a:solidFill>
            </a:rPr>
            <a:t>년 인천광역시교육청 교육통계 자료</a:t>
          </a:r>
          <a:endParaRPr lang="en-US" altLang="ko-KR" sz="2000" b="1">
            <a:solidFill>
              <a:schemeClr val="accent1">
                <a:lumMod val="75000"/>
              </a:schemeClr>
            </a:solidFill>
          </a:endParaRPr>
        </a:p>
        <a:p>
          <a:pPr algn="ctr"/>
          <a:r>
            <a:rPr lang="en-US" altLang="ko-KR" sz="1500" b="1">
              <a:solidFill>
                <a:schemeClr val="accent1">
                  <a:lumMod val="75000"/>
                </a:schemeClr>
              </a:solidFill>
            </a:rPr>
            <a:t>&lt;</a:t>
          </a:r>
          <a:r>
            <a:rPr lang="en-US" altLang="ko-KR" sz="1500" b="1" baseline="0">
              <a:solidFill>
                <a:schemeClr val="accent1">
                  <a:lumMod val="75000"/>
                </a:schemeClr>
              </a:solidFill>
            </a:rPr>
            <a:t>  </a:t>
          </a:r>
          <a:r>
            <a:rPr lang="ko-KR" altLang="en-US" sz="1500" b="1" baseline="0">
              <a:solidFill>
                <a:schemeClr val="accent1">
                  <a:lumMod val="75000"/>
                </a:schemeClr>
              </a:solidFill>
            </a:rPr>
            <a:t>중학교 현황 </a:t>
          </a:r>
          <a:r>
            <a:rPr lang="en-US" altLang="ko-KR" sz="1500" b="1" baseline="0">
              <a:solidFill>
                <a:schemeClr val="accent1">
                  <a:lumMod val="75000"/>
                </a:schemeClr>
              </a:solidFill>
            </a:rPr>
            <a:t> &gt;</a:t>
          </a:r>
          <a:endParaRPr lang="ko-KR" altLang="en-US" sz="1500" b="1">
            <a:solidFill>
              <a:schemeClr val="accent1">
                <a:lumMod val="75000"/>
              </a:schemeClr>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BAA5-D577-4B94-A3E1-61ACD621BCF5}">
  <dimension ref="A1:D56"/>
  <sheetViews>
    <sheetView tabSelected="1" view="pageBreakPreview" zoomScaleNormal="100" zoomScaleSheetLayoutView="100" workbookViewId="0"/>
  </sheetViews>
  <sheetFormatPr defaultRowHeight="13.5"/>
  <cols>
    <col min="3" max="3" width="51" customWidth="1"/>
  </cols>
  <sheetData>
    <row r="1" spans="1:4" ht="16.5">
      <c r="A1" s="890"/>
      <c r="B1" s="891"/>
      <c r="C1" s="152"/>
      <c r="D1" s="152"/>
    </row>
    <row r="2" spans="1:4" ht="16.5">
      <c r="A2" s="892"/>
      <c r="B2" s="891"/>
      <c r="C2" s="152"/>
      <c r="D2" s="893"/>
    </row>
    <row r="3" spans="1:4" ht="16.5">
      <c r="A3" s="892"/>
      <c r="B3" s="891"/>
      <c r="C3" s="152"/>
      <c r="D3" s="893"/>
    </row>
    <row r="4" spans="1:4" ht="16.5">
      <c r="A4" s="892"/>
      <c r="B4" s="891"/>
      <c r="C4" s="152"/>
      <c r="D4" s="893"/>
    </row>
    <row r="5" spans="1:4" ht="16.5">
      <c r="A5" s="892"/>
      <c r="B5" s="891"/>
      <c r="C5" s="152"/>
      <c r="D5" s="893"/>
    </row>
    <row r="6" spans="1:4" ht="16.5">
      <c r="A6" s="892"/>
      <c r="B6" s="891"/>
      <c r="C6" s="152"/>
      <c r="D6" s="893"/>
    </row>
    <row r="7" spans="1:4" ht="16.5">
      <c r="A7" s="892"/>
      <c r="B7" s="891"/>
      <c r="C7" s="152"/>
      <c r="D7" s="893"/>
    </row>
    <row r="8" spans="1:4" ht="16.5">
      <c r="A8" s="892"/>
      <c r="B8" s="1002" t="s">
        <v>1287</v>
      </c>
      <c r="C8" s="1002"/>
      <c r="D8" s="893"/>
    </row>
    <row r="9" spans="1:4" ht="16.5">
      <c r="A9" s="892"/>
      <c r="B9" s="891"/>
      <c r="C9" s="891"/>
      <c r="D9" s="893"/>
    </row>
    <row r="10" spans="1:4" ht="16.5">
      <c r="A10" s="892"/>
      <c r="B10" s="894" t="s">
        <v>1288</v>
      </c>
      <c r="C10" s="894" t="s">
        <v>1289</v>
      </c>
      <c r="D10" s="893"/>
    </row>
    <row r="11" spans="1:4" ht="16.5">
      <c r="A11" s="892"/>
      <c r="B11" s="895">
        <v>1</v>
      </c>
      <c r="C11" s="896" t="s">
        <v>1290</v>
      </c>
      <c r="D11" s="893"/>
    </row>
    <row r="12" spans="1:4" ht="16.5">
      <c r="A12" s="892"/>
      <c r="B12" s="895">
        <v>1</v>
      </c>
      <c r="C12" s="896" t="s">
        <v>1291</v>
      </c>
      <c r="D12" s="893"/>
    </row>
    <row r="13" spans="1:4" ht="16.5">
      <c r="A13" s="892"/>
      <c r="B13" s="895">
        <v>2</v>
      </c>
      <c r="C13" s="896" t="s">
        <v>1292</v>
      </c>
      <c r="D13" s="893"/>
    </row>
    <row r="14" spans="1:4" ht="16.5">
      <c r="A14" s="892"/>
      <c r="B14" s="895">
        <v>3</v>
      </c>
      <c r="C14" s="896" t="s">
        <v>1293</v>
      </c>
      <c r="D14" s="893"/>
    </row>
    <row r="15" spans="1:4" ht="16.5">
      <c r="A15" s="892"/>
      <c r="B15" s="895">
        <v>4</v>
      </c>
      <c r="C15" s="896" t="s">
        <v>1294</v>
      </c>
      <c r="D15" s="893"/>
    </row>
    <row r="16" spans="1:4" ht="16.5">
      <c r="A16" s="892"/>
      <c r="B16" s="895">
        <v>5</v>
      </c>
      <c r="C16" s="896" t="s">
        <v>1295</v>
      </c>
      <c r="D16" s="893"/>
    </row>
    <row r="17" spans="1:4" ht="16.5">
      <c r="A17" s="892"/>
      <c r="B17" s="895">
        <v>5</v>
      </c>
      <c r="C17" s="896" t="s">
        <v>1296</v>
      </c>
      <c r="D17" s="893"/>
    </row>
    <row r="18" spans="1:4" ht="16.5">
      <c r="A18" s="892"/>
      <c r="B18" s="895">
        <v>6</v>
      </c>
      <c r="C18" s="896" t="s">
        <v>1297</v>
      </c>
      <c r="D18" s="893"/>
    </row>
    <row r="19" spans="1:4" ht="16.5">
      <c r="A19" s="892"/>
      <c r="B19" s="895">
        <v>7</v>
      </c>
      <c r="C19" s="896" t="s">
        <v>1298</v>
      </c>
      <c r="D19" s="893"/>
    </row>
    <row r="20" spans="1:4" ht="16.5">
      <c r="A20" s="892"/>
      <c r="B20" s="895">
        <v>8</v>
      </c>
      <c r="C20" s="896" t="s">
        <v>1299</v>
      </c>
      <c r="D20" s="893"/>
    </row>
    <row r="21" spans="1:4" ht="16.5">
      <c r="A21" s="892"/>
      <c r="B21" s="895">
        <v>9</v>
      </c>
      <c r="C21" s="896" t="s">
        <v>1300</v>
      </c>
      <c r="D21" s="893"/>
    </row>
    <row r="22" spans="1:4" ht="16.5">
      <c r="A22" s="892"/>
      <c r="B22" s="895">
        <v>10</v>
      </c>
      <c r="C22" s="896" t="s">
        <v>1301</v>
      </c>
      <c r="D22" s="893"/>
    </row>
    <row r="23" spans="1:4" ht="16.5">
      <c r="A23" s="892"/>
      <c r="B23" s="895">
        <v>11</v>
      </c>
      <c r="C23" s="896" t="s">
        <v>1302</v>
      </c>
      <c r="D23" s="893"/>
    </row>
    <row r="24" spans="1:4" ht="16.5">
      <c r="A24" s="892"/>
      <c r="B24" s="895">
        <v>11</v>
      </c>
      <c r="C24" s="896" t="s">
        <v>1303</v>
      </c>
      <c r="D24" s="893"/>
    </row>
    <row r="25" spans="1:4" ht="16.5">
      <c r="A25" s="892"/>
      <c r="B25" s="895">
        <v>12</v>
      </c>
      <c r="C25" s="896" t="s">
        <v>1304</v>
      </c>
      <c r="D25" s="893"/>
    </row>
    <row r="26" spans="1:4" ht="16.5">
      <c r="A26" s="892"/>
      <c r="B26" s="895">
        <v>12</v>
      </c>
      <c r="C26" s="896" t="s">
        <v>1305</v>
      </c>
      <c r="D26" s="893"/>
    </row>
    <row r="27" spans="1:4" ht="16.5">
      <c r="A27" s="892"/>
      <c r="B27" s="895">
        <v>12</v>
      </c>
      <c r="C27" s="896" t="s">
        <v>1306</v>
      </c>
      <c r="D27" s="893"/>
    </row>
    <row r="28" spans="1:4" ht="16.5">
      <c r="A28" s="892"/>
      <c r="B28" s="895">
        <v>13</v>
      </c>
      <c r="C28" s="896" t="s">
        <v>1307</v>
      </c>
      <c r="D28" s="893"/>
    </row>
    <row r="29" spans="1:4" ht="16.5">
      <c r="A29" s="892"/>
      <c r="B29" s="895">
        <v>14</v>
      </c>
      <c r="C29" s="896" t="s">
        <v>1308</v>
      </c>
      <c r="D29" s="893"/>
    </row>
    <row r="30" spans="1:4" ht="16.5">
      <c r="A30" s="892"/>
      <c r="B30" s="895">
        <v>15</v>
      </c>
      <c r="C30" s="896" t="s">
        <v>1309</v>
      </c>
      <c r="D30" s="893"/>
    </row>
    <row r="31" spans="1:4" ht="16.5">
      <c r="A31" s="892"/>
      <c r="B31" s="895">
        <v>15</v>
      </c>
      <c r="C31" s="896" t="s">
        <v>1310</v>
      </c>
      <c r="D31" s="893"/>
    </row>
    <row r="32" spans="1:4" ht="16.5">
      <c r="A32" s="892"/>
      <c r="B32" s="895">
        <v>16</v>
      </c>
      <c r="C32" s="896" t="s">
        <v>1311</v>
      </c>
      <c r="D32" s="893"/>
    </row>
    <row r="33" spans="1:4" ht="16.5">
      <c r="A33" s="892"/>
      <c r="B33" s="895">
        <v>17</v>
      </c>
      <c r="C33" s="896" t="s">
        <v>1335</v>
      </c>
      <c r="D33" s="893"/>
    </row>
    <row r="34" spans="1:4" ht="16.5">
      <c r="A34" s="892"/>
      <c r="B34" s="895">
        <v>18</v>
      </c>
      <c r="C34" s="896" t="s">
        <v>1334</v>
      </c>
      <c r="D34" s="893"/>
    </row>
    <row r="35" spans="1:4" ht="16.5">
      <c r="A35" s="892"/>
      <c r="B35" s="895">
        <v>19</v>
      </c>
      <c r="C35" s="896" t="s">
        <v>1312</v>
      </c>
      <c r="D35" s="893"/>
    </row>
    <row r="36" spans="1:4" ht="16.5">
      <c r="A36" s="892"/>
      <c r="B36" s="895">
        <v>20</v>
      </c>
      <c r="C36" s="896" t="s">
        <v>1313</v>
      </c>
      <c r="D36" s="893"/>
    </row>
    <row r="37" spans="1:4" ht="16.5">
      <c r="A37" s="892"/>
      <c r="B37" s="895">
        <v>21</v>
      </c>
      <c r="C37" s="896" t="s">
        <v>1314</v>
      </c>
      <c r="D37" s="893"/>
    </row>
    <row r="38" spans="1:4" ht="16.5">
      <c r="A38" s="892"/>
      <c r="B38" s="895">
        <v>22</v>
      </c>
      <c r="C38" s="896" t="s">
        <v>1333</v>
      </c>
      <c r="D38" s="893"/>
    </row>
    <row r="39" spans="1:4" ht="16.5">
      <c r="A39" s="892"/>
      <c r="B39" s="895">
        <v>23</v>
      </c>
      <c r="C39" s="896" t="s">
        <v>1315</v>
      </c>
      <c r="D39" s="893"/>
    </row>
    <row r="40" spans="1:4" ht="16.5">
      <c r="A40" s="892"/>
      <c r="B40" s="895">
        <v>23</v>
      </c>
      <c r="C40" s="896" t="s">
        <v>1316</v>
      </c>
      <c r="D40" s="893"/>
    </row>
    <row r="41" spans="1:4" ht="16.5">
      <c r="A41" s="892"/>
      <c r="B41" s="895">
        <v>24</v>
      </c>
      <c r="C41" s="896" t="s">
        <v>1317</v>
      </c>
      <c r="D41" s="893"/>
    </row>
    <row r="42" spans="1:4" ht="16.5">
      <c r="A42" s="892"/>
      <c r="B42" s="895">
        <v>25</v>
      </c>
      <c r="C42" s="896" t="s">
        <v>1318</v>
      </c>
      <c r="D42" s="893"/>
    </row>
    <row r="43" spans="1:4" ht="16.5">
      <c r="A43" s="892"/>
      <c r="B43" s="895">
        <v>25</v>
      </c>
      <c r="C43" s="896" t="s">
        <v>1319</v>
      </c>
      <c r="D43" s="893"/>
    </row>
    <row r="44" spans="1:4" ht="16.5">
      <c r="A44" s="892"/>
      <c r="B44" s="895">
        <v>25</v>
      </c>
      <c r="C44" s="896" t="s">
        <v>1320</v>
      </c>
      <c r="D44" s="893"/>
    </row>
    <row r="45" spans="1:4" ht="16.5">
      <c r="A45" s="892"/>
      <c r="B45" s="895">
        <v>26</v>
      </c>
      <c r="C45" s="896" t="s">
        <v>1321</v>
      </c>
      <c r="D45" s="893"/>
    </row>
    <row r="46" spans="1:4" ht="16.5">
      <c r="A46" s="892"/>
      <c r="B46" s="895">
        <v>26</v>
      </c>
      <c r="C46" s="896" t="s">
        <v>1322</v>
      </c>
      <c r="D46" s="893"/>
    </row>
    <row r="47" spans="1:4" ht="16.5">
      <c r="A47" s="892"/>
      <c r="B47" s="895">
        <v>27</v>
      </c>
      <c r="C47" s="896" t="s">
        <v>1323</v>
      </c>
      <c r="D47" s="893"/>
    </row>
    <row r="48" spans="1:4" ht="16.5">
      <c r="A48" s="892"/>
      <c r="B48" s="895">
        <v>28</v>
      </c>
      <c r="C48" s="896" t="s">
        <v>1324</v>
      </c>
      <c r="D48" s="893"/>
    </row>
    <row r="49" spans="1:4" ht="16.5">
      <c r="A49" s="892"/>
      <c r="B49" s="895">
        <v>29</v>
      </c>
      <c r="C49" s="896" t="s">
        <v>1325</v>
      </c>
      <c r="D49" s="893"/>
    </row>
    <row r="50" spans="1:4" ht="16.5">
      <c r="A50" s="892"/>
      <c r="B50" s="895">
        <v>29</v>
      </c>
      <c r="C50" s="896" t="s">
        <v>1326</v>
      </c>
      <c r="D50" s="893"/>
    </row>
    <row r="51" spans="1:4" ht="16.5">
      <c r="A51" s="892"/>
      <c r="B51" s="895">
        <v>30</v>
      </c>
      <c r="C51" s="896" t="s">
        <v>1327</v>
      </c>
      <c r="D51" s="893"/>
    </row>
    <row r="52" spans="1:4" ht="16.5">
      <c r="A52" s="892"/>
      <c r="B52" s="895">
        <v>31</v>
      </c>
      <c r="C52" s="896" t="s">
        <v>1328</v>
      </c>
      <c r="D52" s="893"/>
    </row>
    <row r="53" spans="1:4" ht="16.5">
      <c r="A53" s="892"/>
      <c r="B53" s="895">
        <v>32</v>
      </c>
      <c r="C53" s="896" t="s">
        <v>1329</v>
      </c>
      <c r="D53" s="893"/>
    </row>
    <row r="54" spans="1:4" ht="16.5">
      <c r="A54" s="892"/>
      <c r="B54" s="895">
        <v>33</v>
      </c>
      <c r="C54" s="896" t="s">
        <v>1330</v>
      </c>
      <c r="D54" s="893"/>
    </row>
    <row r="55" spans="1:4" ht="16.5">
      <c r="A55" s="892"/>
      <c r="B55" s="895">
        <v>34</v>
      </c>
      <c r="C55" s="896" t="s">
        <v>1331</v>
      </c>
      <c r="D55" s="893"/>
    </row>
    <row r="56" spans="1:4" ht="17.25" thickBot="1">
      <c r="A56" s="897"/>
      <c r="B56" s="898"/>
      <c r="C56" s="899"/>
      <c r="D56" s="900"/>
    </row>
  </sheetData>
  <mergeCells count="1">
    <mergeCell ref="B8:C8"/>
  </mergeCells>
  <phoneticPr fontId="4" type="noConversion"/>
  <hyperlinks>
    <hyperlink ref="C11" location="'4 - 1.중학교 개황(1)'!A1" display="중학교 개황(1)" xr:uid="{A3FF1C3F-5B1C-4E3B-B82D-B7DBFA9B27D5}"/>
    <hyperlink ref="C12" location="'4 - 1.중학교 개황(2)'!A1" display="중학교 개황(2)" xr:uid="{81B08C32-5FC5-4D7B-80EA-F8263A673F3B}"/>
    <hyperlink ref="C13" location="'4 - 2.학급수별 학교수'!A1" display="학급수별 학교 수" xr:uid="{FBD93EEC-1C16-4B96-BA20-A78E6FDDAFA2}"/>
    <hyperlink ref="C14" location="'4 - 3.학생수별 학교수'!A1" display="학생수별 학교 수" xr:uid="{52C32F4E-E9ED-4906-8421-5EB00C9B83A1}"/>
    <hyperlink ref="C15" location="'4 - 4.학생수별 학급수'!A1" display="학생수별 학급 수" xr:uid="{F26F1334-E136-42FA-89A2-4BBD37617294}"/>
    <hyperlink ref="C16" location="'4 - 5.특수지 공립중학교 현황(1)'!A1" display="특수지 공립 중학교 현황(1)" xr:uid="{60F720A3-0279-4C7D-A825-FFD9A77025AA}"/>
    <hyperlink ref="C17" location="'4 - 5.특수지 공립중학교 현황(2)'!A1" display="특수지 공립 중학교 현황(2)" xr:uid="{F469BD01-9702-43FA-9C43-972046AE9F66}"/>
    <hyperlink ref="C19" location="'4 - 7.학년 및 연령별 학생수'!A1" display="학년 및 연령별 학생 수" xr:uid="{76C543B8-A8EE-45F5-8BEF-14409ABBB05C}"/>
    <hyperlink ref="C20" location="'4 - 8.학생변동상황'!A1" display="학생변동상황" xr:uid="{4B875F88-0B73-4ED2-9C56-30052AD36D44}"/>
    <hyperlink ref="C26" location="'4 - 12.다문화 학생 현황(2)'!A1" display="다문화 학생 현황(2)" xr:uid="{43C2946A-6F74-4B5D-92BB-FFC320CBD487}"/>
    <hyperlink ref="C28" location="'4 - 13.입학상황'!A1" display="입학상황" xr:uid="{96C8E9EE-6BCC-4DBF-BB79-461C40FB9FAD}"/>
    <hyperlink ref="C29" location="'4 - 14.졸업 후 상황'!A1" display="졸업 후 상황" xr:uid="{7D3E424B-0E23-4039-B876-E1218B82AE26}"/>
    <hyperlink ref="C30" location="'4 - 15.직위별 교원수(1)'!A1" display="직위별 교원 수(1)" xr:uid="{601FBCF9-4659-43CD-93A6-106399C54372}"/>
    <hyperlink ref="C31" location="'4 - 15.직위별 교원수(2)'!A1" display="직위별 교원 수(2)" xr:uid="{3C76A59E-134E-4CCD-BFDE-2835C31CF97F}"/>
    <hyperlink ref="C32" location="'4 - 16.자격별 교원수'!A1" display="자격별 교원 수" xr:uid="{47B00747-C252-494C-A7F1-4738E68A74E3}"/>
    <hyperlink ref="C33" location="'4 - 17.경력연수별 교원수'!A1" display="경력연수별 교원 수" xr:uid="{580EEFFD-69BC-470D-9FFB-67DFF84D71F5}"/>
    <hyperlink ref="C34" location="'4 - 18.소지자격 취득후 경과연수별 교원수'!A1" display="소지자격 취득 후 경과연수별 교원 수" xr:uid="{069A40E0-95D4-4161-A160-44DF7244D194}"/>
    <hyperlink ref="C35" location="'4 - 19.소지자격별 연수이수 교원수'!A1" display="소지자격별 연수이수 교원 수" xr:uid="{2F2823E0-EB62-4A4E-9774-0344F5EBD073}"/>
    <hyperlink ref="C36" location="'4 - 20.담당교과목별 교원수'!A1" display="담당교과목별 교원 수" xr:uid="{09F05866-1DB1-448F-9D02-BECF48333B21}"/>
    <hyperlink ref="C37" location="'4 - 21.연령별 교원수'!A1" display="연령별 교원 수" xr:uid="{289ABA8C-1FE1-4F02-919A-94792F89E15F}"/>
    <hyperlink ref="C38" location="'4 - 22.주당수업시수별 교원수'!A1" display="주당수업시수별 교원 수" xr:uid="{FB4D599B-3BFD-44BF-B596-4F2310AB7D7A}"/>
    <hyperlink ref="C39" location="'4 - 23.호봉별 교원수(1)'!A1" display="호봉별 교원 수(1)" xr:uid="{816CBD9A-87E8-4C69-9384-711FAD3DBE04}"/>
    <hyperlink ref="C40" location="'4 - 23.호봉별 교원수(2)'!A1" display="호봉별 교원 수(2)" xr:uid="{11236225-0F22-4FAB-AD08-DA0B3CB43320}"/>
    <hyperlink ref="C41" location="'4 - 24.교원변동상황'!A1" display="교원변동상황" xr:uid="{8624D3E8-79A2-4F88-90AE-AC601C653B71}"/>
    <hyperlink ref="C42" location="'4 - 25.출신별 자격증과목별 교원수(1)'!A1" display="출신별 자격증과목별 교원 수(1)" xr:uid="{513B579F-DFE3-4EE8-97F9-3C7765F4EE76}"/>
    <hyperlink ref="C45" location="'4 - 26.자격증과목별 퇴직교원수(1)'!A1" display="자격증과목별 퇴직교원 수(1)" xr:uid="{5A098CCC-B83C-4A1F-926B-43C2FFDDD1D5}"/>
    <hyperlink ref="C47" location="'4 - 27.학교용지'!A1" display="학교용지" xr:uid="{F835619B-0F8C-43F5-AEF2-0BAD5F40A69B}"/>
    <hyperlink ref="C48" location="'4 - 28.용도별 교사면적'!A1" display="용도별 교사 면적" xr:uid="{33258F78-F710-487D-872B-9AE6E5B5E33D}"/>
    <hyperlink ref="C49" location="'4 - 29.구조별 건물 면적(1)'!A1" display="구조별 건물 면적(1)" xr:uid="{D154EC1D-68B2-4A52-93F4-B65A2977144D}"/>
    <hyperlink ref="C51" location="'4 - 30.구조별 건물 동수'!A1" display="구조별 건물 동수" xr:uid="{358F746C-CAE5-4142-BCD8-15D3799A4906}"/>
    <hyperlink ref="C52" location="'4 - 31.에너지 사용량'!A1" display="에너지 사용량" xr:uid="{F7D70CD1-1AE5-46E4-84F9-E698D1369B3B}"/>
    <hyperlink ref="C53" location="'4 - 32.냉난방 면적'!A1" display="냉난방 면적" xr:uid="{62B25FC3-0A93-4104-AB9E-A6B866EABF28}"/>
    <hyperlink ref="C54" location="'4 - 33.컴퓨터 보유 현황'!A1" display="컴퓨터 보유 현황" xr:uid="{91DA84AE-5ED4-407A-B537-142191A45224}"/>
    <hyperlink ref="C55" location="'4 - 34.직원수'!A1" display="직원 수" xr:uid="{3F248444-F8E7-4189-AE14-88DBAB6D9330}"/>
    <hyperlink ref="C21" location="'4 - 9.학업중단학생현황'!A1" display="학업중단학생 현황" xr:uid="{C4D9A0FF-A0ED-4C5F-BE4C-85A97B00F3C8}"/>
    <hyperlink ref="C22" location="'4 - 10.유학현황'!A1" display="유학현황" xr:uid="{E1D1E7A1-4FC5-43C0-A7DC-D798DA78FDB4}"/>
    <hyperlink ref="C25" location="'4 - 12.다문화 학생 현황(1)'!A1" display="다문화 학생 현황(1)" xr:uid="{29BF57F1-A98F-40B6-9CE9-96BD49EDF307}"/>
    <hyperlink ref="C24" location="'4 - 11.귀국현황(2)'!A1" display="귀국현황(2)" xr:uid="{49A8DDAC-4D16-4010-BB1B-56EAAD3E92A3}"/>
    <hyperlink ref="C43" location="'4 - 25.출신별 자격증과목별 교원수(2)'!A1" display="출신별 자격증과목별 교원 수(2)" xr:uid="{3412C540-81EB-4F29-A449-0B4EA1D786E7}"/>
    <hyperlink ref="C23" location="'4 - 11.귀국현황(1)'!A1" display="귀국현황(1)" xr:uid="{2D0E38DB-1DBF-4C0B-BA8E-C5F54D91CFB9}"/>
    <hyperlink ref="C50" location="'4 - 29.구조별 건물 면적(2)'!A1" display="구조별 건물 면적(2)" xr:uid="{7CD32338-D47C-4C80-BC3A-514CBB755275}"/>
    <hyperlink ref="C27" location="'4 - 12.다문화 학생 현황(3)'!A1" display="다문화 학생 현황(3)" xr:uid="{A05D509C-3303-483D-8FCC-607E0B90664D}"/>
    <hyperlink ref="C18" location="'4 - 6.학년별 학급수 및 학생수'!A1" display="학년별 학급수 및 학생수" xr:uid="{0DF9ED41-8948-4BB2-9C4D-921F7BE5F79E}"/>
    <hyperlink ref="C44" location="'4 - 25.출신별 자격증과목별 교원수(3)'!A1" display="출신별 자격증과목별 교원 수(3)" xr:uid="{1A79BCB8-4653-4428-9C39-7BB1995DE3CA}"/>
    <hyperlink ref="C46" location="'4 - 26.자격증과목별 퇴직교원수(2)'!A1" display="자격증과목별 퇴직교원 수(2)" xr:uid="{C46E607D-064B-428B-99D7-68E2E5C59958}"/>
  </hyperlinks>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X61"/>
  <sheetViews>
    <sheetView showGridLines="0" showWhiteSpace="0" view="pageBreakPreview" zoomScaleNormal="100" zoomScaleSheetLayoutView="100" zoomScalePageLayoutView="85" workbookViewId="0">
      <selection activeCell="A2" sqref="A2:X60"/>
    </sheetView>
  </sheetViews>
  <sheetFormatPr defaultColWidth="8.88671875" defaultRowHeight="16.5"/>
  <cols>
    <col min="1" max="1" width="5.6640625" style="109" customWidth="1"/>
    <col min="2" max="2" width="8.21875" style="110" customWidth="1"/>
    <col min="3" max="12" width="5.6640625" style="111" customWidth="1"/>
    <col min="13" max="22" width="6.77734375" style="111" customWidth="1"/>
    <col min="23" max="23" width="7.44140625" style="111" customWidth="1"/>
    <col min="24" max="16384" width="8.88671875" style="79"/>
  </cols>
  <sheetData>
    <row r="1" spans="1:24" ht="26.25" customHeight="1">
      <c r="A1" s="901" t="s">
        <v>1332</v>
      </c>
    </row>
    <row r="2" spans="1:24" s="78" customFormat="1" ht="13.5" customHeight="1">
      <c r="A2" s="1029" t="s">
        <v>1011</v>
      </c>
      <c r="B2" s="1029"/>
      <c r="C2" s="1029"/>
      <c r="D2" s="1029"/>
      <c r="E2" s="1029"/>
      <c r="F2" s="1029"/>
      <c r="G2" s="1029"/>
      <c r="H2" s="1029"/>
      <c r="I2" s="1029"/>
      <c r="J2" s="1029"/>
      <c r="K2" s="1029"/>
      <c r="L2" s="1029"/>
      <c r="M2" s="1027" t="s">
        <v>952</v>
      </c>
      <c r="N2" s="1027"/>
      <c r="O2" s="1027"/>
      <c r="P2" s="1027"/>
      <c r="Q2" s="1027"/>
      <c r="R2" s="1027"/>
      <c r="S2" s="1027"/>
      <c r="T2" s="1027"/>
      <c r="U2" s="1027"/>
      <c r="V2" s="1027"/>
      <c r="W2" s="1027"/>
      <c r="X2" s="1027"/>
    </row>
    <row r="3" spans="1:24" ht="22.5" customHeight="1">
      <c r="A3" s="1028" t="s">
        <v>0</v>
      </c>
      <c r="B3" s="1028"/>
      <c r="C3" s="1028"/>
      <c r="D3" s="1028"/>
      <c r="E3" s="1028"/>
      <c r="F3" s="1028"/>
      <c r="G3" s="1028"/>
      <c r="H3" s="1028"/>
      <c r="I3" s="1028"/>
      <c r="J3" s="1028"/>
      <c r="K3" s="1028"/>
      <c r="L3" s="1028"/>
      <c r="M3" s="1028" t="s">
        <v>1</v>
      </c>
      <c r="N3" s="1028"/>
      <c r="O3" s="1028"/>
      <c r="P3" s="1028"/>
      <c r="Q3" s="1028"/>
      <c r="R3" s="1028"/>
      <c r="S3" s="1028"/>
      <c r="T3" s="1028"/>
      <c r="U3" s="1028"/>
      <c r="V3" s="1028"/>
      <c r="W3" s="1028"/>
      <c r="X3" s="1028"/>
    </row>
    <row r="4" spans="1:24" ht="13.5" customHeight="1" thickBot="1">
      <c r="A4" s="1510"/>
      <c r="B4" s="1510"/>
      <c r="C4" s="1510"/>
      <c r="D4" s="1510"/>
      <c r="E4" s="1510"/>
      <c r="F4" s="1510"/>
      <c r="G4" s="1510"/>
      <c r="H4" s="1510"/>
      <c r="I4" s="1510"/>
      <c r="J4" s="1510"/>
      <c r="K4" s="1510"/>
      <c r="L4" s="1510"/>
      <c r="M4" s="1510"/>
      <c r="N4" s="1510"/>
      <c r="O4" s="1510"/>
      <c r="P4" s="1510"/>
      <c r="Q4" s="1510"/>
      <c r="R4" s="1510"/>
      <c r="S4" s="1510"/>
      <c r="T4" s="1510"/>
      <c r="U4" s="1510"/>
      <c r="V4" s="1510"/>
      <c r="W4" s="1510"/>
      <c r="X4" s="1510"/>
    </row>
    <row r="5" spans="1:24" ht="12.75" customHeight="1">
      <c r="A5" s="1381" t="s">
        <v>2</v>
      </c>
      <c r="B5" s="1014"/>
      <c r="C5" s="1511" t="s">
        <v>3</v>
      </c>
      <c r="D5" s="1381"/>
      <c r="E5" s="1381"/>
      <c r="F5" s="1381"/>
      <c r="G5" s="1381"/>
      <c r="H5" s="1381"/>
      <c r="I5" s="1381"/>
      <c r="J5" s="1011"/>
      <c r="K5" s="1012" t="s">
        <v>4</v>
      </c>
      <c r="L5" s="1381"/>
      <c r="M5" s="1381" t="s">
        <v>4</v>
      </c>
      <c r="N5" s="1011"/>
      <c r="O5" s="1003" t="s">
        <v>5</v>
      </c>
      <c r="P5" s="1015"/>
      <c r="Q5" s="1003" t="s">
        <v>6</v>
      </c>
      <c r="R5" s="1015"/>
      <c r="S5" s="1003" t="s">
        <v>487</v>
      </c>
      <c r="T5" s="1004"/>
      <c r="U5" s="1004"/>
      <c r="V5" s="1004"/>
      <c r="W5" s="1004"/>
      <c r="X5" s="1004"/>
    </row>
    <row r="6" spans="1:24" ht="12.75" customHeight="1">
      <c r="A6" s="1005" t="s">
        <v>366</v>
      </c>
      <c r="B6" s="1006"/>
      <c r="C6" s="1007" t="s">
        <v>662</v>
      </c>
      <c r="D6" s="1007"/>
      <c r="E6" s="1007"/>
      <c r="F6" s="1007"/>
      <c r="G6" s="1007"/>
      <c r="H6" s="1007"/>
      <c r="I6" s="1007"/>
      <c r="J6" s="1008"/>
      <c r="K6" s="1013" t="s">
        <v>9</v>
      </c>
      <c r="L6" s="1007"/>
      <c r="M6" s="1007" t="s">
        <v>9</v>
      </c>
      <c r="N6" s="1008"/>
      <c r="O6" s="1009" t="s">
        <v>10</v>
      </c>
      <c r="P6" s="1010"/>
      <c r="Q6" s="1009" t="s">
        <v>11</v>
      </c>
      <c r="R6" s="1010"/>
      <c r="S6" s="1009" t="s">
        <v>12</v>
      </c>
      <c r="T6" s="1005"/>
      <c r="U6" s="1005"/>
      <c r="V6" s="1005"/>
      <c r="W6" s="1005"/>
      <c r="X6" s="1005"/>
    </row>
    <row r="7" spans="1:24" ht="12.75" customHeight="1">
      <c r="A7" s="1017"/>
      <c r="B7" s="1018"/>
      <c r="C7" s="1023" t="s">
        <v>13</v>
      </c>
      <c r="D7" s="1024"/>
      <c r="E7" s="1025" t="s">
        <v>14</v>
      </c>
      <c r="F7" s="1023"/>
      <c r="G7" s="1023"/>
      <c r="H7" s="1023"/>
      <c r="I7" s="1023"/>
      <c r="J7" s="1024"/>
      <c r="K7" s="1026" t="s">
        <v>15</v>
      </c>
      <c r="L7" s="1026"/>
      <c r="M7" s="1026" t="s">
        <v>483</v>
      </c>
      <c r="N7" s="1026"/>
      <c r="O7" s="1016"/>
      <c r="P7" s="1031"/>
      <c r="Q7" s="1016"/>
      <c r="R7" s="1031"/>
      <c r="S7" s="1016"/>
      <c r="T7" s="1017"/>
      <c r="U7" s="1017"/>
      <c r="V7" s="1017"/>
      <c r="W7" s="1017"/>
      <c r="X7" s="1017"/>
    </row>
    <row r="8" spans="1:24" ht="12.75" customHeight="1">
      <c r="A8" s="1017"/>
      <c r="B8" s="1018"/>
      <c r="C8" s="1005" t="s">
        <v>16</v>
      </c>
      <c r="D8" s="1010"/>
      <c r="E8" s="1013" t="s">
        <v>17</v>
      </c>
      <c r="F8" s="1007"/>
      <c r="G8" s="1007"/>
      <c r="H8" s="1007"/>
      <c r="I8" s="1007"/>
      <c r="J8" s="1008"/>
      <c r="K8" s="1019" t="s">
        <v>18</v>
      </c>
      <c r="L8" s="1019"/>
      <c r="M8" s="1019" t="s">
        <v>19</v>
      </c>
      <c r="N8" s="1019"/>
      <c r="O8" s="1020"/>
      <c r="P8" s="1021"/>
      <c r="Q8" s="1020"/>
      <c r="R8" s="1021"/>
      <c r="S8" s="1020"/>
      <c r="T8" s="1022"/>
      <c r="U8" s="1022"/>
      <c r="V8" s="1022"/>
      <c r="W8" s="1022"/>
      <c r="X8" s="1022"/>
    </row>
    <row r="9" spans="1:24" ht="16.5" customHeight="1">
      <c r="A9" s="1017"/>
      <c r="B9" s="1018"/>
      <c r="C9" s="1017"/>
      <c r="D9" s="1031"/>
      <c r="E9" s="1025" t="s">
        <v>20</v>
      </c>
      <c r="F9" s="1024"/>
      <c r="G9" s="1025" t="s">
        <v>21</v>
      </c>
      <c r="H9" s="1024"/>
      <c r="I9" s="1025" t="s">
        <v>22</v>
      </c>
      <c r="J9" s="1024"/>
      <c r="K9" s="918" t="s">
        <v>13</v>
      </c>
      <c r="L9" s="918" t="s">
        <v>23</v>
      </c>
      <c r="M9" s="912" t="s">
        <v>13</v>
      </c>
      <c r="N9" s="918" t="s">
        <v>23</v>
      </c>
      <c r="O9" s="917" t="s">
        <v>13</v>
      </c>
      <c r="P9" s="917" t="s">
        <v>23</v>
      </c>
      <c r="Q9" s="917" t="s">
        <v>13</v>
      </c>
      <c r="R9" s="917" t="s">
        <v>23</v>
      </c>
      <c r="S9" s="918" t="s">
        <v>13</v>
      </c>
      <c r="T9" s="965" t="s">
        <v>658</v>
      </c>
      <c r="U9" s="965" t="s">
        <v>655</v>
      </c>
      <c r="V9" s="81" t="s">
        <v>656</v>
      </c>
      <c r="W9" s="81" t="s">
        <v>657</v>
      </c>
      <c r="X9" s="967" t="s">
        <v>1336</v>
      </c>
    </row>
    <row r="10" spans="1:24" ht="31.5" customHeight="1">
      <c r="A10" s="1022"/>
      <c r="B10" s="1030"/>
      <c r="C10" s="1022"/>
      <c r="D10" s="1021"/>
      <c r="E10" s="1013" t="s">
        <v>24</v>
      </c>
      <c r="F10" s="1008"/>
      <c r="G10" s="1013" t="s">
        <v>973</v>
      </c>
      <c r="H10" s="1008"/>
      <c r="I10" s="1013" t="s">
        <v>661</v>
      </c>
      <c r="J10" s="1008"/>
      <c r="K10" s="910" t="s">
        <v>367</v>
      </c>
      <c r="L10" s="910" t="s">
        <v>368</v>
      </c>
      <c r="M10" s="910" t="s">
        <v>25</v>
      </c>
      <c r="N10" s="910" t="s">
        <v>26</v>
      </c>
      <c r="O10" s="905" t="s">
        <v>25</v>
      </c>
      <c r="P10" s="905" t="s">
        <v>26</v>
      </c>
      <c r="Q10" s="905" t="s">
        <v>25</v>
      </c>
      <c r="R10" s="905" t="s">
        <v>26</v>
      </c>
      <c r="S10" s="910" t="s">
        <v>25</v>
      </c>
      <c r="T10" s="910" t="s">
        <v>659</v>
      </c>
      <c r="U10" s="910" t="s">
        <v>660</v>
      </c>
      <c r="V10" s="928" t="s">
        <v>666</v>
      </c>
      <c r="W10" s="282" t="s">
        <v>1337</v>
      </c>
      <c r="X10" s="909" t="s">
        <v>1338</v>
      </c>
    </row>
    <row r="11" spans="1:24" ht="11.25" customHeight="1">
      <c r="A11" s="82" t="s">
        <v>27</v>
      </c>
      <c r="B11" s="83" t="s">
        <v>16</v>
      </c>
      <c r="C11" s="84">
        <v>145</v>
      </c>
      <c r="D11" s="84" t="s">
        <v>28</v>
      </c>
      <c r="E11" s="84">
        <v>29</v>
      </c>
      <c r="F11" s="84" t="s">
        <v>28</v>
      </c>
      <c r="G11" s="84">
        <v>25</v>
      </c>
      <c r="H11" s="84" t="s">
        <v>28</v>
      </c>
      <c r="I11" s="84">
        <v>91</v>
      </c>
      <c r="J11" s="84" t="s">
        <v>28</v>
      </c>
      <c r="K11" s="84">
        <v>6185</v>
      </c>
      <c r="L11" s="84">
        <v>4541</v>
      </c>
      <c r="M11" s="84">
        <v>504</v>
      </c>
      <c r="N11" s="84">
        <v>328</v>
      </c>
      <c r="O11" s="84">
        <v>28108</v>
      </c>
      <c r="P11" s="84">
        <v>13645</v>
      </c>
      <c r="Q11" s="84">
        <v>25288</v>
      </c>
      <c r="R11" s="84">
        <v>12317</v>
      </c>
      <c r="S11" s="84">
        <v>4854</v>
      </c>
      <c r="T11" s="84">
        <v>3193</v>
      </c>
      <c r="U11" s="84">
        <v>474</v>
      </c>
      <c r="V11" s="84">
        <v>996</v>
      </c>
      <c r="W11" s="805">
        <v>39</v>
      </c>
      <c r="X11" s="805">
        <v>152</v>
      </c>
    </row>
    <row r="12" spans="1:24" ht="11.25" customHeight="1">
      <c r="A12" s="85" t="s">
        <v>29</v>
      </c>
      <c r="B12" s="86" t="s">
        <v>30</v>
      </c>
      <c r="C12" s="87">
        <v>135</v>
      </c>
      <c r="D12" s="87" t="s">
        <v>28</v>
      </c>
      <c r="E12" s="87">
        <v>24</v>
      </c>
      <c r="F12" s="87" t="s">
        <v>28</v>
      </c>
      <c r="G12" s="87">
        <v>23</v>
      </c>
      <c r="H12" s="87" t="s">
        <v>28</v>
      </c>
      <c r="I12" s="87">
        <v>88</v>
      </c>
      <c r="J12" s="87" t="s">
        <v>28</v>
      </c>
      <c r="K12" s="87">
        <v>5885</v>
      </c>
      <c r="L12" s="87">
        <v>4389</v>
      </c>
      <c r="M12" s="87">
        <v>467</v>
      </c>
      <c r="N12" s="87">
        <v>313</v>
      </c>
      <c r="O12" s="87">
        <v>26808</v>
      </c>
      <c r="P12" s="87">
        <v>13258</v>
      </c>
      <c r="Q12" s="87">
        <v>24096</v>
      </c>
      <c r="R12" s="87">
        <v>11950</v>
      </c>
      <c r="S12" s="87">
        <v>4624</v>
      </c>
      <c r="T12" s="87">
        <v>3043</v>
      </c>
      <c r="U12" s="87">
        <v>455</v>
      </c>
      <c r="V12" s="87">
        <v>943</v>
      </c>
      <c r="W12" s="806">
        <v>38</v>
      </c>
      <c r="X12" s="806">
        <v>145</v>
      </c>
    </row>
    <row r="13" spans="1:24" ht="11.25" customHeight="1" thickBot="1">
      <c r="A13" s="1512" t="s">
        <v>31</v>
      </c>
      <c r="B13" s="1513" t="s">
        <v>32</v>
      </c>
      <c r="C13" s="1514">
        <v>10</v>
      </c>
      <c r="D13" s="1514" t="s">
        <v>28</v>
      </c>
      <c r="E13" s="1514">
        <v>5</v>
      </c>
      <c r="F13" s="1514" t="s">
        <v>28</v>
      </c>
      <c r="G13" s="1514">
        <v>2</v>
      </c>
      <c r="H13" s="1514" t="s">
        <v>28</v>
      </c>
      <c r="I13" s="1514">
        <v>3</v>
      </c>
      <c r="J13" s="1514" t="s">
        <v>28</v>
      </c>
      <c r="K13" s="1514">
        <v>300</v>
      </c>
      <c r="L13" s="1514">
        <v>152</v>
      </c>
      <c r="M13" s="1514">
        <v>37</v>
      </c>
      <c r="N13" s="1514">
        <v>15</v>
      </c>
      <c r="O13" s="1514">
        <v>1300</v>
      </c>
      <c r="P13" s="1514">
        <v>387</v>
      </c>
      <c r="Q13" s="1514">
        <v>1192</v>
      </c>
      <c r="R13" s="1514">
        <v>367</v>
      </c>
      <c r="S13" s="1514">
        <v>230</v>
      </c>
      <c r="T13" s="1514">
        <v>150</v>
      </c>
      <c r="U13" s="1514">
        <v>19</v>
      </c>
      <c r="V13" s="1514">
        <v>53</v>
      </c>
      <c r="W13" s="1515">
        <v>1</v>
      </c>
      <c r="X13" s="1515">
        <v>7</v>
      </c>
    </row>
    <row r="14" spans="1:24" s="80" customFormat="1" ht="13.5" customHeight="1" thickBot="1">
      <c r="A14" s="1034" t="s">
        <v>33</v>
      </c>
      <c r="B14" s="1034"/>
      <c r="C14" s="1034"/>
      <c r="D14" s="1034"/>
      <c r="E14" s="1034"/>
      <c r="F14" s="1034"/>
      <c r="G14" s="1034"/>
      <c r="H14" s="1034"/>
      <c r="I14" s="1034"/>
      <c r="J14" s="1034"/>
      <c r="K14" s="1034"/>
      <c r="L14" s="1034"/>
      <c r="M14" s="1034" t="s">
        <v>34</v>
      </c>
      <c r="N14" s="1034"/>
      <c r="O14" s="1034"/>
      <c r="P14" s="1034"/>
      <c r="Q14" s="1034"/>
      <c r="R14" s="1034"/>
      <c r="S14" s="1034"/>
      <c r="T14" s="1034"/>
      <c r="U14" s="1034"/>
      <c r="V14" s="1034"/>
      <c r="W14" s="1034"/>
      <c r="X14" s="1034"/>
    </row>
    <row r="15" spans="1:24" ht="11.25" customHeight="1">
      <c r="A15" s="82" t="s">
        <v>35</v>
      </c>
      <c r="B15" s="90" t="s">
        <v>36</v>
      </c>
      <c r="C15" s="91">
        <v>31</v>
      </c>
      <c r="D15" s="91" t="s">
        <v>28</v>
      </c>
      <c r="E15" s="91">
        <v>10</v>
      </c>
      <c r="F15" s="91" t="s">
        <v>28</v>
      </c>
      <c r="G15" s="91">
        <v>8</v>
      </c>
      <c r="H15" s="91" t="s">
        <v>28</v>
      </c>
      <c r="I15" s="91">
        <v>13</v>
      </c>
      <c r="J15" s="91" t="s">
        <v>28</v>
      </c>
      <c r="K15" s="92">
        <v>1172</v>
      </c>
      <c r="L15" s="91">
        <v>788</v>
      </c>
      <c r="M15" s="93">
        <v>95</v>
      </c>
      <c r="N15" s="93">
        <v>57</v>
      </c>
      <c r="O15" s="93">
        <v>5184</v>
      </c>
      <c r="P15" s="93">
        <v>2553</v>
      </c>
      <c r="Q15" s="93">
        <v>4536</v>
      </c>
      <c r="R15" s="93">
        <v>2213</v>
      </c>
      <c r="S15" s="93">
        <v>911</v>
      </c>
      <c r="T15" s="93">
        <v>575</v>
      </c>
      <c r="U15" s="93">
        <v>93</v>
      </c>
      <c r="V15" s="93">
        <v>200</v>
      </c>
      <c r="W15" s="107">
        <v>8</v>
      </c>
      <c r="X15" s="107">
        <v>35</v>
      </c>
    </row>
    <row r="16" spans="1:24" ht="11.25" customHeight="1">
      <c r="A16" s="85" t="s">
        <v>29</v>
      </c>
      <c r="B16" s="86" t="s">
        <v>30</v>
      </c>
      <c r="C16" s="95">
        <v>25</v>
      </c>
      <c r="D16" s="95" t="s">
        <v>28</v>
      </c>
      <c r="E16" s="95">
        <v>5</v>
      </c>
      <c r="F16" s="95" t="s">
        <v>28</v>
      </c>
      <c r="G16" s="95">
        <v>7</v>
      </c>
      <c r="H16" s="95" t="s">
        <v>28</v>
      </c>
      <c r="I16" s="95">
        <v>13</v>
      </c>
      <c r="J16" s="95" t="s">
        <v>28</v>
      </c>
      <c r="K16" s="96">
        <v>970</v>
      </c>
      <c r="L16" s="95">
        <v>693</v>
      </c>
      <c r="M16" s="96">
        <v>72</v>
      </c>
      <c r="N16" s="95">
        <v>50</v>
      </c>
      <c r="O16" s="95">
        <v>4338</v>
      </c>
      <c r="P16" s="95">
        <v>2438</v>
      </c>
      <c r="Q16" s="95">
        <v>3778</v>
      </c>
      <c r="R16" s="95">
        <v>2112</v>
      </c>
      <c r="S16" s="95">
        <v>748</v>
      </c>
      <c r="T16" s="95">
        <v>467</v>
      </c>
      <c r="U16" s="95">
        <v>76</v>
      </c>
      <c r="V16" s="95">
        <v>164</v>
      </c>
      <c r="W16" s="173">
        <v>8</v>
      </c>
      <c r="X16" s="97">
        <v>33</v>
      </c>
    </row>
    <row r="17" spans="1:24" ht="11.25" customHeight="1">
      <c r="A17" s="85" t="s">
        <v>31</v>
      </c>
      <c r="B17" s="86" t="s">
        <v>32</v>
      </c>
      <c r="C17" s="95">
        <v>6</v>
      </c>
      <c r="D17" s="95" t="s">
        <v>28</v>
      </c>
      <c r="E17" s="95">
        <v>5</v>
      </c>
      <c r="F17" s="95" t="s">
        <v>28</v>
      </c>
      <c r="G17" s="95">
        <v>1</v>
      </c>
      <c r="H17" s="95" t="s">
        <v>28</v>
      </c>
      <c r="I17" s="95" t="s">
        <v>28</v>
      </c>
      <c r="J17" s="95" t="s">
        <v>28</v>
      </c>
      <c r="K17" s="96">
        <v>202</v>
      </c>
      <c r="L17" s="95">
        <v>95</v>
      </c>
      <c r="M17" s="96">
        <v>23</v>
      </c>
      <c r="N17" s="95">
        <v>7</v>
      </c>
      <c r="O17" s="95">
        <v>846</v>
      </c>
      <c r="P17" s="95">
        <v>115</v>
      </c>
      <c r="Q17" s="95">
        <v>758</v>
      </c>
      <c r="R17" s="95">
        <v>101</v>
      </c>
      <c r="S17" s="95">
        <v>163</v>
      </c>
      <c r="T17" s="95">
        <v>108</v>
      </c>
      <c r="U17" s="95">
        <v>17</v>
      </c>
      <c r="V17" s="95">
        <v>36</v>
      </c>
      <c r="W17" s="173" t="s">
        <v>28</v>
      </c>
      <c r="X17" s="97">
        <v>2</v>
      </c>
    </row>
    <row r="18" spans="1:24" ht="11.25" customHeight="1">
      <c r="A18" s="82" t="s">
        <v>37</v>
      </c>
      <c r="B18" s="83" t="s">
        <v>38</v>
      </c>
      <c r="C18" s="91">
        <v>36</v>
      </c>
      <c r="D18" s="91" t="s">
        <v>28</v>
      </c>
      <c r="E18" s="91">
        <v>8</v>
      </c>
      <c r="F18" s="91" t="s">
        <v>28</v>
      </c>
      <c r="G18" s="91">
        <v>6</v>
      </c>
      <c r="H18" s="91" t="s">
        <v>28</v>
      </c>
      <c r="I18" s="91">
        <v>22</v>
      </c>
      <c r="J18" s="91" t="s">
        <v>28</v>
      </c>
      <c r="K18" s="92">
        <v>1446</v>
      </c>
      <c r="L18" s="91">
        <v>1133</v>
      </c>
      <c r="M18" s="92">
        <v>127</v>
      </c>
      <c r="N18" s="91">
        <v>80</v>
      </c>
      <c r="O18" s="91">
        <v>5875</v>
      </c>
      <c r="P18" s="91">
        <v>2873</v>
      </c>
      <c r="Q18" s="91">
        <v>5940</v>
      </c>
      <c r="R18" s="91">
        <v>2850</v>
      </c>
      <c r="S18" s="91">
        <v>1289</v>
      </c>
      <c r="T18" s="91">
        <v>778</v>
      </c>
      <c r="U18" s="91">
        <v>179</v>
      </c>
      <c r="V18" s="91">
        <v>271</v>
      </c>
      <c r="W18" s="171">
        <v>11</v>
      </c>
      <c r="X18" s="98">
        <v>50</v>
      </c>
    </row>
    <row r="19" spans="1:24" ht="11.25" customHeight="1">
      <c r="A19" s="85" t="s">
        <v>29</v>
      </c>
      <c r="B19" s="86" t="s">
        <v>30</v>
      </c>
      <c r="C19" s="95">
        <v>36</v>
      </c>
      <c r="D19" s="95" t="s">
        <v>28</v>
      </c>
      <c r="E19" s="95">
        <v>8</v>
      </c>
      <c r="F19" s="95" t="s">
        <v>28</v>
      </c>
      <c r="G19" s="95">
        <v>6</v>
      </c>
      <c r="H19" s="95" t="s">
        <v>28</v>
      </c>
      <c r="I19" s="95">
        <v>22</v>
      </c>
      <c r="J19" s="95" t="s">
        <v>28</v>
      </c>
      <c r="K19" s="96">
        <v>1446</v>
      </c>
      <c r="L19" s="95">
        <v>1133</v>
      </c>
      <c r="M19" s="96">
        <v>127</v>
      </c>
      <c r="N19" s="95">
        <v>80</v>
      </c>
      <c r="O19" s="95">
        <v>5875</v>
      </c>
      <c r="P19" s="95">
        <v>2873</v>
      </c>
      <c r="Q19" s="95">
        <v>5940</v>
      </c>
      <c r="R19" s="95">
        <v>2850</v>
      </c>
      <c r="S19" s="95">
        <v>1289</v>
      </c>
      <c r="T19" s="95">
        <v>778</v>
      </c>
      <c r="U19" s="95">
        <v>179</v>
      </c>
      <c r="V19" s="95">
        <v>271</v>
      </c>
      <c r="W19" s="173">
        <v>11</v>
      </c>
      <c r="X19" s="97">
        <v>50</v>
      </c>
    </row>
    <row r="20" spans="1:24" ht="11.25" customHeight="1">
      <c r="A20" s="85" t="s">
        <v>31</v>
      </c>
      <c r="B20" s="86" t="s">
        <v>32</v>
      </c>
      <c r="C20" s="95" t="s">
        <v>28</v>
      </c>
      <c r="D20" s="95" t="s">
        <v>28</v>
      </c>
      <c r="E20" s="95" t="s">
        <v>28</v>
      </c>
      <c r="F20" s="95" t="s">
        <v>28</v>
      </c>
      <c r="G20" s="95" t="s">
        <v>28</v>
      </c>
      <c r="H20" s="95" t="s">
        <v>28</v>
      </c>
      <c r="I20" s="95" t="s">
        <v>28</v>
      </c>
      <c r="J20" s="95" t="s">
        <v>28</v>
      </c>
      <c r="K20" s="96" t="s">
        <v>28</v>
      </c>
      <c r="L20" s="95" t="s">
        <v>28</v>
      </c>
      <c r="M20" s="96" t="s">
        <v>28</v>
      </c>
      <c r="N20" s="95" t="s">
        <v>28</v>
      </c>
      <c r="O20" s="95" t="s">
        <v>28</v>
      </c>
      <c r="P20" s="95" t="s">
        <v>28</v>
      </c>
      <c r="Q20" s="95" t="s">
        <v>28</v>
      </c>
      <c r="R20" s="95" t="s">
        <v>28</v>
      </c>
      <c r="S20" s="95" t="s">
        <v>28</v>
      </c>
      <c r="T20" s="95" t="s">
        <v>28</v>
      </c>
      <c r="U20" s="95" t="s">
        <v>28</v>
      </c>
      <c r="V20" s="95" t="s">
        <v>28</v>
      </c>
      <c r="W20" s="173" t="s">
        <v>28</v>
      </c>
      <c r="X20" s="97" t="s">
        <v>28</v>
      </c>
    </row>
    <row r="21" spans="1:24" ht="11.25" customHeight="1">
      <c r="A21" s="82" t="s">
        <v>39</v>
      </c>
      <c r="B21" s="83" t="s">
        <v>40</v>
      </c>
      <c r="C21" s="91">
        <v>42</v>
      </c>
      <c r="D21" s="91" t="s">
        <v>28</v>
      </c>
      <c r="E21" s="91">
        <v>6</v>
      </c>
      <c r="F21" s="91" t="s">
        <v>28</v>
      </c>
      <c r="G21" s="91">
        <v>6</v>
      </c>
      <c r="H21" s="91" t="s">
        <v>28</v>
      </c>
      <c r="I21" s="91">
        <v>30</v>
      </c>
      <c r="J21" s="91" t="s">
        <v>28</v>
      </c>
      <c r="K21" s="91">
        <v>2021</v>
      </c>
      <c r="L21" s="91">
        <v>1546</v>
      </c>
      <c r="M21" s="92">
        <v>158</v>
      </c>
      <c r="N21" s="92">
        <v>112</v>
      </c>
      <c r="O21" s="92">
        <v>9752</v>
      </c>
      <c r="P21" s="92">
        <v>4734</v>
      </c>
      <c r="Q21" s="92">
        <v>8719</v>
      </c>
      <c r="R21" s="92">
        <v>4302</v>
      </c>
      <c r="S21" s="92">
        <v>1492</v>
      </c>
      <c r="T21" s="92">
        <v>1016</v>
      </c>
      <c r="U21" s="92">
        <v>126</v>
      </c>
      <c r="V21" s="92">
        <v>297</v>
      </c>
      <c r="W21" s="98">
        <v>12</v>
      </c>
      <c r="X21" s="98">
        <v>41</v>
      </c>
    </row>
    <row r="22" spans="1:24" ht="11.25" customHeight="1">
      <c r="A22" s="85" t="s">
        <v>29</v>
      </c>
      <c r="B22" s="86" t="s">
        <v>30</v>
      </c>
      <c r="C22" s="95">
        <v>40</v>
      </c>
      <c r="D22" s="95" t="s">
        <v>28</v>
      </c>
      <c r="E22" s="95">
        <v>6</v>
      </c>
      <c r="F22" s="95" t="s">
        <v>28</v>
      </c>
      <c r="G22" s="95">
        <v>5</v>
      </c>
      <c r="H22" s="95" t="s">
        <v>28</v>
      </c>
      <c r="I22" s="95">
        <v>29</v>
      </c>
      <c r="J22" s="95" t="s">
        <v>28</v>
      </c>
      <c r="K22" s="96">
        <v>1950</v>
      </c>
      <c r="L22" s="95">
        <v>1501</v>
      </c>
      <c r="M22" s="96">
        <v>150</v>
      </c>
      <c r="N22" s="95">
        <v>109</v>
      </c>
      <c r="O22" s="95">
        <v>9346</v>
      </c>
      <c r="P22" s="95">
        <v>4474</v>
      </c>
      <c r="Q22" s="95">
        <v>8320</v>
      </c>
      <c r="R22" s="95">
        <v>4045</v>
      </c>
      <c r="S22" s="95">
        <v>1442</v>
      </c>
      <c r="T22" s="95">
        <v>980</v>
      </c>
      <c r="U22" s="95">
        <v>126</v>
      </c>
      <c r="V22" s="95">
        <v>286</v>
      </c>
      <c r="W22" s="173">
        <v>11</v>
      </c>
      <c r="X22" s="97">
        <v>39</v>
      </c>
    </row>
    <row r="23" spans="1:24" ht="11.25" customHeight="1">
      <c r="A23" s="85" t="s">
        <v>31</v>
      </c>
      <c r="B23" s="86" t="s">
        <v>32</v>
      </c>
      <c r="C23" s="95">
        <v>2</v>
      </c>
      <c r="D23" s="95" t="s">
        <v>28</v>
      </c>
      <c r="E23" s="95" t="s">
        <v>28</v>
      </c>
      <c r="F23" s="95" t="s">
        <v>28</v>
      </c>
      <c r="G23" s="95">
        <v>1</v>
      </c>
      <c r="H23" s="95" t="s">
        <v>28</v>
      </c>
      <c r="I23" s="95">
        <v>1</v>
      </c>
      <c r="J23" s="95" t="s">
        <v>28</v>
      </c>
      <c r="K23" s="96">
        <v>71</v>
      </c>
      <c r="L23" s="95">
        <v>45</v>
      </c>
      <c r="M23" s="96">
        <v>8</v>
      </c>
      <c r="N23" s="95">
        <v>3</v>
      </c>
      <c r="O23" s="95">
        <v>406</v>
      </c>
      <c r="P23" s="95">
        <v>260</v>
      </c>
      <c r="Q23" s="95">
        <v>399</v>
      </c>
      <c r="R23" s="95">
        <v>257</v>
      </c>
      <c r="S23" s="95">
        <v>50</v>
      </c>
      <c r="T23" s="95">
        <v>36</v>
      </c>
      <c r="U23" s="95" t="s">
        <v>28</v>
      </c>
      <c r="V23" s="95">
        <v>11</v>
      </c>
      <c r="W23" s="173">
        <v>1</v>
      </c>
      <c r="X23" s="97">
        <v>2</v>
      </c>
    </row>
    <row r="24" spans="1:24" ht="11.25" customHeight="1">
      <c r="A24" s="82" t="s">
        <v>41</v>
      </c>
      <c r="B24" s="83" t="s">
        <v>42</v>
      </c>
      <c r="C24" s="91">
        <v>27</v>
      </c>
      <c r="D24" s="91" t="s">
        <v>28</v>
      </c>
      <c r="E24" s="91">
        <v>4</v>
      </c>
      <c r="F24" s="91" t="s">
        <v>28</v>
      </c>
      <c r="G24" s="91">
        <v>4</v>
      </c>
      <c r="H24" s="91" t="s">
        <v>28</v>
      </c>
      <c r="I24" s="91">
        <v>19</v>
      </c>
      <c r="J24" s="91" t="s">
        <v>28</v>
      </c>
      <c r="K24" s="91">
        <v>1376</v>
      </c>
      <c r="L24" s="91">
        <v>983</v>
      </c>
      <c r="M24" s="92">
        <v>107</v>
      </c>
      <c r="N24" s="92">
        <v>67</v>
      </c>
      <c r="O24" s="92">
        <v>6868</v>
      </c>
      <c r="P24" s="92">
        <v>3286</v>
      </c>
      <c r="Q24" s="92">
        <v>5649</v>
      </c>
      <c r="R24" s="92">
        <v>2756</v>
      </c>
      <c r="S24" s="92">
        <v>1063</v>
      </c>
      <c r="T24" s="92">
        <v>767</v>
      </c>
      <c r="U24" s="92">
        <v>74</v>
      </c>
      <c r="V24" s="92">
        <v>195</v>
      </c>
      <c r="W24" s="98">
        <v>7</v>
      </c>
      <c r="X24" s="98">
        <v>20</v>
      </c>
    </row>
    <row r="25" spans="1:24" ht="11.25" customHeight="1">
      <c r="A25" s="85" t="s">
        <v>29</v>
      </c>
      <c r="B25" s="86" t="s">
        <v>30</v>
      </c>
      <c r="C25" s="95">
        <v>27</v>
      </c>
      <c r="D25" s="95" t="s">
        <v>28</v>
      </c>
      <c r="E25" s="95">
        <v>4</v>
      </c>
      <c r="F25" s="95" t="s">
        <v>28</v>
      </c>
      <c r="G25" s="95">
        <v>4</v>
      </c>
      <c r="H25" s="95" t="s">
        <v>28</v>
      </c>
      <c r="I25" s="95">
        <v>19</v>
      </c>
      <c r="J25" s="95" t="s">
        <v>28</v>
      </c>
      <c r="K25" s="96">
        <v>1376</v>
      </c>
      <c r="L25" s="95">
        <v>983</v>
      </c>
      <c r="M25" s="96">
        <v>107</v>
      </c>
      <c r="N25" s="95">
        <v>67</v>
      </c>
      <c r="O25" s="95">
        <v>6868</v>
      </c>
      <c r="P25" s="95">
        <v>3286</v>
      </c>
      <c r="Q25" s="95">
        <v>5649</v>
      </c>
      <c r="R25" s="95">
        <v>2756</v>
      </c>
      <c r="S25" s="95">
        <v>1063</v>
      </c>
      <c r="T25" s="95">
        <v>767</v>
      </c>
      <c r="U25" s="95">
        <v>74</v>
      </c>
      <c r="V25" s="95">
        <v>195</v>
      </c>
      <c r="W25" s="173">
        <v>7</v>
      </c>
      <c r="X25" s="97">
        <v>20</v>
      </c>
    </row>
    <row r="26" spans="1:24" ht="11.25" customHeight="1">
      <c r="A26" s="85" t="s">
        <v>31</v>
      </c>
      <c r="B26" s="86" t="s">
        <v>32</v>
      </c>
      <c r="C26" s="95" t="s">
        <v>28</v>
      </c>
      <c r="D26" s="95" t="s">
        <v>28</v>
      </c>
      <c r="E26" s="95" t="s">
        <v>28</v>
      </c>
      <c r="F26" s="95" t="s">
        <v>28</v>
      </c>
      <c r="G26" s="95" t="s">
        <v>28</v>
      </c>
      <c r="H26" s="95" t="s">
        <v>28</v>
      </c>
      <c r="I26" s="95" t="s">
        <v>28</v>
      </c>
      <c r="J26" s="95" t="s">
        <v>28</v>
      </c>
      <c r="K26" s="96" t="s">
        <v>28</v>
      </c>
      <c r="L26" s="95" t="s">
        <v>28</v>
      </c>
      <c r="M26" s="96" t="s">
        <v>28</v>
      </c>
      <c r="N26" s="95" t="s">
        <v>28</v>
      </c>
      <c r="O26" s="95" t="s">
        <v>28</v>
      </c>
      <c r="P26" s="95" t="s">
        <v>28</v>
      </c>
      <c r="Q26" s="95" t="s">
        <v>28</v>
      </c>
      <c r="R26" s="95" t="s">
        <v>28</v>
      </c>
      <c r="S26" s="95" t="s">
        <v>28</v>
      </c>
      <c r="T26" s="95" t="s">
        <v>28</v>
      </c>
      <c r="U26" s="95" t="s">
        <v>28</v>
      </c>
      <c r="V26" s="95" t="s">
        <v>28</v>
      </c>
      <c r="W26" s="173" t="s">
        <v>28</v>
      </c>
      <c r="X26" s="97" t="s">
        <v>28</v>
      </c>
    </row>
    <row r="27" spans="1:24" ht="11.25" customHeight="1">
      <c r="A27" s="82" t="s">
        <v>43</v>
      </c>
      <c r="B27" s="83" t="s">
        <v>44</v>
      </c>
      <c r="C27" s="91">
        <v>9</v>
      </c>
      <c r="D27" s="91" t="s">
        <v>28</v>
      </c>
      <c r="E27" s="91">
        <v>1</v>
      </c>
      <c r="F27" s="91" t="s">
        <v>28</v>
      </c>
      <c r="G27" s="91">
        <v>1</v>
      </c>
      <c r="H27" s="91" t="s">
        <v>28</v>
      </c>
      <c r="I27" s="91">
        <v>7</v>
      </c>
      <c r="J27" s="91" t="s">
        <v>28</v>
      </c>
      <c r="K27" s="92">
        <v>170</v>
      </c>
      <c r="L27" s="91">
        <v>91</v>
      </c>
      <c r="M27" s="92">
        <v>17</v>
      </c>
      <c r="N27" s="91">
        <v>12</v>
      </c>
      <c r="O27" s="91">
        <v>429</v>
      </c>
      <c r="P27" s="91">
        <v>199</v>
      </c>
      <c r="Q27" s="91">
        <v>444</v>
      </c>
      <c r="R27" s="91">
        <v>196</v>
      </c>
      <c r="S27" s="91">
        <v>99</v>
      </c>
      <c r="T27" s="91">
        <v>57</v>
      </c>
      <c r="U27" s="91">
        <v>2</v>
      </c>
      <c r="V27" s="91">
        <v>33</v>
      </c>
      <c r="W27" s="171">
        <v>1</v>
      </c>
      <c r="X27" s="98">
        <v>6</v>
      </c>
    </row>
    <row r="28" spans="1:24" ht="11.25" customHeight="1">
      <c r="A28" s="85" t="s">
        <v>29</v>
      </c>
      <c r="B28" s="86" t="s">
        <v>30</v>
      </c>
      <c r="C28" s="95">
        <v>7</v>
      </c>
      <c r="D28" s="95" t="s">
        <v>28</v>
      </c>
      <c r="E28" s="95">
        <v>1</v>
      </c>
      <c r="F28" s="95" t="s">
        <v>28</v>
      </c>
      <c r="G28" s="95">
        <v>1</v>
      </c>
      <c r="H28" s="95" t="s">
        <v>28</v>
      </c>
      <c r="I28" s="95">
        <v>5</v>
      </c>
      <c r="J28" s="95" t="s">
        <v>28</v>
      </c>
      <c r="K28" s="96">
        <v>143</v>
      </c>
      <c r="L28" s="95">
        <v>79</v>
      </c>
      <c r="M28" s="96">
        <v>11</v>
      </c>
      <c r="N28" s="95">
        <v>7</v>
      </c>
      <c r="O28" s="95">
        <v>381</v>
      </c>
      <c r="P28" s="95">
        <v>187</v>
      </c>
      <c r="Q28" s="95">
        <v>409</v>
      </c>
      <c r="R28" s="95">
        <v>187</v>
      </c>
      <c r="S28" s="95">
        <v>82</v>
      </c>
      <c r="T28" s="95">
        <v>51</v>
      </c>
      <c r="U28" s="95" t="s">
        <v>28</v>
      </c>
      <c r="V28" s="95">
        <v>27</v>
      </c>
      <c r="W28" s="173">
        <v>1</v>
      </c>
      <c r="X28" s="97">
        <v>3</v>
      </c>
    </row>
    <row r="29" spans="1:24" ht="11.25" customHeight="1" thickBot="1">
      <c r="A29" s="1512" t="s">
        <v>31</v>
      </c>
      <c r="B29" s="1513" t="s">
        <v>32</v>
      </c>
      <c r="C29" s="1516">
        <v>2</v>
      </c>
      <c r="D29" s="95" t="s">
        <v>28</v>
      </c>
      <c r="E29" s="1516" t="s">
        <v>28</v>
      </c>
      <c r="F29" s="95" t="s">
        <v>28</v>
      </c>
      <c r="G29" s="1516" t="s">
        <v>28</v>
      </c>
      <c r="H29" s="95" t="s">
        <v>28</v>
      </c>
      <c r="I29" s="1516">
        <v>2</v>
      </c>
      <c r="J29" s="95" t="s">
        <v>28</v>
      </c>
      <c r="K29" s="100">
        <v>27</v>
      </c>
      <c r="L29" s="1516">
        <v>12</v>
      </c>
      <c r="M29" s="100">
        <v>6</v>
      </c>
      <c r="N29" s="1516">
        <v>5</v>
      </c>
      <c r="O29" s="1516">
        <v>48</v>
      </c>
      <c r="P29" s="1516">
        <v>12</v>
      </c>
      <c r="Q29" s="1516">
        <v>35</v>
      </c>
      <c r="R29" s="1516">
        <v>9</v>
      </c>
      <c r="S29" s="1516">
        <v>17</v>
      </c>
      <c r="T29" s="1516">
        <v>6</v>
      </c>
      <c r="U29" s="1516">
        <v>2</v>
      </c>
      <c r="V29" s="1516">
        <v>6</v>
      </c>
      <c r="W29" s="1517" t="s">
        <v>28</v>
      </c>
      <c r="X29" s="610">
        <v>3</v>
      </c>
    </row>
    <row r="30" spans="1:24" s="80" customFormat="1" ht="13.5" customHeight="1" thickBot="1">
      <c r="A30" s="1034" t="s">
        <v>45</v>
      </c>
      <c r="B30" s="1034"/>
      <c r="C30" s="1034"/>
      <c r="D30" s="1034"/>
      <c r="E30" s="1034"/>
      <c r="F30" s="1034"/>
      <c r="G30" s="1034"/>
      <c r="H30" s="1034"/>
      <c r="I30" s="1034"/>
      <c r="J30" s="1034"/>
      <c r="K30" s="1034"/>
      <c r="L30" s="1034"/>
      <c r="M30" s="1034" t="s">
        <v>46</v>
      </c>
      <c r="N30" s="1034"/>
      <c r="O30" s="1034"/>
      <c r="P30" s="1034"/>
      <c r="Q30" s="1034"/>
      <c r="R30" s="1034"/>
      <c r="S30" s="1034"/>
      <c r="T30" s="1034"/>
      <c r="U30" s="1034"/>
      <c r="V30" s="1034"/>
      <c r="W30" s="1034"/>
      <c r="X30" s="1034"/>
    </row>
    <row r="31" spans="1:24" ht="11.25" customHeight="1">
      <c r="A31" s="82" t="s">
        <v>47</v>
      </c>
      <c r="B31" s="90" t="s">
        <v>48</v>
      </c>
      <c r="C31" s="1518">
        <v>11</v>
      </c>
      <c r="D31" s="91" t="s">
        <v>28</v>
      </c>
      <c r="E31" s="1518">
        <v>3</v>
      </c>
      <c r="F31" s="91" t="s">
        <v>28</v>
      </c>
      <c r="G31" s="1518">
        <v>2</v>
      </c>
      <c r="H31" s="91" t="s">
        <v>28</v>
      </c>
      <c r="I31" s="1518">
        <v>6</v>
      </c>
      <c r="J31" s="91" t="s">
        <v>28</v>
      </c>
      <c r="K31" s="1518">
        <v>439</v>
      </c>
      <c r="L31" s="1518">
        <v>302</v>
      </c>
      <c r="M31" s="1518">
        <v>40</v>
      </c>
      <c r="N31" s="1518">
        <v>22</v>
      </c>
      <c r="O31" s="1518">
        <v>1988</v>
      </c>
      <c r="P31" s="1518">
        <v>980</v>
      </c>
      <c r="Q31" s="1518">
        <v>1551</v>
      </c>
      <c r="R31" s="1518">
        <v>746</v>
      </c>
      <c r="S31" s="1518">
        <v>358</v>
      </c>
      <c r="T31" s="1518">
        <v>233</v>
      </c>
      <c r="U31" s="1518">
        <v>22</v>
      </c>
      <c r="V31" s="1518">
        <v>81</v>
      </c>
      <c r="W31" s="1519">
        <v>3</v>
      </c>
      <c r="X31" s="1519">
        <v>19</v>
      </c>
    </row>
    <row r="32" spans="1:24" ht="11.25" customHeight="1">
      <c r="A32" s="85" t="s">
        <v>29</v>
      </c>
      <c r="B32" s="86" t="s">
        <v>30</v>
      </c>
      <c r="C32" s="1520">
        <v>8</v>
      </c>
      <c r="D32" s="95" t="s">
        <v>28</v>
      </c>
      <c r="E32" s="1520">
        <v>1</v>
      </c>
      <c r="F32" s="95" t="s">
        <v>28</v>
      </c>
      <c r="G32" s="1520">
        <v>1</v>
      </c>
      <c r="H32" s="95" t="s">
        <v>28</v>
      </c>
      <c r="I32" s="1520">
        <v>6</v>
      </c>
      <c r="J32" s="95" t="s">
        <v>28</v>
      </c>
      <c r="K32" s="1520">
        <v>354</v>
      </c>
      <c r="L32" s="1520">
        <v>255</v>
      </c>
      <c r="M32" s="1520">
        <v>29</v>
      </c>
      <c r="N32" s="1520">
        <v>19</v>
      </c>
      <c r="O32" s="1520">
        <v>1705</v>
      </c>
      <c r="P32" s="1520">
        <v>865</v>
      </c>
      <c r="Q32" s="1520">
        <v>1291</v>
      </c>
      <c r="R32" s="1520">
        <v>645</v>
      </c>
      <c r="S32" s="1520">
        <v>280</v>
      </c>
      <c r="T32" s="1520">
        <v>188</v>
      </c>
      <c r="U32" s="1520">
        <v>13</v>
      </c>
      <c r="V32" s="1520">
        <v>59</v>
      </c>
      <c r="W32" s="1521">
        <v>3</v>
      </c>
      <c r="X32" s="1521">
        <v>17</v>
      </c>
    </row>
    <row r="33" spans="1:24" ht="11.25" customHeight="1">
      <c r="A33" s="85" t="s">
        <v>31</v>
      </c>
      <c r="B33" s="86" t="s">
        <v>32</v>
      </c>
      <c r="C33" s="1520">
        <v>3</v>
      </c>
      <c r="D33" s="95" t="s">
        <v>28</v>
      </c>
      <c r="E33" s="1520">
        <v>2</v>
      </c>
      <c r="F33" s="95" t="s">
        <v>28</v>
      </c>
      <c r="G33" s="1520">
        <v>1</v>
      </c>
      <c r="H33" s="95" t="s">
        <v>28</v>
      </c>
      <c r="I33" s="1520" t="s">
        <v>28</v>
      </c>
      <c r="J33" s="95" t="s">
        <v>28</v>
      </c>
      <c r="K33" s="1520">
        <v>85</v>
      </c>
      <c r="L33" s="1520">
        <v>47</v>
      </c>
      <c r="M33" s="1520">
        <v>11</v>
      </c>
      <c r="N33" s="1520">
        <v>3</v>
      </c>
      <c r="O33" s="1520">
        <v>283</v>
      </c>
      <c r="P33" s="1520">
        <v>115</v>
      </c>
      <c r="Q33" s="1520">
        <v>260</v>
      </c>
      <c r="R33" s="1520">
        <v>101</v>
      </c>
      <c r="S33" s="1520">
        <v>78</v>
      </c>
      <c r="T33" s="1520">
        <v>45</v>
      </c>
      <c r="U33" s="1520">
        <v>9</v>
      </c>
      <c r="V33" s="1520">
        <v>22</v>
      </c>
      <c r="W33" s="1521" t="s">
        <v>28</v>
      </c>
      <c r="X33" s="1521">
        <v>2</v>
      </c>
    </row>
    <row r="34" spans="1:24" ht="11.25" customHeight="1">
      <c r="A34" s="82" t="s">
        <v>49</v>
      </c>
      <c r="B34" s="83" t="s">
        <v>50</v>
      </c>
      <c r="C34" s="1518">
        <v>3</v>
      </c>
      <c r="D34" s="91" t="s">
        <v>28</v>
      </c>
      <c r="E34" s="1518">
        <v>2</v>
      </c>
      <c r="F34" s="91" t="s">
        <v>28</v>
      </c>
      <c r="G34" s="1518" t="s">
        <v>28</v>
      </c>
      <c r="H34" s="91" t="s">
        <v>28</v>
      </c>
      <c r="I34" s="1518">
        <v>1</v>
      </c>
      <c r="J34" s="91" t="s">
        <v>28</v>
      </c>
      <c r="K34" s="1518">
        <v>104</v>
      </c>
      <c r="L34" s="1518">
        <v>51</v>
      </c>
      <c r="M34" s="1518">
        <v>12</v>
      </c>
      <c r="N34" s="1518">
        <v>6</v>
      </c>
      <c r="O34" s="1518">
        <v>419</v>
      </c>
      <c r="P34" s="1518">
        <v>53</v>
      </c>
      <c r="Q34" s="1518">
        <v>364</v>
      </c>
      <c r="R34" s="1518">
        <v>64</v>
      </c>
      <c r="S34" s="1518">
        <v>83</v>
      </c>
      <c r="T34" s="1518">
        <v>54</v>
      </c>
      <c r="U34" s="1518">
        <v>14</v>
      </c>
      <c r="V34" s="1518">
        <v>15</v>
      </c>
      <c r="W34" s="1519" t="s">
        <v>28</v>
      </c>
      <c r="X34" s="1519" t="s">
        <v>28</v>
      </c>
    </row>
    <row r="35" spans="1:24" ht="11.25" customHeight="1">
      <c r="A35" s="85" t="s">
        <v>29</v>
      </c>
      <c r="B35" s="86" t="s">
        <v>30</v>
      </c>
      <c r="C35" s="1520">
        <v>1</v>
      </c>
      <c r="D35" s="95" t="s">
        <v>28</v>
      </c>
      <c r="E35" s="1520" t="s">
        <v>28</v>
      </c>
      <c r="F35" s="95" t="s">
        <v>28</v>
      </c>
      <c r="G35" s="1520" t="s">
        <v>28</v>
      </c>
      <c r="H35" s="95" t="s">
        <v>28</v>
      </c>
      <c r="I35" s="1520">
        <v>1</v>
      </c>
      <c r="J35" s="95" t="s">
        <v>28</v>
      </c>
      <c r="K35" s="1520">
        <v>35</v>
      </c>
      <c r="L35" s="1520">
        <v>28</v>
      </c>
      <c r="M35" s="1520">
        <v>4</v>
      </c>
      <c r="N35" s="1520">
        <v>3</v>
      </c>
      <c r="O35" s="1520">
        <v>117</v>
      </c>
      <c r="P35" s="1520">
        <v>53</v>
      </c>
      <c r="Q35" s="1520">
        <v>104</v>
      </c>
      <c r="R35" s="1520">
        <v>64</v>
      </c>
      <c r="S35" s="1520">
        <v>36</v>
      </c>
      <c r="T35" s="1520">
        <v>18</v>
      </c>
      <c r="U35" s="1520">
        <v>10</v>
      </c>
      <c r="V35" s="1520">
        <v>8</v>
      </c>
      <c r="W35" s="1521" t="s">
        <v>28</v>
      </c>
      <c r="X35" s="1521" t="s">
        <v>28</v>
      </c>
    </row>
    <row r="36" spans="1:24" ht="11.25" customHeight="1">
      <c r="A36" s="85" t="s">
        <v>31</v>
      </c>
      <c r="B36" s="86" t="s">
        <v>32</v>
      </c>
      <c r="C36" s="1520">
        <v>2</v>
      </c>
      <c r="D36" s="95" t="s">
        <v>28</v>
      </c>
      <c r="E36" s="1520">
        <v>2</v>
      </c>
      <c r="F36" s="95" t="s">
        <v>28</v>
      </c>
      <c r="G36" s="1520" t="s">
        <v>28</v>
      </c>
      <c r="H36" s="95" t="s">
        <v>28</v>
      </c>
      <c r="I36" s="1520" t="s">
        <v>28</v>
      </c>
      <c r="J36" s="95" t="s">
        <v>28</v>
      </c>
      <c r="K36" s="1520">
        <v>69</v>
      </c>
      <c r="L36" s="1520">
        <v>23</v>
      </c>
      <c r="M36" s="1520">
        <v>8</v>
      </c>
      <c r="N36" s="1520">
        <v>3</v>
      </c>
      <c r="O36" s="1520">
        <v>302</v>
      </c>
      <c r="P36" s="1520" t="s">
        <v>28</v>
      </c>
      <c r="Q36" s="1520">
        <v>260</v>
      </c>
      <c r="R36" s="1520" t="s">
        <v>28</v>
      </c>
      <c r="S36" s="1520">
        <v>47</v>
      </c>
      <c r="T36" s="1520">
        <v>36</v>
      </c>
      <c r="U36" s="1520">
        <v>4</v>
      </c>
      <c r="V36" s="1520">
        <v>7</v>
      </c>
      <c r="W36" s="1521" t="s">
        <v>28</v>
      </c>
      <c r="X36" s="1521" t="s">
        <v>28</v>
      </c>
    </row>
    <row r="37" spans="1:24" ht="11.25" customHeight="1">
      <c r="A37" s="108" t="s">
        <v>963</v>
      </c>
      <c r="B37" s="83" t="s">
        <v>964</v>
      </c>
      <c r="C37" s="1518">
        <v>12</v>
      </c>
      <c r="D37" s="91" t="s">
        <v>28</v>
      </c>
      <c r="E37" s="1518">
        <v>5</v>
      </c>
      <c r="F37" s="91" t="s">
        <v>28</v>
      </c>
      <c r="G37" s="1518">
        <v>6</v>
      </c>
      <c r="H37" s="91" t="s">
        <v>28</v>
      </c>
      <c r="I37" s="1518">
        <v>1</v>
      </c>
      <c r="J37" s="91" t="s">
        <v>28</v>
      </c>
      <c r="K37" s="1518">
        <v>579</v>
      </c>
      <c r="L37" s="1518">
        <v>403</v>
      </c>
      <c r="M37" s="1518">
        <v>43</v>
      </c>
      <c r="N37" s="1518">
        <v>29</v>
      </c>
      <c r="O37" s="1518">
        <v>2704</v>
      </c>
      <c r="P37" s="1518">
        <v>1482</v>
      </c>
      <c r="Q37" s="1518">
        <v>2544</v>
      </c>
      <c r="R37" s="1518">
        <v>1370</v>
      </c>
      <c r="S37" s="1518">
        <v>455</v>
      </c>
      <c r="T37" s="1518">
        <v>279</v>
      </c>
      <c r="U37" s="1518">
        <v>57</v>
      </c>
      <c r="V37" s="1518">
        <v>99</v>
      </c>
      <c r="W37" s="1519">
        <v>5</v>
      </c>
      <c r="X37" s="1519">
        <v>15</v>
      </c>
    </row>
    <row r="38" spans="1:24" ht="11.25" customHeight="1">
      <c r="A38" s="85" t="s">
        <v>29</v>
      </c>
      <c r="B38" s="86" t="s">
        <v>30</v>
      </c>
      <c r="C38" s="1520">
        <v>11</v>
      </c>
      <c r="D38" s="95" t="s">
        <v>28</v>
      </c>
      <c r="E38" s="1520">
        <v>4</v>
      </c>
      <c r="F38" s="95" t="s">
        <v>28</v>
      </c>
      <c r="G38" s="1520">
        <v>6</v>
      </c>
      <c r="H38" s="95" t="s">
        <v>28</v>
      </c>
      <c r="I38" s="1520">
        <v>1</v>
      </c>
      <c r="J38" s="95" t="s">
        <v>28</v>
      </c>
      <c r="K38" s="1520">
        <v>531</v>
      </c>
      <c r="L38" s="1520">
        <v>378</v>
      </c>
      <c r="M38" s="1520">
        <v>39</v>
      </c>
      <c r="N38" s="1520">
        <v>28</v>
      </c>
      <c r="O38" s="1520">
        <v>2443</v>
      </c>
      <c r="P38" s="1520">
        <v>1482</v>
      </c>
      <c r="Q38" s="1520">
        <v>2306</v>
      </c>
      <c r="R38" s="1520">
        <v>1370</v>
      </c>
      <c r="S38" s="1520">
        <v>417</v>
      </c>
      <c r="T38" s="1520">
        <v>252</v>
      </c>
      <c r="U38" s="1520">
        <v>53</v>
      </c>
      <c r="V38" s="1520">
        <v>92</v>
      </c>
      <c r="W38" s="1521">
        <v>5</v>
      </c>
      <c r="X38" s="1521">
        <v>15</v>
      </c>
    </row>
    <row r="39" spans="1:24" ht="11.25" customHeight="1">
      <c r="A39" s="85" t="s">
        <v>31</v>
      </c>
      <c r="B39" s="86" t="s">
        <v>32</v>
      </c>
      <c r="C39" s="1520">
        <v>1</v>
      </c>
      <c r="D39" s="95" t="s">
        <v>28</v>
      </c>
      <c r="E39" s="1520">
        <v>1</v>
      </c>
      <c r="F39" s="95" t="s">
        <v>28</v>
      </c>
      <c r="G39" s="1520" t="s">
        <v>28</v>
      </c>
      <c r="H39" s="95" t="s">
        <v>28</v>
      </c>
      <c r="I39" s="1520" t="s">
        <v>28</v>
      </c>
      <c r="J39" s="95" t="s">
        <v>28</v>
      </c>
      <c r="K39" s="1520">
        <v>48</v>
      </c>
      <c r="L39" s="1520">
        <v>25</v>
      </c>
      <c r="M39" s="1520">
        <v>4</v>
      </c>
      <c r="N39" s="1520">
        <v>1</v>
      </c>
      <c r="O39" s="1520">
        <v>261</v>
      </c>
      <c r="P39" s="1520" t="s">
        <v>28</v>
      </c>
      <c r="Q39" s="1520">
        <v>238</v>
      </c>
      <c r="R39" s="1520" t="s">
        <v>28</v>
      </c>
      <c r="S39" s="1520">
        <v>38</v>
      </c>
      <c r="T39" s="1520">
        <v>27</v>
      </c>
      <c r="U39" s="1520">
        <v>4</v>
      </c>
      <c r="V39" s="1520">
        <v>7</v>
      </c>
      <c r="W39" s="1521" t="s">
        <v>28</v>
      </c>
      <c r="X39" s="1521" t="s">
        <v>28</v>
      </c>
    </row>
    <row r="40" spans="1:24" ht="11.25" customHeight="1">
      <c r="A40" s="82" t="s">
        <v>51</v>
      </c>
      <c r="B40" s="83" t="s">
        <v>52</v>
      </c>
      <c r="C40" s="1518">
        <v>20</v>
      </c>
      <c r="D40" s="91" t="s">
        <v>28</v>
      </c>
      <c r="E40" s="1518">
        <v>1</v>
      </c>
      <c r="F40" s="91" t="s">
        <v>28</v>
      </c>
      <c r="G40" s="1518">
        <v>1</v>
      </c>
      <c r="H40" s="91" t="s">
        <v>28</v>
      </c>
      <c r="I40" s="1518">
        <v>18</v>
      </c>
      <c r="J40" s="91" t="s">
        <v>28</v>
      </c>
      <c r="K40" s="1518">
        <v>984</v>
      </c>
      <c r="L40" s="1518">
        <v>750</v>
      </c>
      <c r="M40" s="1518">
        <v>75</v>
      </c>
      <c r="N40" s="1518">
        <v>56</v>
      </c>
      <c r="O40" s="1518">
        <v>4944</v>
      </c>
      <c r="P40" s="1518">
        <v>2435</v>
      </c>
      <c r="Q40" s="1518">
        <v>4275</v>
      </c>
      <c r="R40" s="1518">
        <v>2093</v>
      </c>
      <c r="S40" s="1518">
        <v>748</v>
      </c>
      <c r="T40" s="1518">
        <v>490</v>
      </c>
      <c r="U40" s="1518">
        <v>79</v>
      </c>
      <c r="V40" s="1518">
        <v>150</v>
      </c>
      <c r="W40" s="1519">
        <v>11</v>
      </c>
      <c r="X40" s="1519">
        <v>18</v>
      </c>
    </row>
    <row r="41" spans="1:24" ht="11.25" customHeight="1">
      <c r="A41" s="85" t="s">
        <v>29</v>
      </c>
      <c r="B41" s="86" t="s">
        <v>30</v>
      </c>
      <c r="C41" s="1520">
        <v>19</v>
      </c>
      <c r="D41" s="95" t="s">
        <v>28</v>
      </c>
      <c r="E41" s="1520">
        <v>1</v>
      </c>
      <c r="F41" s="95" t="s">
        <v>28</v>
      </c>
      <c r="G41" s="1520">
        <v>1</v>
      </c>
      <c r="H41" s="95" t="s">
        <v>28</v>
      </c>
      <c r="I41" s="1520">
        <v>17</v>
      </c>
      <c r="J41" s="95" t="s">
        <v>28</v>
      </c>
      <c r="K41" s="1520">
        <v>938</v>
      </c>
      <c r="L41" s="1520">
        <v>722</v>
      </c>
      <c r="M41" s="1520">
        <v>71</v>
      </c>
      <c r="N41" s="1520">
        <v>54</v>
      </c>
      <c r="O41" s="1520">
        <v>4665</v>
      </c>
      <c r="P41" s="1520">
        <v>2302</v>
      </c>
      <c r="Q41" s="1520">
        <v>3996</v>
      </c>
      <c r="R41" s="1520">
        <v>1956</v>
      </c>
      <c r="S41" s="1520">
        <v>713</v>
      </c>
      <c r="T41" s="1520">
        <v>466</v>
      </c>
      <c r="U41" s="1520">
        <v>79</v>
      </c>
      <c r="V41" s="1520">
        <v>142</v>
      </c>
      <c r="W41" s="1521">
        <v>10</v>
      </c>
      <c r="X41" s="1521">
        <v>16</v>
      </c>
    </row>
    <row r="42" spans="1:24" ht="11.25" customHeight="1">
      <c r="A42" s="85" t="s">
        <v>31</v>
      </c>
      <c r="B42" s="86" t="s">
        <v>32</v>
      </c>
      <c r="C42" s="1520">
        <v>1</v>
      </c>
      <c r="D42" s="95" t="s">
        <v>28</v>
      </c>
      <c r="E42" s="1520" t="s">
        <v>28</v>
      </c>
      <c r="F42" s="95" t="s">
        <v>28</v>
      </c>
      <c r="G42" s="1520" t="s">
        <v>28</v>
      </c>
      <c r="H42" s="95" t="s">
        <v>28</v>
      </c>
      <c r="I42" s="1520">
        <v>1</v>
      </c>
      <c r="J42" s="95" t="s">
        <v>28</v>
      </c>
      <c r="K42" s="1520">
        <v>46</v>
      </c>
      <c r="L42" s="1520">
        <v>28</v>
      </c>
      <c r="M42" s="1520">
        <v>4</v>
      </c>
      <c r="N42" s="1520">
        <v>2</v>
      </c>
      <c r="O42" s="1520">
        <v>279</v>
      </c>
      <c r="P42" s="1520">
        <v>133</v>
      </c>
      <c r="Q42" s="1520">
        <v>279</v>
      </c>
      <c r="R42" s="1520">
        <v>137</v>
      </c>
      <c r="S42" s="1520">
        <v>35</v>
      </c>
      <c r="T42" s="1520">
        <v>24</v>
      </c>
      <c r="U42" s="1520" t="s">
        <v>28</v>
      </c>
      <c r="V42" s="1520">
        <v>8</v>
      </c>
      <c r="W42" s="1521">
        <v>1</v>
      </c>
      <c r="X42" s="1521">
        <v>2</v>
      </c>
    </row>
    <row r="43" spans="1:24" ht="11.25" customHeight="1">
      <c r="A43" s="82" t="s">
        <v>53</v>
      </c>
      <c r="B43" s="83" t="s">
        <v>54</v>
      </c>
      <c r="C43" s="1518">
        <v>22</v>
      </c>
      <c r="D43" s="91" t="s">
        <v>28</v>
      </c>
      <c r="E43" s="1518">
        <v>5</v>
      </c>
      <c r="F43" s="91" t="s">
        <v>28</v>
      </c>
      <c r="G43" s="1518">
        <v>5</v>
      </c>
      <c r="H43" s="91" t="s">
        <v>28</v>
      </c>
      <c r="I43" s="1518">
        <v>12</v>
      </c>
      <c r="J43" s="91" t="s">
        <v>28</v>
      </c>
      <c r="K43" s="1518">
        <v>1037</v>
      </c>
      <c r="L43" s="1518">
        <v>796</v>
      </c>
      <c r="M43" s="1518">
        <v>83</v>
      </c>
      <c r="N43" s="1518">
        <v>56</v>
      </c>
      <c r="O43" s="1518">
        <v>4808</v>
      </c>
      <c r="P43" s="1518">
        <v>2299</v>
      </c>
      <c r="Q43" s="1518">
        <v>4444</v>
      </c>
      <c r="R43" s="1518">
        <v>2209</v>
      </c>
      <c r="S43" s="1518">
        <v>744</v>
      </c>
      <c r="T43" s="1518">
        <v>526</v>
      </c>
      <c r="U43" s="1518">
        <v>47</v>
      </c>
      <c r="V43" s="1518">
        <v>147</v>
      </c>
      <c r="W43" s="1519">
        <v>1</v>
      </c>
      <c r="X43" s="1519">
        <v>23</v>
      </c>
    </row>
    <row r="44" spans="1:24" ht="11.25" customHeight="1">
      <c r="A44" s="85" t="s">
        <v>29</v>
      </c>
      <c r="B44" s="86" t="s">
        <v>30</v>
      </c>
      <c r="C44" s="1520">
        <v>21</v>
      </c>
      <c r="D44" s="95" t="s">
        <v>28</v>
      </c>
      <c r="E44" s="1520">
        <v>5</v>
      </c>
      <c r="F44" s="95" t="s">
        <v>28</v>
      </c>
      <c r="G44" s="1520">
        <v>4</v>
      </c>
      <c r="H44" s="95" t="s">
        <v>28</v>
      </c>
      <c r="I44" s="1520">
        <v>12</v>
      </c>
      <c r="J44" s="95" t="s">
        <v>28</v>
      </c>
      <c r="K44" s="1520">
        <v>1012</v>
      </c>
      <c r="L44" s="1520">
        <v>779</v>
      </c>
      <c r="M44" s="1520">
        <v>79</v>
      </c>
      <c r="N44" s="1520">
        <v>55</v>
      </c>
      <c r="O44" s="1520">
        <v>4681</v>
      </c>
      <c r="P44" s="1520">
        <v>2172</v>
      </c>
      <c r="Q44" s="1520">
        <v>4324</v>
      </c>
      <c r="R44" s="1520">
        <v>2089</v>
      </c>
      <c r="S44" s="1520">
        <v>729</v>
      </c>
      <c r="T44" s="1520">
        <v>514</v>
      </c>
      <c r="U44" s="1520">
        <v>47</v>
      </c>
      <c r="V44" s="1520">
        <v>144</v>
      </c>
      <c r="W44" s="1521">
        <v>1</v>
      </c>
      <c r="X44" s="1521">
        <v>23</v>
      </c>
    </row>
    <row r="45" spans="1:24" ht="11.25" customHeight="1">
      <c r="A45" s="85" t="s">
        <v>31</v>
      </c>
      <c r="B45" s="86" t="s">
        <v>32</v>
      </c>
      <c r="C45" s="1520">
        <v>1</v>
      </c>
      <c r="D45" s="95" t="s">
        <v>28</v>
      </c>
      <c r="E45" s="1520" t="s">
        <v>28</v>
      </c>
      <c r="F45" s="95" t="s">
        <v>28</v>
      </c>
      <c r="G45" s="1520">
        <v>1</v>
      </c>
      <c r="H45" s="95" t="s">
        <v>28</v>
      </c>
      <c r="I45" s="1520" t="s">
        <v>28</v>
      </c>
      <c r="J45" s="95" t="s">
        <v>28</v>
      </c>
      <c r="K45" s="1520">
        <v>25</v>
      </c>
      <c r="L45" s="1520">
        <v>17</v>
      </c>
      <c r="M45" s="1520">
        <v>4</v>
      </c>
      <c r="N45" s="1520">
        <v>1</v>
      </c>
      <c r="O45" s="1520">
        <v>127</v>
      </c>
      <c r="P45" s="1520">
        <v>127</v>
      </c>
      <c r="Q45" s="1520">
        <v>120</v>
      </c>
      <c r="R45" s="1520">
        <v>120</v>
      </c>
      <c r="S45" s="1520">
        <v>15</v>
      </c>
      <c r="T45" s="1520">
        <v>12</v>
      </c>
      <c r="U45" s="1520" t="s">
        <v>28</v>
      </c>
      <c r="V45" s="1520">
        <v>3</v>
      </c>
      <c r="W45" s="1521" t="s">
        <v>28</v>
      </c>
      <c r="X45" s="1521" t="s">
        <v>28</v>
      </c>
    </row>
    <row r="46" spans="1:24" ht="11.25" customHeight="1">
      <c r="A46" s="82" t="s">
        <v>55</v>
      </c>
      <c r="B46" s="83" t="s">
        <v>56</v>
      </c>
      <c r="C46" s="1518">
        <v>21</v>
      </c>
      <c r="D46" s="91" t="s">
        <v>28</v>
      </c>
      <c r="E46" s="1518">
        <v>6</v>
      </c>
      <c r="F46" s="91" t="s">
        <v>28</v>
      </c>
      <c r="G46" s="1518">
        <v>4</v>
      </c>
      <c r="H46" s="91" t="s">
        <v>28</v>
      </c>
      <c r="I46" s="1518">
        <v>11</v>
      </c>
      <c r="J46" s="91" t="s">
        <v>28</v>
      </c>
      <c r="K46" s="1518">
        <v>907</v>
      </c>
      <c r="L46" s="1518">
        <v>708</v>
      </c>
      <c r="M46" s="1518">
        <v>79</v>
      </c>
      <c r="N46" s="1518">
        <v>52</v>
      </c>
      <c r="O46" s="1518">
        <v>3871</v>
      </c>
      <c r="P46" s="1518">
        <v>1879</v>
      </c>
      <c r="Q46" s="1518">
        <v>3837</v>
      </c>
      <c r="R46" s="1518">
        <v>1829</v>
      </c>
      <c r="S46" s="1518">
        <v>756</v>
      </c>
      <c r="T46" s="1518">
        <v>488</v>
      </c>
      <c r="U46" s="1518">
        <v>83</v>
      </c>
      <c r="V46" s="1518">
        <v>159</v>
      </c>
      <c r="W46" s="1519">
        <v>5</v>
      </c>
      <c r="X46" s="1519">
        <v>21</v>
      </c>
    </row>
    <row r="47" spans="1:24" ht="11.25" customHeight="1">
      <c r="A47" s="85" t="s">
        <v>29</v>
      </c>
      <c r="B47" s="86" t="s">
        <v>30</v>
      </c>
      <c r="C47" s="1520">
        <v>21</v>
      </c>
      <c r="D47" s="95" t="s">
        <v>28</v>
      </c>
      <c r="E47" s="1520">
        <v>6</v>
      </c>
      <c r="F47" s="95" t="s">
        <v>28</v>
      </c>
      <c r="G47" s="1520">
        <v>4</v>
      </c>
      <c r="H47" s="95" t="s">
        <v>28</v>
      </c>
      <c r="I47" s="1520">
        <v>11</v>
      </c>
      <c r="J47" s="95" t="s">
        <v>28</v>
      </c>
      <c r="K47" s="1520">
        <v>907</v>
      </c>
      <c r="L47" s="1520">
        <v>708</v>
      </c>
      <c r="M47" s="1520">
        <v>79</v>
      </c>
      <c r="N47" s="1520">
        <v>52</v>
      </c>
      <c r="O47" s="1520">
        <v>3871</v>
      </c>
      <c r="P47" s="1520">
        <v>1879</v>
      </c>
      <c r="Q47" s="1520">
        <v>3837</v>
      </c>
      <c r="R47" s="1520">
        <v>1829</v>
      </c>
      <c r="S47" s="1520">
        <v>756</v>
      </c>
      <c r="T47" s="1520">
        <v>488</v>
      </c>
      <c r="U47" s="1520">
        <v>83</v>
      </c>
      <c r="V47" s="1520">
        <v>159</v>
      </c>
      <c r="W47" s="1521">
        <v>5</v>
      </c>
      <c r="X47" s="1521">
        <v>21</v>
      </c>
    </row>
    <row r="48" spans="1:24" ht="11.25" customHeight="1">
      <c r="A48" s="85" t="s">
        <v>31</v>
      </c>
      <c r="B48" s="86" t="s">
        <v>32</v>
      </c>
      <c r="C48" s="103" t="s">
        <v>28</v>
      </c>
      <c r="D48" s="95" t="s">
        <v>28</v>
      </c>
      <c r="E48" s="103" t="s">
        <v>28</v>
      </c>
      <c r="F48" s="95" t="s">
        <v>28</v>
      </c>
      <c r="G48" s="103" t="s">
        <v>28</v>
      </c>
      <c r="H48" s="95" t="s">
        <v>28</v>
      </c>
      <c r="I48" s="103" t="s">
        <v>28</v>
      </c>
      <c r="J48" s="95" t="s">
        <v>28</v>
      </c>
      <c r="K48" s="103" t="s">
        <v>28</v>
      </c>
      <c r="L48" s="103" t="s">
        <v>28</v>
      </c>
      <c r="M48" s="103" t="s">
        <v>28</v>
      </c>
      <c r="N48" s="103" t="s">
        <v>28</v>
      </c>
      <c r="O48" s="103" t="s">
        <v>28</v>
      </c>
      <c r="P48" s="103" t="s">
        <v>28</v>
      </c>
      <c r="Q48" s="103" t="s">
        <v>28</v>
      </c>
      <c r="R48" s="103" t="s">
        <v>28</v>
      </c>
      <c r="S48" s="103" t="s">
        <v>28</v>
      </c>
      <c r="T48" s="103" t="s">
        <v>28</v>
      </c>
      <c r="U48" s="103" t="s">
        <v>28</v>
      </c>
      <c r="V48" s="103" t="s">
        <v>28</v>
      </c>
      <c r="W48" s="1522" t="s">
        <v>28</v>
      </c>
      <c r="X48" s="1522" t="s">
        <v>28</v>
      </c>
    </row>
    <row r="49" spans="1:24" ht="11.25" customHeight="1">
      <c r="A49" s="82" t="s">
        <v>57</v>
      </c>
      <c r="B49" s="83" t="s">
        <v>58</v>
      </c>
      <c r="C49" s="1518">
        <v>15</v>
      </c>
      <c r="D49" s="91" t="s">
        <v>28</v>
      </c>
      <c r="E49" s="1518">
        <v>2</v>
      </c>
      <c r="F49" s="91" t="s">
        <v>28</v>
      </c>
      <c r="G49" s="1518">
        <v>2</v>
      </c>
      <c r="H49" s="91" t="s">
        <v>28</v>
      </c>
      <c r="I49" s="1518">
        <v>11</v>
      </c>
      <c r="J49" s="91" t="s">
        <v>28</v>
      </c>
      <c r="K49" s="1518">
        <v>539</v>
      </c>
      <c r="L49" s="1518">
        <v>425</v>
      </c>
      <c r="M49" s="1518">
        <v>48</v>
      </c>
      <c r="N49" s="1518">
        <v>28</v>
      </c>
      <c r="O49" s="1518">
        <v>2004</v>
      </c>
      <c r="P49" s="1518">
        <v>994</v>
      </c>
      <c r="Q49" s="1518">
        <v>2103</v>
      </c>
      <c r="R49" s="1518">
        <v>1021</v>
      </c>
      <c r="S49" s="1518">
        <v>533</v>
      </c>
      <c r="T49" s="1518">
        <v>290</v>
      </c>
      <c r="U49" s="1518">
        <v>96</v>
      </c>
      <c r="V49" s="1518">
        <v>112</v>
      </c>
      <c r="W49" s="1519">
        <v>6</v>
      </c>
      <c r="X49" s="1519">
        <v>29</v>
      </c>
    </row>
    <row r="50" spans="1:24" ht="11.25" customHeight="1">
      <c r="A50" s="85" t="s">
        <v>29</v>
      </c>
      <c r="B50" s="86" t="s">
        <v>30</v>
      </c>
      <c r="C50" s="1520">
        <v>15</v>
      </c>
      <c r="D50" s="95" t="s">
        <v>28</v>
      </c>
      <c r="E50" s="1520">
        <v>2</v>
      </c>
      <c r="F50" s="95" t="s">
        <v>28</v>
      </c>
      <c r="G50" s="1520">
        <v>2</v>
      </c>
      <c r="H50" s="95" t="s">
        <v>28</v>
      </c>
      <c r="I50" s="1520">
        <v>11</v>
      </c>
      <c r="J50" s="95" t="s">
        <v>28</v>
      </c>
      <c r="K50" s="1520">
        <v>539</v>
      </c>
      <c r="L50" s="1520">
        <v>425</v>
      </c>
      <c r="M50" s="1520">
        <v>48</v>
      </c>
      <c r="N50" s="1520">
        <v>28</v>
      </c>
      <c r="O50" s="1520">
        <v>2004</v>
      </c>
      <c r="P50" s="1520">
        <v>994</v>
      </c>
      <c r="Q50" s="1520">
        <v>2103</v>
      </c>
      <c r="R50" s="1520">
        <v>1021</v>
      </c>
      <c r="S50" s="1520">
        <v>533</v>
      </c>
      <c r="T50" s="1520">
        <v>290</v>
      </c>
      <c r="U50" s="1520">
        <v>96</v>
      </c>
      <c r="V50" s="1520">
        <v>112</v>
      </c>
      <c r="W50" s="1521">
        <v>6</v>
      </c>
      <c r="X50" s="1521">
        <v>29</v>
      </c>
    </row>
    <row r="51" spans="1:24" ht="11.25" customHeight="1">
      <c r="A51" s="85" t="s">
        <v>31</v>
      </c>
      <c r="B51" s="86" t="s">
        <v>32</v>
      </c>
      <c r="C51" s="103" t="s">
        <v>28</v>
      </c>
      <c r="D51" s="95" t="s">
        <v>28</v>
      </c>
      <c r="E51" s="103" t="s">
        <v>28</v>
      </c>
      <c r="F51" s="95" t="s">
        <v>28</v>
      </c>
      <c r="G51" s="103" t="s">
        <v>28</v>
      </c>
      <c r="H51" s="95" t="s">
        <v>28</v>
      </c>
      <c r="I51" s="103" t="s">
        <v>28</v>
      </c>
      <c r="J51" s="95" t="s">
        <v>28</v>
      </c>
      <c r="K51" s="103" t="s">
        <v>28</v>
      </c>
      <c r="L51" s="103" t="s">
        <v>28</v>
      </c>
      <c r="M51" s="103" t="s">
        <v>28</v>
      </c>
      <c r="N51" s="103" t="s">
        <v>28</v>
      </c>
      <c r="O51" s="103" t="s">
        <v>28</v>
      </c>
      <c r="P51" s="103" t="s">
        <v>28</v>
      </c>
      <c r="Q51" s="103" t="s">
        <v>28</v>
      </c>
      <c r="R51" s="103" t="s">
        <v>28</v>
      </c>
      <c r="S51" s="103" t="s">
        <v>28</v>
      </c>
      <c r="T51" s="103" t="s">
        <v>28</v>
      </c>
      <c r="U51" s="103" t="s">
        <v>28</v>
      </c>
      <c r="V51" s="103" t="s">
        <v>28</v>
      </c>
      <c r="W51" s="1522" t="s">
        <v>28</v>
      </c>
      <c r="X51" s="1522" t="s">
        <v>28</v>
      </c>
    </row>
    <row r="52" spans="1:24" ht="11.25" customHeight="1">
      <c r="A52" s="82" t="s">
        <v>59</v>
      </c>
      <c r="B52" s="83" t="s">
        <v>60</v>
      </c>
      <c r="C52" s="1518">
        <v>27</v>
      </c>
      <c r="D52" s="91" t="s">
        <v>28</v>
      </c>
      <c r="E52" s="1518">
        <v>4</v>
      </c>
      <c r="F52" s="91" t="s">
        <v>28</v>
      </c>
      <c r="G52" s="1518">
        <v>4</v>
      </c>
      <c r="H52" s="91" t="s">
        <v>28</v>
      </c>
      <c r="I52" s="1518">
        <v>19</v>
      </c>
      <c r="J52" s="91" t="s">
        <v>28</v>
      </c>
      <c r="K52" s="1518">
        <v>1376</v>
      </c>
      <c r="L52" s="1518">
        <v>983</v>
      </c>
      <c r="M52" s="1518">
        <v>107</v>
      </c>
      <c r="N52" s="1518">
        <v>67</v>
      </c>
      <c r="O52" s="1518">
        <v>6868</v>
      </c>
      <c r="P52" s="1518">
        <v>3286</v>
      </c>
      <c r="Q52" s="1518">
        <v>5649</v>
      </c>
      <c r="R52" s="1518">
        <v>2756</v>
      </c>
      <c r="S52" s="1518">
        <v>1063</v>
      </c>
      <c r="T52" s="1518">
        <v>767</v>
      </c>
      <c r="U52" s="1518">
        <v>74</v>
      </c>
      <c r="V52" s="1518">
        <v>195</v>
      </c>
      <c r="W52" s="1519">
        <v>7</v>
      </c>
      <c r="X52" s="1519">
        <v>20</v>
      </c>
    </row>
    <row r="53" spans="1:24" ht="11.25" customHeight="1">
      <c r="A53" s="85" t="s">
        <v>29</v>
      </c>
      <c r="B53" s="86" t="s">
        <v>30</v>
      </c>
      <c r="C53" s="1520">
        <v>27</v>
      </c>
      <c r="D53" s="95" t="s">
        <v>28</v>
      </c>
      <c r="E53" s="1520">
        <v>4</v>
      </c>
      <c r="F53" s="95" t="s">
        <v>28</v>
      </c>
      <c r="G53" s="1520">
        <v>4</v>
      </c>
      <c r="H53" s="95" t="s">
        <v>28</v>
      </c>
      <c r="I53" s="1520">
        <v>19</v>
      </c>
      <c r="J53" s="95" t="s">
        <v>28</v>
      </c>
      <c r="K53" s="1520">
        <v>1376</v>
      </c>
      <c r="L53" s="1520">
        <v>983</v>
      </c>
      <c r="M53" s="1520">
        <v>107</v>
      </c>
      <c r="N53" s="1520">
        <v>67</v>
      </c>
      <c r="O53" s="1520">
        <v>6868</v>
      </c>
      <c r="P53" s="1520">
        <v>3286</v>
      </c>
      <c r="Q53" s="1520">
        <v>5649</v>
      </c>
      <c r="R53" s="1520">
        <v>2756</v>
      </c>
      <c r="S53" s="1520">
        <v>1063</v>
      </c>
      <c r="T53" s="1520">
        <v>767</v>
      </c>
      <c r="U53" s="1520">
        <v>74</v>
      </c>
      <c r="V53" s="1520">
        <v>195</v>
      </c>
      <c r="W53" s="1521">
        <v>7</v>
      </c>
      <c r="X53" s="1521">
        <v>20</v>
      </c>
    </row>
    <row r="54" spans="1:24" ht="11.25" customHeight="1">
      <c r="A54" s="85" t="s">
        <v>31</v>
      </c>
      <c r="B54" s="86" t="s">
        <v>32</v>
      </c>
      <c r="C54" s="103" t="s">
        <v>28</v>
      </c>
      <c r="D54" s="95" t="s">
        <v>28</v>
      </c>
      <c r="E54" s="103" t="s">
        <v>28</v>
      </c>
      <c r="F54" s="95" t="s">
        <v>28</v>
      </c>
      <c r="G54" s="103" t="s">
        <v>28</v>
      </c>
      <c r="H54" s="95" t="s">
        <v>28</v>
      </c>
      <c r="I54" s="103" t="s">
        <v>28</v>
      </c>
      <c r="J54" s="95" t="s">
        <v>28</v>
      </c>
      <c r="K54" s="103" t="s">
        <v>28</v>
      </c>
      <c r="L54" s="103" t="s">
        <v>28</v>
      </c>
      <c r="M54" s="103" t="s">
        <v>28</v>
      </c>
      <c r="N54" s="103" t="s">
        <v>28</v>
      </c>
      <c r="O54" s="103" t="s">
        <v>28</v>
      </c>
      <c r="P54" s="103" t="s">
        <v>28</v>
      </c>
      <c r="Q54" s="103" t="s">
        <v>28</v>
      </c>
      <c r="R54" s="103" t="s">
        <v>28</v>
      </c>
      <c r="S54" s="103" t="s">
        <v>28</v>
      </c>
      <c r="T54" s="103" t="s">
        <v>28</v>
      </c>
      <c r="U54" s="103" t="s">
        <v>28</v>
      </c>
      <c r="V54" s="103" t="s">
        <v>28</v>
      </c>
      <c r="W54" s="1522" t="s">
        <v>28</v>
      </c>
      <c r="X54" s="1522" t="s">
        <v>28</v>
      </c>
    </row>
    <row r="55" spans="1:24" ht="11.25" customHeight="1">
      <c r="A55" s="82" t="s">
        <v>61</v>
      </c>
      <c r="B55" s="83" t="s">
        <v>62</v>
      </c>
      <c r="C55" s="1518">
        <v>9</v>
      </c>
      <c r="D55" s="91" t="s">
        <v>28</v>
      </c>
      <c r="E55" s="1518">
        <v>1</v>
      </c>
      <c r="F55" s="91" t="s">
        <v>28</v>
      </c>
      <c r="G55" s="1518">
        <v>1</v>
      </c>
      <c r="H55" s="91" t="s">
        <v>28</v>
      </c>
      <c r="I55" s="1518">
        <v>7</v>
      </c>
      <c r="J55" s="91" t="s">
        <v>28</v>
      </c>
      <c r="K55" s="1518">
        <v>170</v>
      </c>
      <c r="L55" s="1518">
        <v>91</v>
      </c>
      <c r="M55" s="1518">
        <v>17</v>
      </c>
      <c r="N55" s="1518">
        <v>12</v>
      </c>
      <c r="O55" s="1518">
        <v>429</v>
      </c>
      <c r="P55" s="1518">
        <v>199</v>
      </c>
      <c r="Q55" s="1518">
        <v>444</v>
      </c>
      <c r="R55" s="1518">
        <v>196</v>
      </c>
      <c r="S55" s="1518">
        <v>99</v>
      </c>
      <c r="T55" s="1518">
        <v>57</v>
      </c>
      <c r="U55" s="1518">
        <v>2</v>
      </c>
      <c r="V55" s="1518">
        <v>33</v>
      </c>
      <c r="W55" s="1519">
        <v>1</v>
      </c>
      <c r="X55" s="1519">
        <v>6</v>
      </c>
    </row>
    <row r="56" spans="1:24" ht="11.25" customHeight="1">
      <c r="A56" s="85" t="s">
        <v>29</v>
      </c>
      <c r="B56" s="86" t="s">
        <v>30</v>
      </c>
      <c r="C56" s="1520">
        <v>7</v>
      </c>
      <c r="D56" s="95" t="s">
        <v>28</v>
      </c>
      <c r="E56" s="1520">
        <v>1</v>
      </c>
      <c r="F56" s="95" t="s">
        <v>28</v>
      </c>
      <c r="G56" s="1520">
        <v>1</v>
      </c>
      <c r="H56" s="95" t="s">
        <v>28</v>
      </c>
      <c r="I56" s="1520">
        <v>5</v>
      </c>
      <c r="J56" s="95" t="s">
        <v>28</v>
      </c>
      <c r="K56" s="1520">
        <v>143</v>
      </c>
      <c r="L56" s="1520">
        <v>79</v>
      </c>
      <c r="M56" s="1520">
        <v>11</v>
      </c>
      <c r="N56" s="1520">
        <v>7</v>
      </c>
      <c r="O56" s="1520">
        <v>381</v>
      </c>
      <c r="P56" s="1520">
        <v>187</v>
      </c>
      <c r="Q56" s="1520">
        <v>409</v>
      </c>
      <c r="R56" s="1520">
        <v>187</v>
      </c>
      <c r="S56" s="1520">
        <v>82</v>
      </c>
      <c r="T56" s="1520">
        <v>51</v>
      </c>
      <c r="U56" s="1520" t="s">
        <v>28</v>
      </c>
      <c r="V56" s="1520">
        <v>27</v>
      </c>
      <c r="W56" s="1521">
        <v>1</v>
      </c>
      <c r="X56" s="1521">
        <v>3</v>
      </c>
    </row>
    <row r="57" spans="1:24" ht="11.25" customHeight="1">
      <c r="A57" s="85" t="s">
        <v>31</v>
      </c>
      <c r="B57" s="86" t="s">
        <v>32</v>
      </c>
      <c r="C57" s="1520">
        <v>2</v>
      </c>
      <c r="D57" s="95" t="s">
        <v>28</v>
      </c>
      <c r="E57" s="1520" t="s">
        <v>28</v>
      </c>
      <c r="F57" s="95" t="s">
        <v>28</v>
      </c>
      <c r="G57" s="1520" t="s">
        <v>28</v>
      </c>
      <c r="H57" s="95" t="s">
        <v>28</v>
      </c>
      <c r="I57" s="1520">
        <v>2</v>
      </c>
      <c r="J57" s="95" t="s">
        <v>28</v>
      </c>
      <c r="K57" s="1520">
        <v>27</v>
      </c>
      <c r="L57" s="1520">
        <v>12</v>
      </c>
      <c r="M57" s="1520">
        <v>6</v>
      </c>
      <c r="N57" s="1520">
        <v>5</v>
      </c>
      <c r="O57" s="1520">
        <v>48</v>
      </c>
      <c r="P57" s="1520">
        <v>12</v>
      </c>
      <c r="Q57" s="1520">
        <v>35</v>
      </c>
      <c r="R57" s="1520">
        <v>9</v>
      </c>
      <c r="S57" s="1520">
        <v>17</v>
      </c>
      <c r="T57" s="1520">
        <v>6</v>
      </c>
      <c r="U57" s="1520">
        <v>2</v>
      </c>
      <c r="V57" s="1520">
        <v>6</v>
      </c>
      <c r="W57" s="1521" t="s">
        <v>28</v>
      </c>
      <c r="X57" s="1521">
        <v>3</v>
      </c>
    </row>
    <row r="58" spans="1:24" ht="11.25" customHeight="1">
      <c r="A58" s="82" t="s">
        <v>63</v>
      </c>
      <c r="B58" s="83" t="s">
        <v>64</v>
      </c>
      <c r="C58" s="1518">
        <v>5</v>
      </c>
      <c r="D58" s="91" t="s">
        <v>28</v>
      </c>
      <c r="E58" s="1518" t="s">
        <v>28</v>
      </c>
      <c r="F58" s="91" t="s">
        <v>28</v>
      </c>
      <c r="G58" s="1518" t="s">
        <v>28</v>
      </c>
      <c r="H58" s="91" t="s">
        <v>28</v>
      </c>
      <c r="I58" s="1518">
        <v>5</v>
      </c>
      <c r="J58" s="91" t="s">
        <v>28</v>
      </c>
      <c r="K58" s="1518">
        <v>50</v>
      </c>
      <c r="L58" s="1518">
        <v>32</v>
      </c>
      <c r="M58" s="1518" t="s">
        <v>28</v>
      </c>
      <c r="N58" s="1518" t="s">
        <v>28</v>
      </c>
      <c r="O58" s="1518">
        <v>73</v>
      </c>
      <c r="P58" s="1518">
        <v>38</v>
      </c>
      <c r="Q58" s="1518">
        <v>77</v>
      </c>
      <c r="R58" s="1518">
        <v>33</v>
      </c>
      <c r="S58" s="1518">
        <v>15</v>
      </c>
      <c r="T58" s="1518">
        <v>9</v>
      </c>
      <c r="U58" s="1518" t="s">
        <v>28</v>
      </c>
      <c r="V58" s="1518">
        <v>5</v>
      </c>
      <c r="W58" s="1519" t="s">
        <v>28</v>
      </c>
      <c r="X58" s="1519">
        <v>1</v>
      </c>
    </row>
    <row r="59" spans="1:24" ht="11.25" customHeight="1">
      <c r="A59" s="85" t="s">
        <v>29</v>
      </c>
      <c r="B59" s="86" t="s">
        <v>30</v>
      </c>
      <c r="C59" s="1520">
        <v>5</v>
      </c>
      <c r="D59" s="95" t="s">
        <v>28</v>
      </c>
      <c r="E59" s="1520" t="s">
        <v>28</v>
      </c>
      <c r="F59" s="95" t="s">
        <v>28</v>
      </c>
      <c r="G59" s="1520" t="s">
        <v>28</v>
      </c>
      <c r="H59" s="95" t="s">
        <v>28</v>
      </c>
      <c r="I59" s="1520">
        <v>5</v>
      </c>
      <c r="J59" s="95" t="s">
        <v>28</v>
      </c>
      <c r="K59" s="1520">
        <v>50</v>
      </c>
      <c r="L59" s="1520">
        <v>32</v>
      </c>
      <c r="M59" s="1520" t="s">
        <v>28</v>
      </c>
      <c r="N59" s="1520" t="s">
        <v>28</v>
      </c>
      <c r="O59" s="1520">
        <v>73</v>
      </c>
      <c r="P59" s="1520">
        <v>38</v>
      </c>
      <c r="Q59" s="1520">
        <v>77</v>
      </c>
      <c r="R59" s="1520">
        <v>33</v>
      </c>
      <c r="S59" s="1520">
        <v>15</v>
      </c>
      <c r="T59" s="1520">
        <v>9</v>
      </c>
      <c r="U59" s="1520" t="s">
        <v>28</v>
      </c>
      <c r="V59" s="1520">
        <v>5</v>
      </c>
      <c r="W59" s="1521" t="s">
        <v>28</v>
      </c>
      <c r="X59" s="1521">
        <v>1</v>
      </c>
    </row>
    <row r="60" spans="1:24" ht="11.25" customHeight="1" thickBot="1">
      <c r="A60" s="1512" t="s">
        <v>31</v>
      </c>
      <c r="B60" s="1513" t="s">
        <v>32</v>
      </c>
      <c r="C60" s="1523" t="s">
        <v>28</v>
      </c>
      <c r="D60" s="1516" t="s">
        <v>28</v>
      </c>
      <c r="E60" s="1523" t="s">
        <v>28</v>
      </c>
      <c r="F60" s="1516" t="s">
        <v>28</v>
      </c>
      <c r="G60" s="1523" t="s">
        <v>28</v>
      </c>
      <c r="H60" s="1516" t="s">
        <v>28</v>
      </c>
      <c r="I60" s="1523" t="s">
        <v>28</v>
      </c>
      <c r="J60" s="1516" t="s">
        <v>28</v>
      </c>
      <c r="K60" s="1523" t="s">
        <v>28</v>
      </c>
      <c r="L60" s="1523" t="s">
        <v>28</v>
      </c>
      <c r="M60" s="1523" t="s">
        <v>28</v>
      </c>
      <c r="N60" s="1523" t="s">
        <v>28</v>
      </c>
      <c r="O60" s="1523" t="s">
        <v>28</v>
      </c>
      <c r="P60" s="1523" t="s">
        <v>28</v>
      </c>
      <c r="Q60" s="1523" t="s">
        <v>28</v>
      </c>
      <c r="R60" s="1523" t="s">
        <v>28</v>
      </c>
      <c r="S60" s="1523" t="s">
        <v>28</v>
      </c>
      <c r="T60" s="1523" t="s">
        <v>28</v>
      </c>
      <c r="U60" s="1523" t="s">
        <v>28</v>
      </c>
      <c r="V60" s="1523" t="s">
        <v>28</v>
      </c>
      <c r="W60" s="1524" t="s">
        <v>28</v>
      </c>
      <c r="X60" s="1524" t="s">
        <v>28</v>
      </c>
    </row>
    <row r="61" spans="1:24">
      <c r="A61" s="1032"/>
      <c r="B61" s="1032"/>
      <c r="C61" s="1032"/>
      <c r="D61" s="1032"/>
      <c r="E61" s="1032"/>
      <c r="F61" s="1032"/>
      <c r="G61" s="1032"/>
      <c r="H61" s="1032"/>
      <c r="I61" s="1032"/>
      <c r="J61" s="1032"/>
      <c r="K61" s="1032"/>
      <c r="L61" s="1032"/>
      <c r="M61" s="1032"/>
      <c r="N61" s="1033"/>
      <c r="O61" s="1033"/>
      <c r="P61" s="1033"/>
      <c r="Q61" s="1033"/>
      <c r="R61" s="1033"/>
      <c r="S61" s="1033"/>
      <c r="T61" s="1033"/>
      <c r="U61" s="1033"/>
      <c r="V61" s="1033"/>
      <c r="W61" s="1033"/>
    </row>
  </sheetData>
  <mergeCells count="50">
    <mergeCell ref="M2:X2"/>
    <mergeCell ref="M3:X3"/>
    <mergeCell ref="S5:X5"/>
    <mergeCell ref="S6:X6"/>
    <mergeCell ref="S7:X7"/>
    <mergeCell ref="M61:W61"/>
    <mergeCell ref="A61:L61"/>
    <mergeCell ref="A30:L30"/>
    <mergeCell ref="A14:L14"/>
    <mergeCell ref="M14:X14"/>
    <mergeCell ref="M30:X30"/>
    <mergeCell ref="A3:L3"/>
    <mergeCell ref="A2:L2"/>
    <mergeCell ref="A10:B10"/>
    <mergeCell ref="C10:D10"/>
    <mergeCell ref="E10:F10"/>
    <mergeCell ref="G10:H10"/>
    <mergeCell ref="I10:J10"/>
    <mergeCell ref="A9:B9"/>
    <mergeCell ref="C9:D9"/>
    <mergeCell ref="E9:F9"/>
    <mergeCell ref="G9:H9"/>
    <mergeCell ref="I9:J9"/>
    <mergeCell ref="O7:P7"/>
    <mergeCell ref="Q7:R7"/>
    <mergeCell ref="A8:B8"/>
    <mergeCell ref="C8:D8"/>
    <mergeCell ref="E8:J8"/>
    <mergeCell ref="K8:L8"/>
    <mergeCell ref="M8:N8"/>
    <mergeCell ref="O8:P8"/>
    <mergeCell ref="Q8:R8"/>
    <mergeCell ref="A7:B7"/>
    <mergeCell ref="C7:D7"/>
    <mergeCell ref="E7:J7"/>
    <mergeCell ref="K7:L7"/>
    <mergeCell ref="M7:N7"/>
    <mergeCell ref="S8:X8"/>
    <mergeCell ref="A6:B6"/>
    <mergeCell ref="C6:J6"/>
    <mergeCell ref="O6:P6"/>
    <mergeCell ref="Q6:R6"/>
    <mergeCell ref="M5:N5"/>
    <mergeCell ref="M6:N6"/>
    <mergeCell ref="K5:L5"/>
    <mergeCell ref="K6:L6"/>
    <mergeCell ref="A5:B5"/>
    <mergeCell ref="C5:J5"/>
    <mergeCell ref="O5:P5"/>
    <mergeCell ref="Q5:R5"/>
  </mergeCells>
  <phoneticPr fontId="4" type="noConversion"/>
  <hyperlinks>
    <hyperlink ref="A1" location="목록!A1" display="목록!A1" xr:uid="{48095087-852F-482B-95DF-3C1F7DBAAB6C}"/>
  </hyperlinks>
  <printOptions horizontalCentered="1"/>
  <pageMargins left="0.59055118110236227" right="0.59055118110236227" top="0.78740157480314965" bottom="1.2254901960784314E-2" header="0.62992125984251968" footer="0.39370078740157483"/>
  <pageSetup paperSize="9" orientation="portrait" r:id="rId1"/>
  <rowBreaks count="1" manualBreakCount="1">
    <brk id="60" max="22" man="1"/>
  </rowBreaks>
  <colBreaks count="1" manualBreakCount="1">
    <brk id="12" min="1" max="59"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61"/>
  <sheetViews>
    <sheetView showGridLines="0" showWhiteSpace="0" view="pageBreakPreview" zoomScaleNormal="100" zoomScaleSheetLayoutView="100" zoomScalePageLayoutView="115" workbookViewId="0">
      <selection activeCell="A2" sqref="A2:O60"/>
    </sheetView>
  </sheetViews>
  <sheetFormatPr defaultRowHeight="16.5"/>
  <cols>
    <col min="1" max="1" width="6.33203125" style="104" customWidth="1"/>
    <col min="2" max="2" width="13.33203125" style="105" customWidth="1"/>
    <col min="3" max="7" width="11" style="106" customWidth="1"/>
    <col min="8" max="15" width="8.77734375" style="106" customWidth="1"/>
    <col min="16" max="16384" width="8.88671875" style="114"/>
  </cols>
  <sheetData>
    <row r="1" spans="1:20" ht="22.5">
      <c r="A1" s="901" t="s">
        <v>1332</v>
      </c>
      <c r="B1" s="358"/>
      <c r="C1" s="359"/>
      <c r="D1" s="359"/>
      <c r="E1" s="359"/>
      <c r="F1" s="359"/>
      <c r="G1" s="359"/>
      <c r="H1" s="359"/>
      <c r="I1" s="359"/>
      <c r="J1" s="359"/>
      <c r="K1" s="359"/>
      <c r="L1" s="359"/>
      <c r="M1" s="359"/>
      <c r="N1" s="359"/>
      <c r="O1" s="359"/>
    </row>
    <row r="2" spans="1:20" s="112" customFormat="1" ht="13.5" customHeight="1">
      <c r="A2" s="1035" t="s">
        <v>953</v>
      </c>
      <c r="B2" s="1035"/>
      <c r="C2" s="1035"/>
      <c r="D2" s="1035"/>
      <c r="E2" s="1035"/>
      <c r="F2" s="1035"/>
      <c r="G2" s="1035"/>
      <c r="H2" s="1036" t="s">
        <v>954</v>
      </c>
      <c r="I2" s="1036"/>
      <c r="J2" s="1036"/>
      <c r="K2" s="1036"/>
      <c r="L2" s="1036"/>
      <c r="M2" s="1036"/>
      <c r="N2" s="1036"/>
      <c r="O2" s="1036"/>
    </row>
    <row r="3" spans="1:20" ht="22.5" customHeight="1">
      <c r="A3" s="1037" t="s">
        <v>65</v>
      </c>
      <c r="B3" s="1037"/>
      <c r="C3" s="1037"/>
      <c r="D3" s="1037"/>
      <c r="E3" s="1037"/>
      <c r="F3" s="1037"/>
      <c r="G3" s="1037"/>
      <c r="H3" s="1037" t="s">
        <v>66</v>
      </c>
      <c r="I3" s="1037"/>
      <c r="J3" s="1037"/>
      <c r="K3" s="1037"/>
      <c r="L3" s="1037"/>
      <c r="M3" s="1037"/>
      <c r="N3" s="1037"/>
      <c r="O3" s="1037"/>
      <c r="P3" s="113"/>
      <c r="Q3" s="113"/>
      <c r="R3" s="113"/>
      <c r="S3" s="113"/>
      <c r="T3" s="113"/>
    </row>
    <row r="4" spans="1:20" ht="13.5" customHeight="1" thickBot="1">
      <c r="A4" s="1525"/>
      <c r="B4" s="1525"/>
      <c r="C4" s="1525"/>
      <c r="D4" s="1525"/>
      <c r="E4" s="1525"/>
      <c r="F4" s="1525"/>
      <c r="G4" s="1525"/>
      <c r="H4" s="1526"/>
      <c r="I4" s="1526"/>
      <c r="J4" s="1526"/>
      <c r="K4" s="1526"/>
      <c r="L4" s="1526"/>
      <c r="M4" s="1526"/>
      <c r="N4" s="1526"/>
      <c r="O4" s="1526"/>
    </row>
    <row r="5" spans="1:20" ht="12" customHeight="1">
      <c r="A5" s="1381" t="s">
        <v>2</v>
      </c>
      <c r="B5" s="1014"/>
      <c r="C5" s="1004" t="s">
        <v>67</v>
      </c>
      <c r="D5" s="1004"/>
      <c r="E5" s="1004"/>
      <c r="F5" s="1004"/>
      <c r="G5" s="1015"/>
      <c r="H5" s="1038" t="s">
        <v>351</v>
      </c>
      <c r="I5" s="1038"/>
      <c r="J5" s="1038"/>
      <c r="K5" s="1038"/>
      <c r="L5" s="1038"/>
      <c r="M5" s="1038"/>
      <c r="N5" s="1038"/>
      <c r="O5" s="1003"/>
    </row>
    <row r="6" spans="1:20" ht="10.5" customHeight="1">
      <c r="A6" s="1005" t="s">
        <v>7</v>
      </c>
      <c r="B6" s="1006"/>
      <c r="C6" s="1005" t="s">
        <v>69</v>
      </c>
      <c r="D6" s="1039"/>
      <c r="E6" s="1039"/>
      <c r="F6" s="1039"/>
      <c r="G6" s="1010"/>
      <c r="H6" s="1019" t="s">
        <v>70</v>
      </c>
      <c r="I6" s="1019"/>
      <c r="J6" s="1019"/>
      <c r="K6" s="1019"/>
      <c r="L6" s="1019"/>
      <c r="M6" s="1019"/>
      <c r="N6" s="1019"/>
      <c r="O6" s="1013"/>
    </row>
    <row r="7" spans="1:20" ht="12" customHeight="1">
      <c r="A7" s="1017"/>
      <c r="B7" s="1018"/>
      <c r="C7" s="1017"/>
      <c r="D7" s="1040"/>
      <c r="E7" s="1040"/>
      <c r="F7" s="1040"/>
      <c r="G7" s="1031"/>
      <c r="H7" s="1026" t="s">
        <v>699</v>
      </c>
      <c r="I7" s="1026"/>
      <c r="J7" s="1026" t="s">
        <v>72</v>
      </c>
      <c r="K7" s="1026"/>
      <c r="L7" s="1026" t="s">
        <v>73</v>
      </c>
      <c r="M7" s="1026"/>
      <c r="N7" s="1026" t="s">
        <v>74</v>
      </c>
      <c r="O7" s="1025"/>
    </row>
    <row r="8" spans="1:20" ht="10.5" customHeight="1">
      <c r="A8" s="1017"/>
      <c r="B8" s="1018"/>
      <c r="C8" s="1022"/>
      <c r="D8" s="1022"/>
      <c r="E8" s="1022"/>
      <c r="F8" s="1022"/>
      <c r="G8" s="1021"/>
      <c r="H8" s="1019" t="s">
        <v>16</v>
      </c>
      <c r="I8" s="1019"/>
      <c r="J8" s="1019" t="s">
        <v>75</v>
      </c>
      <c r="K8" s="1019"/>
      <c r="L8" s="1019" t="s">
        <v>76</v>
      </c>
      <c r="M8" s="1019"/>
      <c r="N8" s="1019" t="s">
        <v>77</v>
      </c>
      <c r="O8" s="1013"/>
    </row>
    <row r="9" spans="1:20" ht="12" customHeight="1">
      <c r="A9" s="1017"/>
      <c r="B9" s="1018"/>
      <c r="C9" s="917" t="s">
        <v>13</v>
      </c>
      <c r="D9" s="917" t="s">
        <v>72</v>
      </c>
      <c r="E9" s="917" t="s">
        <v>73</v>
      </c>
      <c r="F9" s="917" t="s">
        <v>74</v>
      </c>
      <c r="G9" s="917" t="s">
        <v>352</v>
      </c>
      <c r="H9" s="918" t="s">
        <v>13</v>
      </c>
      <c r="I9" s="918" t="s">
        <v>23</v>
      </c>
      <c r="J9" s="918" t="s">
        <v>13</v>
      </c>
      <c r="K9" s="918" t="s">
        <v>23</v>
      </c>
      <c r="L9" s="918" t="s">
        <v>354</v>
      </c>
      <c r="M9" s="918" t="s">
        <v>23</v>
      </c>
      <c r="N9" s="918" t="s">
        <v>13</v>
      </c>
      <c r="O9" s="913" t="s">
        <v>23</v>
      </c>
    </row>
    <row r="10" spans="1:20" ht="10.5" customHeight="1">
      <c r="A10" s="1042"/>
      <c r="B10" s="1043"/>
      <c r="C10" s="116" t="s">
        <v>16</v>
      </c>
      <c r="D10" s="116" t="s">
        <v>75</v>
      </c>
      <c r="E10" s="116" t="s">
        <v>76</v>
      </c>
      <c r="F10" s="116" t="s">
        <v>77</v>
      </c>
      <c r="G10" s="116" t="s">
        <v>353</v>
      </c>
      <c r="H10" s="117" t="s">
        <v>25</v>
      </c>
      <c r="I10" s="117" t="s">
        <v>26</v>
      </c>
      <c r="J10" s="117" t="s">
        <v>25</v>
      </c>
      <c r="K10" s="117" t="s">
        <v>26</v>
      </c>
      <c r="L10" s="117" t="s">
        <v>25</v>
      </c>
      <c r="M10" s="117" t="s">
        <v>26</v>
      </c>
      <c r="N10" s="117" t="s">
        <v>25</v>
      </c>
      <c r="O10" s="118" t="s">
        <v>26</v>
      </c>
    </row>
    <row r="11" spans="1:20" ht="12" customHeight="1">
      <c r="A11" s="82" t="s">
        <v>27</v>
      </c>
      <c r="B11" s="119" t="s">
        <v>16</v>
      </c>
      <c r="C11" s="91">
        <v>3141</v>
      </c>
      <c r="D11" s="91">
        <v>1000</v>
      </c>
      <c r="E11" s="91">
        <v>986</v>
      </c>
      <c r="F11" s="91">
        <v>975</v>
      </c>
      <c r="G11" s="91">
        <v>180</v>
      </c>
      <c r="H11" s="92">
        <v>82623</v>
      </c>
      <c r="I11" s="92">
        <v>40212</v>
      </c>
      <c r="J11" s="92">
        <v>28110</v>
      </c>
      <c r="K11" s="92">
        <v>13659</v>
      </c>
      <c r="L11" s="92">
        <v>27662</v>
      </c>
      <c r="M11" s="92">
        <v>13457</v>
      </c>
      <c r="N11" s="92">
        <v>26851</v>
      </c>
      <c r="O11" s="98">
        <v>13096</v>
      </c>
    </row>
    <row r="12" spans="1:20" ht="12" customHeight="1">
      <c r="A12" s="85" t="s">
        <v>29</v>
      </c>
      <c r="B12" s="120" t="s">
        <v>30</v>
      </c>
      <c r="C12" s="95">
        <v>2991</v>
      </c>
      <c r="D12" s="95">
        <v>951</v>
      </c>
      <c r="E12" s="95">
        <v>936</v>
      </c>
      <c r="F12" s="95">
        <v>925</v>
      </c>
      <c r="G12" s="95">
        <v>179</v>
      </c>
      <c r="H12" s="96">
        <v>78903</v>
      </c>
      <c r="I12" s="96">
        <v>39163</v>
      </c>
      <c r="J12" s="96">
        <v>26809</v>
      </c>
      <c r="K12" s="96">
        <v>13273</v>
      </c>
      <c r="L12" s="96">
        <v>26441</v>
      </c>
      <c r="M12" s="96">
        <v>13108</v>
      </c>
      <c r="N12" s="96">
        <v>25653</v>
      </c>
      <c r="O12" s="97">
        <v>12782</v>
      </c>
    </row>
    <row r="13" spans="1:20" ht="12" customHeight="1" thickBot="1">
      <c r="A13" s="1512" t="s">
        <v>31</v>
      </c>
      <c r="B13" s="1527" t="s">
        <v>32</v>
      </c>
      <c r="C13" s="1516">
        <v>150</v>
      </c>
      <c r="D13" s="1516">
        <v>49</v>
      </c>
      <c r="E13" s="1516">
        <v>50</v>
      </c>
      <c r="F13" s="1516">
        <v>50</v>
      </c>
      <c r="G13" s="1516">
        <v>1</v>
      </c>
      <c r="H13" s="100">
        <v>3720</v>
      </c>
      <c r="I13" s="100">
        <v>1049</v>
      </c>
      <c r="J13" s="100">
        <v>1301</v>
      </c>
      <c r="K13" s="100">
        <v>386</v>
      </c>
      <c r="L13" s="100">
        <v>1221</v>
      </c>
      <c r="M13" s="100">
        <v>349</v>
      </c>
      <c r="N13" s="100">
        <v>1198</v>
      </c>
      <c r="O13" s="610">
        <v>314</v>
      </c>
    </row>
    <row r="14" spans="1:20" s="115" customFormat="1" ht="12.6" customHeight="1" thickBot="1">
      <c r="A14" s="1528" t="s">
        <v>78</v>
      </c>
      <c r="B14" s="1528"/>
      <c r="C14" s="1528"/>
      <c r="D14" s="1528"/>
      <c r="E14" s="1528"/>
      <c r="F14" s="1528"/>
      <c r="G14" s="1528"/>
      <c r="H14" s="1528" t="s">
        <v>79</v>
      </c>
      <c r="I14" s="1528"/>
      <c r="J14" s="1528"/>
      <c r="K14" s="1528"/>
      <c r="L14" s="1528"/>
      <c r="M14" s="1528"/>
      <c r="N14" s="1528"/>
      <c r="O14" s="1528"/>
    </row>
    <row r="15" spans="1:20" ht="12" customHeight="1">
      <c r="A15" s="89" t="s">
        <v>35</v>
      </c>
      <c r="B15" s="121" t="s">
        <v>36</v>
      </c>
      <c r="C15" s="91">
        <v>605</v>
      </c>
      <c r="D15" s="91">
        <v>195</v>
      </c>
      <c r="E15" s="91">
        <v>188</v>
      </c>
      <c r="F15" s="91">
        <v>182</v>
      </c>
      <c r="G15" s="91">
        <v>40</v>
      </c>
      <c r="H15" s="92">
        <v>15140</v>
      </c>
      <c r="I15" s="92">
        <v>7415</v>
      </c>
      <c r="J15" s="92">
        <v>5173</v>
      </c>
      <c r="K15" s="92">
        <v>2547</v>
      </c>
      <c r="L15" s="92">
        <v>5090</v>
      </c>
      <c r="M15" s="92">
        <v>2470</v>
      </c>
      <c r="N15" s="92">
        <v>4877</v>
      </c>
      <c r="O15" s="98">
        <v>2398</v>
      </c>
    </row>
    <row r="16" spans="1:20" ht="12" customHeight="1">
      <c r="A16" s="94" t="s">
        <v>29</v>
      </c>
      <c r="B16" s="120" t="s">
        <v>30</v>
      </c>
      <c r="C16" s="95">
        <v>498</v>
      </c>
      <c r="D16" s="95">
        <v>160</v>
      </c>
      <c r="E16" s="95">
        <v>152</v>
      </c>
      <c r="F16" s="95">
        <v>146</v>
      </c>
      <c r="G16" s="95">
        <v>40</v>
      </c>
      <c r="H16" s="96">
        <v>12643</v>
      </c>
      <c r="I16" s="95">
        <v>7100</v>
      </c>
      <c r="J16" s="95">
        <v>4323</v>
      </c>
      <c r="K16" s="95">
        <v>2432</v>
      </c>
      <c r="L16" s="95">
        <v>4260</v>
      </c>
      <c r="M16" s="95">
        <v>2365</v>
      </c>
      <c r="N16" s="95">
        <v>4060</v>
      </c>
      <c r="O16" s="97">
        <v>2303</v>
      </c>
    </row>
    <row r="17" spans="1:15" ht="12" customHeight="1">
      <c r="A17" s="94" t="s">
        <v>31</v>
      </c>
      <c r="B17" s="120" t="s">
        <v>32</v>
      </c>
      <c r="C17" s="95">
        <v>107</v>
      </c>
      <c r="D17" s="95">
        <v>35</v>
      </c>
      <c r="E17" s="95">
        <v>36</v>
      </c>
      <c r="F17" s="95">
        <v>36</v>
      </c>
      <c r="G17" s="95" t="s">
        <v>28</v>
      </c>
      <c r="H17" s="96">
        <v>2497</v>
      </c>
      <c r="I17" s="95">
        <v>315</v>
      </c>
      <c r="J17" s="95">
        <v>850</v>
      </c>
      <c r="K17" s="95">
        <v>115</v>
      </c>
      <c r="L17" s="95">
        <v>830</v>
      </c>
      <c r="M17" s="95">
        <v>105</v>
      </c>
      <c r="N17" s="95">
        <v>817</v>
      </c>
      <c r="O17" s="97">
        <v>95</v>
      </c>
    </row>
    <row r="18" spans="1:15" ht="12" customHeight="1">
      <c r="A18" s="89" t="s">
        <v>37</v>
      </c>
      <c r="B18" s="119" t="s">
        <v>38</v>
      </c>
      <c r="C18" s="91">
        <v>726</v>
      </c>
      <c r="D18" s="91">
        <v>226</v>
      </c>
      <c r="E18" s="91">
        <v>224</v>
      </c>
      <c r="F18" s="91">
        <v>230</v>
      </c>
      <c r="G18" s="91">
        <v>46</v>
      </c>
      <c r="H18" s="92">
        <v>17718</v>
      </c>
      <c r="I18" s="91">
        <v>8621</v>
      </c>
      <c r="J18" s="91">
        <v>5863</v>
      </c>
      <c r="K18" s="91">
        <v>2868</v>
      </c>
      <c r="L18" s="91">
        <v>5928</v>
      </c>
      <c r="M18" s="91">
        <v>2838</v>
      </c>
      <c r="N18" s="91">
        <v>5927</v>
      </c>
      <c r="O18" s="98">
        <v>2915</v>
      </c>
    </row>
    <row r="19" spans="1:15" ht="12" customHeight="1">
      <c r="A19" s="94" t="s">
        <v>29</v>
      </c>
      <c r="B19" s="120" t="s">
        <v>30</v>
      </c>
      <c r="C19" s="95">
        <v>726</v>
      </c>
      <c r="D19" s="95">
        <v>226</v>
      </c>
      <c r="E19" s="95">
        <v>224</v>
      </c>
      <c r="F19" s="95">
        <v>230</v>
      </c>
      <c r="G19" s="95">
        <v>46</v>
      </c>
      <c r="H19" s="96">
        <v>17718</v>
      </c>
      <c r="I19" s="95">
        <v>8621</v>
      </c>
      <c r="J19" s="95">
        <v>5863</v>
      </c>
      <c r="K19" s="95">
        <v>2868</v>
      </c>
      <c r="L19" s="95">
        <v>5928</v>
      </c>
      <c r="M19" s="95">
        <v>2838</v>
      </c>
      <c r="N19" s="95">
        <v>5927</v>
      </c>
      <c r="O19" s="97">
        <v>2915</v>
      </c>
    </row>
    <row r="20" spans="1:15" ht="12" customHeight="1">
      <c r="A20" s="94" t="s">
        <v>31</v>
      </c>
      <c r="B20" s="120" t="s">
        <v>32</v>
      </c>
      <c r="C20" s="95" t="s">
        <v>28</v>
      </c>
      <c r="D20" s="95" t="s">
        <v>28</v>
      </c>
      <c r="E20" s="95" t="s">
        <v>28</v>
      </c>
      <c r="F20" s="95" t="s">
        <v>28</v>
      </c>
      <c r="G20" s="95" t="s">
        <v>28</v>
      </c>
      <c r="H20" s="96" t="s">
        <v>28</v>
      </c>
      <c r="I20" s="95" t="s">
        <v>28</v>
      </c>
      <c r="J20" s="95" t="s">
        <v>28</v>
      </c>
      <c r="K20" s="95" t="s">
        <v>28</v>
      </c>
      <c r="L20" s="95" t="s">
        <v>28</v>
      </c>
      <c r="M20" s="95" t="s">
        <v>28</v>
      </c>
      <c r="N20" s="95" t="s">
        <v>28</v>
      </c>
      <c r="O20" s="97" t="s">
        <v>28</v>
      </c>
    </row>
    <row r="21" spans="1:15" ht="12" customHeight="1">
      <c r="A21" s="89" t="s">
        <v>39</v>
      </c>
      <c r="B21" s="119" t="s">
        <v>40</v>
      </c>
      <c r="C21" s="91">
        <v>1026</v>
      </c>
      <c r="D21" s="91">
        <v>326</v>
      </c>
      <c r="E21" s="91">
        <v>323</v>
      </c>
      <c r="F21" s="91">
        <v>325</v>
      </c>
      <c r="G21" s="91">
        <v>52</v>
      </c>
      <c r="H21" s="92">
        <v>28573</v>
      </c>
      <c r="I21" s="92">
        <v>13892</v>
      </c>
      <c r="J21" s="92">
        <v>9778</v>
      </c>
      <c r="K21" s="92">
        <v>4758</v>
      </c>
      <c r="L21" s="92">
        <v>9490</v>
      </c>
      <c r="M21" s="92">
        <v>4629</v>
      </c>
      <c r="N21" s="92">
        <v>9305</v>
      </c>
      <c r="O21" s="98">
        <v>4505</v>
      </c>
    </row>
    <row r="22" spans="1:15" ht="12" customHeight="1">
      <c r="A22" s="94" t="s">
        <v>29</v>
      </c>
      <c r="B22" s="120" t="s">
        <v>30</v>
      </c>
      <c r="C22" s="95">
        <v>989</v>
      </c>
      <c r="D22" s="95">
        <v>314</v>
      </c>
      <c r="E22" s="95">
        <v>311</v>
      </c>
      <c r="F22" s="95">
        <v>313</v>
      </c>
      <c r="G22" s="95">
        <v>51</v>
      </c>
      <c r="H22" s="96">
        <v>27490</v>
      </c>
      <c r="I22" s="95">
        <v>13200</v>
      </c>
      <c r="J22" s="95">
        <v>9375</v>
      </c>
      <c r="K22" s="95">
        <v>4499</v>
      </c>
      <c r="L22" s="95">
        <v>9145</v>
      </c>
      <c r="M22" s="95">
        <v>4397</v>
      </c>
      <c r="N22" s="95">
        <v>8970</v>
      </c>
      <c r="O22" s="97">
        <v>4304</v>
      </c>
    </row>
    <row r="23" spans="1:15" ht="12" customHeight="1">
      <c r="A23" s="94" t="s">
        <v>31</v>
      </c>
      <c r="B23" s="120" t="s">
        <v>32</v>
      </c>
      <c r="C23" s="95">
        <v>37</v>
      </c>
      <c r="D23" s="95">
        <v>12</v>
      </c>
      <c r="E23" s="95">
        <v>12</v>
      </c>
      <c r="F23" s="95">
        <v>12</v>
      </c>
      <c r="G23" s="95">
        <v>1</v>
      </c>
      <c r="H23" s="96">
        <v>1083</v>
      </c>
      <c r="I23" s="95">
        <v>692</v>
      </c>
      <c r="J23" s="95">
        <v>403</v>
      </c>
      <c r="K23" s="95">
        <v>259</v>
      </c>
      <c r="L23" s="95">
        <v>345</v>
      </c>
      <c r="M23" s="95">
        <v>232</v>
      </c>
      <c r="N23" s="95">
        <v>335</v>
      </c>
      <c r="O23" s="97">
        <v>201</v>
      </c>
    </row>
    <row r="24" spans="1:15" ht="12" customHeight="1">
      <c r="A24" s="89" t="s">
        <v>41</v>
      </c>
      <c r="B24" s="119" t="s">
        <v>42</v>
      </c>
      <c r="C24" s="91">
        <v>716</v>
      </c>
      <c r="D24" s="91">
        <v>233</v>
      </c>
      <c r="E24" s="91">
        <v>231</v>
      </c>
      <c r="F24" s="91">
        <v>219</v>
      </c>
      <c r="G24" s="91">
        <v>33</v>
      </c>
      <c r="H24" s="92">
        <v>19902</v>
      </c>
      <c r="I24" s="92">
        <v>9681</v>
      </c>
      <c r="J24" s="92">
        <v>6867</v>
      </c>
      <c r="K24" s="92">
        <v>3288</v>
      </c>
      <c r="L24" s="92">
        <v>6730</v>
      </c>
      <c r="M24" s="92">
        <v>3328</v>
      </c>
      <c r="N24" s="92">
        <v>6305</v>
      </c>
      <c r="O24" s="98">
        <v>3065</v>
      </c>
    </row>
    <row r="25" spans="1:15" ht="12" customHeight="1">
      <c r="A25" s="94" t="s">
        <v>29</v>
      </c>
      <c r="B25" s="120" t="s">
        <v>30</v>
      </c>
      <c r="C25" s="95">
        <v>716</v>
      </c>
      <c r="D25" s="95">
        <v>233</v>
      </c>
      <c r="E25" s="95">
        <v>231</v>
      </c>
      <c r="F25" s="95">
        <v>219</v>
      </c>
      <c r="G25" s="95">
        <v>33</v>
      </c>
      <c r="H25" s="96">
        <v>19902</v>
      </c>
      <c r="I25" s="95">
        <v>9681</v>
      </c>
      <c r="J25" s="95">
        <v>6867</v>
      </c>
      <c r="K25" s="95">
        <v>3288</v>
      </c>
      <c r="L25" s="95">
        <v>6730</v>
      </c>
      <c r="M25" s="95">
        <v>3328</v>
      </c>
      <c r="N25" s="95">
        <v>6305</v>
      </c>
      <c r="O25" s="97">
        <v>3065</v>
      </c>
    </row>
    <row r="26" spans="1:15" ht="12" customHeight="1">
      <c r="A26" s="94" t="s">
        <v>31</v>
      </c>
      <c r="B26" s="120" t="s">
        <v>32</v>
      </c>
      <c r="C26" s="95" t="s">
        <v>28</v>
      </c>
      <c r="D26" s="95" t="s">
        <v>28</v>
      </c>
      <c r="E26" s="95" t="s">
        <v>28</v>
      </c>
      <c r="F26" s="95" t="s">
        <v>28</v>
      </c>
      <c r="G26" s="95" t="s">
        <v>28</v>
      </c>
      <c r="H26" s="96" t="s">
        <v>28</v>
      </c>
      <c r="I26" s="95" t="s">
        <v>28</v>
      </c>
      <c r="J26" s="95" t="s">
        <v>28</v>
      </c>
      <c r="K26" s="95" t="s">
        <v>28</v>
      </c>
      <c r="L26" s="95" t="s">
        <v>28</v>
      </c>
      <c r="M26" s="95" t="s">
        <v>28</v>
      </c>
      <c r="N26" s="95" t="s">
        <v>28</v>
      </c>
      <c r="O26" s="97" t="s">
        <v>28</v>
      </c>
    </row>
    <row r="27" spans="1:15" ht="12" customHeight="1">
      <c r="A27" s="89" t="s">
        <v>43</v>
      </c>
      <c r="B27" s="119" t="s">
        <v>44</v>
      </c>
      <c r="C27" s="91">
        <v>68</v>
      </c>
      <c r="D27" s="91">
        <v>20</v>
      </c>
      <c r="E27" s="91">
        <v>20</v>
      </c>
      <c r="F27" s="91">
        <v>19</v>
      </c>
      <c r="G27" s="91">
        <v>9</v>
      </c>
      <c r="H27" s="92">
        <v>1290</v>
      </c>
      <c r="I27" s="91">
        <v>603</v>
      </c>
      <c r="J27" s="91">
        <v>429</v>
      </c>
      <c r="K27" s="91">
        <v>198</v>
      </c>
      <c r="L27" s="91">
        <v>424</v>
      </c>
      <c r="M27" s="91">
        <v>192</v>
      </c>
      <c r="N27" s="91">
        <v>437</v>
      </c>
      <c r="O27" s="98">
        <v>213</v>
      </c>
    </row>
    <row r="28" spans="1:15" ht="12" customHeight="1">
      <c r="A28" s="94" t="s">
        <v>29</v>
      </c>
      <c r="B28" s="120" t="s">
        <v>30</v>
      </c>
      <c r="C28" s="95">
        <v>62</v>
      </c>
      <c r="D28" s="95">
        <v>18</v>
      </c>
      <c r="E28" s="95">
        <v>18</v>
      </c>
      <c r="F28" s="95">
        <v>17</v>
      </c>
      <c r="G28" s="95">
        <v>9</v>
      </c>
      <c r="H28" s="96">
        <v>1150</v>
      </c>
      <c r="I28" s="95">
        <v>561</v>
      </c>
      <c r="J28" s="95">
        <v>381</v>
      </c>
      <c r="K28" s="95">
        <v>186</v>
      </c>
      <c r="L28" s="95">
        <v>378</v>
      </c>
      <c r="M28" s="95">
        <v>180</v>
      </c>
      <c r="N28" s="95">
        <v>391</v>
      </c>
      <c r="O28" s="97">
        <v>195</v>
      </c>
    </row>
    <row r="29" spans="1:15" ht="12" customHeight="1" thickBot="1">
      <c r="A29" s="1512" t="s">
        <v>31</v>
      </c>
      <c r="B29" s="1527" t="s">
        <v>32</v>
      </c>
      <c r="C29" s="1516">
        <v>6</v>
      </c>
      <c r="D29" s="1516">
        <v>2</v>
      </c>
      <c r="E29" s="1516">
        <v>2</v>
      </c>
      <c r="F29" s="1516">
        <v>2</v>
      </c>
      <c r="G29" s="1516" t="s">
        <v>28</v>
      </c>
      <c r="H29" s="100">
        <v>140</v>
      </c>
      <c r="I29" s="1516">
        <v>42</v>
      </c>
      <c r="J29" s="1516">
        <v>48</v>
      </c>
      <c r="K29" s="1516">
        <v>12</v>
      </c>
      <c r="L29" s="1516">
        <v>46</v>
      </c>
      <c r="M29" s="1516">
        <v>12</v>
      </c>
      <c r="N29" s="1516">
        <v>46</v>
      </c>
      <c r="O29" s="610">
        <v>18</v>
      </c>
    </row>
    <row r="30" spans="1:15" s="115" customFormat="1" ht="12.6" customHeight="1" thickBot="1">
      <c r="A30" s="1529" t="s">
        <v>80</v>
      </c>
      <c r="B30" s="1529"/>
      <c r="C30" s="1529"/>
      <c r="D30" s="1529"/>
      <c r="E30" s="1529"/>
      <c r="F30" s="1529"/>
      <c r="G30" s="1529"/>
      <c r="H30" s="1529" t="s">
        <v>81</v>
      </c>
      <c r="I30" s="1529"/>
      <c r="J30" s="1529"/>
      <c r="K30" s="1529"/>
      <c r="L30" s="1529"/>
      <c r="M30" s="1529"/>
      <c r="N30" s="1529"/>
      <c r="O30" s="1529"/>
    </row>
    <row r="31" spans="1:15" ht="12" customHeight="1">
      <c r="A31" s="89" t="s">
        <v>47</v>
      </c>
      <c r="B31" s="121" t="s">
        <v>48</v>
      </c>
      <c r="C31" s="91">
        <v>228</v>
      </c>
      <c r="D31" s="91">
        <v>75</v>
      </c>
      <c r="E31" s="91">
        <v>72</v>
      </c>
      <c r="F31" s="91">
        <v>67</v>
      </c>
      <c r="G31" s="91">
        <v>14</v>
      </c>
      <c r="H31" s="92">
        <v>5796</v>
      </c>
      <c r="I31" s="91">
        <v>2832</v>
      </c>
      <c r="J31" s="91">
        <v>1997</v>
      </c>
      <c r="K31" s="91">
        <v>981</v>
      </c>
      <c r="L31" s="91">
        <v>1972</v>
      </c>
      <c r="M31" s="91">
        <v>949</v>
      </c>
      <c r="N31" s="91">
        <v>1827</v>
      </c>
      <c r="O31" s="98">
        <v>902</v>
      </c>
    </row>
    <row r="32" spans="1:15" ht="12" customHeight="1">
      <c r="A32" s="94" t="s">
        <v>29</v>
      </c>
      <c r="B32" s="120" t="s">
        <v>30</v>
      </c>
      <c r="C32" s="95">
        <v>184</v>
      </c>
      <c r="D32" s="95">
        <v>61</v>
      </c>
      <c r="E32" s="95">
        <v>57</v>
      </c>
      <c r="F32" s="95">
        <v>52</v>
      </c>
      <c r="G32" s="95">
        <v>14</v>
      </c>
      <c r="H32" s="96">
        <v>4968</v>
      </c>
      <c r="I32" s="95">
        <v>2517</v>
      </c>
      <c r="J32" s="95">
        <v>1705</v>
      </c>
      <c r="K32" s="95">
        <v>866</v>
      </c>
      <c r="L32" s="95">
        <v>1698</v>
      </c>
      <c r="M32" s="95">
        <v>844</v>
      </c>
      <c r="N32" s="95">
        <v>1565</v>
      </c>
      <c r="O32" s="97">
        <v>807</v>
      </c>
    </row>
    <row r="33" spans="1:15" ht="12" customHeight="1">
      <c r="A33" s="94" t="s">
        <v>31</v>
      </c>
      <c r="B33" s="120" t="s">
        <v>32</v>
      </c>
      <c r="C33" s="95">
        <v>44</v>
      </c>
      <c r="D33" s="95">
        <v>14</v>
      </c>
      <c r="E33" s="95">
        <v>15</v>
      </c>
      <c r="F33" s="95">
        <v>15</v>
      </c>
      <c r="G33" s="95" t="s">
        <v>28</v>
      </c>
      <c r="H33" s="96">
        <v>828</v>
      </c>
      <c r="I33" s="95">
        <v>315</v>
      </c>
      <c r="J33" s="95">
        <v>292</v>
      </c>
      <c r="K33" s="95">
        <v>115</v>
      </c>
      <c r="L33" s="95">
        <v>274</v>
      </c>
      <c r="M33" s="95">
        <v>105</v>
      </c>
      <c r="N33" s="95">
        <v>262</v>
      </c>
      <c r="O33" s="97">
        <v>95</v>
      </c>
    </row>
    <row r="34" spans="1:15" ht="12" customHeight="1">
      <c r="A34" s="89" t="s">
        <v>49</v>
      </c>
      <c r="B34" s="119" t="s">
        <v>50</v>
      </c>
      <c r="C34" s="91">
        <v>54</v>
      </c>
      <c r="D34" s="91">
        <v>17</v>
      </c>
      <c r="E34" s="91">
        <v>17</v>
      </c>
      <c r="F34" s="91">
        <v>17</v>
      </c>
      <c r="G34" s="91">
        <v>3</v>
      </c>
      <c r="H34" s="92">
        <v>1241</v>
      </c>
      <c r="I34" s="91">
        <v>179</v>
      </c>
      <c r="J34" s="91">
        <v>420</v>
      </c>
      <c r="K34" s="91">
        <v>54</v>
      </c>
      <c r="L34" s="91">
        <v>404</v>
      </c>
      <c r="M34" s="91">
        <v>57</v>
      </c>
      <c r="N34" s="91">
        <v>417</v>
      </c>
      <c r="O34" s="98">
        <v>68</v>
      </c>
    </row>
    <row r="35" spans="1:15" ht="12" customHeight="1">
      <c r="A35" s="94" t="s">
        <v>29</v>
      </c>
      <c r="B35" s="120" t="s">
        <v>30</v>
      </c>
      <c r="C35" s="95">
        <v>18</v>
      </c>
      <c r="D35" s="95">
        <v>5</v>
      </c>
      <c r="E35" s="95">
        <v>5</v>
      </c>
      <c r="F35" s="95">
        <v>5</v>
      </c>
      <c r="G35" s="95">
        <v>3</v>
      </c>
      <c r="H35" s="96">
        <v>354</v>
      </c>
      <c r="I35" s="95">
        <v>179</v>
      </c>
      <c r="J35" s="95">
        <v>118</v>
      </c>
      <c r="K35" s="95">
        <v>54</v>
      </c>
      <c r="L35" s="95">
        <v>108</v>
      </c>
      <c r="M35" s="95">
        <v>57</v>
      </c>
      <c r="N35" s="95">
        <v>128</v>
      </c>
      <c r="O35" s="97">
        <v>68</v>
      </c>
    </row>
    <row r="36" spans="1:15" ht="12" customHeight="1">
      <c r="A36" s="94" t="s">
        <v>31</v>
      </c>
      <c r="B36" s="120" t="s">
        <v>32</v>
      </c>
      <c r="C36" s="95">
        <v>36</v>
      </c>
      <c r="D36" s="95">
        <v>12</v>
      </c>
      <c r="E36" s="95">
        <v>12</v>
      </c>
      <c r="F36" s="95">
        <v>12</v>
      </c>
      <c r="G36" s="95" t="s">
        <v>28</v>
      </c>
      <c r="H36" s="96">
        <v>887</v>
      </c>
      <c r="I36" s="95" t="s">
        <v>28</v>
      </c>
      <c r="J36" s="95">
        <v>302</v>
      </c>
      <c r="K36" s="95" t="s">
        <v>28</v>
      </c>
      <c r="L36" s="95">
        <v>296</v>
      </c>
      <c r="M36" s="95" t="s">
        <v>28</v>
      </c>
      <c r="N36" s="95">
        <v>289</v>
      </c>
      <c r="O36" s="97" t="s">
        <v>28</v>
      </c>
    </row>
    <row r="37" spans="1:15" ht="12" customHeight="1">
      <c r="A37" s="89" t="s">
        <v>963</v>
      </c>
      <c r="B37" s="119" t="s">
        <v>964</v>
      </c>
      <c r="C37" s="91">
        <v>300</v>
      </c>
      <c r="D37" s="91">
        <v>96</v>
      </c>
      <c r="E37" s="91">
        <v>92</v>
      </c>
      <c r="F37" s="91">
        <v>91</v>
      </c>
      <c r="G37" s="91">
        <v>21</v>
      </c>
      <c r="H37" s="92">
        <v>7883</v>
      </c>
      <c r="I37" s="91">
        <v>4293</v>
      </c>
      <c r="J37" s="91">
        <v>2692</v>
      </c>
      <c r="K37" s="91">
        <v>1478</v>
      </c>
      <c r="L37" s="91">
        <v>2638</v>
      </c>
      <c r="M37" s="91">
        <v>1430</v>
      </c>
      <c r="N37" s="91">
        <v>2553</v>
      </c>
      <c r="O37" s="98">
        <v>1385</v>
      </c>
    </row>
    <row r="38" spans="1:15" ht="12" customHeight="1">
      <c r="A38" s="94" t="s">
        <v>29</v>
      </c>
      <c r="B38" s="120" t="s">
        <v>30</v>
      </c>
      <c r="C38" s="95">
        <v>273</v>
      </c>
      <c r="D38" s="95">
        <v>87</v>
      </c>
      <c r="E38" s="95">
        <v>83</v>
      </c>
      <c r="F38" s="95">
        <v>82</v>
      </c>
      <c r="G38" s="95">
        <v>21</v>
      </c>
      <c r="H38" s="96">
        <v>7101</v>
      </c>
      <c r="I38" s="95">
        <v>4293</v>
      </c>
      <c r="J38" s="95">
        <v>2436</v>
      </c>
      <c r="K38" s="95">
        <v>1478</v>
      </c>
      <c r="L38" s="95">
        <v>2378</v>
      </c>
      <c r="M38" s="95">
        <v>1430</v>
      </c>
      <c r="N38" s="95">
        <v>2287</v>
      </c>
      <c r="O38" s="97">
        <v>1385</v>
      </c>
    </row>
    <row r="39" spans="1:15" ht="12" customHeight="1">
      <c r="A39" s="94" t="s">
        <v>31</v>
      </c>
      <c r="B39" s="120" t="s">
        <v>32</v>
      </c>
      <c r="C39" s="95">
        <v>27</v>
      </c>
      <c r="D39" s="95">
        <v>9</v>
      </c>
      <c r="E39" s="95">
        <v>9</v>
      </c>
      <c r="F39" s="95">
        <v>9</v>
      </c>
      <c r="G39" s="95" t="s">
        <v>28</v>
      </c>
      <c r="H39" s="96">
        <v>782</v>
      </c>
      <c r="I39" s="95" t="s">
        <v>28</v>
      </c>
      <c r="J39" s="95">
        <v>256</v>
      </c>
      <c r="K39" s="95" t="s">
        <v>28</v>
      </c>
      <c r="L39" s="95">
        <v>260</v>
      </c>
      <c r="M39" s="95" t="s">
        <v>28</v>
      </c>
      <c r="N39" s="95">
        <v>266</v>
      </c>
      <c r="O39" s="97" t="s">
        <v>28</v>
      </c>
    </row>
    <row r="40" spans="1:15" ht="12" customHeight="1">
      <c r="A40" s="89" t="s">
        <v>51</v>
      </c>
      <c r="B40" s="119" t="s">
        <v>52</v>
      </c>
      <c r="C40" s="91">
        <v>502</v>
      </c>
      <c r="D40" s="91">
        <v>160</v>
      </c>
      <c r="E40" s="91">
        <v>161</v>
      </c>
      <c r="F40" s="91">
        <v>159</v>
      </c>
      <c r="G40" s="91">
        <v>22</v>
      </c>
      <c r="H40" s="92">
        <v>14407</v>
      </c>
      <c r="I40" s="91">
        <v>7110</v>
      </c>
      <c r="J40" s="91">
        <v>4953</v>
      </c>
      <c r="K40" s="91">
        <v>2447</v>
      </c>
      <c r="L40" s="91">
        <v>4812</v>
      </c>
      <c r="M40" s="91">
        <v>2376</v>
      </c>
      <c r="N40" s="91">
        <v>4642</v>
      </c>
      <c r="O40" s="98">
        <v>2287</v>
      </c>
    </row>
    <row r="41" spans="1:15" ht="12" customHeight="1">
      <c r="A41" s="94" t="s">
        <v>29</v>
      </c>
      <c r="B41" s="120" t="s">
        <v>30</v>
      </c>
      <c r="C41" s="95">
        <v>477</v>
      </c>
      <c r="D41" s="95">
        <v>152</v>
      </c>
      <c r="E41" s="95">
        <v>153</v>
      </c>
      <c r="F41" s="95">
        <v>151</v>
      </c>
      <c r="G41" s="95">
        <v>21</v>
      </c>
      <c r="H41" s="96">
        <v>13678</v>
      </c>
      <c r="I41" s="95">
        <v>6772</v>
      </c>
      <c r="J41" s="95">
        <v>4676</v>
      </c>
      <c r="K41" s="95">
        <v>2314</v>
      </c>
      <c r="L41" s="95">
        <v>4586</v>
      </c>
      <c r="M41" s="95">
        <v>2263</v>
      </c>
      <c r="N41" s="95">
        <v>4416</v>
      </c>
      <c r="O41" s="97">
        <v>2195</v>
      </c>
    </row>
    <row r="42" spans="1:15" ht="12" customHeight="1">
      <c r="A42" s="94" t="s">
        <v>31</v>
      </c>
      <c r="B42" s="120" t="s">
        <v>32</v>
      </c>
      <c r="C42" s="95">
        <v>25</v>
      </c>
      <c r="D42" s="95">
        <v>8</v>
      </c>
      <c r="E42" s="95">
        <v>8</v>
      </c>
      <c r="F42" s="95">
        <v>8</v>
      </c>
      <c r="G42" s="95">
        <v>1</v>
      </c>
      <c r="H42" s="96">
        <v>729</v>
      </c>
      <c r="I42" s="95">
        <v>338</v>
      </c>
      <c r="J42" s="95">
        <v>277</v>
      </c>
      <c r="K42" s="95">
        <v>133</v>
      </c>
      <c r="L42" s="95">
        <v>226</v>
      </c>
      <c r="M42" s="95">
        <v>113</v>
      </c>
      <c r="N42" s="95">
        <v>226</v>
      </c>
      <c r="O42" s="97">
        <v>92</v>
      </c>
    </row>
    <row r="43" spans="1:15" ht="12" customHeight="1">
      <c r="A43" s="89" t="s">
        <v>53</v>
      </c>
      <c r="B43" s="119" t="s">
        <v>54</v>
      </c>
      <c r="C43" s="91">
        <v>524</v>
      </c>
      <c r="D43" s="91">
        <v>166</v>
      </c>
      <c r="E43" s="91">
        <v>162</v>
      </c>
      <c r="F43" s="91">
        <v>166</v>
      </c>
      <c r="G43" s="91">
        <v>30</v>
      </c>
      <c r="H43" s="92">
        <v>14166</v>
      </c>
      <c r="I43" s="91">
        <v>6782</v>
      </c>
      <c r="J43" s="91">
        <v>4825</v>
      </c>
      <c r="K43" s="91">
        <v>2311</v>
      </c>
      <c r="L43" s="91">
        <v>4678</v>
      </c>
      <c r="M43" s="91">
        <v>2253</v>
      </c>
      <c r="N43" s="91">
        <v>4663</v>
      </c>
      <c r="O43" s="98">
        <v>2218</v>
      </c>
    </row>
    <row r="44" spans="1:15" ht="12" customHeight="1">
      <c r="A44" s="94" t="s">
        <v>29</v>
      </c>
      <c r="B44" s="120" t="s">
        <v>30</v>
      </c>
      <c r="C44" s="95">
        <v>512</v>
      </c>
      <c r="D44" s="95">
        <v>162</v>
      </c>
      <c r="E44" s="95">
        <v>158</v>
      </c>
      <c r="F44" s="95">
        <v>162</v>
      </c>
      <c r="G44" s="95">
        <v>30</v>
      </c>
      <c r="H44" s="96">
        <v>13812</v>
      </c>
      <c r="I44" s="95">
        <v>6428</v>
      </c>
      <c r="J44" s="95">
        <v>4699</v>
      </c>
      <c r="K44" s="95">
        <v>2185</v>
      </c>
      <c r="L44" s="95">
        <v>4559</v>
      </c>
      <c r="M44" s="95">
        <v>2134</v>
      </c>
      <c r="N44" s="95">
        <v>4554</v>
      </c>
      <c r="O44" s="97">
        <v>2109</v>
      </c>
    </row>
    <row r="45" spans="1:15" ht="12" customHeight="1">
      <c r="A45" s="94" t="s">
        <v>31</v>
      </c>
      <c r="B45" s="120" t="s">
        <v>32</v>
      </c>
      <c r="C45" s="95">
        <v>12</v>
      </c>
      <c r="D45" s="95">
        <v>4</v>
      </c>
      <c r="E45" s="95">
        <v>4</v>
      </c>
      <c r="F45" s="95">
        <v>4</v>
      </c>
      <c r="G45" s="95" t="s">
        <v>28</v>
      </c>
      <c r="H45" s="96">
        <v>354</v>
      </c>
      <c r="I45" s="95">
        <v>354</v>
      </c>
      <c r="J45" s="95">
        <v>126</v>
      </c>
      <c r="K45" s="95">
        <v>126</v>
      </c>
      <c r="L45" s="95">
        <v>119</v>
      </c>
      <c r="M45" s="95">
        <v>119</v>
      </c>
      <c r="N45" s="95">
        <v>109</v>
      </c>
      <c r="O45" s="97">
        <v>109</v>
      </c>
    </row>
    <row r="46" spans="1:15" ht="12" customHeight="1">
      <c r="A46" s="89" t="s">
        <v>55</v>
      </c>
      <c r="B46" s="119" t="s">
        <v>56</v>
      </c>
      <c r="C46" s="91">
        <v>459</v>
      </c>
      <c r="D46" s="91">
        <v>145</v>
      </c>
      <c r="E46" s="91">
        <v>142</v>
      </c>
      <c r="F46" s="91">
        <v>145</v>
      </c>
      <c r="G46" s="91">
        <v>27</v>
      </c>
      <c r="H46" s="92">
        <v>11517</v>
      </c>
      <c r="I46" s="91">
        <v>5511</v>
      </c>
      <c r="J46" s="91">
        <v>3868</v>
      </c>
      <c r="K46" s="91">
        <v>1878</v>
      </c>
      <c r="L46" s="91">
        <v>3874</v>
      </c>
      <c r="M46" s="91">
        <v>1798</v>
      </c>
      <c r="N46" s="91">
        <v>3775</v>
      </c>
      <c r="O46" s="98">
        <v>1835</v>
      </c>
    </row>
    <row r="47" spans="1:15" ht="12" customHeight="1">
      <c r="A47" s="94" t="s">
        <v>29</v>
      </c>
      <c r="B47" s="120" t="s">
        <v>30</v>
      </c>
      <c r="C47" s="95">
        <v>459</v>
      </c>
      <c r="D47" s="95">
        <v>145</v>
      </c>
      <c r="E47" s="95">
        <v>142</v>
      </c>
      <c r="F47" s="95">
        <v>145</v>
      </c>
      <c r="G47" s="95">
        <v>27</v>
      </c>
      <c r="H47" s="96">
        <v>11517</v>
      </c>
      <c r="I47" s="95">
        <v>5511</v>
      </c>
      <c r="J47" s="95">
        <v>3868</v>
      </c>
      <c r="K47" s="95">
        <v>1878</v>
      </c>
      <c r="L47" s="95">
        <v>3874</v>
      </c>
      <c r="M47" s="95">
        <v>1798</v>
      </c>
      <c r="N47" s="95">
        <v>3775</v>
      </c>
      <c r="O47" s="97">
        <v>1835</v>
      </c>
    </row>
    <row r="48" spans="1:15" ht="12" customHeight="1">
      <c r="A48" s="94" t="s">
        <v>31</v>
      </c>
      <c r="B48" s="120" t="s">
        <v>32</v>
      </c>
      <c r="C48" s="95" t="s">
        <v>28</v>
      </c>
      <c r="D48" s="95" t="s">
        <v>28</v>
      </c>
      <c r="E48" s="95" t="s">
        <v>28</v>
      </c>
      <c r="F48" s="95" t="s">
        <v>28</v>
      </c>
      <c r="G48" s="95" t="s">
        <v>28</v>
      </c>
      <c r="H48" s="96" t="s">
        <v>28</v>
      </c>
      <c r="I48" s="95" t="s">
        <v>28</v>
      </c>
      <c r="J48" s="95" t="s">
        <v>28</v>
      </c>
      <c r="K48" s="95" t="s">
        <v>28</v>
      </c>
      <c r="L48" s="95" t="s">
        <v>28</v>
      </c>
      <c r="M48" s="95" t="s">
        <v>28</v>
      </c>
      <c r="N48" s="95" t="s">
        <v>28</v>
      </c>
      <c r="O48" s="97" t="s">
        <v>28</v>
      </c>
    </row>
    <row r="49" spans="1:15" ht="12" customHeight="1">
      <c r="A49" s="89" t="s">
        <v>57</v>
      </c>
      <c r="B49" s="119" t="s">
        <v>58</v>
      </c>
      <c r="C49" s="91">
        <v>267</v>
      </c>
      <c r="D49" s="91">
        <v>81</v>
      </c>
      <c r="E49" s="91">
        <v>82</v>
      </c>
      <c r="F49" s="91">
        <v>85</v>
      </c>
      <c r="G49" s="91">
        <v>19</v>
      </c>
      <c r="H49" s="92">
        <v>6201</v>
      </c>
      <c r="I49" s="91">
        <v>3110</v>
      </c>
      <c r="J49" s="91">
        <v>1995</v>
      </c>
      <c r="K49" s="91">
        <v>990</v>
      </c>
      <c r="L49" s="91">
        <v>2054</v>
      </c>
      <c r="M49" s="91">
        <v>1040</v>
      </c>
      <c r="N49" s="91">
        <v>2152</v>
      </c>
      <c r="O49" s="98">
        <v>1080</v>
      </c>
    </row>
    <row r="50" spans="1:15" ht="12" customHeight="1">
      <c r="A50" s="94" t="s">
        <v>29</v>
      </c>
      <c r="B50" s="120" t="s">
        <v>30</v>
      </c>
      <c r="C50" s="95">
        <v>267</v>
      </c>
      <c r="D50" s="95">
        <v>81</v>
      </c>
      <c r="E50" s="95">
        <v>82</v>
      </c>
      <c r="F50" s="95">
        <v>85</v>
      </c>
      <c r="G50" s="95">
        <v>19</v>
      </c>
      <c r="H50" s="96">
        <v>6201</v>
      </c>
      <c r="I50" s="95">
        <v>3110</v>
      </c>
      <c r="J50" s="95">
        <v>1995</v>
      </c>
      <c r="K50" s="95">
        <v>990</v>
      </c>
      <c r="L50" s="95">
        <v>2054</v>
      </c>
      <c r="M50" s="95">
        <v>1040</v>
      </c>
      <c r="N50" s="95">
        <v>2152</v>
      </c>
      <c r="O50" s="97">
        <v>1080</v>
      </c>
    </row>
    <row r="51" spans="1:15" ht="12" customHeight="1">
      <c r="A51" s="94" t="s">
        <v>31</v>
      </c>
      <c r="B51" s="120" t="s">
        <v>32</v>
      </c>
      <c r="C51" s="95" t="s">
        <v>28</v>
      </c>
      <c r="D51" s="95" t="s">
        <v>28</v>
      </c>
      <c r="E51" s="95" t="s">
        <v>28</v>
      </c>
      <c r="F51" s="95" t="s">
        <v>28</v>
      </c>
      <c r="G51" s="95" t="s">
        <v>28</v>
      </c>
      <c r="H51" s="96" t="s">
        <v>28</v>
      </c>
      <c r="I51" s="95" t="s">
        <v>28</v>
      </c>
      <c r="J51" s="95" t="s">
        <v>28</v>
      </c>
      <c r="K51" s="95" t="s">
        <v>28</v>
      </c>
      <c r="L51" s="95" t="s">
        <v>28</v>
      </c>
      <c r="M51" s="95" t="s">
        <v>28</v>
      </c>
      <c r="N51" s="95" t="s">
        <v>28</v>
      </c>
      <c r="O51" s="97" t="s">
        <v>28</v>
      </c>
    </row>
    <row r="52" spans="1:15" ht="12" customHeight="1">
      <c r="A52" s="89" t="s">
        <v>59</v>
      </c>
      <c r="B52" s="119" t="s">
        <v>60</v>
      </c>
      <c r="C52" s="91">
        <v>716</v>
      </c>
      <c r="D52" s="91">
        <v>233</v>
      </c>
      <c r="E52" s="91">
        <v>231</v>
      </c>
      <c r="F52" s="91">
        <v>219</v>
      </c>
      <c r="G52" s="91">
        <v>33</v>
      </c>
      <c r="H52" s="92">
        <v>19902</v>
      </c>
      <c r="I52" s="91">
        <v>9681</v>
      </c>
      <c r="J52" s="91">
        <v>6867</v>
      </c>
      <c r="K52" s="91">
        <v>3288</v>
      </c>
      <c r="L52" s="91">
        <v>6730</v>
      </c>
      <c r="M52" s="91">
        <v>3328</v>
      </c>
      <c r="N52" s="91">
        <v>6305</v>
      </c>
      <c r="O52" s="98">
        <v>3065</v>
      </c>
    </row>
    <row r="53" spans="1:15" ht="12" customHeight="1">
      <c r="A53" s="94" t="s">
        <v>29</v>
      </c>
      <c r="B53" s="120" t="s">
        <v>30</v>
      </c>
      <c r="C53" s="95">
        <v>716</v>
      </c>
      <c r="D53" s="95">
        <v>233</v>
      </c>
      <c r="E53" s="95">
        <v>231</v>
      </c>
      <c r="F53" s="95">
        <v>219</v>
      </c>
      <c r="G53" s="95">
        <v>33</v>
      </c>
      <c r="H53" s="96">
        <v>19902</v>
      </c>
      <c r="I53" s="95">
        <v>9681</v>
      </c>
      <c r="J53" s="95">
        <v>6867</v>
      </c>
      <c r="K53" s="95">
        <v>3288</v>
      </c>
      <c r="L53" s="95">
        <v>6730</v>
      </c>
      <c r="M53" s="95">
        <v>3328</v>
      </c>
      <c r="N53" s="95">
        <v>6305</v>
      </c>
      <c r="O53" s="97">
        <v>3065</v>
      </c>
    </row>
    <row r="54" spans="1:15" ht="12" customHeight="1">
      <c r="A54" s="94" t="s">
        <v>31</v>
      </c>
      <c r="B54" s="120" t="s">
        <v>32</v>
      </c>
      <c r="C54" s="95" t="s">
        <v>28</v>
      </c>
      <c r="D54" s="95" t="s">
        <v>28</v>
      </c>
      <c r="E54" s="95" t="s">
        <v>28</v>
      </c>
      <c r="F54" s="95" t="s">
        <v>28</v>
      </c>
      <c r="G54" s="95" t="s">
        <v>28</v>
      </c>
      <c r="H54" s="96" t="s">
        <v>28</v>
      </c>
      <c r="I54" s="95" t="s">
        <v>28</v>
      </c>
      <c r="J54" s="95" t="s">
        <v>28</v>
      </c>
      <c r="K54" s="95" t="s">
        <v>28</v>
      </c>
      <c r="L54" s="95" t="s">
        <v>28</v>
      </c>
      <c r="M54" s="95" t="s">
        <v>28</v>
      </c>
      <c r="N54" s="95" t="s">
        <v>28</v>
      </c>
      <c r="O54" s="97" t="s">
        <v>28</v>
      </c>
    </row>
    <row r="55" spans="1:15" ht="12" customHeight="1">
      <c r="A55" s="89" t="s">
        <v>61</v>
      </c>
      <c r="B55" s="119" t="s">
        <v>62</v>
      </c>
      <c r="C55" s="91">
        <v>68</v>
      </c>
      <c r="D55" s="91">
        <v>20</v>
      </c>
      <c r="E55" s="91">
        <v>20</v>
      </c>
      <c r="F55" s="91">
        <v>19</v>
      </c>
      <c r="G55" s="91">
        <v>9</v>
      </c>
      <c r="H55" s="92">
        <v>1290</v>
      </c>
      <c r="I55" s="91">
        <v>603</v>
      </c>
      <c r="J55" s="91">
        <v>429</v>
      </c>
      <c r="K55" s="91">
        <v>198</v>
      </c>
      <c r="L55" s="91">
        <v>424</v>
      </c>
      <c r="M55" s="91">
        <v>192</v>
      </c>
      <c r="N55" s="91">
        <v>437</v>
      </c>
      <c r="O55" s="98">
        <v>213</v>
      </c>
    </row>
    <row r="56" spans="1:15" ht="12" customHeight="1">
      <c r="A56" s="94" t="s">
        <v>29</v>
      </c>
      <c r="B56" s="120" t="s">
        <v>30</v>
      </c>
      <c r="C56" s="95">
        <v>62</v>
      </c>
      <c r="D56" s="95">
        <v>18</v>
      </c>
      <c r="E56" s="95">
        <v>18</v>
      </c>
      <c r="F56" s="95">
        <v>17</v>
      </c>
      <c r="G56" s="95">
        <v>9</v>
      </c>
      <c r="H56" s="96">
        <v>1150</v>
      </c>
      <c r="I56" s="95">
        <v>561</v>
      </c>
      <c r="J56" s="95">
        <v>381</v>
      </c>
      <c r="K56" s="95">
        <v>186</v>
      </c>
      <c r="L56" s="95">
        <v>378</v>
      </c>
      <c r="M56" s="95">
        <v>180</v>
      </c>
      <c r="N56" s="95">
        <v>391</v>
      </c>
      <c r="O56" s="97">
        <v>195</v>
      </c>
    </row>
    <row r="57" spans="1:15" ht="12" customHeight="1">
      <c r="A57" s="94" t="s">
        <v>31</v>
      </c>
      <c r="B57" s="120" t="s">
        <v>32</v>
      </c>
      <c r="C57" s="95">
        <v>6</v>
      </c>
      <c r="D57" s="95">
        <v>2</v>
      </c>
      <c r="E57" s="95">
        <v>2</v>
      </c>
      <c r="F57" s="95">
        <v>2</v>
      </c>
      <c r="G57" s="95" t="s">
        <v>28</v>
      </c>
      <c r="H57" s="96">
        <v>140</v>
      </c>
      <c r="I57" s="95">
        <v>42</v>
      </c>
      <c r="J57" s="95">
        <v>48</v>
      </c>
      <c r="K57" s="95">
        <v>12</v>
      </c>
      <c r="L57" s="95">
        <v>46</v>
      </c>
      <c r="M57" s="95">
        <v>12</v>
      </c>
      <c r="N57" s="95">
        <v>46</v>
      </c>
      <c r="O57" s="97">
        <v>18</v>
      </c>
    </row>
    <row r="58" spans="1:15" ht="12" customHeight="1">
      <c r="A58" s="89" t="s">
        <v>63</v>
      </c>
      <c r="B58" s="119" t="s">
        <v>64</v>
      </c>
      <c r="C58" s="91">
        <v>23</v>
      </c>
      <c r="D58" s="91">
        <v>7</v>
      </c>
      <c r="E58" s="91">
        <v>7</v>
      </c>
      <c r="F58" s="91">
        <v>7</v>
      </c>
      <c r="G58" s="91">
        <v>2</v>
      </c>
      <c r="H58" s="92">
        <v>220</v>
      </c>
      <c r="I58" s="91">
        <v>111</v>
      </c>
      <c r="J58" s="91">
        <v>64</v>
      </c>
      <c r="K58" s="91">
        <v>34</v>
      </c>
      <c r="L58" s="91">
        <v>76</v>
      </c>
      <c r="M58" s="91">
        <v>34</v>
      </c>
      <c r="N58" s="91">
        <v>80</v>
      </c>
      <c r="O58" s="98">
        <v>43</v>
      </c>
    </row>
    <row r="59" spans="1:15" ht="12" customHeight="1">
      <c r="A59" s="94" t="s">
        <v>29</v>
      </c>
      <c r="B59" s="120" t="s">
        <v>30</v>
      </c>
      <c r="C59" s="95">
        <v>23</v>
      </c>
      <c r="D59" s="95">
        <v>7</v>
      </c>
      <c r="E59" s="95">
        <v>7</v>
      </c>
      <c r="F59" s="95">
        <v>7</v>
      </c>
      <c r="G59" s="95">
        <v>2</v>
      </c>
      <c r="H59" s="96">
        <v>220</v>
      </c>
      <c r="I59" s="95">
        <v>111</v>
      </c>
      <c r="J59" s="95">
        <v>64</v>
      </c>
      <c r="K59" s="95">
        <v>34</v>
      </c>
      <c r="L59" s="95">
        <v>76</v>
      </c>
      <c r="M59" s="95">
        <v>34</v>
      </c>
      <c r="N59" s="95">
        <v>80</v>
      </c>
      <c r="O59" s="97">
        <v>43</v>
      </c>
    </row>
    <row r="60" spans="1:15" ht="12" customHeight="1" thickBot="1">
      <c r="A60" s="1512" t="s">
        <v>31</v>
      </c>
      <c r="B60" s="1527" t="s">
        <v>32</v>
      </c>
      <c r="C60" s="1516" t="s">
        <v>28</v>
      </c>
      <c r="D60" s="1516" t="s">
        <v>28</v>
      </c>
      <c r="E60" s="1516" t="s">
        <v>28</v>
      </c>
      <c r="F60" s="1516" t="s">
        <v>28</v>
      </c>
      <c r="G60" s="1516" t="s">
        <v>28</v>
      </c>
      <c r="H60" s="100" t="s">
        <v>28</v>
      </c>
      <c r="I60" s="1516" t="s">
        <v>28</v>
      </c>
      <c r="J60" s="1516" t="s">
        <v>28</v>
      </c>
      <c r="K60" s="1516" t="s">
        <v>28</v>
      </c>
      <c r="L60" s="1516" t="s">
        <v>28</v>
      </c>
      <c r="M60" s="1516" t="s">
        <v>28</v>
      </c>
      <c r="N60" s="1516" t="s">
        <v>28</v>
      </c>
      <c r="O60" s="610" t="s">
        <v>28</v>
      </c>
    </row>
    <row r="61" spans="1:15" ht="13.5">
      <c r="A61" s="1041"/>
      <c r="B61" s="1041"/>
      <c r="C61" s="1041"/>
      <c r="D61" s="1041"/>
      <c r="E61" s="1041"/>
      <c r="F61" s="1041"/>
      <c r="G61" s="1041"/>
      <c r="H61" s="1041"/>
      <c r="I61" s="1041"/>
      <c r="J61" s="1041"/>
      <c r="K61" s="1041"/>
      <c r="L61" s="1041"/>
      <c r="M61" s="1041"/>
      <c r="N61" s="1041"/>
      <c r="O61" s="1041"/>
    </row>
  </sheetData>
  <mergeCells count="32">
    <mergeCell ref="A61:G61"/>
    <mergeCell ref="H61:O61"/>
    <mergeCell ref="A9:B9"/>
    <mergeCell ref="A10:B10"/>
    <mergeCell ref="A14:G14"/>
    <mergeCell ref="H14:O14"/>
    <mergeCell ref="A30:G30"/>
    <mergeCell ref="H30:O30"/>
    <mergeCell ref="N7:O7"/>
    <mergeCell ref="A8:B8"/>
    <mergeCell ref="C8:G8"/>
    <mergeCell ref="H8:I8"/>
    <mergeCell ref="J8:K8"/>
    <mergeCell ref="L8:M8"/>
    <mergeCell ref="N8:O8"/>
    <mergeCell ref="A7:B7"/>
    <mergeCell ref="C7:G7"/>
    <mergeCell ref="H7:I7"/>
    <mergeCell ref="J7:K7"/>
    <mergeCell ref="L7:M7"/>
    <mergeCell ref="A5:B5"/>
    <mergeCell ref="C5:G5"/>
    <mergeCell ref="H5:O5"/>
    <mergeCell ref="A6:B6"/>
    <mergeCell ref="C6:G6"/>
    <mergeCell ref="H6:O6"/>
    <mergeCell ref="A2:G2"/>
    <mergeCell ref="H2:O2"/>
    <mergeCell ref="A3:G3"/>
    <mergeCell ref="H3:O3"/>
    <mergeCell ref="A4:G4"/>
    <mergeCell ref="H4:O4"/>
  </mergeCells>
  <phoneticPr fontId="4" type="noConversion"/>
  <hyperlinks>
    <hyperlink ref="A1" location="목록!A1" display="목록!A1" xr:uid="{BDAD971A-2875-40EC-8D26-C53C06F947CB}"/>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60" max="14" man="1"/>
  </rowBreaks>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F64"/>
  <sheetViews>
    <sheetView showGridLines="0" showWhiteSpace="0" view="pageBreakPreview" zoomScaleNormal="100" zoomScaleSheetLayoutView="100" workbookViewId="0">
      <selection activeCell="A2" sqref="A2:AE56"/>
    </sheetView>
  </sheetViews>
  <sheetFormatPr defaultRowHeight="16.5"/>
  <cols>
    <col min="1" max="1" width="7.5546875" style="152" customWidth="1"/>
    <col min="2" max="2" width="7.109375" style="153" customWidth="1"/>
    <col min="3" max="3" width="4.88671875" style="152" customWidth="1"/>
    <col min="4" max="16" width="4" style="152" customWidth="1"/>
    <col min="17" max="30" width="4.88671875" style="152" customWidth="1"/>
    <col min="31" max="31" width="4.88671875" style="154" customWidth="1"/>
    <col min="32" max="16384" width="8.88671875" style="60"/>
  </cols>
  <sheetData>
    <row r="1" spans="1:32" ht="22.5">
      <c r="A1" s="901" t="s">
        <v>1332</v>
      </c>
    </row>
    <row r="2" spans="1:32" s="122" customFormat="1" ht="13.5" customHeight="1">
      <c r="A2" s="1046" t="s">
        <v>1012</v>
      </c>
      <c r="B2" s="1046"/>
      <c r="C2" s="1046"/>
      <c r="D2" s="1046"/>
      <c r="E2" s="1046"/>
      <c r="F2" s="1046"/>
      <c r="G2" s="1046"/>
      <c r="H2" s="1046"/>
      <c r="I2" s="1046"/>
      <c r="J2" s="1046"/>
      <c r="K2" s="1046"/>
      <c r="L2" s="1046"/>
      <c r="M2" s="1046"/>
      <c r="N2" s="1046"/>
      <c r="O2" s="1046"/>
      <c r="P2" s="1046"/>
      <c r="Q2" s="126"/>
      <c r="R2" s="1049" t="s">
        <v>1013</v>
      </c>
      <c r="S2" s="1049"/>
      <c r="T2" s="1049"/>
      <c r="U2" s="1049"/>
      <c r="V2" s="1049"/>
      <c r="W2" s="1049"/>
      <c r="X2" s="1049"/>
      <c r="Y2" s="1049"/>
      <c r="Z2" s="1049"/>
      <c r="AA2" s="1049"/>
      <c r="AB2" s="1049"/>
      <c r="AC2" s="1049"/>
      <c r="AD2" s="1049"/>
      <c r="AE2" s="1049"/>
    </row>
    <row r="3" spans="1:32" s="124" customFormat="1" ht="22.5" customHeight="1">
      <c r="A3" s="1050" t="s">
        <v>83</v>
      </c>
      <c r="B3" s="1050"/>
      <c r="C3" s="1050"/>
      <c r="D3" s="1050"/>
      <c r="E3" s="1050"/>
      <c r="F3" s="1050"/>
      <c r="G3" s="1050"/>
      <c r="H3" s="1050"/>
      <c r="I3" s="1050"/>
      <c r="J3" s="1050"/>
      <c r="K3" s="1050"/>
      <c r="L3" s="1050"/>
      <c r="M3" s="1050"/>
      <c r="N3" s="1050"/>
      <c r="O3" s="1050"/>
      <c r="P3" s="1050"/>
      <c r="Q3" s="1050" t="s">
        <v>1339</v>
      </c>
      <c r="R3" s="1050"/>
      <c r="S3" s="1050"/>
      <c r="T3" s="1050"/>
      <c r="U3" s="1050"/>
      <c r="V3" s="1050"/>
      <c r="W3" s="1050"/>
      <c r="X3" s="1050"/>
      <c r="Y3" s="1050"/>
      <c r="Z3" s="1050"/>
      <c r="AA3" s="1050"/>
      <c r="AB3" s="1050"/>
      <c r="AC3" s="1050"/>
      <c r="AD3" s="1050"/>
      <c r="AE3" s="1050"/>
      <c r="AF3" s="123"/>
    </row>
    <row r="4" spans="1:32" ht="14.25" thickBot="1">
      <c r="A4" s="1530"/>
      <c r="B4" s="1530"/>
      <c r="C4" s="1530"/>
      <c r="D4" s="1530"/>
      <c r="E4" s="1530"/>
      <c r="F4" s="1530"/>
      <c r="G4" s="1530"/>
      <c r="H4" s="1530"/>
      <c r="I4" s="1530"/>
      <c r="J4" s="1530"/>
      <c r="K4" s="1530"/>
      <c r="L4" s="1530"/>
      <c r="M4" s="1530"/>
      <c r="N4" s="1530"/>
      <c r="O4" s="1530"/>
      <c r="P4" s="1530"/>
      <c r="Q4" s="1530"/>
      <c r="R4" s="1531"/>
      <c r="S4" s="1531"/>
      <c r="T4" s="1531"/>
      <c r="U4" s="1531"/>
      <c r="V4" s="1531"/>
      <c r="W4" s="1531"/>
      <c r="X4" s="1531"/>
      <c r="Y4" s="1531"/>
      <c r="Z4" s="1531"/>
      <c r="AA4" s="1531"/>
      <c r="AB4" s="1531"/>
      <c r="AC4" s="1531"/>
      <c r="AD4" s="1531"/>
      <c r="AE4" s="1531"/>
    </row>
    <row r="5" spans="1:32" s="125" customFormat="1" ht="13.5" customHeight="1">
      <c r="A5" s="1507" t="s">
        <v>668</v>
      </c>
      <c r="B5" s="1056"/>
      <c r="C5" s="935" t="s">
        <v>13</v>
      </c>
      <c r="D5" s="127" t="s">
        <v>84</v>
      </c>
      <c r="E5" s="1054">
        <v>2</v>
      </c>
      <c r="F5" s="1054">
        <v>3</v>
      </c>
      <c r="G5" s="1054">
        <v>4</v>
      </c>
      <c r="H5" s="1054">
        <v>5</v>
      </c>
      <c r="I5" s="1047">
        <v>6</v>
      </c>
      <c r="J5" s="1047">
        <v>7</v>
      </c>
      <c r="K5" s="1047">
        <v>8</v>
      </c>
      <c r="L5" s="1047">
        <v>9</v>
      </c>
      <c r="M5" s="1047">
        <v>10</v>
      </c>
      <c r="N5" s="1047">
        <v>11</v>
      </c>
      <c r="O5" s="1047">
        <v>12</v>
      </c>
      <c r="P5" s="1047">
        <v>13</v>
      </c>
      <c r="Q5" s="1047">
        <v>14</v>
      </c>
      <c r="R5" s="1047">
        <v>15</v>
      </c>
      <c r="S5" s="1047">
        <v>16</v>
      </c>
      <c r="T5" s="1047">
        <v>17</v>
      </c>
      <c r="U5" s="1047">
        <v>18</v>
      </c>
      <c r="V5" s="1053" t="s">
        <v>981</v>
      </c>
      <c r="W5" s="1053" t="s">
        <v>982</v>
      </c>
      <c r="X5" s="1053" t="s">
        <v>983</v>
      </c>
      <c r="Y5" s="1053" t="s">
        <v>984</v>
      </c>
      <c r="Z5" s="1053" t="s">
        <v>985</v>
      </c>
      <c r="AA5" s="1053" t="s">
        <v>986</v>
      </c>
      <c r="AB5" s="1053" t="s">
        <v>987</v>
      </c>
      <c r="AC5" s="1053" t="s">
        <v>988</v>
      </c>
      <c r="AD5" s="1053" t="s">
        <v>989</v>
      </c>
      <c r="AE5" s="127" t="s">
        <v>1081</v>
      </c>
    </row>
    <row r="6" spans="1:32" ht="21" customHeight="1">
      <c r="A6" s="1051" t="s">
        <v>7</v>
      </c>
      <c r="B6" s="1052"/>
      <c r="C6" s="927" t="s">
        <v>16</v>
      </c>
      <c r="D6" s="927" t="s">
        <v>484</v>
      </c>
      <c r="E6" s="1055"/>
      <c r="F6" s="1055"/>
      <c r="G6" s="1055"/>
      <c r="H6" s="1055"/>
      <c r="I6" s="1048"/>
      <c r="J6" s="1048"/>
      <c r="K6" s="1048"/>
      <c r="L6" s="1048"/>
      <c r="M6" s="1048"/>
      <c r="N6" s="1048"/>
      <c r="O6" s="1048"/>
      <c r="P6" s="1048"/>
      <c r="Q6" s="1048"/>
      <c r="R6" s="1048"/>
      <c r="S6" s="1048"/>
      <c r="T6" s="1048"/>
      <c r="U6" s="1048"/>
      <c r="V6" s="1048"/>
      <c r="W6" s="1048"/>
      <c r="X6" s="1048"/>
      <c r="Y6" s="1048"/>
      <c r="Z6" s="1048"/>
      <c r="AA6" s="1048"/>
      <c r="AB6" s="1048"/>
      <c r="AC6" s="1048"/>
      <c r="AD6" s="1048"/>
      <c r="AE6" s="927" t="s">
        <v>1082</v>
      </c>
    </row>
    <row r="7" spans="1:32" ht="12.75" customHeight="1">
      <c r="A7" s="128" t="s">
        <v>27</v>
      </c>
      <c r="B7" s="129" t="s">
        <v>16</v>
      </c>
      <c r="C7" s="807">
        <v>145</v>
      </c>
      <c r="D7" s="807" t="s">
        <v>28</v>
      </c>
      <c r="E7" s="807" t="s">
        <v>28</v>
      </c>
      <c r="F7" s="807">
        <v>5</v>
      </c>
      <c r="G7" s="807">
        <v>5</v>
      </c>
      <c r="H7" s="807" t="s">
        <v>28</v>
      </c>
      <c r="I7" s="807">
        <v>1</v>
      </c>
      <c r="J7" s="807">
        <v>2</v>
      </c>
      <c r="K7" s="807" t="s">
        <v>28</v>
      </c>
      <c r="L7" s="807" t="s">
        <v>28</v>
      </c>
      <c r="M7" s="807" t="s">
        <v>28</v>
      </c>
      <c r="N7" s="807">
        <v>3</v>
      </c>
      <c r="O7" s="807">
        <v>6</v>
      </c>
      <c r="P7" s="807">
        <v>2</v>
      </c>
      <c r="Q7" s="807">
        <v>6</v>
      </c>
      <c r="R7" s="807">
        <v>5</v>
      </c>
      <c r="S7" s="807">
        <v>10</v>
      </c>
      <c r="T7" s="807">
        <v>5</v>
      </c>
      <c r="U7" s="807">
        <v>6</v>
      </c>
      <c r="V7" s="807">
        <v>18</v>
      </c>
      <c r="W7" s="807">
        <v>13</v>
      </c>
      <c r="X7" s="807">
        <v>11</v>
      </c>
      <c r="Y7" s="807">
        <v>6</v>
      </c>
      <c r="Z7" s="807">
        <v>23</v>
      </c>
      <c r="AA7" s="807">
        <v>11</v>
      </c>
      <c r="AB7" s="807">
        <v>4</v>
      </c>
      <c r="AC7" s="807" t="s">
        <v>28</v>
      </c>
      <c r="AD7" s="807">
        <v>1</v>
      </c>
      <c r="AE7" s="808">
        <v>2</v>
      </c>
    </row>
    <row r="8" spans="1:32" ht="12.75" customHeight="1">
      <c r="A8" s="130" t="s">
        <v>29</v>
      </c>
      <c r="B8" s="131" t="s">
        <v>30</v>
      </c>
      <c r="C8" s="149">
        <v>135</v>
      </c>
      <c r="D8" s="149" t="s">
        <v>28</v>
      </c>
      <c r="E8" s="149" t="s">
        <v>28</v>
      </c>
      <c r="F8" s="149">
        <v>3</v>
      </c>
      <c r="G8" s="149">
        <v>5</v>
      </c>
      <c r="H8" s="149" t="s">
        <v>28</v>
      </c>
      <c r="I8" s="149">
        <v>1</v>
      </c>
      <c r="J8" s="149">
        <v>2</v>
      </c>
      <c r="K8" s="149" t="s">
        <v>28</v>
      </c>
      <c r="L8" s="149" t="s">
        <v>28</v>
      </c>
      <c r="M8" s="149" t="s">
        <v>28</v>
      </c>
      <c r="N8" s="149">
        <v>3</v>
      </c>
      <c r="O8" s="149">
        <v>4</v>
      </c>
      <c r="P8" s="149">
        <v>2</v>
      </c>
      <c r="Q8" s="149">
        <v>5</v>
      </c>
      <c r="R8" s="149">
        <v>4</v>
      </c>
      <c r="S8" s="149">
        <v>10</v>
      </c>
      <c r="T8" s="149">
        <v>5</v>
      </c>
      <c r="U8" s="149">
        <v>5</v>
      </c>
      <c r="V8" s="149">
        <v>18</v>
      </c>
      <c r="W8" s="149">
        <v>12</v>
      </c>
      <c r="X8" s="149">
        <v>10</v>
      </c>
      <c r="Y8" s="149">
        <v>5</v>
      </c>
      <c r="Z8" s="149">
        <v>23</v>
      </c>
      <c r="AA8" s="149">
        <v>11</v>
      </c>
      <c r="AB8" s="149">
        <v>4</v>
      </c>
      <c r="AC8" s="149" t="s">
        <v>28</v>
      </c>
      <c r="AD8" s="149">
        <v>1</v>
      </c>
      <c r="AE8" s="809">
        <v>2</v>
      </c>
    </row>
    <row r="9" spans="1:32" ht="12.75" customHeight="1" thickBot="1">
      <c r="A9" s="1532" t="s">
        <v>31</v>
      </c>
      <c r="B9" s="1533" t="s">
        <v>32</v>
      </c>
      <c r="C9" s="810">
        <v>10</v>
      </c>
      <c r="D9" s="810" t="s">
        <v>28</v>
      </c>
      <c r="E9" s="810" t="s">
        <v>28</v>
      </c>
      <c r="F9" s="810">
        <v>2</v>
      </c>
      <c r="G9" s="810" t="s">
        <v>28</v>
      </c>
      <c r="H9" s="810" t="s">
        <v>28</v>
      </c>
      <c r="I9" s="810" t="s">
        <v>28</v>
      </c>
      <c r="J9" s="810" t="s">
        <v>28</v>
      </c>
      <c r="K9" s="810" t="s">
        <v>28</v>
      </c>
      <c r="L9" s="810" t="s">
        <v>28</v>
      </c>
      <c r="M9" s="810" t="s">
        <v>28</v>
      </c>
      <c r="N9" s="810" t="s">
        <v>28</v>
      </c>
      <c r="O9" s="810">
        <v>2</v>
      </c>
      <c r="P9" s="810" t="s">
        <v>28</v>
      </c>
      <c r="Q9" s="810">
        <v>1</v>
      </c>
      <c r="R9" s="810">
        <v>1</v>
      </c>
      <c r="S9" s="810" t="s">
        <v>28</v>
      </c>
      <c r="T9" s="810" t="s">
        <v>28</v>
      </c>
      <c r="U9" s="810">
        <v>1</v>
      </c>
      <c r="V9" s="810" t="s">
        <v>28</v>
      </c>
      <c r="W9" s="810">
        <v>1</v>
      </c>
      <c r="X9" s="810">
        <v>1</v>
      </c>
      <c r="Y9" s="810">
        <v>1</v>
      </c>
      <c r="Z9" s="810" t="s">
        <v>28</v>
      </c>
      <c r="AA9" s="810" t="s">
        <v>28</v>
      </c>
      <c r="AB9" s="810" t="s">
        <v>28</v>
      </c>
      <c r="AC9" s="810" t="s">
        <v>28</v>
      </c>
      <c r="AD9" s="810" t="s">
        <v>28</v>
      </c>
      <c r="AE9" s="811" t="s">
        <v>28</v>
      </c>
    </row>
    <row r="10" spans="1:32" s="125" customFormat="1" ht="12.75" customHeight="1" thickBot="1">
      <c r="A10" s="1534" t="s">
        <v>33</v>
      </c>
      <c r="B10" s="1534"/>
      <c r="C10" s="1534"/>
      <c r="D10" s="1534"/>
      <c r="E10" s="1534"/>
      <c r="F10" s="1534"/>
      <c r="G10" s="1534"/>
      <c r="H10" s="1534"/>
      <c r="I10" s="1534"/>
      <c r="J10" s="1534"/>
      <c r="K10" s="1534"/>
      <c r="L10" s="1534"/>
      <c r="M10" s="1534"/>
      <c r="N10" s="1534"/>
      <c r="O10" s="1534"/>
      <c r="P10" s="1534"/>
      <c r="Q10" s="1534" t="s">
        <v>34</v>
      </c>
      <c r="R10" s="1534"/>
      <c r="S10" s="1534"/>
      <c r="T10" s="1534"/>
      <c r="U10" s="1534"/>
      <c r="V10" s="1534"/>
      <c r="W10" s="1534"/>
      <c r="X10" s="1534"/>
      <c r="Y10" s="1534"/>
      <c r="Z10" s="1534"/>
      <c r="AA10" s="1534"/>
      <c r="AB10" s="1534"/>
      <c r="AC10" s="1534"/>
      <c r="AD10" s="1534"/>
      <c r="AE10" s="1534"/>
    </row>
    <row r="11" spans="1:32" ht="12.75" customHeight="1">
      <c r="A11" s="128" t="s">
        <v>35</v>
      </c>
      <c r="B11" s="129" t="s">
        <v>36</v>
      </c>
      <c r="C11" s="133">
        <v>31</v>
      </c>
      <c r="D11" s="133" t="s">
        <v>28</v>
      </c>
      <c r="E11" s="133" t="s">
        <v>28</v>
      </c>
      <c r="F11" s="133">
        <v>2</v>
      </c>
      <c r="G11" s="133">
        <v>2</v>
      </c>
      <c r="H11" s="133" t="s">
        <v>28</v>
      </c>
      <c r="I11" s="133">
        <v>1</v>
      </c>
      <c r="J11" s="133">
        <v>1</v>
      </c>
      <c r="K11" s="133" t="s">
        <v>28</v>
      </c>
      <c r="L11" s="133" t="s">
        <v>28</v>
      </c>
      <c r="M11" s="133" t="s">
        <v>28</v>
      </c>
      <c r="N11" s="133" t="s">
        <v>28</v>
      </c>
      <c r="O11" s="133">
        <v>1</v>
      </c>
      <c r="P11" s="134" t="s">
        <v>28</v>
      </c>
      <c r="Q11" s="134">
        <v>1</v>
      </c>
      <c r="R11" s="134">
        <v>2</v>
      </c>
      <c r="S11" s="134" t="s">
        <v>28</v>
      </c>
      <c r="T11" s="134">
        <v>2</v>
      </c>
      <c r="U11" s="134">
        <v>2</v>
      </c>
      <c r="V11" s="134">
        <v>3</v>
      </c>
      <c r="W11" s="134">
        <v>2</v>
      </c>
      <c r="X11" s="134">
        <v>3</v>
      </c>
      <c r="Y11" s="134">
        <v>2</v>
      </c>
      <c r="Z11" s="134">
        <v>5</v>
      </c>
      <c r="AA11" s="134">
        <v>2</v>
      </c>
      <c r="AB11" s="134" t="s">
        <v>28</v>
      </c>
      <c r="AC11" s="133" t="s">
        <v>28</v>
      </c>
      <c r="AD11" s="133" t="s">
        <v>28</v>
      </c>
      <c r="AE11" s="1535" t="s">
        <v>28</v>
      </c>
    </row>
    <row r="12" spans="1:32" ht="12.75" customHeight="1">
      <c r="A12" s="130" t="s">
        <v>29</v>
      </c>
      <c r="B12" s="131" t="s">
        <v>30</v>
      </c>
      <c r="C12" s="135">
        <v>25</v>
      </c>
      <c r="D12" s="135" t="s">
        <v>28</v>
      </c>
      <c r="E12" s="135" t="s">
        <v>28</v>
      </c>
      <c r="F12" s="135">
        <v>2</v>
      </c>
      <c r="G12" s="135">
        <v>2</v>
      </c>
      <c r="H12" s="135" t="s">
        <v>28</v>
      </c>
      <c r="I12" s="135">
        <v>1</v>
      </c>
      <c r="J12" s="135">
        <v>1</v>
      </c>
      <c r="K12" s="135" t="s">
        <v>28</v>
      </c>
      <c r="L12" s="135" t="s">
        <v>28</v>
      </c>
      <c r="M12" s="135" t="s">
        <v>28</v>
      </c>
      <c r="N12" s="135" t="s">
        <v>28</v>
      </c>
      <c r="O12" s="135" t="s">
        <v>28</v>
      </c>
      <c r="P12" s="136" t="s">
        <v>28</v>
      </c>
      <c r="Q12" s="137" t="s">
        <v>28</v>
      </c>
      <c r="R12" s="138">
        <v>1</v>
      </c>
      <c r="S12" s="135" t="s">
        <v>28</v>
      </c>
      <c r="T12" s="135">
        <v>2</v>
      </c>
      <c r="U12" s="135">
        <v>1</v>
      </c>
      <c r="V12" s="135">
        <v>3</v>
      </c>
      <c r="W12" s="135">
        <v>1</v>
      </c>
      <c r="X12" s="135">
        <v>3</v>
      </c>
      <c r="Y12" s="135">
        <v>1</v>
      </c>
      <c r="Z12" s="135">
        <v>5</v>
      </c>
      <c r="AA12" s="135">
        <v>2</v>
      </c>
      <c r="AB12" s="135" t="s">
        <v>28</v>
      </c>
      <c r="AC12" s="135" t="s">
        <v>28</v>
      </c>
      <c r="AD12" s="135" t="s">
        <v>28</v>
      </c>
      <c r="AE12" s="1536" t="s">
        <v>28</v>
      </c>
    </row>
    <row r="13" spans="1:32" ht="12.75" customHeight="1">
      <c r="A13" s="130" t="s">
        <v>31</v>
      </c>
      <c r="B13" s="131" t="s">
        <v>32</v>
      </c>
      <c r="C13" s="135">
        <v>6</v>
      </c>
      <c r="D13" s="135" t="s">
        <v>28</v>
      </c>
      <c r="E13" s="135" t="s">
        <v>28</v>
      </c>
      <c r="F13" s="135" t="s">
        <v>28</v>
      </c>
      <c r="G13" s="135" t="s">
        <v>28</v>
      </c>
      <c r="H13" s="135" t="s">
        <v>28</v>
      </c>
      <c r="I13" s="135" t="s">
        <v>28</v>
      </c>
      <c r="J13" s="135" t="s">
        <v>28</v>
      </c>
      <c r="K13" s="135" t="s">
        <v>28</v>
      </c>
      <c r="L13" s="135" t="s">
        <v>28</v>
      </c>
      <c r="M13" s="135" t="s">
        <v>28</v>
      </c>
      <c r="N13" s="135" t="s">
        <v>28</v>
      </c>
      <c r="O13" s="136">
        <v>1</v>
      </c>
      <c r="P13" s="136" t="s">
        <v>28</v>
      </c>
      <c r="Q13" s="137">
        <v>1</v>
      </c>
      <c r="R13" s="138">
        <v>1</v>
      </c>
      <c r="S13" s="135" t="s">
        <v>28</v>
      </c>
      <c r="T13" s="135" t="s">
        <v>28</v>
      </c>
      <c r="U13" s="135">
        <v>1</v>
      </c>
      <c r="V13" s="135" t="s">
        <v>28</v>
      </c>
      <c r="W13" s="135">
        <v>1</v>
      </c>
      <c r="X13" s="135" t="s">
        <v>28</v>
      </c>
      <c r="Y13" s="135">
        <v>1</v>
      </c>
      <c r="Z13" s="135" t="s">
        <v>28</v>
      </c>
      <c r="AA13" s="135" t="s">
        <v>28</v>
      </c>
      <c r="AB13" s="135" t="s">
        <v>28</v>
      </c>
      <c r="AC13" s="135" t="s">
        <v>28</v>
      </c>
      <c r="AD13" s="135" t="s">
        <v>28</v>
      </c>
      <c r="AE13" s="1536" t="s">
        <v>28</v>
      </c>
    </row>
    <row r="14" spans="1:32" ht="12.75" customHeight="1">
      <c r="A14" s="128" t="s">
        <v>37</v>
      </c>
      <c r="B14" s="129" t="s">
        <v>38</v>
      </c>
      <c r="C14" s="133">
        <v>36</v>
      </c>
      <c r="D14" s="133" t="s">
        <v>28</v>
      </c>
      <c r="E14" s="133" t="s">
        <v>28</v>
      </c>
      <c r="F14" s="133" t="s">
        <v>28</v>
      </c>
      <c r="G14" s="133" t="s">
        <v>28</v>
      </c>
      <c r="H14" s="133" t="s">
        <v>28</v>
      </c>
      <c r="I14" s="133" t="s">
        <v>28</v>
      </c>
      <c r="J14" s="133" t="s">
        <v>28</v>
      </c>
      <c r="K14" s="133" t="s">
        <v>28</v>
      </c>
      <c r="L14" s="133" t="s">
        <v>28</v>
      </c>
      <c r="M14" s="133" t="s">
        <v>28</v>
      </c>
      <c r="N14" s="133">
        <v>1</v>
      </c>
      <c r="O14" s="139">
        <v>2</v>
      </c>
      <c r="P14" s="139">
        <v>1</v>
      </c>
      <c r="Q14" s="140">
        <v>2</v>
      </c>
      <c r="R14" s="141">
        <v>2</v>
      </c>
      <c r="S14" s="133">
        <v>7</v>
      </c>
      <c r="T14" s="133">
        <v>1</v>
      </c>
      <c r="U14" s="133">
        <v>3</v>
      </c>
      <c r="V14" s="133">
        <v>5</v>
      </c>
      <c r="W14" s="133">
        <v>3</v>
      </c>
      <c r="X14" s="133" t="s">
        <v>28</v>
      </c>
      <c r="Y14" s="133">
        <v>2</v>
      </c>
      <c r="Z14" s="133">
        <v>6</v>
      </c>
      <c r="AA14" s="133">
        <v>1</v>
      </c>
      <c r="AB14" s="133" t="s">
        <v>28</v>
      </c>
      <c r="AC14" s="133" t="s">
        <v>28</v>
      </c>
      <c r="AD14" s="133" t="s">
        <v>28</v>
      </c>
      <c r="AE14" s="1535" t="s">
        <v>28</v>
      </c>
    </row>
    <row r="15" spans="1:32" ht="12.75" customHeight="1">
      <c r="A15" s="130" t="s">
        <v>29</v>
      </c>
      <c r="B15" s="131" t="s">
        <v>30</v>
      </c>
      <c r="C15" s="135">
        <v>36</v>
      </c>
      <c r="D15" s="135" t="s">
        <v>28</v>
      </c>
      <c r="E15" s="135" t="s">
        <v>28</v>
      </c>
      <c r="F15" s="135" t="s">
        <v>28</v>
      </c>
      <c r="G15" s="135" t="s">
        <v>28</v>
      </c>
      <c r="H15" s="135" t="s">
        <v>28</v>
      </c>
      <c r="I15" s="135" t="s">
        <v>28</v>
      </c>
      <c r="J15" s="135" t="s">
        <v>28</v>
      </c>
      <c r="K15" s="135" t="s">
        <v>28</v>
      </c>
      <c r="L15" s="135" t="s">
        <v>28</v>
      </c>
      <c r="M15" s="135" t="s">
        <v>28</v>
      </c>
      <c r="N15" s="135">
        <v>1</v>
      </c>
      <c r="O15" s="136">
        <v>2</v>
      </c>
      <c r="P15" s="136">
        <v>1</v>
      </c>
      <c r="Q15" s="137">
        <v>2</v>
      </c>
      <c r="R15" s="138">
        <v>2</v>
      </c>
      <c r="S15" s="135">
        <v>7</v>
      </c>
      <c r="T15" s="135">
        <v>1</v>
      </c>
      <c r="U15" s="135">
        <v>3</v>
      </c>
      <c r="V15" s="135">
        <v>5</v>
      </c>
      <c r="W15" s="135">
        <v>3</v>
      </c>
      <c r="X15" s="135" t="s">
        <v>28</v>
      </c>
      <c r="Y15" s="135">
        <v>2</v>
      </c>
      <c r="Z15" s="135">
        <v>6</v>
      </c>
      <c r="AA15" s="135">
        <v>1</v>
      </c>
      <c r="AB15" s="135" t="s">
        <v>28</v>
      </c>
      <c r="AC15" s="135" t="s">
        <v>28</v>
      </c>
      <c r="AD15" s="135" t="s">
        <v>28</v>
      </c>
      <c r="AE15" s="1536" t="s">
        <v>28</v>
      </c>
    </row>
    <row r="16" spans="1:32" ht="12.75" customHeight="1">
      <c r="A16" s="130" t="s">
        <v>31</v>
      </c>
      <c r="B16" s="131" t="s">
        <v>32</v>
      </c>
      <c r="C16" s="135" t="s">
        <v>28</v>
      </c>
      <c r="D16" s="135" t="s">
        <v>28</v>
      </c>
      <c r="E16" s="135" t="s">
        <v>28</v>
      </c>
      <c r="F16" s="135" t="s">
        <v>28</v>
      </c>
      <c r="G16" s="135" t="s">
        <v>28</v>
      </c>
      <c r="H16" s="135" t="s">
        <v>28</v>
      </c>
      <c r="I16" s="135" t="s">
        <v>28</v>
      </c>
      <c r="J16" s="135" t="s">
        <v>28</v>
      </c>
      <c r="K16" s="135" t="s">
        <v>28</v>
      </c>
      <c r="L16" s="135" t="s">
        <v>28</v>
      </c>
      <c r="M16" s="135" t="s">
        <v>28</v>
      </c>
      <c r="N16" s="135" t="s">
        <v>28</v>
      </c>
      <c r="O16" s="136" t="s">
        <v>28</v>
      </c>
      <c r="P16" s="136" t="s">
        <v>28</v>
      </c>
      <c r="Q16" s="137" t="s">
        <v>28</v>
      </c>
      <c r="R16" s="138" t="s">
        <v>28</v>
      </c>
      <c r="S16" s="135" t="s">
        <v>28</v>
      </c>
      <c r="T16" s="135" t="s">
        <v>28</v>
      </c>
      <c r="U16" s="135" t="s">
        <v>28</v>
      </c>
      <c r="V16" s="135" t="s">
        <v>28</v>
      </c>
      <c r="W16" s="135" t="s">
        <v>28</v>
      </c>
      <c r="X16" s="135" t="s">
        <v>28</v>
      </c>
      <c r="Y16" s="135" t="s">
        <v>28</v>
      </c>
      <c r="Z16" s="135" t="s">
        <v>28</v>
      </c>
      <c r="AA16" s="135" t="s">
        <v>28</v>
      </c>
      <c r="AB16" s="135" t="s">
        <v>28</v>
      </c>
      <c r="AC16" s="135" t="s">
        <v>28</v>
      </c>
      <c r="AD16" s="135" t="s">
        <v>28</v>
      </c>
      <c r="AE16" s="1536" t="s">
        <v>28</v>
      </c>
    </row>
    <row r="17" spans="1:31" ht="12.75" customHeight="1">
      <c r="A17" s="128" t="s">
        <v>39</v>
      </c>
      <c r="B17" s="129" t="s">
        <v>40</v>
      </c>
      <c r="C17" s="133">
        <v>42</v>
      </c>
      <c r="D17" s="133" t="s">
        <v>28</v>
      </c>
      <c r="E17" s="133" t="s">
        <v>28</v>
      </c>
      <c r="F17" s="133" t="s">
        <v>28</v>
      </c>
      <c r="G17" s="133" t="s">
        <v>28</v>
      </c>
      <c r="H17" s="133" t="s">
        <v>28</v>
      </c>
      <c r="I17" s="133" t="s">
        <v>28</v>
      </c>
      <c r="J17" s="133" t="s">
        <v>28</v>
      </c>
      <c r="K17" s="133" t="s">
        <v>28</v>
      </c>
      <c r="L17" s="133" t="s">
        <v>28</v>
      </c>
      <c r="M17" s="133" t="s">
        <v>28</v>
      </c>
      <c r="N17" s="133">
        <v>1</v>
      </c>
      <c r="O17" s="133">
        <v>3</v>
      </c>
      <c r="P17" s="139" t="s">
        <v>28</v>
      </c>
      <c r="Q17" s="139">
        <v>2</v>
      </c>
      <c r="R17" s="139" t="s">
        <v>28</v>
      </c>
      <c r="S17" s="139" t="s">
        <v>28</v>
      </c>
      <c r="T17" s="139">
        <v>1</v>
      </c>
      <c r="U17" s="139">
        <v>1</v>
      </c>
      <c r="V17" s="139">
        <v>6</v>
      </c>
      <c r="W17" s="139">
        <v>5</v>
      </c>
      <c r="X17" s="139">
        <v>8</v>
      </c>
      <c r="Y17" s="139">
        <v>2</v>
      </c>
      <c r="Z17" s="139">
        <v>6</v>
      </c>
      <c r="AA17" s="139">
        <v>3</v>
      </c>
      <c r="AB17" s="139">
        <v>4</v>
      </c>
      <c r="AC17" s="133" t="s">
        <v>28</v>
      </c>
      <c r="AD17" s="133" t="s">
        <v>28</v>
      </c>
      <c r="AE17" s="1535" t="s">
        <v>28</v>
      </c>
    </row>
    <row r="18" spans="1:31" ht="12.75" customHeight="1">
      <c r="A18" s="130" t="s">
        <v>29</v>
      </c>
      <c r="B18" s="131" t="s">
        <v>30</v>
      </c>
      <c r="C18" s="135">
        <v>40</v>
      </c>
      <c r="D18" s="135" t="s">
        <v>28</v>
      </c>
      <c r="E18" s="135" t="s">
        <v>28</v>
      </c>
      <c r="F18" s="135" t="s">
        <v>28</v>
      </c>
      <c r="G18" s="135" t="s">
        <v>28</v>
      </c>
      <c r="H18" s="135" t="s">
        <v>28</v>
      </c>
      <c r="I18" s="135" t="s">
        <v>28</v>
      </c>
      <c r="J18" s="135" t="s">
        <v>28</v>
      </c>
      <c r="K18" s="135" t="s">
        <v>28</v>
      </c>
      <c r="L18" s="135" t="s">
        <v>28</v>
      </c>
      <c r="M18" s="135" t="s">
        <v>28</v>
      </c>
      <c r="N18" s="135">
        <v>1</v>
      </c>
      <c r="O18" s="135">
        <v>2</v>
      </c>
      <c r="P18" s="136" t="s">
        <v>28</v>
      </c>
      <c r="Q18" s="137">
        <v>2</v>
      </c>
      <c r="R18" s="138" t="s">
        <v>28</v>
      </c>
      <c r="S18" s="135" t="s">
        <v>28</v>
      </c>
      <c r="T18" s="135">
        <v>1</v>
      </c>
      <c r="U18" s="135">
        <v>1</v>
      </c>
      <c r="V18" s="135">
        <v>6</v>
      </c>
      <c r="W18" s="135">
        <v>5</v>
      </c>
      <c r="X18" s="135">
        <v>7</v>
      </c>
      <c r="Y18" s="135">
        <v>2</v>
      </c>
      <c r="Z18" s="135">
        <v>6</v>
      </c>
      <c r="AA18" s="135">
        <v>3</v>
      </c>
      <c r="AB18" s="135">
        <v>4</v>
      </c>
      <c r="AC18" s="135" t="s">
        <v>28</v>
      </c>
      <c r="AD18" s="135" t="s">
        <v>28</v>
      </c>
      <c r="AE18" s="1536" t="s">
        <v>28</v>
      </c>
    </row>
    <row r="19" spans="1:31" ht="12.75" customHeight="1">
      <c r="A19" s="130" t="s">
        <v>31</v>
      </c>
      <c r="B19" s="131" t="s">
        <v>32</v>
      </c>
      <c r="C19" s="135">
        <v>2</v>
      </c>
      <c r="D19" s="135" t="s">
        <v>28</v>
      </c>
      <c r="E19" s="135" t="s">
        <v>28</v>
      </c>
      <c r="F19" s="135" t="s">
        <v>28</v>
      </c>
      <c r="G19" s="135" t="s">
        <v>28</v>
      </c>
      <c r="H19" s="135" t="s">
        <v>28</v>
      </c>
      <c r="I19" s="135" t="s">
        <v>28</v>
      </c>
      <c r="J19" s="135" t="s">
        <v>28</v>
      </c>
      <c r="K19" s="135" t="s">
        <v>28</v>
      </c>
      <c r="L19" s="135" t="s">
        <v>28</v>
      </c>
      <c r="M19" s="135" t="s">
        <v>28</v>
      </c>
      <c r="N19" s="135" t="s">
        <v>28</v>
      </c>
      <c r="O19" s="136">
        <v>1</v>
      </c>
      <c r="P19" s="136" t="s">
        <v>28</v>
      </c>
      <c r="Q19" s="137" t="s">
        <v>28</v>
      </c>
      <c r="R19" s="138" t="s">
        <v>28</v>
      </c>
      <c r="S19" s="136" t="s">
        <v>28</v>
      </c>
      <c r="T19" s="136" t="s">
        <v>28</v>
      </c>
      <c r="U19" s="136" t="s">
        <v>28</v>
      </c>
      <c r="V19" s="136" t="s">
        <v>28</v>
      </c>
      <c r="W19" s="136" t="s">
        <v>28</v>
      </c>
      <c r="X19" s="136">
        <v>1</v>
      </c>
      <c r="Y19" s="136" t="s">
        <v>28</v>
      </c>
      <c r="Z19" s="136" t="s">
        <v>28</v>
      </c>
      <c r="AA19" s="136" t="s">
        <v>28</v>
      </c>
      <c r="AB19" s="136" t="s">
        <v>28</v>
      </c>
      <c r="AC19" s="136" t="s">
        <v>28</v>
      </c>
      <c r="AD19" s="136" t="s">
        <v>28</v>
      </c>
      <c r="AE19" s="142" t="s">
        <v>28</v>
      </c>
    </row>
    <row r="20" spans="1:31" ht="12.75" customHeight="1">
      <c r="A20" s="128" t="s">
        <v>41</v>
      </c>
      <c r="B20" s="129" t="s">
        <v>42</v>
      </c>
      <c r="C20" s="133">
        <v>27</v>
      </c>
      <c r="D20" s="133" t="s">
        <v>28</v>
      </c>
      <c r="E20" s="133" t="s">
        <v>28</v>
      </c>
      <c r="F20" s="133" t="s">
        <v>28</v>
      </c>
      <c r="G20" s="133" t="s">
        <v>28</v>
      </c>
      <c r="H20" s="133" t="s">
        <v>28</v>
      </c>
      <c r="I20" s="133" t="s">
        <v>28</v>
      </c>
      <c r="J20" s="133" t="s">
        <v>28</v>
      </c>
      <c r="K20" s="133" t="s">
        <v>28</v>
      </c>
      <c r="L20" s="133" t="s">
        <v>28</v>
      </c>
      <c r="M20" s="133" t="s">
        <v>28</v>
      </c>
      <c r="N20" s="133">
        <v>1</v>
      </c>
      <c r="O20" s="133" t="s">
        <v>28</v>
      </c>
      <c r="P20" s="139">
        <v>1</v>
      </c>
      <c r="Q20" s="139">
        <v>1</v>
      </c>
      <c r="R20" s="139">
        <v>1</v>
      </c>
      <c r="S20" s="139">
        <v>3</v>
      </c>
      <c r="T20" s="139">
        <v>1</v>
      </c>
      <c r="U20" s="139" t="s">
        <v>28</v>
      </c>
      <c r="V20" s="139">
        <v>3</v>
      </c>
      <c r="W20" s="139">
        <v>2</v>
      </c>
      <c r="X20" s="139" t="s">
        <v>28</v>
      </c>
      <c r="Y20" s="139" t="s">
        <v>28</v>
      </c>
      <c r="Z20" s="139">
        <v>6</v>
      </c>
      <c r="AA20" s="139">
        <v>5</v>
      </c>
      <c r="AB20" s="139" t="s">
        <v>28</v>
      </c>
      <c r="AC20" s="133" t="s">
        <v>28</v>
      </c>
      <c r="AD20" s="133">
        <v>1</v>
      </c>
      <c r="AE20" s="1535">
        <v>2</v>
      </c>
    </row>
    <row r="21" spans="1:31" ht="12.75" customHeight="1">
      <c r="A21" s="130" t="s">
        <v>29</v>
      </c>
      <c r="B21" s="131" t="s">
        <v>30</v>
      </c>
      <c r="C21" s="135">
        <v>27</v>
      </c>
      <c r="D21" s="135" t="s">
        <v>28</v>
      </c>
      <c r="E21" s="135" t="s">
        <v>28</v>
      </c>
      <c r="F21" s="135" t="s">
        <v>28</v>
      </c>
      <c r="G21" s="135" t="s">
        <v>28</v>
      </c>
      <c r="H21" s="135" t="s">
        <v>28</v>
      </c>
      <c r="I21" s="135" t="s">
        <v>28</v>
      </c>
      <c r="J21" s="135" t="s">
        <v>28</v>
      </c>
      <c r="K21" s="135" t="s">
        <v>28</v>
      </c>
      <c r="L21" s="135" t="s">
        <v>28</v>
      </c>
      <c r="M21" s="135" t="s">
        <v>28</v>
      </c>
      <c r="N21" s="135">
        <v>1</v>
      </c>
      <c r="O21" s="136" t="s">
        <v>28</v>
      </c>
      <c r="P21" s="136">
        <v>1</v>
      </c>
      <c r="Q21" s="137">
        <v>1</v>
      </c>
      <c r="R21" s="138">
        <v>1</v>
      </c>
      <c r="S21" s="135">
        <v>3</v>
      </c>
      <c r="T21" s="135">
        <v>1</v>
      </c>
      <c r="U21" s="135" t="s">
        <v>28</v>
      </c>
      <c r="V21" s="135">
        <v>3</v>
      </c>
      <c r="W21" s="135">
        <v>2</v>
      </c>
      <c r="X21" s="135" t="s">
        <v>28</v>
      </c>
      <c r="Y21" s="135" t="s">
        <v>28</v>
      </c>
      <c r="Z21" s="135">
        <v>6</v>
      </c>
      <c r="AA21" s="135">
        <v>5</v>
      </c>
      <c r="AB21" s="135" t="s">
        <v>28</v>
      </c>
      <c r="AC21" s="135" t="s">
        <v>28</v>
      </c>
      <c r="AD21" s="135">
        <v>1</v>
      </c>
      <c r="AE21" s="1536">
        <v>2</v>
      </c>
    </row>
    <row r="22" spans="1:31" ht="12.75" customHeight="1">
      <c r="A22" s="130" t="s">
        <v>31</v>
      </c>
      <c r="B22" s="131" t="s">
        <v>32</v>
      </c>
      <c r="C22" s="135" t="s">
        <v>28</v>
      </c>
      <c r="D22" s="135" t="s">
        <v>28</v>
      </c>
      <c r="E22" s="135" t="s">
        <v>28</v>
      </c>
      <c r="F22" s="135" t="s">
        <v>28</v>
      </c>
      <c r="G22" s="135" t="s">
        <v>28</v>
      </c>
      <c r="H22" s="135" t="s">
        <v>28</v>
      </c>
      <c r="I22" s="135" t="s">
        <v>28</v>
      </c>
      <c r="J22" s="135" t="s">
        <v>28</v>
      </c>
      <c r="K22" s="135" t="s">
        <v>28</v>
      </c>
      <c r="L22" s="135" t="s">
        <v>28</v>
      </c>
      <c r="M22" s="135" t="s">
        <v>28</v>
      </c>
      <c r="N22" s="135" t="s">
        <v>28</v>
      </c>
      <c r="O22" s="136" t="s">
        <v>28</v>
      </c>
      <c r="P22" s="136" t="s">
        <v>28</v>
      </c>
      <c r="Q22" s="137" t="s">
        <v>28</v>
      </c>
      <c r="R22" s="138" t="s">
        <v>28</v>
      </c>
      <c r="S22" s="135" t="s">
        <v>28</v>
      </c>
      <c r="T22" s="135" t="s">
        <v>28</v>
      </c>
      <c r="U22" s="135" t="s">
        <v>28</v>
      </c>
      <c r="V22" s="135" t="s">
        <v>28</v>
      </c>
      <c r="W22" s="135" t="s">
        <v>28</v>
      </c>
      <c r="X22" s="135" t="s">
        <v>28</v>
      </c>
      <c r="Y22" s="135" t="s">
        <v>28</v>
      </c>
      <c r="Z22" s="135" t="s">
        <v>28</v>
      </c>
      <c r="AA22" s="135" t="s">
        <v>28</v>
      </c>
      <c r="AB22" s="135" t="s">
        <v>28</v>
      </c>
      <c r="AC22" s="135" t="s">
        <v>28</v>
      </c>
      <c r="AD22" s="135" t="s">
        <v>28</v>
      </c>
      <c r="AE22" s="1536" t="s">
        <v>28</v>
      </c>
    </row>
    <row r="23" spans="1:31" ht="12.75" customHeight="1">
      <c r="A23" s="128" t="s">
        <v>43</v>
      </c>
      <c r="B23" s="129" t="s">
        <v>44</v>
      </c>
      <c r="C23" s="133">
        <v>9</v>
      </c>
      <c r="D23" s="133" t="s">
        <v>28</v>
      </c>
      <c r="E23" s="133" t="s">
        <v>28</v>
      </c>
      <c r="F23" s="133">
        <v>3</v>
      </c>
      <c r="G23" s="133">
        <v>3</v>
      </c>
      <c r="H23" s="133" t="s">
        <v>28</v>
      </c>
      <c r="I23" s="133" t="s">
        <v>28</v>
      </c>
      <c r="J23" s="133">
        <v>1</v>
      </c>
      <c r="K23" s="133" t="s">
        <v>28</v>
      </c>
      <c r="L23" s="133" t="s">
        <v>28</v>
      </c>
      <c r="M23" s="133" t="s">
        <v>28</v>
      </c>
      <c r="N23" s="133" t="s">
        <v>28</v>
      </c>
      <c r="O23" s="139" t="s">
        <v>28</v>
      </c>
      <c r="P23" s="139" t="s">
        <v>28</v>
      </c>
      <c r="Q23" s="140" t="s">
        <v>28</v>
      </c>
      <c r="R23" s="141" t="s">
        <v>28</v>
      </c>
      <c r="S23" s="133" t="s">
        <v>28</v>
      </c>
      <c r="T23" s="133" t="s">
        <v>28</v>
      </c>
      <c r="U23" s="133" t="s">
        <v>28</v>
      </c>
      <c r="V23" s="133">
        <v>1</v>
      </c>
      <c r="W23" s="133">
        <v>1</v>
      </c>
      <c r="X23" s="133" t="s">
        <v>28</v>
      </c>
      <c r="Y23" s="133" t="s">
        <v>28</v>
      </c>
      <c r="Z23" s="133" t="s">
        <v>28</v>
      </c>
      <c r="AA23" s="133" t="s">
        <v>28</v>
      </c>
      <c r="AB23" s="133" t="s">
        <v>28</v>
      </c>
      <c r="AC23" s="133" t="s">
        <v>28</v>
      </c>
      <c r="AD23" s="133" t="s">
        <v>28</v>
      </c>
      <c r="AE23" s="1535" t="s">
        <v>28</v>
      </c>
    </row>
    <row r="24" spans="1:31" ht="12.75" customHeight="1">
      <c r="A24" s="130" t="s">
        <v>29</v>
      </c>
      <c r="B24" s="131" t="s">
        <v>30</v>
      </c>
      <c r="C24" s="135">
        <v>7</v>
      </c>
      <c r="D24" s="135" t="s">
        <v>28</v>
      </c>
      <c r="E24" s="135" t="s">
        <v>28</v>
      </c>
      <c r="F24" s="135">
        <v>1</v>
      </c>
      <c r="G24" s="135">
        <v>3</v>
      </c>
      <c r="H24" s="135" t="s">
        <v>28</v>
      </c>
      <c r="I24" s="135" t="s">
        <v>28</v>
      </c>
      <c r="J24" s="135">
        <v>1</v>
      </c>
      <c r="K24" s="135" t="s">
        <v>28</v>
      </c>
      <c r="L24" s="135" t="s">
        <v>28</v>
      </c>
      <c r="M24" s="135" t="s">
        <v>28</v>
      </c>
      <c r="N24" s="135" t="s">
        <v>28</v>
      </c>
      <c r="O24" s="136" t="s">
        <v>28</v>
      </c>
      <c r="P24" s="136" t="s">
        <v>28</v>
      </c>
      <c r="Q24" s="137" t="s">
        <v>28</v>
      </c>
      <c r="R24" s="138" t="s">
        <v>28</v>
      </c>
      <c r="S24" s="135" t="s">
        <v>28</v>
      </c>
      <c r="T24" s="135" t="s">
        <v>28</v>
      </c>
      <c r="U24" s="135" t="s">
        <v>28</v>
      </c>
      <c r="V24" s="135">
        <v>1</v>
      </c>
      <c r="W24" s="135">
        <v>1</v>
      </c>
      <c r="X24" s="135" t="s">
        <v>28</v>
      </c>
      <c r="Y24" s="135" t="s">
        <v>28</v>
      </c>
      <c r="Z24" s="135" t="s">
        <v>28</v>
      </c>
      <c r="AA24" s="135" t="s">
        <v>28</v>
      </c>
      <c r="AB24" s="135" t="s">
        <v>28</v>
      </c>
      <c r="AC24" s="135" t="s">
        <v>28</v>
      </c>
      <c r="AD24" s="135" t="s">
        <v>28</v>
      </c>
      <c r="AE24" s="1536" t="s">
        <v>28</v>
      </c>
    </row>
    <row r="25" spans="1:31" ht="12.75" customHeight="1" thickBot="1">
      <c r="A25" s="1532" t="s">
        <v>31</v>
      </c>
      <c r="B25" s="1533" t="s">
        <v>32</v>
      </c>
      <c r="C25" s="1537">
        <v>2</v>
      </c>
      <c r="D25" s="1537" t="s">
        <v>28</v>
      </c>
      <c r="E25" s="1537" t="s">
        <v>28</v>
      </c>
      <c r="F25" s="1537">
        <v>2</v>
      </c>
      <c r="G25" s="1537" t="s">
        <v>28</v>
      </c>
      <c r="H25" s="1537" t="s">
        <v>28</v>
      </c>
      <c r="I25" s="1537" t="s">
        <v>28</v>
      </c>
      <c r="J25" s="1537" t="s">
        <v>28</v>
      </c>
      <c r="K25" s="1537" t="s">
        <v>28</v>
      </c>
      <c r="L25" s="1537" t="s">
        <v>28</v>
      </c>
      <c r="M25" s="1537" t="s">
        <v>28</v>
      </c>
      <c r="N25" s="1537" t="s">
        <v>28</v>
      </c>
      <c r="O25" s="144" t="s">
        <v>28</v>
      </c>
      <c r="P25" s="144" t="s">
        <v>28</v>
      </c>
      <c r="Q25" s="145" t="s">
        <v>28</v>
      </c>
      <c r="R25" s="146" t="s">
        <v>28</v>
      </c>
      <c r="S25" s="1537" t="s">
        <v>28</v>
      </c>
      <c r="T25" s="1537" t="s">
        <v>28</v>
      </c>
      <c r="U25" s="1537" t="s">
        <v>28</v>
      </c>
      <c r="V25" s="1537" t="s">
        <v>28</v>
      </c>
      <c r="W25" s="1537" t="s">
        <v>28</v>
      </c>
      <c r="X25" s="1537" t="s">
        <v>28</v>
      </c>
      <c r="Y25" s="1537" t="s">
        <v>28</v>
      </c>
      <c r="Z25" s="1537" t="s">
        <v>28</v>
      </c>
      <c r="AA25" s="1537" t="s">
        <v>28</v>
      </c>
      <c r="AB25" s="1537" t="s">
        <v>28</v>
      </c>
      <c r="AC25" s="1537" t="s">
        <v>28</v>
      </c>
      <c r="AD25" s="1537" t="s">
        <v>28</v>
      </c>
      <c r="AE25" s="1538" t="s">
        <v>28</v>
      </c>
    </row>
    <row r="26" spans="1:31" s="125" customFormat="1" ht="12.75" customHeight="1" thickBot="1">
      <c r="A26" s="1539" t="s">
        <v>45</v>
      </c>
      <c r="B26" s="1539"/>
      <c r="C26" s="1539"/>
      <c r="D26" s="1539"/>
      <c r="E26" s="1539"/>
      <c r="F26" s="1539"/>
      <c r="G26" s="1539"/>
      <c r="H26" s="1539"/>
      <c r="I26" s="1539"/>
      <c r="J26" s="1539"/>
      <c r="K26" s="1539"/>
      <c r="L26" s="1539"/>
      <c r="M26" s="1539"/>
      <c r="N26" s="1539"/>
      <c r="O26" s="1539"/>
      <c r="P26" s="1539"/>
      <c r="Q26" s="1539" t="s">
        <v>46</v>
      </c>
      <c r="R26" s="1539"/>
      <c r="S26" s="1539"/>
      <c r="T26" s="1539"/>
      <c r="U26" s="1539"/>
      <c r="V26" s="1539"/>
      <c r="W26" s="1539"/>
      <c r="X26" s="1539"/>
      <c r="Y26" s="1539"/>
      <c r="Z26" s="1539"/>
      <c r="AA26" s="1539"/>
      <c r="AB26" s="1539"/>
      <c r="AC26" s="1539"/>
      <c r="AD26" s="1539"/>
      <c r="AE26" s="1539"/>
    </row>
    <row r="27" spans="1:31" ht="12.75" customHeight="1">
      <c r="A27" s="128" t="s">
        <v>47</v>
      </c>
      <c r="B27" s="129" t="s">
        <v>48</v>
      </c>
      <c r="C27" s="148">
        <v>11</v>
      </c>
      <c r="D27" s="148" t="s">
        <v>28</v>
      </c>
      <c r="E27" s="148" t="s">
        <v>28</v>
      </c>
      <c r="F27" s="148" t="s">
        <v>28</v>
      </c>
      <c r="G27" s="148">
        <v>1</v>
      </c>
      <c r="H27" s="148" t="s">
        <v>28</v>
      </c>
      <c r="I27" s="148" t="s">
        <v>28</v>
      </c>
      <c r="J27" s="148" t="s">
        <v>28</v>
      </c>
      <c r="K27" s="148" t="s">
        <v>28</v>
      </c>
      <c r="L27" s="148" t="s">
        <v>28</v>
      </c>
      <c r="M27" s="148" t="s">
        <v>28</v>
      </c>
      <c r="N27" s="148" t="s">
        <v>28</v>
      </c>
      <c r="O27" s="148">
        <v>1</v>
      </c>
      <c r="P27" s="148" t="s">
        <v>28</v>
      </c>
      <c r="Q27" s="148">
        <v>1</v>
      </c>
      <c r="R27" s="148" t="s">
        <v>28</v>
      </c>
      <c r="S27" s="148" t="s">
        <v>28</v>
      </c>
      <c r="T27" s="148">
        <v>1</v>
      </c>
      <c r="U27" s="148">
        <v>1</v>
      </c>
      <c r="V27" s="148">
        <v>2</v>
      </c>
      <c r="W27" s="148" t="s">
        <v>28</v>
      </c>
      <c r="X27" s="148" t="s">
        <v>28</v>
      </c>
      <c r="Y27" s="148" t="s">
        <v>28</v>
      </c>
      <c r="Z27" s="148">
        <v>4</v>
      </c>
      <c r="AA27" s="148" t="s">
        <v>28</v>
      </c>
      <c r="AB27" s="148" t="s">
        <v>28</v>
      </c>
      <c r="AC27" s="148" t="s">
        <v>28</v>
      </c>
      <c r="AD27" s="148" t="s">
        <v>28</v>
      </c>
      <c r="AE27" s="812" t="s">
        <v>28</v>
      </c>
    </row>
    <row r="28" spans="1:31" ht="12.75" customHeight="1">
      <c r="A28" s="130" t="s">
        <v>29</v>
      </c>
      <c r="B28" s="131" t="s">
        <v>30</v>
      </c>
      <c r="C28" s="149">
        <v>8</v>
      </c>
      <c r="D28" s="149" t="s">
        <v>28</v>
      </c>
      <c r="E28" s="149" t="s">
        <v>28</v>
      </c>
      <c r="F28" s="149" t="s">
        <v>28</v>
      </c>
      <c r="G28" s="149">
        <v>1</v>
      </c>
      <c r="H28" s="149" t="s">
        <v>28</v>
      </c>
      <c r="I28" s="149" t="s">
        <v>28</v>
      </c>
      <c r="J28" s="149" t="s">
        <v>28</v>
      </c>
      <c r="K28" s="149" t="s">
        <v>28</v>
      </c>
      <c r="L28" s="149" t="s">
        <v>28</v>
      </c>
      <c r="M28" s="149" t="s">
        <v>28</v>
      </c>
      <c r="N28" s="149" t="s">
        <v>28</v>
      </c>
      <c r="O28" s="149" t="s">
        <v>28</v>
      </c>
      <c r="P28" s="149" t="s">
        <v>28</v>
      </c>
      <c r="Q28" s="149" t="s">
        <v>28</v>
      </c>
      <c r="R28" s="149" t="s">
        <v>28</v>
      </c>
      <c r="S28" s="149" t="s">
        <v>28</v>
      </c>
      <c r="T28" s="149">
        <v>1</v>
      </c>
      <c r="U28" s="149" t="s">
        <v>28</v>
      </c>
      <c r="V28" s="149">
        <v>2</v>
      </c>
      <c r="W28" s="149" t="s">
        <v>28</v>
      </c>
      <c r="X28" s="149" t="s">
        <v>28</v>
      </c>
      <c r="Y28" s="149" t="s">
        <v>28</v>
      </c>
      <c r="Z28" s="149">
        <v>4</v>
      </c>
      <c r="AA28" s="149" t="s">
        <v>28</v>
      </c>
      <c r="AB28" s="149" t="s">
        <v>28</v>
      </c>
      <c r="AC28" s="149" t="s">
        <v>28</v>
      </c>
      <c r="AD28" s="149" t="s">
        <v>28</v>
      </c>
      <c r="AE28" s="809" t="s">
        <v>28</v>
      </c>
    </row>
    <row r="29" spans="1:31" ht="12.75" customHeight="1">
      <c r="A29" s="130" t="s">
        <v>31</v>
      </c>
      <c r="B29" s="131" t="s">
        <v>32</v>
      </c>
      <c r="C29" s="149">
        <v>3</v>
      </c>
      <c r="D29" s="149" t="s">
        <v>28</v>
      </c>
      <c r="E29" s="149" t="s">
        <v>28</v>
      </c>
      <c r="F29" s="149" t="s">
        <v>28</v>
      </c>
      <c r="G29" s="149" t="s">
        <v>28</v>
      </c>
      <c r="H29" s="149" t="s">
        <v>28</v>
      </c>
      <c r="I29" s="149" t="s">
        <v>28</v>
      </c>
      <c r="J29" s="149" t="s">
        <v>28</v>
      </c>
      <c r="K29" s="149" t="s">
        <v>28</v>
      </c>
      <c r="L29" s="149" t="s">
        <v>28</v>
      </c>
      <c r="M29" s="149" t="s">
        <v>28</v>
      </c>
      <c r="N29" s="149" t="s">
        <v>28</v>
      </c>
      <c r="O29" s="149">
        <v>1</v>
      </c>
      <c r="P29" s="149" t="s">
        <v>28</v>
      </c>
      <c r="Q29" s="149">
        <v>1</v>
      </c>
      <c r="R29" s="149" t="s">
        <v>28</v>
      </c>
      <c r="S29" s="149" t="s">
        <v>28</v>
      </c>
      <c r="T29" s="149" t="s">
        <v>28</v>
      </c>
      <c r="U29" s="149">
        <v>1</v>
      </c>
      <c r="V29" s="149" t="s">
        <v>28</v>
      </c>
      <c r="W29" s="149" t="s">
        <v>28</v>
      </c>
      <c r="X29" s="149" t="s">
        <v>28</v>
      </c>
      <c r="Y29" s="149" t="s">
        <v>28</v>
      </c>
      <c r="Z29" s="149" t="s">
        <v>28</v>
      </c>
      <c r="AA29" s="149" t="s">
        <v>28</v>
      </c>
      <c r="AB29" s="149" t="s">
        <v>28</v>
      </c>
      <c r="AC29" s="149" t="s">
        <v>28</v>
      </c>
      <c r="AD29" s="149" t="s">
        <v>28</v>
      </c>
      <c r="AE29" s="809" t="s">
        <v>28</v>
      </c>
    </row>
    <row r="30" spans="1:31" ht="12.75" customHeight="1">
      <c r="A30" s="128" t="s">
        <v>49</v>
      </c>
      <c r="B30" s="129" t="s">
        <v>50</v>
      </c>
      <c r="C30" s="150">
        <v>3</v>
      </c>
      <c r="D30" s="150" t="s">
        <v>28</v>
      </c>
      <c r="E30" s="150" t="s">
        <v>28</v>
      </c>
      <c r="F30" s="150" t="s">
        <v>28</v>
      </c>
      <c r="G30" s="150" t="s">
        <v>28</v>
      </c>
      <c r="H30" s="150" t="s">
        <v>28</v>
      </c>
      <c r="I30" s="150" t="s">
        <v>28</v>
      </c>
      <c r="J30" s="150" t="s">
        <v>28</v>
      </c>
      <c r="K30" s="150" t="s">
        <v>28</v>
      </c>
      <c r="L30" s="150" t="s">
        <v>28</v>
      </c>
      <c r="M30" s="150" t="s">
        <v>28</v>
      </c>
      <c r="N30" s="150" t="s">
        <v>28</v>
      </c>
      <c r="O30" s="150" t="s">
        <v>28</v>
      </c>
      <c r="P30" s="150" t="s">
        <v>28</v>
      </c>
      <c r="Q30" s="150" t="s">
        <v>28</v>
      </c>
      <c r="R30" s="150">
        <v>1</v>
      </c>
      <c r="S30" s="150" t="s">
        <v>28</v>
      </c>
      <c r="T30" s="150" t="s">
        <v>28</v>
      </c>
      <c r="U30" s="150">
        <v>1</v>
      </c>
      <c r="V30" s="150" t="s">
        <v>28</v>
      </c>
      <c r="W30" s="150">
        <v>1</v>
      </c>
      <c r="X30" s="150" t="s">
        <v>28</v>
      </c>
      <c r="Y30" s="150" t="s">
        <v>28</v>
      </c>
      <c r="Z30" s="150" t="s">
        <v>28</v>
      </c>
      <c r="AA30" s="150" t="s">
        <v>28</v>
      </c>
      <c r="AB30" s="150" t="s">
        <v>28</v>
      </c>
      <c r="AC30" s="150" t="s">
        <v>28</v>
      </c>
      <c r="AD30" s="150" t="s">
        <v>28</v>
      </c>
      <c r="AE30" s="813" t="s">
        <v>28</v>
      </c>
    </row>
    <row r="31" spans="1:31" ht="12.75" customHeight="1">
      <c r="A31" s="130" t="s">
        <v>29</v>
      </c>
      <c r="B31" s="131" t="s">
        <v>30</v>
      </c>
      <c r="C31" s="149">
        <v>1</v>
      </c>
      <c r="D31" s="149" t="s">
        <v>28</v>
      </c>
      <c r="E31" s="149" t="s">
        <v>28</v>
      </c>
      <c r="F31" s="149" t="s">
        <v>28</v>
      </c>
      <c r="G31" s="149" t="s">
        <v>28</v>
      </c>
      <c r="H31" s="149" t="s">
        <v>28</v>
      </c>
      <c r="I31" s="149" t="s">
        <v>28</v>
      </c>
      <c r="J31" s="149" t="s">
        <v>28</v>
      </c>
      <c r="K31" s="149" t="s">
        <v>28</v>
      </c>
      <c r="L31" s="149" t="s">
        <v>28</v>
      </c>
      <c r="M31" s="149" t="s">
        <v>28</v>
      </c>
      <c r="N31" s="149" t="s">
        <v>28</v>
      </c>
      <c r="O31" s="149" t="s">
        <v>28</v>
      </c>
      <c r="P31" s="149" t="s">
        <v>28</v>
      </c>
      <c r="Q31" s="149" t="s">
        <v>28</v>
      </c>
      <c r="R31" s="149" t="s">
        <v>28</v>
      </c>
      <c r="S31" s="149" t="s">
        <v>28</v>
      </c>
      <c r="T31" s="149" t="s">
        <v>28</v>
      </c>
      <c r="U31" s="149">
        <v>1</v>
      </c>
      <c r="V31" s="149" t="s">
        <v>28</v>
      </c>
      <c r="W31" s="149" t="s">
        <v>28</v>
      </c>
      <c r="X31" s="149" t="s">
        <v>28</v>
      </c>
      <c r="Y31" s="149" t="s">
        <v>28</v>
      </c>
      <c r="Z31" s="149" t="s">
        <v>28</v>
      </c>
      <c r="AA31" s="149" t="s">
        <v>28</v>
      </c>
      <c r="AB31" s="149" t="s">
        <v>28</v>
      </c>
      <c r="AC31" s="149" t="s">
        <v>28</v>
      </c>
      <c r="AD31" s="149" t="s">
        <v>28</v>
      </c>
      <c r="AE31" s="809" t="s">
        <v>28</v>
      </c>
    </row>
    <row r="32" spans="1:31" ht="12.75" customHeight="1">
      <c r="A32" s="130" t="s">
        <v>31</v>
      </c>
      <c r="B32" s="131" t="s">
        <v>32</v>
      </c>
      <c r="C32" s="149">
        <v>2</v>
      </c>
      <c r="D32" s="149" t="s">
        <v>28</v>
      </c>
      <c r="E32" s="149" t="s">
        <v>28</v>
      </c>
      <c r="F32" s="149" t="s">
        <v>28</v>
      </c>
      <c r="G32" s="149" t="s">
        <v>28</v>
      </c>
      <c r="H32" s="149" t="s">
        <v>28</v>
      </c>
      <c r="I32" s="149" t="s">
        <v>28</v>
      </c>
      <c r="J32" s="149" t="s">
        <v>28</v>
      </c>
      <c r="K32" s="149" t="s">
        <v>28</v>
      </c>
      <c r="L32" s="149" t="s">
        <v>28</v>
      </c>
      <c r="M32" s="149" t="s">
        <v>28</v>
      </c>
      <c r="N32" s="149" t="s">
        <v>28</v>
      </c>
      <c r="O32" s="149" t="s">
        <v>28</v>
      </c>
      <c r="P32" s="149" t="s">
        <v>28</v>
      </c>
      <c r="Q32" s="149" t="s">
        <v>28</v>
      </c>
      <c r="R32" s="149">
        <v>1</v>
      </c>
      <c r="S32" s="149" t="s">
        <v>28</v>
      </c>
      <c r="T32" s="149" t="s">
        <v>28</v>
      </c>
      <c r="U32" s="149" t="s">
        <v>28</v>
      </c>
      <c r="V32" s="149" t="s">
        <v>28</v>
      </c>
      <c r="W32" s="149">
        <v>1</v>
      </c>
      <c r="X32" s="149" t="s">
        <v>28</v>
      </c>
      <c r="Y32" s="149" t="s">
        <v>28</v>
      </c>
      <c r="Z32" s="149" t="s">
        <v>28</v>
      </c>
      <c r="AA32" s="149" t="s">
        <v>28</v>
      </c>
      <c r="AB32" s="149" t="s">
        <v>28</v>
      </c>
      <c r="AC32" s="149" t="s">
        <v>28</v>
      </c>
      <c r="AD32" s="149" t="s">
        <v>28</v>
      </c>
      <c r="AE32" s="809" t="s">
        <v>28</v>
      </c>
    </row>
    <row r="33" spans="1:31" ht="12.75" customHeight="1">
      <c r="A33" s="128" t="s">
        <v>963</v>
      </c>
      <c r="B33" s="129" t="s">
        <v>964</v>
      </c>
      <c r="C33" s="150">
        <v>12</v>
      </c>
      <c r="D33" s="150" t="s">
        <v>28</v>
      </c>
      <c r="E33" s="150" t="s">
        <v>28</v>
      </c>
      <c r="F33" s="150" t="s">
        <v>28</v>
      </c>
      <c r="G33" s="150" t="s">
        <v>28</v>
      </c>
      <c r="H33" s="150" t="s">
        <v>28</v>
      </c>
      <c r="I33" s="150" t="s">
        <v>28</v>
      </c>
      <c r="J33" s="150" t="s">
        <v>28</v>
      </c>
      <c r="K33" s="150" t="s">
        <v>28</v>
      </c>
      <c r="L33" s="150" t="s">
        <v>28</v>
      </c>
      <c r="M33" s="150" t="s">
        <v>28</v>
      </c>
      <c r="N33" s="150" t="s">
        <v>28</v>
      </c>
      <c r="O33" s="150" t="s">
        <v>28</v>
      </c>
      <c r="P33" s="150" t="s">
        <v>28</v>
      </c>
      <c r="Q33" s="150" t="s">
        <v>28</v>
      </c>
      <c r="R33" s="150">
        <v>1</v>
      </c>
      <c r="S33" s="150" t="s">
        <v>28</v>
      </c>
      <c r="T33" s="150">
        <v>1</v>
      </c>
      <c r="U33" s="150" t="s">
        <v>28</v>
      </c>
      <c r="V33" s="150">
        <v>1</v>
      </c>
      <c r="W33" s="150">
        <v>1</v>
      </c>
      <c r="X33" s="150">
        <v>3</v>
      </c>
      <c r="Y33" s="150">
        <v>2</v>
      </c>
      <c r="Z33" s="150">
        <v>1</v>
      </c>
      <c r="AA33" s="150">
        <v>2</v>
      </c>
      <c r="AB33" s="150" t="s">
        <v>28</v>
      </c>
      <c r="AC33" s="150" t="s">
        <v>28</v>
      </c>
      <c r="AD33" s="150" t="s">
        <v>28</v>
      </c>
      <c r="AE33" s="813" t="s">
        <v>28</v>
      </c>
    </row>
    <row r="34" spans="1:31" ht="12.75" customHeight="1">
      <c r="A34" s="130" t="s">
        <v>29</v>
      </c>
      <c r="B34" s="131" t="s">
        <v>30</v>
      </c>
      <c r="C34" s="149">
        <v>11</v>
      </c>
      <c r="D34" s="149" t="s">
        <v>28</v>
      </c>
      <c r="E34" s="149" t="s">
        <v>28</v>
      </c>
      <c r="F34" s="149" t="s">
        <v>28</v>
      </c>
      <c r="G34" s="149" t="s">
        <v>28</v>
      </c>
      <c r="H34" s="149" t="s">
        <v>28</v>
      </c>
      <c r="I34" s="149" t="s">
        <v>28</v>
      </c>
      <c r="J34" s="149" t="s">
        <v>28</v>
      </c>
      <c r="K34" s="149" t="s">
        <v>28</v>
      </c>
      <c r="L34" s="149" t="s">
        <v>28</v>
      </c>
      <c r="M34" s="149" t="s">
        <v>28</v>
      </c>
      <c r="N34" s="149" t="s">
        <v>28</v>
      </c>
      <c r="O34" s="149" t="s">
        <v>28</v>
      </c>
      <c r="P34" s="149" t="s">
        <v>28</v>
      </c>
      <c r="Q34" s="149" t="s">
        <v>28</v>
      </c>
      <c r="R34" s="149">
        <v>1</v>
      </c>
      <c r="S34" s="149" t="s">
        <v>28</v>
      </c>
      <c r="T34" s="149">
        <v>1</v>
      </c>
      <c r="U34" s="149" t="s">
        <v>28</v>
      </c>
      <c r="V34" s="149">
        <v>1</v>
      </c>
      <c r="W34" s="149">
        <v>1</v>
      </c>
      <c r="X34" s="149">
        <v>3</v>
      </c>
      <c r="Y34" s="149">
        <v>1</v>
      </c>
      <c r="Z34" s="149">
        <v>1</v>
      </c>
      <c r="AA34" s="149">
        <v>2</v>
      </c>
      <c r="AB34" s="149" t="s">
        <v>28</v>
      </c>
      <c r="AC34" s="149" t="s">
        <v>28</v>
      </c>
      <c r="AD34" s="149" t="s">
        <v>28</v>
      </c>
      <c r="AE34" s="809" t="s">
        <v>28</v>
      </c>
    </row>
    <row r="35" spans="1:31" ht="12.75" customHeight="1">
      <c r="A35" s="130" t="s">
        <v>31</v>
      </c>
      <c r="B35" s="131" t="s">
        <v>32</v>
      </c>
      <c r="C35" s="149">
        <v>1</v>
      </c>
      <c r="D35" s="149" t="s">
        <v>28</v>
      </c>
      <c r="E35" s="149" t="s">
        <v>28</v>
      </c>
      <c r="F35" s="149" t="s">
        <v>28</v>
      </c>
      <c r="G35" s="149" t="s">
        <v>28</v>
      </c>
      <c r="H35" s="149" t="s">
        <v>28</v>
      </c>
      <c r="I35" s="149" t="s">
        <v>28</v>
      </c>
      <c r="J35" s="149" t="s">
        <v>28</v>
      </c>
      <c r="K35" s="149" t="s">
        <v>28</v>
      </c>
      <c r="L35" s="149" t="s">
        <v>28</v>
      </c>
      <c r="M35" s="149" t="s">
        <v>28</v>
      </c>
      <c r="N35" s="149" t="s">
        <v>28</v>
      </c>
      <c r="O35" s="149" t="s">
        <v>28</v>
      </c>
      <c r="P35" s="149" t="s">
        <v>28</v>
      </c>
      <c r="Q35" s="149" t="s">
        <v>28</v>
      </c>
      <c r="R35" s="149" t="s">
        <v>28</v>
      </c>
      <c r="S35" s="149" t="s">
        <v>28</v>
      </c>
      <c r="T35" s="149" t="s">
        <v>28</v>
      </c>
      <c r="U35" s="149" t="s">
        <v>28</v>
      </c>
      <c r="V35" s="149" t="s">
        <v>28</v>
      </c>
      <c r="W35" s="149" t="s">
        <v>28</v>
      </c>
      <c r="X35" s="149" t="s">
        <v>28</v>
      </c>
      <c r="Y35" s="149">
        <v>1</v>
      </c>
      <c r="Z35" s="149" t="s">
        <v>28</v>
      </c>
      <c r="AA35" s="149" t="s">
        <v>28</v>
      </c>
      <c r="AB35" s="149" t="s">
        <v>28</v>
      </c>
      <c r="AC35" s="149" t="s">
        <v>28</v>
      </c>
      <c r="AD35" s="149" t="s">
        <v>28</v>
      </c>
      <c r="AE35" s="809" t="s">
        <v>28</v>
      </c>
    </row>
    <row r="36" spans="1:31" ht="12.75" customHeight="1">
      <c r="A36" s="128" t="s">
        <v>51</v>
      </c>
      <c r="B36" s="129" t="s">
        <v>52</v>
      </c>
      <c r="C36" s="150">
        <v>20</v>
      </c>
      <c r="D36" s="150" t="s">
        <v>28</v>
      </c>
      <c r="E36" s="150" t="s">
        <v>28</v>
      </c>
      <c r="F36" s="150" t="s">
        <v>28</v>
      </c>
      <c r="G36" s="150" t="s">
        <v>28</v>
      </c>
      <c r="H36" s="150" t="s">
        <v>28</v>
      </c>
      <c r="I36" s="150" t="s">
        <v>28</v>
      </c>
      <c r="J36" s="150" t="s">
        <v>28</v>
      </c>
      <c r="K36" s="150" t="s">
        <v>28</v>
      </c>
      <c r="L36" s="150" t="s">
        <v>28</v>
      </c>
      <c r="M36" s="150" t="s">
        <v>28</v>
      </c>
      <c r="N36" s="150" t="s">
        <v>28</v>
      </c>
      <c r="O36" s="150">
        <v>2</v>
      </c>
      <c r="P36" s="150" t="s">
        <v>28</v>
      </c>
      <c r="Q36" s="150" t="s">
        <v>28</v>
      </c>
      <c r="R36" s="150" t="s">
        <v>28</v>
      </c>
      <c r="S36" s="150" t="s">
        <v>28</v>
      </c>
      <c r="T36" s="150">
        <v>1</v>
      </c>
      <c r="U36" s="150">
        <v>1</v>
      </c>
      <c r="V36" s="150">
        <v>4</v>
      </c>
      <c r="W36" s="150">
        <v>1</v>
      </c>
      <c r="X36" s="150">
        <v>3</v>
      </c>
      <c r="Y36" s="150" t="s">
        <v>28</v>
      </c>
      <c r="Z36" s="150">
        <v>4</v>
      </c>
      <c r="AA36" s="150" t="s">
        <v>28</v>
      </c>
      <c r="AB36" s="150">
        <v>4</v>
      </c>
      <c r="AC36" s="150" t="s">
        <v>28</v>
      </c>
      <c r="AD36" s="150" t="s">
        <v>28</v>
      </c>
      <c r="AE36" s="813" t="s">
        <v>28</v>
      </c>
    </row>
    <row r="37" spans="1:31" ht="12.75" customHeight="1">
      <c r="A37" s="130" t="s">
        <v>29</v>
      </c>
      <c r="B37" s="131" t="s">
        <v>30</v>
      </c>
      <c r="C37" s="149">
        <v>19</v>
      </c>
      <c r="D37" s="149" t="s">
        <v>28</v>
      </c>
      <c r="E37" s="149" t="s">
        <v>28</v>
      </c>
      <c r="F37" s="149" t="s">
        <v>28</v>
      </c>
      <c r="G37" s="149" t="s">
        <v>28</v>
      </c>
      <c r="H37" s="149" t="s">
        <v>28</v>
      </c>
      <c r="I37" s="149" t="s">
        <v>28</v>
      </c>
      <c r="J37" s="149" t="s">
        <v>28</v>
      </c>
      <c r="K37" s="149" t="s">
        <v>28</v>
      </c>
      <c r="L37" s="149" t="s">
        <v>28</v>
      </c>
      <c r="M37" s="149" t="s">
        <v>28</v>
      </c>
      <c r="N37" s="149" t="s">
        <v>28</v>
      </c>
      <c r="O37" s="149">
        <v>2</v>
      </c>
      <c r="P37" s="149" t="s">
        <v>28</v>
      </c>
      <c r="Q37" s="149" t="s">
        <v>28</v>
      </c>
      <c r="R37" s="149" t="s">
        <v>28</v>
      </c>
      <c r="S37" s="149" t="s">
        <v>28</v>
      </c>
      <c r="T37" s="149">
        <v>1</v>
      </c>
      <c r="U37" s="149">
        <v>1</v>
      </c>
      <c r="V37" s="149">
        <v>4</v>
      </c>
      <c r="W37" s="149">
        <v>1</v>
      </c>
      <c r="X37" s="149">
        <v>2</v>
      </c>
      <c r="Y37" s="149" t="s">
        <v>28</v>
      </c>
      <c r="Z37" s="149">
        <v>4</v>
      </c>
      <c r="AA37" s="149" t="s">
        <v>28</v>
      </c>
      <c r="AB37" s="149">
        <v>4</v>
      </c>
      <c r="AC37" s="149" t="s">
        <v>28</v>
      </c>
      <c r="AD37" s="149" t="s">
        <v>28</v>
      </c>
      <c r="AE37" s="809" t="s">
        <v>28</v>
      </c>
    </row>
    <row r="38" spans="1:31" ht="12.75" customHeight="1">
      <c r="A38" s="130" t="s">
        <v>31</v>
      </c>
      <c r="B38" s="131" t="s">
        <v>32</v>
      </c>
      <c r="C38" s="149">
        <v>1</v>
      </c>
      <c r="D38" s="149" t="s">
        <v>28</v>
      </c>
      <c r="E38" s="149" t="s">
        <v>28</v>
      </c>
      <c r="F38" s="149" t="s">
        <v>28</v>
      </c>
      <c r="G38" s="149" t="s">
        <v>28</v>
      </c>
      <c r="H38" s="149" t="s">
        <v>28</v>
      </c>
      <c r="I38" s="149" t="s">
        <v>28</v>
      </c>
      <c r="J38" s="149" t="s">
        <v>28</v>
      </c>
      <c r="K38" s="149" t="s">
        <v>28</v>
      </c>
      <c r="L38" s="149" t="s">
        <v>28</v>
      </c>
      <c r="M38" s="149" t="s">
        <v>28</v>
      </c>
      <c r="N38" s="149" t="s">
        <v>28</v>
      </c>
      <c r="O38" s="149" t="s">
        <v>28</v>
      </c>
      <c r="P38" s="149" t="s">
        <v>28</v>
      </c>
      <c r="Q38" s="149" t="s">
        <v>28</v>
      </c>
      <c r="R38" s="149" t="s">
        <v>28</v>
      </c>
      <c r="S38" s="149" t="s">
        <v>28</v>
      </c>
      <c r="T38" s="149" t="s">
        <v>28</v>
      </c>
      <c r="U38" s="149" t="s">
        <v>28</v>
      </c>
      <c r="V38" s="149" t="s">
        <v>28</v>
      </c>
      <c r="W38" s="149" t="s">
        <v>28</v>
      </c>
      <c r="X38" s="149">
        <v>1</v>
      </c>
      <c r="Y38" s="149" t="s">
        <v>28</v>
      </c>
      <c r="Z38" s="149" t="s">
        <v>28</v>
      </c>
      <c r="AA38" s="149" t="s">
        <v>28</v>
      </c>
      <c r="AB38" s="149" t="s">
        <v>28</v>
      </c>
      <c r="AC38" s="149" t="s">
        <v>28</v>
      </c>
      <c r="AD38" s="149" t="s">
        <v>28</v>
      </c>
      <c r="AE38" s="809" t="s">
        <v>28</v>
      </c>
    </row>
    <row r="39" spans="1:31" ht="12.75" customHeight="1">
      <c r="A39" s="128" t="s">
        <v>53</v>
      </c>
      <c r="B39" s="129" t="s">
        <v>54</v>
      </c>
      <c r="C39" s="150">
        <v>22</v>
      </c>
      <c r="D39" s="150" t="s">
        <v>28</v>
      </c>
      <c r="E39" s="150" t="s">
        <v>28</v>
      </c>
      <c r="F39" s="150" t="s">
        <v>28</v>
      </c>
      <c r="G39" s="150" t="s">
        <v>28</v>
      </c>
      <c r="H39" s="150" t="s">
        <v>28</v>
      </c>
      <c r="I39" s="150" t="s">
        <v>28</v>
      </c>
      <c r="J39" s="150" t="s">
        <v>28</v>
      </c>
      <c r="K39" s="150" t="s">
        <v>28</v>
      </c>
      <c r="L39" s="150" t="s">
        <v>28</v>
      </c>
      <c r="M39" s="150" t="s">
        <v>28</v>
      </c>
      <c r="N39" s="150">
        <v>1</v>
      </c>
      <c r="O39" s="150">
        <v>1</v>
      </c>
      <c r="P39" s="150" t="s">
        <v>28</v>
      </c>
      <c r="Q39" s="150">
        <v>2</v>
      </c>
      <c r="R39" s="150" t="s">
        <v>28</v>
      </c>
      <c r="S39" s="150" t="s">
        <v>28</v>
      </c>
      <c r="T39" s="150" t="s">
        <v>28</v>
      </c>
      <c r="U39" s="150" t="s">
        <v>28</v>
      </c>
      <c r="V39" s="150">
        <v>2</v>
      </c>
      <c r="W39" s="150">
        <v>4</v>
      </c>
      <c r="X39" s="150">
        <v>5</v>
      </c>
      <c r="Y39" s="150">
        <v>2</v>
      </c>
      <c r="Z39" s="150">
        <v>2</v>
      </c>
      <c r="AA39" s="150">
        <v>3</v>
      </c>
      <c r="AB39" s="150" t="s">
        <v>28</v>
      </c>
      <c r="AC39" s="150" t="s">
        <v>28</v>
      </c>
      <c r="AD39" s="150" t="s">
        <v>28</v>
      </c>
      <c r="AE39" s="813" t="s">
        <v>28</v>
      </c>
    </row>
    <row r="40" spans="1:31" ht="12.75" customHeight="1">
      <c r="A40" s="130" t="s">
        <v>29</v>
      </c>
      <c r="B40" s="131" t="s">
        <v>30</v>
      </c>
      <c r="C40" s="149">
        <v>21</v>
      </c>
      <c r="D40" s="149" t="s">
        <v>28</v>
      </c>
      <c r="E40" s="149" t="s">
        <v>28</v>
      </c>
      <c r="F40" s="149" t="s">
        <v>28</v>
      </c>
      <c r="G40" s="149" t="s">
        <v>28</v>
      </c>
      <c r="H40" s="149" t="s">
        <v>28</v>
      </c>
      <c r="I40" s="149" t="s">
        <v>28</v>
      </c>
      <c r="J40" s="149" t="s">
        <v>28</v>
      </c>
      <c r="K40" s="149" t="s">
        <v>28</v>
      </c>
      <c r="L40" s="149" t="s">
        <v>28</v>
      </c>
      <c r="M40" s="149" t="s">
        <v>28</v>
      </c>
      <c r="N40" s="149">
        <v>1</v>
      </c>
      <c r="O40" s="149" t="s">
        <v>28</v>
      </c>
      <c r="P40" s="149" t="s">
        <v>28</v>
      </c>
      <c r="Q40" s="149">
        <v>2</v>
      </c>
      <c r="R40" s="149" t="s">
        <v>28</v>
      </c>
      <c r="S40" s="149" t="s">
        <v>28</v>
      </c>
      <c r="T40" s="149" t="s">
        <v>28</v>
      </c>
      <c r="U40" s="149" t="s">
        <v>28</v>
      </c>
      <c r="V40" s="149">
        <v>2</v>
      </c>
      <c r="W40" s="149">
        <v>4</v>
      </c>
      <c r="X40" s="149">
        <v>5</v>
      </c>
      <c r="Y40" s="149">
        <v>2</v>
      </c>
      <c r="Z40" s="149">
        <v>2</v>
      </c>
      <c r="AA40" s="149">
        <v>3</v>
      </c>
      <c r="AB40" s="149" t="s">
        <v>28</v>
      </c>
      <c r="AC40" s="149" t="s">
        <v>28</v>
      </c>
      <c r="AD40" s="149" t="s">
        <v>28</v>
      </c>
      <c r="AE40" s="809" t="s">
        <v>28</v>
      </c>
    </row>
    <row r="41" spans="1:31" ht="12.75" customHeight="1">
      <c r="A41" s="130" t="s">
        <v>31</v>
      </c>
      <c r="B41" s="131" t="s">
        <v>32</v>
      </c>
      <c r="C41" s="149">
        <v>1</v>
      </c>
      <c r="D41" s="149" t="s">
        <v>28</v>
      </c>
      <c r="E41" s="149" t="s">
        <v>28</v>
      </c>
      <c r="F41" s="149" t="s">
        <v>28</v>
      </c>
      <c r="G41" s="149" t="s">
        <v>28</v>
      </c>
      <c r="H41" s="149" t="s">
        <v>28</v>
      </c>
      <c r="I41" s="149" t="s">
        <v>28</v>
      </c>
      <c r="J41" s="149" t="s">
        <v>28</v>
      </c>
      <c r="K41" s="149" t="s">
        <v>28</v>
      </c>
      <c r="L41" s="149" t="s">
        <v>28</v>
      </c>
      <c r="M41" s="149" t="s">
        <v>28</v>
      </c>
      <c r="N41" s="149" t="s">
        <v>28</v>
      </c>
      <c r="O41" s="149">
        <v>1</v>
      </c>
      <c r="P41" s="149" t="s">
        <v>28</v>
      </c>
      <c r="Q41" s="149" t="s">
        <v>28</v>
      </c>
      <c r="R41" s="149" t="s">
        <v>28</v>
      </c>
      <c r="S41" s="149" t="s">
        <v>28</v>
      </c>
      <c r="T41" s="149" t="s">
        <v>28</v>
      </c>
      <c r="U41" s="149" t="s">
        <v>28</v>
      </c>
      <c r="V41" s="149" t="s">
        <v>28</v>
      </c>
      <c r="W41" s="149" t="s">
        <v>28</v>
      </c>
      <c r="X41" s="149" t="s">
        <v>28</v>
      </c>
      <c r="Y41" s="149" t="s">
        <v>28</v>
      </c>
      <c r="Z41" s="149" t="s">
        <v>28</v>
      </c>
      <c r="AA41" s="149" t="s">
        <v>28</v>
      </c>
      <c r="AB41" s="149" t="s">
        <v>28</v>
      </c>
      <c r="AC41" s="149" t="s">
        <v>28</v>
      </c>
      <c r="AD41" s="149" t="s">
        <v>28</v>
      </c>
      <c r="AE41" s="809" t="s">
        <v>28</v>
      </c>
    </row>
    <row r="42" spans="1:31" ht="12.75" customHeight="1">
      <c r="A42" s="128" t="s">
        <v>55</v>
      </c>
      <c r="B42" s="129" t="s">
        <v>56</v>
      </c>
      <c r="C42" s="150">
        <v>21</v>
      </c>
      <c r="D42" s="150" t="s">
        <v>28</v>
      </c>
      <c r="E42" s="150" t="s">
        <v>28</v>
      </c>
      <c r="F42" s="150" t="s">
        <v>28</v>
      </c>
      <c r="G42" s="150" t="s">
        <v>28</v>
      </c>
      <c r="H42" s="150" t="s">
        <v>28</v>
      </c>
      <c r="I42" s="150" t="s">
        <v>28</v>
      </c>
      <c r="J42" s="150" t="s">
        <v>28</v>
      </c>
      <c r="K42" s="150" t="s">
        <v>28</v>
      </c>
      <c r="L42" s="150" t="s">
        <v>28</v>
      </c>
      <c r="M42" s="150" t="s">
        <v>28</v>
      </c>
      <c r="N42" s="150" t="s">
        <v>28</v>
      </c>
      <c r="O42" s="150" t="s">
        <v>28</v>
      </c>
      <c r="P42" s="150">
        <v>1</v>
      </c>
      <c r="Q42" s="150">
        <v>2</v>
      </c>
      <c r="R42" s="150">
        <v>1</v>
      </c>
      <c r="S42" s="150">
        <v>3</v>
      </c>
      <c r="T42" s="150" t="s">
        <v>28</v>
      </c>
      <c r="U42" s="150">
        <v>3</v>
      </c>
      <c r="V42" s="150">
        <v>2</v>
      </c>
      <c r="W42" s="150">
        <v>2</v>
      </c>
      <c r="X42" s="150" t="s">
        <v>28</v>
      </c>
      <c r="Y42" s="150">
        <v>1</v>
      </c>
      <c r="Z42" s="150">
        <v>5</v>
      </c>
      <c r="AA42" s="150">
        <v>1</v>
      </c>
      <c r="AB42" s="150" t="s">
        <v>28</v>
      </c>
      <c r="AC42" s="150" t="s">
        <v>28</v>
      </c>
      <c r="AD42" s="150" t="s">
        <v>28</v>
      </c>
      <c r="AE42" s="813" t="s">
        <v>28</v>
      </c>
    </row>
    <row r="43" spans="1:31" ht="12.75" customHeight="1">
      <c r="A43" s="130" t="s">
        <v>29</v>
      </c>
      <c r="B43" s="131" t="s">
        <v>30</v>
      </c>
      <c r="C43" s="149">
        <v>21</v>
      </c>
      <c r="D43" s="149" t="s">
        <v>28</v>
      </c>
      <c r="E43" s="149" t="s">
        <v>28</v>
      </c>
      <c r="F43" s="149" t="s">
        <v>28</v>
      </c>
      <c r="G43" s="149" t="s">
        <v>28</v>
      </c>
      <c r="H43" s="149" t="s">
        <v>28</v>
      </c>
      <c r="I43" s="149" t="s">
        <v>28</v>
      </c>
      <c r="J43" s="149" t="s">
        <v>28</v>
      </c>
      <c r="K43" s="149" t="s">
        <v>28</v>
      </c>
      <c r="L43" s="149" t="s">
        <v>28</v>
      </c>
      <c r="M43" s="149" t="s">
        <v>28</v>
      </c>
      <c r="N43" s="149" t="s">
        <v>28</v>
      </c>
      <c r="O43" s="149" t="s">
        <v>28</v>
      </c>
      <c r="P43" s="149">
        <v>1</v>
      </c>
      <c r="Q43" s="149">
        <v>2</v>
      </c>
      <c r="R43" s="149">
        <v>1</v>
      </c>
      <c r="S43" s="149">
        <v>3</v>
      </c>
      <c r="T43" s="149" t="s">
        <v>28</v>
      </c>
      <c r="U43" s="149">
        <v>3</v>
      </c>
      <c r="V43" s="149">
        <v>2</v>
      </c>
      <c r="W43" s="149">
        <v>2</v>
      </c>
      <c r="X43" s="149" t="s">
        <v>28</v>
      </c>
      <c r="Y43" s="149">
        <v>1</v>
      </c>
      <c r="Z43" s="149">
        <v>5</v>
      </c>
      <c r="AA43" s="149">
        <v>1</v>
      </c>
      <c r="AB43" s="149" t="s">
        <v>28</v>
      </c>
      <c r="AC43" s="149" t="s">
        <v>28</v>
      </c>
      <c r="AD43" s="149" t="s">
        <v>28</v>
      </c>
      <c r="AE43" s="809" t="s">
        <v>28</v>
      </c>
    </row>
    <row r="44" spans="1:31" ht="12.75" customHeight="1">
      <c r="A44" s="130" t="s">
        <v>31</v>
      </c>
      <c r="B44" s="131" t="s">
        <v>32</v>
      </c>
      <c r="C44" s="136" t="s">
        <v>28</v>
      </c>
      <c r="D44" s="136" t="s">
        <v>28</v>
      </c>
      <c r="E44" s="136" t="s">
        <v>28</v>
      </c>
      <c r="F44" s="136" t="s">
        <v>28</v>
      </c>
      <c r="G44" s="136" t="s">
        <v>28</v>
      </c>
      <c r="H44" s="136" t="s">
        <v>28</v>
      </c>
      <c r="I44" s="136" t="s">
        <v>28</v>
      </c>
      <c r="J44" s="136" t="s">
        <v>28</v>
      </c>
      <c r="K44" s="136" t="s">
        <v>28</v>
      </c>
      <c r="L44" s="136" t="s">
        <v>28</v>
      </c>
      <c r="M44" s="136" t="s">
        <v>28</v>
      </c>
      <c r="N44" s="136" t="s">
        <v>28</v>
      </c>
      <c r="O44" s="136" t="s">
        <v>28</v>
      </c>
      <c r="P44" s="136" t="s">
        <v>28</v>
      </c>
      <c r="Q44" s="136" t="s">
        <v>28</v>
      </c>
      <c r="R44" s="136" t="s">
        <v>28</v>
      </c>
      <c r="S44" s="136" t="s">
        <v>28</v>
      </c>
      <c r="T44" s="136" t="s">
        <v>28</v>
      </c>
      <c r="U44" s="136" t="s">
        <v>28</v>
      </c>
      <c r="V44" s="136" t="s">
        <v>28</v>
      </c>
      <c r="W44" s="136" t="s">
        <v>28</v>
      </c>
      <c r="X44" s="136" t="s">
        <v>28</v>
      </c>
      <c r="Y44" s="136" t="s">
        <v>28</v>
      </c>
      <c r="Z44" s="136" t="s">
        <v>28</v>
      </c>
      <c r="AA44" s="136" t="s">
        <v>28</v>
      </c>
      <c r="AB44" s="136" t="s">
        <v>28</v>
      </c>
      <c r="AC44" s="136" t="s">
        <v>28</v>
      </c>
      <c r="AD44" s="136" t="s">
        <v>28</v>
      </c>
      <c r="AE44" s="142" t="s">
        <v>28</v>
      </c>
    </row>
    <row r="45" spans="1:31" ht="12.75" customHeight="1">
      <c r="A45" s="128" t="s">
        <v>57</v>
      </c>
      <c r="B45" s="129" t="s">
        <v>58</v>
      </c>
      <c r="C45" s="150">
        <v>15</v>
      </c>
      <c r="D45" s="150" t="s">
        <v>28</v>
      </c>
      <c r="E45" s="150" t="s">
        <v>28</v>
      </c>
      <c r="F45" s="150" t="s">
        <v>28</v>
      </c>
      <c r="G45" s="150" t="s">
        <v>28</v>
      </c>
      <c r="H45" s="150" t="s">
        <v>28</v>
      </c>
      <c r="I45" s="150" t="s">
        <v>28</v>
      </c>
      <c r="J45" s="150" t="s">
        <v>28</v>
      </c>
      <c r="K45" s="150" t="s">
        <v>28</v>
      </c>
      <c r="L45" s="150" t="s">
        <v>28</v>
      </c>
      <c r="M45" s="150" t="s">
        <v>28</v>
      </c>
      <c r="N45" s="150">
        <v>1</v>
      </c>
      <c r="O45" s="150">
        <v>2</v>
      </c>
      <c r="P45" s="150" t="s">
        <v>28</v>
      </c>
      <c r="Q45" s="150" t="s">
        <v>28</v>
      </c>
      <c r="R45" s="150">
        <v>1</v>
      </c>
      <c r="S45" s="150">
        <v>4</v>
      </c>
      <c r="T45" s="150">
        <v>1</v>
      </c>
      <c r="U45" s="150" t="s">
        <v>28</v>
      </c>
      <c r="V45" s="150">
        <v>3</v>
      </c>
      <c r="W45" s="150">
        <v>1</v>
      </c>
      <c r="X45" s="150" t="s">
        <v>28</v>
      </c>
      <c r="Y45" s="150">
        <v>1</v>
      </c>
      <c r="Z45" s="150">
        <v>1</v>
      </c>
      <c r="AA45" s="150" t="s">
        <v>28</v>
      </c>
      <c r="AB45" s="150" t="s">
        <v>28</v>
      </c>
      <c r="AC45" s="150" t="s">
        <v>28</v>
      </c>
      <c r="AD45" s="150" t="s">
        <v>28</v>
      </c>
      <c r="AE45" s="813" t="s">
        <v>28</v>
      </c>
    </row>
    <row r="46" spans="1:31" ht="12.75" customHeight="1">
      <c r="A46" s="130" t="s">
        <v>29</v>
      </c>
      <c r="B46" s="131" t="s">
        <v>30</v>
      </c>
      <c r="C46" s="149">
        <v>15</v>
      </c>
      <c r="D46" s="149" t="s">
        <v>28</v>
      </c>
      <c r="E46" s="149" t="s">
        <v>28</v>
      </c>
      <c r="F46" s="149" t="s">
        <v>28</v>
      </c>
      <c r="G46" s="149" t="s">
        <v>28</v>
      </c>
      <c r="H46" s="149" t="s">
        <v>28</v>
      </c>
      <c r="I46" s="149" t="s">
        <v>28</v>
      </c>
      <c r="J46" s="149" t="s">
        <v>28</v>
      </c>
      <c r="K46" s="149" t="s">
        <v>28</v>
      </c>
      <c r="L46" s="149" t="s">
        <v>28</v>
      </c>
      <c r="M46" s="149" t="s">
        <v>28</v>
      </c>
      <c r="N46" s="149">
        <v>1</v>
      </c>
      <c r="O46" s="149">
        <v>2</v>
      </c>
      <c r="P46" s="149" t="s">
        <v>28</v>
      </c>
      <c r="Q46" s="149" t="s">
        <v>28</v>
      </c>
      <c r="R46" s="149">
        <v>1</v>
      </c>
      <c r="S46" s="149">
        <v>4</v>
      </c>
      <c r="T46" s="149">
        <v>1</v>
      </c>
      <c r="U46" s="149" t="s">
        <v>28</v>
      </c>
      <c r="V46" s="149">
        <v>3</v>
      </c>
      <c r="W46" s="149">
        <v>1</v>
      </c>
      <c r="X46" s="149" t="s">
        <v>28</v>
      </c>
      <c r="Y46" s="149">
        <v>1</v>
      </c>
      <c r="Z46" s="149">
        <v>1</v>
      </c>
      <c r="AA46" s="149" t="s">
        <v>28</v>
      </c>
      <c r="AB46" s="149" t="s">
        <v>28</v>
      </c>
      <c r="AC46" s="149" t="s">
        <v>28</v>
      </c>
      <c r="AD46" s="149" t="s">
        <v>28</v>
      </c>
      <c r="AE46" s="809" t="s">
        <v>28</v>
      </c>
    </row>
    <row r="47" spans="1:31" ht="12.75" customHeight="1">
      <c r="A47" s="130" t="s">
        <v>31</v>
      </c>
      <c r="B47" s="131" t="s">
        <v>32</v>
      </c>
      <c r="C47" s="136" t="s">
        <v>28</v>
      </c>
      <c r="D47" s="136" t="s">
        <v>28</v>
      </c>
      <c r="E47" s="136" t="s">
        <v>28</v>
      </c>
      <c r="F47" s="136" t="s">
        <v>28</v>
      </c>
      <c r="G47" s="136" t="s">
        <v>28</v>
      </c>
      <c r="H47" s="136" t="s">
        <v>28</v>
      </c>
      <c r="I47" s="136" t="s">
        <v>28</v>
      </c>
      <c r="J47" s="136" t="s">
        <v>28</v>
      </c>
      <c r="K47" s="136" t="s">
        <v>28</v>
      </c>
      <c r="L47" s="136" t="s">
        <v>28</v>
      </c>
      <c r="M47" s="136" t="s">
        <v>28</v>
      </c>
      <c r="N47" s="136" t="s">
        <v>28</v>
      </c>
      <c r="O47" s="136" t="s">
        <v>28</v>
      </c>
      <c r="P47" s="136" t="s">
        <v>28</v>
      </c>
      <c r="Q47" s="136" t="s">
        <v>28</v>
      </c>
      <c r="R47" s="136" t="s">
        <v>28</v>
      </c>
      <c r="S47" s="136" t="s">
        <v>28</v>
      </c>
      <c r="T47" s="136" t="s">
        <v>28</v>
      </c>
      <c r="U47" s="136" t="s">
        <v>28</v>
      </c>
      <c r="V47" s="136" t="s">
        <v>28</v>
      </c>
      <c r="W47" s="136" t="s">
        <v>28</v>
      </c>
      <c r="X47" s="136" t="s">
        <v>28</v>
      </c>
      <c r="Y47" s="136" t="s">
        <v>28</v>
      </c>
      <c r="Z47" s="136" t="s">
        <v>28</v>
      </c>
      <c r="AA47" s="136" t="s">
        <v>28</v>
      </c>
      <c r="AB47" s="136" t="s">
        <v>28</v>
      </c>
      <c r="AC47" s="136" t="s">
        <v>28</v>
      </c>
      <c r="AD47" s="136" t="s">
        <v>28</v>
      </c>
      <c r="AE47" s="142" t="s">
        <v>28</v>
      </c>
    </row>
    <row r="48" spans="1:31" ht="12.75" customHeight="1">
      <c r="A48" s="128" t="s">
        <v>59</v>
      </c>
      <c r="B48" s="129" t="s">
        <v>60</v>
      </c>
      <c r="C48" s="150">
        <v>27</v>
      </c>
      <c r="D48" s="150" t="s">
        <v>28</v>
      </c>
      <c r="E48" s="150" t="s">
        <v>28</v>
      </c>
      <c r="F48" s="150" t="s">
        <v>28</v>
      </c>
      <c r="G48" s="150" t="s">
        <v>28</v>
      </c>
      <c r="H48" s="150" t="s">
        <v>28</v>
      </c>
      <c r="I48" s="150" t="s">
        <v>28</v>
      </c>
      <c r="J48" s="150" t="s">
        <v>28</v>
      </c>
      <c r="K48" s="150" t="s">
        <v>28</v>
      </c>
      <c r="L48" s="150" t="s">
        <v>28</v>
      </c>
      <c r="M48" s="150" t="s">
        <v>28</v>
      </c>
      <c r="N48" s="150">
        <v>1</v>
      </c>
      <c r="O48" s="150" t="s">
        <v>28</v>
      </c>
      <c r="P48" s="150">
        <v>1</v>
      </c>
      <c r="Q48" s="150">
        <v>1</v>
      </c>
      <c r="R48" s="150">
        <v>1</v>
      </c>
      <c r="S48" s="150">
        <v>3</v>
      </c>
      <c r="T48" s="150">
        <v>1</v>
      </c>
      <c r="U48" s="150" t="s">
        <v>28</v>
      </c>
      <c r="V48" s="150">
        <v>3</v>
      </c>
      <c r="W48" s="150">
        <v>2</v>
      </c>
      <c r="X48" s="150" t="s">
        <v>28</v>
      </c>
      <c r="Y48" s="150" t="s">
        <v>28</v>
      </c>
      <c r="Z48" s="150">
        <v>6</v>
      </c>
      <c r="AA48" s="150">
        <v>5</v>
      </c>
      <c r="AB48" s="150" t="s">
        <v>28</v>
      </c>
      <c r="AC48" s="150" t="s">
        <v>28</v>
      </c>
      <c r="AD48" s="150">
        <v>1</v>
      </c>
      <c r="AE48" s="813">
        <v>2</v>
      </c>
    </row>
    <row r="49" spans="1:31" ht="12.75" customHeight="1">
      <c r="A49" s="130" t="s">
        <v>29</v>
      </c>
      <c r="B49" s="131" t="s">
        <v>30</v>
      </c>
      <c r="C49" s="149">
        <v>27</v>
      </c>
      <c r="D49" s="149" t="s">
        <v>28</v>
      </c>
      <c r="E49" s="149" t="s">
        <v>28</v>
      </c>
      <c r="F49" s="149" t="s">
        <v>28</v>
      </c>
      <c r="G49" s="149" t="s">
        <v>28</v>
      </c>
      <c r="H49" s="149" t="s">
        <v>28</v>
      </c>
      <c r="I49" s="149" t="s">
        <v>28</v>
      </c>
      <c r="J49" s="149" t="s">
        <v>28</v>
      </c>
      <c r="K49" s="149" t="s">
        <v>28</v>
      </c>
      <c r="L49" s="149" t="s">
        <v>28</v>
      </c>
      <c r="M49" s="149" t="s">
        <v>28</v>
      </c>
      <c r="N49" s="149">
        <v>1</v>
      </c>
      <c r="O49" s="149" t="s">
        <v>28</v>
      </c>
      <c r="P49" s="149">
        <v>1</v>
      </c>
      <c r="Q49" s="149">
        <v>1</v>
      </c>
      <c r="R49" s="149">
        <v>1</v>
      </c>
      <c r="S49" s="149">
        <v>3</v>
      </c>
      <c r="T49" s="149">
        <v>1</v>
      </c>
      <c r="U49" s="149" t="s">
        <v>28</v>
      </c>
      <c r="V49" s="149">
        <v>3</v>
      </c>
      <c r="W49" s="149">
        <v>2</v>
      </c>
      <c r="X49" s="149" t="s">
        <v>28</v>
      </c>
      <c r="Y49" s="149" t="s">
        <v>28</v>
      </c>
      <c r="Z49" s="149">
        <v>6</v>
      </c>
      <c r="AA49" s="149">
        <v>5</v>
      </c>
      <c r="AB49" s="149" t="s">
        <v>28</v>
      </c>
      <c r="AC49" s="149" t="s">
        <v>28</v>
      </c>
      <c r="AD49" s="149">
        <v>1</v>
      </c>
      <c r="AE49" s="809">
        <v>2</v>
      </c>
    </row>
    <row r="50" spans="1:31" ht="12.75" customHeight="1">
      <c r="A50" s="130" t="s">
        <v>31</v>
      </c>
      <c r="B50" s="131" t="s">
        <v>32</v>
      </c>
      <c r="C50" s="136" t="s">
        <v>28</v>
      </c>
      <c r="D50" s="136" t="s">
        <v>28</v>
      </c>
      <c r="E50" s="136" t="s">
        <v>28</v>
      </c>
      <c r="F50" s="136" t="s">
        <v>28</v>
      </c>
      <c r="G50" s="136" t="s">
        <v>28</v>
      </c>
      <c r="H50" s="136" t="s">
        <v>28</v>
      </c>
      <c r="I50" s="136" t="s">
        <v>28</v>
      </c>
      <c r="J50" s="136" t="s">
        <v>28</v>
      </c>
      <c r="K50" s="136" t="s">
        <v>28</v>
      </c>
      <c r="L50" s="136" t="s">
        <v>28</v>
      </c>
      <c r="M50" s="136" t="s">
        <v>28</v>
      </c>
      <c r="N50" s="136" t="s">
        <v>28</v>
      </c>
      <c r="O50" s="136" t="s">
        <v>28</v>
      </c>
      <c r="P50" s="136" t="s">
        <v>28</v>
      </c>
      <c r="Q50" s="136" t="s">
        <v>28</v>
      </c>
      <c r="R50" s="136" t="s">
        <v>28</v>
      </c>
      <c r="S50" s="136" t="s">
        <v>28</v>
      </c>
      <c r="T50" s="136" t="s">
        <v>28</v>
      </c>
      <c r="U50" s="136" t="s">
        <v>28</v>
      </c>
      <c r="V50" s="136" t="s">
        <v>28</v>
      </c>
      <c r="W50" s="136" t="s">
        <v>28</v>
      </c>
      <c r="X50" s="136" t="s">
        <v>28</v>
      </c>
      <c r="Y50" s="136" t="s">
        <v>28</v>
      </c>
      <c r="Z50" s="136" t="s">
        <v>28</v>
      </c>
      <c r="AA50" s="136" t="s">
        <v>28</v>
      </c>
      <c r="AB50" s="136" t="s">
        <v>28</v>
      </c>
      <c r="AC50" s="136" t="s">
        <v>28</v>
      </c>
      <c r="AD50" s="136" t="s">
        <v>28</v>
      </c>
      <c r="AE50" s="142" t="s">
        <v>28</v>
      </c>
    </row>
    <row r="51" spans="1:31" ht="12.75" customHeight="1">
      <c r="A51" s="128" t="s">
        <v>61</v>
      </c>
      <c r="B51" s="129" t="s">
        <v>62</v>
      </c>
      <c r="C51" s="150">
        <v>9</v>
      </c>
      <c r="D51" s="150" t="s">
        <v>28</v>
      </c>
      <c r="E51" s="150" t="s">
        <v>28</v>
      </c>
      <c r="F51" s="150">
        <v>3</v>
      </c>
      <c r="G51" s="150">
        <v>3</v>
      </c>
      <c r="H51" s="150" t="s">
        <v>28</v>
      </c>
      <c r="I51" s="150" t="s">
        <v>28</v>
      </c>
      <c r="J51" s="150">
        <v>1</v>
      </c>
      <c r="K51" s="150" t="s">
        <v>28</v>
      </c>
      <c r="L51" s="150" t="s">
        <v>28</v>
      </c>
      <c r="M51" s="150" t="s">
        <v>28</v>
      </c>
      <c r="N51" s="150" t="s">
        <v>28</v>
      </c>
      <c r="O51" s="150" t="s">
        <v>28</v>
      </c>
      <c r="P51" s="150" t="s">
        <v>28</v>
      </c>
      <c r="Q51" s="150" t="s">
        <v>28</v>
      </c>
      <c r="R51" s="150" t="s">
        <v>28</v>
      </c>
      <c r="S51" s="150" t="s">
        <v>28</v>
      </c>
      <c r="T51" s="150" t="s">
        <v>28</v>
      </c>
      <c r="U51" s="150" t="s">
        <v>28</v>
      </c>
      <c r="V51" s="150">
        <v>1</v>
      </c>
      <c r="W51" s="150">
        <v>1</v>
      </c>
      <c r="X51" s="150" t="s">
        <v>28</v>
      </c>
      <c r="Y51" s="150" t="s">
        <v>28</v>
      </c>
      <c r="Z51" s="150" t="s">
        <v>28</v>
      </c>
      <c r="AA51" s="150" t="s">
        <v>28</v>
      </c>
      <c r="AB51" s="150" t="s">
        <v>28</v>
      </c>
      <c r="AC51" s="150" t="s">
        <v>28</v>
      </c>
      <c r="AD51" s="150" t="s">
        <v>28</v>
      </c>
      <c r="AE51" s="813" t="s">
        <v>28</v>
      </c>
    </row>
    <row r="52" spans="1:31" ht="12.75" customHeight="1">
      <c r="A52" s="130" t="s">
        <v>29</v>
      </c>
      <c r="B52" s="131" t="s">
        <v>30</v>
      </c>
      <c r="C52" s="149">
        <v>7</v>
      </c>
      <c r="D52" s="149" t="s">
        <v>28</v>
      </c>
      <c r="E52" s="149" t="s">
        <v>28</v>
      </c>
      <c r="F52" s="149">
        <v>1</v>
      </c>
      <c r="G52" s="149">
        <v>3</v>
      </c>
      <c r="H52" s="149" t="s">
        <v>28</v>
      </c>
      <c r="I52" s="149" t="s">
        <v>28</v>
      </c>
      <c r="J52" s="149">
        <v>1</v>
      </c>
      <c r="K52" s="149" t="s">
        <v>28</v>
      </c>
      <c r="L52" s="149" t="s">
        <v>28</v>
      </c>
      <c r="M52" s="149" t="s">
        <v>28</v>
      </c>
      <c r="N52" s="149" t="s">
        <v>28</v>
      </c>
      <c r="O52" s="149" t="s">
        <v>28</v>
      </c>
      <c r="P52" s="149" t="s">
        <v>28</v>
      </c>
      <c r="Q52" s="149" t="s">
        <v>28</v>
      </c>
      <c r="R52" s="149" t="s">
        <v>28</v>
      </c>
      <c r="S52" s="149" t="s">
        <v>28</v>
      </c>
      <c r="T52" s="149" t="s">
        <v>28</v>
      </c>
      <c r="U52" s="149" t="s">
        <v>28</v>
      </c>
      <c r="V52" s="149">
        <v>1</v>
      </c>
      <c r="W52" s="149">
        <v>1</v>
      </c>
      <c r="X52" s="149" t="s">
        <v>28</v>
      </c>
      <c r="Y52" s="149" t="s">
        <v>28</v>
      </c>
      <c r="Z52" s="149" t="s">
        <v>28</v>
      </c>
      <c r="AA52" s="149" t="s">
        <v>28</v>
      </c>
      <c r="AB52" s="149" t="s">
        <v>28</v>
      </c>
      <c r="AC52" s="149" t="s">
        <v>28</v>
      </c>
      <c r="AD52" s="149" t="s">
        <v>28</v>
      </c>
      <c r="AE52" s="809" t="s">
        <v>28</v>
      </c>
    </row>
    <row r="53" spans="1:31" ht="12.75" customHeight="1">
      <c r="A53" s="130" t="s">
        <v>31</v>
      </c>
      <c r="B53" s="131" t="s">
        <v>32</v>
      </c>
      <c r="C53" s="149">
        <v>2</v>
      </c>
      <c r="D53" s="149" t="s">
        <v>28</v>
      </c>
      <c r="E53" s="149" t="s">
        <v>28</v>
      </c>
      <c r="F53" s="149">
        <v>2</v>
      </c>
      <c r="G53" s="149" t="s">
        <v>28</v>
      </c>
      <c r="H53" s="149" t="s">
        <v>28</v>
      </c>
      <c r="I53" s="149" t="s">
        <v>28</v>
      </c>
      <c r="J53" s="149" t="s">
        <v>28</v>
      </c>
      <c r="K53" s="149" t="s">
        <v>28</v>
      </c>
      <c r="L53" s="149" t="s">
        <v>28</v>
      </c>
      <c r="M53" s="149" t="s">
        <v>28</v>
      </c>
      <c r="N53" s="149" t="s">
        <v>28</v>
      </c>
      <c r="O53" s="149" t="s">
        <v>28</v>
      </c>
      <c r="P53" s="149" t="s">
        <v>28</v>
      </c>
      <c r="Q53" s="149" t="s">
        <v>28</v>
      </c>
      <c r="R53" s="149" t="s">
        <v>28</v>
      </c>
      <c r="S53" s="149" t="s">
        <v>28</v>
      </c>
      <c r="T53" s="149" t="s">
        <v>28</v>
      </c>
      <c r="U53" s="149" t="s">
        <v>28</v>
      </c>
      <c r="V53" s="149" t="s">
        <v>28</v>
      </c>
      <c r="W53" s="149" t="s">
        <v>28</v>
      </c>
      <c r="X53" s="149" t="s">
        <v>28</v>
      </c>
      <c r="Y53" s="149" t="s">
        <v>28</v>
      </c>
      <c r="Z53" s="149" t="s">
        <v>28</v>
      </c>
      <c r="AA53" s="149" t="s">
        <v>28</v>
      </c>
      <c r="AB53" s="149" t="s">
        <v>28</v>
      </c>
      <c r="AC53" s="149" t="s">
        <v>28</v>
      </c>
      <c r="AD53" s="149" t="s">
        <v>28</v>
      </c>
      <c r="AE53" s="809" t="s">
        <v>28</v>
      </c>
    </row>
    <row r="54" spans="1:31" ht="12.75" customHeight="1">
      <c r="A54" s="128" t="s">
        <v>63</v>
      </c>
      <c r="B54" s="129" t="s">
        <v>64</v>
      </c>
      <c r="C54" s="150">
        <v>5</v>
      </c>
      <c r="D54" s="150" t="s">
        <v>28</v>
      </c>
      <c r="E54" s="150" t="s">
        <v>28</v>
      </c>
      <c r="F54" s="150">
        <v>2</v>
      </c>
      <c r="G54" s="150">
        <v>1</v>
      </c>
      <c r="H54" s="150" t="s">
        <v>28</v>
      </c>
      <c r="I54" s="150">
        <v>1</v>
      </c>
      <c r="J54" s="150">
        <v>1</v>
      </c>
      <c r="K54" s="150" t="s">
        <v>28</v>
      </c>
      <c r="L54" s="150" t="s">
        <v>28</v>
      </c>
      <c r="M54" s="150" t="s">
        <v>28</v>
      </c>
      <c r="N54" s="150" t="s">
        <v>28</v>
      </c>
      <c r="O54" s="150" t="s">
        <v>28</v>
      </c>
      <c r="P54" s="150" t="s">
        <v>28</v>
      </c>
      <c r="Q54" s="150" t="s">
        <v>28</v>
      </c>
      <c r="R54" s="150" t="s">
        <v>28</v>
      </c>
      <c r="S54" s="150" t="s">
        <v>28</v>
      </c>
      <c r="T54" s="150" t="s">
        <v>28</v>
      </c>
      <c r="U54" s="150" t="s">
        <v>28</v>
      </c>
      <c r="V54" s="150" t="s">
        <v>28</v>
      </c>
      <c r="W54" s="150" t="s">
        <v>28</v>
      </c>
      <c r="X54" s="150" t="s">
        <v>28</v>
      </c>
      <c r="Y54" s="150" t="s">
        <v>28</v>
      </c>
      <c r="Z54" s="150" t="s">
        <v>28</v>
      </c>
      <c r="AA54" s="150" t="s">
        <v>28</v>
      </c>
      <c r="AB54" s="150" t="s">
        <v>28</v>
      </c>
      <c r="AC54" s="150" t="s">
        <v>28</v>
      </c>
      <c r="AD54" s="150" t="s">
        <v>28</v>
      </c>
      <c r="AE54" s="813" t="s">
        <v>28</v>
      </c>
    </row>
    <row r="55" spans="1:31" ht="12.75" customHeight="1">
      <c r="A55" s="130" t="s">
        <v>29</v>
      </c>
      <c r="B55" s="131" t="s">
        <v>30</v>
      </c>
      <c r="C55" s="149">
        <v>5</v>
      </c>
      <c r="D55" s="149" t="s">
        <v>28</v>
      </c>
      <c r="E55" s="149" t="s">
        <v>28</v>
      </c>
      <c r="F55" s="149">
        <v>2</v>
      </c>
      <c r="G55" s="149">
        <v>1</v>
      </c>
      <c r="H55" s="149" t="s">
        <v>28</v>
      </c>
      <c r="I55" s="149">
        <v>1</v>
      </c>
      <c r="J55" s="149">
        <v>1</v>
      </c>
      <c r="K55" s="149" t="s">
        <v>28</v>
      </c>
      <c r="L55" s="149" t="s">
        <v>28</v>
      </c>
      <c r="M55" s="149" t="s">
        <v>28</v>
      </c>
      <c r="N55" s="149" t="s">
        <v>28</v>
      </c>
      <c r="O55" s="149" t="s">
        <v>28</v>
      </c>
      <c r="P55" s="149" t="s">
        <v>28</v>
      </c>
      <c r="Q55" s="149" t="s">
        <v>28</v>
      </c>
      <c r="R55" s="149" t="s">
        <v>28</v>
      </c>
      <c r="S55" s="149" t="s">
        <v>28</v>
      </c>
      <c r="T55" s="149" t="s">
        <v>28</v>
      </c>
      <c r="U55" s="149" t="s">
        <v>28</v>
      </c>
      <c r="V55" s="149" t="s">
        <v>28</v>
      </c>
      <c r="W55" s="149" t="s">
        <v>28</v>
      </c>
      <c r="X55" s="149" t="s">
        <v>28</v>
      </c>
      <c r="Y55" s="149" t="s">
        <v>28</v>
      </c>
      <c r="Z55" s="149" t="s">
        <v>28</v>
      </c>
      <c r="AA55" s="149" t="s">
        <v>28</v>
      </c>
      <c r="AB55" s="149" t="s">
        <v>28</v>
      </c>
      <c r="AC55" s="149" t="s">
        <v>28</v>
      </c>
      <c r="AD55" s="149" t="s">
        <v>28</v>
      </c>
      <c r="AE55" s="809" t="s">
        <v>28</v>
      </c>
    </row>
    <row r="56" spans="1:31" ht="12.75" customHeight="1" thickBot="1">
      <c r="A56" s="1532" t="s">
        <v>31</v>
      </c>
      <c r="B56" s="1533" t="s">
        <v>32</v>
      </c>
      <c r="C56" s="144" t="s">
        <v>28</v>
      </c>
      <c r="D56" s="144" t="s">
        <v>28</v>
      </c>
      <c r="E56" s="144" t="s">
        <v>28</v>
      </c>
      <c r="F56" s="144" t="s">
        <v>28</v>
      </c>
      <c r="G56" s="144" t="s">
        <v>28</v>
      </c>
      <c r="H56" s="144" t="s">
        <v>28</v>
      </c>
      <c r="I56" s="144" t="s">
        <v>28</v>
      </c>
      <c r="J56" s="144" t="s">
        <v>28</v>
      </c>
      <c r="K56" s="144" t="s">
        <v>28</v>
      </c>
      <c r="L56" s="144" t="s">
        <v>28</v>
      </c>
      <c r="M56" s="144" t="s">
        <v>28</v>
      </c>
      <c r="N56" s="144" t="s">
        <v>28</v>
      </c>
      <c r="O56" s="144" t="s">
        <v>28</v>
      </c>
      <c r="P56" s="144" t="s">
        <v>28</v>
      </c>
      <c r="Q56" s="144" t="s">
        <v>28</v>
      </c>
      <c r="R56" s="144" t="s">
        <v>28</v>
      </c>
      <c r="S56" s="144" t="s">
        <v>28</v>
      </c>
      <c r="T56" s="144" t="s">
        <v>28</v>
      </c>
      <c r="U56" s="144" t="s">
        <v>28</v>
      </c>
      <c r="V56" s="144" t="s">
        <v>28</v>
      </c>
      <c r="W56" s="144" t="s">
        <v>28</v>
      </c>
      <c r="X56" s="144" t="s">
        <v>28</v>
      </c>
      <c r="Y56" s="144" t="s">
        <v>28</v>
      </c>
      <c r="Z56" s="144" t="s">
        <v>28</v>
      </c>
      <c r="AA56" s="144" t="s">
        <v>28</v>
      </c>
      <c r="AB56" s="144" t="s">
        <v>28</v>
      </c>
      <c r="AC56" s="144" t="s">
        <v>28</v>
      </c>
      <c r="AD56" s="144" t="s">
        <v>28</v>
      </c>
      <c r="AE56" s="151" t="s">
        <v>28</v>
      </c>
    </row>
    <row r="57" spans="1:31">
      <c r="A57" s="1044"/>
      <c r="B57" s="1045"/>
      <c r="C57" s="1045"/>
      <c r="D57" s="1045"/>
      <c r="E57" s="1045"/>
      <c r="F57" s="1045"/>
      <c r="G57" s="1045"/>
      <c r="H57" s="1045"/>
      <c r="I57" s="1045"/>
      <c r="J57" s="1045"/>
      <c r="K57" s="1045"/>
      <c r="L57" s="1045"/>
      <c r="M57" s="1045"/>
      <c r="N57" s="1045"/>
      <c r="O57" s="1045"/>
      <c r="P57" s="1044"/>
      <c r="Q57" s="1045"/>
      <c r="R57" s="1045"/>
      <c r="S57" s="1045"/>
      <c r="T57" s="1045"/>
      <c r="U57" s="1045"/>
      <c r="V57" s="1045"/>
      <c r="W57" s="1045"/>
      <c r="X57" s="1045"/>
      <c r="Y57" s="1045"/>
      <c r="Z57" s="1045"/>
      <c r="AA57" s="1045"/>
      <c r="AB57" s="1045"/>
      <c r="AC57" s="1045"/>
      <c r="AD57" s="1045"/>
      <c r="AE57" s="1045"/>
    </row>
    <row r="61" spans="1:31">
      <c r="A61" s="155"/>
      <c r="B61" s="155"/>
      <c r="C61" s="155"/>
      <c r="D61" s="155"/>
      <c r="E61" s="155"/>
      <c r="F61" s="155"/>
      <c r="G61" s="155"/>
      <c r="H61" s="155"/>
    </row>
    <row r="62" spans="1:31">
      <c r="A62" s="155"/>
      <c r="B62" s="155"/>
      <c r="C62" s="155"/>
      <c r="D62" s="155"/>
      <c r="E62" s="155"/>
      <c r="F62" s="155"/>
      <c r="G62" s="155"/>
      <c r="H62" s="155"/>
    </row>
    <row r="63" spans="1:31">
      <c r="A63" s="155"/>
      <c r="B63" s="155"/>
      <c r="C63" s="155"/>
      <c r="D63" s="155"/>
      <c r="E63" s="155"/>
      <c r="F63" s="155"/>
      <c r="G63" s="155"/>
      <c r="H63" s="155"/>
    </row>
    <row r="64" spans="1:31">
      <c r="A64" s="155"/>
      <c r="B64" s="155"/>
      <c r="C64" s="155"/>
      <c r="D64" s="155"/>
      <c r="E64" s="155"/>
      <c r="F64" s="155"/>
      <c r="G64" s="155"/>
      <c r="H64" s="155"/>
    </row>
  </sheetData>
  <mergeCells count="40">
    <mergeCell ref="AC5:AC6"/>
    <mergeCell ref="AA5:AA6"/>
    <mergeCell ref="AB5:AB6"/>
    <mergeCell ref="Q26:AE26"/>
    <mergeCell ref="O5:O6"/>
    <mergeCell ref="P5:P6"/>
    <mergeCell ref="AD5:AD6"/>
    <mergeCell ref="Q5:Q6"/>
    <mergeCell ref="R5:R6"/>
    <mergeCell ref="S5:S6"/>
    <mergeCell ref="Y5:Y6"/>
    <mergeCell ref="Z5:Z6"/>
    <mergeCell ref="W5:W6"/>
    <mergeCell ref="X5:X6"/>
    <mergeCell ref="Q10:AE10"/>
    <mergeCell ref="A26:P26"/>
    <mergeCell ref="A10:P10"/>
    <mergeCell ref="V5:V6"/>
    <mergeCell ref="H5:H6"/>
    <mergeCell ref="A5:B5"/>
    <mergeCell ref="E5:E6"/>
    <mergeCell ref="F5:F6"/>
    <mergeCell ref="G5:G6"/>
    <mergeCell ref="N5:N6"/>
    <mergeCell ref="P57:AE57"/>
    <mergeCell ref="A57:O57"/>
    <mergeCell ref="A2:P2"/>
    <mergeCell ref="I5:I6"/>
    <mergeCell ref="J5:J6"/>
    <mergeCell ref="R2:AE2"/>
    <mergeCell ref="A3:P3"/>
    <mergeCell ref="Q3:AE3"/>
    <mergeCell ref="A4:Q4"/>
    <mergeCell ref="R4:AE4"/>
    <mergeCell ref="T5:T6"/>
    <mergeCell ref="U5:U6"/>
    <mergeCell ref="A6:B6"/>
    <mergeCell ref="K5:K6"/>
    <mergeCell ref="L5:L6"/>
    <mergeCell ref="M5:M6"/>
  </mergeCells>
  <phoneticPr fontId="4" type="noConversion"/>
  <hyperlinks>
    <hyperlink ref="A1" location="목록!A1" display="목록!A1" xr:uid="{421E68C5-C4B2-47EA-B75C-F8A47ED2DF1A}"/>
  </hyperlinks>
  <printOptions horizontalCentered="1"/>
  <pageMargins left="0.59055118110236227" right="0.59055118110236227" top="0.78740157480314965" bottom="0.47244094488188981" header="0.62992125984251968" footer="0.39370078740157483"/>
  <pageSetup paperSize="9" orientation="portrait" r:id="rId1"/>
  <rowBreaks count="1" manualBreakCount="1">
    <brk id="56" max="30" man="1"/>
  </rowBreaks>
  <colBreaks count="1" manualBreakCount="1">
    <brk id="16" min="1" max="5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63"/>
  <sheetViews>
    <sheetView showGridLines="0" showWhiteSpace="0" view="pageBreakPreview" zoomScaleNormal="100" zoomScaleSheetLayoutView="100" zoomScalePageLayoutView="130" workbookViewId="0">
      <selection activeCell="G10" sqref="G10"/>
    </sheetView>
  </sheetViews>
  <sheetFormatPr defaultRowHeight="16.5"/>
  <cols>
    <col min="1" max="1" width="5.77734375" style="152" customWidth="1"/>
    <col min="2" max="2" width="8.77734375" style="153" customWidth="1"/>
    <col min="3" max="13" width="5.21875" style="152" customWidth="1"/>
    <col min="14" max="16384" width="8.88671875" style="60"/>
  </cols>
  <sheetData>
    <row r="1" spans="1:15" ht="22.5">
      <c r="A1" s="901" t="s">
        <v>1332</v>
      </c>
    </row>
    <row r="2" spans="1:15" s="122" customFormat="1" ht="13.5" customHeight="1">
      <c r="A2" s="1046" t="s">
        <v>1014</v>
      </c>
      <c r="B2" s="1046"/>
      <c r="C2" s="1046"/>
      <c r="D2" s="1046"/>
      <c r="E2" s="1046"/>
      <c r="F2" s="1046"/>
      <c r="G2" s="1046"/>
      <c r="H2" s="1046"/>
      <c r="I2" s="1046"/>
      <c r="J2" s="1046"/>
      <c r="K2" s="1046"/>
      <c r="L2" s="1046"/>
      <c r="M2" s="1046"/>
    </row>
    <row r="3" spans="1:15" ht="22.5" customHeight="1">
      <c r="A3" s="1050" t="s">
        <v>85</v>
      </c>
      <c r="B3" s="1050"/>
      <c r="C3" s="1050"/>
      <c r="D3" s="1050"/>
      <c r="E3" s="1050"/>
      <c r="F3" s="1050"/>
      <c r="G3" s="1050"/>
      <c r="H3" s="1050"/>
      <c r="I3" s="1050"/>
      <c r="J3" s="1050"/>
      <c r="K3" s="1050"/>
      <c r="L3" s="1050"/>
      <c r="M3" s="1050"/>
      <c r="N3" s="124"/>
      <c r="O3" s="124"/>
    </row>
    <row r="4" spans="1:15" ht="22.5" customHeight="1">
      <c r="A4" s="1059" t="s">
        <v>86</v>
      </c>
      <c r="B4" s="1059"/>
      <c r="C4" s="1059"/>
      <c r="D4" s="1059"/>
      <c r="E4" s="1059"/>
      <c r="F4" s="1059"/>
      <c r="G4" s="1059"/>
      <c r="H4" s="1059"/>
      <c r="I4" s="1059"/>
      <c r="J4" s="1059"/>
      <c r="K4" s="1059"/>
      <c r="L4" s="1059"/>
      <c r="M4" s="1059"/>
    </row>
    <row r="5" spans="1:15" ht="13.5" customHeight="1" thickBot="1">
      <c r="A5" s="1530"/>
      <c r="B5" s="1530"/>
      <c r="C5" s="1530"/>
      <c r="D5" s="1530"/>
      <c r="E5" s="1530"/>
      <c r="F5" s="1530"/>
      <c r="G5" s="1531"/>
      <c r="H5" s="1531"/>
      <c r="I5" s="1531"/>
      <c r="J5" s="1531"/>
      <c r="K5" s="1531"/>
      <c r="L5" s="1531"/>
      <c r="M5" s="1531"/>
    </row>
    <row r="6" spans="1:15" ht="13.5">
      <c r="A6" s="1507" t="s">
        <v>668</v>
      </c>
      <c r="B6" s="1056"/>
      <c r="C6" s="935" t="s">
        <v>13</v>
      </c>
      <c r="D6" s="157" t="s">
        <v>781</v>
      </c>
      <c r="E6" s="920">
        <v>101</v>
      </c>
      <c r="F6" s="920">
        <v>151</v>
      </c>
      <c r="G6" s="920">
        <v>301</v>
      </c>
      <c r="H6" s="920">
        <v>451</v>
      </c>
      <c r="I6" s="920">
        <v>601</v>
      </c>
      <c r="J6" s="920">
        <v>751</v>
      </c>
      <c r="K6" s="920">
        <v>901</v>
      </c>
      <c r="L6" s="920">
        <v>1051</v>
      </c>
      <c r="M6" s="1001" t="s">
        <v>1083</v>
      </c>
    </row>
    <row r="7" spans="1:15" ht="24">
      <c r="A7" s="1051" t="s">
        <v>7</v>
      </c>
      <c r="B7" s="1052"/>
      <c r="C7" s="927" t="s">
        <v>16</v>
      </c>
      <c r="D7" s="158" t="s">
        <v>485</v>
      </c>
      <c r="E7" s="159" t="s">
        <v>355</v>
      </c>
      <c r="F7" s="159" t="s">
        <v>356</v>
      </c>
      <c r="G7" s="159" t="s">
        <v>357</v>
      </c>
      <c r="H7" s="159" t="s">
        <v>358</v>
      </c>
      <c r="I7" s="159" t="s">
        <v>359</v>
      </c>
      <c r="J7" s="159" t="s">
        <v>360</v>
      </c>
      <c r="K7" s="159" t="s">
        <v>361</v>
      </c>
      <c r="L7" s="159" t="s">
        <v>362</v>
      </c>
      <c r="M7" s="927" t="s">
        <v>1084</v>
      </c>
    </row>
    <row r="8" spans="1:15" ht="12.95" customHeight="1">
      <c r="A8" s="128" t="s">
        <v>27</v>
      </c>
      <c r="B8" s="129" t="s">
        <v>16</v>
      </c>
      <c r="C8" s="133">
        <v>145</v>
      </c>
      <c r="D8" s="133">
        <v>11</v>
      </c>
      <c r="E8" s="133">
        <v>3</v>
      </c>
      <c r="F8" s="133">
        <v>17</v>
      </c>
      <c r="G8" s="133">
        <v>31</v>
      </c>
      <c r="H8" s="133">
        <v>24</v>
      </c>
      <c r="I8" s="133">
        <v>11</v>
      </c>
      <c r="J8" s="133">
        <v>17</v>
      </c>
      <c r="K8" s="133">
        <v>19</v>
      </c>
      <c r="L8" s="133">
        <v>7</v>
      </c>
      <c r="M8" s="1535">
        <v>5</v>
      </c>
    </row>
    <row r="9" spans="1:15" ht="12.95" customHeight="1">
      <c r="A9" s="130" t="s">
        <v>29</v>
      </c>
      <c r="B9" s="131" t="s">
        <v>30</v>
      </c>
      <c r="C9" s="135">
        <v>135</v>
      </c>
      <c r="D9" s="135">
        <v>9</v>
      </c>
      <c r="E9" s="135">
        <v>3</v>
      </c>
      <c r="F9" s="135">
        <v>16</v>
      </c>
      <c r="G9" s="135">
        <v>27</v>
      </c>
      <c r="H9" s="135">
        <v>23</v>
      </c>
      <c r="I9" s="135">
        <v>10</v>
      </c>
      <c r="J9" s="135">
        <v>16</v>
      </c>
      <c r="K9" s="135">
        <v>19</v>
      </c>
      <c r="L9" s="135">
        <v>7</v>
      </c>
      <c r="M9" s="1536">
        <v>5</v>
      </c>
    </row>
    <row r="10" spans="1:15" ht="12.95" customHeight="1" thickBot="1">
      <c r="A10" s="1532" t="s">
        <v>31</v>
      </c>
      <c r="B10" s="1533" t="s">
        <v>32</v>
      </c>
      <c r="C10" s="1537">
        <v>10</v>
      </c>
      <c r="D10" s="1537">
        <v>2</v>
      </c>
      <c r="E10" s="1537" t="s">
        <v>28</v>
      </c>
      <c r="F10" s="1537">
        <v>1</v>
      </c>
      <c r="G10" s="1537">
        <v>4</v>
      </c>
      <c r="H10" s="1537">
        <v>1</v>
      </c>
      <c r="I10" s="1537">
        <v>1</v>
      </c>
      <c r="J10" s="1537">
        <v>1</v>
      </c>
      <c r="K10" s="1537" t="s">
        <v>28</v>
      </c>
      <c r="L10" s="1537" t="s">
        <v>28</v>
      </c>
      <c r="M10" s="1538" t="s">
        <v>28</v>
      </c>
    </row>
    <row r="11" spans="1:15" s="125" customFormat="1" ht="12.95" customHeight="1" thickBot="1">
      <c r="A11" s="1534" t="s">
        <v>87</v>
      </c>
      <c r="B11" s="1534"/>
      <c r="C11" s="1534"/>
      <c r="D11" s="1534"/>
      <c r="E11" s="1534"/>
      <c r="F11" s="1534"/>
      <c r="G11" s="1534"/>
      <c r="H11" s="1534"/>
      <c r="I11" s="1534"/>
      <c r="J11" s="1534"/>
      <c r="K11" s="1534"/>
      <c r="L11" s="1534"/>
      <c r="M11" s="1534"/>
    </row>
    <row r="12" spans="1:15" ht="12.95" customHeight="1">
      <c r="A12" s="128" t="s">
        <v>35</v>
      </c>
      <c r="B12" s="129" t="s">
        <v>36</v>
      </c>
      <c r="C12" s="133">
        <v>31</v>
      </c>
      <c r="D12" s="133">
        <v>5</v>
      </c>
      <c r="E12" s="133">
        <v>1</v>
      </c>
      <c r="F12" s="133">
        <v>2</v>
      </c>
      <c r="G12" s="133">
        <v>8</v>
      </c>
      <c r="H12" s="133">
        <v>3</v>
      </c>
      <c r="I12" s="133">
        <v>4</v>
      </c>
      <c r="J12" s="133">
        <v>3</v>
      </c>
      <c r="K12" s="133">
        <v>5</v>
      </c>
      <c r="L12" s="133" t="s">
        <v>28</v>
      </c>
      <c r="M12" s="1535" t="s">
        <v>28</v>
      </c>
    </row>
    <row r="13" spans="1:15" ht="12.95" customHeight="1">
      <c r="A13" s="130" t="s">
        <v>29</v>
      </c>
      <c r="B13" s="131" t="s">
        <v>30</v>
      </c>
      <c r="C13" s="135">
        <v>25</v>
      </c>
      <c r="D13" s="135">
        <v>5</v>
      </c>
      <c r="E13" s="135">
        <v>1</v>
      </c>
      <c r="F13" s="135">
        <v>1</v>
      </c>
      <c r="G13" s="135">
        <v>5</v>
      </c>
      <c r="H13" s="135">
        <v>2</v>
      </c>
      <c r="I13" s="135">
        <v>4</v>
      </c>
      <c r="J13" s="135">
        <v>2</v>
      </c>
      <c r="K13" s="135">
        <v>5</v>
      </c>
      <c r="L13" s="1540" t="s">
        <v>28</v>
      </c>
      <c r="M13" s="1541" t="s">
        <v>28</v>
      </c>
    </row>
    <row r="14" spans="1:15" ht="12.95" customHeight="1">
      <c r="A14" s="130" t="s">
        <v>31</v>
      </c>
      <c r="B14" s="131" t="s">
        <v>32</v>
      </c>
      <c r="C14" s="135">
        <v>6</v>
      </c>
      <c r="D14" s="135" t="s">
        <v>28</v>
      </c>
      <c r="E14" s="135" t="s">
        <v>28</v>
      </c>
      <c r="F14" s="135">
        <v>1</v>
      </c>
      <c r="G14" s="135">
        <v>3</v>
      </c>
      <c r="H14" s="135">
        <v>1</v>
      </c>
      <c r="I14" s="135" t="s">
        <v>28</v>
      </c>
      <c r="J14" s="135">
        <v>1</v>
      </c>
      <c r="K14" s="135" t="s">
        <v>28</v>
      </c>
      <c r="L14" s="1540" t="s">
        <v>28</v>
      </c>
      <c r="M14" s="1541" t="s">
        <v>28</v>
      </c>
    </row>
    <row r="15" spans="1:15" ht="12.95" customHeight="1">
      <c r="A15" s="128" t="s">
        <v>37</v>
      </c>
      <c r="B15" s="129" t="s">
        <v>38</v>
      </c>
      <c r="C15" s="133">
        <v>36</v>
      </c>
      <c r="D15" s="133" t="s">
        <v>28</v>
      </c>
      <c r="E15" s="133">
        <v>1</v>
      </c>
      <c r="F15" s="133">
        <v>7</v>
      </c>
      <c r="G15" s="133">
        <v>12</v>
      </c>
      <c r="H15" s="133">
        <v>6</v>
      </c>
      <c r="I15" s="133">
        <v>2</v>
      </c>
      <c r="J15" s="133">
        <v>5</v>
      </c>
      <c r="K15" s="133">
        <v>3</v>
      </c>
      <c r="L15" s="133" t="s">
        <v>28</v>
      </c>
      <c r="M15" s="1535" t="s">
        <v>28</v>
      </c>
    </row>
    <row r="16" spans="1:15" ht="12.95" customHeight="1">
      <c r="A16" s="130" t="s">
        <v>29</v>
      </c>
      <c r="B16" s="131" t="s">
        <v>30</v>
      </c>
      <c r="C16" s="135">
        <v>36</v>
      </c>
      <c r="D16" s="135" t="s">
        <v>28</v>
      </c>
      <c r="E16" s="135">
        <v>1</v>
      </c>
      <c r="F16" s="135">
        <v>7</v>
      </c>
      <c r="G16" s="135">
        <v>12</v>
      </c>
      <c r="H16" s="135">
        <v>6</v>
      </c>
      <c r="I16" s="135">
        <v>2</v>
      </c>
      <c r="J16" s="135">
        <v>5</v>
      </c>
      <c r="K16" s="135">
        <v>3</v>
      </c>
      <c r="L16" s="135" t="s">
        <v>28</v>
      </c>
      <c r="M16" s="1536" t="s">
        <v>28</v>
      </c>
    </row>
    <row r="17" spans="1:13" ht="12.95" customHeight="1">
      <c r="A17" s="130" t="s">
        <v>31</v>
      </c>
      <c r="B17" s="131" t="s">
        <v>32</v>
      </c>
      <c r="C17" s="135" t="s">
        <v>28</v>
      </c>
      <c r="D17" s="135" t="s">
        <v>28</v>
      </c>
      <c r="E17" s="135" t="s">
        <v>28</v>
      </c>
      <c r="F17" s="135" t="s">
        <v>28</v>
      </c>
      <c r="G17" s="135" t="s">
        <v>28</v>
      </c>
      <c r="H17" s="135" t="s">
        <v>28</v>
      </c>
      <c r="I17" s="135" t="s">
        <v>28</v>
      </c>
      <c r="J17" s="135" t="s">
        <v>28</v>
      </c>
      <c r="K17" s="135" t="s">
        <v>28</v>
      </c>
      <c r="L17" s="135" t="s">
        <v>28</v>
      </c>
      <c r="M17" s="1536" t="s">
        <v>28</v>
      </c>
    </row>
    <row r="18" spans="1:13" ht="12.95" customHeight="1">
      <c r="A18" s="128" t="s">
        <v>39</v>
      </c>
      <c r="B18" s="129" t="s">
        <v>40</v>
      </c>
      <c r="C18" s="133">
        <v>42</v>
      </c>
      <c r="D18" s="133" t="s">
        <v>28</v>
      </c>
      <c r="E18" s="133" t="s">
        <v>28</v>
      </c>
      <c r="F18" s="133">
        <v>5</v>
      </c>
      <c r="G18" s="133">
        <v>6</v>
      </c>
      <c r="H18" s="133">
        <v>9</v>
      </c>
      <c r="I18" s="133">
        <v>4</v>
      </c>
      <c r="J18" s="133">
        <v>7</v>
      </c>
      <c r="K18" s="133">
        <v>5</v>
      </c>
      <c r="L18" s="133">
        <v>4</v>
      </c>
      <c r="M18" s="1535">
        <v>2</v>
      </c>
    </row>
    <row r="19" spans="1:13" ht="12.95" customHeight="1">
      <c r="A19" s="130" t="s">
        <v>29</v>
      </c>
      <c r="B19" s="131" t="s">
        <v>30</v>
      </c>
      <c r="C19" s="135">
        <v>40</v>
      </c>
      <c r="D19" s="135" t="s">
        <v>28</v>
      </c>
      <c r="E19" s="135" t="s">
        <v>28</v>
      </c>
      <c r="F19" s="135">
        <v>5</v>
      </c>
      <c r="G19" s="135">
        <v>5</v>
      </c>
      <c r="H19" s="135">
        <v>9</v>
      </c>
      <c r="I19" s="135">
        <v>3</v>
      </c>
      <c r="J19" s="135">
        <v>7</v>
      </c>
      <c r="K19" s="135">
        <v>5</v>
      </c>
      <c r="L19" s="135">
        <v>4</v>
      </c>
      <c r="M19" s="1536">
        <v>2</v>
      </c>
    </row>
    <row r="20" spans="1:13" ht="12.95" customHeight="1">
      <c r="A20" s="130" t="s">
        <v>31</v>
      </c>
      <c r="B20" s="131" t="s">
        <v>32</v>
      </c>
      <c r="C20" s="135">
        <v>2</v>
      </c>
      <c r="D20" s="135" t="s">
        <v>28</v>
      </c>
      <c r="E20" s="135" t="s">
        <v>28</v>
      </c>
      <c r="F20" s="135" t="s">
        <v>28</v>
      </c>
      <c r="G20" s="135">
        <v>1</v>
      </c>
      <c r="H20" s="135" t="s">
        <v>28</v>
      </c>
      <c r="I20" s="135">
        <v>1</v>
      </c>
      <c r="J20" s="135" t="s">
        <v>28</v>
      </c>
      <c r="K20" s="135" t="s">
        <v>28</v>
      </c>
      <c r="L20" s="135" t="s">
        <v>28</v>
      </c>
      <c r="M20" s="1536" t="s">
        <v>28</v>
      </c>
    </row>
    <row r="21" spans="1:13" ht="12.95" customHeight="1">
      <c r="A21" s="128" t="s">
        <v>41</v>
      </c>
      <c r="B21" s="129" t="s">
        <v>42</v>
      </c>
      <c r="C21" s="133">
        <v>27</v>
      </c>
      <c r="D21" s="133" t="s">
        <v>28</v>
      </c>
      <c r="E21" s="133" t="s">
        <v>28</v>
      </c>
      <c r="F21" s="133">
        <v>3</v>
      </c>
      <c r="G21" s="133">
        <v>5</v>
      </c>
      <c r="H21" s="133">
        <v>4</v>
      </c>
      <c r="I21" s="133">
        <v>1</v>
      </c>
      <c r="J21" s="133">
        <v>2</v>
      </c>
      <c r="K21" s="133">
        <v>6</v>
      </c>
      <c r="L21" s="133">
        <v>3</v>
      </c>
      <c r="M21" s="1535">
        <v>3</v>
      </c>
    </row>
    <row r="22" spans="1:13" ht="12.95" customHeight="1">
      <c r="A22" s="130" t="s">
        <v>29</v>
      </c>
      <c r="B22" s="131" t="s">
        <v>30</v>
      </c>
      <c r="C22" s="135">
        <v>27</v>
      </c>
      <c r="D22" s="135" t="s">
        <v>28</v>
      </c>
      <c r="E22" s="135" t="s">
        <v>28</v>
      </c>
      <c r="F22" s="135">
        <v>3</v>
      </c>
      <c r="G22" s="135">
        <v>5</v>
      </c>
      <c r="H22" s="135">
        <v>4</v>
      </c>
      <c r="I22" s="135">
        <v>1</v>
      </c>
      <c r="J22" s="135">
        <v>2</v>
      </c>
      <c r="K22" s="135">
        <v>6</v>
      </c>
      <c r="L22" s="135">
        <v>3</v>
      </c>
      <c r="M22" s="1536">
        <v>3</v>
      </c>
    </row>
    <row r="23" spans="1:13" ht="12.95" customHeight="1">
      <c r="A23" s="130" t="s">
        <v>31</v>
      </c>
      <c r="B23" s="131" t="s">
        <v>32</v>
      </c>
      <c r="C23" s="135" t="s">
        <v>28</v>
      </c>
      <c r="D23" s="135" t="s">
        <v>28</v>
      </c>
      <c r="E23" s="135" t="s">
        <v>28</v>
      </c>
      <c r="F23" s="135" t="s">
        <v>28</v>
      </c>
      <c r="G23" s="135" t="s">
        <v>28</v>
      </c>
      <c r="H23" s="135" t="s">
        <v>28</v>
      </c>
      <c r="I23" s="135" t="s">
        <v>28</v>
      </c>
      <c r="J23" s="135" t="s">
        <v>28</v>
      </c>
      <c r="K23" s="135" t="s">
        <v>28</v>
      </c>
      <c r="L23" s="135" t="s">
        <v>28</v>
      </c>
      <c r="M23" s="1536" t="s">
        <v>28</v>
      </c>
    </row>
    <row r="24" spans="1:13" ht="12.95" customHeight="1">
      <c r="A24" s="128" t="s">
        <v>43</v>
      </c>
      <c r="B24" s="129" t="s">
        <v>44</v>
      </c>
      <c r="C24" s="133">
        <v>9</v>
      </c>
      <c r="D24" s="133">
        <v>6</v>
      </c>
      <c r="E24" s="133">
        <v>1</v>
      </c>
      <c r="F24" s="133" t="s">
        <v>28</v>
      </c>
      <c r="G24" s="133" t="s">
        <v>28</v>
      </c>
      <c r="H24" s="133">
        <v>2</v>
      </c>
      <c r="I24" s="133" t="s">
        <v>28</v>
      </c>
      <c r="J24" s="133" t="s">
        <v>28</v>
      </c>
      <c r="K24" s="133" t="s">
        <v>28</v>
      </c>
      <c r="L24" s="133" t="s">
        <v>28</v>
      </c>
      <c r="M24" s="1535" t="s">
        <v>28</v>
      </c>
    </row>
    <row r="25" spans="1:13" ht="12.95" customHeight="1">
      <c r="A25" s="130" t="s">
        <v>29</v>
      </c>
      <c r="B25" s="131" t="s">
        <v>30</v>
      </c>
      <c r="C25" s="160">
        <v>7</v>
      </c>
      <c r="D25" s="160">
        <v>4</v>
      </c>
      <c r="E25" s="160">
        <v>1</v>
      </c>
      <c r="F25" s="135" t="s">
        <v>28</v>
      </c>
      <c r="G25" s="135" t="s">
        <v>28</v>
      </c>
      <c r="H25" s="135">
        <v>2</v>
      </c>
      <c r="I25" s="135" t="s">
        <v>28</v>
      </c>
      <c r="J25" s="135" t="s">
        <v>28</v>
      </c>
      <c r="K25" s="135" t="s">
        <v>28</v>
      </c>
      <c r="L25" s="135" t="s">
        <v>28</v>
      </c>
      <c r="M25" s="1536" t="s">
        <v>28</v>
      </c>
    </row>
    <row r="26" spans="1:13" ht="12.95" customHeight="1" thickBot="1">
      <c r="A26" s="1532" t="s">
        <v>31</v>
      </c>
      <c r="B26" s="1533" t="s">
        <v>32</v>
      </c>
      <c r="C26" s="161">
        <v>2</v>
      </c>
      <c r="D26" s="161">
        <v>2</v>
      </c>
      <c r="E26" s="161" t="s">
        <v>28</v>
      </c>
      <c r="F26" s="1537" t="s">
        <v>28</v>
      </c>
      <c r="G26" s="1537" t="s">
        <v>28</v>
      </c>
      <c r="H26" s="1537" t="s">
        <v>28</v>
      </c>
      <c r="I26" s="1537" t="s">
        <v>28</v>
      </c>
      <c r="J26" s="1537" t="s">
        <v>28</v>
      </c>
      <c r="K26" s="1537" t="s">
        <v>28</v>
      </c>
      <c r="L26" s="1537" t="s">
        <v>28</v>
      </c>
      <c r="M26" s="1538" t="s">
        <v>28</v>
      </c>
    </row>
    <row r="27" spans="1:13" s="125" customFormat="1" ht="12.95" customHeight="1" thickBot="1">
      <c r="A27" s="1539" t="s">
        <v>88</v>
      </c>
      <c r="B27" s="1539"/>
      <c r="C27" s="1539"/>
      <c r="D27" s="1539"/>
      <c r="E27" s="1539"/>
      <c r="F27" s="1539"/>
      <c r="G27" s="1539"/>
      <c r="H27" s="1539"/>
      <c r="I27" s="1539"/>
      <c r="J27" s="1539"/>
      <c r="K27" s="1539"/>
      <c r="L27" s="1539"/>
      <c r="M27" s="1539"/>
    </row>
    <row r="28" spans="1:13" ht="12.95" customHeight="1">
      <c r="A28" s="128" t="s">
        <v>47</v>
      </c>
      <c r="B28" s="129" t="s">
        <v>48</v>
      </c>
      <c r="C28" s="162">
        <v>11</v>
      </c>
      <c r="D28" s="162">
        <v>1</v>
      </c>
      <c r="E28" s="162" t="s">
        <v>28</v>
      </c>
      <c r="F28" s="162">
        <v>1</v>
      </c>
      <c r="G28" s="162">
        <v>4</v>
      </c>
      <c r="H28" s="162">
        <v>1</v>
      </c>
      <c r="I28" s="162">
        <v>1</v>
      </c>
      <c r="J28" s="162" t="s">
        <v>28</v>
      </c>
      <c r="K28" s="162">
        <v>3</v>
      </c>
      <c r="L28" s="162" t="s">
        <v>28</v>
      </c>
      <c r="M28" s="163" t="s">
        <v>28</v>
      </c>
    </row>
    <row r="29" spans="1:13" ht="12.95" customHeight="1">
      <c r="A29" s="130" t="s">
        <v>29</v>
      </c>
      <c r="B29" s="131" t="s">
        <v>30</v>
      </c>
      <c r="C29" s="160">
        <v>8</v>
      </c>
      <c r="D29" s="160">
        <v>1</v>
      </c>
      <c r="E29" s="160" t="s">
        <v>28</v>
      </c>
      <c r="F29" s="160" t="s">
        <v>28</v>
      </c>
      <c r="G29" s="160">
        <v>2</v>
      </c>
      <c r="H29" s="160">
        <v>1</v>
      </c>
      <c r="I29" s="160">
        <v>1</v>
      </c>
      <c r="J29" s="160" t="s">
        <v>28</v>
      </c>
      <c r="K29" s="160">
        <v>3</v>
      </c>
      <c r="L29" s="160" t="s">
        <v>28</v>
      </c>
      <c r="M29" s="164" t="s">
        <v>28</v>
      </c>
    </row>
    <row r="30" spans="1:13" ht="12.95" customHeight="1">
      <c r="A30" s="130" t="s">
        <v>31</v>
      </c>
      <c r="B30" s="131" t="s">
        <v>32</v>
      </c>
      <c r="C30" s="160">
        <v>3</v>
      </c>
      <c r="D30" s="160" t="s">
        <v>28</v>
      </c>
      <c r="E30" s="160" t="s">
        <v>28</v>
      </c>
      <c r="F30" s="160">
        <v>1</v>
      </c>
      <c r="G30" s="160">
        <v>2</v>
      </c>
      <c r="H30" s="160" t="s">
        <v>28</v>
      </c>
      <c r="I30" s="160" t="s">
        <v>28</v>
      </c>
      <c r="J30" s="160" t="s">
        <v>28</v>
      </c>
      <c r="K30" s="160" t="s">
        <v>28</v>
      </c>
      <c r="L30" s="160" t="s">
        <v>28</v>
      </c>
      <c r="M30" s="164" t="s">
        <v>28</v>
      </c>
    </row>
    <row r="31" spans="1:13" ht="12.95" customHeight="1">
      <c r="A31" s="128" t="s">
        <v>49</v>
      </c>
      <c r="B31" s="129" t="s">
        <v>50</v>
      </c>
      <c r="C31" s="165">
        <v>3</v>
      </c>
      <c r="D31" s="165" t="s">
        <v>28</v>
      </c>
      <c r="E31" s="165" t="s">
        <v>28</v>
      </c>
      <c r="F31" s="165" t="s">
        <v>28</v>
      </c>
      <c r="G31" s="165">
        <v>2</v>
      </c>
      <c r="H31" s="165">
        <v>1</v>
      </c>
      <c r="I31" s="165" t="s">
        <v>28</v>
      </c>
      <c r="J31" s="165" t="s">
        <v>28</v>
      </c>
      <c r="K31" s="165" t="s">
        <v>28</v>
      </c>
      <c r="L31" s="165" t="s">
        <v>28</v>
      </c>
      <c r="M31" s="166" t="s">
        <v>28</v>
      </c>
    </row>
    <row r="32" spans="1:13" ht="12.95" customHeight="1">
      <c r="A32" s="130" t="s">
        <v>29</v>
      </c>
      <c r="B32" s="131" t="s">
        <v>30</v>
      </c>
      <c r="C32" s="160">
        <v>1</v>
      </c>
      <c r="D32" s="160" t="s">
        <v>28</v>
      </c>
      <c r="E32" s="160" t="s">
        <v>28</v>
      </c>
      <c r="F32" s="160" t="s">
        <v>28</v>
      </c>
      <c r="G32" s="160">
        <v>1</v>
      </c>
      <c r="H32" s="160" t="s">
        <v>28</v>
      </c>
      <c r="I32" s="160" t="s">
        <v>28</v>
      </c>
      <c r="J32" s="160" t="s">
        <v>28</v>
      </c>
      <c r="K32" s="160" t="s">
        <v>28</v>
      </c>
      <c r="L32" s="160" t="s">
        <v>28</v>
      </c>
      <c r="M32" s="164" t="s">
        <v>28</v>
      </c>
    </row>
    <row r="33" spans="1:13" ht="12.95" customHeight="1">
      <c r="A33" s="130" t="s">
        <v>31</v>
      </c>
      <c r="B33" s="131" t="s">
        <v>32</v>
      </c>
      <c r="C33" s="160">
        <v>2</v>
      </c>
      <c r="D33" s="160" t="s">
        <v>28</v>
      </c>
      <c r="E33" s="160" t="s">
        <v>28</v>
      </c>
      <c r="F33" s="160" t="s">
        <v>28</v>
      </c>
      <c r="G33" s="160">
        <v>1</v>
      </c>
      <c r="H33" s="160">
        <v>1</v>
      </c>
      <c r="I33" s="160" t="s">
        <v>28</v>
      </c>
      <c r="J33" s="160" t="s">
        <v>28</v>
      </c>
      <c r="K33" s="160" t="s">
        <v>28</v>
      </c>
      <c r="L33" s="160" t="s">
        <v>28</v>
      </c>
      <c r="M33" s="164" t="s">
        <v>28</v>
      </c>
    </row>
    <row r="34" spans="1:13" ht="12.95" customHeight="1">
      <c r="A34" s="128" t="s">
        <v>963</v>
      </c>
      <c r="B34" s="129" t="s">
        <v>964</v>
      </c>
      <c r="C34" s="165">
        <v>12</v>
      </c>
      <c r="D34" s="165" t="s">
        <v>28</v>
      </c>
      <c r="E34" s="165" t="s">
        <v>28</v>
      </c>
      <c r="F34" s="165">
        <v>1</v>
      </c>
      <c r="G34" s="165">
        <v>2</v>
      </c>
      <c r="H34" s="165">
        <v>1</v>
      </c>
      <c r="I34" s="165">
        <v>3</v>
      </c>
      <c r="J34" s="165">
        <v>3</v>
      </c>
      <c r="K34" s="165">
        <v>2</v>
      </c>
      <c r="L34" s="165" t="s">
        <v>28</v>
      </c>
      <c r="M34" s="166" t="s">
        <v>28</v>
      </c>
    </row>
    <row r="35" spans="1:13" ht="12.95" customHeight="1">
      <c r="A35" s="130" t="s">
        <v>29</v>
      </c>
      <c r="B35" s="131" t="s">
        <v>30</v>
      </c>
      <c r="C35" s="160">
        <v>11</v>
      </c>
      <c r="D35" s="160" t="s">
        <v>28</v>
      </c>
      <c r="E35" s="160" t="s">
        <v>28</v>
      </c>
      <c r="F35" s="160">
        <v>1</v>
      </c>
      <c r="G35" s="160">
        <v>2</v>
      </c>
      <c r="H35" s="160">
        <v>1</v>
      </c>
      <c r="I35" s="160">
        <v>3</v>
      </c>
      <c r="J35" s="160">
        <v>2</v>
      </c>
      <c r="K35" s="160">
        <v>2</v>
      </c>
      <c r="L35" s="160" t="s">
        <v>28</v>
      </c>
      <c r="M35" s="164" t="s">
        <v>28</v>
      </c>
    </row>
    <row r="36" spans="1:13" ht="12.95" customHeight="1">
      <c r="A36" s="130" t="s">
        <v>31</v>
      </c>
      <c r="B36" s="131" t="s">
        <v>32</v>
      </c>
      <c r="C36" s="160">
        <v>1</v>
      </c>
      <c r="D36" s="160" t="s">
        <v>28</v>
      </c>
      <c r="E36" s="160" t="s">
        <v>28</v>
      </c>
      <c r="F36" s="160" t="s">
        <v>28</v>
      </c>
      <c r="G36" s="160" t="s">
        <v>28</v>
      </c>
      <c r="H36" s="160" t="s">
        <v>28</v>
      </c>
      <c r="I36" s="160" t="s">
        <v>28</v>
      </c>
      <c r="J36" s="160">
        <v>1</v>
      </c>
      <c r="K36" s="160" t="s">
        <v>28</v>
      </c>
      <c r="L36" s="160" t="s">
        <v>28</v>
      </c>
      <c r="M36" s="164" t="s">
        <v>28</v>
      </c>
    </row>
    <row r="37" spans="1:13" ht="12.95" customHeight="1">
      <c r="A37" s="128" t="s">
        <v>51</v>
      </c>
      <c r="B37" s="129" t="s">
        <v>52</v>
      </c>
      <c r="C37" s="165">
        <v>20</v>
      </c>
      <c r="D37" s="165" t="s">
        <v>28</v>
      </c>
      <c r="E37" s="165" t="s">
        <v>28</v>
      </c>
      <c r="F37" s="165">
        <v>3</v>
      </c>
      <c r="G37" s="165">
        <v>3</v>
      </c>
      <c r="H37" s="165">
        <v>3</v>
      </c>
      <c r="I37" s="165">
        <v>3</v>
      </c>
      <c r="J37" s="165">
        <v>1</v>
      </c>
      <c r="K37" s="165">
        <v>2</v>
      </c>
      <c r="L37" s="165">
        <v>3</v>
      </c>
      <c r="M37" s="166">
        <v>2</v>
      </c>
    </row>
    <row r="38" spans="1:13" ht="12.95" customHeight="1">
      <c r="A38" s="130" t="s">
        <v>29</v>
      </c>
      <c r="B38" s="131" t="s">
        <v>30</v>
      </c>
      <c r="C38" s="160">
        <v>19</v>
      </c>
      <c r="D38" s="160" t="s">
        <v>28</v>
      </c>
      <c r="E38" s="160" t="s">
        <v>28</v>
      </c>
      <c r="F38" s="160">
        <v>3</v>
      </c>
      <c r="G38" s="160">
        <v>3</v>
      </c>
      <c r="H38" s="160">
        <v>3</v>
      </c>
      <c r="I38" s="160">
        <v>2</v>
      </c>
      <c r="J38" s="160">
        <v>1</v>
      </c>
      <c r="K38" s="160">
        <v>2</v>
      </c>
      <c r="L38" s="160">
        <v>3</v>
      </c>
      <c r="M38" s="164">
        <v>2</v>
      </c>
    </row>
    <row r="39" spans="1:13" ht="12.95" customHeight="1">
      <c r="A39" s="130" t="s">
        <v>31</v>
      </c>
      <c r="B39" s="131" t="s">
        <v>32</v>
      </c>
      <c r="C39" s="160">
        <v>1</v>
      </c>
      <c r="D39" s="160" t="s">
        <v>28</v>
      </c>
      <c r="E39" s="160" t="s">
        <v>28</v>
      </c>
      <c r="F39" s="160" t="s">
        <v>28</v>
      </c>
      <c r="G39" s="160" t="s">
        <v>28</v>
      </c>
      <c r="H39" s="160" t="s">
        <v>28</v>
      </c>
      <c r="I39" s="160">
        <v>1</v>
      </c>
      <c r="J39" s="160" t="s">
        <v>28</v>
      </c>
      <c r="K39" s="160" t="s">
        <v>28</v>
      </c>
      <c r="L39" s="160" t="s">
        <v>28</v>
      </c>
      <c r="M39" s="164" t="s">
        <v>28</v>
      </c>
    </row>
    <row r="40" spans="1:13" ht="12.95" customHeight="1">
      <c r="A40" s="128" t="s">
        <v>53</v>
      </c>
      <c r="B40" s="129" t="s">
        <v>54</v>
      </c>
      <c r="C40" s="165">
        <v>22</v>
      </c>
      <c r="D40" s="165" t="s">
        <v>28</v>
      </c>
      <c r="E40" s="165" t="s">
        <v>28</v>
      </c>
      <c r="F40" s="165">
        <v>2</v>
      </c>
      <c r="G40" s="165">
        <v>3</v>
      </c>
      <c r="H40" s="165">
        <v>6</v>
      </c>
      <c r="I40" s="165">
        <v>1</v>
      </c>
      <c r="J40" s="165">
        <v>6</v>
      </c>
      <c r="K40" s="165">
        <v>3</v>
      </c>
      <c r="L40" s="165">
        <v>1</v>
      </c>
      <c r="M40" s="166" t="s">
        <v>28</v>
      </c>
    </row>
    <row r="41" spans="1:13" ht="12.95" customHeight="1">
      <c r="A41" s="130" t="s">
        <v>29</v>
      </c>
      <c r="B41" s="131" t="s">
        <v>30</v>
      </c>
      <c r="C41" s="160">
        <v>21</v>
      </c>
      <c r="D41" s="160" t="s">
        <v>28</v>
      </c>
      <c r="E41" s="160" t="s">
        <v>28</v>
      </c>
      <c r="F41" s="160">
        <v>2</v>
      </c>
      <c r="G41" s="160">
        <v>2</v>
      </c>
      <c r="H41" s="160">
        <v>6</v>
      </c>
      <c r="I41" s="160">
        <v>1</v>
      </c>
      <c r="J41" s="160">
        <v>6</v>
      </c>
      <c r="K41" s="160">
        <v>3</v>
      </c>
      <c r="L41" s="160">
        <v>1</v>
      </c>
      <c r="M41" s="164" t="s">
        <v>28</v>
      </c>
    </row>
    <row r="42" spans="1:13" ht="12.95" customHeight="1">
      <c r="A42" s="130" t="s">
        <v>31</v>
      </c>
      <c r="B42" s="131" t="s">
        <v>32</v>
      </c>
      <c r="C42" s="160">
        <v>1</v>
      </c>
      <c r="D42" s="160" t="s">
        <v>28</v>
      </c>
      <c r="E42" s="160" t="s">
        <v>28</v>
      </c>
      <c r="F42" s="160" t="s">
        <v>28</v>
      </c>
      <c r="G42" s="160">
        <v>1</v>
      </c>
      <c r="H42" s="160" t="s">
        <v>28</v>
      </c>
      <c r="I42" s="160" t="s">
        <v>28</v>
      </c>
      <c r="J42" s="160" t="s">
        <v>28</v>
      </c>
      <c r="K42" s="160" t="s">
        <v>28</v>
      </c>
      <c r="L42" s="160" t="s">
        <v>28</v>
      </c>
      <c r="M42" s="164" t="s">
        <v>28</v>
      </c>
    </row>
    <row r="43" spans="1:13" ht="12.95" customHeight="1">
      <c r="A43" s="128" t="s">
        <v>55</v>
      </c>
      <c r="B43" s="129" t="s">
        <v>56</v>
      </c>
      <c r="C43" s="165">
        <v>21</v>
      </c>
      <c r="D43" s="165" t="s">
        <v>28</v>
      </c>
      <c r="E43" s="165" t="s">
        <v>28</v>
      </c>
      <c r="F43" s="165">
        <v>4</v>
      </c>
      <c r="G43" s="165">
        <v>7</v>
      </c>
      <c r="H43" s="165">
        <v>2</v>
      </c>
      <c r="I43" s="165">
        <v>1</v>
      </c>
      <c r="J43" s="165">
        <v>4</v>
      </c>
      <c r="K43" s="165">
        <v>3</v>
      </c>
      <c r="L43" s="165" t="s">
        <v>28</v>
      </c>
      <c r="M43" s="166" t="s">
        <v>28</v>
      </c>
    </row>
    <row r="44" spans="1:13" ht="12.95" customHeight="1">
      <c r="A44" s="130" t="s">
        <v>29</v>
      </c>
      <c r="B44" s="131" t="s">
        <v>30</v>
      </c>
      <c r="C44" s="160">
        <v>21</v>
      </c>
      <c r="D44" s="160" t="s">
        <v>28</v>
      </c>
      <c r="E44" s="160" t="s">
        <v>28</v>
      </c>
      <c r="F44" s="160">
        <v>4</v>
      </c>
      <c r="G44" s="160">
        <v>7</v>
      </c>
      <c r="H44" s="160">
        <v>2</v>
      </c>
      <c r="I44" s="160">
        <v>1</v>
      </c>
      <c r="J44" s="160">
        <v>4</v>
      </c>
      <c r="K44" s="160">
        <v>3</v>
      </c>
      <c r="L44" s="160" t="s">
        <v>28</v>
      </c>
      <c r="M44" s="164" t="s">
        <v>28</v>
      </c>
    </row>
    <row r="45" spans="1:13" ht="12.95" customHeight="1">
      <c r="A45" s="130" t="s">
        <v>31</v>
      </c>
      <c r="B45" s="131" t="s">
        <v>32</v>
      </c>
      <c r="C45" s="160" t="s">
        <v>28</v>
      </c>
      <c r="D45" s="160" t="s">
        <v>28</v>
      </c>
      <c r="E45" s="160" t="s">
        <v>28</v>
      </c>
      <c r="F45" s="160" t="s">
        <v>28</v>
      </c>
      <c r="G45" s="160" t="s">
        <v>28</v>
      </c>
      <c r="H45" s="160" t="s">
        <v>28</v>
      </c>
      <c r="I45" s="160" t="s">
        <v>28</v>
      </c>
      <c r="J45" s="160" t="s">
        <v>28</v>
      </c>
      <c r="K45" s="160" t="s">
        <v>28</v>
      </c>
      <c r="L45" s="160" t="s">
        <v>28</v>
      </c>
      <c r="M45" s="164" t="s">
        <v>28</v>
      </c>
    </row>
    <row r="46" spans="1:13" ht="12.95" customHeight="1">
      <c r="A46" s="128" t="s">
        <v>57</v>
      </c>
      <c r="B46" s="129" t="s">
        <v>58</v>
      </c>
      <c r="C46" s="165">
        <v>15</v>
      </c>
      <c r="D46" s="165" t="s">
        <v>28</v>
      </c>
      <c r="E46" s="165">
        <v>1</v>
      </c>
      <c r="F46" s="165">
        <v>3</v>
      </c>
      <c r="G46" s="165">
        <v>5</v>
      </c>
      <c r="H46" s="165">
        <v>4</v>
      </c>
      <c r="I46" s="165">
        <v>1</v>
      </c>
      <c r="J46" s="165">
        <v>1</v>
      </c>
      <c r="K46" s="165" t="s">
        <v>28</v>
      </c>
      <c r="L46" s="165" t="s">
        <v>28</v>
      </c>
      <c r="M46" s="166" t="s">
        <v>28</v>
      </c>
    </row>
    <row r="47" spans="1:13" ht="12.95" customHeight="1">
      <c r="A47" s="130" t="s">
        <v>29</v>
      </c>
      <c r="B47" s="131" t="s">
        <v>30</v>
      </c>
      <c r="C47" s="160">
        <v>15</v>
      </c>
      <c r="D47" s="160" t="s">
        <v>28</v>
      </c>
      <c r="E47" s="160">
        <v>1</v>
      </c>
      <c r="F47" s="160">
        <v>3</v>
      </c>
      <c r="G47" s="160">
        <v>5</v>
      </c>
      <c r="H47" s="160">
        <v>4</v>
      </c>
      <c r="I47" s="160">
        <v>1</v>
      </c>
      <c r="J47" s="160">
        <v>1</v>
      </c>
      <c r="K47" s="160" t="s">
        <v>28</v>
      </c>
      <c r="L47" s="160" t="s">
        <v>28</v>
      </c>
      <c r="M47" s="164" t="s">
        <v>28</v>
      </c>
    </row>
    <row r="48" spans="1:13" ht="12.95" customHeight="1">
      <c r="A48" s="130" t="s">
        <v>31</v>
      </c>
      <c r="B48" s="131" t="s">
        <v>32</v>
      </c>
      <c r="C48" s="160" t="s">
        <v>28</v>
      </c>
      <c r="D48" s="160" t="s">
        <v>28</v>
      </c>
      <c r="E48" s="160" t="s">
        <v>28</v>
      </c>
      <c r="F48" s="160" t="s">
        <v>28</v>
      </c>
      <c r="G48" s="160" t="s">
        <v>28</v>
      </c>
      <c r="H48" s="160" t="s">
        <v>28</v>
      </c>
      <c r="I48" s="160" t="s">
        <v>28</v>
      </c>
      <c r="J48" s="160" t="s">
        <v>28</v>
      </c>
      <c r="K48" s="160" t="s">
        <v>28</v>
      </c>
      <c r="L48" s="160" t="s">
        <v>28</v>
      </c>
      <c r="M48" s="164" t="s">
        <v>28</v>
      </c>
    </row>
    <row r="49" spans="1:13" ht="12.95" customHeight="1">
      <c r="A49" s="128" t="s">
        <v>59</v>
      </c>
      <c r="B49" s="129" t="s">
        <v>60</v>
      </c>
      <c r="C49" s="165">
        <v>27</v>
      </c>
      <c r="D49" s="165" t="s">
        <v>28</v>
      </c>
      <c r="E49" s="165" t="s">
        <v>28</v>
      </c>
      <c r="F49" s="165">
        <v>3</v>
      </c>
      <c r="G49" s="165">
        <v>5</v>
      </c>
      <c r="H49" s="165">
        <v>4</v>
      </c>
      <c r="I49" s="165">
        <v>1</v>
      </c>
      <c r="J49" s="165">
        <v>2</v>
      </c>
      <c r="K49" s="165">
        <v>6</v>
      </c>
      <c r="L49" s="165">
        <v>3</v>
      </c>
      <c r="M49" s="166">
        <v>3</v>
      </c>
    </row>
    <row r="50" spans="1:13" ht="12.95" customHeight="1">
      <c r="A50" s="130" t="s">
        <v>29</v>
      </c>
      <c r="B50" s="131" t="s">
        <v>30</v>
      </c>
      <c r="C50" s="160">
        <v>27</v>
      </c>
      <c r="D50" s="160" t="s">
        <v>28</v>
      </c>
      <c r="E50" s="160" t="s">
        <v>28</v>
      </c>
      <c r="F50" s="160">
        <v>3</v>
      </c>
      <c r="G50" s="160">
        <v>5</v>
      </c>
      <c r="H50" s="160">
        <v>4</v>
      </c>
      <c r="I50" s="160">
        <v>1</v>
      </c>
      <c r="J50" s="160">
        <v>2</v>
      </c>
      <c r="K50" s="160">
        <v>6</v>
      </c>
      <c r="L50" s="160">
        <v>3</v>
      </c>
      <c r="M50" s="164">
        <v>3</v>
      </c>
    </row>
    <row r="51" spans="1:13" ht="12.95" customHeight="1">
      <c r="A51" s="130" t="s">
        <v>31</v>
      </c>
      <c r="B51" s="131" t="s">
        <v>32</v>
      </c>
      <c r="C51" s="160" t="s">
        <v>28</v>
      </c>
      <c r="D51" s="160" t="s">
        <v>28</v>
      </c>
      <c r="E51" s="160" t="s">
        <v>28</v>
      </c>
      <c r="F51" s="160" t="s">
        <v>28</v>
      </c>
      <c r="G51" s="160" t="s">
        <v>28</v>
      </c>
      <c r="H51" s="160" t="s">
        <v>28</v>
      </c>
      <c r="I51" s="160" t="s">
        <v>28</v>
      </c>
      <c r="J51" s="160" t="s">
        <v>28</v>
      </c>
      <c r="K51" s="160" t="s">
        <v>28</v>
      </c>
      <c r="L51" s="160" t="s">
        <v>28</v>
      </c>
      <c r="M51" s="164" t="s">
        <v>28</v>
      </c>
    </row>
    <row r="52" spans="1:13" ht="12.95" customHeight="1">
      <c r="A52" s="128" t="s">
        <v>61</v>
      </c>
      <c r="B52" s="129" t="s">
        <v>62</v>
      </c>
      <c r="C52" s="165">
        <v>9</v>
      </c>
      <c r="D52" s="165">
        <v>6</v>
      </c>
      <c r="E52" s="165">
        <v>1</v>
      </c>
      <c r="F52" s="165" t="s">
        <v>28</v>
      </c>
      <c r="G52" s="165" t="s">
        <v>28</v>
      </c>
      <c r="H52" s="165">
        <v>2</v>
      </c>
      <c r="I52" s="165" t="s">
        <v>28</v>
      </c>
      <c r="J52" s="165" t="s">
        <v>28</v>
      </c>
      <c r="K52" s="165" t="s">
        <v>28</v>
      </c>
      <c r="L52" s="165" t="s">
        <v>28</v>
      </c>
      <c r="M52" s="166" t="s">
        <v>28</v>
      </c>
    </row>
    <row r="53" spans="1:13" ht="12.95" customHeight="1">
      <c r="A53" s="130" t="s">
        <v>29</v>
      </c>
      <c r="B53" s="131" t="s">
        <v>30</v>
      </c>
      <c r="C53" s="160">
        <v>7</v>
      </c>
      <c r="D53" s="160">
        <v>4</v>
      </c>
      <c r="E53" s="160">
        <v>1</v>
      </c>
      <c r="F53" s="160" t="s">
        <v>28</v>
      </c>
      <c r="G53" s="160" t="s">
        <v>28</v>
      </c>
      <c r="H53" s="160">
        <v>2</v>
      </c>
      <c r="I53" s="160" t="s">
        <v>28</v>
      </c>
      <c r="J53" s="160" t="s">
        <v>28</v>
      </c>
      <c r="K53" s="160" t="s">
        <v>28</v>
      </c>
      <c r="L53" s="160" t="s">
        <v>28</v>
      </c>
      <c r="M53" s="164" t="s">
        <v>28</v>
      </c>
    </row>
    <row r="54" spans="1:13" ht="12.95" customHeight="1">
      <c r="A54" s="130" t="s">
        <v>31</v>
      </c>
      <c r="B54" s="131" t="s">
        <v>32</v>
      </c>
      <c r="C54" s="160">
        <v>2</v>
      </c>
      <c r="D54" s="160">
        <v>2</v>
      </c>
      <c r="E54" s="160" t="s">
        <v>28</v>
      </c>
      <c r="F54" s="160" t="s">
        <v>28</v>
      </c>
      <c r="G54" s="160" t="s">
        <v>28</v>
      </c>
      <c r="H54" s="160" t="s">
        <v>28</v>
      </c>
      <c r="I54" s="160" t="s">
        <v>28</v>
      </c>
      <c r="J54" s="160" t="s">
        <v>28</v>
      </c>
      <c r="K54" s="160" t="s">
        <v>28</v>
      </c>
      <c r="L54" s="160" t="s">
        <v>28</v>
      </c>
      <c r="M54" s="164" t="s">
        <v>28</v>
      </c>
    </row>
    <row r="55" spans="1:13" ht="12.95" customHeight="1">
      <c r="A55" s="128" t="s">
        <v>63</v>
      </c>
      <c r="B55" s="129" t="s">
        <v>64</v>
      </c>
      <c r="C55" s="165">
        <v>5</v>
      </c>
      <c r="D55" s="165">
        <v>4</v>
      </c>
      <c r="E55" s="165">
        <v>1</v>
      </c>
      <c r="F55" s="165" t="s">
        <v>28</v>
      </c>
      <c r="G55" s="165" t="s">
        <v>28</v>
      </c>
      <c r="H55" s="165" t="s">
        <v>28</v>
      </c>
      <c r="I55" s="165" t="s">
        <v>28</v>
      </c>
      <c r="J55" s="165" t="s">
        <v>28</v>
      </c>
      <c r="K55" s="165" t="s">
        <v>28</v>
      </c>
      <c r="L55" s="165" t="s">
        <v>28</v>
      </c>
      <c r="M55" s="166" t="s">
        <v>28</v>
      </c>
    </row>
    <row r="56" spans="1:13" ht="12.95" customHeight="1">
      <c r="A56" s="130" t="s">
        <v>29</v>
      </c>
      <c r="B56" s="131" t="s">
        <v>30</v>
      </c>
      <c r="C56" s="160">
        <v>5</v>
      </c>
      <c r="D56" s="160">
        <v>4</v>
      </c>
      <c r="E56" s="160">
        <v>1</v>
      </c>
      <c r="F56" s="160" t="s">
        <v>28</v>
      </c>
      <c r="G56" s="160" t="s">
        <v>28</v>
      </c>
      <c r="H56" s="160" t="s">
        <v>28</v>
      </c>
      <c r="I56" s="160" t="s">
        <v>28</v>
      </c>
      <c r="J56" s="160" t="s">
        <v>28</v>
      </c>
      <c r="K56" s="160" t="s">
        <v>28</v>
      </c>
      <c r="L56" s="160" t="s">
        <v>28</v>
      </c>
      <c r="M56" s="164" t="s">
        <v>28</v>
      </c>
    </row>
    <row r="57" spans="1:13" ht="12.95" customHeight="1" thickBot="1">
      <c r="A57" s="1532" t="s">
        <v>31</v>
      </c>
      <c r="B57" s="1533" t="s">
        <v>32</v>
      </c>
      <c r="C57" s="167" t="s">
        <v>28</v>
      </c>
      <c r="D57" s="167" t="s">
        <v>28</v>
      </c>
      <c r="E57" s="167" t="s">
        <v>28</v>
      </c>
      <c r="F57" s="167" t="s">
        <v>28</v>
      </c>
      <c r="G57" s="167" t="s">
        <v>28</v>
      </c>
      <c r="H57" s="167" t="s">
        <v>28</v>
      </c>
      <c r="I57" s="167" t="s">
        <v>28</v>
      </c>
      <c r="J57" s="167" t="s">
        <v>28</v>
      </c>
      <c r="K57" s="167" t="s">
        <v>28</v>
      </c>
      <c r="L57" s="167" t="s">
        <v>28</v>
      </c>
      <c r="M57" s="1542" t="s">
        <v>28</v>
      </c>
    </row>
    <row r="58" spans="1:13" s="156" customFormat="1" ht="11.1" customHeight="1">
      <c r="A58" s="1057"/>
      <c r="B58" s="1057"/>
      <c r="C58" s="1057"/>
      <c r="D58" s="1057"/>
      <c r="E58" s="1057"/>
      <c r="F58" s="1057"/>
      <c r="G58" s="1057"/>
      <c r="H58" s="1057"/>
      <c r="I58" s="1057"/>
      <c r="J58" s="1057"/>
      <c r="K58" s="1057"/>
      <c r="L58" s="1057"/>
      <c r="M58" s="1057"/>
    </row>
    <row r="59" spans="1:13" s="156" customFormat="1" ht="11.1" customHeight="1">
      <c r="A59" s="1058"/>
      <c r="B59" s="1058"/>
      <c r="C59" s="1058"/>
      <c r="D59" s="1058"/>
      <c r="E59" s="1058"/>
      <c r="F59" s="1058"/>
      <c r="G59" s="1058"/>
      <c r="H59" s="1058"/>
      <c r="I59" s="1058"/>
      <c r="J59" s="1058"/>
      <c r="K59" s="1058"/>
      <c r="L59" s="1058"/>
      <c r="M59" s="1058"/>
    </row>
    <row r="63" spans="1:13">
      <c r="A63" s="155"/>
    </row>
  </sheetData>
  <mergeCells count="11">
    <mergeCell ref="A2:M2"/>
    <mergeCell ref="A58:M58"/>
    <mergeCell ref="A59:M59"/>
    <mergeCell ref="A3:M3"/>
    <mergeCell ref="A4:M4"/>
    <mergeCell ref="A5:F5"/>
    <mergeCell ref="G5:M5"/>
    <mergeCell ref="A11:M11"/>
    <mergeCell ref="A27:M27"/>
    <mergeCell ref="A6:B6"/>
    <mergeCell ref="A7:B7"/>
  </mergeCells>
  <phoneticPr fontId="4" type="noConversion"/>
  <hyperlinks>
    <hyperlink ref="A1" location="목록!A1" display="목록!A1" xr:uid="{B2C6F131-EB79-4128-9EB0-EB2B1EEDEF96}"/>
  </hyperlinks>
  <printOptions horizontalCentered="1"/>
  <pageMargins left="0.59055118110236227" right="0.59055118110236227" top="0.78740157480314965" bottom="0.59055118110236227" header="0.62992125984251968" footer="0.39370078740157483"/>
  <pageSetup paperSize="9" scale="97" orientation="portrait" r:id="rId1"/>
  <rowBreaks count="1" manualBreakCount="1">
    <brk id="57" max="12" man="1"/>
  </rowBreaks>
  <colBreaks count="1" manualBreakCount="1">
    <brk id="13" min="1" max="56"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R61"/>
  <sheetViews>
    <sheetView showGridLines="0" showWhiteSpace="0" view="pageBreakPreview" zoomScaleNormal="100" zoomScaleSheetLayoutView="100" zoomScalePageLayoutView="115" workbookViewId="0">
      <selection activeCell="A2" sqref="A2:H57"/>
    </sheetView>
  </sheetViews>
  <sheetFormatPr defaultRowHeight="16.5"/>
  <cols>
    <col min="1" max="1" width="11.21875" style="106" customWidth="1"/>
    <col min="2" max="2" width="11.21875" style="105" customWidth="1"/>
    <col min="3" max="8" width="9" style="106" customWidth="1"/>
    <col min="9" max="16384" width="8.88671875" style="114"/>
  </cols>
  <sheetData>
    <row r="1" spans="1:18" ht="22.5">
      <c r="A1" s="901" t="s">
        <v>1332</v>
      </c>
      <c r="B1" s="358"/>
      <c r="C1" s="359"/>
      <c r="D1" s="359"/>
      <c r="E1" s="359"/>
      <c r="F1" s="359"/>
      <c r="G1" s="359"/>
      <c r="H1" s="359"/>
    </row>
    <row r="2" spans="1:18" s="112" customFormat="1" ht="13.5" customHeight="1">
      <c r="A2" s="1036" t="s">
        <v>1015</v>
      </c>
      <c r="B2" s="1036"/>
      <c r="C2" s="1036"/>
      <c r="D2" s="1036"/>
      <c r="E2" s="1036"/>
      <c r="F2" s="1036"/>
      <c r="G2" s="1036"/>
      <c r="H2" s="1036"/>
    </row>
    <row r="3" spans="1:18" ht="22.5" customHeight="1">
      <c r="A3" s="1037" t="s">
        <v>89</v>
      </c>
      <c r="B3" s="1037"/>
      <c r="C3" s="1037"/>
      <c r="D3" s="1037"/>
      <c r="E3" s="1037"/>
      <c r="F3" s="1037"/>
      <c r="G3" s="1037"/>
      <c r="H3" s="1037"/>
      <c r="I3" s="113"/>
      <c r="J3" s="113"/>
      <c r="K3" s="113"/>
      <c r="L3" s="113"/>
      <c r="M3" s="113"/>
      <c r="N3" s="113"/>
      <c r="O3" s="113"/>
      <c r="P3" s="113"/>
      <c r="Q3" s="113"/>
      <c r="R3" s="113"/>
    </row>
    <row r="4" spans="1:18" s="168" customFormat="1" ht="22.5" customHeight="1">
      <c r="A4" s="1060" t="s">
        <v>90</v>
      </c>
      <c r="B4" s="1060"/>
      <c r="C4" s="1060"/>
      <c r="D4" s="1060"/>
      <c r="E4" s="1060"/>
      <c r="F4" s="1060"/>
      <c r="G4" s="1060"/>
      <c r="H4" s="1060"/>
    </row>
    <row r="5" spans="1:18" ht="13.5" customHeight="1" thickBot="1">
      <c r="A5" s="1525"/>
      <c r="B5" s="1525"/>
      <c r="C5" s="1525"/>
      <c r="D5" s="1525"/>
      <c r="E5" s="1525"/>
      <c r="F5" s="1525"/>
      <c r="G5" s="1526"/>
      <c r="H5" s="1526"/>
    </row>
    <row r="6" spans="1:18" ht="15" customHeight="1">
      <c r="A6" s="1004" t="s">
        <v>668</v>
      </c>
      <c r="B6" s="1015"/>
      <c r="C6" s="917" t="s">
        <v>13</v>
      </c>
      <c r="D6" s="917" t="s">
        <v>1093</v>
      </c>
      <c r="E6" s="1065" t="s">
        <v>1094</v>
      </c>
      <c r="F6" s="1065" t="s">
        <v>1095</v>
      </c>
      <c r="G6" s="1026" t="s">
        <v>91</v>
      </c>
      <c r="H6" s="914" t="s">
        <v>1085</v>
      </c>
    </row>
    <row r="7" spans="1:18" ht="15" customHeight="1">
      <c r="A7" s="1007" t="s">
        <v>7</v>
      </c>
      <c r="B7" s="1008"/>
      <c r="C7" s="905" t="s">
        <v>16</v>
      </c>
      <c r="D7" s="905" t="s">
        <v>92</v>
      </c>
      <c r="E7" s="1066"/>
      <c r="F7" s="1066"/>
      <c r="G7" s="1066"/>
      <c r="H7" s="909" t="s">
        <v>1086</v>
      </c>
    </row>
    <row r="8" spans="1:18" ht="11.25" customHeight="1">
      <c r="A8" s="89" t="s">
        <v>27</v>
      </c>
      <c r="B8" s="170" t="s">
        <v>16</v>
      </c>
      <c r="C8" s="91">
        <v>3141</v>
      </c>
      <c r="D8" s="91">
        <v>492</v>
      </c>
      <c r="E8" s="91">
        <v>590</v>
      </c>
      <c r="F8" s="91">
        <v>1064</v>
      </c>
      <c r="G8" s="91">
        <v>937</v>
      </c>
      <c r="H8" s="171">
        <v>58</v>
      </c>
    </row>
    <row r="9" spans="1:18" ht="11.25" customHeight="1">
      <c r="A9" s="94" t="s">
        <v>29</v>
      </c>
      <c r="B9" s="172" t="s">
        <v>30</v>
      </c>
      <c r="C9" s="95">
        <v>2991</v>
      </c>
      <c r="D9" s="95">
        <v>448</v>
      </c>
      <c r="E9" s="95">
        <v>572</v>
      </c>
      <c r="F9" s="95">
        <v>988</v>
      </c>
      <c r="G9" s="95">
        <v>925</v>
      </c>
      <c r="H9" s="173">
        <v>58</v>
      </c>
    </row>
    <row r="10" spans="1:18" ht="11.25" customHeight="1" thickBot="1">
      <c r="A10" s="1512" t="s">
        <v>31</v>
      </c>
      <c r="B10" s="1543" t="s">
        <v>32</v>
      </c>
      <c r="C10" s="1516">
        <v>150</v>
      </c>
      <c r="D10" s="1516">
        <v>44</v>
      </c>
      <c r="E10" s="1516">
        <v>18</v>
      </c>
      <c r="F10" s="1516">
        <v>76</v>
      </c>
      <c r="G10" s="1516">
        <v>12</v>
      </c>
      <c r="H10" s="1517" t="s">
        <v>28</v>
      </c>
    </row>
    <row r="11" spans="1:18" s="169" customFormat="1" ht="12.6" customHeight="1" thickBot="1">
      <c r="A11" s="1528" t="s">
        <v>87</v>
      </c>
      <c r="B11" s="1528"/>
      <c r="C11" s="1528"/>
      <c r="D11" s="1528"/>
      <c r="E11" s="1528"/>
      <c r="F11" s="1528"/>
      <c r="G11" s="1528"/>
      <c r="H11" s="1528"/>
    </row>
    <row r="12" spans="1:18" ht="12.6" customHeight="1">
      <c r="A12" s="89" t="s">
        <v>35</v>
      </c>
      <c r="B12" s="170" t="s">
        <v>36</v>
      </c>
      <c r="C12" s="91">
        <v>605</v>
      </c>
      <c r="D12" s="91">
        <v>123</v>
      </c>
      <c r="E12" s="91">
        <v>139</v>
      </c>
      <c r="F12" s="91">
        <v>202</v>
      </c>
      <c r="G12" s="91">
        <v>141</v>
      </c>
      <c r="H12" s="171" t="s">
        <v>28</v>
      </c>
    </row>
    <row r="13" spans="1:18" ht="12.6" customHeight="1">
      <c r="A13" s="94" t="s">
        <v>29</v>
      </c>
      <c r="B13" s="172" t="s">
        <v>30</v>
      </c>
      <c r="C13" s="95">
        <v>498</v>
      </c>
      <c r="D13" s="95">
        <v>83</v>
      </c>
      <c r="E13" s="95">
        <v>121</v>
      </c>
      <c r="F13" s="95">
        <v>153</v>
      </c>
      <c r="G13" s="95">
        <v>141</v>
      </c>
      <c r="H13" s="173" t="s">
        <v>28</v>
      </c>
    </row>
    <row r="14" spans="1:18" ht="12.6" customHeight="1">
      <c r="A14" s="94" t="s">
        <v>31</v>
      </c>
      <c r="B14" s="172" t="s">
        <v>32</v>
      </c>
      <c r="C14" s="95">
        <v>107</v>
      </c>
      <c r="D14" s="95">
        <v>40</v>
      </c>
      <c r="E14" s="95">
        <v>18</v>
      </c>
      <c r="F14" s="95">
        <v>49</v>
      </c>
      <c r="G14" s="95" t="s">
        <v>28</v>
      </c>
      <c r="H14" s="173" t="s">
        <v>28</v>
      </c>
    </row>
    <row r="15" spans="1:18" ht="12.6" customHeight="1">
      <c r="A15" s="89" t="s">
        <v>37</v>
      </c>
      <c r="B15" s="170" t="s">
        <v>38</v>
      </c>
      <c r="C15" s="91">
        <v>726</v>
      </c>
      <c r="D15" s="91">
        <v>124</v>
      </c>
      <c r="E15" s="91">
        <v>193</v>
      </c>
      <c r="F15" s="91">
        <v>338</v>
      </c>
      <c r="G15" s="91">
        <v>71</v>
      </c>
      <c r="H15" s="171" t="s">
        <v>28</v>
      </c>
    </row>
    <row r="16" spans="1:18" ht="12.6" customHeight="1">
      <c r="A16" s="94" t="s">
        <v>29</v>
      </c>
      <c r="B16" s="172" t="s">
        <v>30</v>
      </c>
      <c r="C16" s="95">
        <v>726</v>
      </c>
      <c r="D16" s="95">
        <v>124</v>
      </c>
      <c r="E16" s="95">
        <v>193</v>
      </c>
      <c r="F16" s="95">
        <v>338</v>
      </c>
      <c r="G16" s="95">
        <v>71</v>
      </c>
      <c r="H16" s="173" t="s">
        <v>28</v>
      </c>
    </row>
    <row r="17" spans="1:8" ht="12.6" customHeight="1">
      <c r="A17" s="94" t="s">
        <v>31</v>
      </c>
      <c r="B17" s="172" t="s">
        <v>32</v>
      </c>
      <c r="C17" s="95" t="s">
        <v>28</v>
      </c>
      <c r="D17" s="95" t="s">
        <v>28</v>
      </c>
      <c r="E17" s="95" t="s">
        <v>28</v>
      </c>
      <c r="F17" s="95" t="s">
        <v>28</v>
      </c>
      <c r="G17" s="95" t="s">
        <v>28</v>
      </c>
      <c r="H17" s="173" t="s">
        <v>28</v>
      </c>
    </row>
    <row r="18" spans="1:8" ht="12.6" customHeight="1">
      <c r="A18" s="89" t="s">
        <v>39</v>
      </c>
      <c r="B18" s="170" t="s">
        <v>40</v>
      </c>
      <c r="C18" s="91">
        <v>1026</v>
      </c>
      <c r="D18" s="91">
        <v>151</v>
      </c>
      <c r="E18" s="91">
        <v>115</v>
      </c>
      <c r="F18" s="91">
        <v>274</v>
      </c>
      <c r="G18" s="91">
        <v>439</v>
      </c>
      <c r="H18" s="171">
        <v>47</v>
      </c>
    </row>
    <row r="19" spans="1:8" ht="12.6" customHeight="1">
      <c r="A19" s="94" t="s">
        <v>29</v>
      </c>
      <c r="B19" s="172" t="s">
        <v>30</v>
      </c>
      <c r="C19" s="95">
        <v>989</v>
      </c>
      <c r="D19" s="95">
        <v>150</v>
      </c>
      <c r="E19" s="95">
        <v>115</v>
      </c>
      <c r="F19" s="95">
        <v>250</v>
      </c>
      <c r="G19" s="95">
        <v>427</v>
      </c>
      <c r="H19" s="173">
        <v>47</v>
      </c>
    </row>
    <row r="20" spans="1:8" ht="12.6" customHeight="1">
      <c r="A20" s="94" t="s">
        <v>31</v>
      </c>
      <c r="B20" s="172" t="s">
        <v>32</v>
      </c>
      <c r="C20" s="95">
        <v>37</v>
      </c>
      <c r="D20" s="95">
        <v>1</v>
      </c>
      <c r="E20" s="95" t="s">
        <v>28</v>
      </c>
      <c r="F20" s="95">
        <v>24</v>
      </c>
      <c r="G20" s="95">
        <v>12</v>
      </c>
      <c r="H20" s="173" t="s">
        <v>28</v>
      </c>
    </row>
    <row r="21" spans="1:8" ht="12.6" customHeight="1">
      <c r="A21" s="89" t="s">
        <v>41</v>
      </c>
      <c r="B21" s="170" t="s">
        <v>42</v>
      </c>
      <c r="C21" s="91">
        <v>716</v>
      </c>
      <c r="D21" s="91">
        <v>67</v>
      </c>
      <c r="E21" s="91">
        <v>129</v>
      </c>
      <c r="F21" s="91">
        <v>223</v>
      </c>
      <c r="G21" s="91">
        <v>286</v>
      </c>
      <c r="H21" s="171">
        <v>11</v>
      </c>
    </row>
    <row r="22" spans="1:8" ht="12.6" customHeight="1">
      <c r="A22" s="94" t="s">
        <v>29</v>
      </c>
      <c r="B22" s="172" t="s">
        <v>30</v>
      </c>
      <c r="C22" s="95">
        <v>716</v>
      </c>
      <c r="D22" s="95">
        <v>67</v>
      </c>
      <c r="E22" s="95">
        <v>129</v>
      </c>
      <c r="F22" s="95">
        <v>223</v>
      </c>
      <c r="G22" s="95">
        <v>286</v>
      </c>
      <c r="H22" s="173">
        <v>11</v>
      </c>
    </row>
    <row r="23" spans="1:8" ht="12.6" customHeight="1">
      <c r="A23" s="94" t="s">
        <v>31</v>
      </c>
      <c r="B23" s="172" t="s">
        <v>32</v>
      </c>
      <c r="C23" s="95" t="s">
        <v>28</v>
      </c>
      <c r="D23" s="95" t="s">
        <v>28</v>
      </c>
      <c r="E23" s="95" t="s">
        <v>28</v>
      </c>
      <c r="F23" s="95" t="s">
        <v>28</v>
      </c>
      <c r="G23" s="95" t="s">
        <v>28</v>
      </c>
      <c r="H23" s="173" t="s">
        <v>28</v>
      </c>
    </row>
    <row r="24" spans="1:8" ht="12.6" customHeight="1">
      <c r="A24" s="89" t="s">
        <v>43</v>
      </c>
      <c r="B24" s="170" t="s">
        <v>44</v>
      </c>
      <c r="C24" s="91">
        <v>68</v>
      </c>
      <c r="D24" s="91">
        <v>27</v>
      </c>
      <c r="E24" s="91">
        <v>14</v>
      </c>
      <c r="F24" s="91">
        <v>27</v>
      </c>
      <c r="G24" s="91" t="s">
        <v>28</v>
      </c>
      <c r="H24" s="171" t="s">
        <v>28</v>
      </c>
    </row>
    <row r="25" spans="1:8" ht="12.6" customHeight="1">
      <c r="A25" s="94" t="s">
        <v>29</v>
      </c>
      <c r="B25" s="172" t="s">
        <v>30</v>
      </c>
      <c r="C25" s="95">
        <v>62</v>
      </c>
      <c r="D25" s="95">
        <v>24</v>
      </c>
      <c r="E25" s="95">
        <v>14</v>
      </c>
      <c r="F25" s="95">
        <v>24</v>
      </c>
      <c r="G25" s="95" t="s">
        <v>28</v>
      </c>
      <c r="H25" s="173" t="s">
        <v>28</v>
      </c>
    </row>
    <row r="26" spans="1:8" ht="12.6" customHeight="1" thickBot="1">
      <c r="A26" s="1512" t="s">
        <v>31</v>
      </c>
      <c r="B26" s="1543" t="s">
        <v>32</v>
      </c>
      <c r="C26" s="1516">
        <v>6</v>
      </c>
      <c r="D26" s="1516">
        <v>3</v>
      </c>
      <c r="E26" s="1516" t="s">
        <v>28</v>
      </c>
      <c r="F26" s="1516">
        <v>3</v>
      </c>
      <c r="G26" s="1516" t="s">
        <v>28</v>
      </c>
      <c r="H26" s="1517" t="s">
        <v>28</v>
      </c>
    </row>
    <row r="27" spans="1:8" s="169" customFormat="1" ht="12.6" customHeight="1" thickBot="1">
      <c r="A27" s="1529" t="s">
        <v>88</v>
      </c>
      <c r="B27" s="1529"/>
      <c r="C27" s="1529"/>
      <c r="D27" s="1529"/>
      <c r="E27" s="1529"/>
      <c r="F27" s="1529"/>
      <c r="G27" s="1529"/>
      <c r="H27" s="1529"/>
    </row>
    <row r="28" spans="1:8" ht="12.4" customHeight="1">
      <c r="A28" s="89" t="s">
        <v>47</v>
      </c>
      <c r="B28" s="170" t="s">
        <v>48</v>
      </c>
      <c r="C28" s="91">
        <v>228</v>
      </c>
      <c r="D28" s="91">
        <v>53</v>
      </c>
      <c r="E28" s="91">
        <v>50</v>
      </c>
      <c r="F28" s="91">
        <v>45</v>
      </c>
      <c r="G28" s="91">
        <v>80</v>
      </c>
      <c r="H28" s="171" t="s">
        <v>28</v>
      </c>
    </row>
    <row r="29" spans="1:8" ht="12.4" customHeight="1">
      <c r="A29" s="94" t="s">
        <v>29</v>
      </c>
      <c r="B29" s="172" t="s">
        <v>30</v>
      </c>
      <c r="C29" s="95">
        <v>184</v>
      </c>
      <c r="D29" s="95">
        <v>23</v>
      </c>
      <c r="E29" s="95">
        <v>44</v>
      </c>
      <c r="F29" s="95">
        <v>37</v>
      </c>
      <c r="G29" s="95">
        <v>80</v>
      </c>
      <c r="H29" s="173" t="s">
        <v>28</v>
      </c>
    </row>
    <row r="30" spans="1:8" ht="12.4" customHeight="1">
      <c r="A30" s="94" t="s">
        <v>31</v>
      </c>
      <c r="B30" s="172" t="s">
        <v>32</v>
      </c>
      <c r="C30" s="95">
        <v>44</v>
      </c>
      <c r="D30" s="95">
        <v>30</v>
      </c>
      <c r="E30" s="95">
        <v>6</v>
      </c>
      <c r="F30" s="95">
        <v>8</v>
      </c>
      <c r="G30" s="95" t="s">
        <v>28</v>
      </c>
      <c r="H30" s="173" t="s">
        <v>28</v>
      </c>
    </row>
    <row r="31" spans="1:8" ht="12.4" customHeight="1">
      <c r="A31" s="89" t="s">
        <v>49</v>
      </c>
      <c r="B31" s="170" t="s">
        <v>50</v>
      </c>
      <c r="C31" s="91">
        <v>54</v>
      </c>
      <c r="D31" s="91">
        <v>16</v>
      </c>
      <c r="E31" s="91">
        <v>24</v>
      </c>
      <c r="F31" s="91">
        <v>14</v>
      </c>
      <c r="G31" s="91" t="s">
        <v>28</v>
      </c>
      <c r="H31" s="171" t="s">
        <v>28</v>
      </c>
    </row>
    <row r="32" spans="1:8" ht="12.4" customHeight="1">
      <c r="A32" s="94" t="s">
        <v>29</v>
      </c>
      <c r="B32" s="172" t="s">
        <v>30</v>
      </c>
      <c r="C32" s="95">
        <v>18</v>
      </c>
      <c r="D32" s="95">
        <v>6</v>
      </c>
      <c r="E32" s="95">
        <v>12</v>
      </c>
      <c r="F32" s="95" t="s">
        <v>28</v>
      </c>
      <c r="G32" s="95" t="s">
        <v>28</v>
      </c>
      <c r="H32" s="173" t="s">
        <v>28</v>
      </c>
    </row>
    <row r="33" spans="1:8" ht="12.4" customHeight="1">
      <c r="A33" s="94" t="s">
        <v>31</v>
      </c>
      <c r="B33" s="172" t="s">
        <v>32</v>
      </c>
      <c r="C33" s="95">
        <v>36</v>
      </c>
      <c r="D33" s="95">
        <v>10</v>
      </c>
      <c r="E33" s="95">
        <v>12</v>
      </c>
      <c r="F33" s="95">
        <v>14</v>
      </c>
      <c r="G33" s="95" t="s">
        <v>28</v>
      </c>
      <c r="H33" s="173" t="s">
        <v>28</v>
      </c>
    </row>
    <row r="34" spans="1:8" ht="12.4" customHeight="1">
      <c r="A34" s="89" t="s">
        <v>963</v>
      </c>
      <c r="B34" s="170" t="s">
        <v>964</v>
      </c>
      <c r="C34" s="91">
        <v>300</v>
      </c>
      <c r="D34" s="91">
        <v>33</v>
      </c>
      <c r="E34" s="91">
        <v>63</v>
      </c>
      <c r="F34" s="91">
        <v>143</v>
      </c>
      <c r="G34" s="91">
        <v>61</v>
      </c>
      <c r="H34" s="171" t="s">
        <v>28</v>
      </c>
    </row>
    <row r="35" spans="1:8" ht="12.4" customHeight="1">
      <c r="A35" s="94" t="s">
        <v>29</v>
      </c>
      <c r="B35" s="172" t="s">
        <v>30</v>
      </c>
      <c r="C35" s="95">
        <v>273</v>
      </c>
      <c r="D35" s="95">
        <v>33</v>
      </c>
      <c r="E35" s="95">
        <v>63</v>
      </c>
      <c r="F35" s="95">
        <v>116</v>
      </c>
      <c r="G35" s="95">
        <v>61</v>
      </c>
      <c r="H35" s="173" t="s">
        <v>28</v>
      </c>
    </row>
    <row r="36" spans="1:8" ht="12.4" customHeight="1">
      <c r="A36" s="94" t="s">
        <v>31</v>
      </c>
      <c r="B36" s="172" t="s">
        <v>32</v>
      </c>
      <c r="C36" s="95">
        <v>27</v>
      </c>
      <c r="D36" s="95" t="s">
        <v>28</v>
      </c>
      <c r="E36" s="95" t="s">
        <v>28</v>
      </c>
      <c r="F36" s="95">
        <v>27</v>
      </c>
      <c r="G36" s="95" t="s">
        <v>28</v>
      </c>
      <c r="H36" s="173" t="s">
        <v>28</v>
      </c>
    </row>
    <row r="37" spans="1:8" ht="12.4" customHeight="1">
      <c r="A37" s="89" t="s">
        <v>51</v>
      </c>
      <c r="B37" s="170" t="s">
        <v>52</v>
      </c>
      <c r="C37" s="91">
        <v>502</v>
      </c>
      <c r="D37" s="91">
        <v>75</v>
      </c>
      <c r="E37" s="91">
        <v>44</v>
      </c>
      <c r="F37" s="91">
        <v>111</v>
      </c>
      <c r="G37" s="91">
        <v>225</v>
      </c>
      <c r="H37" s="171">
        <v>47</v>
      </c>
    </row>
    <row r="38" spans="1:8" ht="12.4" customHeight="1">
      <c r="A38" s="94" t="s">
        <v>29</v>
      </c>
      <c r="B38" s="172" t="s">
        <v>30</v>
      </c>
      <c r="C38" s="95">
        <v>477</v>
      </c>
      <c r="D38" s="95">
        <v>74</v>
      </c>
      <c r="E38" s="95">
        <v>44</v>
      </c>
      <c r="F38" s="95">
        <v>95</v>
      </c>
      <c r="G38" s="95">
        <v>217</v>
      </c>
      <c r="H38" s="173">
        <v>47</v>
      </c>
    </row>
    <row r="39" spans="1:8" ht="12.4" customHeight="1">
      <c r="A39" s="94" t="s">
        <v>31</v>
      </c>
      <c r="B39" s="172" t="s">
        <v>32</v>
      </c>
      <c r="C39" s="95">
        <v>25</v>
      </c>
      <c r="D39" s="95">
        <v>1</v>
      </c>
      <c r="E39" s="95" t="s">
        <v>28</v>
      </c>
      <c r="F39" s="95">
        <v>16</v>
      </c>
      <c r="G39" s="95">
        <v>8</v>
      </c>
      <c r="H39" s="173" t="s">
        <v>28</v>
      </c>
    </row>
    <row r="40" spans="1:8" ht="12.4" customHeight="1">
      <c r="A40" s="89" t="s">
        <v>53</v>
      </c>
      <c r="B40" s="170" t="s">
        <v>54</v>
      </c>
      <c r="C40" s="91">
        <v>524</v>
      </c>
      <c r="D40" s="91">
        <v>76</v>
      </c>
      <c r="E40" s="91">
        <v>71</v>
      </c>
      <c r="F40" s="91">
        <v>163</v>
      </c>
      <c r="G40" s="91">
        <v>214</v>
      </c>
      <c r="H40" s="171" t="s">
        <v>28</v>
      </c>
    </row>
    <row r="41" spans="1:8" ht="12.4" customHeight="1">
      <c r="A41" s="94" t="s">
        <v>29</v>
      </c>
      <c r="B41" s="172" t="s">
        <v>30</v>
      </c>
      <c r="C41" s="95">
        <v>512</v>
      </c>
      <c r="D41" s="95">
        <v>76</v>
      </c>
      <c r="E41" s="95">
        <v>71</v>
      </c>
      <c r="F41" s="95">
        <v>155</v>
      </c>
      <c r="G41" s="95">
        <v>210</v>
      </c>
      <c r="H41" s="173" t="s">
        <v>28</v>
      </c>
    </row>
    <row r="42" spans="1:8" ht="12.4" customHeight="1">
      <c r="A42" s="94" t="s">
        <v>31</v>
      </c>
      <c r="B42" s="172" t="s">
        <v>32</v>
      </c>
      <c r="C42" s="95">
        <v>12</v>
      </c>
      <c r="D42" s="95" t="s">
        <v>28</v>
      </c>
      <c r="E42" s="95" t="s">
        <v>28</v>
      </c>
      <c r="F42" s="95">
        <v>8</v>
      </c>
      <c r="G42" s="95">
        <v>4</v>
      </c>
      <c r="H42" s="173" t="s">
        <v>28</v>
      </c>
    </row>
    <row r="43" spans="1:8" ht="12.4" customHeight="1">
      <c r="A43" s="89" t="s">
        <v>55</v>
      </c>
      <c r="B43" s="170" t="s">
        <v>56</v>
      </c>
      <c r="C43" s="91">
        <v>459</v>
      </c>
      <c r="D43" s="91">
        <v>63</v>
      </c>
      <c r="E43" s="91">
        <v>123</v>
      </c>
      <c r="F43" s="91">
        <v>211</v>
      </c>
      <c r="G43" s="91">
        <v>62</v>
      </c>
      <c r="H43" s="171" t="s">
        <v>28</v>
      </c>
    </row>
    <row r="44" spans="1:8" ht="12.4" customHeight="1">
      <c r="A44" s="94" t="s">
        <v>29</v>
      </c>
      <c r="B44" s="172" t="s">
        <v>30</v>
      </c>
      <c r="C44" s="95">
        <v>459</v>
      </c>
      <c r="D44" s="95">
        <v>63</v>
      </c>
      <c r="E44" s="95">
        <v>123</v>
      </c>
      <c r="F44" s="95">
        <v>211</v>
      </c>
      <c r="G44" s="95">
        <v>62</v>
      </c>
      <c r="H44" s="173" t="s">
        <v>28</v>
      </c>
    </row>
    <row r="45" spans="1:8" ht="12.4" customHeight="1">
      <c r="A45" s="94" t="s">
        <v>31</v>
      </c>
      <c r="B45" s="172" t="s">
        <v>32</v>
      </c>
      <c r="C45" s="95" t="s">
        <v>28</v>
      </c>
      <c r="D45" s="95" t="s">
        <v>28</v>
      </c>
      <c r="E45" s="95" t="s">
        <v>28</v>
      </c>
      <c r="F45" s="95" t="s">
        <v>28</v>
      </c>
      <c r="G45" s="95" t="s">
        <v>28</v>
      </c>
      <c r="H45" s="173" t="s">
        <v>28</v>
      </c>
    </row>
    <row r="46" spans="1:8" ht="12.4" customHeight="1">
      <c r="A46" s="89" t="s">
        <v>57</v>
      </c>
      <c r="B46" s="170" t="s">
        <v>58</v>
      </c>
      <c r="C46" s="91">
        <v>267</v>
      </c>
      <c r="D46" s="91">
        <v>61</v>
      </c>
      <c r="E46" s="91">
        <v>70</v>
      </c>
      <c r="F46" s="91">
        <v>127</v>
      </c>
      <c r="G46" s="91">
        <v>9</v>
      </c>
      <c r="H46" s="171" t="s">
        <v>28</v>
      </c>
    </row>
    <row r="47" spans="1:8" ht="12.4" customHeight="1">
      <c r="A47" s="94" t="s">
        <v>29</v>
      </c>
      <c r="B47" s="172" t="s">
        <v>30</v>
      </c>
      <c r="C47" s="95">
        <v>267</v>
      </c>
      <c r="D47" s="95">
        <v>61</v>
      </c>
      <c r="E47" s="95">
        <v>70</v>
      </c>
      <c r="F47" s="95">
        <v>127</v>
      </c>
      <c r="G47" s="95">
        <v>9</v>
      </c>
      <c r="H47" s="173" t="s">
        <v>28</v>
      </c>
    </row>
    <row r="48" spans="1:8" ht="12.4" customHeight="1">
      <c r="A48" s="94" t="s">
        <v>31</v>
      </c>
      <c r="B48" s="172" t="s">
        <v>32</v>
      </c>
      <c r="C48" s="95" t="s">
        <v>28</v>
      </c>
      <c r="D48" s="95" t="s">
        <v>28</v>
      </c>
      <c r="E48" s="95" t="s">
        <v>28</v>
      </c>
      <c r="F48" s="95" t="s">
        <v>28</v>
      </c>
      <c r="G48" s="95" t="s">
        <v>28</v>
      </c>
      <c r="H48" s="173" t="s">
        <v>28</v>
      </c>
    </row>
    <row r="49" spans="1:8" ht="12.4" customHeight="1">
      <c r="A49" s="89" t="s">
        <v>59</v>
      </c>
      <c r="B49" s="170" t="s">
        <v>60</v>
      </c>
      <c r="C49" s="91">
        <v>716</v>
      </c>
      <c r="D49" s="91">
        <v>67</v>
      </c>
      <c r="E49" s="91">
        <v>129</v>
      </c>
      <c r="F49" s="91">
        <v>223</v>
      </c>
      <c r="G49" s="91">
        <v>286</v>
      </c>
      <c r="H49" s="171">
        <v>11</v>
      </c>
    </row>
    <row r="50" spans="1:8" ht="12.4" customHeight="1">
      <c r="A50" s="94" t="s">
        <v>29</v>
      </c>
      <c r="B50" s="172" t="s">
        <v>30</v>
      </c>
      <c r="C50" s="95">
        <v>716</v>
      </c>
      <c r="D50" s="95">
        <v>67</v>
      </c>
      <c r="E50" s="95">
        <v>129</v>
      </c>
      <c r="F50" s="95">
        <v>223</v>
      </c>
      <c r="G50" s="95">
        <v>286</v>
      </c>
      <c r="H50" s="173">
        <v>11</v>
      </c>
    </row>
    <row r="51" spans="1:8" ht="12.4" customHeight="1">
      <c r="A51" s="94" t="s">
        <v>31</v>
      </c>
      <c r="B51" s="172" t="s">
        <v>32</v>
      </c>
      <c r="C51" s="95" t="s">
        <v>28</v>
      </c>
      <c r="D51" s="95" t="s">
        <v>28</v>
      </c>
      <c r="E51" s="95" t="s">
        <v>28</v>
      </c>
      <c r="F51" s="95" t="s">
        <v>28</v>
      </c>
      <c r="G51" s="95" t="s">
        <v>28</v>
      </c>
      <c r="H51" s="173" t="s">
        <v>28</v>
      </c>
    </row>
    <row r="52" spans="1:8" ht="12.4" customHeight="1">
      <c r="A52" s="89" t="s">
        <v>61</v>
      </c>
      <c r="B52" s="170" t="s">
        <v>62</v>
      </c>
      <c r="C52" s="91">
        <v>68</v>
      </c>
      <c r="D52" s="91">
        <v>27</v>
      </c>
      <c r="E52" s="91">
        <v>14</v>
      </c>
      <c r="F52" s="91">
        <v>27</v>
      </c>
      <c r="G52" s="91" t="s">
        <v>28</v>
      </c>
      <c r="H52" s="171" t="s">
        <v>28</v>
      </c>
    </row>
    <row r="53" spans="1:8" ht="12.4" customHeight="1">
      <c r="A53" s="94" t="s">
        <v>29</v>
      </c>
      <c r="B53" s="172" t="s">
        <v>30</v>
      </c>
      <c r="C53" s="95">
        <v>62</v>
      </c>
      <c r="D53" s="95">
        <v>24</v>
      </c>
      <c r="E53" s="95">
        <v>14</v>
      </c>
      <c r="F53" s="95">
        <v>24</v>
      </c>
      <c r="G53" s="95" t="s">
        <v>28</v>
      </c>
      <c r="H53" s="173" t="s">
        <v>28</v>
      </c>
    </row>
    <row r="54" spans="1:8" ht="12.4" customHeight="1">
      <c r="A54" s="94" t="s">
        <v>31</v>
      </c>
      <c r="B54" s="172" t="s">
        <v>32</v>
      </c>
      <c r="C54" s="95">
        <v>6</v>
      </c>
      <c r="D54" s="95">
        <v>3</v>
      </c>
      <c r="E54" s="95" t="s">
        <v>28</v>
      </c>
      <c r="F54" s="95">
        <v>3</v>
      </c>
      <c r="G54" s="95" t="s">
        <v>28</v>
      </c>
      <c r="H54" s="173" t="s">
        <v>28</v>
      </c>
    </row>
    <row r="55" spans="1:8" ht="12.4" customHeight="1">
      <c r="A55" s="89" t="s">
        <v>63</v>
      </c>
      <c r="B55" s="170" t="s">
        <v>64</v>
      </c>
      <c r="C55" s="91">
        <v>23</v>
      </c>
      <c r="D55" s="91">
        <v>21</v>
      </c>
      <c r="E55" s="91">
        <v>2</v>
      </c>
      <c r="F55" s="91" t="s">
        <v>28</v>
      </c>
      <c r="G55" s="91" t="s">
        <v>28</v>
      </c>
      <c r="H55" s="171" t="s">
        <v>28</v>
      </c>
    </row>
    <row r="56" spans="1:8" ht="12.4" customHeight="1">
      <c r="A56" s="94" t="s">
        <v>29</v>
      </c>
      <c r="B56" s="172" t="s">
        <v>30</v>
      </c>
      <c r="C56" s="95">
        <v>23</v>
      </c>
      <c r="D56" s="95">
        <v>21</v>
      </c>
      <c r="E56" s="95">
        <v>2</v>
      </c>
      <c r="F56" s="95" t="s">
        <v>28</v>
      </c>
      <c r="G56" s="95" t="s">
        <v>28</v>
      </c>
      <c r="H56" s="173" t="s">
        <v>28</v>
      </c>
    </row>
    <row r="57" spans="1:8" ht="12.4" customHeight="1" thickBot="1">
      <c r="A57" s="1512" t="s">
        <v>31</v>
      </c>
      <c r="B57" s="1543" t="s">
        <v>32</v>
      </c>
      <c r="C57" s="1516" t="s">
        <v>28</v>
      </c>
      <c r="D57" s="1516" t="s">
        <v>28</v>
      </c>
      <c r="E57" s="1516" t="s">
        <v>28</v>
      </c>
      <c r="F57" s="1516" t="s">
        <v>28</v>
      </c>
      <c r="G57" s="1516" t="s">
        <v>28</v>
      </c>
      <c r="H57" s="1517" t="s">
        <v>28</v>
      </c>
    </row>
    <row r="58" spans="1:8" ht="13.5">
      <c r="A58" s="1064" t="s">
        <v>82</v>
      </c>
      <c r="B58" s="1064"/>
      <c r="C58" s="1064"/>
      <c r="D58" s="1064"/>
      <c r="E58" s="1064"/>
      <c r="F58" s="1064"/>
      <c r="G58" s="1064" t="s">
        <v>82</v>
      </c>
      <c r="H58" s="1064"/>
    </row>
    <row r="61" spans="1:8">
      <c r="A61" s="175"/>
    </row>
  </sheetData>
  <mergeCells count="14">
    <mergeCell ref="A11:H11"/>
    <mergeCell ref="A27:H27"/>
    <mergeCell ref="A58:F58"/>
    <mergeCell ref="G58:H58"/>
    <mergeCell ref="A6:B6"/>
    <mergeCell ref="F6:F7"/>
    <mergeCell ref="G6:G7"/>
    <mergeCell ref="A7:B7"/>
    <mergeCell ref="E6:E7"/>
    <mergeCell ref="A3:H3"/>
    <mergeCell ref="A4:H4"/>
    <mergeCell ref="A5:F5"/>
    <mergeCell ref="G5:H5"/>
    <mergeCell ref="A2:H2"/>
  </mergeCells>
  <phoneticPr fontId="4" type="noConversion"/>
  <hyperlinks>
    <hyperlink ref="A1" location="목록!A1" display="목록!A1" xr:uid="{91AC2D7C-9F8F-405E-B9F0-1414695EE6F8}"/>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57" max="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S36"/>
  <sheetViews>
    <sheetView showGridLines="0" showWhiteSpace="0" view="pageBreakPreview" zoomScaleNormal="85" zoomScaleSheetLayoutView="100" workbookViewId="0">
      <selection activeCell="A2" sqref="A2:P32"/>
    </sheetView>
  </sheetViews>
  <sheetFormatPr defaultRowHeight="16.5"/>
  <cols>
    <col min="1" max="1" width="6.77734375" style="106" customWidth="1"/>
    <col min="2" max="2" width="12.33203125" style="105" customWidth="1"/>
    <col min="3" max="16" width="9" style="106" customWidth="1"/>
    <col min="17" max="16384" width="8.88671875" style="114"/>
  </cols>
  <sheetData>
    <row r="1" spans="1:19" ht="22.5">
      <c r="A1" s="901" t="s">
        <v>1332</v>
      </c>
      <c r="B1" s="358"/>
      <c r="C1" s="359"/>
      <c r="D1" s="359"/>
      <c r="E1" s="359"/>
      <c r="F1" s="359"/>
      <c r="G1" s="359"/>
      <c r="H1" s="359"/>
      <c r="I1" s="359"/>
      <c r="J1" s="359"/>
      <c r="K1" s="359"/>
      <c r="L1" s="359"/>
      <c r="M1" s="359"/>
      <c r="N1" s="359"/>
      <c r="O1" s="359"/>
      <c r="P1" s="359"/>
    </row>
    <row r="2" spans="1:19" s="112" customFormat="1" ht="13.5" customHeight="1">
      <c r="A2" s="1035" t="s">
        <v>1016</v>
      </c>
      <c r="B2" s="1035"/>
      <c r="C2" s="1035"/>
      <c r="D2" s="1035"/>
      <c r="E2" s="1035"/>
      <c r="F2" s="1035"/>
      <c r="G2" s="1035"/>
      <c r="H2" s="1035"/>
      <c r="I2" s="1036" t="s">
        <v>1017</v>
      </c>
      <c r="J2" s="1036"/>
      <c r="K2" s="1036"/>
      <c r="L2" s="1036"/>
      <c r="M2" s="1036"/>
      <c r="N2" s="1036"/>
      <c r="O2" s="1036"/>
      <c r="P2" s="1036"/>
    </row>
    <row r="3" spans="1:19" ht="22.5" customHeight="1">
      <c r="A3" s="1037" t="s">
        <v>93</v>
      </c>
      <c r="B3" s="1037"/>
      <c r="C3" s="1037"/>
      <c r="D3" s="1037"/>
      <c r="E3" s="1037"/>
      <c r="F3" s="1037"/>
      <c r="G3" s="1037"/>
      <c r="H3" s="1037"/>
      <c r="I3" s="1067" t="s">
        <v>94</v>
      </c>
      <c r="J3" s="1067"/>
      <c r="K3" s="1067"/>
      <c r="L3" s="1067"/>
      <c r="M3" s="1067"/>
      <c r="N3" s="1067"/>
      <c r="O3" s="1067"/>
      <c r="P3" s="1067"/>
      <c r="Q3" s="113"/>
      <c r="R3" s="113"/>
      <c r="S3" s="113"/>
    </row>
    <row r="4" spans="1:19" ht="13.5" customHeight="1" thickBot="1">
      <c r="A4" s="1525"/>
      <c r="B4" s="1525"/>
      <c r="C4" s="1525"/>
      <c r="D4" s="1525"/>
      <c r="E4" s="1525"/>
      <c r="F4" s="1525"/>
      <c r="G4" s="1526"/>
      <c r="H4" s="1526"/>
      <c r="I4" s="1526"/>
      <c r="J4" s="1526"/>
      <c r="K4" s="1526"/>
      <c r="L4" s="1526"/>
      <c r="M4" s="1526"/>
      <c r="N4" s="1526"/>
      <c r="O4" s="1526"/>
      <c r="P4" s="1526"/>
    </row>
    <row r="5" spans="1:19" ht="13.5">
      <c r="A5" s="1004" t="s">
        <v>2</v>
      </c>
      <c r="B5" s="1015"/>
      <c r="C5" s="177" t="s">
        <v>3</v>
      </c>
      <c r="D5" s="917" t="s">
        <v>67</v>
      </c>
      <c r="E5" s="1003" t="s">
        <v>68</v>
      </c>
      <c r="F5" s="1004"/>
      <c r="G5" s="1004"/>
      <c r="H5" s="1004"/>
      <c r="I5" s="1014" t="s">
        <v>68</v>
      </c>
      <c r="J5" s="1071"/>
      <c r="K5" s="1071"/>
      <c r="L5" s="1072"/>
      <c r="M5" s="1003" t="s">
        <v>486</v>
      </c>
      <c r="N5" s="1015"/>
      <c r="O5" s="917" t="s">
        <v>483</v>
      </c>
      <c r="P5" s="916" t="s">
        <v>487</v>
      </c>
    </row>
    <row r="6" spans="1:19" ht="13.5">
      <c r="A6" s="1039" t="s">
        <v>7</v>
      </c>
      <c r="B6" s="1010"/>
      <c r="C6" s="178" t="s">
        <v>8</v>
      </c>
      <c r="D6" s="908" t="s">
        <v>663</v>
      </c>
      <c r="E6" s="1013" t="s">
        <v>70</v>
      </c>
      <c r="F6" s="1007"/>
      <c r="G6" s="1007"/>
      <c r="H6" s="1007"/>
      <c r="I6" s="1068" t="s">
        <v>70</v>
      </c>
      <c r="J6" s="1069"/>
      <c r="K6" s="1069"/>
      <c r="L6" s="1070"/>
      <c r="M6" s="1009" t="s">
        <v>18</v>
      </c>
      <c r="N6" s="1010"/>
      <c r="O6" s="908" t="s">
        <v>19</v>
      </c>
      <c r="P6" s="915" t="s">
        <v>12</v>
      </c>
    </row>
    <row r="7" spans="1:19" ht="13.5">
      <c r="A7" s="1040"/>
      <c r="B7" s="1031"/>
      <c r="C7" s="179"/>
      <c r="D7" s="906"/>
      <c r="E7" s="1025" t="s">
        <v>95</v>
      </c>
      <c r="F7" s="1024"/>
      <c r="G7" s="1026" t="s">
        <v>96</v>
      </c>
      <c r="H7" s="1026"/>
      <c r="I7" s="1026" t="s">
        <v>97</v>
      </c>
      <c r="J7" s="1074"/>
      <c r="K7" s="1075" t="s">
        <v>98</v>
      </c>
      <c r="L7" s="1076"/>
      <c r="M7" s="1016"/>
      <c r="N7" s="1031"/>
      <c r="O7" s="906"/>
      <c r="P7" s="907"/>
    </row>
    <row r="8" spans="1:19" ht="13.5">
      <c r="A8" s="1040"/>
      <c r="B8" s="1031"/>
      <c r="C8" s="179"/>
      <c r="D8" s="906"/>
      <c r="E8" s="1013" t="s">
        <v>16</v>
      </c>
      <c r="F8" s="1008"/>
      <c r="G8" s="1019" t="s">
        <v>75</v>
      </c>
      <c r="H8" s="1019"/>
      <c r="I8" s="1019" t="s">
        <v>76</v>
      </c>
      <c r="J8" s="1073"/>
      <c r="K8" s="1069" t="s">
        <v>77</v>
      </c>
      <c r="L8" s="1070"/>
      <c r="M8" s="1020"/>
      <c r="N8" s="1021"/>
      <c r="O8" s="906"/>
      <c r="P8" s="907"/>
    </row>
    <row r="9" spans="1:19" ht="13.5">
      <c r="A9" s="1040"/>
      <c r="B9" s="1031"/>
      <c r="C9" s="179"/>
      <c r="D9" s="906"/>
      <c r="E9" s="966" t="s">
        <v>13</v>
      </c>
      <c r="F9" s="966" t="s">
        <v>23</v>
      </c>
      <c r="G9" s="965" t="s">
        <v>13</v>
      </c>
      <c r="H9" s="965" t="s">
        <v>23</v>
      </c>
      <c r="I9" s="965" t="s">
        <v>13</v>
      </c>
      <c r="J9" s="180" t="s">
        <v>23</v>
      </c>
      <c r="K9" s="181" t="s">
        <v>13</v>
      </c>
      <c r="L9" s="182" t="s">
        <v>23</v>
      </c>
      <c r="M9" s="966" t="s">
        <v>13</v>
      </c>
      <c r="N9" s="966" t="s">
        <v>23</v>
      </c>
      <c r="O9" s="906"/>
      <c r="P9" s="907"/>
    </row>
    <row r="10" spans="1:19" ht="13.5">
      <c r="A10" s="1022"/>
      <c r="B10" s="1021"/>
      <c r="C10" s="183"/>
      <c r="D10" s="904"/>
      <c r="E10" s="904" t="s">
        <v>25</v>
      </c>
      <c r="F10" s="904" t="s">
        <v>368</v>
      </c>
      <c r="G10" s="184" t="s">
        <v>25</v>
      </c>
      <c r="H10" s="184" t="s">
        <v>26</v>
      </c>
      <c r="I10" s="184" t="s">
        <v>25</v>
      </c>
      <c r="J10" s="183" t="s">
        <v>26</v>
      </c>
      <c r="K10" s="185" t="s">
        <v>25</v>
      </c>
      <c r="L10" s="186" t="s">
        <v>26</v>
      </c>
      <c r="M10" s="904" t="s">
        <v>25</v>
      </c>
      <c r="N10" s="904" t="s">
        <v>26</v>
      </c>
      <c r="O10" s="904"/>
      <c r="P10" s="911"/>
    </row>
    <row r="11" spans="1:19" ht="25.5" customHeight="1">
      <c r="A11" s="89" t="s">
        <v>27</v>
      </c>
      <c r="B11" s="170" t="s">
        <v>16</v>
      </c>
      <c r="C11" s="91">
        <v>10</v>
      </c>
      <c r="D11" s="91">
        <v>74</v>
      </c>
      <c r="E11" s="91">
        <v>1204</v>
      </c>
      <c r="F11" s="91">
        <v>602</v>
      </c>
      <c r="G11" s="92">
        <v>397</v>
      </c>
      <c r="H11" s="92">
        <v>198</v>
      </c>
      <c r="I11" s="92">
        <v>406</v>
      </c>
      <c r="J11" s="187">
        <v>195</v>
      </c>
      <c r="K11" s="188">
        <v>401</v>
      </c>
      <c r="L11" s="189">
        <v>209</v>
      </c>
      <c r="M11" s="91">
        <v>158</v>
      </c>
      <c r="N11" s="91">
        <v>91</v>
      </c>
      <c r="O11" s="91">
        <v>7</v>
      </c>
      <c r="P11" s="98">
        <v>77</v>
      </c>
    </row>
    <row r="12" spans="1:19" ht="25.5" customHeight="1">
      <c r="A12" s="94" t="s">
        <v>99</v>
      </c>
      <c r="B12" s="172" t="s">
        <v>100</v>
      </c>
      <c r="C12" s="95">
        <v>1</v>
      </c>
      <c r="D12" s="95">
        <v>4</v>
      </c>
      <c r="E12" s="95">
        <v>10</v>
      </c>
      <c r="F12" s="95">
        <v>2</v>
      </c>
      <c r="G12" s="96">
        <v>2</v>
      </c>
      <c r="H12" s="96">
        <v>1</v>
      </c>
      <c r="I12" s="96">
        <v>3</v>
      </c>
      <c r="J12" s="190" t="s">
        <v>28</v>
      </c>
      <c r="K12" s="103">
        <v>5</v>
      </c>
      <c r="L12" s="191">
        <v>1</v>
      </c>
      <c r="M12" s="95">
        <v>7</v>
      </c>
      <c r="N12" s="95">
        <v>3</v>
      </c>
      <c r="O12" s="95" t="s">
        <v>28</v>
      </c>
      <c r="P12" s="97">
        <v>15</v>
      </c>
    </row>
    <row r="13" spans="1:19" ht="25.5" customHeight="1">
      <c r="A13" s="94" t="s">
        <v>101</v>
      </c>
      <c r="B13" s="172" t="s">
        <v>102</v>
      </c>
      <c r="C13" s="95">
        <v>1</v>
      </c>
      <c r="D13" s="95">
        <v>6</v>
      </c>
      <c r="E13" s="95">
        <v>118</v>
      </c>
      <c r="F13" s="95">
        <v>52</v>
      </c>
      <c r="G13" s="96">
        <v>32</v>
      </c>
      <c r="H13" s="96">
        <v>17</v>
      </c>
      <c r="I13" s="96">
        <v>38</v>
      </c>
      <c r="J13" s="190">
        <v>17</v>
      </c>
      <c r="K13" s="103">
        <v>48</v>
      </c>
      <c r="L13" s="191">
        <v>18</v>
      </c>
      <c r="M13" s="95">
        <v>15</v>
      </c>
      <c r="N13" s="95">
        <v>11</v>
      </c>
      <c r="O13" s="95" t="s">
        <v>28</v>
      </c>
      <c r="P13" s="97" t="s">
        <v>28</v>
      </c>
    </row>
    <row r="14" spans="1:19" ht="25.5" customHeight="1" thickBot="1">
      <c r="A14" s="1512" t="s">
        <v>103</v>
      </c>
      <c r="B14" s="1543" t="s">
        <v>104</v>
      </c>
      <c r="C14" s="1516">
        <v>8</v>
      </c>
      <c r="D14" s="1516">
        <v>64</v>
      </c>
      <c r="E14" s="1516">
        <v>1076</v>
      </c>
      <c r="F14" s="1516">
        <v>548</v>
      </c>
      <c r="G14" s="100">
        <v>363</v>
      </c>
      <c r="H14" s="100">
        <v>180</v>
      </c>
      <c r="I14" s="100">
        <v>365</v>
      </c>
      <c r="J14" s="1544">
        <v>178</v>
      </c>
      <c r="K14" s="1523">
        <v>348</v>
      </c>
      <c r="L14" s="1545">
        <v>190</v>
      </c>
      <c r="M14" s="1516">
        <v>136</v>
      </c>
      <c r="N14" s="1516">
        <v>77</v>
      </c>
      <c r="O14" s="1516">
        <v>7</v>
      </c>
      <c r="P14" s="610">
        <v>62</v>
      </c>
    </row>
    <row r="15" spans="1:19" s="169" customFormat="1" ht="15" customHeight="1" thickBot="1">
      <c r="A15" s="1528" t="s">
        <v>363</v>
      </c>
      <c r="B15" s="1528"/>
      <c r="C15" s="1528"/>
      <c r="D15" s="1528"/>
      <c r="E15" s="1528"/>
      <c r="F15" s="1528"/>
      <c r="G15" s="1528"/>
      <c r="H15" s="1528"/>
      <c r="I15" s="1034" t="s">
        <v>34</v>
      </c>
      <c r="J15" s="1034"/>
      <c r="K15" s="1034"/>
      <c r="L15" s="1034"/>
      <c r="M15" s="1034"/>
      <c r="N15" s="1034"/>
      <c r="O15" s="1034"/>
      <c r="P15" s="1034"/>
    </row>
    <row r="16" spans="1:19" ht="23.25" customHeight="1">
      <c r="A16" s="89" t="s">
        <v>35</v>
      </c>
      <c r="B16" s="170" t="s">
        <v>36</v>
      </c>
      <c r="C16" s="91">
        <v>5</v>
      </c>
      <c r="D16" s="91">
        <v>23</v>
      </c>
      <c r="E16" s="91">
        <v>220</v>
      </c>
      <c r="F16" s="91">
        <v>111</v>
      </c>
      <c r="G16" s="91">
        <v>64</v>
      </c>
      <c r="H16" s="91">
        <v>34</v>
      </c>
      <c r="I16" s="93">
        <v>76</v>
      </c>
      <c r="J16" s="91">
        <v>34</v>
      </c>
      <c r="K16" s="91">
        <v>80</v>
      </c>
      <c r="L16" s="91">
        <v>43</v>
      </c>
      <c r="M16" s="91">
        <v>50</v>
      </c>
      <c r="N16" s="91">
        <v>32</v>
      </c>
      <c r="O16" s="91" t="s">
        <v>28</v>
      </c>
      <c r="P16" s="107">
        <v>15</v>
      </c>
    </row>
    <row r="17" spans="1:16" ht="23.25" customHeight="1">
      <c r="A17" s="94" t="s">
        <v>99</v>
      </c>
      <c r="B17" s="172" t="s">
        <v>100</v>
      </c>
      <c r="C17" s="95">
        <v>1</v>
      </c>
      <c r="D17" s="95">
        <v>4</v>
      </c>
      <c r="E17" s="95">
        <v>10</v>
      </c>
      <c r="F17" s="95">
        <v>2</v>
      </c>
      <c r="G17" s="95">
        <v>2</v>
      </c>
      <c r="H17" s="95">
        <v>1</v>
      </c>
      <c r="I17" s="96">
        <v>3</v>
      </c>
      <c r="J17" s="95" t="s">
        <v>28</v>
      </c>
      <c r="K17" s="95">
        <v>5</v>
      </c>
      <c r="L17" s="95">
        <v>1</v>
      </c>
      <c r="M17" s="95">
        <v>7</v>
      </c>
      <c r="N17" s="95">
        <v>3</v>
      </c>
      <c r="O17" s="95" t="s">
        <v>28</v>
      </c>
      <c r="P17" s="97">
        <v>15</v>
      </c>
    </row>
    <row r="18" spans="1:16" ht="23.25" customHeight="1">
      <c r="A18" s="94" t="s">
        <v>101</v>
      </c>
      <c r="B18" s="172" t="s">
        <v>102</v>
      </c>
      <c r="C18" s="95">
        <v>1</v>
      </c>
      <c r="D18" s="95">
        <v>6</v>
      </c>
      <c r="E18" s="95">
        <v>118</v>
      </c>
      <c r="F18" s="95">
        <v>52</v>
      </c>
      <c r="G18" s="95">
        <v>32</v>
      </c>
      <c r="H18" s="95">
        <v>17</v>
      </c>
      <c r="I18" s="96">
        <v>38</v>
      </c>
      <c r="J18" s="95">
        <v>17</v>
      </c>
      <c r="K18" s="95">
        <v>48</v>
      </c>
      <c r="L18" s="95">
        <v>18</v>
      </c>
      <c r="M18" s="95">
        <v>15</v>
      </c>
      <c r="N18" s="95">
        <v>11</v>
      </c>
      <c r="O18" s="95" t="s">
        <v>28</v>
      </c>
      <c r="P18" s="97" t="s">
        <v>28</v>
      </c>
    </row>
    <row r="19" spans="1:16" ht="23.25" customHeight="1">
      <c r="A19" s="94" t="s">
        <v>103</v>
      </c>
      <c r="B19" s="172" t="s">
        <v>104</v>
      </c>
      <c r="C19" s="95">
        <v>3</v>
      </c>
      <c r="D19" s="95">
        <v>13</v>
      </c>
      <c r="E19" s="95">
        <v>92</v>
      </c>
      <c r="F19" s="95">
        <v>57</v>
      </c>
      <c r="G19" s="95">
        <v>30</v>
      </c>
      <c r="H19" s="95">
        <v>16</v>
      </c>
      <c r="I19" s="96">
        <v>35</v>
      </c>
      <c r="J19" s="95">
        <v>17</v>
      </c>
      <c r="K19" s="95">
        <v>27</v>
      </c>
      <c r="L19" s="95">
        <v>24</v>
      </c>
      <c r="M19" s="95">
        <v>28</v>
      </c>
      <c r="N19" s="95">
        <v>18</v>
      </c>
      <c r="O19" s="95" t="s">
        <v>28</v>
      </c>
      <c r="P19" s="97" t="s">
        <v>28</v>
      </c>
    </row>
    <row r="20" spans="1:16" ht="23.25" customHeight="1">
      <c r="A20" s="89" t="s">
        <v>43</v>
      </c>
      <c r="B20" s="170" t="s">
        <v>44</v>
      </c>
      <c r="C20" s="91">
        <v>5</v>
      </c>
      <c r="D20" s="91">
        <v>51</v>
      </c>
      <c r="E20" s="91">
        <v>984</v>
      </c>
      <c r="F20" s="91">
        <v>491</v>
      </c>
      <c r="G20" s="91">
        <v>333</v>
      </c>
      <c r="H20" s="92">
        <v>164</v>
      </c>
      <c r="I20" s="92">
        <v>330</v>
      </c>
      <c r="J20" s="91">
        <v>161</v>
      </c>
      <c r="K20" s="91">
        <v>321</v>
      </c>
      <c r="L20" s="91">
        <v>166</v>
      </c>
      <c r="M20" s="91">
        <v>108</v>
      </c>
      <c r="N20" s="91">
        <v>59</v>
      </c>
      <c r="O20" s="91">
        <v>7</v>
      </c>
      <c r="P20" s="98">
        <v>62</v>
      </c>
    </row>
    <row r="21" spans="1:16" ht="23.25" customHeight="1">
      <c r="A21" s="94" t="s">
        <v>99</v>
      </c>
      <c r="B21" s="172" t="s">
        <v>100</v>
      </c>
      <c r="C21" s="95" t="s">
        <v>28</v>
      </c>
      <c r="D21" s="95" t="s">
        <v>28</v>
      </c>
      <c r="E21" s="95" t="s">
        <v>28</v>
      </c>
      <c r="F21" s="95" t="s">
        <v>28</v>
      </c>
      <c r="G21" s="95" t="s">
        <v>28</v>
      </c>
      <c r="H21" s="96" t="s">
        <v>28</v>
      </c>
      <c r="I21" s="96" t="s">
        <v>28</v>
      </c>
      <c r="J21" s="95" t="s">
        <v>28</v>
      </c>
      <c r="K21" s="95" t="s">
        <v>28</v>
      </c>
      <c r="L21" s="95" t="s">
        <v>28</v>
      </c>
      <c r="M21" s="95" t="s">
        <v>28</v>
      </c>
      <c r="N21" s="95" t="s">
        <v>28</v>
      </c>
      <c r="O21" s="95" t="s">
        <v>28</v>
      </c>
      <c r="P21" s="97" t="s">
        <v>28</v>
      </c>
    </row>
    <row r="22" spans="1:16" ht="23.25" customHeight="1">
      <c r="A22" s="94" t="s">
        <v>101</v>
      </c>
      <c r="B22" s="172" t="s">
        <v>102</v>
      </c>
      <c r="C22" s="95" t="s">
        <v>28</v>
      </c>
      <c r="D22" s="95" t="s">
        <v>28</v>
      </c>
      <c r="E22" s="95" t="s">
        <v>28</v>
      </c>
      <c r="F22" s="95" t="s">
        <v>28</v>
      </c>
      <c r="G22" s="95" t="s">
        <v>28</v>
      </c>
      <c r="H22" s="96" t="s">
        <v>28</v>
      </c>
      <c r="I22" s="96" t="s">
        <v>28</v>
      </c>
      <c r="J22" s="95" t="s">
        <v>28</v>
      </c>
      <c r="K22" s="95" t="s">
        <v>28</v>
      </c>
      <c r="L22" s="95" t="s">
        <v>28</v>
      </c>
      <c r="M22" s="95" t="s">
        <v>28</v>
      </c>
      <c r="N22" s="95" t="s">
        <v>28</v>
      </c>
      <c r="O22" s="95" t="s">
        <v>28</v>
      </c>
      <c r="P22" s="97" t="s">
        <v>28</v>
      </c>
    </row>
    <row r="23" spans="1:16" ht="23.25" customHeight="1" thickBot="1">
      <c r="A23" s="1512" t="s">
        <v>103</v>
      </c>
      <c r="B23" s="1543" t="s">
        <v>104</v>
      </c>
      <c r="C23" s="1516">
        <v>5</v>
      </c>
      <c r="D23" s="1516">
        <v>51</v>
      </c>
      <c r="E23" s="1516">
        <v>984</v>
      </c>
      <c r="F23" s="1516">
        <v>491</v>
      </c>
      <c r="G23" s="1516">
        <v>333</v>
      </c>
      <c r="H23" s="100">
        <v>164</v>
      </c>
      <c r="I23" s="100">
        <v>330</v>
      </c>
      <c r="J23" s="1516">
        <v>161</v>
      </c>
      <c r="K23" s="1516">
        <v>321</v>
      </c>
      <c r="L23" s="1516">
        <v>166</v>
      </c>
      <c r="M23" s="1516">
        <v>108</v>
      </c>
      <c r="N23" s="1516">
        <v>59</v>
      </c>
      <c r="O23" s="1516">
        <v>7</v>
      </c>
      <c r="P23" s="610">
        <v>62</v>
      </c>
    </row>
    <row r="24" spans="1:16" s="169" customFormat="1" ht="15" customHeight="1" thickBot="1">
      <c r="A24" s="1529" t="s">
        <v>364</v>
      </c>
      <c r="B24" s="1529"/>
      <c r="C24" s="1529"/>
      <c r="D24" s="1529"/>
      <c r="E24" s="1529"/>
      <c r="F24" s="1529"/>
      <c r="G24" s="1529"/>
      <c r="H24" s="1529"/>
      <c r="I24" s="1529" t="s">
        <v>46</v>
      </c>
      <c r="J24" s="1529"/>
      <c r="K24" s="1529"/>
      <c r="L24" s="1529"/>
      <c r="M24" s="1529"/>
      <c r="N24" s="1529"/>
      <c r="O24" s="1529"/>
      <c r="P24" s="1529"/>
    </row>
    <row r="25" spans="1:16" ht="27" customHeight="1">
      <c r="A25" s="89" t="s">
        <v>61</v>
      </c>
      <c r="B25" s="170" t="s">
        <v>62</v>
      </c>
      <c r="C25" s="91">
        <v>5</v>
      </c>
      <c r="D25" s="91">
        <v>51</v>
      </c>
      <c r="E25" s="91">
        <v>984</v>
      </c>
      <c r="F25" s="91">
        <v>491</v>
      </c>
      <c r="G25" s="91">
        <v>333</v>
      </c>
      <c r="H25" s="92">
        <v>164</v>
      </c>
      <c r="I25" s="92">
        <v>330</v>
      </c>
      <c r="J25" s="91">
        <v>161</v>
      </c>
      <c r="K25" s="91">
        <v>321</v>
      </c>
      <c r="L25" s="91">
        <v>166</v>
      </c>
      <c r="M25" s="91">
        <v>98</v>
      </c>
      <c r="N25" s="91">
        <v>55</v>
      </c>
      <c r="O25" s="91">
        <v>9</v>
      </c>
      <c r="P25" s="98">
        <v>59</v>
      </c>
    </row>
    <row r="26" spans="1:16" ht="27" customHeight="1">
      <c r="A26" s="94" t="s">
        <v>99</v>
      </c>
      <c r="B26" s="172" t="s">
        <v>100</v>
      </c>
      <c r="C26" s="95" t="s">
        <v>28</v>
      </c>
      <c r="D26" s="95" t="s">
        <v>28</v>
      </c>
      <c r="E26" s="95" t="s">
        <v>28</v>
      </c>
      <c r="F26" s="95" t="s">
        <v>28</v>
      </c>
      <c r="G26" s="95" t="s">
        <v>28</v>
      </c>
      <c r="H26" s="96" t="s">
        <v>28</v>
      </c>
      <c r="I26" s="96" t="s">
        <v>28</v>
      </c>
      <c r="J26" s="95" t="s">
        <v>28</v>
      </c>
      <c r="K26" s="95" t="s">
        <v>28</v>
      </c>
      <c r="L26" s="95" t="s">
        <v>28</v>
      </c>
      <c r="M26" s="95" t="s">
        <v>28</v>
      </c>
      <c r="N26" s="95" t="s">
        <v>28</v>
      </c>
      <c r="O26" s="95" t="s">
        <v>28</v>
      </c>
      <c r="P26" s="97" t="s">
        <v>28</v>
      </c>
    </row>
    <row r="27" spans="1:16" ht="27" customHeight="1">
      <c r="A27" s="94" t="s">
        <v>101</v>
      </c>
      <c r="B27" s="172" t="s">
        <v>102</v>
      </c>
      <c r="C27" s="95" t="s">
        <v>28</v>
      </c>
      <c r="D27" s="95" t="s">
        <v>28</v>
      </c>
      <c r="E27" s="95" t="s">
        <v>28</v>
      </c>
      <c r="F27" s="95" t="s">
        <v>28</v>
      </c>
      <c r="G27" s="95" t="s">
        <v>28</v>
      </c>
      <c r="H27" s="96" t="s">
        <v>28</v>
      </c>
      <c r="I27" s="96" t="s">
        <v>28</v>
      </c>
      <c r="J27" s="95" t="s">
        <v>28</v>
      </c>
      <c r="K27" s="95" t="s">
        <v>28</v>
      </c>
      <c r="L27" s="95" t="s">
        <v>28</v>
      </c>
      <c r="M27" s="95" t="s">
        <v>28</v>
      </c>
      <c r="N27" s="95" t="s">
        <v>28</v>
      </c>
      <c r="O27" s="95" t="s">
        <v>28</v>
      </c>
      <c r="P27" s="97" t="s">
        <v>28</v>
      </c>
    </row>
    <row r="28" spans="1:16" ht="27" customHeight="1">
      <c r="A28" s="94" t="s">
        <v>103</v>
      </c>
      <c r="B28" s="172" t="s">
        <v>104</v>
      </c>
      <c r="C28" s="95">
        <v>5</v>
      </c>
      <c r="D28" s="95">
        <v>51</v>
      </c>
      <c r="E28" s="95">
        <v>984</v>
      </c>
      <c r="F28" s="95">
        <v>491</v>
      </c>
      <c r="G28" s="95">
        <v>333</v>
      </c>
      <c r="H28" s="96">
        <v>164</v>
      </c>
      <c r="I28" s="96">
        <v>330</v>
      </c>
      <c r="J28" s="95">
        <v>161</v>
      </c>
      <c r="K28" s="95">
        <v>321</v>
      </c>
      <c r="L28" s="95">
        <v>166</v>
      </c>
      <c r="M28" s="95">
        <v>98</v>
      </c>
      <c r="N28" s="95">
        <v>55</v>
      </c>
      <c r="O28" s="95">
        <v>9</v>
      </c>
      <c r="P28" s="97">
        <v>59</v>
      </c>
    </row>
    <row r="29" spans="1:16" ht="27" customHeight="1">
      <c r="A29" s="89" t="s">
        <v>63</v>
      </c>
      <c r="B29" s="170" t="s">
        <v>64</v>
      </c>
      <c r="C29" s="91">
        <v>5</v>
      </c>
      <c r="D29" s="91">
        <v>23</v>
      </c>
      <c r="E29" s="91">
        <v>220</v>
      </c>
      <c r="F29" s="91">
        <v>111</v>
      </c>
      <c r="G29" s="91">
        <v>64</v>
      </c>
      <c r="H29" s="92">
        <v>34</v>
      </c>
      <c r="I29" s="92">
        <v>76</v>
      </c>
      <c r="J29" s="91">
        <v>34</v>
      </c>
      <c r="K29" s="91">
        <v>80</v>
      </c>
      <c r="L29" s="91">
        <v>43</v>
      </c>
      <c r="M29" s="91">
        <v>50</v>
      </c>
      <c r="N29" s="91">
        <v>23</v>
      </c>
      <c r="O29" s="91" t="s">
        <v>28</v>
      </c>
      <c r="P29" s="98">
        <v>14</v>
      </c>
    </row>
    <row r="30" spans="1:16" ht="27" customHeight="1">
      <c r="A30" s="94" t="s">
        <v>99</v>
      </c>
      <c r="B30" s="172" t="s">
        <v>100</v>
      </c>
      <c r="C30" s="95">
        <v>1</v>
      </c>
      <c r="D30" s="95">
        <v>4</v>
      </c>
      <c r="E30" s="95">
        <v>10</v>
      </c>
      <c r="F30" s="95">
        <v>2</v>
      </c>
      <c r="G30" s="95">
        <v>2</v>
      </c>
      <c r="H30" s="96">
        <v>1</v>
      </c>
      <c r="I30" s="96">
        <v>3</v>
      </c>
      <c r="J30" s="95" t="s">
        <v>28</v>
      </c>
      <c r="K30" s="95">
        <v>5</v>
      </c>
      <c r="L30" s="95">
        <v>1</v>
      </c>
      <c r="M30" s="95">
        <v>7</v>
      </c>
      <c r="N30" s="95">
        <v>1</v>
      </c>
      <c r="O30" s="95" t="s">
        <v>28</v>
      </c>
      <c r="P30" s="97">
        <v>14</v>
      </c>
    </row>
    <row r="31" spans="1:16" ht="27" customHeight="1">
      <c r="A31" s="94" t="s">
        <v>101</v>
      </c>
      <c r="B31" s="172" t="s">
        <v>102</v>
      </c>
      <c r="C31" s="95">
        <v>1</v>
      </c>
      <c r="D31" s="95">
        <v>6</v>
      </c>
      <c r="E31" s="95">
        <v>118</v>
      </c>
      <c r="F31" s="95">
        <v>52</v>
      </c>
      <c r="G31" s="95">
        <v>32</v>
      </c>
      <c r="H31" s="96">
        <v>17</v>
      </c>
      <c r="I31" s="96">
        <v>38</v>
      </c>
      <c r="J31" s="95">
        <v>17</v>
      </c>
      <c r="K31" s="95">
        <v>48</v>
      </c>
      <c r="L31" s="95">
        <v>18</v>
      </c>
      <c r="M31" s="95">
        <v>16</v>
      </c>
      <c r="N31" s="95">
        <v>8</v>
      </c>
      <c r="O31" s="95" t="s">
        <v>28</v>
      </c>
      <c r="P31" s="97" t="s">
        <v>28</v>
      </c>
    </row>
    <row r="32" spans="1:16" ht="27" customHeight="1" thickBot="1">
      <c r="A32" s="1512" t="s">
        <v>103</v>
      </c>
      <c r="B32" s="1543" t="s">
        <v>104</v>
      </c>
      <c r="C32" s="1516">
        <v>3</v>
      </c>
      <c r="D32" s="1516">
        <v>13</v>
      </c>
      <c r="E32" s="1516">
        <v>92</v>
      </c>
      <c r="F32" s="1516">
        <v>57</v>
      </c>
      <c r="G32" s="1516">
        <v>30</v>
      </c>
      <c r="H32" s="100">
        <v>16</v>
      </c>
      <c r="I32" s="100">
        <v>35</v>
      </c>
      <c r="J32" s="1516">
        <v>17</v>
      </c>
      <c r="K32" s="1516">
        <v>27</v>
      </c>
      <c r="L32" s="1516">
        <v>24</v>
      </c>
      <c r="M32" s="1516">
        <v>27</v>
      </c>
      <c r="N32" s="1516">
        <v>14</v>
      </c>
      <c r="O32" s="1516" t="s">
        <v>28</v>
      </c>
      <c r="P32" s="610" t="s">
        <v>28</v>
      </c>
    </row>
    <row r="33" spans="1:16" s="176" customFormat="1" ht="13.5" customHeight="1">
      <c r="A33" s="1064"/>
      <c r="B33" s="1064"/>
      <c r="C33" s="1064"/>
      <c r="D33" s="1064"/>
      <c r="E33" s="1064"/>
      <c r="F33" s="1064"/>
      <c r="G33" s="1064"/>
      <c r="H33" s="1064"/>
      <c r="I33" s="1077"/>
      <c r="J33" s="1077"/>
      <c r="K33" s="1077"/>
      <c r="L33" s="1077"/>
      <c r="M33" s="1077"/>
      <c r="N33" s="1077"/>
      <c r="O33" s="1077"/>
      <c r="P33" s="1077"/>
    </row>
    <row r="36" spans="1:16">
      <c r="A36" s="175"/>
    </row>
  </sheetData>
  <mergeCells count="34">
    <mergeCell ref="A24:H24"/>
    <mergeCell ref="I24:P24"/>
    <mergeCell ref="A33:H33"/>
    <mergeCell ref="I33:P33"/>
    <mergeCell ref="A9:B9"/>
    <mergeCell ref="A10:B10"/>
    <mergeCell ref="A15:H15"/>
    <mergeCell ref="I15:P15"/>
    <mergeCell ref="M7:N7"/>
    <mergeCell ref="A8:B8"/>
    <mergeCell ref="E8:F8"/>
    <mergeCell ref="G8:H8"/>
    <mergeCell ref="I8:J8"/>
    <mergeCell ref="K8:L8"/>
    <mergeCell ref="M8:N8"/>
    <mergeCell ref="A7:B7"/>
    <mergeCell ref="E7:F7"/>
    <mergeCell ref="G7:H7"/>
    <mergeCell ref="I7:J7"/>
    <mergeCell ref="K7:L7"/>
    <mergeCell ref="A6:B6"/>
    <mergeCell ref="E6:H6"/>
    <mergeCell ref="I6:L6"/>
    <mergeCell ref="M6:N6"/>
    <mergeCell ref="A5:B5"/>
    <mergeCell ref="E5:H5"/>
    <mergeCell ref="I5:L5"/>
    <mergeCell ref="M5:N5"/>
    <mergeCell ref="A3:H3"/>
    <mergeCell ref="I3:P3"/>
    <mergeCell ref="A4:F4"/>
    <mergeCell ref="G4:P4"/>
    <mergeCell ref="A2:H2"/>
    <mergeCell ref="I2:P2"/>
  </mergeCells>
  <phoneticPr fontId="4" type="noConversion"/>
  <hyperlinks>
    <hyperlink ref="A1" location="목록!A1" display="목록!A1" xr:uid="{D29F2714-6B6D-41CE-B80A-C237DCAB2FD7}"/>
  </hyperlinks>
  <pageMargins left="0.80208333333333337" right="0.59055118110236227" top="0.78740157480314965" bottom="0.59055118110236227" header="0.62992125984251968" footer="0.39370078740157483"/>
  <pageSetup paperSize="9" orientation="portrait" r:id="rId1"/>
  <rowBreaks count="1" manualBreakCount="1">
    <brk id="32" max="1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F35"/>
  <sheetViews>
    <sheetView showGridLines="0" showWhiteSpace="0" view="pageBreakPreview" zoomScaleNormal="100" zoomScaleSheetLayoutView="100" workbookViewId="0">
      <selection activeCell="A2" sqref="A2:AF30"/>
    </sheetView>
  </sheetViews>
  <sheetFormatPr defaultRowHeight="16.5"/>
  <cols>
    <col min="1" max="1" width="6.77734375" style="106" customWidth="1"/>
    <col min="2" max="2" width="10" style="105" customWidth="1"/>
    <col min="3" max="14" width="4.88671875" style="106" customWidth="1"/>
    <col min="15" max="28" width="4.44140625" style="106" customWidth="1"/>
    <col min="29" max="29" width="4.5546875" style="106" customWidth="1"/>
    <col min="30" max="31" width="4.44140625" style="106" customWidth="1"/>
    <col min="32" max="32" width="3.88671875" style="106" customWidth="1"/>
    <col min="33" max="16384" width="8.88671875" style="114"/>
  </cols>
  <sheetData>
    <row r="1" spans="1:32" ht="22.5">
      <c r="A1" s="901" t="s">
        <v>1332</v>
      </c>
      <c r="B1" s="358"/>
      <c r="C1" s="359"/>
      <c r="D1" s="359"/>
      <c r="E1" s="359"/>
      <c r="F1" s="359"/>
      <c r="G1" s="359"/>
      <c r="H1" s="359"/>
      <c r="I1" s="359"/>
      <c r="J1" s="359"/>
      <c r="K1" s="359"/>
      <c r="L1" s="359"/>
      <c r="M1" s="359"/>
      <c r="N1" s="359"/>
      <c r="O1" s="359"/>
      <c r="P1" s="359"/>
      <c r="Q1" s="359"/>
      <c r="R1" s="359"/>
      <c r="S1" s="359"/>
      <c r="T1" s="359"/>
      <c r="U1" s="359"/>
      <c r="V1" s="359"/>
      <c r="W1" s="359"/>
      <c r="X1" s="359"/>
      <c r="Y1" s="359"/>
      <c r="Z1" s="359"/>
      <c r="AA1" s="359"/>
      <c r="AB1" s="359"/>
      <c r="AC1" s="359"/>
      <c r="AD1" s="359"/>
      <c r="AE1" s="359"/>
      <c r="AF1" s="359"/>
    </row>
    <row r="2" spans="1:32" s="112" customFormat="1" ht="13.5" customHeight="1">
      <c r="A2" s="1046" t="s">
        <v>1018</v>
      </c>
      <c r="B2" s="1046"/>
      <c r="C2" s="1046"/>
      <c r="D2" s="1046"/>
      <c r="E2" s="1046"/>
      <c r="F2" s="1046"/>
      <c r="G2" s="1046"/>
      <c r="H2" s="1046"/>
      <c r="I2" s="1046"/>
      <c r="J2" s="1046"/>
      <c r="K2" s="1046"/>
      <c r="L2" s="1046"/>
      <c r="M2" s="1046"/>
      <c r="N2" s="1046"/>
      <c r="O2" s="1049" t="s">
        <v>1019</v>
      </c>
      <c r="P2" s="1049"/>
      <c r="Q2" s="1049"/>
      <c r="R2" s="1049"/>
      <c r="S2" s="1049"/>
      <c r="T2" s="1049"/>
      <c r="U2" s="1049"/>
      <c r="V2" s="1049"/>
      <c r="W2" s="1049"/>
      <c r="X2" s="1049"/>
      <c r="Y2" s="1049"/>
      <c r="Z2" s="1049"/>
      <c r="AA2" s="1049"/>
      <c r="AB2" s="1049"/>
      <c r="AC2" s="1049"/>
      <c r="AD2" s="1049"/>
      <c r="AE2" s="1049"/>
      <c r="AF2" s="1049"/>
    </row>
    <row r="3" spans="1:32" ht="22.5" customHeight="1">
      <c r="A3" s="1050" t="s">
        <v>493</v>
      </c>
      <c r="B3" s="1050"/>
      <c r="C3" s="1050"/>
      <c r="D3" s="1050"/>
      <c r="E3" s="1050"/>
      <c r="F3" s="1050"/>
      <c r="G3" s="1050"/>
      <c r="H3" s="1050"/>
      <c r="I3" s="1050"/>
      <c r="J3" s="1050"/>
      <c r="K3" s="1050"/>
      <c r="L3" s="1050"/>
      <c r="M3" s="1050"/>
      <c r="N3" s="1050"/>
      <c r="O3" s="1088" t="s">
        <v>105</v>
      </c>
      <c r="P3" s="1088"/>
      <c r="Q3" s="1088"/>
      <c r="R3" s="1088"/>
      <c r="S3" s="1088"/>
      <c r="T3" s="1088"/>
      <c r="U3" s="1088"/>
      <c r="V3" s="1088"/>
      <c r="W3" s="1088"/>
      <c r="X3" s="1088"/>
      <c r="Y3" s="1088"/>
      <c r="Z3" s="1088"/>
      <c r="AA3" s="1088"/>
      <c r="AB3" s="1088"/>
      <c r="AC3" s="1088"/>
      <c r="AD3" s="1088"/>
      <c r="AE3" s="1088"/>
      <c r="AF3" s="1088"/>
    </row>
    <row r="4" spans="1:32" ht="13.5" customHeight="1" thickBot="1">
      <c r="A4" s="1546"/>
      <c r="B4" s="1546"/>
      <c r="C4" s="1546"/>
      <c r="D4" s="1546"/>
      <c r="E4" s="1546"/>
      <c r="F4" s="1546"/>
      <c r="G4" s="1546"/>
      <c r="H4" s="1546"/>
      <c r="I4" s="1546"/>
      <c r="J4" s="1546"/>
      <c r="K4" s="1546"/>
      <c r="L4" s="1546"/>
      <c r="M4" s="1546"/>
      <c r="N4" s="1546"/>
      <c r="O4" s="1547"/>
      <c r="P4" s="1547"/>
      <c r="Q4" s="1547"/>
      <c r="R4" s="1547"/>
      <c r="S4" s="1547"/>
      <c r="T4" s="1547"/>
      <c r="U4" s="1547"/>
      <c r="V4" s="1547"/>
      <c r="W4" s="1547"/>
      <c r="X4" s="1547"/>
      <c r="Y4" s="1547"/>
      <c r="Z4" s="1547"/>
      <c r="AA4" s="1547"/>
      <c r="AB4" s="1547"/>
      <c r="AC4" s="1547"/>
      <c r="AD4" s="1547"/>
      <c r="AE4" s="1547"/>
      <c r="AF4" s="1547"/>
    </row>
    <row r="5" spans="1:32" ht="13.5">
      <c r="A5" s="1080" t="s">
        <v>2</v>
      </c>
      <c r="B5" s="1081"/>
      <c r="C5" s="1084" t="s">
        <v>95</v>
      </c>
      <c r="D5" s="1080"/>
      <c r="E5" s="1080"/>
      <c r="F5" s="1080"/>
      <c r="G5" s="1080"/>
      <c r="H5" s="1081"/>
      <c r="I5" s="1085" t="s">
        <v>106</v>
      </c>
      <c r="J5" s="1085"/>
      <c r="K5" s="1085"/>
      <c r="L5" s="1085"/>
      <c r="M5" s="1085"/>
      <c r="N5" s="1085"/>
      <c r="O5" s="1085" t="s">
        <v>107</v>
      </c>
      <c r="P5" s="1085"/>
      <c r="Q5" s="1085"/>
      <c r="R5" s="1085"/>
      <c r="S5" s="1085"/>
      <c r="T5" s="1085"/>
      <c r="U5" s="1084" t="s">
        <v>108</v>
      </c>
      <c r="V5" s="1080"/>
      <c r="W5" s="1080"/>
      <c r="X5" s="1080"/>
      <c r="Y5" s="1080"/>
      <c r="Z5" s="1081"/>
      <c r="AA5" s="1084" t="s">
        <v>109</v>
      </c>
      <c r="AB5" s="1080"/>
      <c r="AC5" s="1080"/>
      <c r="AD5" s="1080"/>
      <c r="AE5" s="1080"/>
      <c r="AF5" s="1080"/>
    </row>
    <row r="6" spans="1:32" ht="13.5" customHeight="1">
      <c r="A6" s="1136" t="s">
        <v>7</v>
      </c>
      <c r="B6" s="1082"/>
      <c r="C6" s="1083" t="s">
        <v>16</v>
      </c>
      <c r="D6" s="1051"/>
      <c r="E6" s="1051"/>
      <c r="F6" s="1051"/>
      <c r="G6" s="1051"/>
      <c r="H6" s="1052"/>
      <c r="I6" s="1087" t="s">
        <v>110</v>
      </c>
      <c r="J6" s="1087"/>
      <c r="K6" s="1087"/>
      <c r="L6" s="1087"/>
      <c r="M6" s="1087"/>
      <c r="N6" s="1087"/>
      <c r="O6" s="1087" t="s">
        <v>111</v>
      </c>
      <c r="P6" s="1087"/>
      <c r="Q6" s="1087"/>
      <c r="R6" s="1087"/>
      <c r="S6" s="1087"/>
      <c r="T6" s="1087"/>
      <c r="U6" s="1083" t="s">
        <v>112</v>
      </c>
      <c r="V6" s="1051"/>
      <c r="W6" s="1051"/>
      <c r="X6" s="1051"/>
      <c r="Y6" s="1051"/>
      <c r="Z6" s="1052"/>
      <c r="AA6" s="1083" t="s">
        <v>113</v>
      </c>
      <c r="AB6" s="1051"/>
      <c r="AC6" s="1051"/>
      <c r="AD6" s="1051"/>
      <c r="AE6" s="1051"/>
      <c r="AF6" s="1051"/>
    </row>
    <row r="7" spans="1:32" ht="33.75">
      <c r="A7" s="1548"/>
      <c r="B7" s="1079"/>
      <c r="C7" s="192" t="s">
        <v>667</v>
      </c>
      <c r="D7" s="929" t="s">
        <v>488</v>
      </c>
      <c r="E7" s="929" t="s">
        <v>489</v>
      </c>
      <c r="F7" s="929" t="s">
        <v>490</v>
      </c>
      <c r="G7" s="929" t="s">
        <v>491</v>
      </c>
      <c r="H7" s="929" t="s">
        <v>492</v>
      </c>
      <c r="I7" s="193" t="s">
        <v>667</v>
      </c>
      <c r="J7" s="194" t="s">
        <v>488</v>
      </c>
      <c r="K7" s="194" t="s">
        <v>489</v>
      </c>
      <c r="L7" s="194" t="s">
        <v>490</v>
      </c>
      <c r="M7" s="194" t="s">
        <v>491</v>
      </c>
      <c r="N7" s="194" t="s">
        <v>492</v>
      </c>
      <c r="O7" s="193" t="s">
        <v>667</v>
      </c>
      <c r="P7" s="194" t="s">
        <v>488</v>
      </c>
      <c r="Q7" s="194" t="s">
        <v>489</v>
      </c>
      <c r="R7" s="194" t="s">
        <v>490</v>
      </c>
      <c r="S7" s="194" t="s">
        <v>491</v>
      </c>
      <c r="T7" s="194" t="s">
        <v>492</v>
      </c>
      <c r="U7" s="192" t="s">
        <v>667</v>
      </c>
      <c r="V7" s="929" t="s">
        <v>488</v>
      </c>
      <c r="W7" s="929" t="s">
        <v>489</v>
      </c>
      <c r="X7" s="929" t="s">
        <v>490</v>
      </c>
      <c r="Y7" s="929" t="s">
        <v>491</v>
      </c>
      <c r="Z7" s="929" t="s">
        <v>492</v>
      </c>
      <c r="AA7" s="192" t="s">
        <v>667</v>
      </c>
      <c r="AB7" s="929" t="s">
        <v>488</v>
      </c>
      <c r="AC7" s="929" t="s">
        <v>489</v>
      </c>
      <c r="AD7" s="929" t="s">
        <v>490</v>
      </c>
      <c r="AE7" s="929" t="s">
        <v>491</v>
      </c>
      <c r="AF7" s="1549" t="s">
        <v>492</v>
      </c>
    </row>
    <row r="8" spans="1:32" ht="22.5" customHeight="1">
      <c r="A8" s="1051"/>
      <c r="B8" s="1052"/>
      <c r="C8" s="158" t="s">
        <v>8</v>
      </c>
      <c r="D8" s="923" t="s">
        <v>69</v>
      </c>
      <c r="E8" s="923" t="s">
        <v>70</v>
      </c>
      <c r="F8" s="923" t="s">
        <v>789</v>
      </c>
      <c r="G8" s="923" t="s">
        <v>19</v>
      </c>
      <c r="H8" s="923" t="s">
        <v>790</v>
      </c>
      <c r="I8" s="928" t="s">
        <v>8</v>
      </c>
      <c r="J8" s="928" t="s">
        <v>69</v>
      </c>
      <c r="K8" s="928" t="s">
        <v>70</v>
      </c>
      <c r="L8" s="928" t="s">
        <v>789</v>
      </c>
      <c r="M8" s="928" t="s">
        <v>19</v>
      </c>
      <c r="N8" s="928" t="s">
        <v>790</v>
      </c>
      <c r="O8" s="928" t="s">
        <v>8</v>
      </c>
      <c r="P8" s="928" t="s">
        <v>791</v>
      </c>
      <c r="Q8" s="928" t="s">
        <v>792</v>
      </c>
      <c r="R8" s="928" t="s">
        <v>789</v>
      </c>
      <c r="S8" s="928" t="s">
        <v>19</v>
      </c>
      <c r="T8" s="928" t="s">
        <v>790</v>
      </c>
      <c r="U8" s="158" t="s">
        <v>8</v>
      </c>
      <c r="V8" s="923" t="s">
        <v>791</v>
      </c>
      <c r="W8" s="923" t="s">
        <v>792</v>
      </c>
      <c r="X8" s="923" t="s">
        <v>789</v>
      </c>
      <c r="Y8" s="923" t="s">
        <v>19</v>
      </c>
      <c r="Z8" s="923" t="s">
        <v>790</v>
      </c>
      <c r="AA8" s="158" t="s">
        <v>8</v>
      </c>
      <c r="AB8" s="923" t="s">
        <v>791</v>
      </c>
      <c r="AC8" s="923" t="s">
        <v>792</v>
      </c>
      <c r="AD8" s="923" t="s">
        <v>789</v>
      </c>
      <c r="AE8" s="923" t="s">
        <v>19</v>
      </c>
      <c r="AF8" s="922" t="s">
        <v>790</v>
      </c>
    </row>
    <row r="9" spans="1:32" ht="27.75" customHeight="1">
      <c r="A9" s="128" t="s">
        <v>27</v>
      </c>
      <c r="B9" s="129" t="s">
        <v>16</v>
      </c>
      <c r="C9" s="133">
        <v>10</v>
      </c>
      <c r="D9" s="133">
        <v>74</v>
      </c>
      <c r="E9" s="133">
        <v>1204</v>
      </c>
      <c r="F9" s="133">
        <v>158</v>
      </c>
      <c r="G9" s="133">
        <v>7</v>
      </c>
      <c r="H9" s="133">
        <v>77</v>
      </c>
      <c r="I9" s="139">
        <v>3</v>
      </c>
      <c r="J9" s="139">
        <v>13</v>
      </c>
      <c r="K9" s="139">
        <v>92</v>
      </c>
      <c r="L9" s="139">
        <v>28</v>
      </c>
      <c r="M9" s="139" t="s">
        <v>28</v>
      </c>
      <c r="N9" s="139" t="s">
        <v>28</v>
      </c>
      <c r="O9" s="139">
        <v>3</v>
      </c>
      <c r="P9" s="139">
        <v>11</v>
      </c>
      <c r="Q9" s="139">
        <v>44</v>
      </c>
      <c r="R9" s="139">
        <v>28</v>
      </c>
      <c r="S9" s="139">
        <v>1</v>
      </c>
      <c r="T9" s="139">
        <v>8</v>
      </c>
      <c r="U9" s="139">
        <v>1</v>
      </c>
      <c r="V9" s="133">
        <v>4</v>
      </c>
      <c r="W9" s="133">
        <v>10</v>
      </c>
      <c r="X9" s="133">
        <v>7</v>
      </c>
      <c r="Y9" s="133" t="s">
        <v>28</v>
      </c>
      <c r="Z9" s="133">
        <v>15</v>
      </c>
      <c r="AA9" s="133">
        <v>3</v>
      </c>
      <c r="AB9" s="133">
        <v>46</v>
      </c>
      <c r="AC9" s="133">
        <v>1058</v>
      </c>
      <c r="AD9" s="133">
        <v>95</v>
      </c>
      <c r="AE9" s="133">
        <v>6</v>
      </c>
      <c r="AF9" s="1535">
        <v>54</v>
      </c>
    </row>
    <row r="10" spans="1:32" ht="27.75" customHeight="1">
      <c r="A10" s="130" t="s">
        <v>99</v>
      </c>
      <c r="B10" s="131" t="s">
        <v>100</v>
      </c>
      <c r="C10" s="135">
        <v>1</v>
      </c>
      <c r="D10" s="135">
        <v>4</v>
      </c>
      <c r="E10" s="135">
        <v>10</v>
      </c>
      <c r="F10" s="135">
        <v>7</v>
      </c>
      <c r="G10" s="135" t="s">
        <v>28</v>
      </c>
      <c r="H10" s="135">
        <v>15</v>
      </c>
      <c r="I10" s="136" t="s">
        <v>28</v>
      </c>
      <c r="J10" s="136" t="s">
        <v>28</v>
      </c>
      <c r="K10" s="136" t="s">
        <v>28</v>
      </c>
      <c r="L10" s="136" t="s">
        <v>28</v>
      </c>
      <c r="M10" s="136" t="s">
        <v>28</v>
      </c>
      <c r="N10" s="136" t="s">
        <v>28</v>
      </c>
      <c r="O10" s="136" t="s">
        <v>28</v>
      </c>
      <c r="P10" s="136" t="s">
        <v>28</v>
      </c>
      <c r="Q10" s="136" t="s">
        <v>28</v>
      </c>
      <c r="R10" s="136" t="s">
        <v>28</v>
      </c>
      <c r="S10" s="136" t="s">
        <v>28</v>
      </c>
      <c r="T10" s="136" t="s">
        <v>28</v>
      </c>
      <c r="U10" s="136">
        <v>1</v>
      </c>
      <c r="V10" s="135">
        <v>4</v>
      </c>
      <c r="W10" s="135">
        <v>10</v>
      </c>
      <c r="X10" s="135">
        <v>7</v>
      </c>
      <c r="Y10" s="135" t="s">
        <v>28</v>
      </c>
      <c r="Z10" s="135">
        <v>15</v>
      </c>
      <c r="AA10" s="135" t="s">
        <v>28</v>
      </c>
      <c r="AB10" s="135" t="s">
        <v>28</v>
      </c>
      <c r="AC10" s="135" t="s">
        <v>28</v>
      </c>
      <c r="AD10" s="135" t="s">
        <v>28</v>
      </c>
      <c r="AE10" s="135" t="s">
        <v>28</v>
      </c>
      <c r="AF10" s="1536" t="s">
        <v>28</v>
      </c>
    </row>
    <row r="11" spans="1:32" ht="27.75" customHeight="1">
      <c r="A11" s="130" t="s">
        <v>101</v>
      </c>
      <c r="B11" s="131" t="s">
        <v>102</v>
      </c>
      <c r="C11" s="135">
        <v>1</v>
      </c>
      <c r="D11" s="135">
        <v>6</v>
      </c>
      <c r="E11" s="135">
        <v>118</v>
      </c>
      <c r="F11" s="135">
        <v>15</v>
      </c>
      <c r="G11" s="135" t="s">
        <v>28</v>
      </c>
      <c r="H11" s="135" t="s">
        <v>28</v>
      </c>
      <c r="I11" s="136" t="s">
        <v>28</v>
      </c>
      <c r="J11" s="136" t="s">
        <v>28</v>
      </c>
      <c r="K11" s="136" t="s">
        <v>28</v>
      </c>
      <c r="L11" s="136" t="s">
        <v>28</v>
      </c>
      <c r="M11" s="136" t="s">
        <v>28</v>
      </c>
      <c r="N11" s="136" t="s">
        <v>28</v>
      </c>
      <c r="O11" s="136" t="s">
        <v>28</v>
      </c>
      <c r="P11" s="136" t="s">
        <v>28</v>
      </c>
      <c r="Q11" s="136" t="s">
        <v>28</v>
      </c>
      <c r="R11" s="136" t="s">
        <v>28</v>
      </c>
      <c r="S11" s="136" t="s">
        <v>28</v>
      </c>
      <c r="T11" s="136" t="s">
        <v>28</v>
      </c>
      <c r="U11" s="136" t="s">
        <v>28</v>
      </c>
      <c r="V11" s="135" t="s">
        <v>28</v>
      </c>
      <c r="W11" s="135" t="s">
        <v>28</v>
      </c>
      <c r="X11" s="135" t="s">
        <v>28</v>
      </c>
      <c r="Y11" s="135" t="s">
        <v>28</v>
      </c>
      <c r="Z11" s="135" t="s">
        <v>28</v>
      </c>
      <c r="AA11" s="135">
        <v>1</v>
      </c>
      <c r="AB11" s="135">
        <v>6</v>
      </c>
      <c r="AC11" s="135">
        <v>118</v>
      </c>
      <c r="AD11" s="135">
        <v>15</v>
      </c>
      <c r="AE11" s="135" t="s">
        <v>28</v>
      </c>
      <c r="AF11" s="1536" t="s">
        <v>28</v>
      </c>
    </row>
    <row r="12" spans="1:32" ht="27.75" customHeight="1" thickBot="1">
      <c r="A12" s="195" t="s">
        <v>103</v>
      </c>
      <c r="B12" s="196" t="s">
        <v>104</v>
      </c>
      <c r="C12" s="197">
        <v>8</v>
      </c>
      <c r="D12" s="197">
        <v>64</v>
      </c>
      <c r="E12" s="197">
        <v>1076</v>
      </c>
      <c r="F12" s="197">
        <v>136</v>
      </c>
      <c r="G12" s="197">
        <v>7</v>
      </c>
      <c r="H12" s="197">
        <v>62</v>
      </c>
      <c r="I12" s="198">
        <v>3</v>
      </c>
      <c r="J12" s="198">
        <v>13</v>
      </c>
      <c r="K12" s="198">
        <v>92</v>
      </c>
      <c r="L12" s="198">
        <v>28</v>
      </c>
      <c r="M12" s="198" t="s">
        <v>28</v>
      </c>
      <c r="N12" s="198" t="s">
        <v>28</v>
      </c>
      <c r="O12" s="198">
        <v>3</v>
      </c>
      <c r="P12" s="198">
        <v>11</v>
      </c>
      <c r="Q12" s="198">
        <v>44</v>
      </c>
      <c r="R12" s="198">
        <v>28</v>
      </c>
      <c r="S12" s="198">
        <v>1</v>
      </c>
      <c r="T12" s="198">
        <v>8</v>
      </c>
      <c r="U12" s="198" t="s">
        <v>28</v>
      </c>
      <c r="V12" s="197" t="s">
        <v>28</v>
      </c>
      <c r="W12" s="197" t="s">
        <v>28</v>
      </c>
      <c r="X12" s="197" t="s">
        <v>28</v>
      </c>
      <c r="Y12" s="197" t="s">
        <v>28</v>
      </c>
      <c r="Z12" s="197" t="s">
        <v>28</v>
      </c>
      <c r="AA12" s="197">
        <v>2</v>
      </c>
      <c r="AB12" s="197">
        <v>40</v>
      </c>
      <c r="AC12" s="197">
        <v>940</v>
      </c>
      <c r="AD12" s="197">
        <v>80</v>
      </c>
      <c r="AE12" s="197">
        <v>6</v>
      </c>
      <c r="AF12" s="199">
        <v>54</v>
      </c>
    </row>
    <row r="13" spans="1:32" ht="24" customHeight="1" thickBot="1">
      <c r="A13" s="1507" t="s">
        <v>363</v>
      </c>
      <c r="B13" s="1507"/>
      <c r="C13" s="1507"/>
      <c r="D13" s="1507"/>
      <c r="E13" s="1507"/>
      <c r="F13" s="1507"/>
      <c r="G13" s="1507"/>
      <c r="H13" s="1507"/>
      <c r="I13" s="1507"/>
      <c r="J13" s="1507"/>
      <c r="K13" s="1507"/>
      <c r="L13" s="1507"/>
      <c r="M13" s="1507"/>
      <c r="N13" s="1507"/>
      <c r="O13" s="1507" t="s">
        <v>34</v>
      </c>
      <c r="P13" s="1507"/>
      <c r="Q13" s="1507"/>
      <c r="R13" s="1507"/>
      <c r="S13" s="1507"/>
      <c r="T13" s="1507"/>
      <c r="U13" s="1507"/>
      <c r="V13" s="1507"/>
      <c r="W13" s="1507"/>
      <c r="X13" s="1507"/>
      <c r="Y13" s="1507"/>
      <c r="Z13" s="1507"/>
      <c r="AA13" s="1507"/>
      <c r="AB13" s="1507"/>
      <c r="AC13" s="1507"/>
      <c r="AD13" s="1507"/>
      <c r="AE13" s="1507"/>
      <c r="AF13" s="1507"/>
    </row>
    <row r="14" spans="1:32" ht="24.75" customHeight="1">
      <c r="A14" s="1550" t="s">
        <v>35</v>
      </c>
      <c r="B14" s="200" t="s">
        <v>36</v>
      </c>
      <c r="C14" s="201">
        <v>5</v>
      </c>
      <c r="D14" s="201">
        <v>23</v>
      </c>
      <c r="E14" s="201">
        <v>220</v>
      </c>
      <c r="F14" s="201">
        <v>50</v>
      </c>
      <c r="G14" s="201" t="s">
        <v>28</v>
      </c>
      <c r="H14" s="201">
        <v>15</v>
      </c>
      <c r="I14" s="201">
        <v>3</v>
      </c>
      <c r="J14" s="201">
        <v>13</v>
      </c>
      <c r="K14" s="134">
        <v>92</v>
      </c>
      <c r="L14" s="134">
        <v>28</v>
      </c>
      <c r="M14" s="134" t="s">
        <v>28</v>
      </c>
      <c r="N14" s="134" t="s">
        <v>28</v>
      </c>
      <c r="O14" s="134" t="s">
        <v>28</v>
      </c>
      <c r="P14" s="134" t="s">
        <v>28</v>
      </c>
      <c r="Q14" s="201" t="s">
        <v>28</v>
      </c>
      <c r="R14" s="201" t="s">
        <v>28</v>
      </c>
      <c r="S14" s="201" t="s">
        <v>28</v>
      </c>
      <c r="T14" s="201" t="s">
        <v>28</v>
      </c>
      <c r="U14" s="201">
        <v>1</v>
      </c>
      <c r="V14" s="201">
        <v>4</v>
      </c>
      <c r="W14" s="201">
        <v>10</v>
      </c>
      <c r="X14" s="134">
        <v>7</v>
      </c>
      <c r="Y14" s="201" t="s">
        <v>28</v>
      </c>
      <c r="Z14" s="201">
        <v>15</v>
      </c>
      <c r="AA14" s="201">
        <v>1</v>
      </c>
      <c r="AB14" s="201">
        <v>6</v>
      </c>
      <c r="AC14" s="201">
        <v>118</v>
      </c>
      <c r="AD14" s="201">
        <v>15</v>
      </c>
      <c r="AE14" s="201" t="s">
        <v>28</v>
      </c>
      <c r="AF14" s="1551" t="s">
        <v>28</v>
      </c>
    </row>
    <row r="15" spans="1:32" s="169" customFormat="1" ht="24.75" customHeight="1">
      <c r="A15" s="130" t="s">
        <v>99</v>
      </c>
      <c r="B15" s="131" t="s">
        <v>100</v>
      </c>
      <c r="C15" s="135">
        <v>1</v>
      </c>
      <c r="D15" s="135">
        <v>4</v>
      </c>
      <c r="E15" s="135">
        <v>10</v>
      </c>
      <c r="F15" s="135">
        <v>7</v>
      </c>
      <c r="G15" s="135" t="s">
        <v>28</v>
      </c>
      <c r="H15" s="135">
        <v>15</v>
      </c>
      <c r="I15" s="135" t="s">
        <v>28</v>
      </c>
      <c r="J15" s="135" t="s">
        <v>28</v>
      </c>
      <c r="K15" s="136" t="s">
        <v>28</v>
      </c>
      <c r="L15" s="136" t="s">
        <v>28</v>
      </c>
      <c r="M15" s="136" t="s">
        <v>28</v>
      </c>
      <c r="N15" s="136" t="s">
        <v>28</v>
      </c>
      <c r="O15" s="136" t="s">
        <v>28</v>
      </c>
      <c r="P15" s="136" t="s">
        <v>28</v>
      </c>
      <c r="Q15" s="135" t="s">
        <v>28</v>
      </c>
      <c r="R15" s="135" t="s">
        <v>28</v>
      </c>
      <c r="S15" s="135" t="s">
        <v>28</v>
      </c>
      <c r="T15" s="135" t="s">
        <v>28</v>
      </c>
      <c r="U15" s="135">
        <v>1</v>
      </c>
      <c r="V15" s="135">
        <v>4</v>
      </c>
      <c r="W15" s="135">
        <v>10</v>
      </c>
      <c r="X15" s="136">
        <v>7</v>
      </c>
      <c r="Y15" s="135" t="s">
        <v>28</v>
      </c>
      <c r="Z15" s="135">
        <v>15</v>
      </c>
      <c r="AA15" s="135" t="s">
        <v>28</v>
      </c>
      <c r="AB15" s="135" t="s">
        <v>28</v>
      </c>
      <c r="AC15" s="135" t="s">
        <v>28</v>
      </c>
      <c r="AD15" s="135" t="s">
        <v>28</v>
      </c>
      <c r="AE15" s="135" t="s">
        <v>28</v>
      </c>
      <c r="AF15" s="1536" t="s">
        <v>28</v>
      </c>
    </row>
    <row r="16" spans="1:32" ht="24.75" customHeight="1">
      <c r="A16" s="130" t="s">
        <v>101</v>
      </c>
      <c r="B16" s="131" t="s">
        <v>102</v>
      </c>
      <c r="C16" s="135">
        <v>1</v>
      </c>
      <c r="D16" s="135">
        <v>6</v>
      </c>
      <c r="E16" s="135">
        <v>118</v>
      </c>
      <c r="F16" s="135">
        <v>15</v>
      </c>
      <c r="G16" s="135" t="s">
        <v>28</v>
      </c>
      <c r="H16" s="135" t="s">
        <v>28</v>
      </c>
      <c r="I16" s="135" t="s">
        <v>28</v>
      </c>
      <c r="J16" s="135" t="s">
        <v>28</v>
      </c>
      <c r="K16" s="136" t="s">
        <v>28</v>
      </c>
      <c r="L16" s="136" t="s">
        <v>28</v>
      </c>
      <c r="M16" s="136" t="s">
        <v>28</v>
      </c>
      <c r="N16" s="136" t="s">
        <v>28</v>
      </c>
      <c r="O16" s="136" t="s">
        <v>28</v>
      </c>
      <c r="P16" s="136" t="s">
        <v>28</v>
      </c>
      <c r="Q16" s="135" t="s">
        <v>28</v>
      </c>
      <c r="R16" s="135" t="s">
        <v>28</v>
      </c>
      <c r="S16" s="135" t="s">
        <v>28</v>
      </c>
      <c r="T16" s="135" t="s">
        <v>28</v>
      </c>
      <c r="U16" s="135" t="s">
        <v>28</v>
      </c>
      <c r="V16" s="135" t="s">
        <v>28</v>
      </c>
      <c r="W16" s="135" t="s">
        <v>28</v>
      </c>
      <c r="X16" s="136" t="s">
        <v>28</v>
      </c>
      <c r="Y16" s="135" t="s">
        <v>28</v>
      </c>
      <c r="Z16" s="135" t="s">
        <v>28</v>
      </c>
      <c r="AA16" s="135">
        <v>1</v>
      </c>
      <c r="AB16" s="135">
        <v>6</v>
      </c>
      <c r="AC16" s="135">
        <v>118</v>
      </c>
      <c r="AD16" s="135">
        <v>15</v>
      </c>
      <c r="AE16" s="135" t="s">
        <v>28</v>
      </c>
      <c r="AF16" s="1536" t="s">
        <v>28</v>
      </c>
    </row>
    <row r="17" spans="1:32" ht="24.75" customHeight="1">
      <c r="A17" s="130" t="s">
        <v>103</v>
      </c>
      <c r="B17" s="131" t="s">
        <v>104</v>
      </c>
      <c r="C17" s="135">
        <v>3</v>
      </c>
      <c r="D17" s="135">
        <v>13</v>
      </c>
      <c r="E17" s="135">
        <v>92</v>
      </c>
      <c r="F17" s="135">
        <v>28</v>
      </c>
      <c r="G17" s="135" t="s">
        <v>28</v>
      </c>
      <c r="H17" s="135" t="s">
        <v>28</v>
      </c>
      <c r="I17" s="135">
        <v>3</v>
      </c>
      <c r="J17" s="135">
        <v>13</v>
      </c>
      <c r="K17" s="136">
        <v>92</v>
      </c>
      <c r="L17" s="136">
        <v>28</v>
      </c>
      <c r="M17" s="136" t="s">
        <v>28</v>
      </c>
      <c r="N17" s="136" t="s">
        <v>28</v>
      </c>
      <c r="O17" s="136" t="s">
        <v>28</v>
      </c>
      <c r="P17" s="136" t="s">
        <v>28</v>
      </c>
      <c r="Q17" s="135" t="s">
        <v>28</v>
      </c>
      <c r="R17" s="135" t="s">
        <v>28</v>
      </c>
      <c r="S17" s="135" t="s">
        <v>28</v>
      </c>
      <c r="T17" s="135" t="s">
        <v>28</v>
      </c>
      <c r="U17" s="135" t="s">
        <v>28</v>
      </c>
      <c r="V17" s="135" t="s">
        <v>28</v>
      </c>
      <c r="W17" s="135" t="s">
        <v>28</v>
      </c>
      <c r="X17" s="136" t="s">
        <v>28</v>
      </c>
      <c r="Y17" s="135" t="s">
        <v>28</v>
      </c>
      <c r="Z17" s="135" t="s">
        <v>28</v>
      </c>
      <c r="AA17" s="135" t="s">
        <v>28</v>
      </c>
      <c r="AB17" s="135" t="s">
        <v>28</v>
      </c>
      <c r="AC17" s="135" t="s">
        <v>28</v>
      </c>
      <c r="AD17" s="135" t="s">
        <v>28</v>
      </c>
      <c r="AE17" s="135" t="s">
        <v>28</v>
      </c>
      <c r="AF17" s="1536" t="s">
        <v>28</v>
      </c>
    </row>
    <row r="18" spans="1:32" ht="24.75" customHeight="1">
      <c r="A18" s="128" t="s">
        <v>43</v>
      </c>
      <c r="B18" s="129" t="s">
        <v>44</v>
      </c>
      <c r="C18" s="133">
        <v>5</v>
      </c>
      <c r="D18" s="133">
        <v>51</v>
      </c>
      <c r="E18" s="133">
        <v>984</v>
      </c>
      <c r="F18" s="133">
        <v>108</v>
      </c>
      <c r="G18" s="133">
        <v>7</v>
      </c>
      <c r="H18" s="133">
        <v>62</v>
      </c>
      <c r="I18" s="133" t="s">
        <v>28</v>
      </c>
      <c r="J18" s="133" t="s">
        <v>28</v>
      </c>
      <c r="K18" s="139" t="s">
        <v>28</v>
      </c>
      <c r="L18" s="139" t="s">
        <v>28</v>
      </c>
      <c r="M18" s="139" t="s">
        <v>28</v>
      </c>
      <c r="N18" s="139" t="s">
        <v>28</v>
      </c>
      <c r="O18" s="139">
        <v>3</v>
      </c>
      <c r="P18" s="139">
        <v>11</v>
      </c>
      <c r="Q18" s="133">
        <v>44</v>
      </c>
      <c r="R18" s="133">
        <v>28</v>
      </c>
      <c r="S18" s="133">
        <v>1</v>
      </c>
      <c r="T18" s="133">
        <v>8</v>
      </c>
      <c r="U18" s="133" t="s">
        <v>28</v>
      </c>
      <c r="V18" s="133" t="s">
        <v>28</v>
      </c>
      <c r="W18" s="133" t="s">
        <v>28</v>
      </c>
      <c r="X18" s="139" t="s">
        <v>28</v>
      </c>
      <c r="Y18" s="133" t="s">
        <v>28</v>
      </c>
      <c r="Z18" s="133" t="s">
        <v>28</v>
      </c>
      <c r="AA18" s="133">
        <v>2</v>
      </c>
      <c r="AB18" s="133">
        <v>40</v>
      </c>
      <c r="AC18" s="133">
        <v>940</v>
      </c>
      <c r="AD18" s="133">
        <v>80</v>
      </c>
      <c r="AE18" s="133">
        <v>6</v>
      </c>
      <c r="AF18" s="1535">
        <v>54</v>
      </c>
    </row>
    <row r="19" spans="1:32" ht="24.75" customHeight="1">
      <c r="A19" s="130" t="s">
        <v>99</v>
      </c>
      <c r="B19" s="131" t="s">
        <v>100</v>
      </c>
      <c r="C19" s="135" t="s">
        <v>28</v>
      </c>
      <c r="D19" s="135" t="s">
        <v>28</v>
      </c>
      <c r="E19" s="135" t="s">
        <v>28</v>
      </c>
      <c r="F19" s="135" t="s">
        <v>28</v>
      </c>
      <c r="G19" s="135" t="s">
        <v>28</v>
      </c>
      <c r="H19" s="135" t="s">
        <v>28</v>
      </c>
      <c r="I19" s="135" t="s">
        <v>28</v>
      </c>
      <c r="J19" s="135" t="s">
        <v>28</v>
      </c>
      <c r="K19" s="136" t="s">
        <v>28</v>
      </c>
      <c r="L19" s="136" t="s">
        <v>28</v>
      </c>
      <c r="M19" s="136" t="s">
        <v>28</v>
      </c>
      <c r="N19" s="136" t="s">
        <v>28</v>
      </c>
      <c r="O19" s="136" t="s">
        <v>28</v>
      </c>
      <c r="P19" s="136" t="s">
        <v>28</v>
      </c>
      <c r="Q19" s="135" t="s">
        <v>28</v>
      </c>
      <c r="R19" s="135" t="s">
        <v>28</v>
      </c>
      <c r="S19" s="135" t="s">
        <v>28</v>
      </c>
      <c r="T19" s="135" t="s">
        <v>28</v>
      </c>
      <c r="U19" s="135" t="s">
        <v>28</v>
      </c>
      <c r="V19" s="135" t="s">
        <v>28</v>
      </c>
      <c r="W19" s="135" t="s">
        <v>28</v>
      </c>
      <c r="X19" s="136" t="s">
        <v>28</v>
      </c>
      <c r="Y19" s="135" t="s">
        <v>28</v>
      </c>
      <c r="Z19" s="135" t="s">
        <v>28</v>
      </c>
      <c r="AA19" s="135" t="s">
        <v>28</v>
      </c>
      <c r="AB19" s="135" t="s">
        <v>28</v>
      </c>
      <c r="AC19" s="135" t="s">
        <v>28</v>
      </c>
      <c r="AD19" s="135" t="s">
        <v>28</v>
      </c>
      <c r="AE19" s="135" t="s">
        <v>28</v>
      </c>
      <c r="AF19" s="1536" t="s">
        <v>28</v>
      </c>
    </row>
    <row r="20" spans="1:32" ht="24.75" customHeight="1">
      <c r="A20" s="130" t="s">
        <v>101</v>
      </c>
      <c r="B20" s="131" t="s">
        <v>102</v>
      </c>
      <c r="C20" s="135" t="s">
        <v>28</v>
      </c>
      <c r="D20" s="135" t="s">
        <v>28</v>
      </c>
      <c r="E20" s="135" t="s">
        <v>28</v>
      </c>
      <c r="F20" s="135" t="s">
        <v>28</v>
      </c>
      <c r="G20" s="135" t="s">
        <v>28</v>
      </c>
      <c r="H20" s="135" t="s">
        <v>28</v>
      </c>
      <c r="I20" s="135" t="s">
        <v>28</v>
      </c>
      <c r="J20" s="135" t="s">
        <v>28</v>
      </c>
      <c r="K20" s="136" t="s">
        <v>28</v>
      </c>
      <c r="L20" s="136" t="s">
        <v>28</v>
      </c>
      <c r="M20" s="136" t="s">
        <v>28</v>
      </c>
      <c r="N20" s="136" t="s">
        <v>28</v>
      </c>
      <c r="O20" s="136" t="s">
        <v>28</v>
      </c>
      <c r="P20" s="136" t="s">
        <v>28</v>
      </c>
      <c r="Q20" s="135" t="s">
        <v>28</v>
      </c>
      <c r="R20" s="135" t="s">
        <v>28</v>
      </c>
      <c r="S20" s="135" t="s">
        <v>28</v>
      </c>
      <c r="T20" s="135" t="s">
        <v>28</v>
      </c>
      <c r="U20" s="135" t="s">
        <v>28</v>
      </c>
      <c r="V20" s="135" t="s">
        <v>28</v>
      </c>
      <c r="W20" s="135" t="s">
        <v>28</v>
      </c>
      <c r="X20" s="136" t="s">
        <v>28</v>
      </c>
      <c r="Y20" s="135" t="s">
        <v>28</v>
      </c>
      <c r="Z20" s="135" t="s">
        <v>28</v>
      </c>
      <c r="AA20" s="135" t="s">
        <v>28</v>
      </c>
      <c r="AB20" s="135" t="s">
        <v>28</v>
      </c>
      <c r="AC20" s="135" t="s">
        <v>28</v>
      </c>
      <c r="AD20" s="135" t="s">
        <v>28</v>
      </c>
      <c r="AE20" s="135" t="s">
        <v>28</v>
      </c>
      <c r="AF20" s="1536" t="s">
        <v>28</v>
      </c>
    </row>
    <row r="21" spans="1:32" ht="24.75" customHeight="1" thickBot="1">
      <c r="A21" s="1532" t="s">
        <v>103</v>
      </c>
      <c r="B21" s="1533" t="s">
        <v>104</v>
      </c>
      <c r="C21" s="1537">
        <v>5</v>
      </c>
      <c r="D21" s="1537">
        <v>51</v>
      </c>
      <c r="E21" s="1537">
        <v>984</v>
      </c>
      <c r="F21" s="1537">
        <v>108</v>
      </c>
      <c r="G21" s="1537">
        <v>7</v>
      </c>
      <c r="H21" s="1537">
        <v>62</v>
      </c>
      <c r="I21" s="1537" t="s">
        <v>28</v>
      </c>
      <c r="J21" s="1537" t="s">
        <v>28</v>
      </c>
      <c r="K21" s="144" t="s">
        <v>28</v>
      </c>
      <c r="L21" s="144" t="s">
        <v>28</v>
      </c>
      <c r="M21" s="144" t="s">
        <v>28</v>
      </c>
      <c r="N21" s="144" t="s">
        <v>28</v>
      </c>
      <c r="O21" s="144">
        <v>3</v>
      </c>
      <c r="P21" s="144">
        <v>11</v>
      </c>
      <c r="Q21" s="1537">
        <v>44</v>
      </c>
      <c r="R21" s="1537">
        <v>28</v>
      </c>
      <c r="S21" s="1537">
        <v>1</v>
      </c>
      <c r="T21" s="1537">
        <v>8</v>
      </c>
      <c r="U21" s="1537" t="s">
        <v>28</v>
      </c>
      <c r="V21" s="1537" t="s">
        <v>28</v>
      </c>
      <c r="W21" s="1537" t="s">
        <v>28</v>
      </c>
      <c r="X21" s="144" t="s">
        <v>28</v>
      </c>
      <c r="Y21" s="1537" t="s">
        <v>28</v>
      </c>
      <c r="Z21" s="1537" t="s">
        <v>28</v>
      </c>
      <c r="AA21" s="1537">
        <v>2</v>
      </c>
      <c r="AB21" s="1537">
        <v>40</v>
      </c>
      <c r="AC21" s="1537">
        <v>940</v>
      </c>
      <c r="AD21" s="1537">
        <v>80</v>
      </c>
      <c r="AE21" s="1537">
        <v>6</v>
      </c>
      <c r="AF21" s="1538">
        <v>54</v>
      </c>
    </row>
    <row r="22" spans="1:32" ht="21.95" customHeight="1" thickBot="1">
      <c r="A22" s="1086" t="s">
        <v>364</v>
      </c>
      <c r="B22" s="1086"/>
      <c r="C22" s="1086"/>
      <c r="D22" s="1086"/>
      <c r="E22" s="1086"/>
      <c r="F22" s="1086"/>
      <c r="G22" s="1086"/>
      <c r="H22" s="1086"/>
      <c r="I22" s="1086"/>
      <c r="J22" s="1086"/>
      <c r="K22" s="1086"/>
      <c r="L22" s="1086"/>
      <c r="M22" s="1086"/>
      <c r="N22" s="1086"/>
      <c r="O22" s="1086" t="s">
        <v>46</v>
      </c>
      <c r="P22" s="1086"/>
      <c r="Q22" s="1086"/>
      <c r="R22" s="1086"/>
      <c r="S22" s="1086"/>
      <c r="T22" s="1086"/>
      <c r="U22" s="1086"/>
      <c r="V22" s="1086"/>
      <c r="W22" s="1086"/>
      <c r="X22" s="1086"/>
      <c r="Y22" s="1086"/>
      <c r="Z22" s="1086"/>
      <c r="AA22" s="1086"/>
      <c r="AB22" s="1086"/>
      <c r="AC22" s="1086"/>
      <c r="AD22" s="1086"/>
      <c r="AE22" s="1086"/>
      <c r="AF22" s="1086"/>
    </row>
    <row r="23" spans="1:32" ht="27" customHeight="1">
      <c r="A23" s="202" t="s">
        <v>61</v>
      </c>
      <c r="B23" s="203" t="s">
        <v>62</v>
      </c>
      <c r="C23" s="204">
        <v>5</v>
      </c>
      <c r="D23" s="204">
        <v>51</v>
      </c>
      <c r="E23" s="204">
        <v>984</v>
      </c>
      <c r="F23" s="204">
        <v>108</v>
      </c>
      <c r="G23" s="204">
        <v>7</v>
      </c>
      <c r="H23" s="204">
        <v>62</v>
      </c>
      <c r="I23" s="204" t="s">
        <v>28</v>
      </c>
      <c r="J23" s="204" t="s">
        <v>28</v>
      </c>
      <c r="K23" s="205" t="s">
        <v>28</v>
      </c>
      <c r="L23" s="205" t="s">
        <v>28</v>
      </c>
      <c r="M23" s="205" t="s">
        <v>28</v>
      </c>
      <c r="N23" s="205" t="s">
        <v>28</v>
      </c>
      <c r="O23" s="205">
        <v>3</v>
      </c>
      <c r="P23" s="205">
        <v>11</v>
      </c>
      <c r="Q23" s="205">
        <v>44</v>
      </c>
      <c r="R23" s="205">
        <v>28</v>
      </c>
      <c r="S23" s="204">
        <v>1</v>
      </c>
      <c r="T23" s="204">
        <v>8</v>
      </c>
      <c r="U23" s="204" t="s">
        <v>28</v>
      </c>
      <c r="V23" s="205" t="s">
        <v>28</v>
      </c>
      <c r="W23" s="204" t="s">
        <v>28</v>
      </c>
      <c r="X23" s="204" t="s">
        <v>28</v>
      </c>
      <c r="Y23" s="204" t="s">
        <v>28</v>
      </c>
      <c r="Z23" s="204" t="s">
        <v>28</v>
      </c>
      <c r="AA23" s="204">
        <v>2</v>
      </c>
      <c r="AB23" s="204">
        <v>40</v>
      </c>
      <c r="AC23" s="204">
        <v>940</v>
      </c>
      <c r="AD23" s="204">
        <v>80</v>
      </c>
      <c r="AE23" s="204">
        <v>6</v>
      </c>
      <c r="AF23" s="206">
        <v>54</v>
      </c>
    </row>
    <row r="24" spans="1:32" ht="27" customHeight="1">
      <c r="A24" s="130" t="s">
        <v>99</v>
      </c>
      <c r="B24" s="131" t="s">
        <v>100</v>
      </c>
      <c r="C24" s="135" t="s">
        <v>28</v>
      </c>
      <c r="D24" s="135" t="s">
        <v>28</v>
      </c>
      <c r="E24" s="135" t="s">
        <v>28</v>
      </c>
      <c r="F24" s="135" t="s">
        <v>28</v>
      </c>
      <c r="G24" s="135" t="s">
        <v>28</v>
      </c>
      <c r="H24" s="135" t="s">
        <v>28</v>
      </c>
      <c r="I24" s="135" t="s">
        <v>28</v>
      </c>
      <c r="J24" s="135" t="s">
        <v>28</v>
      </c>
      <c r="K24" s="136" t="s">
        <v>28</v>
      </c>
      <c r="L24" s="136" t="s">
        <v>28</v>
      </c>
      <c r="M24" s="136" t="s">
        <v>28</v>
      </c>
      <c r="N24" s="136" t="s">
        <v>28</v>
      </c>
      <c r="O24" s="136" t="s">
        <v>28</v>
      </c>
      <c r="P24" s="136" t="s">
        <v>28</v>
      </c>
      <c r="Q24" s="136" t="s">
        <v>28</v>
      </c>
      <c r="R24" s="136" t="s">
        <v>28</v>
      </c>
      <c r="S24" s="135" t="s">
        <v>28</v>
      </c>
      <c r="T24" s="135" t="s">
        <v>28</v>
      </c>
      <c r="U24" s="135" t="s">
        <v>28</v>
      </c>
      <c r="V24" s="136" t="s">
        <v>28</v>
      </c>
      <c r="W24" s="135" t="s">
        <v>28</v>
      </c>
      <c r="X24" s="135" t="s">
        <v>28</v>
      </c>
      <c r="Y24" s="135" t="s">
        <v>28</v>
      </c>
      <c r="Z24" s="135" t="s">
        <v>28</v>
      </c>
      <c r="AA24" s="135" t="s">
        <v>28</v>
      </c>
      <c r="AB24" s="135" t="s">
        <v>28</v>
      </c>
      <c r="AC24" s="135" t="s">
        <v>28</v>
      </c>
      <c r="AD24" s="135" t="s">
        <v>28</v>
      </c>
      <c r="AE24" s="135" t="s">
        <v>28</v>
      </c>
      <c r="AF24" s="1536" t="s">
        <v>28</v>
      </c>
    </row>
    <row r="25" spans="1:32" ht="27" customHeight="1">
      <c r="A25" s="130" t="s">
        <v>101</v>
      </c>
      <c r="B25" s="131" t="s">
        <v>102</v>
      </c>
      <c r="C25" s="135" t="s">
        <v>28</v>
      </c>
      <c r="D25" s="135" t="s">
        <v>28</v>
      </c>
      <c r="E25" s="135" t="s">
        <v>28</v>
      </c>
      <c r="F25" s="135" t="s">
        <v>28</v>
      </c>
      <c r="G25" s="135" t="s">
        <v>28</v>
      </c>
      <c r="H25" s="135" t="s">
        <v>28</v>
      </c>
      <c r="I25" s="135" t="s">
        <v>28</v>
      </c>
      <c r="J25" s="135" t="s">
        <v>28</v>
      </c>
      <c r="K25" s="136" t="s">
        <v>28</v>
      </c>
      <c r="L25" s="136" t="s">
        <v>28</v>
      </c>
      <c r="M25" s="136" t="s">
        <v>28</v>
      </c>
      <c r="N25" s="136" t="s">
        <v>28</v>
      </c>
      <c r="O25" s="136" t="s">
        <v>28</v>
      </c>
      <c r="P25" s="136" t="s">
        <v>28</v>
      </c>
      <c r="Q25" s="136" t="s">
        <v>28</v>
      </c>
      <c r="R25" s="136" t="s">
        <v>28</v>
      </c>
      <c r="S25" s="135" t="s">
        <v>28</v>
      </c>
      <c r="T25" s="135" t="s">
        <v>28</v>
      </c>
      <c r="U25" s="135" t="s">
        <v>28</v>
      </c>
      <c r="V25" s="136" t="s">
        <v>28</v>
      </c>
      <c r="W25" s="135" t="s">
        <v>28</v>
      </c>
      <c r="X25" s="135" t="s">
        <v>28</v>
      </c>
      <c r="Y25" s="135" t="s">
        <v>28</v>
      </c>
      <c r="Z25" s="135" t="s">
        <v>28</v>
      </c>
      <c r="AA25" s="135" t="s">
        <v>28</v>
      </c>
      <c r="AB25" s="135" t="s">
        <v>28</v>
      </c>
      <c r="AC25" s="135" t="s">
        <v>28</v>
      </c>
      <c r="AD25" s="135" t="s">
        <v>28</v>
      </c>
      <c r="AE25" s="135" t="s">
        <v>28</v>
      </c>
      <c r="AF25" s="1536" t="s">
        <v>28</v>
      </c>
    </row>
    <row r="26" spans="1:32" ht="27" customHeight="1">
      <c r="A26" s="130" t="s">
        <v>103</v>
      </c>
      <c r="B26" s="131" t="s">
        <v>104</v>
      </c>
      <c r="C26" s="135">
        <v>5</v>
      </c>
      <c r="D26" s="135">
        <v>51</v>
      </c>
      <c r="E26" s="135">
        <v>984</v>
      </c>
      <c r="F26" s="135">
        <v>108</v>
      </c>
      <c r="G26" s="135">
        <v>7</v>
      </c>
      <c r="H26" s="135">
        <v>62</v>
      </c>
      <c r="I26" s="135" t="s">
        <v>28</v>
      </c>
      <c r="J26" s="135" t="s">
        <v>28</v>
      </c>
      <c r="K26" s="136" t="s">
        <v>28</v>
      </c>
      <c r="L26" s="136" t="s">
        <v>28</v>
      </c>
      <c r="M26" s="136" t="s">
        <v>28</v>
      </c>
      <c r="N26" s="136" t="s">
        <v>28</v>
      </c>
      <c r="O26" s="136">
        <v>3</v>
      </c>
      <c r="P26" s="136">
        <v>11</v>
      </c>
      <c r="Q26" s="136">
        <v>44</v>
      </c>
      <c r="R26" s="136">
        <v>28</v>
      </c>
      <c r="S26" s="135">
        <v>1</v>
      </c>
      <c r="T26" s="135">
        <v>8</v>
      </c>
      <c r="U26" s="135" t="s">
        <v>28</v>
      </c>
      <c r="V26" s="136" t="s">
        <v>28</v>
      </c>
      <c r="W26" s="135" t="s">
        <v>28</v>
      </c>
      <c r="X26" s="135" t="s">
        <v>28</v>
      </c>
      <c r="Y26" s="135" t="s">
        <v>28</v>
      </c>
      <c r="Z26" s="135" t="s">
        <v>28</v>
      </c>
      <c r="AA26" s="135">
        <v>2</v>
      </c>
      <c r="AB26" s="135">
        <v>40</v>
      </c>
      <c r="AC26" s="135">
        <v>940</v>
      </c>
      <c r="AD26" s="135">
        <v>80</v>
      </c>
      <c r="AE26" s="135">
        <v>6</v>
      </c>
      <c r="AF26" s="1536">
        <v>54</v>
      </c>
    </row>
    <row r="27" spans="1:32" ht="27" customHeight="1">
      <c r="A27" s="128" t="s">
        <v>63</v>
      </c>
      <c r="B27" s="129" t="s">
        <v>64</v>
      </c>
      <c r="C27" s="133">
        <v>5</v>
      </c>
      <c r="D27" s="133">
        <v>23</v>
      </c>
      <c r="E27" s="133">
        <v>220</v>
      </c>
      <c r="F27" s="133">
        <v>50</v>
      </c>
      <c r="G27" s="133" t="s">
        <v>28</v>
      </c>
      <c r="H27" s="133">
        <v>15</v>
      </c>
      <c r="I27" s="133">
        <v>3</v>
      </c>
      <c r="J27" s="133">
        <v>13</v>
      </c>
      <c r="K27" s="139">
        <v>92</v>
      </c>
      <c r="L27" s="139">
        <v>28</v>
      </c>
      <c r="M27" s="139" t="s">
        <v>28</v>
      </c>
      <c r="N27" s="139" t="s">
        <v>28</v>
      </c>
      <c r="O27" s="139" t="s">
        <v>28</v>
      </c>
      <c r="P27" s="139" t="s">
        <v>28</v>
      </c>
      <c r="Q27" s="139" t="s">
        <v>28</v>
      </c>
      <c r="R27" s="139" t="s">
        <v>28</v>
      </c>
      <c r="S27" s="133" t="s">
        <v>28</v>
      </c>
      <c r="T27" s="133" t="s">
        <v>28</v>
      </c>
      <c r="U27" s="133">
        <v>1</v>
      </c>
      <c r="V27" s="139">
        <v>4</v>
      </c>
      <c r="W27" s="133">
        <v>10</v>
      </c>
      <c r="X27" s="133">
        <v>7</v>
      </c>
      <c r="Y27" s="133" t="s">
        <v>28</v>
      </c>
      <c r="Z27" s="133">
        <v>15</v>
      </c>
      <c r="AA27" s="133">
        <v>1</v>
      </c>
      <c r="AB27" s="133">
        <v>6</v>
      </c>
      <c r="AC27" s="133">
        <v>118</v>
      </c>
      <c r="AD27" s="133">
        <v>15</v>
      </c>
      <c r="AE27" s="133" t="s">
        <v>28</v>
      </c>
      <c r="AF27" s="1535" t="s">
        <v>28</v>
      </c>
    </row>
    <row r="28" spans="1:32" ht="27" customHeight="1">
      <c r="A28" s="130" t="s">
        <v>99</v>
      </c>
      <c r="B28" s="131" t="s">
        <v>100</v>
      </c>
      <c r="C28" s="135">
        <v>1</v>
      </c>
      <c r="D28" s="135">
        <v>4</v>
      </c>
      <c r="E28" s="135">
        <v>10</v>
      </c>
      <c r="F28" s="135">
        <v>7</v>
      </c>
      <c r="G28" s="135" t="s">
        <v>28</v>
      </c>
      <c r="H28" s="135">
        <v>15</v>
      </c>
      <c r="I28" s="135" t="s">
        <v>28</v>
      </c>
      <c r="J28" s="135" t="s">
        <v>28</v>
      </c>
      <c r="K28" s="136" t="s">
        <v>28</v>
      </c>
      <c r="L28" s="136" t="s">
        <v>28</v>
      </c>
      <c r="M28" s="136" t="s">
        <v>28</v>
      </c>
      <c r="N28" s="136" t="s">
        <v>28</v>
      </c>
      <c r="O28" s="136" t="s">
        <v>28</v>
      </c>
      <c r="P28" s="136" t="s">
        <v>28</v>
      </c>
      <c r="Q28" s="136" t="s">
        <v>28</v>
      </c>
      <c r="R28" s="136" t="s">
        <v>28</v>
      </c>
      <c r="S28" s="135" t="s">
        <v>28</v>
      </c>
      <c r="T28" s="135" t="s">
        <v>28</v>
      </c>
      <c r="U28" s="135">
        <v>1</v>
      </c>
      <c r="V28" s="136">
        <v>4</v>
      </c>
      <c r="W28" s="135">
        <v>10</v>
      </c>
      <c r="X28" s="135">
        <v>7</v>
      </c>
      <c r="Y28" s="135" t="s">
        <v>28</v>
      </c>
      <c r="Z28" s="135">
        <v>15</v>
      </c>
      <c r="AA28" s="135" t="s">
        <v>28</v>
      </c>
      <c r="AB28" s="135" t="s">
        <v>28</v>
      </c>
      <c r="AC28" s="135" t="s">
        <v>28</v>
      </c>
      <c r="AD28" s="135" t="s">
        <v>28</v>
      </c>
      <c r="AE28" s="135" t="s">
        <v>28</v>
      </c>
      <c r="AF28" s="1536" t="s">
        <v>28</v>
      </c>
    </row>
    <row r="29" spans="1:32" ht="27" customHeight="1">
      <c r="A29" s="130" t="s">
        <v>101</v>
      </c>
      <c r="B29" s="131" t="s">
        <v>102</v>
      </c>
      <c r="C29" s="135">
        <v>1</v>
      </c>
      <c r="D29" s="135">
        <v>6</v>
      </c>
      <c r="E29" s="135">
        <v>118</v>
      </c>
      <c r="F29" s="135">
        <v>15</v>
      </c>
      <c r="G29" s="135" t="s">
        <v>28</v>
      </c>
      <c r="H29" s="135" t="s">
        <v>28</v>
      </c>
      <c r="I29" s="135" t="s">
        <v>28</v>
      </c>
      <c r="J29" s="135" t="s">
        <v>28</v>
      </c>
      <c r="K29" s="136" t="s">
        <v>28</v>
      </c>
      <c r="L29" s="136" t="s">
        <v>28</v>
      </c>
      <c r="M29" s="136" t="s">
        <v>28</v>
      </c>
      <c r="N29" s="136" t="s">
        <v>28</v>
      </c>
      <c r="O29" s="136" t="s">
        <v>28</v>
      </c>
      <c r="P29" s="136" t="s">
        <v>28</v>
      </c>
      <c r="Q29" s="136" t="s">
        <v>28</v>
      </c>
      <c r="R29" s="136" t="s">
        <v>28</v>
      </c>
      <c r="S29" s="135" t="s">
        <v>28</v>
      </c>
      <c r="T29" s="135" t="s">
        <v>28</v>
      </c>
      <c r="U29" s="135" t="s">
        <v>28</v>
      </c>
      <c r="V29" s="136" t="s">
        <v>28</v>
      </c>
      <c r="W29" s="135" t="s">
        <v>28</v>
      </c>
      <c r="X29" s="135" t="s">
        <v>28</v>
      </c>
      <c r="Y29" s="135" t="s">
        <v>28</v>
      </c>
      <c r="Z29" s="135" t="s">
        <v>28</v>
      </c>
      <c r="AA29" s="135">
        <v>1</v>
      </c>
      <c r="AB29" s="135">
        <v>6</v>
      </c>
      <c r="AC29" s="135">
        <v>118</v>
      </c>
      <c r="AD29" s="135">
        <v>15</v>
      </c>
      <c r="AE29" s="135" t="s">
        <v>28</v>
      </c>
      <c r="AF29" s="1536" t="s">
        <v>28</v>
      </c>
    </row>
    <row r="30" spans="1:32" ht="27" customHeight="1" thickBot="1">
      <c r="A30" s="195" t="s">
        <v>103</v>
      </c>
      <c r="B30" s="196" t="s">
        <v>104</v>
      </c>
      <c r="C30" s="197">
        <v>3</v>
      </c>
      <c r="D30" s="197">
        <v>13</v>
      </c>
      <c r="E30" s="197">
        <v>92</v>
      </c>
      <c r="F30" s="197">
        <v>28</v>
      </c>
      <c r="G30" s="197" t="s">
        <v>28</v>
      </c>
      <c r="H30" s="197" t="s">
        <v>28</v>
      </c>
      <c r="I30" s="197">
        <v>3</v>
      </c>
      <c r="J30" s="197">
        <v>13</v>
      </c>
      <c r="K30" s="198">
        <v>92</v>
      </c>
      <c r="L30" s="198">
        <v>28</v>
      </c>
      <c r="M30" s="198" t="s">
        <v>28</v>
      </c>
      <c r="N30" s="198" t="s">
        <v>28</v>
      </c>
      <c r="O30" s="198" t="s">
        <v>28</v>
      </c>
      <c r="P30" s="198" t="s">
        <v>28</v>
      </c>
      <c r="Q30" s="198" t="s">
        <v>28</v>
      </c>
      <c r="R30" s="198" t="s">
        <v>28</v>
      </c>
      <c r="S30" s="197" t="s">
        <v>28</v>
      </c>
      <c r="T30" s="197" t="s">
        <v>28</v>
      </c>
      <c r="U30" s="197" t="s">
        <v>28</v>
      </c>
      <c r="V30" s="198" t="s">
        <v>28</v>
      </c>
      <c r="W30" s="197" t="s">
        <v>28</v>
      </c>
      <c r="X30" s="197" t="s">
        <v>28</v>
      </c>
      <c r="Y30" s="197" t="s">
        <v>28</v>
      </c>
      <c r="Z30" s="197" t="s">
        <v>28</v>
      </c>
      <c r="AA30" s="197" t="s">
        <v>28</v>
      </c>
      <c r="AB30" s="197" t="s">
        <v>28</v>
      </c>
      <c r="AC30" s="197" t="s">
        <v>28</v>
      </c>
      <c r="AD30" s="197" t="s">
        <v>28</v>
      </c>
      <c r="AE30" s="197" t="s">
        <v>28</v>
      </c>
      <c r="AF30" s="199" t="s">
        <v>28</v>
      </c>
    </row>
    <row r="31" spans="1:32" ht="13.5">
      <c r="A31" s="1078"/>
      <c r="B31" s="1078"/>
      <c r="C31" s="1078"/>
      <c r="D31" s="1078"/>
      <c r="E31" s="1078"/>
      <c r="F31" s="1078"/>
      <c r="G31" s="1078"/>
      <c r="H31" s="1078"/>
      <c r="I31" s="1078"/>
      <c r="J31" s="1078"/>
      <c r="K31" s="1078"/>
      <c r="L31" s="1078"/>
      <c r="M31" s="1078"/>
      <c r="N31" s="1078"/>
      <c r="O31" s="1078"/>
      <c r="P31" s="1078"/>
      <c r="Q31" s="1078"/>
      <c r="R31" s="1078"/>
      <c r="S31" s="1078"/>
      <c r="T31" s="1078"/>
      <c r="U31" s="1078"/>
      <c r="V31" s="1078"/>
      <c r="W31" s="1078"/>
      <c r="X31" s="1078"/>
      <c r="Y31" s="1078"/>
      <c r="Z31" s="1078"/>
      <c r="AA31" s="1078"/>
      <c r="AB31" s="1078"/>
      <c r="AC31" s="1078"/>
      <c r="AD31" s="1078"/>
      <c r="AE31" s="1078"/>
      <c r="AF31" s="1078"/>
    </row>
    <row r="35" spans="1:1">
      <c r="A35" s="175"/>
    </row>
  </sheetData>
  <mergeCells count="26">
    <mergeCell ref="C6:H6"/>
    <mergeCell ref="I6:N6"/>
    <mergeCell ref="O6:T6"/>
    <mergeCell ref="U6:Z6"/>
    <mergeCell ref="A2:N2"/>
    <mergeCell ref="O2:AF2"/>
    <mergeCell ref="A3:N3"/>
    <mergeCell ref="O3:AF3"/>
    <mergeCell ref="A4:N4"/>
    <mergeCell ref="O4:AF4"/>
    <mergeCell ref="O31:AF31"/>
    <mergeCell ref="A31:N31"/>
    <mergeCell ref="A7:B7"/>
    <mergeCell ref="A5:B5"/>
    <mergeCell ref="A6:B6"/>
    <mergeCell ref="A13:N13"/>
    <mergeCell ref="O13:AF13"/>
    <mergeCell ref="AA6:AF6"/>
    <mergeCell ref="C5:H5"/>
    <mergeCell ref="I5:N5"/>
    <mergeCell ref="A22:N22"/>
    <mergeCell ref="O22:AF22"/>
    <mergeCell ref="A8:B8"/>
    <mergeCell ref="O5:T5"/>
    <mergeCell ref="U5:Z5"/>
    <mergeCell ref="AA5:AF5"/>
  </mergeCells>
  <phoneticPr fontId="4" type="noConversion"/>
  <hyperlinks>
    <hyperlink ref="A1" location="목록!A1" display="목록!A1" xr:uid="{6E1A06FA-9FD7-4844-92D7-811C33D4A764}"/>
  </hyperlinks>
  <printOptions horizontalCentered="1" verticalCentered="1"/>
  <pageMargins left="0.23622047244094491" right="0.47244094488188981" top="0.78740157480314965" bottom="0.59055118110236227" header="0.62992125984251968" footer="0.39370078740157483"/>
  <pageSetup paperSize="9" scale="94" orientation="portrait" r:id="rId1"/>
  <rowBreaks count="1" manualBreakCount="1">
    <brk id="30" max="31" man="1"/>
  </rowBreaks>
  <colBreaks count="2" manualBreakCount="2">
    <brk id="14" min="1" max="29" man="1"/>
    <brk id="32" min="1" max="29"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W68"/>
  <sheetViews>
    <sheetView showGridLines="0" showWhiteSpace="0" view="pageBreakPreview" zoomScaleNormal="100" zoomScaleSheetLayoutView="100" workbookViewId="0">
      <selection activeCell="A2" sqref="A2:W65"/>
    </sheetView>
  </sheetViews>
  <sheetFormatPr defaultColWidth="8.88671875" defaultRowHeight="16.5"/>
  <cols>
    <col min="1" max="1" width="7.88671875" style="237" customWidth="1"/>
    <col min="2" max="2" width="10.6640625" style="239" customWidth="1"/>
    <col min="3" max="8" width="6" style="239" customWidth="1"/>
    <col min="9" max="11" width="6" style="240" customWidth="1"/>
    <col min="12" max="17" width="6.77734375" style="240" customWidth="1"/>
    <col min="18" max="23" width="6.21875" style="240" customWidth="1"/>
    <col min="24" max="16384" width="8.88671875" style="209"/>
  </cols>
  <sheetData>
    <row r="1" spans="1:23" ht="22.5">
      <c r="A1" s="901" t="s">
        <v>1332</v>
      </c>
    </row>
    <row r="2" spans="1:23" s="207" customFormat="1" ht="13.5" customHeight="1">
      <c r="A2" s="1552" t="s">
        <v>1180</v>
      </c>
      <c r="B2" s="1552"/>
      <c r="C2" s="1552"/>
      <c r="D2" s="1552"/>
      <c r="E2" s="1552"/>
      <c r="F2" s="1552"/>
      <c r="G2" s="1552"/>
      <c r="H2" s="1552"/>
      <c r="I2" s="1552"/>
      <c r="J2" s="1552"/>
      <c r="K2" s="1552"/>
      <c r="L2" s="1553" t="s">
        <v>955</v>
      </c>
      <c r="M2" s="1553"/>
      <c r="N2" s="1553"/>
      <c r="O2" s="1553"/>
      <c r="P2" s="1553"/>
      <c r="Q2" s="1553"/>
      <c r="R2" s="1553"/>
      <c r="S2" s="1553"/>
      <c r="T2" s="1553"/>
      <c r="U2" s="1553"/>
      <c r="V2" s="1553"/>
      <c r="W2" s="1553"/>
    </row>
    <row r="3" spans="1:23" s="208" customFormat="1" ht="22.5" customHeight="1">
      <c r="A3" s="1554" t="s">
        <v>948</v>
      </c>
      <c r="B3" s="1554"/>
      <c r="C3" s="1554"/>
      <c r="D3" s="1554"/>
      <c r="E3" s="1554"/>
      <c r="F3" s="1554"/>
      <c r="G3" s="1554"/>
      <c r="H3" s="1554"/>
      <c r="I3" s="1554"/>
      <c r="J3" s="1554"/>
      <c r="K3" s="1554"/>
      <c r="L3" s="1554" t="s">
        <v>949</v>
      </c>
      <c r="M3" s="1554"/>
      <c r="N3" s="1554"/>
      <c r="O3" s="1554"/>
      <c r="P3" s="1554"/>
      <c r="Q3" s="1554"/>
      <c r="R3" s="1554"/>
      <c r="S3" s="1554"/>
      <c r="T3" s="1554"/>
      <c r="U3" s="1554"/>
      <c r="V3" s="1554"/>
      <c r="W3" s="1554"/>
    </row>
    <row r="4" spans="1:23" ht="13.5" customHeight="1" thickBot="1">
      <c r="A4" s="1120"/>
      <c r="B4" s="1120"/>
      <c r="C4" s="1120"/>
      <c r="D4" s="1120"/>
      <c r="E4" s="1120"/>
      <c r="F4" s="1120"/>
      <c r="G4" s="1120"/>
      <c r="H4" s="1120"/>
      <c r="I4" s="1120"/>
      <c r="J4" s="1120"/>
      <c r="K4" s="1120"/>
      <c r="L4" s="1120"/>
      <c r="M4" s="1120"/>
      <c r="N4" s="1120"/>
      <c r="O4" s="1120"/>
      <c r="P4" s="1120"/>
      <c r="Q4" s="1120"/>
      <c r="R4" s="1120"/>
      <c r="S4" s="1120"/>
      <c r="T4" s="1120"/>
      <c r="U4" s="1120"/>
      <c r="V4" s="1120"/>
      <c r="W4" s="1120"/>
    </row>
    <row r="5" spans="1:23" ht="13.5" customHeight="1">
      <c r="A5" s="1555" t="s">
        <v>2</v>
      </c>
      <c r="B5" s="1095"/>
      <c r="C5" s="1097" t="s">
        <v>474</v>
      </c>
      <c r="D5" s="1098"/>
      <c r="E5" s="1099"/>
      <c r="F5" s="1089" t="s">
        <v>1201</v>
      </c>
      <c r="G5" s="1090"/>
      <c r="H5" s="1090"/>
      <c r="I5" s="1090"/>
      <c r="J5" s="1090"/>
      <c r="K5" s="1090"/>
      <c r="L5" s="1090" t="s">
        <v>1201</v>
      </c>
      <c r="M5" s="1090"/>
      <c r="N5" s="1090"/>
      <c r="O5" s="1090"/>
      <c r="P5" s="1090"/>
      <c r="Q5" s="1090"/>
      <c r="R5" s="1090"/>
      <c r="S5" s="1090"/>
      <c r="T5" s="1091"/>
      <c r="U5" s="1105" t="s">
        <v>820</v>
      </c>
      <c r="V5" s="1107"/>
      <c r="W5" s="1107"/>
    </row>
    <row r="6" spans="1:23" ht="13.5" customHeight="1">
      <c r="A6" s="1556" t="s">
        <v>7</v>
      </c>
      <c r="B6" s="1096"/>
      <c r="C6" s="1100" t="s">
        <v>16</v>
      </c>
      <c r="D6" s="1557"/>
      <c r="E6" s="1101"/>
      <c r="F6" s="1094" t="s">
        <v>1202</v>
      </c>
      <c r="G6" s="1092"/>
      <c r="H6" s="1092"/>
      <c r="I6" s="1092"/>
      <c r="J6" s="1092"/>
      <c r="K6" s="1092"/>
      <c r="L6" s="1092" t="s">
        <v>1202</v>
      </c>
      <c r="M6" s="1092"/>
      <c r="N6" s="1092"/>
      <c r="O6" s="1092"/>
      <c r="P6" s="1092"/>
      <c r="Q6" s="1092"/>
      <c r="R6" s="1092"/>
      <c r="S6" s="1092"/>
      <c r="T6" s="1093"/>
      <c r="U6" s="1558" t="s">
        <v>821</v>
      </c>
      <c r="V6" s="1556"/>
      <c r="W6" s="1556"/>
    </row>
    <row r="7" spans="1:23" ht="13.5" customHeight="1">
      <c r="A7" s="1555"/>
      <c r="B7" s="1095"/>
      <c r="C7" s="1116"/>
      <c r="D7" s="1559"/>
      <c r="E7" s="1117"/>
      <c r="F7" s="1105" t="s">
        <v>818</v>
      </c>
      <c r="G7" s="1107"/>
      <c r="H7" s="1107"/>
      <c r="I7" s="1107"/>
      <c r="J7" s="1107"/>
      <c r="K7" s="1107"/>
      <c r="L7" s="1118" t="s">
        <v>818</v>
      </c>
      <c r="M7" s="1118"/>
      <c r="N7" s="1118"/>
      <c r="O7" s="1118"/>
      <c r="P7" s="1118"/>
      <c r="Q7" s="1119"/>
      <c r="R7" s="1105" t="s">
        <v>819</v>
      </c>
      <c r="S7" s="1107"/>
      <c r="T7" s="1106"/>
      <c r="U7" s="1560"/>
      <c r="V7" s="1555"/>
      <c r="W7" s="1555"/>
    </row>
    <row r="8" spans="1:23" ht="13.5" customHeight="1">
      <c r="A8" s="1556"/>
      <c r="B8" s="1096"/>
      <c r="C8" s="1100"/>
      <c r="D8" s="1557"/>
      <c r="E8" s="1101"/>
      <c r="F8" s="1108" t="s">
        <v>1203</v>
      </c>
      <c r="G8" s="1110"/>
      <c r="H8" s="1110"/>
      <c r="I8" s="1110"/>
      <c r="J8" s="1110"/>
      <c r="K8" s="1110"/>
      <c r="L8" s="1110" t="s">
        <v>1203</v>
      </c>
      <c r="M8" s="1110"/>
      <c r="N8" s="1110"/>
      <c r="O8" s="1110"/>
      <c r="P8" s="1110"/>
      <c r="Q8" s="1109"/>
      <c r="R8" s="1558" t="s">
        <v>1204</v>
      </c>
      <c r="S8" s="1556"/>
      <c r="T8" s="1096"/>
      <c r="U8" s="1558"/>
      <c r="V8" s="1556"/>
      <c r="W8" s="1556"/>
    </row>
    <row r="9" spans="1:23" s="210" customFormat="1" ht="13.5" customHeight="1">
      <c r="A9" s="1561"/>
      <c r="B9" s="1562"/>
      <c r="C9" s="1114" t="s">
        <v>397</v>
      </c>
      <c r="D9" s="1563"/>
      <c r="E9" s="1115"/>
      <c r="F9" s="1105" t="s">
        <v>630</v>
      </c>
      <c r="G9" s="1107"/>
      <c r="H9" s="1106"/>
      <c r="I9" s="1105" t="s">
        <v>822</v>
      </c>
      <c r="J9" s="1107"/>
      <c r="K9" s="1106"/>
      <c r="L9" s="1105" t="s">
        <v>884</v>
      </c>
      <c r="M9" s="1107"/>
      <c r="N9" s="1106"/>
      <c r="O9" s="1105" t="s">
        <v>885</v>
      </c>
      <c r="P9" s="1107"/>
      <c r="Q9" s="1106"/>
      <c r="R9" s="1564"/>
      <c r="S9" s="1561"/>
      <c r="T9" s="1562"/>
      <c r="U9" s="1564"/>
      <c r="V9" s="1561"/>
      <c r="W9" s="1561"/>
    </row>
    <row r="10" spans="1:23" s="211" customFormat="1" ht="18.75" customHeight="1">
      <c r="A10" s="1565"/>
      <c r="B10" s="1566"/>
      <c r="C10" s="1111" t="s">
        <v>397</v>
      </c>
      <c r="D10" s="1112"/>
      <c r="E10" s="1113"/>
      <c r="F10" s="1108" t="s">
        <v>606</v>
      </c>
      <c r="G10" s="1110"/>
      <c r="H10" s="1109"/>
      <c r="I10" s="1108" t="s">
        <v>887</v>
      </c>
      <c r="J10" s="1110"/>
      <c r="K10" s="1109"/>
      <c r="L10" s="1108" t="s">
        <v>888</v>
      </c>
      <c r="M10" s="1110"/>
      <c r="N10" s="1109"/>
      <c r="O10" s="1108" t="s">
        <v>889</v>
      </c>
      <c r="P10" s="1110"/>
      <c r="Q10" s="1109"/>
      <c r="R10" s="1567"/>
      <c r="S10" s="1568"/>
      <c r="T10" s="1569"/>
      <c r="U10" s="1567"/>
      <c r="V10" s="1568"/>
      <c r="W10" s="1568"/>
    </row>
    <row r="11" spans="1:23" s="210" customFormat="1" ht="13.5" customHeight="1">
      <c r="A11" s="1555"/>
      <c r="B11" s="1095"/>
      <c r="C11" s="212" t="s">
        <v>823</v>
      </c>
      <c r="D11" s="1105" t="s">
        <v>824</v>
      </c>
      <c r="E11" s="1106"/>
      <c r="F11" s="212" t="s">
        <v>823</v>
      </c>
      <c r="G11" s="1105" t="s">
        <v>824</v>
      </c>
      <c r="H11" s="1106"/>
      <c r="I11" s="212" t="s">
        <v>823</v>
      </c>
      <c r="J11" s="1105" t="s">
        <v>824</v>
      </c>
      <c r="K11" s="1106"/>
      <c r="L11" s="212" t="s">
        <v>823</v>
      </c>
      <c r="M11" s="1105" t="s">
        <v>824</v>
      </c>
      <c r="N11" s="1106"/>
      <c r="O11" s="212" t="s">
        <v>823</v>
      </c>
      <c r="P11" s="1105" t="s">
        <v>824</v>
      </c>
      <c r="Q11" s="1106"/>
      <c r="R11" s="212" t="s">
        <v>823</v>
      </c>
      <c r="S11" s="1105" t="s">
        <v>824</v>
      </c>
      <c r="T11" s="1106"/>
      <c r="U11" s="212" t="s">
        <v>823</v>
      </c>
      <c r="V11" s="1105" t="s">
        <v>824</v>
      </c>
      <c r="W11" s="1107"/>
    </row>
    <row r="12" spans="1:23" s="211" customFormat="1" ht="13.5" customHeight="1">
      <c r="A12" s="1556"/>
      <c r="B12" s="1096"/>
      <c r="C12" s="213" t="s">
        <v>663</v>
      </c>
      <c r="D12" s="1108" t="s">
        <v>825</v>
      </c>
      <c r="E12" s="1109"/>
      <c r="F12" s="213" t="s">
        <v>663</v>
      </c>
      <c r="G12" s="1108" t="s">
        <v>825</v>
      </c>
      <c r="H12" s="1109"/>
      <c r="I12" s="213" t="s">
        <v>663</v>
      </c>
      <c r="J12" s="1108" t="s">
        <v>825</v>
      </c>
      <c r="K12" s="1109"/>
      <c r="L12" s="213" t="s">
        <v>663</v>
      </c>
      <c r="M12" s="1108" t="s">
        <v>825</v>
      </c>
      <c r="N12" s="1109"/>
      <c r="O12" s="213" t="s">
        <v>663</v>
      </c>
      <c r="P12" s="1108" t="s">
        <v>825</v>
      </c>
      <c r="Q12" s="1109"/>
      <c r="R12" s="213" t="s">
        <v>663</v>
      </c>
      <c r="S12" s="1108" t="s">
        <v>825</v>
      </c>
      <c r="T12" s="1109"/>
      <c r="U12" s="213" t="s">
        <v>663</v>
      </c>
      <c r="V12" s="1108" t="s">
        <v>825</v>
      </c>
      <c r="W12" s="1110"/>
    </row>
    <row r="13" spans="1:23" s="210" customFormat="1" ht="13.5" customHeight="1">
      <c r="A13" s="1555"/>
      <c r="B13" s="1095"/>
      <c r="C13" s="214" t="s">
        <v>397</v>
      </c>
      <c r="D13" s="930" t="s">
        <v>354</v>
      </c>
      <c r="E13" s="930" t="s">
        <v>392</v>
      </c>
      <c r="F13" s="214"/>
      <c r="G13" s="930" t="s">
        <v>354</v>
      </c>
      <c r="H13" s="930" t="s">
        <v>392</v>
      </c>
      <c r="I13" s="214"/>
      <c r="J13" s="930" t="s">
        <v>354</v>
      </c>
      <c r="K13" s="930" t="s">
        <v>392</v>
      </c>
      <c r="L13" s="214" t="s">
        <v>397</v>
      </c>
      <c r="M13" s="930" t="s">
        <v>354</v>
      </c>
      <c r="N13" s="930" t="s">
        <v>392</v>
      </c>
      <c r="O13" s="214"/>
      <c r="P13" s="930" t="s">
        <v>354</v>
      </c>
      <c r="Q13" s="930" t="s">
        <v>392</v>
      </c>
      <c r="R13" s="214"/>
      <c r="S13" s="930" t="s">
        <v>354</v>
      </c>
      <c r="T13" s="930" t="s">
        <v>392</v>
      </c>
      <c r="U13" s="214"/>
      <c r="V13" s="930" t="s">
        <v>354</v>
      </c>
      <c r="W13" s="1570" t="s">
        <v>392</v>
      </c>
    </row>
    <row r="14" spans="1:23" s="211" customFormat="1" ht="13.5" customHeight="1">
      <c r="A14" s="1102"/>
      <c r="B14" s="1103"/>
      <c r="C14" s="215" t="s">
        <v>397</v>
      </c>
      <c r="D14" s="932" t="s">
        <v>367</v>
      </c>
      <c r="E14" s="932" t="s">
        <v>368</v>
      </c>
      <c r="F14" s="215"/>
      <c r="G14" s="932" t="s">
        <v>367</v>
      </c>
      <c r="H14" s="932" t="s">
        <v>368</v>
      </c>
      <c r="I14" s="215"/>
      <c r="J14" s="932" t="s">
        <v>367</v>
      </c>
      <c r="K14" s="932" t="s">
        <v>368</v>
      </c>
      <c r="L14" s="215" t="s">
        <v>397</v>
      </c>
      <c r="M14" s="932" t="s">
        <v>367</v>
      </c>
      <c r="N14" s="932" t="s">
        <v>368</v>
      </c>
      <c r="O14" s="215"/>
      <c r="P14" s="932" t="s">
        <v>367</v>
      </c>
      <c r="Q14" s="932" t="s">
        <v>368</v>
      </c>
      <c r="R14" s="215"/>
      <c r="S14" s="932" t="s">
        <v>367</v>
      </c>
      <c r="T14" s="932" t="s">
        <v>368</v>
      </c>
      <c r="U14" s="215"/>
      <c r="V14" s="932" t="s">
        <v>367</v>
      </c>
      <c r="W14" s="931" t="s">
        <v>368</v>
      </c>
    </row>
    <row r="15" spans="1:23" ht="11.25" customHeight="1">
      <c r="A15" s="216" t="s">
        <v>27</v>
      </c>
      <c r="B15" s="217" t="s">
        <v>16</v>
      </c>
      <c r="C15" s="218">
        <v>3141</v>
      </c>
      <c r="D15" s="218">
        <v>82623</v>
      </c>
      <c r="E15" s="218">
        <v>40212</v>
      </c>
      <c r="F15" s="218">
        <v>2954</v>
      </c>
      <c r="G15" s="218">
        <v>81509</v>
      </c>
      <c r="H15" s="218">
        <v>39851</v>
      </c>
      <c r="I15" s="218">
        <v>997</v>
      </c>
      <c r="J15" s="218">
        <v>27701</v>
      </c>
      <c r="K15" s="218">
        <v>13525</v>
      </c>
      <c r="L15" s="218">
        <v>985</v>
      </c>
      <c r="M15" s="218">
        <v>27272</v>
      </c>
      <c r="N15" s="218">
        <v>13332</v>
      </c>
      <c r="O15" s="218">
        <v>972</v>
      </c>
      <c r="P15" s="218">
        <v>26536</v>
      </c>
      <c r="Q15" s="218">
        <v>12994</v>
      </c>
      <c r="R15" s="218">
        <v>7</v>
      </c>
      <c r="S15" s="218">
        <v>110</v>
      </c>
      <c r="T15" s="218">
        <v>47</v>
      </c>
      <c r="U15" s="218">
        <v>180</v>
      </c>
      <c r="V15" s="218">
        <v>1004</v>
      </c>
      <c r="W15" s="1571">
        <v>314</v>
      </c>
    </row>
    <row r="16" spans="1:23" ht="11.25" customHeight="1">
      <c r="A16" s="1572" t="s">
        <v>136</v>
      </c>
      <c r="B16" s="219" t="s">
        <v>30</v>
      </c>
      <c r="C16" s="220">
        <v>2991</v>
      </c>
      <c r="D16" s="220">
        <v>78903</v>
      </c>
      <c r="E16" s="220">
        <v>39163</v>
      </c>
      <c r="F16" s="220">
        <v>2805</v>
      </c>
      <c r="G16" s="220">
        <v>77795</v>
      </c>
      <c r="H16" s="220">
        <v>38807</v>
      </c>
      <c r="I16" s="220">
        <v>948</v>
      </c>
      <c r="J16" s="220">
        <v>26403</v>
      </c>
      <c r="K16" s="220">
        <v>13142</v>
      </c>
      <c r="L16" s="220">
        <v>935</v>
      </c>
      <c r="M16" s="220">
        <v>26051</v>
      </c>
      <c r="N16" s="220">
        <v>12983</v>
      </c>
      <c r="O16" s="220">
        <v>922</v>
      </c>
      <c r="P16" s="220">
        <v>25341</v>
      </c>
      <c r="Q16" s="220">
        <v>12682</v>
      </c>
      <c r="R16" s="220">
        <v>7</v>
      </c>
      <c r="S16" s="220">
        <v>110</v>
      </c>
      <c r="T16" s="220">
        <v>47</v>
      </c>
      <c r="U16" s="220">
        <v>179</v>
      </c>
      <c r="V16" s="220">
        <v>998</v>
      </c>
      <c r="W16" s="221">
        <v>309</v>
      </c>
    </row>
    <row r="17" spans="1:23" ht="11.25" customHeight="1" thickBot="1">
      <c r="A17" s="222" t="s">
        <v>137</v>
      </c>
      <c r="B17" s="223" t="s">
        <v>32</v>
      </c>
      <c r="C17" s="224">
        <v>150</v>
      </c>
      <c r="D17" s="224">
        <v>3720</v>
      </c>
      <c r="E17" s="224">
        <v>1049</v>
      </c>
      <c r="F17" s="224">
        <v>149</v>
      </c>
      <c r="G17" s="224">
        <v>3714</v>
      </c>
      <c r="H17" s="224">
        <v>1044</v>
      </c>
      <c r="I17" s="224">
        <v>49</v>
      </c>
      <c r="J17" s="224">
        <v>1298</v>
      </c>
      <c r="K17" s="224">
        <v>383</v>
      </c>
      <c r="L17" s="224">
        <v>50</v>
      </c>
      <c r="M17" s="224">
        <v>1221</v>
      </c>
      <c r="N17" s="224">
        <v>349</v>
      </c>
      <c r="O17" s="224">
        <v>50</v>
      </c>
      <c r="P17" s="224">
        <v>1195</v>
      </c>
      <c r="Q17" s="224">
        <v>312</v>
      </c>
      <c r="R17" s="224" t="s">
        <v>28</v>
      </c>
      <c r="S17" s="224" t="s">
        <v>28</v>
      </c>
      <c r="T17" s="224" t="s">
        <v>28</v>
      </c>
      <c r="U17" s="224">
        <v>1</v>
      </c>
      <c r="V17" s="224">
        <v>6</v>
      </c>
      <c r="W17" s="225">
        <v>5</v>
      </c>
    </row>
    <row r="18" spans="1:23" s="210" customFormat="1" ht="15" customHeight="1" thickBot="1">
      <c r="A18" s="1573" t="s">
        <v>310</v>
      </c>
      <c r="B18" s="1573"/>
      <c r="C18" s="1573"/>
      <c r="D18" s="1573"/>
      <c r="E18" s="1573"/>
      <c r="F18" s="1573"/>
      <c r="G18" s="1573"/>
      <c r="H18" s="1573"/>
      <c r="I18" s="1573"/>
      <c r="J18" s="1573"/>
      <c r="K18" s="1573"/>
      <c r="L18" s="1573" t="s">
        <v>393</v>
      </c>
      <c r="M18" s="1573"/>
      <c r="N18" s="1573"/>
      <c r="O18" s="1573"/>
      <c r="P18" s="1573"/>
      <c r="Q18" s="1573"/>
      <c r="R18" s="1573"/>
      <c r="S18" s="1573"/>
      <c r="T18" s="1573"/>
      <c r="U18" s="1573"/>
      <c r="V18" s="1573"/>
      <c r="W18" s="1573"/>
    </row>
    <row r="19" spans="1:23" ht="11.25" customHeight="1">
      <c r="A19" s="226" t="s">
        <v>35</v>
      </c>
      <c r="B19" s="227" t="s">
        <v>36</v>
      </c>
      <c r="C19" s="228">
        <v>605</v>
      </c>
      <c r="D19" s="228">
        <v>15140</v>
      </c>
      <c r="E19" s="228">
        <v>7415</v>
      </c>
      <c r="F19" s="228">
        <v>565</v>
      </c>
      <c r="G19" s="228">
        <v>14911</v>
      </c>
      <c r="H19" s="228">
        <v>7338</v>
      </c>
      <c r="I19" s="228">
        <v>195</v>
      </c>
      <c r="J19" s="228">
        <v>5081</v>
      </c>
      <c r="K19" s="228">
        <v>2520</v>
      </c>
      <c r="L19" s="229">
        <v>188</v>
      </c>
      <c r="M19" s="229">
        <v>5022</v>
      </c>
      <c r="N19" s="229">
        <v>2441</v>
      </c>
      <c r="O19" s="229">
        <v>182</v>
      </c>
      <c r="P19" s="229">
        <v>4808</v>
      </c>
      <c r="Q19" s="229">
        <v>2377</v>
      </c>
      <c r="R19" s="229" t="s">
        <v>28</v>
      </c>
      <c r="S19" s="229" t="s">
        <v>28</v>
      </c>
      <c r="T19" s="229" t="s">
        <v>28</v>
      </c>
      <c r="U19" s="229">
        <v>40</v>
      </c>
      <c r="V19" s="229">
        <v>229</v>
      </c>
      <c r="W19" s="230">
        <v>77</v>
      </c>
    </row>
    <row r="20" spans="1:23" ht="11.25" customHeight="1">
      <c r="A20" s="1572" t="s">
        <v>136</v>
      </c>
      <c r="B20" s="219" t="s">
        <v>30</v>
      </c>
      <c r="C20" s="231">
        <v>498</v>
      </c>
      <c r="D20" s="231">
        <v>12643</v>
      </c>
      <c r="E20" s="231">
        <v>7100</v>
      </c>
      <c r="F20" s="231">
        <v>458</v>
      </c>
      <c r="G20" s="231">
        <v>12414</v>
      </c>
      <c r="H20" s="231">
        <v>7023</v>
      </c>
      <c r="I20" s="231">
        <v>160</v>
      </c>
      <c r="J20" s="231">
        <v>4231</v>
      </c>
      <c r="K20" s="231">
        <v>2405</v>
      </c>
      <c r="L20" s="220">
        <v>152</v>
      </c>
      <c r="M20" s="231">
        <v>4192</v>
      </c>
      <c r="N20" s="231">
        <v>2336</v>
      </c>
      <c r="O20" s="220">
        <v>146</v>
      </c>
      <c r="P20" s="220">
        <v>3991</v>
      </c>
      <c r="Q20" s="220">
        <v>2282</v>
      </c>
      <c r="R20" s="231" t="s">
        <v>28</v>
      </c>
      <c r="S20" s="231" t="s">
        <v>28</v>
      </c>
      <c r="T20" s="231" t="s">
        <v>28</v>
      </c>
      <c r="U20" s="220">
        <v>40</v>
      </c>
      <c r="V20" s="231">
        <v>229</v>
      </c>
      <c r="W20" s="221">
        <v>77</v>
      </c>
    </row>
    <row r="21" spans="1:23" ht="11.25" customHeight="1">
      <c r="A21" s="1572" t="s">
        <v>137</v>
      </c>
      <c r="B21" s="219" t="s">
        <v>32</v>
      </c>
      <c r="C21" s="231">
        <v>107</v>
      </c>
      <c r="D21" s="231">
        <v>2497</v>
      </c>
      <c r="E21" s="231">
        <v>315</v>
      </c>
      <c r="F21" s="231">
        <v>107</v>
      </c>
      <c r="G21" s="231">
        <v>2497</v>
      </c>
      <c r="H21" s="231">
        <v>315</v>
      </c>
      <c r="I21" s="231">
        <v>35</v>
      </c>
      <c r="J21" s="231">
        <v>850</v>
      </c>
      <c r="K21" s="231">
        <v>115</v>
      </c>
      <c r="L21" s="220">
        <v>36</v>
      </c>
      <c r="M21" s="231">
        <v>830</v>
      </c>
      <c r="N21" s="231">
        <v>105</v>
      </c>
      <c r="O21" s="220">
        <v>36</v>
      </c>
      <c r="P21" s="220">
        <v>817</v>
      </c>
      <c r="Q21" s="220">
        <v>95</v>
      </c>
      <c r="R21" s="231" t="s">
        <v>28</v>
      </c>
      <c r="S21" s="231" t="s">
        <v>28</v>
      </c>
      <c r="T21" s="231" t="s">
        <v>28</v>
      </c>
      <c r="U21" s="220" t="s">
        <v>28</v>
      </c>
      <c r="V21" s="231" t="s">
        <v>28</v>
      </c>
      <c r="W21" s="221" t="s">
        <v>28</v>
      </c>
    </row>
    <row r="22" spans="1:23" ht="11.25" customHeight="1">
      <c r="A22" s="1574" t="s">
        <v>37</v>
      </c>
      <c r="B22" s="232" t="s">
        <v>38</v>
      </c>
      <c r="C22" s="233">
        <v>726</v>
      </c>
      <c r="D22" s="233">
        <v>17718</v>
      </c>
      <c r="E22" s="233">
        <v>8621</v>
      </c>
      <c r="F22" s="233">
        <v>680</v>
      </c>
      <c r="G22" s="233">
        <v>17484</v>
      </c>
      <c r="H22" s="233">
        <v>8547</v>
      </c>
      <c r="I22" s="233">
        <v>226</v>
      </c>
      <c r="J22" s="233">
        <v>5791</v>
      </c>
      <c r="K22" s="233">
        <v>2844</v>
      </c>
      <c r="L22" s="234">
        <v>224</v>
      </c>
      <c r="M22" s="233">
        <v>5833</v>
      </c>
      <c r="N22" s="233">
        <v>2808</v>
      </c>
      <c r="O22" s="234">
        <v>230</v>
      </c>
      <c r="P22" s="234">
        <v>5860</v>
      </c>
      <c r="Q22" s="234">
        <v>2895</v>
      </c>
      <c r="R22" s="233" t="s">
        <v>28</v>
      </c>
      <c r="S22" s="233" t="s">
        <v>28</v>
      </c>
      <c r="T22" s="233" t="s">
        <v>28</v>
      </c>
      <c r="U22" s="234">
        <v>46</v>
      </c>
      <c r="V22" s="233">
        <v>234</v>
      </c>
      <c r="W22" s="235">
        <v>74</v>
      </c>
    </row>
    <row r="23" spans="1:23" ht="11.25" customHeight="1">
      <c r="A23" s="1572" t="s">
        <v>136</v>
      </c>
      <c r="B23" s="219" t="s">
        <v>30</v>
      </c>
      <c r="C23" s="231">
        <v>726</v>
      </c>
      <c r="D23" s="231">
        <v>17718</v>
      </c>
      <c r="E23" s="231">
        <v>8621</v>
      </c>
      <c r="F23" s="231">
        <v>680</v>
      </c>
      <c r="G23" s="231">
        <v>17484</v>
      </c>
      <c r="H23" s="231">
        <v>8547</v>
      </c>
      <c r="I23" s="231">
        <v>226</v>
      </c>
      <c r="J23" s="231">
        <v>5791</v>
      </c>
      <c r="K23" s="231">
        <v>2844</v>
      </c>
      <c r="L23" s="220">
        <v>224</v>
      </c>
      <c r="M23" s="231">
        <v>5833</v>
      </c>
      <c r="N23" s="231">
        <v>2808</v>
      </c>
      <c r="O23" s="220">
        <v>230</v>
      </c>
      <c r="P23" s="220">
        <v>5860</v>
      </c>
      <c r="Q23" s="220">
        <v>2895</v>
      </c>
      <c r="R23" s="231" t="s">
        <v>28</v>
      </c>
      <c r="S23" s="231" t="s">
        <v>28</v>
      </c>
      <c r="T23" s="231" t="s">
        <v>28</v>
      </c>
      <c r="U23" s="220">
        <v>46</v>
      </c>
      <c r="V23" s="231">
        <v>234</v>
      </c>
      <c r="W23" s="221">
        <v>74</v>
      </c>
    </row>
    <row r="24" spans="1:23" ht="11.25" customHeight="1">
      <c r="A24" s="1572" t="s">
        <v>137</v>
      </c>
      <c r="B24" s="219" t="s">
        <v>32</v>
      </c>
      <c r="C24" s="231" t="s">
        <v>28</v>
      </c>
      <c r="D24" s="231" t="s">
        <v>28</v>
      </c>
      <c r="E24" s="231" t="s">
        <v>28</v>
      </c>
      <c r="F24" s="231" t="s">
        <v>28</v>
      </c>
      <c r="G24" s="231" t="s">
        <v>28</v>
      </c>
      <c r="H24" s="231" t="s">
        <v>28</v>
      </c>
      <c r="I24" s="231" t="s">
        <v>28</v>
      </c>
      <c r="J24" s="231" t="s">
        <v>28</v>
      </c>
      <c r="K24" s="231" t="s">
        <v>28</v>
      </c>
      <c r="L24" s="220" t="s">
        <v>28</v>
      </c>
      <c r="M24" s="231" t="s">
        <v>28</v>
      </c>
      <c r="N24" s="231" t="s">
        <v>28</v>
      </c>
      <c r="O24" s="220" t="s">
        <v>28</v>
      </c>
      <c r="P24" s="220" t="s">
        <v>28</v>
      </c>
      <c r="Q24" s="220" t="s">
        <v>28</v>
      </c>
      <c r="R24" s="231" t="s">
        <v>28</v>
      </c>
      <c r="S24" s="231" t="s">
        <v>28</v>
      </c>
      <c r="T24" s="231" t="s">
        <v>28</v>
      </c>
      <c r="U24" s="220" t="s">
        <v>28</v>
      </c>
      <c r="V24" s="231" t="s">
        <v>28</v>
      </c>
      <c r="W24" s="221" t="s">
        <v>28</v>
      </c>
    </row>
    <row r="25" spans="1:23" ht="11.25" customHeight="1">
      <c r="A25" s="1574" t="s">
        <v>39</v>
      </c>
      <c r="B25" s="232" t="s">
        <v>40</v>
      </c>
      <c r="C25" s="233">
        <v>1026</v>
      </c>
      <c r="D25" s="233">
        <v>28573</v>
      </c>
      <c r="E25" s="233">
        <v>13892</v>
      </c>
      <c r="F25" s="233">
        <v>967</v>
      </c>
      <c r="G25" s="233">
        <v>28152</v>
      </c>
      <c r="H25" s="233">
        <v>13752</v>
      </c>
      <c r="I25" s="233">
        <v>323</v>
      </c>
      <c r="J25" s="233">
        <v>9614</v>
      </c>
      <c r="K25" s="233">
        <v>4701</v>
      </c>
      <c r="L25" s="234">
        <v>322</v>
      </c>
      <c r="M25" s="234">
        <v>9350</v>
      </c>
      <c r="N25" s="234">
        <v>4585</v>
      </c>
      <c r="O25" s="234">
        <v>322</v>
      </c>
      <c r="P25" s="234">
        <v>9188</v>
      </c>
      <c r="Q25" s="234">
        <v>4466</v>
      </c>
      <c r="R25" s="234">
        <v>7</v>
      </c>
      <c r="S25" s="234">
        <v>110</v>
      </c>
      <c r="T25" s="234">
        <v>47</v>
      </c>
      <c r="U25" s="234">
        <v>52</v>
      </c>
      <c r="V25" s="234">
        <v>311</v>
      </c>
      <c r="W25" s="235">
        <v>93</v>
      </c>
    </row>
    <row r="26" spans="1:23" ht="11.25" customHeight="1">
      <c r="A26" s="1572" t="s">
        <v>136</v>
      </c>
      <c r="B26" s="219" t="s">
        <v>30</v>
      </c>
      <c r="C26" s="231">
        <v>989</v>
      </c>
      <c r="D26" s="231">
        <v>27490</v>
      </c>
      <c r="E26" s="231">
        <v>13200</v>
      </c>
      <c r="F26" s="231">
        <v>931</v>
      </c>
      <c r="G26" s="231">
        <v>27075</v>
      </c>
      <c r="H26" s="231">
        <v>13065</v>
      </c>
      <c r="I26" s="231">
        <v>311</v>
      </c>
      <c r="J26" s="231">
        <v>9214</v>
      </c>
      <c r="K26" s="231">
        <v>4445</v>
      </c>
      <c r="L26" s="220">
        <v>310</v>
      </c>
      <c r="M26" s="231">
        <v>9005</v>
      </c>
      <c r="N26" s="231">
        <v>4353</v>
      </c>
      <c r="O26" s="220">
        <v>310</v>
      </c>
      <c r="P26" s="220">
        <v>8856</v>
      </c>
      <c r="Q26" s="220">
        <v>4267</v>
      </c>
      <c r="R26" s="231">
        <v>7</v>
      </c>
      <c r="S26" s="231">
        <v>110</v>
      </c>
      <c r="T26" s="231">
        <v>47</v>
      </c>
      <c r="U26" s="220">
        <v>51</v>
      </c>
      <c r="V26" s="231">
        <v>305</v>
      </c>
      <c r="W26" s="221">
        <v>88</v>
      </c>
    </row>
    <row r="27" spans="1:23" ht="11.25" customHeight="1">
      <c r="A27" s="1572" t="s">
        <v>137</v>
      </c>
      <c r="B27" s="219" t="s">
        <v>32</v>
      </c>
      <c r="C27" s="231">
        <v>37</v>
      </c>
      <c r="D27" s="231">
        <v>1083</v>
      </c>
      <c r="E27" s="231">
        <v>692</v>
      </c>
      <c r="F27" s="231">
        <v>36</v>
      </c>
      <c r="G27" s="231">
        <v>1077</v>
      </c>
      <c r="H27" s="231">
        <v>687</v>
      </c>
      <c r="I27" s="231">
        <v>12</v>
      </c>
      <c r="J27" s="231">
        <v>400</v>
      </c>
      <c r="K27" s="231">
        <v>256</v>
      </c>
      <c r="L27" s="220">
        <v>12</v>
      </c>
      <c r="M27" s="231">
        <v>345</v>
      </c>
      <c r="N27" s="231">
        <v>232</v>
      </c>
      <c r="O27" s="220">
        <v>12</v>
      </c>
      <c r="P27" s="220">
        <v>332</v>
      </c>
      <c r="Q27" s="220">
        <v>199</v>
      </c>
      <c r="R27" s="231" t="s">
        <v>28</v>
      </c>
      <c r="S27" s="231" t="s">
        <v>28</v>
      </c>
      <c r="T27" s="231" t="s">
        <v>28</v>
      </c>
      <c r="U27" s="220">
        <v>1</v>
      </c>
      <c r="V27" s="231">
        <v>6</v>
      </c>
      <c r="W27" s="221">
        <v>5</v>
      </c>
    </row>
    <row r="28" spans="1:23" ht="11.25" customHeight="1">
      <c r="A28" s="1574" t="s">
        <v>41</v>
      </c>
      <c r="B28" s="232" t="s">
        <v>42</v>
      </c>
      <c r="C28" s="233">
        <v>716</v>
      </c>
      <c r="D28" s="233">
        <v>19902</v>
      </c>
      <c r="E28" s="233">
        <v>9681</v>
      </c>
      <c r="F28" s="233">
        <v>683</v>
      </c>
      <c r="G28" s="233">
        <v>19702</v>
      </c>
      <c r="H28" s="233">
        <v>9618</v>
      </c>
      <c r="I28" s="233">
        <v>233</v>
      </c>
      <c r="J28" s="233">
        <v>6793</v>
      </c>
      <c r="K28" s="233">
        <v>3265</v>
      </c>
      <c r="L28" s="234">
        <v>231</v>
      </c>
      <c r="M28" s="234">
        <v>6656</v>
      </c>
      <c r="N28" s="234">
        <v>3308</v>
      </c>
      <c r="O28" s="234">
        <v>219</v>
      </c>
      <c r="P28" s="234">
        <v>6253</v>
      </c>
      <c r="Q28" s="234">
        <v>3045</v>
      </c>
      <c r="R28" s="234" t="s">
        <v>28</v>
      </c>
      <c r="S28" s="234" t="s">
        <v>28</v>
      </c>
      <c r="T28" s="234" t="s">
        <v>28</v>
      </c>
      <c r="U28" s="234">
        <v>33</v>
      </c>
      <c r="V28" s="234">
        <v>200</v>
      </c>
      <c r="W28" s="235">
        <v>63</v>
      </c>
    </row>
    <row r="29" spans="1:23" ht="11.25" customHeight="1">
      <c r="A29" s="1572" t="s">
        <v>136</v>
      </c>
      <c r="B29" s="219" t="s">
        <v>30</v>
      </c>
      <c r="C29" s="231">
        <v>716</v>
      </c>
      <c r="D29" s="231">
        <v>19902</v>
      </c>
      <c r="E29" s="231">
        <v>9681</v>
      </c>
      <c r="F29" s="231">
        <v>683</v>
      </c>
      <c r="G29" s="231">
        <v>19702</v>
      </c>
      <c r="H29" s="231">
        <v>9618</v>
      </c>
      <c r="I29" s="231">
        <v>233</v>
      </c>
      <c r="J29" s="231">
        <v>6793</v>
      </c>
      <c r="K29" s="231">
        <v>3265</v>
      </c>
      <c r="L29" s="220">
        <v>231</v>
      </c>
      <c r="M29" s="231">
        <v>6656</v>
      </c>
      <c r="N29" s="231">
        <v>3308</v>
      </c>
      <c r="O29" s="220">
        <v>219</v>
      </c>
      <c r="P29" s="220">
        <v>6253</v>
      </c>
      <c r="Q29" s="220">
        <v>3045</v>
      </c>
      <c r="R29" s="231" t="s">
        <v>28</v>
      </c>
      <c r="S29" s="231" t="s">
        <v>28</v>
      </c>
      <c r="T29" s="231" t="s">
        <v>28</v>
      </c>
      <c r="U29" s="220">
        <v>33</v>
      </c>
      <c r="V29" s="231">
        <v>200</v>
      </c>
      <c r="W29" s="221">
        <v>63</v>
      </c>
    </row>
    <row r="30" spans="1:23" ht="11.25" customHeight="1">
      <c r="A30" s="1572" t="s">
        <v>137</v>
      </c>
      <c r="B30" s="219" t="s">
        <v>32</v>
      </c>
      <c r="C30" s="231" t="s">
        <v>28</v>
      </c>
      <c r="D30" s="231" t="s">
        <v>28</v>
      </c>
      <c r="E30" s="231" t="s">
        <v>28</v>
      </c>
      <c r="F30" s="231" t="s">
        <v>28</v>
      </c>
      <c r="G30" s="231" t="s">
        <v>28</v>
      </c>
      <c r="H30" s="231" t="s">
        <v>28</v>
      </c>
      <c r="I30" s="231" t="s">
        <v>28</v>
      </c>
      <c r="J30" s="231" t="s">
        <v>28</v>
      </c>
      <c r="K30" s="231" t="s">
        <v>28</v>
      </c>
      <c r="L30" s="220" t="s">
        <v>28</v>
      </c>
      <c r="M30" s="231" t="s">
        <v>28</v>
      </c>
      <c r="N30" s="231" t="s">
        <v>28</v>
      </c>
      <c r="O30" s="220" t="s">
        <v>28</v>
      </c>
      <c r="P30" s="220" t="s">
        <v>28</v>
      </c>
      <c r="Q30" s="220" t="s">
        <v>28</v>
      </c>
      <c r="R30" s="231" t="s">
        <v>28</v>
      </c>
      <c r="S30" s="231" t="s">
        <v>28</v>
      </c>
      <c r="T30" s="231" t="s">
        <v>28</v>
      </c>
      <c r="U30" s="220" t="s">
        <v>28</v>
      </c>
      <c r="V30" s="231" t="s">
        <v>28</v>
      </c>
      <c r="W30" s="221" t="s">
        <v>28</v>
      </c>
    </row>
    <row r="31" spans="1:23" ht="11.25" customHeight="1">
      <c r="A31" s="1574" t="s">
        <v>43</v>
      </c>
      <c r="B31" s="232" t="s">
        <v>44</v>
      </c>
      <c r="C31" s="233">
        <v>68</v>
      </c>
      <c r="D31" s="233">
        <v>1290</v>
      </c>
      <c r="E31" s="233">
        <v>603</v>
      </c>
      <c r="F31" s="233">
        <v>59</v>
      </c>
      <c r="G31" s="233">
        <v>1260</v>
      </c>
      <c r="H31" s="233">
        <v>596</v>
      </c>
      <c r="I31" s="233">
        <v>20</v>
      </c>
      <c r="J31" s="233">
        <v>422</v>
      </c>
      <c r="K31" s="233">
        <v>195</v>
      </c>
      <c r="L31" s="234">
        <v>20</v>
      </c>
      <c r="M31" s="233">
        <v>411</v>
      </c>
      <c r="N31" s="233">
        <v>190</v>
      </c>
      <c r="O31" s="234">
        <v>19</v>
      </c>
      <c r="P31" s="234">
        <v>427</v>
      </c>
      <c r="Q31" s="234">
        <v>211</v>
      </c>
      <c r="R31" s="233" t="s">
        <v>28</v>
      </c>
      <c r="S31" s="233" t="s">
        <v>28</v>
      </c>
      <c r="T31" s="233" t="s">
        <v>28</v>
      </c>
      <c r="U31" s="234">
        <v>9</v>
      </c>
      <c r="V31" s="233">
        <v>30</v>
      </c>
      <c r="W31" s="235">
        <v>7</v>
      </c>
    </row>
    <row r="32" spans="1:23" ht="11.25" customHeight="1">
      <c r="A32" s="1572" t="s">
        <v>136</v>
      </c>
      <c r="B32" s="219" t="s">
        <v>30</v>
      </c>
      <c r="C32" s="231">
        <v>62</v>
      </c>
      <c r="D32" s="231">
        <v>1150</v>
      </c>
      <c r="E32" s="231">
        <v>561</v>
      </c>
      <c r="F32" s="231">
        <v>53</v>
      </c>
      <c r="G32" s="231">
        <v>1120</v>
      </c>
      <c r="H32" s="231">
        <v>554</v>
      </c>
      <c r="I32" s="231">
        <v>18</v>
      </c>
      <c r="J32" s="231">
        <v>374</v>
      </c>
      <c r="K32" s="231">
        <v>183</v>
      </c>
      <c r="L32" s="220">
        <v>18</v>
      </c>
      <c r="M32" s="231">
        <v>365</v>
      </c>
      <c r="N32" s="231">
        <v>178</v>
      </c>
      <c r="O32" s="220">
        <v>17</v>
      </c>
      <c r="P32" s="220">
        <v>381</v>
      </c>
      <c r="Q32" s="220">
        <v>193</v>
      </c>
      <c r="R32" s="231" t="s">
        <v>28</v>
      </c>
      <c r="S32" s="231" t="s">
        <v>28</v>
      </c>
      <c r="T32" s="231" t="s">
        <v>28</v>
      </c>
      <c r="U32" s="220">
        <v>9</v>
      </c>
      <c r="V32" s="231">
        <v>30</v>
      </c>
      <c r="W32" s="221">
        <v>7</v>
      </c>
    </row>
    <row r="33" spans="1:23" ht="11.25" customHeight="1" thickBot="1">
      <c r="A33" s="222" t="s">
        <v>137</v>
      </c>
      <c r="B33" s="223" t="s">
        <v>32</v>
      </c>
      <c r="C33" s="231">
        <v>6</v>
      </c>
      <c r="D33" s="231">
        <v>140</v>
      </c>
      <c r="E33" s="231">
        <v>42</v>
      </c>
      <c r="F33" s="231">
        <v>6</v>
      </c>
      <c r="G33" s="231">
        <v>140</v>
      </c>
      <c r="H33" s="231">
        <v>42</v>
      </c>
      <c r="I33" s="236">
        <v>2</v>
      </c>
      <c r="J33" s="236">
        <v>48</v>
      </c>
      <c r="K33" s="236">
        <v>12</v>
      </c>
      <c r="L33" s="224">
        <v>2</v>
      </c>
      <c r="M33" s="236">
        <v>46</v>
      </c>
      <c r="N33" s="236">
        <v>12</v>
      </c>
      <c r="O33" s="224">
        <v>2</v>
      </c>
      <c r="P33" s="224">
        <v>46</v>
      </c>
      <c r="Q33" s="224">
        <v>18</v>
      </c>
      <c r="R33" s="236" t="s">
        <v>28</v>
      </c>
      <c r="S33" s="236" t="s">
        <v>28</v>
      </c>
      <c r="T33" s="236" t="s">
        <v>28</v>
      </c>
      <c r="U33" s="224" t="s">
        <v>28</v>
      </c>
      <c r="V33" s="236" t="s">
        <v>28</v>
      </c>
      <c r="W33" s="225" t="s">
        <v>28</v>
      </c>
    </row>
    <row r="34" spans="1:23" s="210" customFormat="1" ht="15" customHeight="1" thickBot="1">
      <c r="A34" s="1104" t="s">
        <v>763</v>
      </c>
      <c r="B34" s="1104"/>
      <c r="C34" s="1104"/>
      <c r="D34" s="1104"/>
      <c r="E34" s="1104"/>
      <c r="F34" s="1104"/>
      <c r="G34" s="1104"/>
      <c r="H34" s="1104"/>
      <c r="I34" s="1104"/>
      <c r="J34" s="1104"/>
      <c r="K34" s="1104"/>
      <c r="L34" s="1104" t="s">
        <v>394</v>
      </c>
      <c r="M34" s="1104"/>
      <c r="N34" s="1104"/>
      <c r="O34" s="1104"/>
      <c r="P34" s="1104"/>
      <c r="Q34" s="1104"/>
      <c r="R34" s="1104"/>
      <c r="S34" s="1104"/>
      <c r="T34" s="1104"/>
      <c r="U34" s="1104"/>
      <c r="V34" s="1104"/>
      <c r="W34" s="1104"/>
    </row>
    <row r="35" spans="1:23" ht="11.25" customHeight="1">
      <c r="A35" s="226" t="s">
        <v>47</v>
      </c>
      <c r="B35" s="227" t="s">
        <v>1116</v>
      </c>
      <c r="C35" s="228">
        <v>228</v>
      </c>
      <c r="D35" s="228">
        <v>5796</v>
      </c>
      <c r="E35" s="228">
        <v>2832</v>
      </c>
      <c r="F35" s="228">
        <v>214</v>
      </c>
      <c r="G35" s="228">
        <v>5722</v>
      </c>
      <c r="H35" s="228">
        <v>2804</v>
      </c>
      <c r="I35" s="228">
        <v>75</v>
      </c>
      <c r="J35" s="228">
        <v>1960</v>
      </c>
      <c r="K35" s="228">
        <v>967</v>
      </c>
      <c r="L35" s="229">
        <v>72</v>
      </c>
      <c r="M35" s="228">
        <v>1956</v>
      </c>
      <c r="N35" s="228">
        <v>943</v>
      </c>
      <c r="O35" s="229">
        <v>67</v>
      </c>
      <c r="P35" s="229">
        <v>1806</v>
      </c>
      <c r="Q35" s="229">
        <v>894</v>
      </c>
      <c r="R35" s="228" t="s">
        <v>28</v>
      </c>
      <c r="S35" s="228" t="s">
        <v>28</v>
      </c>
      <c r="T35" s="228" t="s">
        <v>28</v>
      </c>
      <c r="U35" s="229">
        <v>14</v>
      </c>
      <c r="V35" s="228">
        <v>74</v>
      </c>
      <c r="W35" s="230">
        <v>28</v>
      </c>
    </row>
    <row r="36" spans="1:23" ht="11.25" customHeight="1">
      <c r="A36" s="1572" t="s">
        <v>136</v>
      </c>
      <c r="B36" s="219" t="s">
        <v>30</v>
      </c>
      <c r="C36" s="231">
        <v>184</v>
      </c>
      <c r="D36" s="231">
        <v>4968</v>
      </c>
      <c r="E36" s="231">
        <v>2517</v>
      </c>
      <c r="F36" s="231">
        <v>170</v>
      </c>
      <c r="G36" s="231">
        <v>4894</v>
      </c>
      <c r="H36" s="231">
        <v>2489</v>
      </c>
      <c r="I36" s="231">
        <v>61</v>
      </c>
      <c r="J36" s="231">
        <v>1668</v>
      </c>
      <c r="K36" s="231">
        <v>852</v>
      </c>
      <c r="L36" s="220">
        <v>57</v>
      </c>
      <c r="M36" s="231">
        <v>1682</v>
      </c>
      <c r="N36" s="231">
        <v>838</v>
      </c>
      <c r="O36" s="220">
        <v>52</v>
      </c>
      <c r="P36" s="220">
        <v>1544</v>
      </c>
      <c r="Q36" s="220">
        <v>799</v>
      </c>
      <c r="R36" s="231" t="s">
        <v>28</v>
      </c>
      <c r="S36" s="231" t="s">
        <v>28</v>
      </c>
      <c r="T36" s="231" t="s">
        <v>28</v>
      </c>
      <c r="U36" s="220">
        <v>14</v>
      </c>
      <c r="V36" s="231">
        <v>74</v>
      </c>
      <c r="W36" s="221">
        <v>28</v>
      </c>
    </row>
    <row r="37" spans="1:23" ht="11.25" customHeight="1">
      <c r="A37" s="1572" t="s">
        <v>137</v>
      </c>
      <c r="B37" s="219" t="s">
        <v>32</v>
      </c>
      <c r="C37" s="231">
        <v>44</v>
      </c>
      <c r="D37" s="231">
        <v>828</v>
      </c>
      <c r="E37" s="231">
        <v>315</v>
      </c>
      <c r="F37" s="231">
        <v>44</v>
      </c>
      <c r="G37" s="231">
        <v>828</v>
      </c>
      <c r="H37" s="231">
        <v>315</v>
      </c>
      <c r="I37" s="231">
        <v>14</v>
      </c>
      <c r="J37" s="231">
        <v>292</v>
      </c>
      <c r="K37" s="231">
        <v>115</v>
      </c>
      <c r="L37" s="220">
        <v>15</v>
      </c>
      <c r="M37" s="231">
        <v>274</v>
      </c>
      <c r="N37" s="231">
        <v>105</v>
      </c>
      <c r="O37" s="220">
        <v>15</v>
      </c>
      <c r="P37" s="220">
        <v>262</v>
      </c>
      <c r="Q37" s="220">
        <v>95</v>
      </c>
      <c r="R37" s="231" t="s">
        <v>28</v>
      </c>
      <c r="S37" s="231" t="s">
        <v>28</v>
      </c>
      <c r="T37" s="231" t="s">
        <v>28</v>
      </c>
      <c r="U37" s="220" t="s">
        <v>28</v>
      </c>
      <c r="V37" s="231" t="s">
        <v>28</v>
      </c>
      <c r="W37" s="221" t="s">
        <v>28</v>
      </c>
    </row>
    <row r="38" spans="1:23" ht="11.25" customHeight="1">
      <c r="A38" s="1574" t="s">
        <v>49</v>
      </c>
      <c r="B38" s="232" t="s">
        <v>1117</v>
      </c>
      <c r="C38" s="233">
        <v>54</v>
      </c>
      <c r="D38" s="233">
        <v>1241</v>
      </c>
      <c r="E38" s="233">
        <v>179</v>
      </c>
      <c r="F38" s="233">
        <v>51</v>
      </c>
      <c r="G38" s="233">
        <v>1219</v>
      </c>
      <c r="H38" s="233">
        <v>176</v>
      </c>
      <c r="I38" s="233">
        <v>17</v>
      </c>
      <c r="J38" s="233">
        <v>410</v>
      </c>
      <c r="K38" s="233">
        <v>52</v>
      </c>
      <c r="L38" s="234">
        <v>17</v>
      </c>
      <c r="M38" s="233">
        <v>398</v>
      </c>
      <c r="N38" s="233">
        <v>57</v>
      </c>
      <c r="O38" s="234">
        <v>17</v>
      </c>
      <c r="P38" s="234">
        <v>411</v>
      </c>
      <c r="Q38" s="234">
        <v>67</v>
      </c>
      <c r="R38" s="233" t="s">
        <v>28</v>
      </c>
      <c r="S38" s="233" t="s">
        <v>28</v>
      </c>
      <c r="T38" s="233" t="s">
        <v>28</v>
      </c>
      <c r="U38" s="234">
        <v>3</v>
      </c>
      <c r="V38" s="233">
        <v>22</v>
      </c>
      <c r="W38" s="235">
        <v>3</v>
      </c>
    </row>
    <row r="39" spans="1:23" ht="11.25" customHeight="1">
      <c r="A39" s="1572" t="s">
        <v>136</v>
      </c>
      <c r="B39" s="219" t="s">
        <v>30</v>
      </c>
      <c r="C39" s="231">
        <v>18</v>
      </c>
      <c r="D39" s="231">
        <v>354</v>
      </c>
      <c r="E39" s="231">
        <v>179</v>
      </c>
      <c r="F39" s="231">
        <v>15</v>
      </c>
      <c r="G39" s="231">
        <v>332</v>
      </c>
      <c r="H39" s="231">
        <v>176</v>
      </c>
      <c r="I39" s="231">
        <v>5</v>
      </c>
      <c r="J39" s="231">
        <v>108</v>
      </c>
      <c r="K39" s="231">
        <v>52</v>
      </c>
      <c r="L39" s="220">
        <v>5</v>
      </c>
      <c r="M39" s="231">
        <v>102</v>
      </c>
      <c r="N39" s="231">
        <v>57</v>
      </c>
      <c r="O39" s="220">
        <v>5</v>
      </c>
      <c r="P39" s="220">
        <v>122</v>
      </c>
      <c r="Q39" s="220">
        <v>67</v>
      </c>
      <c r="R39" s="231" t="s">
        <v>28</v>
      </c>
      <c r="S39" s="231" t="s">
        <v>28</v>
      </c>
      <c r="T39" s="231" t="s">
        <v>28</v>
      </c>
      <c r="U39" s="220">
        <v>3</v>
      </c>
      <c r="V39" s="231">
        <v>22</v>
      </c>
      <c r="W39" s="221">
        <v>3</v>
      </c>
    </row>
    <row r="40" spans="1:23" ht="11.25" customHeight="1">
      <c r="A40" s="1572" t="s">
        <v>137</v>
      </c>
      <c r="B40" s="219" t="s">
        <v>32</v>
      </c>
      <c r="C40" s="231">
        <v>36</v>
      </c>
      <c r="D40" s="231">
        <v>887</v>
      </c>
      <c r="E40" s="231" t="s">
        <v>28</v>
      </c>
      <c r="F40" s="231">
        <v>36</v>
      </c>
      <c r="G40" s="231">
        <v>887</v>
      </c>
      <c r="H40" s="231" t="s">
        <v>28</v>
      </c>
      <c r="I40" s="231">
        <v>12</v>
      </c>
      <c r="J40" s="231">
        <v>302</v>
      </c>
      <c r="K40" s="231" t="s">
        <v>28</v>
      </c>
      <c r="L40" s="220">
        <v>12</v>
      </c>
      <c r="M40" s="231">
        <v>296</v>
      </c>
      <c r="N40" s="231" t="s">
        <v>28</v>
      </c>
      <c r="O40" s="220">
        <v>12</v>
      </c>
      <c r="P40" s="220">
        <v>289</v>
      </c>
      <c r="Q40" s="220" t="s">
        <v>28</v>
      </c>
      <c r="R40" s="231" t="s">
        <v>28</v>
      </c>
      <c r="S40" s="231" t="s">
        <v>28</v>
      </c>
      <c r="T40" s="231" t="s">
        <v>28</v>
      </c>
      <c r="U40" s="220" t="s">
        <v>28</v>
      </c>
      <c r="V40" s="231" t="s">
        <v>28</v>
      </c>
      <c r="W40" s="221" t="s">
        <v>28</v>
      </c>
    </row>
    <row r="41" spans="1:23" ht="11.25" customHeight="1">
      <c r="A41" s="1574" t="s">
        <v>963</v>
      </c>
      <c r="B41" s="232" t="s">
        <v>1118</v>
      </c>
      <c r="C41" s="233">
        <v>300</v>
      </c>
      <c r="D41" s="233">
        <v>7883</v>
      </c>
      <c r="E41" s="233">
        <v>4293</v>
      </c>
      <c r="F41" s="233">
        <v>279</v>
      </c>
      <c r="G41" s="233">
        <v>7754</v>
      </c>
      <c r="H41" s="233">
        <v>4248</v>
      </c>
      <c r="I41" s="233">
        <v>96</v>
      </c>
      <c r="J41" s="233">
        <v>2649</v>
      </c>
      <c r="K41" s="233">
        <v>1467</v>
      </c>
      <c r="L41" s="234">
        <v>92</v>
      </c>
      <c r="M41" s="233">
        <v>2592</v>
      </c>
      <c r="N41" s="233">
        <v>1407</v>
      </c>
      <c r="O41" s="234">
        <v>91</v>
      </c>
      <c r="P41" s="234">
        <v>2513</v>
      </c>
      <c r="Q41" s="234">
        <v>1374</v>
      </c>
      <c r="R41" s="233" t="s">
        <v>28</v>
      </c>
      <c r="S41" s="233" t="s">
        <v>28</v>
      </c>
      <c r="T41" s="233" t="s">
        <v>28</v>
      </c>
      <c r="U41" s="234">
        <v>21</v>
      </c>
      <c r="V41" s="235">
        <v>129</v>
      </c>
      <c r="W41" s="235">
        <v>45</v>
      </c>
    </row>
    <row r="42" spans="1:23" ht="11.25" customHeight="1">
      <c r="A42" s="1572" t="s">
        <v>136</v>
      </c>
      <c r="B42" s="219" t="s">
        <v>30</v>
      </c>
      <c r="C42" s="231">
        <v>273</v>
      </c>
      <c r="D42" s="231">
        <v>7101</v>
      </c>
      <c r="E42" s="231">
        <v>4293</v>
      </c>
      <c r="F42" s="231">
        <v>252</v>
      </c>
      <c r="G42" s="231">
        <v>6972</v>
      </c>
      <c r="H42" s="231">
        <v>4248</v>
      </c>
      <c r="I42" s="231">
        <v>87</v>
      </c>
      <c r="J42" s="231">
        <v>2393</v>
      </c>
      <c r="K42" s="231">
        <v>1467</v>
      </c>
      <c r="L42" s="220">
        <v>83</v>
      </c>
      <c r="M42" s="231">
        <v>2332</v>
      </c>
      <c r="N42" s="231">
        <v>1407</v>
      </c>
      <c r="O42" s="220">
        <v>82</v>
      </c>
      <c r="P42" s="220">
        <v>2247</v>
      </c>
      <c r="Q42" s="220">
        <v>1374</v>
      </c>
      <c r="R42" s="231" t="s">
        <v>28</v>
      </c>
      <c r="S42" s="231" t="s">
        <v>28</v>
      </c>
      <c r="T42" s="231" t="s">
        <v>28</v>
      </c>
      <c r="U42" s="220">
        <v>21</v>
      </c>
      <c r="V42" s="221">
        <v>129</v>
      </c>
      <c r="W42" s="221">
        <v>45</v>
      </c>
    </row>
    <row r="43" spans="1:23" ht="11.25" customHeight="1">
      <c r="A43" s="1572" t="s">
        <v>137</v>
      </c>
      <c r="B43" s="219" t="s">
        <v>32</v>
      </c>
      <c r="C43" s="231">
        <v>27</v>
      </c>
      <c r="D43" s="231">
        <v>782</v>
      </c>
      <c r="E43" s="231" t="s">
        <v>28</v>
      </c>
      <c r="F43" s="231">
        <v>27</v>
      </c>
      <c r="G43" s="231">
        <v>782</v>
      </c>
      <c r="H43" s="231" t="s">
        <v>28</v>
      </c>
      <c r="I43" s="231">
        <v>9</v>
      </c>
      <c r="J43" s="231">
        <v>256</v>
      </c>
      <c r="K43" s="231" t="s">
        <v>28</v>
      </c>
      <c r="L43" s="220">
        <v>9</v>
      </c>
      <c r="M43" s="231">
        <v>260</v>
      </c>
      <c r="N43" s="231" t="s">
        <v>28</v>
      </c>
      <c r="O43" s="220">
        <v>9</v>
      </c>
      <c r="P43" s="220">
        <v>266</v>
      </c>
      <c r="Q43" s="220" t="s">
        <v>28</v>
      </c>
      <c r="R43" s="231" t="s">
        <v>28</v>
      </c>
      <c r="S43" s="231" t="s">
        <v>28</v>
      </c>
      <c r="T43" s="231" t="s">
        <v>28</v>
      </c>
      <c r="U43" s="220" t="s">
        <v>28</v>
      </c>
      <c r="V43" s="221" t="s">
        <v>28</v>
      </c>
      <c r="W43" s="221" t="s">
        <v>28</v>
      </c>
    </row>
    <row r="44" spans="1:23" ht="11.25" customHeight="1">
      <c r="A44" s="1574" t="s">
        <v>51</v>
      </c>
      <c r="B44" s="232" t="s">
        <v>1119</v>
      </c>
      <c r="C44" s="233">
        <v>502</v>
      </c>
      <c r="D44" s="233">
        <v>14407</v>
      </c>
      <c r="E44" s="233">
        <v>7110</v>
      </c>
      <c r="F44" s="233">
        <v>473</v>
      </c>
      <c r="G44" s="233">
        <v>14176</v>
      </c>
      <c r="H44" s="233">
        <v>7019</v>
      </c>
      <c r="I44" s="233">
        <v>157</v>
      </c>
      <c r="J44" s="233">
        <v>4855</v>
      </c>
      <c r="K44" s="233">
        <v>2402</v>
      </c>
      <c r="L44" s="234">
        <v>160</v>
      </c>
      <c r="M44" s="233">
        <v>4729</v>
      </c>
      <c r="N44" s="233">
        <v>2347</v>
      </c>
      <c r="O44" s="234">
        <v>156</v>
      </c>
      <c r="P44" s="234">
        <v>4592</v>
      </c>
      <c r="Q44" s="234">
        <v>2270</v>
      </c>
      <c r="R44" s="233">
        <v>7</v>
      </c>
      <c r="S44" s="233">
        <v>110</v>
      </c>
      <c r="T44" s="233">
        <v>47</v>
      </c>
      <c r="U44" s="234">
        <v>22</v>
      </c>
      <c r="V44" s="233">
        <v>121</v>
      </c>
      <c r="W44" s="235">
        <v>44</v>
      </c>
    </row>
    <row r="45" spans="1:23" ht="11.25" customHeight="1">
      <c r="A45" s="1572" t="s">
        <v>136</v>
      </c>
      <c r="B45" s="219" t="s">
        <v>30</v>
      </c>
      <c r="C45" s="231">
        <v>477</v>
      </c>
      <c r="D45" s="231">
        <v>13678</v>
      </c>
      <c r="E45" s="231">
        <v>6772</v>
      </c>
      <c r="F45" s="231">
        <v>449</v>
      </c>
      <c r="G45" s="231">
        <v>13453</v>
      </c>
      <c r="H45" s="231">
        <v>6686</v>
      </c>
      <c r="I45" s="231">
        <v>149</v>
      </c>
      <c r="J45" s="231">
        <v>4581</v>
      </c>
      <c r="K45" s="231">
        <v>2272</v>
      </c>
      <c r="L45" s="220">
        <v>152</v>
      </c>
      <c r="M45" s="231">
        <v>4503</v>
      </c>
      <c r="N45" s="231">
        <v>2234</v>
      </c>
      <c r="O45" s="220">
        <v>148</v>
      </c>
      <c r="P45" s="220">
        <v>4369</v>
      </c>
      <c r="Q45" s="220">
        <v>2180</v>
      </c>
      <c r="R45" s="231">
        <v>7</v>
      </c>
      <c r="S45" s="231">
        <v>110</v>
      </c>
      <c r="T45" s="231">
        <v>47</v>
      </c>
      <c r="U45" s="220">
        <v>21</v>
      </c>
      <c r="V45" s="231">
        <v>115</v>
      </c>
      <c r="W45" s="221">
        <v>39</v>
      </c>
    </row>
    <row r="46" spans="1:23" ht="11.25" customHeight="1">
      <c r="A46" s="1572" t="s">
        <v>137</v>
      </c>
      <c r="B46" s="219" t="s">
        <v>32</v>
      </c>
      <c r="C46" s="231">
        <v>25</v>
      </c>
      <c r="D46" s="231">
        <v>729</v>
      </c>
      <c r="E46" s="231">
        <v>338</v>
      </c>
      <c r="F46" s="231">
        <v>24</v>
      </c>
      <c r="G46" s="231">
        <v>723</v>
      </c>
      <c r="H46" s="231">
        <v>333</v>
      </c>
      <c r="I46" s="231">
        <v>8</v>
      </c>
      <c r="J46" s="231">
        <v>274</v>
      </c>
      <c r="K46" s="231">
        <v>130</v>
      </c>
      <c r="L46" s="220">
        <v>8</v>
      </c>
      <c r="M46" s="231">
        <v>226</v>
      </c>
      <c r="N46" s="231">
        <v>113</v>
      </c>
      <c r="O46" s="220">
        <v>8</v>
      </c>
      <c r="P46" s="220">
        <v>223</v>
      </c>
      <c r="Q46" s="220">
        <v>90</v>
      </c>
      <c r="R46" s="231" t="s">
        <v>28</v>
      </c>
      <c r="S46" s="231" t="s">
        <v>28</v>
      </c>
      <c r="T46" s="231" t="s">
        <v>28</v>
      </c>
      <c r="U46" s="220">
        <v>1</v>
      </c>
      <c r="V46" s="231">
        <v>6</v>
      </c>
      <c r="W46" s="221">
        <v>5</v>
      </c>
    </row>
    <row r="47" spans="1:23" ht="11.25" customHeight="1">
      <c r="A47" s="1574" t="s">
        <v>53</v>
      </c>
      <c r="B47" s="232" t="s">
        <v>1120</v>
      </c>
      <c r="C47" s="233">
        <v>524</v>
      </c>
      <c r="D47" s="233">
        <v>14166</v>
      </c>
      <c r="E47" s="233">
        <v>6782</v>
      </c>
      <c r="F47" s="233">
        <v>494</v>
      </c>
      <c r="G47" s="233">
        <v>13976</v>
      </c>
      <c r="H47" s="233">
        <v>6733</v>
      </c>
      <c r="I47" s="233">
        <v>166</v>
      </c>
      <c r="J47" s="233">
        <v>4759</v>
      </c>
      <c r="K47" s="233">
        <v>2299</v>
      </c>
      <c r="L47" s="234">
        <v>162</v>
      </c>
      <c r="M47" s="233">
        <v>4621</v>
      </c>
      <c r="N47" s="233">
        <v>2238</v>
      </c>
      <c r="O47" s="234">
        <v>166</v>
      </c>
      <c r="P47" s="234">
        <v>4596</v>
      </c>
      <c r="Q47" s="234">
        <v>2196</v>
      </c>
      <c r="R47" s="233" t="s">
        <v>28</v>
      </c>
      <c r="S47" s="233" t="s">
        <v>28</v>
      </c>
      <c r="T47" s="233" t="s">
        <v>28</v>
      </c>
      <c r="U47" s="234">
        <v>30</v>
      </c>
      <c r="V47" s="233">
        <v>190</v>
      </c>
      <c r="W47" s="235">
        <v>49</v>
      </c>
    </row>
    <row r="48" spans="1:23" ht="11.25" customHeight="1">
      <c r="A48" s="1572" t="s">
        <v>136</v>
      </c>
      <c r="B48" s="219" t="s">
        <v>30</v>
      </c>
      <c r="C48" s="231">
        <v>512</v>
      </c>
      <c r="D48" s="231">
        <v>13812</v>
      </c>
      <c r="E48" s="231">
        <v>6428</v>
      </c>
      <c r="F48" s="231">
        <v>482</v>
      </c>
      <c r="G48" s="231">
        <v>13622</v>
      </c>
      <c r="H48" s="231">
        <v>6379</v>
      </c>
      <c r="I48" s="231">
        <v>162</v>
      </c>
      <c r="J48" s="231">
        <v>4633</v>
      </c>
      <c r="K48" s="231">
        <v>2173</v>
      </c>
      <c r="L48" s="220">
        <v>158</v>
      </c>
      <c r="M48" s="231">
        <v>4502</v>
      </c>
      <c r="N48" s="231">
        <v>2119</v>
      </c>
      <c r="O48" s="220">
        <v>162</v>
      </c>
      <c r="P48" s="220">
        <v>4487</v>
      </c>
      <c r="Q48" s="220">
        <v>2087</v>
      </c>
      <c r="R48" s="231" t="s">
        <v>28</v>
      </c>
      <c r="S48" s="231" t="s">
        <v>28</v>
      </c>
      <c r="T48" s="231" t="s">
        <v>28</v>
      </c>
      <c r="U48" s="220">
        <v>30</v>
      </c>
      <c r="V48" s="231">
        <v>190</v>
      </c>
      <c r="W48" s="221">
        <v>49</v>
      </c>
    </row>
    <row r="49" spans="1:23" ht="11.25" customHeight="1">
      <c r="A49" s="1572" t="s">
        <v>137</v>
      </c>
      <c r="B49" s="219" t="s">
        <v>32</v>
      </c>
      <c r="C49" s="231">
        <v>12</v>
      </c>
      <c r="D49" s="231">
        <v>354</v>
      </c>
      <c r="E49" s="231">
        <v>354</v>
      </c>
      <c r="F49" s="231">
        <v>12</v>
      </c>
      <c r="G49" s="231">
        <v>354</v>
      </c>
      <c r="H49" s="231">
        <v>354</v>
      </c>
      <c r="I49" s="231">
        <v>4</v>
      </c>
      <c r="J49" s="231">
        <v>126</v>
      </c>
      <c r="K49" s="231">
        <v>126</v>
      </c>
      <c r="L49" s="220">
        <v>4</v>
      </c>
      <c r="M49" s="231">
        <v>119</v>
      </c>
      <c r="N49" s="231">
        <v>119</v>
      </c>
      <c r="O49" s="220">
        <v>4</v>
      </c>
      <c r="P49" s="220">
        <v>109</v>
      </c>
      <c r="Q49" s="220">
        <v>109</v>
      </c>
      <c r="R49" s="231" t="s">
        <v>28</v>
      </c>
      <c r="S49" s="231" t="s">
        <v>28</v>
      </c>
      <c r="T49" s="231" t="s">
        <v>28</v>
      </c>
      <c r="U49" s="220" t="s">
        <v>28</v>
      </c>
      <c r="V49" s="231" t="s">
        <v>28</v>
      </c>
      <c r="W49" s="221" t="s">
        <v>28</v>
      </c>
    </row>
    <row r="50" spans="1:23" ht="11.25" customHeight="1">
      <c r="A50" s="1574" t="s">
        <v>55</v>
      </c>
      <c r="B50" s="232" t="s">
        <v>1121</v>
      </c>
      <c r="C50" s="233">
        <v>459</v>
      </c>
      <c r="D50" s="233">
        <v>11517</v>
      </c>
      <c r="E50" s="233">
        <v>5511</v>
      </c>
      <c r="F50" s="233">
        <v>432</v>
      </c>
      <c r="G50" s="233">
        <v>11377</v>
      </c>
      <c r="H50" s="233">
        <v>5462</v>
      </c>
      <c r="I50" s="233">
        <v>145</v>
      </c>
      <c r="J50" s="233">
        <v>3826</v>
      </c>
      <c r="K50" s="233">
        <v>1862</v>
      </c>
      <c r="L50" s="234">
        <v>142</v>
      </c>
      <c r="M50" s="233">
        <v>3813</v>
      </c>
      <c r="N50" s="233">
        <v>1777</v>
      </c>
      <c r="O50" s="234">
        <v>145</v>
      </c>
      <c r="P50" s="234">
        <v>3738</v>
      </c>
      <c r="Q50" s="234">
        <v>1823</v>
      </c>
      <c r="R50" s="233" t="s">
        <v>28</v>
      </c>
      <c r="S50" s="233" t="s">
        <v>28</v>
      </c>
      <c r="T50" s="233" t="s">
        <v>28</v>
      </c>
      <c r="U50" s="234">
        <v>27</v>
      </c>
      <c r="V50" s="233">
        <v>140</v>
      </c>
      <c r="W50" s="235">
        <v>49</v>
      </c>
    </row>
    <row r="51" spans="1:23" ht="11.25" customHeight="1">
      <c r="A51" s="1572" t="s">
        <v>136</v>
      </c>
      <c r="B51" s="219" t="s">
        <v>30</v>
      </c>
      <c r="C51" s="231">
        <v>459</v>
      </c>
      <c r="D51" s="231">
        <v>11517</v>
      </c>
      <c r="E51" s="231">
        <v>5511</v>
      </c>
      <c r="F51" s="231">
        <v>432</v>
      </c>
      <c r="G51" s="231">
        <v>11377</v>
      </c>
      <c r="H51" s="231">
        <v>5462</v>
      </c>
      <c r="I51" s="231">
        <v>145</v>
      </c>
      <c r="J51" s="231">
        <v>3826</v>
      </c>
      <c r="K51" s="231">
        <v>1862</v>
      </c>
      <c r="L51" s="220">
        <v>142</v>
      </c>
      <c r="M51" s="231">
        <v>3813</v>
      </c>
      <c r="N51" s="231">
        <v>1777</v>
      </c>
      <c r="O51" s="220">
        <v>145</v>
      </c>
      <c r="P51" s="220">
        <v>3738</v>
      </c>
      <c r="Q51" s="220">
        <v>1823</v>
      </c>
      <c r="R51" s="231" t="s">
        <v>28</v>
      </c>
      <c r="S51" s="231" t="s">
        <v>28</v>
      </c>
      <c r="T51" s="231" t="s">
        <v>28</v>
      </c>
      <c r="U51" s="220">
        <v>27</v>
      </c>
      <c r="V51" s="231">
        <v>140</v>
      </c>
      <c r="W51" s="221">
        <v>49</v>
      </c>
    </row>
    <row r="52" spans="1:23" ht="11.25" customHeight="1">
      <c r="A52" s="1572" t="s">
        <v>137</v>
      </c>
      <c r="B52" s="219" t="s">
        <v>32</v>
      </c>
      <c r="C52" s="231" t="s">
        <v>28</v>
      </c>
      <c r="D52" s="231" t="s">
        <v>28</v>
      </c>
      <c r="E52" s="231" t="s">
        <v>28</v>
      </c>
      <c r="F52" s="231" t="s">
        <v>28</v>
      </c>
      <c r="G52" s="231" t="s">
        <v>28</v>
      </c>
      <c r="H52" s="231" t="s">
        <v>28</v>
      </c>
      <c r="I52" s="231" t="s">
        <v>28</v>
      </c>
      <c r="J52" s="231" t="s">
        <v>28</v>
      </c>
      <c r="K52" s="231" t="s">
        <v>28</v>
      </c>
      <c r="L52" s="220" t="s">
        <v>28</v>
      </c>
      <c r="M52" s="231" t="s">
        <v>28</v>
      </c>
      <c r="N52" s="231" t="s">
        <v>28</v>
      </c>
      <c r="O52" s="220" t="s">
        <v>28</v>
      </c>
      <c r="P52" s="220" t="s">
        <v>28</v>
      </c>
      <c r="Q52" s="220" t="s">
        <v>28</v>
      </c>
      <c r="R52" s="231" t="s">
        <v>28</v>
      </c>
      <c r="S52" s="231" t="s">
        <v>28</v>
      </c>
      <c r="T52" s="231" t="s">
        <v>28</v>
      </c>
      <c r="U52" s="220" t="s">
        <v>28</v>
      </c>
      <c r="V52" s="231" t="s">
        <v>28</v>
      </c>
      <c r="W52" s="221" t="s">
        <v>28</v>
      </c>
    </row>
    <row r="53" spans="1:23" ht="11.25" customHeight="1">
      <c r="A53" s="1574" t="s">
        <v>57</v>
      </c>
      <c r="B53" s="232" t="s">
        <v>1122</v>
      </c>
      <c r="C53" s="233">
        <v>267</v>
      </c>
      <c r="D53" s="233">
        <v>6201</v>
      </c>
      <c r="E53" s="233">
        <v>3110</v>
      </c>
      <c r="F53" s="233">
        <v>248</v>
      </c>
      <c r="G53" s="233">
        <v>6107</v>
      </c>
      <c r="H53" s="233">
        <v>3085</v>
      </c>
      <c r="I53" s="233">
        <v>81</v>
      </c>
      <c r="J53" s="233">
        <v>1965</v>
      </c>
      <c r="K53" s="233">
        <v>982</v>
      </c>
      <c r="L53" s="234">
        <v>82</v>
      </c>
      <c r="M53" s="233">
        <v>2020</v>
      </c>
      <c r="N53" s="233">
        <v>1031</v>
      </c>
      <c r="O53" s="234">
        <v>85</v>
      </c>
      <c r="P53" s="234">
        <v>2122</v>
      </c>
      <c r="Q53" s="234">
        <v>1072</v>
      </c>
      <c r="R53" s="233" t="s">
        <v>28</v>
      </c>
      <c r="S53" s="233" t="s">
        <v>28</v>
      </c>
      <c r="T53" s="233" t="s">
        <v>28</v>
      </c>
      <c r="U53" s="234">
        <v>19</v>
      </c>
      <c r="V53" s="233">
        <v>94</v>
      </c>
      <c r="W53" s="235">
        <v>25</v>
      </c>
    </row>
    <row r="54" spans="1:23" ht="11.25" customHeight="1">
      <c r="A54" s="1572" t="s">
        <v>136</v>
      </c>
      <c r="B54" s="219" t="s">
        <v>30</v>
      </c>
      <c r="C54" s="231">
        <v>267</v>
      </c>
      <c r="D54" s="231">
        <v>6201</v>
      </c>
      <c r="E54" s="231">
        <v>3110</v>
      </c>
      <c r="F54" s="231">
        <v>248</v>
      </c>
      <c r="G54" s="231">
        <v>6107</v>
      </c>
      <c r="H54" s="231">
        <v>3085</v>
      </c>
      <c r="I54" s="231">
        <v>81</v>
      </c>
      <c r="J54" s="231">
        <v>1965</v>
      </c>
      <c r="K54" s="231">
        <v>982</v>
      </c>
      <c r="L54" s="220">
        <v>82</v>
      </c>
      <c r="M54" s="231">
        <v>2020</v>
      </c>
      <c r="N54" s="231">
        <v>1031</v>
      </c>
      <c r="O54" s="220">
        <v>85</v>
      </c>
      <c r="P54" s="220">
        <v>2122</v>
      </c>
      <c r="Q54" s="220">
        <v>1072</v>
      </c>
      <c r="R54" s="231" t="s">
        <v>28</v>
      </c>
      <c r="S54" s="231" t="s">
        <v>28</v>
      </c>
      <c r="T54" s="231" t="s">
        <v>28</v>
      </c>
      <c r="U54" s="220">
        <v>19</v>
      </c>
      <c r="V54" s="231">
        <v>94</v>
      </c>
      <c r="W54" s="221">
        <v>25</v>
      </c>
    </row>
    <row r="55" spans="1:23" ht="11.25" customHeight="1">
      <c r="A55" s="1572" t="s">
        <v>137</v>
      </c>
      <c r="B55" s="219" t="s">
        <v>32</v>
      </c>
      <c r="C55" s="231" t="s">
        <v>28</v>
      </c>
      <c r="D55" s="231" t="s">
        <v>28</v>
      </c>
      <c r="E55" s="231" t="s">
        <v>28</v>
      </c>
      <c r="F55" s="231" t="s">
        <v>28</v>
      </c>
      <c r="G55" s="231" t="s">
        <v>28</v>
      </c>
      <c r="H55" s="231" t="s">
        <v>28</v>
      </c>
      <c r="I55" s="231" t="s">
        <v>28</v>
      </c>
      <c r="J55" s="231" t="s">
        <v>28</v>
      </c>
      <c r="K55" s="231" t="s">
        <v>28</v>
      </c>
      <c r="L55" s="220" t="s">
        <v>28</v>
      </c>
      <c r="M55" s="231" t="s">
        <v>28</v>
      </c>
      <c r="N55" s="231" t="s">
        <v>28</v>
      </c>
      <c r="O55" s="220" t="s">
        <v>28</v>
      </c>
      <c r="P55" s="220" t="s">
        <v>28</v>
      </c>
      <c r="Q55" s="220" t="s">
        <v>28</v>
      </c>
      <c r="R55" s="231" t="s">
        <v>28</v>
      </c>
      <c r="S55" s="231" t="s">
        <v>28</v>
      </c>
      <c r="T55" s="231" t="s">
        <v>28</v>
      </c>
      <c r="U55" s="220" t="s">
        <v>28</v>
      </c>
      <c r="V55" s="231" t="s">
        <v>28</v>
      </c>
      <c r="W55" s="221" t="s">
        <v>28</v>
      </c>
    </row>
    <row r="56" spans="1:23" ht="11.25" customHeight="1">
      <c r="A56" s="1574" t="s">
        <v>59</v>
      </c>
      <c r="B56" s="232" t="s">
        <v>1123</v>
      </c>
      <c r="C56" s="233">
        <v>716</v>
      </c>
      <c r="D56" s="233">
        <v>19902</v>
      </c>
      <c r="E56" s="233">
        <v>9681</v>
      </c>
      <c r="F56" s="233">
        <v>683</v>
      </c>
      <c r="G56" s="233">
        <v>19702</v>
      </c>
      <c r="H56" s="233">
        <v>9618</v>
      </c>
      <c r="I56" s="233">
        <v>233</v>
      </c>
      <c r="J56" s="233">
        <v>6793</v>
      </c>
      <c r="K56" s="233">
        <v>3265</v>
      </c>
      <c r="L56" s="234">
        <v>231</v>
      </c>
      <c r="M56" s="233">
        <v>6656</v>
      </c>
      <c r="N56" s="233">
        <v>3308</v>
      </c>
      <c r="O56" s="234">
        <v>219</v>
      </c>
      <c r="P56" s="234">
        <v>6253</v>
      </c>
      <c r="Q56" s="234">
        <v>3045</v>
      </c>
      <c r="R56" s="233" t="s">
        <v>28</v>
      </c>
      <c r="S56" s="233" t="s">
        <v>28</v>
      </c>
      <c r="T56" s="233" t="s">
        <v>28</v>
      </c>
      <c r="U56" s="234">
        <v>33</v>
      </c>
      <c r="V56" s="233">
        <v>200</v>
      </c>
      <c r="W56" s="235">
        <v>63</v>
      </c>
    </row>
    <row r="57" spans="1:23" ht="11.25" customHeight="1">
      <c r="A57" s="1572" t="s">
        <v>136</v>
      </c>
      <c r="B57" s="219" t="s">
        <v>30</v>
      </c>
      <c r="C57" s="231">
        <v>716</v>
      </c>
      <c r="D57" s="231">
        <v>19902</v>
      </c>
      <c r="E57" s="231">
        <v>9681</v>
      </c>
      <c r="F57" s="231">
        <v>683</v>
      </c>
      <c r="G57" s="231">
        <v>19702</v>
      </c>
      <c r="H57" s="231">
        <v>9618</v>
      </c>
      <c r="I57" s="231">
        <v>233</v>
      </c>
      <c r="J57" s="231">
        <v>6793</v>
      </c>
      <c r="K57" s="231">
        <v>3265</v>
      </c>
      <c r="L57" s="220">
        <v>231</v>
      </c>
      <c r="M57" s="231">
        <v>6656</v>
      </c>
      <c r="N57" s="231">
        <v>3308</v>
      </c>
      <c r="O57" s="220">
        <v>219</v>
      </c>
      <c r="P57" s="220">
        <v>6253</v>
      </c>
      <c r="Q57" s="220">
        <v>3045</v>
      </c>
      <c r="R57" s="231" t="s">
        <v>28</v>
      </c>
      <c r="S57" s="231" t="s">
        <v>28</v>
      </c>
      <c r="T57" s="231" t="s">
        <v>28</v>
      </c>
      <c r="U57" s="220">
        <v>33</v>
      </c>
      <c r="V57" s="231">
        <v>200</v>
      </c>
      <c r="W57" s="221">
        <v>63</v>
      </c>
    </row>
    <row r="58" spans="1:23" ht="11.25" customHeight="1">
      <c r="A58" s="1572" t="s">
        <v>137</v>
      </c>
      <c r="B58" s="219" t="s">
        <v>32</v>
      </c>
      <c r="C58" s="231" t="s">
        <v>28</v>
      </c>
      <c r="D58" s="231" t="s">
        <v>28</v>
      </c>
      <c r="E58" s="231" t="s">
        <v>28</v>
      </c>
      <c r="F58" s="231" t="s">
        <v>28</v>
      </c>
      <c r="G58" s="231" t="s">
        <v>28</v>
      </c>
      <c r="H58" s="231" t="s">
        <v>28</v>
      </c>
      <c r="I58" s="231" t="s">
        <v>28</v>
      </c>
      <c r="J58" s="231" t="s">
        <v>28</v>
      </c>
      <c r="K58" s="231" t="s">
        <v>28</v>
      </c>
      <c r="L58" s="220" t="s">
        <v>28</v>
      </c>
      <c r="M58" s="231" t="s">
        <v>28</v>
      </c>
      <c r="N58" s="231" t="s">
        <v>28</v>
      </c>
      <c r="O58" s="220" t="s">
        <v>28</v>
      </c>
      <c r="P58" s="220" t="s">
        <v>28</v>
      </c>
      <c r="Q58" s="220" t="s">
        <v>28</v>
      </c>
      <c r="R58" s="231" t="s">
        <v>28</v>
      </c>
      <c r="S58" s="231" t="s">
        <v>28</v>
      </c>
      <c r="T58" s="231" t="s">
        <v>28</v>
      </c>
      <c r="U58" s="220" t="s">
        <v>28</v>
      </c>
      <c r="V58" s="231" t="s">
        <v>28</v>
      </c>
      <c r="W58" s="221" t="s">
        <v>28</v>
      </c>
    </row>
    <row r="59" spans="1:23" ht="11.25" customHeight="1">
      <c r="A59" s="1574" t="s">
        <v>61</v>
      </c>
      <c r="B59" s="232" t="s">
        <v>1124</v>
      </c>
      <c r="C59" s="233">
        <v>68</v>
      </c>
      <c r="D59" s="233">
        <v>1290</v>
      </c>
      <c r="E59" s="233">
        <v>603</v>
      </c>
      <c r="F59" s="233">
        <v>59</v>
      </c>
      <c r="G59" s="233">
        <v>1260</v>
      </c>
      <c r="H59" s="233">
        <v>596</v>
      </c>
      <c r="I59" s="233">
        <v>20</v>
      </c>
      <c r="J59" s="233">
        <v>422</v>
      </c>
      <c r="K59" s="233">
        <v>195</v>
      </c>
      <c r="L59" s="234">
        <v>20</v>
      </c>
      <c r="M59" s="233">
        <v>411</v>
      </c>
      <c r="N59" s="233">
        <v>190</v>
      </c>
      <c r="O59" s="234">
        <v>19</v>
      </c>
      <c r="P59" s="234">
        <v>427</v>
      </c>
      <c r="Q59" s="234">
        <v>211</v>
      </c>
      <c r="R59" s="233" t="s">
        <v>28</v>
      </c>
      <c r="S59" s="233" t="s">
        <v>28</v>
      </c>
      <c r="T59" s="233" t="s">
        <v>28</v>
      </c>
      <c r="U59" s="234">
        <v>9</v>
      </c>
      <c r="V59" s="233">
        <v>30</v>
      </c>
      <c r="W59" s="235">
        <v>7</v>
      </c>
    </row>
    <row r="60" spans="1:23" ht="11.25" customHeight="1">
      <c r="A60" s="1572" t="s">
        <v>136</v>
      </c>
      <c r="B60" s="219" t="s">
        <v>30</v>
      </c>
      <c r="C60" s="231">
        <v>62</v>
      </c>
      <c r="D60" s="231">
        <v>1150</v>
      </c>
      <c r="E60" s="231">
        <v>561</v>
      </c>
      <c r="F60" s="231">
        <v>53</v>
      </c>
      <c r="G60" s="231">
        <v>1120</v>
      </c>
      <c r="H60" s="231">
        <v>554</v>
      </c>
      <c r="I60" s="231">
        <v>18</v>
      </c>
      <c r="J60" s="231">
        <v>374</v>
      </c>
      <c r="K60" s="231">
        <v>183</v>
      </c>
      <c r="L60" s="220">
        <v>18</v>
      </c>
      <c r="M60" s="231">
        <v>365</v>
      </c>
      <c r="N60" s="231">
        <v>178</v>
      </c>
      <c r="O60" s="220">
        <v>17</v>
      </c>
      <c r="P60" s="220">
        <v>381</v>
      </c>
      <c r="Q60" s="220">
        <v>193</v>
      </c>
      <c r="R60" s="231" t="s">
        <v>28</v>
      </c>
      <c r="S60" s="231" t="s">
        <v>28</v>
      </c>
      <c r="T60" s="231" t="s">
        <v>28</v>
      </c>
      <c r="U60" s="220">
        <v>9</v>
      </c>
      <c r="V60" s="231">
        <v>30</v>
      </c>
      <c r="W60" s="221">
        <v>7</v>
      </c>
    </row>
    <row r="61" spans="1:23" ht="11.25" customHeight="1">
      <c r="A61" s="1572" t="s">
        <v>137</v>
      </c>
      <c r="B61" s="219" t="s">
        <v>32</v>
      </c>
      <c r="C61" s="231">
        <v>6</v>
      </c>
      <c r="D61" s="231">
        <v>140</v>
      </c>
      <c r="E61" s="231">
        <v>42</v>
      </c>
      <c r="F61" s="231">
        <v>6</v>
      </c>
      <c r="G61" s="231">
        <v>140</v>
      </c>
      <c r="H61" s="231">
        <v>42</v>
      </c>
      <c r="I61" s="231">
        <v>2</v>
      </c>
      <c r="J61" s="231">
        <v>48</v>
      </c>
      <c r="K61" s="231">
        <v>12</v>
      </c>
      <c r="L61" s="220">
        <v>2</v>
      </c>
      <c r="M61" s="231">
        <v>46</v>
      </c>
      <c r="N61" s="231">
        <v>12</v>
      </c>
      <c r="O61" s="220">
        <v>2</v>
      </c>
      <c r="P61" s="220">
        <v>46</v>
      </c>
      <c r="Q61" s="220">
        <v>18</v>
      </c>
      <c r="R61" s="231" t="s">
        <v>28</v>
      </c>
      <c r="S61" s="231" t="s">
        <v>28</v>
      </c>
      <c r="T61" s="231" t="s">
        <v>28</v>
      </c>
      <c r="U61" s="220" t="s">
        <v>28</v>
      </c>
      <c r="V61" s="231" t="s">
        <v>28</v>
      </c>
      <c r="W61" s="221" t="s">
        <v>28</v>
      </c>
    </row>
    <row r="62" spans="1:23" ht="11.25" customHeight="1">
      <c r="A62" s="1574" t="s">
        <v>63</v>
      </c>
      <c r="B62" s="232" t="s">
        <v>64</v>
      </c>
      <c r="C62" s="233">
        <v>23</v>
      </c>
      <c r="D62" s="233">
        <v>220</v>
      </c>
      <c r="E62" s="233">
        <v>111</v>
      </c>
      <c r="F62" s="233">
        <v>21</v>
      </c>
      <c r="G62" s="233">
        <v>216</v>
      </c>
      <c r="H62" s="233">
        <v>110</v>
      </c>
      <c r="I62" s="233">
        <v>7</v>
      </c>
      <c r="J62" s="233">
        <v>62</v>
      </c>
      <c r="K62" s="233">
        <v>34</v>
      </c>
      <c r="L62" s="234">
        <v>7</v>
      </c>
      <c r="M62" s="233">
        <v>76</v>
      </c>
      <c r="N62" s="233">
        <v>34</v>
      </c>
      <c r="O62" s="234">
        <v>7</v>
      </c>
      <c r="P62" s="234">
        <v>78</v>
      </c>
      <c r="Q62" s="234">
        <v>42</v>
      </c>
      <c r="R62" s="233" t="s">
        <v>28</v>
      </c>
      <c r="S62" s="233" t="s">
        <v>28</v>
      </c>
      <c r="T62" s="233" t="s">
        <v>28</v>
      </c>
      <c r="U62" s="234">
        <v>2</v>
      </c>
      <c r="V62" s="233">
        <v>4</v>
      </c>
      <c r="W62" s="235">
        <v>1</v>
      </c>
    </row>
    <row r="63" spans="1:23" ht="11.25" customHeight="1">
      <c r="A63" s="1572" t="s">
        <v>136</v>
      </c>
      <c r="B63" s="219" t="s">
        <v>30</v>
      </c>
      <c r="C63" s="231">
        <v>23</v>
      </c>
      <c r="D63" s="231">
        <v>220</v>
      </c>
      <c r="E63" s="231">
        <v>111</v>
      </c>
      <c r="F63" s="231">
        <v>21</v>
      </c>
      <c r="G63" s="231">
        <v>216</v>
      </c>
      <c r="H63" s="231">
        <v>110</v>
      </c>
      <c r="I63" s="231">
        <v>7</v>
      </c>
      <c r="J63" s="231">
        <v>62</v>
      </c>
      <c r="K63" s="231">
        <v>34</v>
      </c>
      <c r="L63" s="220">
        <v>7</v>
      </c>
      <c r="M63" s="231">
        <v>76</v>
      </c>
      <c r="N63" s="231">
        <v>34</v>
      </c>
      <c r="O63" s="220">
        <v>7</v>
      </c>
      <c r="P63" s="220">
        <v>78</v>
      </c>
      <c r="Q63" s="220">
        <v>42</v>
      </c>
      <c r="R63" s="231" t="s">
        <v>28</v>
      </c>
      <c r="S63" s="231" t="s">
        <v>28</v>
      </c>
      <c r="T63" s="231" t="s">
        <v>28</v>
      </c>
      <c r="U63" s="220">
        <v>2</v>
      </c>
      <c r="V63" s="231">
        <v>4</v>
      </c>
      <c r="W63" s="221">
        <v>1</v>
      </c>
    </row>
    <row r="64" spans="1:23" ht="11.25" customHeight="1" thickBot="1">
      <c r="A64" s="1575" t="s">
        <v>137</v>
      </c>
      <c r="B64" s="1576" t="s">
        <v>32</v>
      </c>
      <c r="C64" s="1577" t="s">
        <v>28</v>
      </c>
      <c r="D64" s="1577" t="s">
        <v>28</v>
      </c>
      <c r="E64" s="1577" t="s">
        <v>28</v>
      </c>
      <c r="F64" s="1577" t="s">
        <v>28</v>
      </c>
      <c r="G64" s="1577" t="s">
        <v>28</v>
      </c>
      <c r="H64" s="1577" t="s">
        <v>28</v>
      </c>
      <c r="I64" s="1577" t="s">
        <v>28</v>
      </c>
      <c r="J64" s="1577" t="s">
        <v>28</v>
      </c>
      <c r="K64" s="1577" t="s">
        <v>28</v>
      </c>
      <c r="L64" s="1578" t="s">
        <v>28</v>
      </c>
      <c r="M64" s="1577" t="s">
        <v>28</v>
      </c>
      <c r="N64" s="1577" t="s">
        <v>28</v>
      </c>
      <c r="O64" s="1578" t="s">
        <v>28</v>
      </c>
      <c r="P64" s="1578" t="s">
        <v>28</v>
      </c>
      <c r="Q64" s="1578" t="s">
        <v>28</v>
      </c>
      <c r="R64" s="1577" t="s">
        <v>28</v>
      </c>
      <c r="S64" s="1577" t="s">
        <v>28</v>
      </c>
      <c r="T64" s="1577" t="s">
        <v>28</v>
      </c>
      <c r="U64" s="1578" t="s">
        <v>28</v>
      </c>
      <c r="V64" s="1577" t="s">
        <v>28</v>
      </c>
      <c r="W64" s="1579" t="s">
        <v>28</v>
      </c>
    </row>
    <row r="65" spans="1:23">
      <c r="A65" s="1580" t="s">
        <v>1109</v>
      </c>
      <c r="B65" s="1580"/>
      <c r="C65" s="1580"/>
      <c r="D65" s="1580"/>
      <c r="E65" s="1580"/>
      <c r="F65" s="1580"/>
      <c r="G65" s="1580"/>
      <c r="H65" s="1580"/>
      <c r="I65" s="1580"/>
      <c r="J65" s="1580"/>
      <c r="K65" s="1580"/>
      <c r="L65" s="1580" t="s">
        <v>1110</v>
      </c>
      <c r="M65" s="1581"/>
      <c r="N65" s="1581"/>
      <c r="O65" s="1581"/>
      <c r="P65" s="1581"/>
      <c r="Q65" s="1581"/>
      <c r="R65" s="1581"/>
      <c r="S65" s="1581"/>
      <c r="T65" s="1581"/>
      <c r="U65" s="1581"/>
      <c r="V65" s="1581"/>
      <c r="W65" s="1581"/>
    </row>
    <row r="68" spans="1:23">
      <c r="B68" s="238"/>
    </row>
  </sheetData>
  <mergeCells count="68">
    <mergeCell ref="A2:K2"/>
    <mergeCell ref="L2:W2"/>
    <mergeCell ref="A3:K3"/>
    <mergeCell ref="L3:W3"/>
    <mergeCell ref="A4:K4"/>
    <mergeCell ref="L4:W4"/>
    <mergeCell ref="U8:W8"/>
    <mergeCell ref="A7:B7"/>
    <mergeCell ref="C7:E7"/>
    <mergeCell ref="F7:K7"/>
    <mergeCell ref="L7:Q7"/>
    <mergeCell ref="R7:T7"/>
    <mergeCell ref="U7:W7"/>
    <mergeCell ref="A8:B8"/>
    <mergeCell ref="C8:E8"/>
    <mergeCell ref="F8:K8"/>
    <mergeCell ref="L8:Q8"/>
    <mergeCell ref="R8:T8"/>
    <mergeCell ref="R9:T9"/>
    <mergeCell ref="U9:W9"/>
    <mergeCell ref="A10:B10"/>
    <mergeCell ref="C10:E10"/>
    <mergeCell ref="F10:H10"/>
    <mergeCell ref="I10:K10"/>
    <mergeCell ref="L10:N10"/>
    <mergeCell ref="O10:Q10"/>
    <mergeCell ref="R10:T10"/>
    <mergeCell ref="U10:W10"/>
    <mergeCell ref="A9:B9"/>
    <mergeCell ref="C9:E9"/>
    <mergeCell ref="F9:H9"/>
    <mergeCell ref="I9:K9"/>
    <mergeCell ref="L9:N9"/>
    <mergeCell ref="O9:Q9"/>
    <mergeCell ref="V12:W12"/>
    <mergeCell ref="A11:B11"/>
    <mergeCell ref="D11:E11"/>
    <mergeCell ref="G11:H11"/>
    <mergeCell ref="J11:K11"/>
    <mergeCell ref="M11:N11"/>
    <mergeCell ref="P11:Q11"/>
    <mergeCell ref="G12:H12"/>
    <mergeCell ref="J12:K12"/>
    <mergeCell ref="M12:N12"/>
    <mergeCell ref="P12:Q12"/>
    <mergeCell ref="S12:T12"/>
    <mergeCell ref="A5:B5"/>
    <mergeCell ref="A6:B6"/>
    <mergeCell ref="C5:E5"/>
    <mergeCell ref="C6:E6"/>
    <mergeCell ref="L65:W65"/>
    <mergeCell ref="A65:K65"/>
    <mergeCell ref="A13:B13"/>
    <mergeCell ref="A14:B14"/>
    <mergeCell ref="A18:K18"/>
    <mergeCell ref="L18:W18"/>
    <mergeCell ref="A34:K34"/>
    <mergeCell ref="L34:W34"/>
    <mergeCell ref="S11:T11"/>
    <mergeCell ref="V11:W11"/>
    <mergeCell ref="A12:B12"/>
    <mergeCell ref="D12:E12"/>
    <mergeCell ref="U5:W5"/>
    <mergeCell ref="U6:W6"/>
    <mergeCell ref="F5:K5"/>
    <mergeCell ref="L5:T5"/>
    <mergeCell ref="L6:T6"/>
    <mergeCell ref="F6:K6"/>
  </mergeCells>
  <phoneticPr fontId="18" type="noConversion"/>
  <hyperlinks>
    <hyperlink ref="A1" location="목록!A1" display="목록!A1" xr:uid="{42FE6E74-59B5-4402-8242-ADE5E3886685}"/>
  </hyperlinks>
  <printOptions horizontalCentered="1"/>
  <pageMargins left="0.59055118110236227" right="0.59055118110236227" top="0.78740157480314965" bottom="0.59055118110236227" header="0.62992125984251968" footer="0.39370078740157483"/>
  <pageSetup paperSize="9" scale="95" orientation="portrait" r:id="rId1"/>
  <colBreaks count="1" manualBreakCount="1">
    <brk id="11" min="1" max="64"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V79"/>
  <sheetViews>
    <sheetView showGridLines="0" showWhiteSpace="0" view="pageBreakPreview" zoomScaleNormal="100" zoomScaleSheetLayoutView="100" workbookViewId="0">
      <selection activeCell="AA32" sqref="AA32"/>
    </sheetView>
  </sheetViews>
  <sheetFormatPr defaultRowHeight="16.5"/>
  <cols>
    <col min="1" max="1" width="7" style="105" customWidth="1"/>
    <col min="2" max="2" width="8.33203125" style="105" customWidth="1"/>
    <col min="3" max="10" width="7" style="106" customWidth="1"/>
    <col min="11" max="22" width="6" style="106" customWidth="1"/>
    <col min="23" max="16384" width="8.88671875" style="114"/>
  </cols>
  <sheetData>
    <row r="1" spans="1:22" ht="22.5">
      <c r="A1" s="901" t="s">
        <v>1332</v>
      </c>
      <c r="B1" s="358"/>
      <c r="C1" s="359"/>
      <c r="D1" s="359"/>
      <c r="E1" s="359"/>
      <c r="F1" s="359"/>
      <c r="G1" s="359"/>
      <c r="H1" s="359"/>
      <c r="I1" s="359"/>
      <c r="J1" s="359"/>
      <c r="K1" s="359"/>
      <c r="L1" s="359"/>
      <c r="M1" s="359"/>
      <c r="N1" s="359"/>
      <c r="O1" s="359"/>
      <c r="P1" s="359"/>
      <c r="Q1" s="359"/>
      <c r="R1" s="359"/>
      <c r="S1" s="359"/>
      <c r="T1" s="359"/>
      <c r="U1" s="359"/>
      <c r="V1" s="359"/>
    </row>
    <row r="2" spans="1:22" s="112" customFormat="1" ht="13.5" customHeight="1">
      <c r="A2" s="1035" t="s">
        <v>1181</v>
      </c>
      <c r="B2" s="1035"/>
      <c r="C2" s="1035"/>
      <c r="D2" s="1035"/>
      <c r="E2" s="1035"/>
      <c r="F2" s="1035"/>
      <c r="G2" s="1035"/>
      <c r="H2" s="1035"/>
      <c r="I2" s="1035"/>
      <c r="J2" s="1035"/>
      <c r="K2" s="1036" t="s">
        <v>1020</v>
      </c>
      <c r="L2" s="1036"/>
      <c r="M2" s="1036"/>
      <c r="N2" s="1036"/>
      <c r="O2" s="1036"/>
      <c r="P2" s="1036"/>
      <c r="Q2" s="1036"/>
      <c r="R2" s="1036"/>
      <c r="S2" s="1036"/>
      <c r="T2" s="1036"/>
      <c r="U2" s="1036"/>
      <c r="V2" s="1036"/>
    </row>
    <row r="3" spans="1:22" ht="22.5" customHeight="1">
      <c r="A3" s="1037" t="s">
        <v>950</v>
      </c>
      <c r="B3" s="1037"/>
      <c r="C3" s="1037"/>
      <c r="D3" s="1037"/>
      <c r="E3" s="1037"/>
      <c r="F3" s="1037"/>
      <c r="G3" s="1037"/>
      <c r="H3" s="1037"/>
      <c r="I3" s="1037"/>
      <c r="J3" s="1037"/>
      <c r="K3" s="1037" t="s">
        <v>951</v>
      </c>
      <c r="L3" s="1037"/>
      <c r="M3" s="1037"/>
      <c r="N3" s="1037"/>
      <c r="O3" s="1037"/>
      <c r="P3" s="1037"/>
      <c r="Q3" s="1037"/>
      <c r="R3" s="1037"/>
      <c r="S3" s="1037"/>
      <c r="T3" s="1037"/>
      <c r="U3" s="1060"/>
      <c r="V3" s="1060"/>
    </row>
    <row r="4" spans="1:22" ht="13.5" customHeight="1" thickBot="1">
      <c r="A4" s="1525"/>
      <c r="B4" s="1525"/>
      <c r="C4" s="1525"/>
      <c r="D4" s="1525"/>
      <c r="E4" s="1525"/>
      <c r="F4" s="1525"/>
      <c r="G4" s="1525"/>
      <c r="H4" s="1525"/>
      <c r="I4" s="1525"/>
      <c r="J4" s="1525"/>
      <c r="K4" s="1526"/>
      <c r="L4" s="1526"/>
      <c r="M4" s="1526"/>
      <c r="N4" s="1526"/>
      <c r="O4" s="1526"/>
      <c r="P4" s="1526"/>
      <c r="Q4" s="1526"/>
      <c r="R4" s="1526"/>
      <c r="S4" s="1526"/>
      <c r="T4" s="1526"/>
      <c r="U4" s="1526"/>
      <c r="V4" s="1526"/>
    </row>
    <row r="5" spans="1:22" ht="11.45" customHeight="1">
      <c r="A5" s="1004" t="s">
        <v>2</v>
      </c>
      <c r="B5" s="1015"/>
      <c r="C5" s="1003" t="s">
        <v>95</v>
      </c>
      <c r="D5" s="1015"/>
      <c r="E5" s="1003" t="s">
        <v>494</v>
      </c>
      <c r="F5" s="1015"/>
      <c r="G5" s="1025" t="s">
        <v>495</v>
      </c>
      <c r="H5" s="1024"/>
      <c r="I5" s="1025" t="s">
        <v>496</v>
      </c>
      <c r="J5" s="1024"/>
      <c r="K5" s="1026" t="s">
        <v>497</v>
      </c>
      <c r="L5" s="1026"/>
      <c r="M5" s="1025" t="s">
        <v>498</v>
      </c>
      <c r="N5" s="1024"/>
      <c r="O5" s="1025" t="s">
        <v>499</v>
      </c>
      <c r="P5" s="1024"/>
      <c r="Q5" s="1025" t="s">
        <v>500</v>
      </c>
      <c r="R5" s="1024"/>
      <c r="S5" s="1025" t="s">
        <v>501</v>
      </c>
      <c r="T5" s="1024"/>
      <c r="U5" s="1003" t="s">
        <v>653</v>
      </c>
      <c r="V5" s="1004"/>
    </row>
    <row r="6" spans="1:22" s="241" customFormat="1" ht="10.5" customHeight="1">
      <c r="A6" s="1039" t="s">
        <v>7</v>
      </c>
      <c r="B6" s="1010"/>
      <c r="C6" s="1013" t="s">
        <v>16</v>
      </c>
      <c r="D6" s="1008"/>
      <c r="E6" s="1013" t="s">
        <v>114</v>
      </c>
      <c r="F6" s="1008"/>
      <c r="G6" s="1121"/>
      <c r="H6" s="1122"/>
      <c r="I6" s="1121"/>
      <c r="J6" s="1122"/>
      <c r="K6" s="1066"/>
      <c r="L6" s="1066"/>
      <c r="M6" s="1121"/>
      <c r="N6" s="1122"/>
      <c r="O6" s="1121"/>
      <c r="P6" s="1122"/>
      <c r="Q6" s="1121"/>
      <c r="R6" s="1122"/>
      <c r="S6" s="1121"/>
      <c r="T6" s="1122"/>
      <c r="U6" s="1013" t="s">
        <v>115</v>
      </c>
      <c r="V6" s="1007"/>
    </row>
    <row r="7" spans="1:22" ht="13.5" customHeight="1">
      <c r="A7" s="1040"/>
      <c r="B7" s="1031"/>
      <c r="C7" s="917" t="s">
        <v>13</v>
      </c>
      <c r="D7" s="917" t="s">
        <v>23</v>
      </c>
      <c r="E7" s="917" t="s">
        <v>13</v>
      </c>
      <c r="F7" s="917" t="s">
        <v>23</v>
      </c>
      <c r="G7" s="917" t="s">
        <v>13</v>
      </c>
      <c r="H7" s="917" t="s">
        <v>23</v>
      </c>
      <c r="I7" s="917" t="s">
        <v>13</v>
      </c>
      <c r="J7" s="917" t="s">
        <v>23</v>
      </c>
      <c r="K7" s="918" t="s">
        <v>13</v>
      </c>
      <c r="L7" s="918" t="s">
        <v>23</v>
      </c>
      <c r="M7" s="917" t="s">
        <v>13</v>
      </c>
      <c r="N7" s="917" t="s">
        <v>23</v>
      </c>
      <c r="O7" s="917" t="s">
        <v>13</v>
      </c>
      <c r="P7" s="917" t="s">
        <v>23</v>
      </c>
      <c r="Q7" s="917" t="s">
        <v>13</v>
      </c>
      <c r="R7" s="917" t="s">
        <v>23</v>
      </c>
      <c r="S7" s="917" t="s">
        <v>13</v>
      </c>
      <c r="T7" s="917" t="s">
        <v>23</v>
      </c>
      <c r="U7" s="918" t="s">
        <v>13</v>
      </c>
      <c r="V7" s="914" t="s">
        <v>23</v>
      </c>
    </row>
    <row r="8" spans="1:22" ht="10.5" customHeight="1">
      <c r="A8" s="1022"/>
      <c r="B8" s="1021"/>
      <c r="C8" s="905" t="s">
        <v>25</v>
      </c>
      <c r="D8" s="905" t="s">
        <v>26</v>
      </c>
      <c r="E8" s="905" t="s">
        <v>25</v>
      </c>
      <c r="F8" s="905" t="s">
        <v>26</v>
      </c>
      <c r="G8" s="905" t="s">
        <v>25</v>
      </c>
      <c r="H8" s="905" t="s">
        <v>26</v>
      </c>
      <c r="I8" s="905" t="s">
        <v>25</v>
      </c>
      <c r="J8" s="905" t="s">
        <v>26</v>
      </c>
      <c r="K8" s="910" t="s">
        <v>25</v>
      </c>
      <c r="L8" s="910" t="s">
        <v>26</v>
      </c>
      <c r="M8" s="905" t="s">
        <v>25</v>
      </c>
      <c r="N8" s="905" t="s">
        <v>26</v>
      </c>
      <c r="O8" s="905" t="s">
        <v>25</v>
      </c>
      <c r="P8" s="905" t="s">
        <v>26</v>
      </c>
      <c r="Q8" s="905" t="s">
        <v>25</v>
      </c>
      <c r="R8" s="905" t="s">
        <v>26</v>
      </c>
      <c r="S8" s="905" t="s">
        <v>25</v>
      </c>
      <c r="T8" s="905" t="s">
        <v>26</v>
      </c>
      <c r="U8" s="910" t="s">
        <v>25</v>
      </c>
      <c r="V8" s="909" t="s">
        <v>26</v>
      </c>
    </row>
    <row r="9" spans="1:22" ht="9.6" customHeight="1">
      <c r="A9" s="102" t="s">
        <v>27</v>
      </c>
      <c r="B9" s="170" t="s">
        <v>16</v>
      </c>
      <c r="C9" s="243">
        <v>82623</v>
      </c>
      <c r="D9" s="243">
        <v>40212</v>
      </c>
      <c r="E9" s="243">
        <v>75</v>
      </c>
      <c r="F9" s="243">
        <v>40</v>
      </c>
      <c r="G9" s="243">
        <v>27909</v>
      </c>
      <c r="H9" s="243">
        <v>13575</v>
      </c>
      <c r="I9" s="243">
        <v>27659</v>
      </c>
      <c r="J9" s="243">
        <v>13454</v>
      </c>
      <c r="K9" s="244">
        <v>26680</v>
      </c>
      <c r="L9" s="244">
        <v>13011</v>
      </c>
      <c r="M9" s="243">
        <v>262</v>
      </c>
      <c r="N9" s="243">
        <v>115</v>
      </c>
      <c r="O9" s="243">
        <v>31</v>
      </c>
      <c r="P9" s="243">
        <v>14</v>
      </c>
      <c r="Q9" s="243">
        <v>3</v>
      </c>
      <c r="R9" s="243">
        <v>2</v>
      </c>
      <c r="S9" s="243">
        <v>3</v>
      </c>
      <c r="T9" s="243" t="s">
        <v>28</v>
      </c>
      <c r="U9" s="244">
        <v>1</v>
      </c>
      <c r="V9" s="245">
        <v>1</v>
      </c>
    </row>
    <row r="10" spans="1:22" ht="9.6" customHeight="1">
      <c r="A10" s="246" t="s">
        <v>116</v>
      </c>
      <c r="B10" s="172" t="s">
        <v>117</v>
      </c>
      <c r="C10" s="247">
        <v>28110</v>
      </c>
      <c r="D10" s="247">
        <v>13659</v>
      </c>
      <c r="E10" s="247">
        <v>75</v>
      </c>
      <c r="F10" s="247">
        <v>40</v>
      </c>
      <c r="G10" s="247">
        <v>27772</v>
      </c>
      <c r="H10" s="247">
        <v>13508</v>
      </c>
      <c r="I10" s="247">
        <v>237</v>
      </c>
      <c r="J10" s="247">
        <v>97</v>
      </c>
      <c r="K10" s="248">
        <v>18</v>
      </c>
      <c r="L10" s="248">
        <v>11</v>
      </c>
      <c r="M10" s="247">
        <v>5</v>
      </c>
      <c r="N10" s="247">
        <v>1</v>
      </c>
      <c r="O10" s="247">
        <v>2</v>
      </c>
      <c r="P10" s="247">
        <v>1</v>
      </c>
      <c r="Q10" s="247" t="s">
        <v>28</v>
      </c>
      <c r="R10" s="247" t="s">
        <v>28</v>
      </c>
      <c r="S10" s="247" t="s">
        <v>28</v>
      </c>
      <c r="T10" s="247" t="s">
        <v>28</v>
      </c>
      <c r="U10" s="248">
        <v>1</v>
      </c>
      <c r="V10" s="249">
        <v>1</v>
      </c>
    </row>
    <row r="11" spans="1:22" ht="9.6" customHeight="1">
      <c r="A11" s="246" t="s">
        <v>118</v>
      </c>
      <c r="B11" s="172" t="s">
        <v>119</v>
      </c>
      <c r="C11" s="247">
        <v>27662</v>
      </c>
      <c r="D11" s="247">
        <v>13457</v>
      </c>
      <c r="E11" s="247" t="s">
        <v>28</v>
      </c>
      <c r="F11" s="247" t="s">
        <v>28</v>
      </c>
      <c r="G11" s="247">
        <v>128</v>
      </c>
      <c r="H11" s="247">
        <v>65</v>
      </c>
      <c r="I11" s="247">
        <v>27268</v>
      </c>
      <c r="J11" s="247">
        <v>13272</v>
      </c>
      <c r="K11" s="248">
        <v>243</v>
      </c>
      <c r="L11" s="248">
        <v>112</v>
      </c>
      <c r="M11" s="247">
        <v>19</v>
      </c>
      <c r="N11" s="247">
        <v>5</v>
      </c>
      <c r="O11" s="247">
        <v>3</v>
      </c>
      <c r="P11" s="247">
        <v>3</v>
      </c>
      <c r="Q11" s="247" t="s">
        <v>28</v>
      </c>
      <c r="R11" s="247" t="s">
        <v>28</v>
      </c>
      <c r="S11" s="247">
        <v>1</v>
      </c>
      <c r="T11" s="247" t="s">
        <v>28</v>
      </c>
      <c r="U11" s="248" t="s">
        <v>28</v>
      </c>
      <c r="V11" s="249" t="s">
        <v>28</v>
      </c>
    </row>
    <row r="12" spans="1:22" ht="9.6" customHeight="1" thickBot="1">
      <c r="A12" s="1582" t="s">
        <v>120</v>
      </c>
      <c r="B12" s="1543" t="s">
        <v>121</v>
      </c>
      <c r="C12" s="1583">
        <v>26851</v>
      </c>
      <c r="D12" s="1583">
        <v>13096</v>
      </c>
      <c r="E12" s="1583" t="s">
        <v>28</v>
      </c>
      <c r="F12" s="1583" t="s">
        <v>28</v>
      </c>
      <c r="G12" s="1583">
        <v>9</v>
      </c>
      <c r="H12" s="1583">
        <v>2</v>
      </c>
      <c r="I12" s="1583">
        <v>154</v>
      </c>
      <c r="J12" s="1583">
        <v>85</v>
      </c>
      <c r="K12" s="251">
        <v>26419</v>
      </c>
      <c r="L12" s="251">
        <v>12888</v>
      </c>
      <c r="M12" s="1583">
        <v>238</v>
      </c>
      <c r="N12" s="1583">
        <v>109</v>
      </c>
      <c r="O12" s="1583">
        <v>26</v>
      </c>
      <c r="P12" s="1583">
        <v>10</v>
      </c>
      <c r="Q12" s="1583">
        <v>3</v>
      </c>
      <c r="R12" s="1583">
        <v>2</v>
      </c>
      <c r="S12" s="1583">
        <v>2</v>
      </c>
      <c r="T12" s="1583" t="s">
        <v>28</v>
      </c>
      <c r="U12" s="251" t="s">
        <v>28</v>
      </c>
      <c r="V12" s="1584" t="s">
        <v>28</v>
      </c>
    </row>
    <row r="13" spans="1:22" s="242" customFormat="1" ht="10.5" customHeight="1" thickBot="1">
      <c r="A13" s="1585" t="s">
        <v>33</v>
      </c>
      <c r="B13" s="1585"/>
      <c r="C13" s="1585"/>
      <c r="D13" s="1585"/>
      <c r="E13" s="1585"/>
      <c r="F13" s="1585"/>
      <c r="G13" s="1585"/>
      <c r="H13" s="1585"/>
      <c r="I13" s="1585"/>
      <c r="J13" s="1585"/>
      <c r="K13" s="1123" t="s">
        <v>393</v>
      </c>
      <c r="L13" s="1123"/>
      <c r="M13" s="1123"/>
      <c r="N13" s="1123"/>
      <c r="O13" s="1123"/>
      <c r="P13" s="1123"/>
      <c r="Q13" s="1123"/>
      <c r="R13" s="1123"/>
      <c r="S13" s="1123"/>
      <c r="T13" s="1123"/>
      <c r="U13" s="1123"/>
      <c r="V13" s="1123"/>
    </row>
    <row r="14" spans="1:22" ht="9.6" customHeight="1">
      <c r="A14" s="102" t="s">
        <v>35</v>
      </c>
      <c r="B14" s="170" t="s">
        <v>36</v>
      </c>
      <c r="C14" s="243">
        <v>15140</v>
      </c>
      <c r="D14" s="243">
        <v>7415</v>
      </c>
      <c r="E14" s="243">
        <v>14</v>
      </c>
      <c r="F14" s="243">
        <v>8</v>
      </c>
      <c r="G14" s="243">
        <v>5129</v>
      </c>
      <c r="H14" s="243">
        <v>2530</v>
      </c>
      <c r="I14" s="243">
        <v>5093</v>
      </c>
      <c r="J14" s="243">
        <v>2469</v>
      </c>
      <c r="K14" s="252">
        <v>4859</v>
      </c>
      <c r="L14" s="252">
        <v>2390</v>
      </c>
      <c r="M14" s="252">
        <v>37</v>
      </c>
      <c r="N14" s="252">
        <v>13</v>
      </c>
      <c r="O14" s="252">
        <v>4</v>
      </c>
      <c r="P14" s="252">
        <v>3</v>
      </c>
      <c r="Q14" s="252">
        <v>1</v>
      </c>
      <c r="R14" s="252">
        <v>1</v>
      </c>
      <c r="S14" s="252">
        <v>2</v>
      </c>
      <c r="T14" s="252" t="s">
        <v>28</v>
      </c>
      <c r="U14" s="252">
        <v>1</v>
      </c>
      <c r="V14" s="258">
        <v>1</v>
      </c>
    </row>
    <row r="15" spans="1:22" ht="9.6" customHeight="1">
      <c r="A15" s="246" t="s">
        <v>116</v>
      </c>
      <c r="B15" s="172" t="s">
        <v>117</v>
      </c>
      <c r="C15" s="247">
        <v>5173</v>
      </c>
      <c r="D15" s="247">
        <v>2547</v>
      </c>
      <c r="E15" s="247">
        <v>14</v>
      </c>
      <c r="F15" s="247">
        <v>8</v>
      </c>
      <c r="G15" s="247">
        <v>5100</v>
      </c>
      <c r="H15" s="247">
        <v>2516</v>
      </c>
      <c r="I15" s="247">
        <v>52</v>
      </c>
      <c r="J15" s="247">
        <v>19</v>
      </c>
      <c r="K15" s="248">
        <v>4</v>
      </c>
      <c r="L15" s="247">
        <v>2</v>
      </c>
      <c r="M15" s="247">
        <v>1</v>
      </c>
      <c r="N15" s="247" t="s">
        <v>28</v>
      </c>
      <c r="O15" s="247">
        <v>1</v>
      </c>
      <c r="P15" s="247">
        <v>1</v>
      </c>
      <c r="Q15" s="247" t="s">
        <v>28</v>
      </c>
      <c r="R15" s="247" t="s">
        <v>28</v>
      </c>
      <c r="S15" s="247" t="s">
        <v>28</v>
      </c>
      <c r="T15" s="247" t="s">
        <v>28</v>
      </c>
      <c r="U15" s="247">
        <v>1</v>
      </c>
      <c r="V15" s="249">
        <v>1</v>
      </c>
    </row>
    <row r="16" spans="1:22" ht="9.6" customHeight="1">
      <c r="A16" s="246" t="s">
        <v>118</v>
      </c>
      <c r="B16" s="172" t="s">
        <v>119</v>
      </c>
      <c r="C16" s="247">
        <v>5090</v>
      </c>
      <c r="D16" s="247">
        <v>2470</v>
      </c>
      <c r="E16" s="247" t="s">
        <v>28</v>
      </c>
      <c r="F16" s="247" t="s">
        <v>28</v>
      </c>
      <c r="G16" s="247">
        <v>29</v>
      </c>
      <c r="H16" s="247">
        <v>14</v>
      </c>
      <c r="I16" s="247">
        <v>5016</v>
      </c>
      <c r="J16" s="247">
        <v>2438</v>
      </c>
      <c r="K16" s="248">
        <v>42</v>
      </c>
      <c r="L16" s="247">
        <v>17</v>
      </c>
      <c r="M16" s="247">
        <v>1</v>
      </c>
      <c r="N16" s="247" t="s">
        <v>28</v>
      </c>
      <c r="O16" s="247">
        <v>1</v>
      </c>
      <c r="P16" s="247">
        <v>1</v>
      </c>
      <c r="Q16" s="247" t="s">
        <v>28</v>
      </c>
      <c r="R16" s="247" t="s">
        <v>28</v>
      </c>
      <c r="S16" s="247">
        <v>1</v>
      </c>
      <c r="T16" s="247" t="s">
        <v>28</v>
      </c>
      <c r="U16" s="247" t="s">
        <v>28</v>
      </c>
      <c r="V16" s="249" t="s">
        <v>28</v>
      </c>
    </row>
    <row r="17" spans="1:22" ht="9.6" customHeight="1">
      <c r="A17" s="246" t="s">
        <v>120</v>
      </c>
      <c r="B17" s="172" t="s">
        <v>121</v>
      </c>
      <c r="C17" s="247">
        <v>4877</v>
      </c>
      <c r="D17" s="247">
        <v>2398</v>
      </c>
      <c r="E17" s="247" t="s">
        <v>28</v>
      </c>
      <c r="F17" s="247" t="s">
        <v>28</v>
      </c>
      <c r="G17" s="247" t="s">
        <v>28</v>
      </c>
      <c r="H17" s="247" t="s">
        <v>28</v>
      </c>
      <c r="I17" s="247">
        <v>25</v>
      </c>
      <c r="J17" s="247">
        <v>12</v>
      </c>
      <c r="K17" s="248">
        <v>4813</v>
      </c>
      <c r="L17" s="247">
        <v>2371</v>
      </c>
      <c r="M17" s="247">
        <v>35</v>
      </c>
      <c r="N17" s="247">
        <v>13</v>
      </c>
      <c r="O17" s="247">
        <v>2</v>
      </c>
      <c r="P17" s="247">
        <v>1</v>
      </c>
      <c r="Q17" s="247">
        <v>1</v>
      </c>
      <c r="R17" s="247">
        <v>1</v>
      </c>
      <c r="S17" s="247">
        <v>1</v>
      </c>
      <c r="T17" s="247" t="s">
        <v>28</v>
      </c>
      <c r="U17" s="247" t="s">
        <v>28</v>
      </c>
      <c r="V17" s="249" t="s">
        <v>28</v>
      </c>
    </row>
    <row r="18" spans="1:22" ht="9.6" customHeight="1">
      <c r="A18" s="102" t="s">
        <v>37</v>
      </c>
      <c r="B18" s="170" t="s">
        <v>38</v>
      </c>
      <c r="C18" s="243">
        <v>17718</v>
      </c>
      <c r="D18" s="243">
        <v>8621</v>
      </c>
      <c r="E18" s="243">
        <v>15</v>
      </c>
      <c r="F18" s="243">
        <v>6</v>
      </c>
      <c r="G18" s="243">
        <v>5830</v>
      </c>
      <c r="H18" s="243">
        <v>2853</v>
      </c>
      <c r="I18" s="243">
        <v>5911</v>
      </c>
      <c r="J18" s="243">
        <v>2831</v>
      </c>
      <c r="K18" s="244">
        <v>5894</v>
      </c>
      <c r="L18" s="243">
        <v>2904</v>
      </c>
      <c r="M18" s="243">
        <v>58</v>
      </c>
      <c r="N18" s="243">
        <v>22</v>
      </c>
      <c r="O18" s="243">
        <v>8</v>
      </c>
      <c r="P18" s="243">
        <v>4</v>
      </c>
      <c r="Q18" s="243">
        <v>2</v>
      </c>
      <c r="R18" s="243">
        <v>1</v>
      </c>
      <c r="S18" s="243" t="s">
        <v>28</v>
      </c>
      <c r="T18" s="243" t="s">
        <v>28</v>
      </c>
      <c r="U18" s="243" t="s">
        <v>28</v>
      </c>
      <c r="V18" s="253" t="s">
        <v>28</v>
      </c>
    </row>
    <row r="19" spans="1:22" ht="9.6" customHeight="1">
      <c r="A19" s="246" t="s">
        <v>116</v>
      </c>
      <c r="B19" s="172" t="s">
        <v>117</v>
      </c>
      <c r="C19" s="247">
        <v>5863</v>
      </c>
      <c r="D19" s="247">
        <v>2868</v>
      </c>
      <c r="E19" s="247">
        <v>15</v>
      </c>
      <c r="F19" s="247">
        <v>6</v>
      </c>
      <c r="G19" s="247">
        <v>5810</v>
      </c>
      <c r="H19" s="247">
        <v>2843</v>
      </c>
      <c r="I19" s="247">
        <v>36</v>
      </c>
      <c r="J19" s="247">
        <v>17</v>
      </c>
      <c r="K19" s="248">
        <v>2</v>
      </c>
      <c r="L19" s="247">
        <v>2</v>
      </c>
      <c r="M19" s="247" t="s">
        <v>28</v>
      </c>
      <c r="N19" s="247" t="s">
        <v>28</v>
      </c>
      <c r="O19" s="247" t="s">
        <v>28</v>
      </c>
      <c r="P19" s="247" t="s">
        <v>28</v>
      </c>
      <c r="Q19" s="247" t="s">
        <v>28</v>
      </c>
      <c r="R19" s="247" t="s">
        <v>28</v>
      </c>
      <c r="S19" s="247" t="s">
        <v>28</v>
      </c>
      <c r="T19" s="247" t="s">
        <v>28</v>
      </c>
      <c r="U19" s="247" t="s">
        <v>28</v>
      </c>
      <c r="V19" s="254" t="s">
        <v>28</v>
      </c>
    </row>
    <row r="20" spans="1:22" ht="9.6" customHeight="1">
      <c r="A20" s="246" t="s">
        <v>118</v>
      </c>
      <c r="B20" s="172" t="s">
        <v>119</v>
      </c>
      <c r="C20" s="247">
        <v>5928</v>
      </c>
      <c r="D20" s="247">
        <v>2838</v>
      </c>
      <c r="E20" s="247" t="s">
        <v>28</v>
      </c>
      <c r="F20" s="247" t="s">
        <v>28</v>
      </c>
      <c r="G20" s="247">
        <v>20</v>
      </c>
      <c r="H20" s="247">
        <v>10</v>
      </c>
      <c r="I20" s="247">
        <v>5848</v>
      </c>
      <c r="J20" s="247">
        <v>2800</v>
      </c>
      <c r="K20" s="248">
        <v>55</v>
      </c>
      <c r="L20" s="247">
        <v>26</v>
      </c>
      <c r="M20" s="247">
        <v>4</v>
      </c>
      <c r="N20" s="247">
        <v>1</v>
      </c>
      <c r="O20" s="247">
        <v>1</v>
      </c>
      <c r="P20" s="247">
        <v>1</v>
      </c>
      <c r="Q20" s="247" t="s">
        <v>28</v>
      </c>
      <c r="R20" s="247" t="s">
        <v>28</v>
      </c>
      <c r="S20" s="247" t="s">
        <v>28</v>
      </c>
      <c r="T20" s="247" t="s">
        <v>28</v>
      </c>
      <c r="U20" s="247" t="s">
        <v>28</v>
      </c>
      <c r="V20" s="254" t="s">
        <v>28</v>
      </c>
    </row>
    <row r="21" spans="1:22" ht="9.6" customHeight="1">
      <c r="A21" s="246" t="s">
        <v>120</v>
      </c>
      <c r="B21" s="172" t="s">
        <v>121</v>
      </c>
      <c r="C21" s="247">
        <v>5927</v>
      </c>
      <c r="D21" s="247">
        <v>2915</v>
      </c>
      <c r="E21" s="247" t="s">
        <v>28</v>
      </c>
      <c r="F21" s="247" t="s">
        <v>28</v>
      </c>
      <c r="G21" s="247" t="s">
        <v>28</v>
      </c>
      <c r="H21" s="247" t="s">
        <v>28</v>
      </c>
      <c r="I21" s="247">
        <v>27</v>
      </c>
      <c r="J21" s="247">
        <v>14</v>
      </c>
      <c r="K21" s="248">
        <v>5837</v>
      </c>
      <c r="L21" s="247">
        <v>2876</v>
      </c>
      <c r="M21" s="247">
        <v>54</v>
      </c>
      <c r="N21" s="247">
        <v>21</v>
      </c>
      <c r="O21" s="247">
        <v>7</v>
      </c>
      <c r="P21" s="247">
        <v>3</v>
      </c>
      <c r="Q21" s="247">
        <v>2</v>
      </c>
      <c r="R21" s="247">
        <v>1</v>
      </c>
      <c r="S21" s="247" t="s">
        <v>28</v>
      </c>
      <c r="T21" s="247" t="s">
        <v>28</v>
      </c>
      <c r="U21" s="247" t="s">
        <v>28</v>
      </c>
      <c r="V21" s="254" t="s">
        <v>28</v>
      </c>
    </row>
    <row r="22" spans="1:22" ht="9.6" customHeight="1">
      <c r="A22" s="102" t="s">
        <v>39</v>
      </c>
      <c r="B22" s="170" t="s">
        <v>40</v>
      </c>
      <c r="C22" s="243">
        <v>28573</v>
      </c>
      <c r="D22" s="243">
        <v>13892</v>
      </c>
      <c r="E22" s="243">
        <v>29</v>
      </c>
      <c r="F22" s="243">
        <v>17</v>
      </c>
      <c r="G22" s="243">
        <v>9676</v>
      </c>
      <c r="H22" s="243">
        <v>4721</v>
      </c>
      <c r="I22" s="243">
        <v>9505</v>
      </c>
      <c r="J22" s="243">
        <v>4629</v>
      </c>
      <c r="K22" s="244">
        <v>9222</v>
      </c>
      <c r="L22" s="244">
        <v>4457</v>
      </c>
      <c r="M22" s="244">
        <v>124</v>
      </c>
      <c r="N22" s="244">
        <v>62</v>
      </c>
      <c r="O22" s="244">
        <v>16</v>
      </c>
      <c r="P22" s="244">
        <v>6</v>
      </c>
      <c r="Q22" s="244" t="s">
        <v>28</v>
      </c>
      <c r="R22" s="244" t="s">
        <v>28</v>
      </c>
      <c r="S22" s="244">
        <v>1</v>
      </c>
      <c r="T22" s="244" t="s">
        <v>28</v>
      </c>
      <c r="U22" s="244" t="s">
        <v>28</v>
      </c>
      <c r="V22" s="253" t="s">
        <v>28</v>
      </c>
    </row>
    <row r="23" spans="1:22" ht="9.6" customHeight="1">
      <c r="A23" s="246" t="s">
        <v>116</v>
      </c>
      <c r="B23" s="172" t="s">
        <v>117</v>
      </c>
      <c r="C23" s="247">
        <v>9778</v>
      </c>
      <c r="D23" s="247">
        <v>4758</v>
      </c>
      <c r="E23" s="247">
        <v>29</v>
      </c>
      <c r="F23" s="247">
        <v>17</v>
      </c>
      <c r="G23" s="247">
        <v>9627</v>
      </c>
      <c r="H23" s="247">
        <v>4692</v>
      </c>
      <c r="I23" s="247">
        <v>113</v>
      </c>
      <c r="J23" s="247">
        <v>45</v>
      </c>
      <c r="K23" s="248">
        <v>7</v>
      </c>
      <c r="L23" s="247">
        <v>4</v>
      </c>
      <c r="M23" s="247">
        <v>1</v>
      </c>
      <c r="N23" s="247" t="s">
        <v>28</v>
      </c>
      <c r="O23" s="247">
        <v>1</v>
      </c>
      <c r="P23" s="247" t="s">
        <v>28</v>
      </c>
      <c r="Q23" s="247" t="s">
        <v>28</v>
      </c>
      <c r="R23" s="247" t="s">
        <v>28</v>
      </c>
      <c r="S23" s="247" t="s">
        <v>28</v>
      </c>
      <c r="T23" s="247" t="s">
        <v>28</v>
      </c>
      <c r="U23" s="247" t="s">
        <v>28</v>
      </c>
      <c r="V23" s="249" t="s">
        <v>28</v>
      </c>
    </row>
    <row r="24" spans="1:22" ht="9.6" customHeight="1">
      <c r="A24" s="246" t="s">
        <v>118</v>
      </c>
      <c r="B24" s="172" t="s">
        <v>119</v>
      </c>
      <c r="C24" s="247">
        <v>9490</v>
      </c>
      <c r="D24" s="247">
        <v>4629</v>
      </c>
      <c r="E24" s="247" t="s">
        <v>28</v>
      </c>
      <c r="F24" s="247" t="s">
        <v>28</v>
      </c>
      <c r="G24" s="247">
        <v>45</v>
      </c>
      <c r="H24" s="247">
        <v>28</v>
      </c>
      <c r="I24" s="247">
        <v>9327</v>
      </c>
      <c r="J24" s="247">
        <v>4546</v>
      </c>
      <c r="K24" s="248">
        <v>112</v>
      </c>
      <c r="L24" s="247">
        <v>53</v>
      </c>
      <c r="M24" s="247">
        <v>5</v>
      </c>
      <c r="N24" s="247">
        <v>1</v>
      </c>
      <c r="O24" s="247">
        <v>1</v>
      </c>
      <c r="P24" s="247">
        <v>1</v>
      </c>
      <c r="Q24" s="247" t="s">
        <v>28</v>
      </c>
      <c r="R24" s="247" t="s">
        <v>28</v>
      </c>
      <c r="S24" s="247" t="s">
        <v>28</v>
      </c>
      <c r="T24" s="247" t="s">
        <v>28</v>
      </c>
      <c r="U24" s="247" t="s">
        <v>28</v>
      </c>
      <c r="V24" s="249" t="s">
        <v>28</v>
      </c>
    </row>
    <row r="25" spans="1:22" ht="9.6" customHeight="1">
      <c r="A25" s="246" t="s">
        <v>120</v>
      </c>
      <c r="B25" s="172" t="s">
        <v>121</v>
      </c>
      <c r="C25" s="247">
        <v>9305</v>
      </c>
      <c r="D25" s="247">
        <v>4505</v>
      </c>
      <c r="E25" s="247" t="s">
        <v>28</v>
      </c>
      <c r="F25" s="247" t="s">
        <v>28</v>
      </c>
      <c r="G25" s="247">
        <v>4</v>
      </c>
      <c r="H25" s="247">
        <v>1</v>
      </c>
      <c r="I25" s="247">
        <v>65</v>
      </c>
      <c r="J25" s="247">
        <v>38</v>
      </c>
      <c r="K25" s="248">
        <v>9103</v>
      </c>
      <c r="L25" s="247">
        <v>4400</v>
      </c>
      <c r="M25" s="247">
        <v>118</v>
      </c>
      <c r="N25" s="247">
        <v>61</v>
      </c>
      <c r="O25" s="247">
        <v>14</v>
      </c>
      <c r="P25" s="247">
        <v>5</v>
      </c>
      <c r="Q25" s="247" t="s">
        <v>28</v>
      </c>
      <c r="R25" s="247" t="s">
        <v>28</v>
      </c>
      <c r="S25" s="247">
        <v>1</v>
      </c>
      <c r="T25" s="247" t="s">
        <v>28</v>
      </c>
      <c r="U25" s="247" t="s">
        <v>28</v>
      </c>
      <c r="V25" s="249" t="s">
        <v>28</v>
      </c>
    </row>
    <row r="26" spans="1:22" ht="9.6" customHeight="1">
      <c r="A26" s="102" t="s">
        <v>41</v>
      </c>
      <c r="B26" s="170" t="s">
        <v>42</v>
      </c>
      <c r="C26" s="243">
        <v>19902</v>
      </c>
      <c r="D26" s="243">
        <v>9681</v>
      </c>
      <c r="E26" s="243">
        <v>16</v>
      </c>
      <c r="F26" s="243">
        <v>9</v>
      </c>
      <c r="G26" s="243">
        <v>6845</v>
      </c>
      <c r="H26" s="243">
        <v>3274</v>
      </c>
      <c r="I26" s="243">
        <v>6729</v>
      </c>
      <c r="J26" s="243">
        <v>3330</v>
      </c>
      <c r="K26" s="244">
        <v>6270</v>
      </c>
      <c r="L26" s="244">
        <v>3051</v>
      </c>
      <c r="M26" s="244">
        <v>40</v>
      </c>
      <c r="N26" s="244">
        <v>17</v>
      </c>
      <c r="O26" s="244">
        <v>2</v>
      </c>
      <c r="P26" s="244" t="s">
        <v>28</v>
      </c>
      <c r="Q26" s="244" t="s">
        <v>28</v>
      </c>
      <c r="R26" s="244" t="s">
        <v>28</v>
      </c>
      <c r="S26" s="244" t="s">
        <v>28</v>
      </c>
      <c r="T26" s="244" t="s">
        <v>28</v>
      </c>
      <c r="U26" s="244" t="s">
        <v>28</v>
      </c>
      <c r="V26" s="253" t="s">
        <v>28</v>
      </c>
    </row>
    <row r="27" spans="1:22" ht="9.6" customHeight="1">
      <c r="A27" s="246" t="s">
        <v>116</v>
      </c>
      <c r="B27" s="172" t="s">
        <v>117</v>
      </c>
      <c r="C27" s="247">
        <v>6867</v>
      </c>
      <c r="D27" s="247">
        <v>3288</v>
      </c>
      <c r="E27" s="247">
        <v>16</v>
      </c>
      <c r="F27" s="247">
        <v>9</v>
      </c>
      <c r="G27" s="247">
        <v>6811</v>
      </c>
      <c r="H27" s="247">
        <v>3260</v>
      </c>
      <c r="I27" s="247">
        <v>32</v>
      </c>
      <c r="J27" s="247">
        <v>15</v>
      </c>
      <c r="K27" s="248">
        <v>5</v>
      </c>
      <c r="L27" s="247">
        <v>3</v>
      </c>
      <c r="M27" s="247">
        <v>3</v>
      </c>
      <c r="N27" s="247">
        <v>1</v>
      </c>
      <c r="O27" s="247" t="s">
        <v>28</v>
      </c>
      <c r="P27" s="247" t="s">
        <v>28</v>
      </c>
      <c r="Q27" s="247" t="s">
        <v>28</v>
      </c>
      <c r="R27" s="247" t="s">
        <v>28</v>
      </c>
      <c r="S27" s="247" t="s">
        <v>28</v>
      </c>
      <c r="T27" s="247" t="s">
        <v>28</v>
      </c>
      <c r="U27" s="247" t="s">
        <v>28</v>
      </c>
      <c r="V27" s="249" t="s">
        <v>28</v>
      </c>
    </row>
    <row r="28" spans="1:22" ht="9.6" customHeight="1">
      <c r="A28" s="246" t="s">
        <v>118</v>
      </c>
      <c r="B28" s="172" t="s">
        <v>119</v>
      </c>
      <c r="C28" s="247">
        <v>6730</v>
      </c>
      <c r="D28" s="247">
        <v>3328</v>
      </c>
      <c r="E28" s="247" t="s">
        <v>28</v>
      </c>
      <c r="F28" s="247" t="s">
        <v>28</v>
      </c>
      <c r="G28" s="247">
        <v>29</v>
      </c>
      <c r="H28" s="247">
        <v>13</v>
      </c>
      <c r="I28" s="247">
        <v>6664</v>
      </c>
      <c r="J28" s="247">
        <v>3297</v>
      </c>
      <c r="K28" s="248">
        <v>29</v>
      </c>
      <c r="L28" s="247">
        <v>15</v>
      </c>
      <c r="M28" s="247">
        <v>8</v>
      </c>
      <c r="N28" s="247">
        <v>3</v>
      </c>
      <c r="O28" s="247" t="s">
        <v>28</v>
      </c>
      <c r="P28" s="247" t="s">
        <v>28</v>
      </c>
      <c r="Q28" s="247" t="s">
        <v>28</v>
      </c>
      <c r="R28" s="247" t="s">
        <v>28</v>
      </c>
      <c r="S28" s="247" t="s">
        <v>28</v>
      </c>
      <c r="T28" s="247" t="s">
        <v>28</v>
      </c>
      <c r="U28" s="247" t="s">
        <v>28</v>
      </c>
      <c r="V28" s="249" t="s">
        <v>28</v>
      </c>
    </row>
    <row r="29" spans="1:22" ht="9.6" customHeight="1">
      <c r="A29" s="246" t="s">
        <v>120</v>
      </c>
      <c r="B29" s="172" t="s">
        <v>121</v>
      </c>
      <c r="C29" s="247">
        <v>6305</v>
      </c>
      <c r="D29" s="247">
        <v>3065</v>
      </c>
      <c r="E29" s="247" t="s">
        <v>28</v>
      </c>
      <c r="F29" s="247" t="s">
        <v>28</v>
      </c>
      <c r="G29" s="247">
        <v>5</v>
      </c>
      <c r="H29" s="247">
        <v>1</v>
      </c>
      <c r="I29" s="247">
        <v>33</v>
      </c>
      <c r="J29" s="247">
        <v>18</v>
      </c>
      <c r="K29" s="248">
        <v>6236</v>
      </c>
      <c r="L29" s="247">
        <v>3033</v>
      </c>
      <c r="M29" s="247">
        <v>29</v>
      </c>
      <c r="N29" s="247">
        <v>13</v>
      </c>
      <c r="O29" s="247">
        <v>2</v>
      </c>
      <c r="P29" s="247" t="s">
        <v>28</v>
      </c>
      <c r="Q29" s="247" t="s">
        <v>28</v>
      </c>
      <c r="R29" s="247" t="s">
        <v>28</v>
      </c>
      <c r="S29" s="247" t="s">
        <v>28</v>
      </c>
      <c r="T29" s="247" t="s">
        <v>28</v>
      </c>
      <c r="U29" s="247" t="s">
        <v>28</v>
      </c>
      <c r="V29" s="249" t="s">
        <v>28</v>
      </c>
    </row>
    <row r="30" spans="1:22" ht="9.6" customHeight="1">
      <c r="A30" s="102" t="s">
        <v>43</v>
      </c>
      <c r="B30" s="170" t="s">
        <v>44</v>
      </c>
      <c r="C30" s="243">
        <v>1290</v>
      </c>
      <c r="D30" s="243">
        <v>603</v>
      </c>
      <c r="E30" s="243">
        <v>1</v>
      </c>
      <c r="F30" s="243" t="s">
        <v>28</v>
      </c>
      <c r="G30" s="243">
        <v>429</v>
      </c>
      <c r="H30" s="243">
        <v>197</v>
      </c>
      <c r="I30" s="243">
        <v>421</v>
      </c>
      <c r="J30" s="243">
        <v>195</v>
      </c>
      <c r="K30" s="244">
        <v>435</v>
      </c>
      <c r="L30" s="243">
        <v>209</v>
      </c>
      <c r="M30" s="243">
        <v>3</v>
      </c>
      <c r="N30" s="243">
        <v>1</v>
      </c>
      <c r="O30" s="243">
        <v>1</v>
      </c>
      <c r="P30" s="243">
        <v>1</v>
      </c>
      <c r="Q30" s="243" t="s">
        <v>28</v>
      </c>
      <c r="R30" s="243" t="s">
        <v>28</v>
      </c>
      <c r="S30" s="243" t="s">
        <v>28</v>
      </c>
      <c r="T30" s="243" t="s">
        <v>28</v>
      </c>
      <c r="U30" s="243" t="s">
        <v>28</v>
      </c>
      <c r="V30" s="253" t="s">
        <v>28</v>
      </c>
    </row>
    <row r="31" spans="1:22" ht="9.6" customHeight="1">
      <c r="A31" s="246" t="s">
        <v>116</v>
      </c>
      <c r="B31" s="172" t="s">
        <v>117</v>
      </c>
      <c r="C31" s="247">
        <v>429</v>
      </c>
      <c r="D31" s="247">
        <v>198</v>
      </c>
      <c r="E31" s="247">
        <v>1</v>
      </c>
      <c r="F31" s="247" t="s">
        <v>28</v>
      </c>
      <c r="G31" s="247">
        <v>424</v>
      </c>
      <c r="H31" s="247">
        <v>197</v>
      </c>
      <c r="I31" s="247">
        <v>4</v>
      </c>
      <c r="J31" s="247">
        <v>1</v>
      </c>
      <c r="K31" s="248" t="s">
        <v>28</v>
      </c>
      <c r="L31" s="247" t="s">
        <v>28</v>
      </c>
      <c r="M31" s="247" t="s">
        <v>28</v>
      </c>
      <c r="N31" s="247" t="s">
        <v>28</v>
      </c>
      <c r="O31" s="247" t="s">
        <v>28</v>
      </c>
      <c r="P31" s="247" t="s">
        <v>28</v>
      </c>
      <c r="Q31" s="247" t="s">
        <v>28</v>
      </c>
      <c r="R31" s="247" t="s">
        <v>28</v>
      </c>
      <c r="S31" s="247" t="s">
        <v>28</v>
      </c>
      <c r="T31" s="247" t="s">
        <v>28</v>
      </c>
      <c r="U31" s="247" t="s">
        <v>28</v>
      </c>
      <c r="V31" s="254" t="s">
        <v>28</v>
      </c>
    </row>
    <row r="32" spans="1:22" ht="9.6" customHeight="1">
      <c r="A32" s="246" t="s">
        <v>118</v>
      </c>
      <c r="B32" s="172" t="s">
        <v>119</v>
      </c>
      <c r="C32" s="247">
        <v>424</v>
      </c>
      <c r="D32" s="247">
        <v>192</v>
      </c>
      <c r="E32" s="247" t="s">
        <v>28</v>
      </c>
      <c r="F32" s="247" t="s">
        <v>28</v>
      </c>
      <c r="G32" s="247">
        <v>5</v>
      </c>
      <c r="H32" s="247" t="s">
        <v>28</v>
      </c>
      <c r="I32" s="247">
        <v>413</v>
      </c>
      <c r="J32" s="247">
        <v>191</v>
      </c>
      <c r="K32" s="248">
        <v>5</v>
      </c>
      <c r="L32" s="247">
        <v>1</v>
      </c>
      <c r="M32" s="247">
        <v>1</v>
      </c>
      <c r="N32" s="247" t="s">
        <v>28</v>
      </c>
      <c r="O32" s="247" t="s">
        <v>28</v>
      </c>
      <c r="P32" s="247" t="s">
        <v>28</v>
      </c>
      <c r="Q32" s="247" t="s">
        <v>28</v>
      </c>
      <c r="R32" s="247" t="s">
        <v>28</v>
      </c>
      <c r="S32" s="247" t="s">
        <v>28</v>
      </c>
      <c r="T32" s="247" t="s">
        <v>28</v>
      </c>
      <c r="U32" s="247" t="s">
        <v>28</v>
      </c>
      <c r="V32" s="254" t="s">
        <v>28</v>
      </c>
    </row>
    <row r="33" spans="1:22" ht="9.6" customHeight="1" thickBot="1">
      <c r="A33" s="1582" t="s">
        <v>120</v>
      </c>
      <c r="B33" s="1543" t="s">
        <v>121</v>
      </c>
      <c r="C33" s="1583">
        <v>437</v>
      </c>
      <c r="D33" s="1583">
        <v>213</v>
      </c>
      <c r="E33" s="1583" t="s">
        <v>28</v>
      </c>
      <c r="F33" s="1583" t="s">
        <v>28</v>
      </c>
      <c r="G33" s="1583" t="s">
        <v>28</v>
      </c>
      <c r="H33" s="1583" t="s">
        <v>28</v>
      </c>
      <c r="I33" s="1583">
        <v>4</v>
      </c>
      <c r="J33" s="1583">
        <v>3</v>
      </c>
      <c r="K33" s="251">
        <v>430</v>
      </c>
      <c r="L33" s="1583">
        <v>208</v>
      </c>
      <c r="M33" s="1583">
        <v>2</v>
      </c>
      <c r="N33" s="1583">
        <v>1</v>
      </c>
      <c r="O33" s="1583">
        <v>1</v>
      </c>
      <c r="P33" s="1583">
        <v>1</v>
      </c>
      <c r="Q33" s="1583" t="s">
        <v>28</v>
      </c>
      <c r="R33" s="1583" t="s">
        <v>28</v>
      </c>
      <c r="S33" s="1583" t="s">
        <v>28</v>
      </c>
      <c r="T33" s="1583" t="s">
        <v>28</v>
      </c>
      <c r="U33" s="1583" t="s">
        <v>28</v>
      </c>
      <c r="V33" s="392" t="s">
        <v>28</v>
      </c>
    </row>
    <row r="34" spans="1:22" s="242" customFormat="1" ht="10.5" customHeight="1" thickBot="1">
      <c r="A34" s="1586" t="s">
        <v>364</v>
      </c>
      <c r="B34" s="1586"/>
      <c r="C34" s="1586"/>
      <c r="D34" s="1586"/>
      <c r="E34" s="1586"/>
      <c r="F34" s="1586"/>
      <c r="G34" s="1586"/>
      <c r="H34" s="1586"/>
      <c r="I34" s="1586"/>
      <c r="J34" s="1586"/>
      <c r="K34" s="1586" t="s">
        <v>394</v>
      </c>
      <c r="L34" s="1586"/>
      <c r="M34" s="1586"/>
      <c r="N34" s="1586"/>
      <c r="O34" s="1586"/>
      <c r="P34" s="1586"/>
      <c r="Q34" s="1586"/>
      <c r="R34" s="1586"/>
      <c r="S34" s="1586"/>
      <c r="T34" s="1586"/>
      <c r="U34" s="1586"/>
      <c r="V34" s="1586"/>
    </row>
    <row r="35" spans="1:22" ht="9.6" customHeight="1">
      <c r="A35" s="102" t="s">
        <v>47</v>
      </c>
      <c r="B35" s="170" t="s">
        <v>48</v>
      </c>
      <c r="C35" s="243">
        <v>5796</v>
      </c>
      <c r="D35" s="243">
        <v>2832</v>
      </c>
      <c r="E35" s="243">
        <v>7</v>
      </c>
      <c r="F35" s="243">
        <v>5</v>
      </c>
      <c r="G35" s="243">
        <v>1981</v>
      </c>
      <c r="H35" s="243">
        <v>974</v>
      </c>
      <c r="I35" s="243">
        <v>1975</v>
      </c>
      <c r="J35" s="243">
        <v>951</v>
      </c>
      <c r="K35" s="244">
        <v>1817</v>
      </c>
      <c r="L35" s="243">
        <v>898</v>
      </c>
      <c r="M35" s="243">
        <v>13</v>
      </c>
      <c r="N35" s="243">
        <v>3</v>
      </c>
      <c r="O35" s="243">
        <v>2</v>
      </c>
      <c r="P35" s="243">
        <v>1</v>
      </c>
      <c r="Q35" s="243" t="s">
        <v>28</v>
      </c>
      <c r="R35" s="243" t="s">
        <v>28</v>
      </c>
      <c r="S35" s="243">
        <v>1</v>
      </c>
      <c r="T35" s="243" t="s">
        <v>28</v>
      </c>
      <c r="U35" s="243" t="s">
        <v>28</v>
      </c>
      <c r="V35" s="253" t="s">
        <v>28</v>
      </c>
    </row>
    <row r="36" spans="1:22" ht="9.6" customHeight="1">
      <c r="A36" s="246" t="s">
        <v>116</v>
      </c>
      <c r="B36" s="172" t="s">
        <v>117</v>
      </c>
      <c r="C36" s="247">
        <v>1997</v>
      </c>
      <c r="D36" s="247">
        <v>981</v>
      </c>
      <c r="E36" s="247">
        <v>7</v>
      </c>
      <c r="F36" s="247">
        <v>5</v>
      </c>
      <c r="G36" s="247">
        <v>1967</v>
      </c>
      <c r="H36" s="247">
        <v>967</v>
      </c>
      <c r="I36" s="247">
        <v>21</v>
      </c>
      <c r="J36" s="247">
        <v>8</v>
      </c>
      <c r="K36" s="248">
        <v>1</v>
      </c>
      <c r="L36" s="247" t="s">
        <v>28</v>
      </c>
      <c r="M36" s="247" t="s">
        <v>28</v>
      </c>
      <c r="N36" s="247" t="s">
        <v>28</v>
      </c>
      <c r="O36" s="247">
        <v>1</v>
      </c>
      <c r="P36" s="247">
        <v>1</v>
      </c>
      <c r="Q36" s="247" t="s">
        <v>28</v>
      </c>
      <c r="R36" s="247" t="s">
        <v>28</v>
      </c>
      <c r="S36" s="247" t="s">
        <v>28</v>
      </c>
      <c r="T36" s="247" t="s">
        <v>28</v>
      </c>
      <c r="U36" s="247" t="s">
        <v>28</v>
      </c>
      <c r="V36" s="254" t="s">
        <v>28</v>
      </c>
    </row>
    <row r="37" spans="1:22" ht="9.6" customHeight="1">
      <c r="A37" s="246" t="s">
        <v>118</v>
      </c>
      <c r="B37" s="172" t="s">
        <v>119</v>
      </c>
      <c r="C37" s="247">
        <v>1972</v>
      </c>
      <c r="D37" s="247">
        <v>949</v>
      </c>
      <c r="E37" s="247" t="s">
        <v>28</v>
      </c>
      <c r="F37" s="247" t="s">
        <v>28</v>
      </c>
      <c r="G37" s="247">
        <v>14</v>
      </c>
      <c r="H37" s="247">
        <v>7</v>
      </c>
      <c r="I37" s="247">
        <v>1941</v>
      </c>
      <c r="J37" s="247">
        <v>937</v>
      </c>
      <c r="K37" s="248">
        <v>16</v>
      </c>
      <c r="L37" s="247">
        <v>5</v>
      </c>
      <c r="M37" s="247">
        <v>1</v>
      </c>
      <c r="N37" s="247" t="s">
        <v>28</v>
      </c>
      <c r="O37" s="247" t="s">
        <v>28</v>
      </c>
      <c r="P37" s="247" t="s">
        <v>28</v>
      </c>
      <c r="Q37" s="247" t="s">
        <v>28</v>
      </c>
      <c r="R37" s="247" t="s">
        <v>28</v>
      </c>
      <c r="S37" s="247" t="s">
        <v>28</v>
      </c>
      <c r="T37" s="247" t="s">
        <v>28</v>
      </c>
      <c r="U37" s="247" t="s">
        <v>28</v>
      </c>
      <c r="V37" s="254" t="s">
        <v>28</v>
      </c>
    </row>
    <row r="38" spans="1:22" ht="9.6" customHeight="1">
      <c r="A38" s="246" t="s">
        <v>120</v>
      </c>
      <c r="B38" s="172" t="s">
        <v>121</v>
      </c>
      <c r="C38" s="247">
        <v>1827</v>
      </c>
      <c r="D38" s="247">
        <v>902</v>
      </c>
      <c r="E38" s="247" t="s">
        <v>28</v>
      </c>
      <c r="F38" s="247" t="s">
        <v>28</v>
      </c>
      <c r="G38" s="247" t="s">
        <v>28</v>
      </c>
      <c r="H38" s="247" t="s">
        <v>28</v>
      </c>
      <c r="I38" s="247">
        <v>13</v>
      </c>
      <c r="J38" s="247">
        <v>6</v>
      </c>
      <c r="K38" s="248">
        <v>1800</v>
      </c>
      <c r="L38" s="247">
        <v>893</v>
      </c>
      <c r="M38" s="247">
        <v>12</v>
      </c>
      <c r="N38" s="247">
        <v>3</v>
      </c>
      <c r="O38" s="247">
        <v>1</v>
      </c>
      <c r="P38" s="247" t="s">
        <v>28</v>
      </c>
      <c r="Q38" s="247" t="s">
        <v>28</v>
      </c>
      <c r="R38" s="247" t="s">
        <v>28</v>
      </c>
      <c r="S38" s="247">
        <v>1</v>
      </c>
      <c r="T38" s="247" t="s">
        <v>28</v>
      </c>
      <c r="U38" s="247" t="s">
        <v>28</v>
      </c>
      <c r="V38" s="254" t="s">
        <v>28</v>
      </c>
    </row>
    <row r="39" spans="1:22" ht="9.6" customHeight="1">
      <c r="A39" s="102" t="s">
        <v>49</v>
      </c>
      <c r="B39" s="170" t="s">
        <v>50</v>
      </c>
      <c r="C39" s="243">
        <v>1241</v>
      </c>
      <c r="D39" s="243">
        <v>179</v>
      </c>
      <c r="E39" s="243" t="s">
        <v>28</v>
      </c>
      <c r="F39" s="243" t="s">
        <v>28</v>
      </c>
      <c r="G39" s="243">
        <v>410</v>
      </c>
      <c r="H39" s="243">
        <v>52</v>
      </c>
      <c r="I39" s="243">
        <v>413</v>
      </c>
      <c r="J39" s="243">
        <v>58</v>
      </c>
      <c r="K39" s="244">
        <v>416</v>
      </c>
      <c r="L39" s="243">
        <v>68</v>
      </c>
      <c r="M39" s="243">
        <v>2</v>
      </c>
      <c r="N39" s="243">
        <v>1</v>
      </c>
      <c r="O39" s="243" t="s">
        <v>28</v>
      </c>
      <c r="P39" s="243" t="s">
        <v>28</v>
      </c>
      <c r="Q39" s="243" t="s">
        <v>28</v>
      </c>
      <c r="R39" s="243" t="s">
        <v>28</v>
      </c>
      <c r="S39" s="243" t="s">
        <v>28</v>
      </c>
      <c r="T39" s="243" t="s">
        <v>28</v>
      </c>
      <c r="U39" s="243" t="s">
        <v>28</v>
      </c>
      <c r="V39" s="253" t="s">
        <v>28</v>
      </c>
    </row>
    <row r="40" spans="1:22" ht="9.6" customHeight="1">
      <c r="A40" s="246" t="s">
        <v>116</v>
      </c>
      <c r="B40" s="172" t="s">
        <v>117</v>
      </c>
      <c r="C40" s="247">
        <v>420</v>
      </c>
      <c r="D40" s="247">
        <v>54</v>
      </c>
      <c r="E40" s="247" t="s">
        <v>28</v>
      </c>
      <c r="F40" s="247" t="s">
        <v>28</v>
      </c>
      <c r="G40" s="247">
        <v>410</v>
      </c>
      <c r="H40" s="247">
        <v>52</v>
      </c>
      <c r="I40" s="247">
        <v>9</v>
      </c>
      <c r="J40" s="247">
        <v>2</v>
      </c>
      <c r="K40" s="248" t="s">
        <v>28</v>
      </c>
      <c r="L40" s="247" t="s">
        <v>28</v>
      </c>
      <c r="M40" s="247">
        <v>1</v>
      </c>
      <c r="N40" s="247" t="s">
        <v>28</v>
      </c>
      <c r="O40" s="247" t="s">
        <v>28</v>
      </c>
      <c r="P40" s="247" t="s">
        <v>28</v>
      </c>
      <c r="Q40" s="247" t="s">
        <v>28</v>
      </c>
      <c r="R40" s="247" t="s">
        <v>28</v>
      </c>
      <c r="S40" s="247" t="s">
        <v>28</v>
      </c>
      <c r="T40" s="247" t="s">
        <v>28</v>
      </c>
      <c r="U40" s="247" t="s">
        <v>28</v>
      </c>
      <c r="V40" s="254" t="s">
        <v>28</v>
      </c>
    </row>
    <row r="41" spans="1:22" ht="9.6" customHeight="1">
      <c r="A41" s="246" t="s">
        <v>118</v>
      </c>
      <c r="B41" s="172" t="s">
        <v>119</v>
      </c>
      <c r="C41" s="247">
        <v>404</v>
      </c>
      <c r="D41" s="247">
        <v>57</v>
      </c>
      <c r="E41" s="247" t="s">
        <v>28</v>
      </c>
      <c r="F41" s="247" t="s">
        <v>28</v>
      </c>
      <c r="G41" s="247" t="s">
        <v>28</v>
      </c>
      <c r="H41" s="247" t="s">
        <v>28</v>
      </c>
      <c r="I41" s="247">
        <v>402</v>
      </c>
      <c r="J41" s="247">
        <v>56</v>
      </c>
      <c r="K41" s="248">
        <v>2</v>
      </c>
      <c r="L41" s="247">
        <v>1</v>
      </c>
      <c r="M41" s="247" t="s">
        <v>28</v>
      </c>
      <c r="N41" s="247" t="s">
        <v>28</v>
      </c>
      <c r="O41" s="247" t="s">
        <v>28</v>
      </c>
      <c r="P41" s="247" t="s">
        <v>28</v>
      </c>
      <c r="Q41" s="247" t="s">
        <v>28</v>
      </c>
      <c r="R41" s="247" t="s">
        <v>28</v>
      </c>
      <c r="S41" s="247" t="s">
        <v>28</v>
      </c>
      <c r="T41" s="247" t="s">
        <v>28</v>
      </c>
      <c r="U41" s="247" t="s">
        <v>28</v>
      </c>
      <c r="V41" s="254" t="s">
        <v>28</v>
      </c>
    </row>
    <row r="42" spans="1:22" ht="9.6" customHeight="1">
      <c r="A42" s="246" t="s">
        <v>120</v>
      </c>
      <c r="B42" s="172" t="s">
        <v>121</v>
      </c>
      <c r="C42" s="247">
        <v>417</v>
      </c>
      <c r="D42" s="247">
        <v>68</v>
      </c>
      <c r="E42" s="247" t="s">
        <v>28</v>
      </c>
      <c r="F42" s="247" t="s">
        <v>28</v>
      </c>
      <c r="G42" s="247" t="s">
        <v>28</v>
      </c>
      <c r="H42" s="247" t="s">
        <v>28</v>
      </c>
      <c r="I42" s="247">
        <v>2</v>
      </c>
      <c r="J42" s="247" t="s">
        <v>28</v>
      </c>
      <c r="K42" s="248">
        <v>414</v>
      </c>
      <c r="L42" s="247">
        <v>67</v>
      </c>
      <c r="M42" s="247">
        <v>1</v>
      </c>
      <c r="N42" s="247">
        <v>1</v>
      </c>
      <c r="O42" s="247" t="s">
        <v>28</v>
      </c>
      <c r="P42" s="247" t="s">
        <v>28</v>
      </c>
      <c r="Q42" s="247" t="s">
        <v>28</v>
      </c>
      <c r="R42" s="247" t="s">
        <v>28</v>
      </c>
      <c r="S42" s="247" t="s">
        <v>28</v>
      </c>
      <c r="T42" s="247" t="s">
        <v>28</v>
      </c>
      <c r="U42" s="247" t="s">
        <v>28</v>
      </c>
      <c r="V42" s="254" t="s">
        <v>28</v>
      </c>
    </row>
    <row r="43" spans="1:22" ht="9.6" customHeight="1">
      <c r="A43" s="102" t="s">
        <v>963</v>
      </c>
      <c r="B43" s="170" t="s">
        <v>964</v>
      </c>
      <c r="C43" s="243">
        <v>7883</v>
      </c>
      <c r="D43" s="243">
        <v>4293</v>
      </c>
      <c r="E43" s="243">
        <v>5</v>
      </c>
      <c r="F43" s="243">
        <v>2</v>
      </c>
      <c r="G43" s="243">
        <v>2676</v>
      </c>
      <c r="H43" s="243">
        <v>1471</v>
      </c>
      <c r="I43" s="243">
        <v>2630</v>
      </c>
      <c r="J43" s="243">
        <v>1427</v>
      </c>
      <c r="K43" s="244">
        <v>2546</v>
      </c>
      <c r="L43" s="243">
        <v>1381</v>
      </c>
      <c r="M43" s="243">
        <v>22</v>
      </c>
      <c r="N43" s="243">
        <v>9</v>
      </c>
      <c r="O43" s="243">
        <v>2</v>
      </c>
      <c r="P43" s="243">
        <v>2</v>
      </c>
      <c r="Q43" s="243">
        <v>1</v>
      </c>
      <c r="R43" s="243">
        <v>1</v>
      </c>
      <c r="S43" s="243">
        <v>1</v>
      </c>
      <c r="T43" s="243" t="s">
        <v>28</v>
      </c>
      <c r="U43" s="243" t="s">
        <v>28</v>
      </c>
      <c r="V43" s="253" t="s">
        <v>28</v>
      </c>
    </row>
    <row r="44" spans="1:22" ht="9.6" customHeight="1">
      <c r="A44" s="246" t="s">
        <v>116</v>
      </c>
      <c r="B44" s="172" t="s">
        <v>117</v>
      </c>
      <c r="C44" s="247">
        <v>2692</v>
      </c>
      <c r="D44" s="247">
        <v>1478</v>
      </c>
      <c r="E44" s="247">
        <v>5</v>
      </c>
      <c r="F44" s="247">
        <v>2</v>
      </c>
      <c r="G44" s="247">
        <v>2662</v>
      </c>
      <c r="H44" s="247">
        <v>1465</v>
      </c>
      <c r="I44" s="247">
        <v>22</v>
      </c>
      <c r="J44" s="247">
        <v>9</v>
      </c>
      <c r="K44" s="248">
        <v>3</v>
      </c>
      <c r="L44" s="247">
        <v>2</v>
      </c>
      <c r="M44" s="247" t="s">
        <v>28</v>
      </c>
      <c r="N44" s="247" t="s">
        <v>28</v>
      </c>
      <c r="O44" s="247" t="s">
        <v>28</v>
      </c>
      <c r="P44" s="247" t="s">
        <v>28</v>
      </c>
      <c r="Q44" s="247" t="s">
        <v>28</v>
      </c>
      <c r="R44" s="247" t="s">
        <v>28</v>
      </c>
      <c r="S44" s="247" t="s">
        <v>28</v>
      </c>
      <c r="T44" s="247" t="s">
        <v>28</v>
      </c>
      <c r="U44" s="247" t="s">
        <v>28</v>
      </c>
      <c r="V44" s="254" t="s">
        <v>28</v>
      </c>
    </row>
    <row r="45" spans="1:22" ht="9.6" customHeight="1">
      <c r="A45" s="246" t="s">
        <v>118</v>
      </c>
      <c r="B45" s="172" t="s">
        <v>119</v>
      </c>
      <c r="C45" s="247">
        <v>2638</v>
      </c>
      <c r="D45" s="247">
        <v>1430</v>
      </c>
      <c r="E45" s="247" t="s">
        <v>28</v>
      </c>
      <c r="F45" s="247" t="s">
        <v>28</v>
      </c>
      <c r="G45" s="247">
        <v>14</v>
      </c>
      <c r="H45" s="247">
        <v>6</v>
      </c>
      <c r="I45" s="247">
        <v>2598</v>
      </c>
      <c r="J45" s="247">
        <v>1412</v>
      </c>
      <c r="K45" s="248">
        <v>24</v>
      </c>
      <c r="L45" s="247">
        <v>11</v>
      </c>
      <c r="M45" s="247" t="s">
        <v>28</v>
      </c>
      <c r="N45" s="247" t="s">
        <v>28</v>
      </c>
      <c r="O45" s="247">
        <v>1</v>
      </c>
      <c r="P45" s="247">
        <v>1</v>
      </c>
      <c r="Q45" s="247" t="s">
        <v>28</v>
      </c>
      <c r="R45" s="247" t="s">
        <v>28</v>
      </c>
      <c r="S45" s="247">
        <v>1</v>
      </c>
      <c r="T45" s="247" t="s">
        <v>28</v>
      </c>
      <c r="U45" s="247" t="s">
        <v>28</v>
      </c>
      <c r="V45" s="254" t="s">
        <v>28</v>
      </c>
    </row>
    <row r="46" spans="1:22" ht="9.6" customHeight="1">
      <c r="A46" s="246" t="s">
        <v>120</v>
      </c>
      <c r="B46" s="172" t="s">
        <v>121</v>
      </c>
      <c r="C46" s="247">
        <v>2553</v>
      </c>
      <c r="D46" s="247">
        <v>1385</v>
      </c>
      <c r="E46" s="247" t="s">
        <v>28</v>
      </c>
      <c r="F46" s="247" t="s">
        <v>28</v>
      </c>
      <c r="G46" s="247" t="s">
        <v>28</v>
      </c>
      <c r="H46" s="247" t="s">
        <v>28</v>
      </c>
      <c r="I46" s="247">
        <v>10</v>
      </c>
      <c r="J46" s="247">
        <v>6</v>
      </c>
      <c r="K46" s="248">
        <v>2519</v>
      </c>
      <c r="L46" s="247">
        <v>1368</v>
      </c>
      <c r="M46" s="247">
        <v>22</v>
      </c>
      <c r="N46" s="247">
        <v>9</v>
      </c>
      <c r="O46" s="247">
        <v>1</v>
      </c>
      <c r="P46" s="247">
        <v>1</v>
      </c>
      <c r="Q46" s="247">
        <v>1</v>
      </c>
      <c r="R46" s="247">
        <v>1</v>
      </c>
      <c r="S46" s="247" t="s">
        <v>28</v>
      </c>
      <c r="T46" s="247" t="s">
        <v>28</v>
      </c>
      <c r="U46" s="247" t="s">
        <v>28</v>
      </c>
      <c r="V46" s="254" t="s">
        <v>28</v>
      </c>
    </row>
    <row r="47" spans="1:22" ht="9.6" customHeight="1">
      <c r="A47" s="102" t="s">
        <v>51</v>
      </c>
      <c r="B47" s="170" t="s">
        <v>52</v>
      </c>
      <c r="C47" s="243">
        <v>14407</v>
      </c>
      <c r="D47" s="243">
        <v>7110</v>
      </c>
      <c r="E47" s="243">
        <v>21</v>
      </c>
      <c r="F47" s="243">
        <v>11</v>
      </c>
      <c r="G47" s="243">
        <v>4869</v>
      </c>
      <c r="H47" s="243">
        <v>2414</v>
      </c>
      <c r="I47" s="243">
        <v>4824</v>
      </c>
      <c r="J47" s="243">
        <v>2382</v>
      </c>
      <c r="K47" s="244">
        <v>4604</v>
      </c>
      <c r="L47" s="243">
        <v>2258</v>
      </c>
      <c r="M47" s="243">
        <v>82</v>
      </c>
      <c r="N47" s="243">
        <v>43</v>
      </c>
      <c r="O47" s="243">
        <v>7</v>
      </c>
      <c r="P47" s="243">
        <v>2</v>
      </c>
      <c r="Q47" s="243" t="s">
        <v>28</v>
      </c>
      <c r="R47" s="243" t="s">
        <v>28</v>
      </c>
      <c r="S47" s="243" t="s">
        <v>28</v>
      </c>
      <c r="T47" s="243" t="s">
        <v>28</v>
      </c>
      <c r="U47" s="243" t="s">
        <v>28</v>
      </c>
      <c r="V47" s="253" t="s">
        <v>28</v>
      </c>
    </row>
    <row r="48" spans="1:22" ht="9.6" customHeight="1">
      <c r="A48" s="246" t="s">
        <v>116</v>
      </c>
      <c r="B48" s="172" t="s">
        <v>117</v>
      </c>
      <c r="C48" s="247">
        <v>4953</v>
      </c>
      <c r="D48" s="247">
        <v>2447</v>
      </c>
      <c r="E48" s="247">
        <v>21</v>
      </c>
      <c r="F48" s="247">
        <v>11</v>
      </c>
      <c r="G48" s="247">
        <v>4839</v>
      </c>
      <c r="H48" s="247">
        <v>2395</v>
      </c>
      <c r="I48" s="247">
        <v>87</v>
      </c>
      <c r="J48" s="247">
        <v>38</v>
      </c>
      <c r="K48" s="248">
        <v>5</v>
      </c>
      <c r="L48" s="247">
        <v>3</v>
      </c>
      <c r="M48" s="247">
        <v>1</v>
      </c>
      <c r="N48" s="247" t="s">
        <v>28</v>
      </c>
      <c r="O48" s="247" t="s">
        <v>28</v>
      </c>
      <c r="P48" s="247" t="s">
        <v>28</v>
      </c>
      <c r="Q48" s="247" t="s">
        <v>28</v>
      </c>
      <c r="R48" s="247" t="s">
        <v>28</v>
      </c>
      <c r="S48" s="247" t="s">
        <v>28</v>
      </c>
      <c r="T48" s="247" t="s">
        <v>28</v>
      </c>
      <c r="U48" s="247" t="s">
        <v>28</v>
      </c>
      <c r="V48" s="254" t="s">
        <v>28</v>
      </c>
    </row>
    <row r="49" spans="1:22" ht="9.6" customHeight="1">
      <c r="A49" s="246" t="s">
        <v>118</v>
      </c>
      <c r="B49" s="172" t="s">
        <v>119</v>
      </c>
      <c r="C49" s="247">
        <v>4812</v>
      </c>
      <c r="D49" s="247">
        <v>2376</v>
      </c>
      <c r="E49" s="247" t="s">
        <v>28</v>
      </c>
      <c r="F49" s="247" t="s">
        <v>28</v>
      </c>
      <c r="G49" s="247">
        <v>29</v>
      </c>
      <c r="H49" s="247">
        <v>18</v>
      </c>
      <c r="I49" s="247">
        <v>4691</v>
      </c>
      <c r="J49" s="247">
        <v>2316</v>
      </c>
      <c r="K49" s="248">
        <v>87</v>
      </c>
      <c r="L49" s="247">
        <v>41</v>
      </c>
      <c r="M49" s="247">
        <v>5</v>
      </c>
      <c r="N49" s="247">
        <v>1</v>
      </c>
      <c r="O49" s="247" t="s">
        <v>28</v>
      </c>
      <c r="P49" s="247" t="s">
        <v>28</v>
      </c>
      <c r="Q49" s="247" t="s">
        <v>28</v>
      </c>
      <c r="R49" s="247" t="s">
        <v>28</v>
      </c>
      <c r="S49" s="247" t="s">
        <v>28</v>
      </c>
      <c r="T49" s="247" t="s">
        <v>28</v>
      </c>
      <c r="U49" s="247" t="s">
        <v>28</v>
      </c>
      <c r="V49" s="254" t="s">
        <v>28</v>
      </c>
    </row>
    <row r="50" spans="1:22" ht="9.6" customHeight="1">
      <c r="A50" s="246" t="s">
        <v>120</v>
      </c>
      <c r="B50" s="172" t="s">
        <v>121</v>
      </c>
      <c r="C50" s="247">
        <v>4642</v>
      </c>
      <c r="D50" s="247">
        <v>2287</v>
      </c>
      <c r="E50" s="247" t="s">
        <v>28</v>
      </c>
      <c r="F50" s="247" t="s">
        <v>28</v>
      </c>
      <c r="G50" s="247">
        <v>1</v>
      </c>
      <c r="H50" s="247">
        <v>1</v>
      </c>
      <c r="I50" s="247">
        <v>46</v>
      </c>
      <c r="J50" s="247">
        <v>28</v>
      </c>
      <c r="K50" s="248">
        <v>4512</v>
      </c>
      <c r="L50" s="247">
        <v>2214</v>
      </c>
      <c r="M50" s="247">
        <v>76</v>
      </c>
      <c r="N50" s="247">
        <v>42</v>
      </c>
      <c r="O50" s="247">
        <v>7</v>
      </c>
      <c r="P50" s="247">
        <v>2</v>
      </c>
      <c r="Q50" s="247" t="s">
        <v>28</v>
      </c>
      <c r="R50" s="247" t="s">
        <v>28</v>
      </c>
      <c r="S50" s="247" t="s">
        <v>28</v>
      </c>
      <c r="T50" s="247" t="s">
        <v>28</v>
      </c>
      <c r="U50" s="247" t="s">
        <v>28</v>
      </c>
      <c r="V50" s="254" t="s">
        <v>28</v>
      </c>
    </row>
    <row r="51" spans="1:22" ht="9.6" customHeight="1">
      <c r="A51" s="102" t="s">
        <v>53</v>
      </c>
      <c r="B51" s="170" t="s">
        <v>54</v>
      </c>
      <c r="C51" s="243">
        <v>14166</v>
      </c>
      <c r="D51" s="243">
        <v>6782</v>
      </c>
      <c r="E51" s="243">
        <v>8</v>
      </c>
      <c r="F51" s="243">
        <v>6</v>
      </c>
      <c r="G51" s="243">
        <v>4807</v>
      </c>
      <c r="H51" s="243">
        <v>2307</v>
      </c>
      <c r="I51" s="243">
        <v>4681</v>
      </c>
      <c r="J51" s="243">
        <v>2247</v>
      </c>
      <c r="K51" s="244">
        <v>4618</v>
      </c>
      <c r="L51" s="243">
        <v>2199</v>
      </c>
      <c r="M51" s="243">
        <v>42</v>
      </c>
      <c r="N51" s="243">
        <v>19</v>
      </c>
      <c r="O51" s="243">
        <v>9</v>
      </c>
      <c r="P51" s="243">
        <v>4</v>
      </c>
      <c r="Q51" s="243" t="s">
        <v>28</v>
      </c>
      <c r="R51" s="243" t="s">
        <v>28</v>
      </c>
      <c r="S51" s="243">
        <v>1</v>
      </c>
      <c r="T51" s="243" t="s">
        <v>28</v>
      </c>
      <c r="U51" s="243" t="s">
        <v>28</v>
      </c>
      <c r="V51" s="253" t="s">
        <v>28</v>
      </c>
    </row>
    <row r="52" spans="1:22" ht="9.6" customHeight="1">
      <c r="A52" s="246" t="s">
        <v>116</v>
      </c>
      <c r="B52" s="172" t="s">
        <v>117</v>
      </c>
      <c r="C52" s="247">
        <v>4825</v>
      </c>
      <c r="D52" s="247">
        <v>2311</v>
      </c>
      <c r="E52" s="247">
        <v>8</v>
      </c>
      <c r="F52" s="247">
        <v>6</v>
      </c>
      <c r="G52" s="247">
        <v>4788</v>
      </c>
      <c r="H52" s="247">
        <v>2297</v>
      </c>
      <c r="I52" s="247">
        <v>26</v>
      </c>
      <c r="J52" s="247">
        <v>7</v>
      </c>
      <c r="K52" s="248">
        <v>2</v>
      </c>
      <c r="L52" s="247">
        <v>1</v>
      </c>
      <c r="M52" s="247" t="s">
        <v>28</v>
      </c>
      <c r="N52" s="247" t="s">
        <v>28</v>
      </c>
      <c r="O52" s="247">
        <v>1</v>
      </c>
      <c r="P52" s="247" t="s">
        <v>28</v>
      </c>
      <c r="Q52" s="247" t="s">
        <v>28</v>
      </c>
      <c r="R52" s="247" t="s">
        <v>28</v>
      </c>
      <c r="S52" s="247" t="s">
        <v>28</v>
      </c>
      <c r="T52" s="247" t="s">
        <v>28</v>
      </c>
      <c r="U52" s="247" t="s">
        <v>28</v>
      </c>
      <c r="V52" s="254" t="s">
        <v>28</v>
      </c>
    </row>
    <row r="53" spans="1:22" ht="9.6" customHeight="1">
      <c r="A53" s="246" t="s">
        <v>118</v>
      </c>
      <c r="B53" s="172" t="s">
        <v>119</v>
      </c>
      <c r="C53" s="247">
        <v>4678</v>
      </c>
      <c r="D53" s="247">
        <v>2253</v>
      </c>
      <c r="E53" s="247" t="s">
        <v>28</v>
      </c>
      <c r="F53" s="247" t="s">
        <v>28</v>
      </c>
      <c r="G53" s="247">
        <v>16</v>
      </c>
      <c r="H53" s="247">
        <v>10</v>
      </c>
      <c r="I53" s="247">
        <v>4636</v>
      </c>
      <c r="J53" s="247">
        <v>2230</v>
      </c>
      <c r="K53" s="248">
        <v>25</v>
      </c>
      <c r="L53" s="247">
        <v>12</v>
      </c>
      <c r="M53" s="247" t="s">
        <v>28</v>
      </c>
      <c r="N53" s="247" t="s">
        <v>28</v>
      </c>
      <c r="O53" s="247">
        <v>1</v>
      </c>
      <c r="P53" s="247">
        <v>1</v>
      </c>
      <c r="Q53" s="247" t="s">
        <v>28</v>
      </c>
      <c r="R53" s="247" t="s">
        <v>28</v>
      </c>
      <c r="S53" s="247" t="s">
        <v>28</v>
      </c>
      <c r="T53" s="247" t="s">
        <v>28</v>
      </c>
      <c r="U53" s="247" t="s">
        <v>28</v>
      </c>
      <c r="V53" s="254" t="s">
        <v>28</v>
      </c>
    </row>
    <row r="54" spans="1:22" ht="9.6" customHeight="1">
      <c r="A54" s="246" t="s">
        <v>120</v>
      </c>
      <c r="B54" s="172" t="s">
        <v>121</v>
      </c>
      <c r="C54" s="247">
        <v>4663</v>
      </c>
      <c r="D54" s="247">
        <v>2218</v>
      </c>
      <c r="E54" s="247" t="s">
        <v>28</v>
      </c>
      <c r="F54" s="247" t="s">
        <v>28</v>
      </c>
      <c r="G54" s="247">
        <v>3</v>
      </c>
      <c r="H54" s="247" t="s">
        <v>28</v>
      </c>
      <c r="I54" s="247">
        <v>19</v>
      </c>
      <c r="J54" s="247">
        <v>10</v>
      </c>
      <c r="K54" s="248">
        <v>4591</v>
      </c>
      <c r="L54" s="247">
        <v>2186</v>
      </c>
      <c r="M54" s="247">
        <v>42</v>
      </c>
      <c r="N54" s="247">
        <v>19</v>
      </c>
      <c r="O54" s="247">
        <v>7</v>
      </c>
      <c r="P54" s="247">
        <v>3</v>
      </c>
      <c r="Q54" s="247" t="s">
        <v>28</v>
      </c>
      <c r="R54" s="247" t="s">
        <v>28</v>
      </c>
      <c r="S54" s="247">
        <v>1</v>
      </c>
      <c r="T54" s="247" t="s">
        <v>28</v>
      </c>
      <c r="U54" s="247" t="s">
        <v>28</v>
      </c>
      <c r="V54" s="254" t="s">
        <v>28</v>
      </c>
    </row>
    <row r="55" spans="1:22" ht="9.6" customHeight="1">
      <c r="A55" s="102" t="s">
        <v>55</v>
      </c>
      <c r="B55" s="170" t="s">
        <v>56</v>
      </c>
      <c r="C55" s="243">
        <v>11517</v>
      </c>
      <c r="D55" s="243">
        <v>5511</v>
      </c>
      <c r="E55" s="243">
        <v>12</v>
      </c>
      <c r="F55" s="243">
        <v>4</v>
      </c>
      <c r="G55" s="243">
        <v>3840</v>
      </c>
      <c r="H55" s="243">
        <v>1865</v>
      </c>
      <c r="I55" s="243">
        <v>3863</v>
      </c>
      <c r="J55" s="243">
        <v>1795</v>
      </c>
      <c r="K55" s="244">
        <v>3750</v>
      </c>
      <c r="L55" s="243">
        <v>1825</v>
      </c>
      <c r="M55" s="243">
        <v>42</v>
      </c>
      <c r="N55" s="243">
        <v>17</v>
      </c>
      <c r="O55" s="243">
        <v>8</v>
      </c>
      <c r="P55" s="243">
        <v>4</v>
      </c>
      <c r="Q55" s="243">
        <v>2</v>
      </c>
      <c r="R55" s="243">
        <v>1</v>
      </c>
      <c r="S55" s="243" t="s">
        <v>28</v>
      </c>
      <c r="T55" s="243" t="s">
        <v>28</v>
      </c>
      <c r="U55" s="243" t="s">
        <v>28</v>
      </c>
      <c r="V55" s="253" t="s">
        <v>28</v>
      </c>
    </row>
    <row r="56" spans="1:22" ht="9.6" customHeight="1">
      <c r="A56" s="246" t="s">
        <v>116</v>
      </c>
      <c r="B56" s="172" t="s">
        <v>117</v>
      </c>
      <c r="C56" s="247">
        <v>3868</v>
      </c>
      <c r="D56" s="247">
        <v>1878</v>
      </c>
      <c r="E56" s="247">
        <v>12</v>
      </c>
      <c r="F56" s="247">
        <v>4</v>
      </c>
      <c r="G56" s="247">
        <v>3826</v>
      </c>
      <c r="H56" s="247">
        <v>1859</v>
      </c>
      <c r="I56" s="247">
        <v>30</v>
      </c>
      <c r="J56" s="247">
        <v>15</v>
      </c>
      <c r="K56" s="248" t="s">
        <v>28</v>
      </c>
      <c r="L56" s="247" t="s">
        <v>28</v>
      </c>
      <c r="M56" s="247" t="s">
        <v>28</v>
      </c>
      <c r="N56" s="247" t="s">
        <v>28</v>
      </c>
      <c r="O56" s="247" t="s">
        <v>28</v>
      </c>
      <c r="P56" s="247" t="s">
        <v>28</v>
      </c>
      <c r="Q56" s="247" t="s">
        <v>28</v>
      </c>
      <c r="R56" s="247" t="s">
        <v>28</v>
      </c>
      <c r="S56" s="247" t="s">
        <v>28</v>
      </c>
      <c r="T56" s="247" t="s">
        <v>28</v>
      </c>
      <c r="U56" s="247" t="s">
        <v>28</v>
      </c>
      <c r="V56" s="254" t="s">
        <v>28</v>
      </c>
    </row>
    <row r="57" spans="1:22" ht="9.6" customHeight="1">
      <c r="A57" s="246" t="s">
        <v>118</v>
      </c>
      <c r="B57" s="172" t="s">
        <v>119</v>
      </c>
      <c r="C57" s="247">
        <v>3874</v>
      </c>
      <c r="D57" s="247">
        <v>1798</v>
      </c>
      <c r="E57" s="247" t="s">
        <v>28</v>
      </c>
      <c r="F57" s="247" t="s">
        <v>28</v>
      </c>
      <c r="G57" s="247">
        <v>14</v>
      </c>
      <c r="H57" s="247">
        <v>6</v>
      </c>
      <c r="I57" s="247">
        <v>3816</v>
      </c>
      <c r="J57" s="247">
        <v>1772</v>
      </c>
      <c r="K57" s="248">
        <v>39</v>
      </c>
      <c r="L57" s="247">
        <v>18</v>
      </c>
      <c r="M57" s="247">
        <v>4</v>
      </c>
      <c r="N57" s="247">
        <v>1</v>
      </c>
      <c r="O57" s="247">
        <v>1</v>
      </c>
      <c r="P57" s="247">
        <v>1</v>
      </c>
      <c r="Q57" s="247" t="s">
        <v>28</v>
      </c>
      <c r="R57" s="247" t="s">
        <v>28</v>
      </c>
      <c r="S57" s="247" t="s">
        <v>28</v>
      </c>
      <c r="T57" s="247" t="s">
        <v>28</v>
      </c>
      <c r="U57" s="247" t="s">
        <v>28</v>
      </c>
      <c r="V57" s="254" t="s">
        <v>28</v>
      </c>
    </row>
    <row r="58" spans="1:22" ht="9.6" customHeight="1">
      <c r="A58" s="246" t="s">
        <v>120</v>
      </c>
      <c r="B58" s="172" t="s">
        <v>121</v>
      </c>
      <c r="C58" s="247">
        <v>3775</v>
      </c>
      <c r="D58" s="247">
        <v>1835</v>
      </c>
      <c r="E58" s="247" t="s">
        <v>28</v>
      </c>
      <c r="F58" s="247" t="s">
        <v>28</v>
      </c>
      <c r="G58" s="247" t="s">
        <v>28</v>
      </c>
      <c r="H58" s="247" t="s">
        <v>28</v>
      </c>
      <c r="I58" s="247">
        <v>17</v>
      </c>
      <c r="J58" s="247">
        <v>8</v>
      </c>
      <c r="K58" s="248">
        <v>3711</v>
      </c>
      <c r="L58" s="247">
        <v>1807</v>
      </c>
      <c r="M58" s="247">
        <v>38</v>
      </c>
      <c r="N58" s="247">
        <v>16</v>
      </c>
      <c r="O58" s="247">
        <v>7</v>
      </c>
      <c r="P58" s="247">
        <v>3</v>
      </c>
      <c r="Q58" s="247">
        <v>2</v>
      </c>
      <c r="R58" s="247">
        <v>1</v>
      </c>
      <c r="S58" s="247" t="s">
        <v>28</v>
      </c>
      <c r="T58" s="247" t="s">
        <v>28</v>
      </c>
      <c r="U58" s="247" t="s">
        <v>28</v>
      </c>
      <c r="V58" s="254" t="s">
        <v>28</v>
      </c>
    </row>
    <row r="59" spans="1:22" ht="9.6" customHeight="1">
      <c r="A59" s="102" t="s">
        <v>57</v>
      </c>
      <c r="B59" s="170" t="s">
        <v>58</v>
      </c>
      <c r="C59" s="243">
        <v>6201</v>
      </c>
      <c r="D59" s="243">
        <v>3110</v>
      </c>
      <c r="E59" s="243">
        <v>3</v>
      </c>
      <c r="F59" s="243">
        <v>2</v>
      </c>
      <c r="G59" s="243">
        <v>1990</v>
      </c>
      <c r="H59" s="243">
        <v>988</v>
      </c>
      <c r="I59" s="243">
        <v>2048</v>
      </c>
      <c r="J59" s="243">
        <v>1036</v>
      </c>
      <c r="K59" s="244">
        <v>2144</v>
      </c>
      <c r="L59" s="243">
        <v>1079</v>
      </c>
      <c r="M59" s="243">
        <v>16</v>
      </c>
      <c r="N59" s="243">
        <v>5</v>
      </c>
      <c r="O59" s="243" t="s">
        <v>28</v>
      </c>
      <c r="P59" s="243" t="s">
        <v>28</v>
      </c>
      <c r="Q59" s="243" t="s">
        <v>28</v>
      </c>
      <c r="R59" s="243" t="s">
        <v>28</v>
      </c>
      <c r="S59" s="243" t="s">
        <v>28</v>
      </c>
      <c r="T59" s="243" t="s">
        <v>28</v>
      </c>
      <c r="U59" s="243" t="s">
        <v>28</v>
      </c>
      <c r="V59" s="253" t="s">
        <v>28</v>
      </c>
    </row>
    <row r="60" spans="1:22" ht="9.6" customHeight="1">
      <c r="A60" s="246" t="s">
        <v>116</v>
      </c>
      <c r="B60" s="172" t="s">
        <v>117</v>
      </c>
      <c r="C60" s="247">
        <v>1995</v>
      </c>
      <c r="D60" s="247">
        <v>990</v>
      </c>
      <c r="E60" s="247">
        <v>3</v>
      </c>
      <c r="F60" s="247">
        <v>2</v>
      </c>
      <c r="G60" s="247">
        <v>1984</v>
      </c>
      <c r="H60" s="247">
        <v>984</v>
      </c>
      <c r="I60" s="247">
        <v>6</v>
      </c>
      <c r="J60" s="247">
        <v>2</v>
      </c>
      <c r="K60" s="248">
        <v>2</v>
      </c>
      <c r="L60" s="247">
        <v>2</v>
      </c>
      <c r="M60" s="247" t="s">
        <v>28</v>
      </c>
      <c r="N60" s="247" t="s">
        <v>28</v>
      </c>
      <c r="O60" s="247" t="s">
        <v>28</v>
      </c>
      <c r="P60" s="247" t="s">
        <v>28</v>
      </c>
      <c r="Q60" s="247" t="s">
        <v>28</v>
      </c>
      <c r="R60" s="247" t="s">
        <v>28</v>
      </c>
      <c r="S60" s="247" t="s">
        <v>28</v>
      </c>
      <c r="T60" s="247" t="s">
        <v>28</v>
      </c>
      <c r="U60" s="247" t="s">
        <v>28</v>
      </c>
      <c r="V60" s="254" t="s">
        <v>28</v>
      </c>
    </row>
    <row r="61" spans="1:22" ht="9.6" customHeight="1">
      <c r="A61" s="246" t="s">
        <v>118</v>
      </c>
      <c r="B61" s="172" t="s">
        <v>119</v>
      </c>
      <c r="C61" s="247">
        <v>2054</v>
      </c>
      <c r="D61" s="247">
        <v>1040</v>
      </c>
      <c r="E61" s="247" t="s">
        <v>28</v>
      </c>
      <c r="F61" s="247" t="s">
        <v>28</v>
      </c>
      <c r="G61" s="247">
        <v>6</v>
      </c>
      <c r="H61" s="247">
        <v>4</v>
      </c>
      <c r="I61" s="247">
        <v>2032</v>
      </c>
      <c r="J61" s="247">
        <v>1028</v>
      </c>
      <c r="K61" s="248">
        <v>16</v>
      </c>
      <c r="L61" s="247">
        <v>8</v>
      </c>
      <c r="M61" s="247" t="s">
        <v>28</v>
      </c>
      <c r="N61" s="247" t="s">
        <v>28</v>
      </c>
      <c r="O61" s="247" t="s">
        <v>28</v>
      </c>
      <c r="P61" s="247" t="s">
        <v>28</v>
      </c>
      <c r="Q61" s="247" t="s">
        <v>28</v>
      </c>
      <c r="R61" s="247" t="s">
        <v>28</v>
      </c>
      <c r="S61" s="247" t="s">
        <v>28</v>
      </c>
      <c r="T61" s="247" t="s">
        <v>28</v>
      </c>
      <c r="U61" s="247" t="s">
        <v>28</v>
      </c>
      <c r="V61" s="254" t="s">
        <v>28</v>
      </c>
    </row>
    <row r="62" spans="1:22" ht="9.6" customHeight="1">
      <c r="A62" s="246" t="s">
        <v>120</v>
      </c>
      <c r="B62" s="172" t="s">
        <v>121</v>
      </c>
      <c r="C62" s="247">
        <v>2152</v>
      </c>
      <c r="D62" s="247">
        <v>1080</v>
      </c>
      <c r="E62" s="247" t="s">
        <v>28</v>
      </c>
      <c r="F62" s="247" t="s">
        <v>28</v>
      </c>
      <c r="G62" s="247" t="s">
        <v>28</v>
      </c>
      <c r="H62" s="247" t="s">
        <v>28</v>
      </c>
      <c r="I62" s="247">
        <v>10</v>
      </c>
      <c r="J62" s="247">
        <v>6</v>
      </c>
      <c r="K62" s="248">
        <v>2126</v>
      </c>
      <c r="L62" s="247">
        <v>1069</v>
      </c>
      <c r="M62" s="247">
        <v>16</v>
      </c>
      <c r="N62" s="247">
        <v>5</v>
      </c>
      <c r="O62" s="247" t="s">
        <v>28</v>
      </c>
      <c r="P62" s="247" t="s">
        <v>28</v>
      </c>
      <c r="Q62" s="247" t="s">
        <v>28</v>
      </c>
      <c r="R62" s="247" t="s">
        <v>28</v>
      </c>
      <c r="S62" s="247" t="s">
        <v>28</v>
      </c>
      <c r="T62" s="247" t="s">
        <v>28</v>
      </c>
      <c r="U62" s="247" t="s">
        <v>28</v>
      </c>
      <c r="V62" s="254" t="s">
        <v>28</v>
      </c>
    </row>
    <row r="63" spans="1:22" ht="9.6" customHeight="1">
      <c r="A63" s="102" t="s">
        <v>59</v>
      </c>
      <c r="B63" s="170" t="s">
        <v>60</v>
      </c>
      <c r="C63" s="243">
        <v>19902</v>
      </c>
      <c r="D63" s="243">
        <v>9681</v>
      </c>
      <c r="E63" s="243">
        <v>16</v>
      </c>
      <c r="F63" s="243">
        <v>9</v>
      </c>
      <c r="G63" s="243">
        <v>6845</v>
      </c>
      <c r="H63" s="243">
        <v>3274</v>
      </c>
      <c r="I63" s="243">
        <v>6729</v>
      </c>
      <c r="J63" s="243">
        <v>3330</v>
      </c>
      <c r="K63" s="244">
        <v>6270</v>
      </c>
      <c r="L63" s="243">
        <v>3051</v>
      </c>
      <c r="M63" s="243">
        <v>40</v>
      </c>
      <c r="N63" s="243">
        <v>17</v>
      </c>
      <c r="O63" s="243">
        <v>2</v>
      </c>
      <c r="P63" s="243" t="s">
        <v>28</v>
      </c>
      <c r="Q63" s="243" t="s">
        <v>28</v>
      </c>
      <c r="R63" s="243" t="s">
        <v>28</v>
      </c>
      <c r="S63" s="243" t="s">
        <v>28</v>
      </c>
      <c r="T63" s="243" t="s">
        <v>28</v>
      </c>
      <c r="U63" s="243" t="s">
        <v>28</v>
      </c>
      <c r="V63" s="253" t="s">
        <v>28</v>
      </c>
    </row>
    <row r="64" spans="1:22" ht="9.6" customHeight="1">
      <c r="A64" s="246" t="s">
        <v>116</v>
      </c>
      <c r="B64" s="172" t="s">
        <v>117</v>
      </c>
      <c r="C64" s="247">
        <v>6867</v>
      </c>
      <c r="D64" s="247">
        <v>3288</v>
      </c>
      <c r="E64" s="247">
        <v>16</v>
      </c>
      <c r="F64" s="247">
        <v>9</v>
      </c>
      <c r="G64" s="247">
        <v>6811</v>
      </c>
      <c r="H64" s="247">
        <v>3260</v>
      </c>
      <c r="I64" s="247">
        <v>32</v>
      </c>
      <c r="J64" s="247">
        <v>15</v>
      </c>
      <c r="K64" s="248">
        <v>5</v>
      </c>
      <c r="L64" s="247">
        <v>3</v>
      </c>
      <c r="M64" s="247">
        <v>3</v>
      </c>
      <c r="N64" s="247">
        <v>1</v>
      </c>
      <c r="O64" s="247" t="s">
        <v>28</v>
      </c>
      <c r="P64" s="247" t="s">
        <v>28</v>
      </c>
      <c r="Q64" s="247" t="s">
        <v>28</v>
      </c>
      <c r="R64" s="247" t="s">
        <v>28</v>
      </c>
      <c r="S64" s="247" t="s">
        <v>28</v>
      </c>
      <c r="T64" s="247" t="s">
        <v>28</v>
      </c>
      <c r="U64" s="247" t="s">
        <v>28</v>
      </c>
      <c r="V64" s="254" t="s">
        <v>28</v>
      </c>
    </row>
    <row r="65" spans="1:22" ht="9.6" customHeight="1">
      <c r="A65" s="246" t="s">
        <v>118</v>
      </c>
      <c r="B65" s="172" t="s">
        <v>119</v>
      </c>
      <c r="C65" s="247">
        <v>6730</v>
      </c>
      <c r="D65" s="247">
        <v>3328</v>
      </c>
      <c r="E65" s="247" t="s">
        <v>28</v>
      </c>
      <c r="F65" s="247" t="s">
        <v>28</v>
      </c>
      <c r="G65" s="247">
        <v>29</v>
      </c>
      <c r="H65" s="247">
        <v>13</v>
      </c>
      <c r="I65" s="247">
        <v>6664</v>
      </c>
      <c r="J65" s="247">
        <v>3297</v>
      </c>
      <c r="K65" s="248">
        <v>29</v>
      </c>
      <c r="L65" s="247">
        <v>15</v>
      </c>
      <c r="M65" s="247">
        <v>8</v>
      </c>
      <c r="N65" s="247">
        <v>3</v>
      </c>
      <c r="O65" s="247" t="s">
        <v>28</v>
      </c>
      <c r="P65" s="247" t="s">
        <v>28</v>
      </c>
      <c r="Q65" s="247" t="s">
        <v>28</v>
      </c>
      <c r="R65" s="247" t="s">
        <v>28</v>
      </c>
      <c r="S65" s="247" t="s">
        <v>28</v>
      </c>
      <c r="T65" s="247" t="s">
        <v>28</v>
      </c>
      <c r="U65" s="247" t="s">
        <v>28</v>
      </c>
      <c r="V65" s="254" t="s">
        <v>28</v>
      </c>
    </row>
    <row r="66" spans="1:22" ht="9.6" customHeight="1">
      <c r="A66" s="246" t="s">
        <v>120</v>
      </c>
      <c r="B66" s="172" t="s">
        <v>121</v>
      </c>
      <c r="C66" s="247">
        <v>6305</v>
      </c>
      <c r="D66" s="247">
        <v>3065</v>
      </c>
      <c r="E66" s="247" t="s">
        <v>28</v>
      </c>
      <c r="F66" s="247" t="s">
        <v>28</v>
      </c>
      <c r="G66" s="247">
        <v>5</v>
      </c>
      <c r="H66" s="247">
        <v>1</v>
      </c>
      <c r="I66" s="247">
        <v>33</v>
      </c>
      <c r="J66" s="247">
        <v>18</v>
      </c>
      <c r="K66" s="248">
        <v>6236</v>
      </c>
      <c r="L66" s="247">
        <v>3033</v>
      </c>
      <c r="M66" s="247">
        <v>29</v>
      </c>
      <c r="N66" s="247">
        <v>13</v>
      </c>
      <c r="O66" s="247">
        <v>2</v>
      </c>
      <c r="P66" s="247" t="s">
        <v>28</v>
      </c>
      <c r="Q66" s="247" t="s">
        <v>28</v>
      </c>
      <c r="R66" s="247" t="s">
        <v>28</v>
      </c>
      <c r="S66" s="247" t="s">
        <v>28</v>
      </c>
      <c r="T66" s="247" t="s">
        <v>28</v>
      </c>
      <c r="U66" s="247" t="s">
        <v>28</v>
      </c>
      <c r="V66" s="254" t="s">
        <v>28</v>
      </c>
    </row>
    <row r="67" spans="1:22" ht="9.6" customHeight="1">
      <c r="A67" s="102" t="s">
        <v>61</v>
      </c>
      <c r="B67" s="170" t="s">
        <v>62</v>
      </c>
      <c r="C67" s="243">
        <v>1290</v>
      </c>
      <c r="D67" s="243">
        <v>603</v>
      </c>
      <c r="E67" s="243">
        <v>1</v>
      </c>
      <c r="F67" s="243" t="s">
        <v>28</v>
      </c>
      <c r="G67" s="243">
        <v>429</v>
      </c>
      <c r="H67" s="243">
        <v>197</v>
      </c>
      <c r="I67" s="243">
        <v>421</v>
      </c>
      <c r="J67" s="243">
        <v>195</v>
      </c>
      <c r="K67" s="244">
        <v>435</v>
      </c>
      <c r="L67" s="243">
        <v>209</v>
      </c>
      <c r="M67" s="243">
        <v>3</v>
      </c>
      <c r="N67" s="243">
        <v>1</v>
      </c>
      <c r="O67" s="243">
        <v>1</v>
      </c>
      <c r="P67" s="243">
        <v>1</v>
      </c>
      <c r="Q67" s="243" t="s">
        <v>28</v>
      </c>
      <c r="R67" s="243" t="s">
        <v>28</v>
      </c>
      <c r="S67" s="243" t="s">
        <v>28</v>
      </c>
      <c r="T67" s="243" t="s">
        <v>28</v>
      </c>
      <c r="U67" s="243" t="s">
        <v>28</v>
      </c>
      <c r="V67" s="253" t="s">
        <v>28</v>
      </c>
    </row>
    <row r="68" spans="1:22" ht="9.6" customHeight="1">
      <c r="A68" s="246" t="s">
        <v>116</v>
      </c>
      <c r="B68" s="172" t="s">
        <v>117</v>
      </c>
      <c r="C68" s="247">
        <v>429</v>
      </c>
      <c r="D68" s="247">
        <v>198</v>
      </c>
      <c r="E68" s="247">
        <v>1</v>
      </c>
      <c r="F68" s="247" t="s">
        <v>28</v>
      </c>
      <c r="G68" s="247">
        <v>424</v>
      </c>
      <c r="H68" s="247">
        <v>197</v>
      </c>
      <c r="I68" s="247">
        <v>4</v>
      </c>
      <c r="J68" s="247">
        <v>1</v>
      </c>
      <c r="K68" s="248" t="s">
        <v>28</v>
      </c>
      <c r="L68" s="247" t="s">
        <v>28</v>
      </c>
      <c r="M68" s="247" t="s">
        <v>28</v>
      </c>
      <c r="N68" s="247" t="s">
        <v>28</v>
      </c>
      <c r="O68" s="247" t="s">
        <v>28</v>
      </c>
      <c r="P68" s="247" t="s">
        <v>28</v>
      </c>
      <c r="Q68" s="247" t="s">
        <v>28</v>
      </c>
      <c r="R68" s="247" t="s">
        <v>28</v>
      </c>
      <c r="S68" s="247" t="s">
        <v>28</v>
      </c>
      <c r="T68" s="247" t="s">
        <v>28</v>
      </c>
      <c r="U68" s="247" t="s">
        <v>28</v>
      </c>
      <c r="V68" s="254" t="s">
        <v>28</v>
      </c>
    </row>
    <row r="69" spans="1:22" ht="9.6" customHeight="1">
      <c r="A69" s="246" t="s">
        <v>118</v>
      </c>
      <c r="B69" s="172" t="s">
        <v>119</v>
      </c>
      <c r="C69" s="247">
        <v>424</v>
      </c>
      <c r="D69" s="247">
        <v>192</v>
      </c>
      <c r="E69" s="247" t="s">
        <v>28</v>
      </c>
      <c r="F69" s="247" t="s">
        <v>28</v>
      </c>
      <c r="G69" s="247">
        <v>5</v>
      </c>
      <c r="H69" s="247" t="s">
        <v>28</v>
      </c>
      <c r="I69" s="247">
        <v>413</v>
      </c>
      <c r="J69" s="247">
        <v>191</v>
      </c>
      <c r="K69" s="248">
        <v>5</v>
      </c>
      <c r="L69" s="247">
        <v>1</v>
      </c>
      <c r="M69" s="247">
        <v>1</v>
      </c>
      <c r="N69" s="247" t="s">
        <v>28</v>
      </c>
      <c r="O69" s="247" t="s">
        <v>28</v>
      </c>
      <c r="P69" s="247" t="s">
        <v>28</v>
      </c>
      <c r="Q69" s="247" t="s">
        <v>28</v>
      </c>
      <c r="R69" s="247" t="s">
        <v>28</v>
      </c>
      <c r="S69" s="247" t="s">
        <v>28</v>
      </c>
      <c r="T69" s="247" t="s">
        <v>28</v>
      </c>
      <c r="U69" s="247" t="s">
        <v>28</v>
      </c>
      <c r="V69" s="254" t="s">
        <v>28</v>
      </c>
    </row>
    <row r="70" spans="1:22" ht="9.6" customHeight="1">
      <c r="A70" s="246" t="s">
        <v>120</v>
      </c>
      <c r="B70" s="172" t="s">
        <v>121</v>
      </c>
      <c r="C70" s="247">
        <v>437</v>
      </c>
      <c r="D70" s="247">
        <v>213</v>
      </c>
      <c r="E70" s="247" t="s">
        <v>28</v>
      </c>
      <c r="F70" s="247" t="s">
        <v>28</v>
      </c>
      <c r="G70" s="247" t="s">
        <v>28</v>
      </c>
      <c r="H70" s="247" t="s">
        <v>28</v>
      </c>
      <c r="I70" s="247">
        <v>4</v>
      </c>
      <c r="J70" s="247">
        <v>3</v>
      </c>
      <c r="K70" s="248">
        <v>430</v>
      </c>
      <c r="L70" s="247">
        <v>208</v>
      </c>
      <c r="M70" s="247">
        <v>2</v>
      </c>
      <c r="N70" s="247">
        <v>1</v>
      </c>
      <c r="O70" s="247">
        <v>1</v>
      </c>
      <c r="P70" s="247">
        <v>1</v>
      </c>
      <c r="Q70" s="247" t="s">
        <v>28</v>
      </c>
      <c r="R70" s="247" t="s">
        <v>28</v>
      </c>
      <c r="S70" s="247" t="s">
        <v>28</v>
      </c>
      <c r="T70" s="247" t="s">
        <v>28</v>
      </c>
      <c r="U70" s="247" t="s">
        <v>28</v>
      </c>
      <c r="V70" s="254" t="s">
        <v>28</v>
      </c>
    </row>
    <row r="71" spans="1:22" ht="9.6" customHeight="1">
      <c r="A71" s="102" t="s">
        <v>63</v>
      </c>
      <c r="B71" s="170" t="s">
        <v>64</v>
      </c>
      <c r="C71" s="243">
        <v>220</v>
      </c>
      <c r="D71" s="243">
        <v>111</v>
      </c>
      <c r="E71" s="243">
        <v>2</v>
      </c>
      <c r="F71" s="243">
        <v>1</v>
      </c>
      <c r="G71" s="243">
        <v>62</v>
      </c>
      <c r="H71" s="243">
        <v>33</v>
      </c>
      <c r="I71" s="243">
        <v>75</v>
      </c>
      <c r="J71" s="243">
        <v>33</v>
      </c>
      <c r="K71" s="244">
        <v>80</v>
      </c>
      <c r="L71" s="243">
        <v>43</v>
      </c>
      <c r="M71" s="243" t="s">
        <v>28</v>
      </c>
      <c r="N71" s="243" t="s">
        <v>28</v>
      </c>
      <c r="O71" s="243" t="s">
        <v>28</v>
      </c>
      <c r="P71" s="243" t="s">
        <v>28</v>
      </c>
      <c r="Q71" s="243" t="s">
        <v>28</v>
      </c>
      <c r="R71" s="243" t="s">
        <v>28</v>
      </c>
      <c r="S71" s="243" t="s">
        <v>28</v>
      </c>
      <c r="T71" s="243" t="s">
        <v>28</v>
      </c>
      <c r="U71" s="243">
        <v>1</v>
      </c>
      <c r="V71" s="253">
        <v>1</v>
      </c>
    </row>
    <row r="72" spans="1:22" ht="9.6" customHeight="1">
      <c r="A72" s="246" t="s">
        <v>116</v>
      </c>
      <c r="B72" s="172" t="s">
        <v>117</v>
      </c>
      <c r="C72" s="247">
        <v>64</v>
      </c>
      <c r="D72" s="247">
        <v>34</v>
      </c>
      <c r="E72" s="247">
        <v>2</v>
      </c>
      <c r="F72" s="247">
        <v>1</v>
      </c>
      <c r="G72" s="247">
        <v>61</v>
      </c>
      <c r="H72" s="247">
        <v>32</v>
      </c>
      <c r="I72" s="247" t="s">
        <v>28</v>
      </c>
      <c r="J72" s="247" t="s">
        <v>28</v>
      </c>
      <c r="K72" s="248" t="s">
        <v>28</v>
      </c>
      <c r="L72" s="247" t="s">
        <v>28</v>
      </c>
      <c r="M72" s="247" t="s">
        <v>28</v>
      </c>
      <c r="N72" s="247" t="s">
        <v>28</v>
      </c>
      <c r="O72" s="247" t="s">
        <v>28</v>
      </c>
      <c r="P72" s="247" t="s">
        <v>28</v>
      </c>
      <c r="Q72" s="247" t="s">
        <v>28</v>
      </c>
      <c r="R72" s="247" t="s">
        <v>28</v>
      </c>
      <c r="S72" s="247" t="s">
        <v>28</v>
      </c>
      <c r="T72" s="247" t="s">
        <v>28</v>
      </c>
      <c r="U72" s="247">
        <v>1</v>
      </c>
      <c r="V72" s="254">
        <v>1</v>
      </c>
    </row>
    <row r="73" spans="1:22" ht="9.6" customHeight="1">
      <c r="A73" s="246" t="s">
        <v>118</v>
      </c>
      <c r="B73" s="172" t="s">
        <v>119</v>
      </c>
      <c r="C73" s="247">
        <v>76</v>
      </c>
      <c r="D73" s="247">
        <v>34</v>
      </c>
      <c r="E73" s="247" t="s">
        <v>28</v>
      </c>
      <c r="F73" s="247" t="s">
        <v>28</v>
      </c>
      <c r="G73" s="247">
        <v>1</v>
      </c>
      <c r="H73" s="247">
        <v>1</v>
      </c>
      <c r="I73" s="247">
        <v>75</v>
      </c>
      <c r="J73" s="247">
        <v>33</v>
      </c>
      <c r="K73" s="248" t="s">
        <v>28</v>
      </c>
      <c r="L73" s="247" t="s">
        <v>28</v>
      </c>
      <c r="M73" s="247" t="s">
        <v>28</v>
      </c>
      <c r="N73" s="247" t="s">
        <v>28</v>
      </c>
      <c r="O73" s="247" t="s">
        <v>28</v>
      </c>
      <c r="P73" s="247" t="s">
        <v>28</v>
      </c>
      <c r="Q73" s="247" t="s">
        <v>28</v>
      </c>
      <c r="R73" s="247" t="s">
        <v>28</v>
      </c>
      <c r="S73" s="247" t="s">
        <v>28</v>
      </c>
      <c r="T73" s="247" t="s">
        <v>28</v>
      </c>
      <c r="U73" s="247" t="s">
        <v>28</v>
      </c>
      <c r="V73" s="254" t="s">
        <v>28</v>
      </c>
    </row>
    <row r="74" spans="1:22" ht="9.6" customHeight="1" thickBot="1">
      <c r="A74" s="1582" t="s">
        <v>120</v>
      </c>
      <c r="B74" s="1543" t="s">
        <v>121</v>
      </c>
      <c r="C74" s="1583">
        <v>80</v>
      </c>
      <c r="D74" s="1583">
        <v>43</v>
      </c>
      <c r="E74" s="1583" t="s">
        <v>28</v>
      </c>
      <c r="F74" s="1583" t="s">
        <v>28</v>
      </c>
      <c r="G74" s="1583" t="s">
        <v>28</v>
      </c>
      <c r="H74" s="1583" t="s">
        <v>28</v>
      </c>
      <c r="I74" s="1583" t="s">
        <v>28</v>
      </c>
      <c r="J74" s="1583" t="s">
        <v>28</v>
      </c>
      <c r="K74" s="251">
        <v>80</v>
      </c>
      <c r="L74" s="1583">
        <v>43</v>
      </c>
      <c r="M74" s="1583" t="s">
        <v>28</v>
      </c>
      <c r="N74" s="1583" t="s">
        <v>28</v>
      </c>
      <c r="O74" s="1583" t="s">
        <v>28</v>
      </c>
      <c r="P74" s="1583" t="s">
        <v>28</v>
      </c>
      <c r="Q74" s="1583" t="s">
        <v>28</v>
      </c>
      <c r="R74" s="1583" t="s">
        <v>28</v>
      </c>
      <c r="S74" s="1583" t="s">
        <v>28</v>
      </c>
      <c r="T74" s="1583" t="s">
        <v>28</v>
      </c>
      <c r="U74" s="1583" t="s">
        <v>28</v>
      </c>
      <c r="V74" s="392" t="s">
        <v>28</v>
      </c>
    </row>
    <row r="75" spans="1:22" ht="13.5">
      <c r="A75" s="1328" t="s">
        <v>122</v>
      </c>
      <c r="B75" s="1328"/>
      <c r="C75" s="1328"/>
      <c r="D75" s="1328"/>
      <c r="E75" s="1328"/>
      <c r="F75" s="1328"/>
      <c r="G75" s="1328"/>
      <c r="H75" s="1328"/>
      <c r="I75" s="1328"/>
      <c r="J75" s="1328"/>
      <c r="K75" s="1328" t="s">
        <v>82</v>
      </c>
      <c r="L75" s="1328"/>
      <c r="M75" s="1328"/>
      <c r="N75" s="1328"/>
      <c r="O75" s="1328"/>
      <c r="P75" s="1328"/>
      <c r="Q75" s="1328"/>
      <c r="R75" s="1328"/>
      <c r="S75" s="1328"/>
      <c r="T75" s="1328"/>
      <c r="U75" s="1328"/>
      <c r="V75" s="1328"/>
    </row>
    <row r="76" spans="1:22" ht="13.5">
      <c r="A76" s="256"/>
      <c r="B76" s="256"/>
      <c r="C76" s="256"/>
      <c r="D76" s="256"/>
      <c r="E76" s="256"/>
      <c r="F76" s="256"/>
      <c r="G76" s="256"/>
      <c r="H76" s="256"/>
      <c r="I76" s="256"/>
      <c r="J76" s="256"/>
      <c r="K76" s="256"/>
      <c r="L76" s="256"/>
      <c r="M76" s="256"/>
      <c r="N76" s="256"/>
      <c r="O76" s="256"/>
      <c r="P76" s="256"/>
      <c r="Q76" s="256"/>
      <c r="R76" s="256"/>
      <c r="S76" s="256"/>
      <c r="T76" s="256"/>
      <c r="U76" s="256"/>
      <c r="V76" s="256"/>
    </row>
    <row r="77" spans="1:22" ht="13.5">
      <c r="A77" s="257"/>
      <c r="B77" s="257"/>
      <c r="C77" s="257"/>
      <c r="D77" s="256"/>
      <c r="E77" s="256"/>
      <c r="F77" s="256"/>
      <c r="G77" s="256"/>
      <c r="H77" s="256"/>
      <c r="I77" s="256"/>
      <c r="J77" s="256"/>
      <c r="K77" s="256"/>
      <c r="L77" s="256"/>
      <c r="M77" s="256"/>
      <c r="N77" s="256"/>
      <c r="O77" s="256"/>
      <c r="P77" s="256"/>
      <c r="Q77" s="256"/>
      <c r="R77" s="256"/>
      <c r="S77" s="256"/>
      <c r="T77" s="256"/>
      <c r="U77" s="256"/>
      <c r="V77" s="256"/>
    </row>
    <row r="78" spans="1:22">
      <c r="A78" s="175"/>
      <c r="B78" s="175"/>
      <c r="C78" s="175"/>
    </row>
    <row r="79" spans="1:22">
      <c r="A79" s="175"/>
      <c r="B79" s="175"/>
      <c r="C79" s="175"/>
    </row>
  </sheetData>
  <mergeCells count="29">
    <mergeCell ref="A5:B5"/>
    <mergeCell ref="A75:J75"/>
    <mergeCell ref="K75:V75"/>
    <mergeCell ref="A7:B7"/>
    <mergeCell ref="A8:B8"/>
    <mergeCell ref="A13:J13"/>
    <mergeCell ref="K13:V13"/>
    <mergeCell ref="A34:J34"/>
    <mergeCell ref="K34:V34"/>
    <mergeCell ref="A6:B6"/>
    <mergeCell ref="C5:D5"/>
    <mergeCell ref="E5:F5"/>
    <mergeCell ref="G5:H6"/>
    <mergeCell ref="I5:J6"/>
    <mergeCell ref="K5:L6"/>
    <mergeCell ref="C6:D6"/>
    <mergeCell ref="A2:J2"/>
    <mergeCell ref="K2:V2"/>
    <mergeCell ref="A3:J3"/>
    <mergeCell ref="K3:V3"/>
    <mergeCell ref="A4:J4"/>
    <mergeCell ref="K4:V4"/>
    <mergeCell ref="E6:F6"/>
    <mergeCell ref="U6:V6"/>
    <mergeCell ref="M5:N6"/>
    <mergeCell ref="O5:P6"/>
    <mergeCell ref="Q5:R6"/>
    <mergeCell ref="S5:T6"/>
    <mergeCell ref="U5:V5"/>
  </mergeCells>
  <phoneticPr fontId="4" type="noConversion"/>
  <hyperlinks>
    <hyperlink ref="A1" location="목록!A1" display="목록!A1" xr:uid="{5E68EFA5-33F6-4B7D-B0AE-158F9F4AFD0F}"/>
  </hyperlinks>
  <printOptions horizontalCentered="1"/>
  <pageMargins left="0.59055118110236227" right="0.59055118110236227" top="0.78740157480314965" bottom="0.19685039370078741" header="0.62992125984251968" footer="0.19685039370078741"/>
  <pageSetup paperSize="9" orientation="portrait" r:id="rId1"/>
  <headerFooter scaleWithDoc="0"/>
  <rowBreaks count="1" manualBreakCount="1">
    <brk id="74" max="21" man="1"/>
  </rowBreaks>
  <colBreaks count="1" manualBreakCount="1">
    <brk id="10"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Z77"/>
  <sheetViews>
    <sheetView showGridLines="0" showWhiteSpace="0" view="pageBreakPreview" zoomScaleNormal="100" zoomScaleSheetLayoutView="100" workbookViewId="0">
      <selection activeCell="A2" sqref="A2:Z70"/>
    </sheetView>
  </sheetViews>
  <sheetFormatPr defaultColWidth="8.21875" defaultRowHeight="16.5"/>
  <cols>
    <col min="1" max="1" width="6" style="153" customWidth="1"/>
    <col min="2" max="2" width="7.77734375" style="153" customWidth="1"/>
    <col min="3" max="8" width="6" style="152" customWidth="1"/>
    <col min="9" max="10" width="8.6640625" style="152" customWidth="1"/>
    <col min="11" max="12" width="6" style="277" customWidth="1"/>
    <col min="13" max="14" width="6.44140625" style="152" customWidth="1"/>
    <col min="15" max="26" width="5.109375" style="152" customWidth="1"/>
    <col min="27" max="16384" width="8.21875" style="60"/>
  </cols>
  <sheetData>
    <row r="1" spans="1:26" ht="22.5">
      <c r="A1" s="901" t="s">
        <v>1332</v>
      </c>
    </row>
    <row r="2" spans="1:26" s="122" customFormat="1" ht="13.5" customHeight="1">
      <c r="A2" s="1046" t="s">
        <v>1021</v>
      </c>
      <c r="B2" s="1046"/>
      <c r="C2" s="1046"/>
      <c r="D2" s="1046"/>
      <c r="E2" s="1046"/>
      <c r="F2" s="1046"/>
      <c r="G2" s="1046"/>
      <c r="H2" s="1046"/>
      <c r="I2" s="1046"/>
      <c r="J2" s="1046"/>
      <c r="K2" s="1046"/>
      <c r="L2" s="1046"/>
      <c r="M2" s="1046"/>
      <c r="N2" s="1046"/>
      <c r="O2" s="1049" t="s">
        <v>1022</v>
      </c>
      <c r="P2" s="1049"/>
      <c r="Q2" s="1049"/>
      <c r="R2" s="1049"/>
      <c r="S2" s="1049"/>
      <c r="T2" s="1049"/>
      <c r="U2" s="1049"/>
      <c r="V2" s="1049"/>
      <c r="W2" s="1049"/>
      <c r="X2" s="1049"/>
      <c r="Y2" s="1049"/>
      <c r="Z2" s="1049"/>
    </row>
    <row r="3" spans="1:26" ht="22.5" customHeight="1">
      <c r="A3" s="1050" t="s">
        <v>945</v>
      </c>
      <c r="B3" s="1050"/>
      <c r="C3" s="1050"/>
      <c r="D3" s="1050"/>
      <c r="E3" s="1050"/>
      <c r="F3" s="1050"/>
      <c r="G3" s="1050"/>
      <c r="H3" s="1050"/>
      <c r="I3" s="1050"/>
      <c r="J3" s="1050"/>
      <c r="K3" s="1050"/>
      <c r="L3" s="1050"/>
      <c r="M3" s="1050" t="s">
        <v>944</v>
      </c>
      <c r="N3" s="1050"/>
      <c r="O3" s="1050"/>
      <c r="P3" s="1050"/>
      <c r="Q3" s="1050"/>
      <c r="R3" s="1050"/>
      <c r="S3" s="1050"/>
      <c r="T3" s="1050"/>
      <c r="U3" s="1050"/>
      <c r="V3" s="1050"/>
      <c r="W3" s="1050"/>
      <c r="X3" s="1050"/>
      <c r="Y3" s="1050"/>
      <c r="Z3" s="1050"/>
    </row>
    <row r="4" spans="1:26" ht="13.5" customHeight="1" thickBot="1">
      <c r="A4" s="1530" t="s">
        <v>1340</v>
      </c>
      <c r="B4" s="1530"/>
      <c r="C4" s="1530"/>
      <c r="D4" s="1530"/>
      <c r="E4" s="1530"/>
      <c r="F4" s="1530"/>
      <c r="G4" s="1530"/>
      <c r="H4" s="1530"/>
      <c r="I4" s="1530"/>
      <c r="J4" s="1530"/>
      <c r="K4" s="1530"/>
      <c r="L4" s="1530"/>
      <c r="M4" s="1530"/>
      <c r="N4" s="1530"/>
      <c r="O4" s="1531"/>
      <c r="P4" s="1531"/>
      <c r="Q4" s="1531"/>
      <c r="R4" s="1531"/>
      <c r="S4" s="1531"/>
      <c r="T4" s="1531"/>
      <c r="U4" s="1531"/>
      <c r="V4" s="1531"/>
      <c r="W4" s="1531"/>
      <c r="X4" s="1531"/>
      <c r="Y4" s="1531"/>
      <c r="Z4" s="1531"/>
    </row>
    <row r="5" spans="1:26" s="259" customFormat="1" ht="11.45" customHeight="1">
      <c r="A5" s="1507" t="s">
        <v>504</v>
      </c>
      <c r="B5" s="1056"/>
      <c r="C5" s="1125" t="s">
        <v>669</v>
      </c>
      <c r="D5" s="1507"/>
      <c r="E5" s="1507"/>
      <c r="F5" s="1507"/>
      <c r="G5" s="1507"/>
      <c r="H5" s="1507"/>
      <c r="I5" s="1507"/>
      <c r="J5" s="1056"/>
      <c r="K5" s="1125" t="s">
        <v>1054</v>
      </c>
      <c r="L5" s="1056"/>
      <c r="M5" s="1125" t="s">
        <v>1205</v>
      </c>
      <c r="N5" s="1056"/>
      <c r="O5" s="1126" t="s">
        <v>123</v>
      </c>
      <c r="P5" s="1127"/>
      <c r="Q5" s="1125" t="s">
        <v>124</v>
      </c>
      <c r="R5" s="1056"/>
      <c r="S5" s="1125" t="s">
        <v>125</v>
      </c>
      <c r="T5" s="1507"/>
      <c r="U5" s="1507"/>
      <c r="V5" s="1056"/>
      <c r="W5" s="1126" t="s">
        <v>1210</v>
      </c>
      <c r="X5" s="1141"/>
      <c r="Y5" s="1141"/>
      <c r="Z5" s="1141"/>
    </row>
    <row r="6" spans="1:26" s="260" customFormat="1" ht="14.25" customHeight="1">
      <c r="A6" s="1136" t="s">
        <v>7</v>
      </c>
      <c r="B6" s="1082"/>
      <c r="C6" s="1083" t="s">
        <v>126</v>
      </c>
      <c r="D6" s="1051"/>
      <c r="E6" s="1051"/>
      <c r="F6" s="1051"/>
      <c r="G6" s="1051"/>
      <c r="H6" s="1051"/>
      <c r="I6" s="1051"/>
      <c r="J6" s="1052"/>
      <c r="K6" s="1128" t="s">
        <v>1055</v>
      </c>
      <c r="L6" s="1082"/>
      <c r="M6" s="1128" t="s">
        <v>670</v>
      </c>
      <c r="N6" s="1082"/>
      <c r="O6" s="1128" t="s">
        <v>127</v>
      </c>
      <c r="P6" s="1082"/>
      <c r="Q6" s="1128" t="s">
        <v>390</v>
      </c>
      <c r="R6" s="1082"/>
      <c r="S6" s="1083" t="s">
        <v>128</v>
      </c>
      <c r="T6" s="1051"/>
      <c r="U6" s="1051"/>
      <c r="V6" s="1052"/>
      <c r="W6" s="1083" t="s">
        <v>129</v>
      </c>
      <c r="X6" s="1051"/>
      <c r="Y6" s="1051"/>
      <c r="Z6" s="1051"/>
    </row>
    <row r="7" spans="1:26" ht="24.95" customHeight="1">
      <c r="A7" s="1130"/>
      <c r="B7" s="1131"/>
      <c r="C7" s="1054" t="s">
        <v>95</v>
      </c>
      <c r="D7" s="1129"/>
      <c r="E7" s="1054" t="s">
        <v>1208</v>
      </c>
      <c r="F7" s="1129"/>
      <c r="G7" s="1054" t="s">
        <v>1209</v>
      </c>
      <c r="H7" s="1129"/>
      <c r="I7" s="1054" t="s">
        <v>1206</v>
      </c>
      <c r="J7" s="1129"/>
      <c r="K7" s="1128" t="s">
        <v>397</v>
      </c>
      <c r="L7" s="1082"/>
      <c r="M7" s="1128"/>
      <c r="N7" s="1082"/>
      <c r="O7" s="1135"/>
      <c r="P7" s="1131"/>
      <c r="Q7" s="1135"/>
      <c r="R7" s="1131"/>
      <c r="S7" s="1054" t="s">
        <v>130</v>
      </c>
      <c r="T7" s="1129"/>
      <c r="U7" s="1054" t="s">
        <v>131</v>
      </c>
      <c r="V7" s="1129"/>
      <c r="W7" s="1054" t="s">
        <v>130</v>
      </c>
      <c r="X7" s="1129"/>
      <c r="Y7" s="1054" t="s">
        <v>131</v>
      </c>
      <c r="Z7" s="1134"/>
    </row>
    <row r="8" spans="1:26" ht="33.950000000000003" customHeight="1">
      <c r="A8" s="1130"/>
      <c r="B8" s="1131"/>
      <c r="C8" s="1083" t="s">
        <v>16</v>
      </c>
      <c r="D8" s="1052"/>
      <c r="E8" s="1083" t="s">
        <v>132</v>
      </c>
      <c r="F8" s="1052"/>
      <c r="G8" s="1083" t="s">
        <v>133</v>
      </c>
      <c r="H8" s="1052"/>
      <c r="I8" s="1137" t="s">
        <v>1207</v>
      </c>
      <c r="J8" s="1138"/>
      <c r="K8" s="1132"/>
      <c r="L8" s="1133"/>
      <c r="M8" s="1132"/>
      <c r="N8" s="1133"/>
      <c r="O8" s="1132"/>
      <c r="P8" s="1133"/>
      <c r="Q8" s="1132"/>
      <c r="R8" s="1133"/>
      <c r="S8" s="1083" t="s">
        <v>134</v>
      </c>
      <c r="T8" s="1052"/>
      <c r="U8" s="1083" t="s">
        <v>135</v>
      </c>
      <c r="V8" s="1052"/>
      <c r="W8" s="1083" t="s">
        <v>134</v>
      </c>
      <c r="X8" s="1052"/>
      <c r="Y8" s="1083" t="s">
        <v>135</v>
      </c>
      <c r="Z8" s="1051"/>
    </row>
    <row r="9" spans="1:26" ht="11.45" customHeight="1">
      <c r="A9" s="1130"/>
      <c r="B9" s="1131"/>
      <c r="C9" s="920" t="s">
        <v>13</v>
      </c>
      <c r="D9" s="920" t="s">
        <v>23</v>
      </c>
      <c r="E9" s="920" t="s">
        <v>13</v>
      </c>
      <c r="F9" s="920" t="s">
        <v>23</v>
      </c>
      <c r="G9" s="920" t="s">
        <v>13</v>
      </c>
      <c r="H9" s="920" t="s">
        <v>23</v>
      </c>
      <c r="I9" s="920" t="s">
        <v>13</v>
      </c>
      <c r="J9" s="920" t="s">
        <v>23</v>
      </c>
      <c r="K9" s="920" t="s">
        <v>13</v>
      </c>
      <c r="L9" s="262" t="s">
        <v>23</v>
      </c>
      <c r="M9" s="262" t="s">
        <v>13</v>
      </c>
      <c r="N9" s="920" t="s">
        <v>23</v>
      </c>
      <c r="O9" s="262" t="s">
        <v>13</v>
      </c>
      <c r="P9" s="920" t="s">
        <v>23</v>
      </c>
      <c r="Q9" s="919" t="s">
        <v>13</v>
      </c>
      <c r="R9" s="933" t="s">
        <v>23</v>
      </c>
      <c r="S9" s="920" t="s">
        <v>13</v>
      </c>
      <c r="T9" s="920" t="s">
        <v>23</v>
      </c>
      <c r="U9" s="920" t="s">
        <v>13</v>
      </c>
      <c r="V9" s="920" t="s">
        <v>23</v>
      </c>
      <c r="W9" s="262" t="s">
        <v>13</v>
      </c>
      <c r="X9" s="920" t="s">
        <v>23</v>
      </c>
      <c r="Y9" s="920" t="s">
        <v>13</v>
      </c>
      <c r="Z9" s="1001" t="s">
        <v>23</v>
      </c>
    </row>
    <row r="10" spans="1:26" s="260" customFormat="1" ht="9.75" customHeight="1">
      <c r="A10" s="1051"/>
      <c r="B10" s="1052"/>
      <c r="C10" s="923" t="s">
        <v>25</v>
      </c>
      <c r="D10" s="923" t="s">
        <v>26</v>
      </c>
      <c r="E10" s="923" t="s">
        <v>25</v>
      </c>
      <c r="F10" s="923" t="s">
        <v>26</v>
      </c>
      <c r="G10" s="923" t="s">
        <v>25</v>
      </c>
      <c r="H10" s="923" t="s">
        <v>26</v>
      </c>
      <c r="I10" s="923" t="s">
        <v>25</v>
      </c>
      <c r="J10" s="923" t="s">
        <v>26</v>
      </c>
      <c r="K10" s="923" t="s">
        <v>25</v>
      </c>
      <c r="L10" s="928" t="s">
        <v>26</v>
      </c>
      <c r="M10" s="928" t="s">
        <v>25</v>
      </c>
      <c r="N10" s="923" t="s">
        <v>26</v>
      </c>
      <c r="O10" s="928" t="s">
        <v>25</v>
      </c>
      <c r="P10" s="923" t="s">
        <v>26</v>
      </c>
      <c r="Q10" s="928" t="s">
        <v>25</v>
      </c>
      <c r="R10" s="923" t="s">
        <v>26</v>
      </c>
      <c r="S10" s="923" t="s">
        <v>25</v>
      </c>
      <c r="T10" s="923" t="s">
        <v>26</v>
      </c>
      <c r="U10" s="923" t="s">
        <v>25</v>
      </c>
      <c r="V10" s="923" t="s">
        <v>26</v>
      </c>
      <c r="W10" s="928" t="s">
        <v>25</v>
      </c>
      <c r="X10" s="923" t="s">
        <v>26</v>
      </c>
      <c r="Y10" s="923" t="s">
        <v>25</v>
      </c>
      <c r="Z10" s="922" t="s">
        <v>26</v>
      </c>
    </row>
    <row r="11" spans="1:26" ht="10.5" customHeight="1">
      <c r="A11" s="263" t="s">
        <v>27</v>
      </c>
      <c r="B11" s="129" t="s">
        <v>16</v>
      </c>
      <c r="C11" s="243">
        <v>573</v>
      </c>
      <c r="D11" s="243">
        <v>318</v>
      </c>
      <c r="E11" s="243">
        <v>36</v>
      </c>
      <c r="F11" s="243">
        <v>20</v>
      </c>
      <c r="G11" s="243">
        <v>178</v>
      </c>
      <c r="H11" s="243">
        <v>99</v>
      </c>
      <c r="I11" s="243">
        <v>359</v>
      </c>
      <c r="J11" s="243">
        <v>199</v>
      </c>
      <c r="K11" s="243">
        <v>100</v>
      </c>
      <c r="L11" s="244">
        <v>56</v>
      </c>
      <c r="M11" s="244">
        <v>185</v>
      </c>
      <c r="N11" s="243">
        <v>88</v>
      </c>
      <c r="O11" s="244">
        <v>11</v>
      </c>
      <c r="P11" s="243">
        <v>6</v>
      </c>
      <c r="Q11" s="244">
        <v>5</v>
      </c>
      <c r="R11" s="243" t="s">
        <v>28</v>
      </c>
      <c r="S11" s="243">
        <v>953</v>
      </c>
      <c r="T11" s="243">
        <v>519</v>
      </c>
      <c r="U11" s="243">
        <v>878</v>
      </c>
      <c r="V11" s="243">
        <v>406</v>
      </c>
      <c r="W11" s="244">
        <v>925</v>
      </c>
      <c r="X11" s="243">
        <v>503</v>
      </c>
      <c r="Y11" s="243">
        <v>1085</v>
      </c>
      <c r="Z11" s="245">
        <v>576</v>
      </c>
    </row>
    <row r="12" spans="1:26" ht="10.5" customHeight="1">
      <c r="A12" s="264" t="s">
        <v>29</v>
      </c>
      <c r="B12" s="131" t="s">
        <v>30</v>
      </c>
      <c r="C12" s="247">
        <v>551</v>
      </c>
      <c r="D12" s="247">
        <v>313</v>
      </c>
      <c r="E12" s="247">
        <v>32</v>
      </c>
      <c r="F12" s="247">
        <v>19</v>
      </c>
      <c r="G12" s="247">
        <v>174</v>
      </c>
      <c r="H12" s="247">
        <v>96</v>
      </c>
      <c r="I12" s="247">
        <v>345</v>
      </c>
      <c r="J12" s="247">
        <v>198</v>
      </c>
      <c r="K12" s="247">
        <v>97</v>
      </c>
      <c r="L12" s="248">
        <v>56</v>
      </c>
      <c r="M12" s="248">
        <v>173</v>
      </c>
      <c r="N12" s="247">
        <v>88</v>
      </c>
      <c r="O12" s="248">
        <v>10</v>
      </c>
      <c r="P12" s="247">
        <v>6</v>
      </c>
      <c r="Q12" s="248">
        <v>4</v>
      </c>
      <c r="R12" s="247" t="s">
        <v>28</v>
      </c>
      <c r="S12" s="247">
        <v>904</v>
      </c>
      <c r="T12" s="247">
        <v>505</v>
      </c>
      <c r="U12" s="247">
        <v>820</v>
      </c>
      <c r="V12" s="247">
        <v>400</v>
      </c>
      <c r="W12" s="248">
        <v>864</v>
      </c>
      <c r="X12" s="247">
        <v>486</v>
      </c>
      <c r="Y12" s="247">
        <v>1024</v>
      </c>
      <c r="Z12" s="249">
        <v>559</v>
      </c>
    </row>
    <row r="13" spans="1:26" ht="10.5" customHeight="1" thickBot="1">
      <c r="A13" s="1587" t="s">
        <v>31</v>
      </c>
      <c r="B13" s="1533" t="s">
        <v>32</v>
      </c>
      <c r="C13" s="1583">
        <v>22</v>
      </c>
      <c r="D13" s="1583">
        <v>5</v>
      </c>
      <c r="E13" s="1583">
        <v>4</v>
      </c>
      <c r="F13" s="1583">
        <v>1</v>
      </c>
      <c r="G13" s="1583">
        <v>4</v>
      </c>
      <c r="H13" s="1583">
        <v>3</v>
      </c>
      <c r="I13" s="1583">
        <v>14</v>
      </c>
      <c r="J13" s="1583">
        <v>1</v>
      </c>
      <c r="K13" s="1583">
        <v>3</v>
      </c>
      <c r="L13" s="251" t="s">
        <v>28</v>
      </c>
      <c r="M13" s="251">
        <v>12</v>
      </c>
      <c r="N13" s="1583">
        <v>0</v>
      </c>
      <c r="O13" s="251">
        <v>1</v>
      </c>
      <c r="P13" s="1583" t="s">
        <v>28</v>
      </c>
      <c r="Q13" s="251">
        <v>1</v>
      </c>
      <c r="R13" s="1583" t="s">
        <v>28</v>
      </c>
      <c r="S13" s="1583">
        <v>49</v>
      </c>
      <c r="T13" s="1583">
        <v>14</v>
      </c>
      <c r="U13" s="1583">
        <v>58</v>
      </c>
      <c r="V13" s="1583">
        <v>6</v>
      </c>
      <c r="W13" s="251">
        <v>61</v>
      </c>
      <c r="X13" s="1583">
        <v>17</v>
      </c>
      <c r="Y13" s="1583">
        <v>61</v>
      </c>
      <c r="Z13" s="1584">
        <v>17</v>
      </c>
    </row>
    <row r="14" spans="1:26" s="261" customFormat="1" ht="14.25" customHeight="1" thickBot="1">
      <c r="A14" s="1124" t="s">
        <v>433</v>
      </c>
      <c r="B14" s="1124"/>
      <c r="C14" s="1124"/>
      <c r="D14" s="1124"/>
      <c r="E14" s="1124"/>
      <c r="F14" s="1124"/>
      <c r="G14" s="1124"/>
      <c r="H14" s="1124"/>
      <c r="I14" s="1124"/>
      <c r="J14" s="1124"/>
      <c r="K14" s="1124"/>
      <c r="L14" s="1124"/>
      <c r="M14" s="1124" t="s">
        <v>438</v>
      </c>
      <c r="N14" s="1124"/>
      <c r="O14" s="1124"/>
      <c r="P14" s="1124"/>
      <c r="Q14" s="1124"/>
      <c r="R14" s="1124"/>
      <c r="S14" s="1124"/>
      <c r="T14" s="1124"/>
      <c r="U14" s="1124"/>
      <c r="V14" s="1124"/>
      <c r="W14" s="1124"/>
      <c r="X14" s="1124"/>
      <c r="Y14" s="1124"/>
      <c r="Z14" s="1124"/>
    </row>
    <row r="15" spans="1:26" ht="10.5" customHeight="1">
      <c r="A15" s="263" t="s">
        <v>96</v>
      </c>
      <c r="B15" s="129" t="s">
        <v>75</v>
      </c>
      <c r="C15" s="265">
        <v>221</v>
      </c>
      <c r="D15" s="265">
        <v>109</v>
      </c>
      <c r="E15" s="265">
        <v>19</v>
      </c>
      <c r="F15" s="265">
        <v>9</v>
      </c>
      <c r="G15" s="265">
        <v>69</v>
      </c>
      <c r="H15" s="265">
        <v>33</v>
      </c>
      <c r="I15" s="265">
        <v>133</v>
      </c>
      <c r="J15" s="265">
        <v>67</v>
      </c>
      <c r="K15" s="265">
        <v>33</v>
      </c>
      <c r="L15" s="272">
        <v>19</v>
      </c>
      <c r="M15" s="272">
        <v>64</v>
      </c>
      <c r="N15" s="265">
        <v>29</v>
      </c>
      <c r="O15" s="266">
        <v>1</v>
      </c>
      <c r="P15" s="265">
        <v>1</v>
      </c>
      <c r="Q15" s="266">
        <v>1</v>
      </c>
      <c r="R15" s="267" t="s">
        <v>28</v>
      </c>
      <c r="S15" s="265">
        <v>412</v>
      </c>
      <c r="T15" s="265">
        <v>206</v>
      </c>
      <c r="U15" s="265">
        <v>313</v>
      </c>
      <c r="V15" s="265">
        <v>142</v>
      </c>
      <c r="W15" s="265">
        <v>406</v>
      </c>
      <c r="X15" s="265">
        <v>204</v>
      </c>
      <c r="Y15" s="265">
        <v>437</v>
      </c>
      <c r="Z15" s="268">
        <v>227</v>
      </c>
    </row>
    <row r="16" spans="1:26" ht="10.5" customHeight="1">
      <c r="A16" s="264" t="s">
        <v>136</v>
      </c>
      <c r="B16" s="131" t="s">
        <v>30</v>
      </c>
      <c r="C16" s="269">
        <v>210</v>
      </c>
      <c r="D16" s="269">
        <v>107</v>
      </c>
      <c r="E16" s="269">
        <v>16</v>
      </c>
      <c r="F16" s="269">
        <v>9</v>
      </c>
      <c r="G16" s="269">
        <v>67</v>
      </c>
      <c r="H16" s="269">
        <v>32</v>
      </c>
      <c r="I16" s="269">
        <v>127</v>
      </c>
      <c r="J16" s="269">
        <v>66</v>
      </c>
      <c r="K16" s="269">
        <v>31</v>
      </c>
      <c r="L16" s="270">
        <v>19</v>
      </c>
      <c r="M16" s="270">
        <v>60</v>
      </c>
      <c r="N16" s="269">
        <v>29</v>
      </c>
      <c r="O16" s="270">
        <v>1</v>
      </c>
      <c r="P16" s="269">
        <v>1</v>
      </c>
      <c r="Q16" s="270">
        <v>1</v>
      </c>
      <c r="R16" s="269" t="s">
        <v>28</v>
      </c>
      <c r="S16" s="269">
        <v>383</v>
      </c>
      <c r="T16" s="269">
        <v>202</v>
      </c>
      <c r="U16" s="269">
        <v>298</v>
      </c>
      <c r="V16" s="269">
        <v>141</v>
      </c>
      <c r="W16" s="269">
        <v>374</v>
      </c>
      <c r="X16" s="269">
        <v>198</v>
      </c>
      <c r="Y16" s="269">
        <v>412</v>
      </c>
      <c r="Z16" s="271">
        <v>220</v>
      </c>
    </row>
    <row r="17" spans="1:26" ht="10.5" customHeight="1">
      <c r="A17" s="264" t="s">
        <v>137</v>
      </c>
      <c r="B17" s="131" t="s">
        <v>32</v>
      </c>
      <c r="C17" s="269">
        <v>11</v>
      </c>
      <c r="D17" s="269">
        <v>2</v>
      </c>
      <c r="E17" s="269">
        <v>3</v>
      </c>
      <c r="F17" s="269" t="s">
        <v>28</v>
      </c>
      <c r="G17" s="269">
        <v>2</v>
      </c>
      <c r="H17" s="269">
        <v>1</v>
      </c>
      <c r="I17" s="269">
        <v>6</v>
      </c>
      <c r="J17" s="269">
        <v>1</v>
      </c>
      <c r="K17" s="269">
        <v>2</v>
      </c>
      <c r="L17" s="270" t="s">
        <v>28</v>
      </c>
      <c r="M17" s="270">
        <v>4</v>
      </c>
      <c r="N17" s="269">
        <v>0</v>
      </c>
      <c r="O17" s="270" t="s">
        <v>28</v>
      </c>
      <c r="P17" s="269" t="s">
        <v>28</v>
      </c>
      <c r="Q17" s="270" t="s">
        <v>28</v>
      </c>
      <c r="R17" s="269" t="s">
        <v>28</v>
      </c>
      <c r="S17" s="269">
        <v>29</v>
      </c>
      <c r="T17" s="269">
        <v>4</v>
      </c>
      <c r="U17" s="269">
        <v>15</v>
      </c>
      <c r="V17" s="269">
        <v>1</v>
      </c>
      <c r="W17" s="269">
        <v>32</v>
      </c>
      <c r="X17" s="269">
        <v>6</v>
      </c>
      <c r="Y17" s="269">
        <v>25</v>
      </c>
      <c r="Z17" s="271">
        <v>7</v>
      </c>
    </row>
    <row r="18" spans="1:26" ht="10.5" customHeight="1">
      <c r="A18" s="263" t="s">
        <v>97</v>
      </c>
      <c r="B18" s="129" t="s">
        <v>76</v>
      </c>
      <c r="C18" s="265">
        <v>210</v>
      </c>
      <c r="D18" s="265">
        <v>125</v>
      </c>
      <c r="E18" s="265">
        <v>10</v>
      </c>
      <c r="F18" s="265">
        <v>6</v>
      </c>
      <c r="G18" s="265">
        <v>61</v>
      </c>
      <c r="H18" s="265">
        <v>37</v>
      </c>
      <c r="I18" s="265">
        <v>139</v>
      </c>
      <c r="J18" s="265">
        <v>82</v>
      </c>
      <c r="K18" s="265">
        <v>29</v>
      </c>
      <c r="L18" s="272">
        <v>17</v>
      </c>
      <c r="M18" s="272">
        <v>60</v>
      </c>
      <c r="N18" s="265">
        <v>34</v>
      </c>
      <c r="O18" s="272">
        <v>3</v>
      </c>
      <c r="P18" s="265">
        <v>2</v>
      </c>
      <c r="Q18" s="272">
        <v>2</v>
      </c>
      <c r="R18" s="265" t="s">
        <v>28</v>
      </c>
      <c r="S18" s="265">
        <v>401</v>
      </c>
      <c r="T18" s="265">
        <v>228</v>
      </c>
      <c r="U18" s="265">
        <v>304</v>
      </c>
      <c r="V18" s="265">
        <v>162</v>
      </c>
      <c r="W18" s="265">
        <v>384</v>
      </c>
      <c r="X18" s="265">
        <v>213</v>
      </c>
      <c r="Y18" s="265">
        <v>385</v>
      </c>
      <c r="Z18" s="273">
        <v>226</v>
      </c>
    </row>
    <row r="19" spans="1:26" ht="10.5" customHeight="1">
      <c r="A19" s="264" t="s">
        <v>136</v>
      </c>
      <c r="B19" s="131" t="s">
        <v>30</v>
      </c>
      <c r="C19" s="269">
        <v>204</v>
      </c>
      <c r="D19" s="269">
        <v>123</v>
      </c>
      <c r="E19" s="269">
        <v>9</v>
      </c>
      <c r="F19" s="269">
        <v>5</v>
      </c>
      <c r="G19" s="269">
        <v>60</v>
      </c>
      <c r="H19" s="269">
        <v>36</v>
      </c>
      <c r="I19" s="269">
        <v>135</v>
      </c>
      <c r="J19" s="269">
        <v>82</v>
      </c>
      <c r="K19" s="269">
        <v>29</v>
      </c>
      <c r="L19" s="270">
        <v>17</v>
      </c>
      <c r="M19" s="270">
        <v>55</v>
      </c>
      <c r="N19" s="269">
        <v>34</v>
      </c>
      <c r="O19" s="270">
        <v>3</v>
      </c>
      <c r="P19" s="269">
        <v>2</v>
      </c>
      <c r="Q19" s="270">
        <v>2</v>
      </c>
      <c r="R19" s="269" t="s">
        <v>28</v>
      </c>
      <c r="S19" s="269">
        <v>384</v>
      </c>
      <c r="T19" s="269">
        <v>219</v>
      </c>
      <c r="U19" s="269">
        <v>285</v>
      </c>
      <c r="V19" s="269">
        <v>160</v>
      </c>
      <c r="W19" s="269">
        <v>362</v>
      </c>
      <c r="X19" s="269">
        <v>206</v>
      </c>
      <c r="Y19" s="269">
        <v>367</v>
      </c>
      <c r="Z19" s="271">
        <v>220</v>
      </c>
    </row>
    <row r="20" spans="1:26" ht="10.5" customHeight="1">
      <c r="A20" s="264" t="s">
        <v>137</v>
      </c>
      <c r="B20" s="131" t="s">
        <v>32</v>
      </c>
      <c r="C20" s="269">
        <v>6</v>
      </c>
      <c r="D20" s="269">
        <v>2</v>
      </c>
      <c r="E20" s="269">
        <v>1</v>
      </c>
      <c r="F20" s="269">
        <v>1</v>
      </c>
      <c r="G20" s="269">
        <v>1</v>
      </c>
      <c r="H20" s="269">
        <v>1</v>
      </c>
      <c r="I20" s="269">
        <v>4</v>
      </c>
      <c r="J20" s="269" t="s">
        <v>28</v>
      </c>
      <c r="K20" s="269" t="s">
        <v>28</v>
      </c>
      <c r="L20" s="270" t="s">
        <v>28</v>
      </c>
      <c r="M20" s="270">
        <v>5</v>
      </c>
      <c r="N20" s="269">
        <v>0</v>
      </c>
      <c r="O20" s="270" t="s">
        <v>28</v>
      </c>
      <c r="P20" s="269" t="s">
        <v>28</v>
      </c>
      <c r="Q20" s="270" t="s">
        <v>28</v>
      </c>
      <c r="R20" s="269" t="s">
        <v>28</v>
      </c>
      <c r="S20" s="269">
        <v>17</v>
      </c>
      <c r="T20" s="269">
        <v>9</v>
      </c>
      <c r="U20" s="269">
        <v>19</v>
      </c>
      <c r="V20" s="269">
        <v>2</v>
      </c>
      <c r="W20" s="269">
        <v>22</v>
      </c>
      <c r="X20" s="269">
        <v>7</v>
      </c>
      <c r="Y20" s="269">
        <v>18</v>
      </c>
      <c r="Z20" s="271">
        <v>6</v>
      </c>
    </row>
    <row r="21" spans="1:26" ht="10.5" customHeight="1">
      <c r="A21" s="263" t="s">
        <v>98</v>
      </c>
      <c r="B21" s="129" t="s">
        <v>77</v>
      </c>
      <c r="C21" s="265">
        <v>142</v>
      </c>
      <c r="D21" s="265">
        <v>84</v>
      </c>
      <c r="E21" s="265">
        <v>7</v>
      </c>
      <c r="F21" s="265">
        <v>5</v>
      </c>
      <c r="G21" s="265">
        <v>48</v>
      </c>
      <c r="H21" s="265">
        <v>29</v>
      </c>
      <c r="I21" s="265">
        <v>87</v>
      </c>
      <c r="J21" s="265">
        <v>50</v>
      </c>
      <c r="K21" s="265">
        <v>38</v>
      </c>
      <c r="L21" s="272">
        <v>20</v>
      </c>
      <c r="M21" s="272">
        <v>61</v>
      </c>
      <c r="N21" s="265">
        <v>25</v>
      </c>
      <c r="O21" s="272">
        <v>7</v>
      </c>
      <c r="P21" s="265">
        <v>3</v>
      </c>
      <c r="Q21" s="272">
        <v>2</v>
      </c>
      <c r="R21" s="265" t="s">
        <v>28</v>
      </c>
      <c r="S21" s="265">
        <v>140</v>
      </c>
      <c r="T21" s="265">
        <v>85</v>
      </c>
      <c r="U21" s="265">
        <v>261</v>
      </c>
      <c r="V21" s="265">
        <v>102</v>
      </c>
      <c r="W21" s="265">
        <v>135</v>
      </c>
      <c r="X21" s="265">
        <v>86</v>
      </c>
      <c r="Y21" s="265">
        <v>263</v>
      </c>
      <c r="Z21" s="273">
        <v>123</v>
      </c>
    </row>
    <row r="22" spans="1:26" ht="10.5" customHeight="1">
      <c r="A22" s="264" t="s">
        <v>136</v>
      </c>
      <c r="B22" s="131" t="s">
        <v>30</v>
      </c>
      <c r="C22" s="269">
        <v>137</v>
      </c>
      <c r="D22" s="269">
        <v>83</v>
      </c>
      <c r="E22" s="269">
        <v>7</v>
      </c>
      <c r="F22" s="269">
        <v>5</v>
      </c>
      <c r="G22" s="269">
        <v>47</v>
      </c>
      <c r="H22" s="269">
        <v>28</v>
      </c>
      <c r="I22" s="269">
        <v>83</v>
      </c>
      <c r="J22" s="269">
        <v>50</v>
      </c>
      <c r="K22" s="269">
        <v>37</v>
      </c>
      <c r="L22" s="270">
        <v>20</v>
      </c>
      <c r="M22" s="270">
        <v>58</v>
      </c>
      <c r="N22" s="269">
        <v>25</v>
      </c>
      <c r="O22" s="270">
        <v>6</v>
      </c>
      <c r="P22" s="269">
        <v>3</v>
      </c>
      <c r="Q22" s="270">
        <v>1</v>
      </c>
      <c r="R22" s="269" t="s">
        <v>28</v>
      </c>
      <c r="S22" s="269">
        <v>137</v>
      </c>
      <c r="T22" s="269">
        <v>84</v>
      </c>
      <c r="U22" s="269">
        <v>237</v>
      </c>
      <c r="V22" s="269">
        <v>99</v>
      </c>
      <c r="W22" s="269">
        <v>128</v>
      </c>
      <c r="X22" s="269">
        <v>82</v>
      </c>
      <c r="Y22" s="269">
        <v>245</v>
      </c>
      <c r="Z22" s="271">
        <v>119</v>
      </c>
    </row>
    <row r="23" spans="1:26" ht="10.5" customHeight="1" thickBot="1">
      <c r="A23" s="1587" t="s">
        <v>137</v>
      </c>
      <c r="B23" s="1533" t="s">
        <v>32</v>
      </c>
      <c r="C23" s="1588">
        <v>5</v>
      </c>
      <c r="D23" s="1588">
        <v>1</v>
      </c>
      <c r="E23" s="1588" t="s">
        <v>28</v>
      </c>
      <c r="F23" s="1588" t="s">
        <v>28</v>
      </c>
      <c r="G23" s="1588">
        <v>1</v>
      </c>
      <c r="H23" s="1588">
        <v>1</v>
      </c>
      <c r="I23" s="1588">
        <v>4</v>
      </c>
      <c r="J23" s="1588" t="s">
        <v>28</v>
      </c>
      <c r="K23" s="1588">
        <v>1</v>
      </c>
      <c r="L23" s="274" t="s">
        <v>28</v>
      </c>
      <c r="M23" s="274">
        <v>3</v>
      </c>
      <c r="N23" s="1588">
        <v>0</v>
      </c>
      <c r="O23" s="274">
        <v>1</v>
      </c>
      <c r="P23" s="1588" t="s">
        <v>28</v>
      </c>
      <c r="Q23" s="274">
        <v>1</v>
      </c>
      <c r="R23" s="1588" t="s">
        <v>28</v>
      </c>
      <c r="S23" s="1588">
        <v>3</v>
      </c>
      <c r="T23" s="1588">
        <v>1</v>
      </c>
      <c r="U23" s="1588">
        <v>24</v>
      </c>
      <c r="V23" s="1588">
        <v>3</v>
      </c>
      <c r="W23" s="1588">
        <v>7</v>
      </c>
      <c r="X23" s="1588">
        <v>4</v>
      </c>
      <c r="Y23" s="1588">
        <v>18</v>
      </c>
      <c r="Z23" s="1589">
        <v>4</v>
      </c>
    </row>
    <row r="24" spans="1:26" s="261" customFormat="1" ht="14.25" customHeight="1" thickBot="1">
      <c r="A24" s="1590" t="s">
        <v>363</v>
      </c>
      <c r="B24" s="1590"/>
      <c r="C24" s="1590"/>
      <c r="D24" s="1590"/>
      <c r="E24" s="1590"/>
      <c r="F24" s="1590"/>
      <c r="G24" s="1590"/>
      <c r="H24" s="1590"/>
      <c r="I24" s="1590"/>
      <c r="J24" s="1590"/>
      <c r="K24" s="1590"/>
      <c r="L24" s="1590"/>
      <c r="M24" s="1590" t="s">
        <v>393</v>
      </c>
      <c r="N24" s="1590"/>
      <c r="O24" s="1590"/>
      <c r="P24" s="1590"/>
      <c r="Q24" s="1590"/>
      <c r="R24" s="1590"/>
      <c r="S24" s="1590"/>
      <c r="T24" s="1590"/>
      <c r="U24" s="1590"/>
      <c r="V24" s="1590"/>
      <c r="W24" s="1590"/>
      <c r="X24" s="1590"/>
      <c r="Y24" s="1590"/>
      <c r="Z24" s="1590"/>
    </row>
    <row r="25" spans="1:26" ht="10.5" customHeight="1">
      <c r="A25" s="263" t="s">
        <v>35</v>
      </c>
      <c r="B25" s="129" t="s">
        <v>36</v>
      </c>
      <c r="C25" s="265">
        <v>88</v>
      </c>
      <c r="D25" s="265">
        <v>58</v>
      </c>
      <c r="E25" s="265">
        <v>6</v>
      </c>
      <c r="F25" s="265" t="s">
        <v>28</v>
      </c>
      <c r="G25" s="265">
        <v>17</v>
      </c>
      <c r="H25" s="265">
        <v>9</v>
      </c>
      <c r="I25" s="265">
        <v>65</v>
      </c>
      <c r="J25" s="265">
        <v>49</v>
      </c>
      <c r="K25" s="265">
        <v>18</v>
      </c>
      <c r="L25" s="272">
        <v>10</v>
      </c>
      <c r="M25" s="272">
        <v>44</v>
      </c>
      <c r="N25" s="265">
        <v>19</v>
      </c>
      <c r="O25" s="266">
        <v>2</v>
      </c>
      <c r="P25" s="266" t="s">
        <v>28</v>
      </c>
      <c r="Q25" s="266">
        <v>1</v>
      </c>
      <c r="R25" s="266" t="s">
        <v>28</v>
      </c>
      <c r="S25" s="266">
        <v>165</v>
      </c>
      <c r="T25" s="266">
        <v>78</v>
      </c>
      <c r="U25" s="266">
        <v>137</v>
      </c>
      <c r="V25" s="266">
        <v>49</v>
      </c>
      <c r="W25" s="266">
        <v>241</v>
      </c>
      <c r="X25" s="266">
        <v>129</v>
      </c>
      <c r="Y25" s="266">
        <v>232</v>
      </c>
      <c r="Z25" s="268">
        <v>127</v>
      </c>
    </row>
    <row r="26" spans="1:26" ht="10.5" customHeight="1">
      <c r="A26" s="264" t="s">
        <v>29</v>
      </c>
      <c r="B26" s="131" t="s">
        <v>30</v>
      </c>
      <c r="C26" s="269">
        <v>78</v>
      </c>
      <c r="D26" s="269">
        <v>57</v>
      </c>
      <c r="E26" s="269">
        <v>3</v>
      </c>
      <c r="F26" s="269" t="s">
        <v>28</v>
      </c>
      <c r="G26" s="269">
        <v>17</v>
      </c>
      <c r="H26" s="269">
        <v>9</v>
      </c>
      <c r="I26" s="269">
        <v>58</v>
      </c>
      <c r="J26" s="269">
        <v>48</v>
      </c>
      <c r="K26" s="269">
        <v>15</v>
      </c>
      <c r="L26" s="270">
        <v>10</v>
      </c>
      <c r="M26" s="270">
        <v>35</v>
      </c>
      <c r="N26" s="269">
        <v>19</v>
      </c>
      <c r="O26" s="270">
        <v>1</v>
      </c>
      <c r="P26" s="269" t="s">
        <v>28</v>
      </c>
      <c r="Q26" s="270" t="s">
        <v>28</v>
      </c>
      <c r="R26" s="270" t="s">
        <v>28</v>
      </c>
      <c r="S26" s="269">
        <v>131</v>
      </c>
      <c r="T26" s="269">
        <v>74</v>
      </c>
      <c r="U26" s="269">
        <v>102</v>
      </c>
      <c r="V26" s="269">
        <v>48</v>
      </c>
      <c r="W26" s="269">
        <v>198</v>
      </c>
      <c r="X26" s="269">
        <v>123</v>
      </c>
      <c r="Y26" s="269">
        <v>194</v>
      </c>
      <c r="Z26" s="1591">
        <v>126</v>
      </c>
    </row>
    <row r="27" spans="1:26" ht="10.5" customHeight="1">
      <c r="A27" s="264" t="s">
        <v>31</v>
      </c>
      <c r="B27" s="131" t="s">
        <v>32</v>
      </c>
      <c r="C27" s="269">
        <v>10</v>
      </c>
      <c r="D27" s="269">
        <v>1</v>
      </c>
      <c r="E27" s="269">
        <v>3</v>
      </c>
      <c r="F27" s="269" t="s">
        <v>28</v>
      </c>
      <c r="G27" s="269" t="s">
        <v>28</v>
      </c>
      <c r="H27" s="269" t="s">
        <v>28</v>
      </c>
      <c r="I27" s="269">
        <v>7</v>
      </c>
      <c r="J27" s="269">
        <v>1</v>
      </c>
      <c r="K27" s="269">
        <v>3</v>
      </c>
      <c r="L27" s="270" t="s">
        <v>28</v>
      </c>
      <c r="M27" s="270">
        <v>9</v>
      </c>
      <c r="N27" s="269">
        <v>0</v>
      </c>
      <c r="O27" s="270">
        <v>1</v>
      </c>
      <c r="P27" s="269" t="s">
        <v>28</v>
      </c>
      <c r="Q27" s="270">
        <v>1</v>
      </c>
      <c r="R27" s="269" t="s">
        <v>28</v>
      </c>
      <c r="S27" s="269">
        <v>34</v>
      </c>
      <c r="T27" s="269">
        <v>4</v>
      </c>
      <c r="U27" s="269">
        <v>35</v>
      </c>
      <c r="V27" s="269">
        <v>1</v>
      </c>
      <c r="W27" s="269">
        <v>43</v>
      </c>
      <c r="X27" s="269">
        <v>6</v>
      </c>
      <c r="Y27" s="269">
        <v>38</v>
      </c>
      <c r="Z27" s="1591">
        <v>1</v>
      </c>
    </row>
    <row r="28" spans="1:26" ht="10.5" customHeight="1">
      <c r="A28" s="263" t="s">
        <v>37</v>
      </c>
      <c r="B28" s="129" t="s">
        <v>38</v>
      </c>
      <c r="C28" s="265">
        <v>82</v>
      </c>
      <c r="D28" s="265">
        <v>46</v>
      </c>
      <c r="E28" s="265">
        <v>10</v>
      </c>
      <c r="F28" s="265">
        <v>5</v>
      </c>
      <c r="G28" s="265">
        <v>19</v>
      </c>
      <c r="H28" s="265">
        <v>12</v>
      </c>
      <c r="I28" s="265">
        <v>53</v>
      </c>
      <c r="J28" s="265">
        <v>29</v>
      </c>
      <c r="K28" s="265">
        <v>23</v>
      </c>
      <c r="L28" s="272">
        <v>14</v>
      </c>
      <c r="M28" s="272">
        <v>29</v>
      </c>
      <c r="N28" s="265">
        <v>10</v>
      </c>
      <c r="O28" s="272">
        <v>1</v>
      </c>
      <c r="P28" s="265">
        <v>1</v>
      </c>
      <c r="Q28" s="272">
        <v>3</v>
      </c>
      <c r="R28" s="265" t="s">
        <v>28</v>
      </c>
      <c r="S28" s="265">
        <v>200</v>
      </c>
      <c r="T28" s="265">
        <v>110</v>
      </c>
      <c r="U28" s="265">
        <v>208</v>
      </c>
      <c r="V28" s="265">
        <v>107</v>
      </c>
      <c r="W28" s="265">
        <v>151</v>
      </c>
      <c r="X28" s="265">
        <v>80</v>
      </c>
      <c r="Y28" s="265">
        <v>191</v>
      </c>
      <c r="Z28" s="273">
        <v>98</v>
      </c>
    </row>
    <row r="29" spans="1:26" ht="10.5" customHeight="1">
      <c r="A29" s="264" t="s">
        <v>29</v>
      </c>
      <c r="B29" s="131" t="s">
        <v>30</v>
      </c>
      <c r="C29" s="269">
        <v>82</v>
      </c>
      <c r="D29" s="269">
        <v>46</v>
      </c>
      <c r="E29" s="269">
        <v>10</v>
      </c>
      <c r="F29" s="269">
        <v>5</v>
      </c>
      <c r="G29" s="269">
        <v>19</v>
      </c>
      <c r="H29" s="269">
        <v>12</v>
      </c>
      <c r="I29" s="269">
        <v>53</v>
      </c>
      <c r="J29" s="269">
        <v>29</v>
      </c>
      <c r="K29" s="269">
        <v>23</v>
      </c>
      <c r="L29" s="270">
        <v>14</v>
      </c>
      <c r="M29" s="270">
        <v>29</v>
      </c>
      <c r="N29" s="269">
        <v>10</v>
      </c>
      <c r="O29" s="270">
        <v>1</v>
      </c>
      <c r="P29" s="269">
        <v>1</v>
      </c>
      <c r="Q29" s="270">
        <v>3</v>
      </c>
      <c r="R29" s="269" t="s">
        <v>28</v>
      </c>
      <c r="S29" s="269">
        <v>200</v>
      </c>
      <c r="T29" s="269">
        <v>110</v>
      </c>
      <c r="U29" s="269">
        <v>208</v>
      </c>
      <c r="V29" s="269">
        <v>107</v>
      </c>
      <c r="W29" s="269">
        <v>151</v>
      </c>
      <c r="X29" s="269">
        <v>80</v>
      </c>
      <c r="Y29" s="269">
        <v>191</v>
      </c>
      <c r="Z29" s="271">
        <v>98</v>
      </c>
    </row>
    <row r="30" spans="1:26" ht="10.5" customHeight="1">
      <c r="A30" s="264" t="s">
        <v>31</v>
      </c>
      <c r="B30" s="131" t="s">
        <v>32</v>
      </c>
      <c r="C30" s="269" t="s">
        <v>28</v>
      </c>
      <c r="D30" s="269" t="s">
        <v>28</v>
      </c>
      <c r="E30" s="269" t="s">
        <v>28</v>
      </c>
      <c r="F30" s="269" t="s">
        <v>28</v>
      </c>
      <c r="G30" s="269" t="s">
        <v>28</v>
      </c>
      <c r="H30" s="269" t="s">
        <v>28</v>
      </c>
      <c r="I30" s="269" t="s">
        <v>28</v>
      </c>
      <c r="J30" s="269" t="s">
        <v>28</v>
      </c>
      <c r="K30" s="269" t="s">
        <v>28</v>
      </c>
      <c r="L30" s="270" t="s">
        <v>28</v>
      </c>
      <c r="M30" s="270">
        <v>0</v>
      </c>
      <c r="N30" s="269">
        <v>0</v>
      </c>
      <c r="O30" s="270" t="s">
        <v>28</v>
      </c>
      <c r="P30" s="269" t="s">
        <v>28</v>
      </c>
      <c r="Q30" s="270" t="s">
        <v>28</v>
      </c>
      <c r="R30" s="269" t="s">
        <v>28</v>
      </c>
      <c r="S30" s="269" t="s">
        <v>28</v>
      </c>
      <c r="T30" s="269" t="s">
        <v>28</v>
      </c>
      <c r="U30" s="269" t="s">
        <v>28</v>
      </c>
      <c r="V30" s="269" t="s">
        <v>28</v>
      </c>
      <c r="W30" s="269" t="s">
        <v>28</v>
      </c>
      <c r="X30" s="269" t="s">
        <v>28</v>
      </c>
      <c r="Y30" s="269" t="s">
        <v>28</v>
      </c>
      <c r="Z30" s="271" t="s">
        <v>28</v>
      </c>
    </row>
    <row r="31" spans="1:26" ht="10.5" customHeight="1">
      <c r="A31" s="263" t="s">
        <v>39</v>
      </c>
      <c r="B31" s="129" t="s">
        <v>40</v>
      </c>
      <c r="C31" s="265">
        <v>272</v>
      </c>
      <c r="D31" s="265">
        <v>141</v>
      </c>
      <c r="E31" s="265">
        <v>16</v>
      </c>
      <c r="F31" s="265">
        <v>13</v>
      </c>
      <c r="G31" s="265">
        <v>112</v>
      </c>
      <c r="H31" s="265">
        <v>58</v>
      </c>
      <c r="I31" s="265">
        <v>144</v>
      </c>
      <c r="J31" s="265">
        <v>70</v>
      </c>
      <c r="K31" s="265">
        <v>46</v>
      </c>
      <c r="L31" s="272">
        <v>26</v>
      </c>
      <c r="M31" s="272">
        <v>59</v>
      </c>
      <c r="N31" s="265">
        <v>29</v>
      </c>
      <c r="O31" s="272">
        <v>4</v>
      </c>
      <c r="P31" s="272">
        <v>3</v>
      </c>
      <c r="Q31" s="272">
        <v>1</v>
      </c>
      <c r="R31" s="272" t="s">
        <v>28</v>
      </c>
      <c r="S31" s="272">
        <v>337</v>
      </c>
      <c r="T31" s="272">
        <v>197</v>
      </c>
      <c r="U31" s="272">
        <v>297</v>
      </c>
      <c r="V31" s="272">
        <v>135</v>
      </c>
      <c r="W31" s="272">
        <v>323</v>
      </c>
      <c r="X31" s="272">
        <v>190</v>
      </c>
      <c r="Y31" s="272">
        <v>376</v>
      </c>
      <c r="Z31" s="273">
        <v>201</v>
      </c>
    </row>
    <row r="32" spans="1:26" ht="10.5" customHeight="1">
      <c r="A32" s="264" t="s">
        <v>29</v>
      </c>
      <c r="B32" s="131" t="s">
        <v>30</v>
      </c>
      <c r="C32" s="269">
        <v>261</v>
      </c>
      <c r="D32" s="269">
        <v>138</v>
      </c>
      <c r="E32" s="269">
        <v>15</v>
      </c>
      <c r="F32" s="269">
        <v>12</v>
      </c>
      <c r="G32" s="269">
        <v>109</v>
      </c>
      <c r="H32" s="269">
        <v>56</v>
      </c>
      <c r="I32" s="269">
        <v>137</v>
      </c>
      <c r="J32" s="269">
        <v>70</v>
      </c>
      <c r="K32" s="269">
        <v>46</v>
      </c>
      <c r="L32" s="270">
        <v>26</v>
      </c>
      <c r="M32" s="270">
        <v>56</v>
      </c>
      <c r="N32" s="269">
        <v>29</v>
      </c>
      <c r="O32" s="270">
        <v>4</v>
      </c>
      <c r="P32" s="269">
        <v>3</v>
      </c>
      <c r="Q32" s="270">
        <v>1</v>
      </c>
      <c r="R32" s="270" t="s">
        <v>28</v>
      </c>
      <c r="S32" s="269">
        <v>327</v>
      </c>
      <c r="T32" s="269">
        <v>188</v>
      </c>
      <c r="U32" s="269">
        <v>287</v>
      </c>
      <c r="V32" s="269">
        <v>130</v>
      </c>
      <c r="W32" s="269">
        <v>309</v>
      </c>
      <c r="X32" s="269">
        <v>179</v>
      </c>
      <c r="Y32" s="269">
        <v>356</v>
      </c>
      <c r="Z32" s="1591">
        <v>185</v>
      </c>
    </row>
    <row r="33" spans="1:26" ht="10.5" customHeight="1">
      <c r="A33" s="264" t="s">
        <v>31</v>
      </c>
      <c r="B33" s="131" t="s">
        <v>32</v>
      </c>
      <c r="C33" s="269">
        <v>11</v>
      </c>
      <c r="D33" s="269">
        <v>3</v>
      </c>
      <c r="E33" s="269">
        <v>1</v>
      </c>
      <c r="F33" s="269">
        <v>1</v>
      </c>
      <c r="G33" s="269">
        <v>3</v>
      </c>
      <c r="H33" s="269">
        <v>2</v>
      </c>
      <c r="I33" s="269">
        <v>7</v>
      </c>
      <c r="J33" s="269" t="s">
        <v>28</v>
      </c>
      <c r="K33" s="269" t="s">
        <v>28</v>
      </c>
      <c r="L33" s="270" t="s">
        <v>28</v>
      </c>
      <c r="M33" s="270">
        <v>3</v>
      </c>
      <c r="N33" s="269">
        <v>0</v>
      </c>
      <c r="O33" s="270" t="s">
        <v>28</v>
      </c>
      <c r="P33" s="269" t="s">
        <v>28</v>
      </c>
      <c r="Q33" s="270" t="s">
        <v>28</v>
      </c>
      <c r="R33" s="269" t="s">
        <v>28</v>
      </c>
      <c r="S33" s="269">
        <v>10</v>
      </c>
      <c r="T33" s="269">
        <v>9</v>
      </c>
      <c r="U33" s="269">
        <v>10</v>
      </c>
      <c r="V33" s="269">
        <v>5</v>
      </c>
      <c r="W33" s="269">
        <v>14</v>
      </c>
      <c r="X33" s="269">
        <v>11</v>
      </c>
      <c r="Y33" s="269">
        <v>20</v>
      </c>
      <c r="Z33" s="1591">
        <v>16</v>
      </c>
    </row>
    <row r="34" spans="1:26" ht="10.5" customHeight="1">
      <c r="A34" s="263" t="s">
        <v>41</v>
      </c>
      <c r="B34" s="129" t="s">
        <v>42</v>
      </c>
      <c r="C34" s="265">
        <v>126</v>
      </c>
      <c r="D34" s="265">
        <v>70</v>
      </c>
      <c r="E34" s="265">
        <v>3</v>
      </c>
      <c r="F34" s="265">
        <v>1</v>
      </c>
      <c r="G34" s="265">
        <v>28</v>
      </c>
      <c r="H34" s="265">
        <v>18</v>
      </c>
      <c r="I34" s="265">
        <v>95</v>
      </c>
      <c r="J34" s="265">
        <v>51</v>
      </c>
      <c r="K34" s="265">
        <v>13</v>
      </c>
      <c r="L34" s="272">
        <v>6</v>
      </c>
      <c r="M34" s="272">
        <v>52</v>
      </c>
      <c r="N34" s="265">
        <v>29</v>
      </c>
      <c r="O34" s="272">
        <v>4</v>
      </c>
      <c r="P34" s="272">
        <v>2</v>
      </c>
      <c r="Q34" s="272" t="s">
        <v>28</v>
      </c>
      <c r="R34" s="272" t="s">
        <v>28</v>
      </c>
      <c r="S34" s="272">
        <v>232</v>
      </c>
      <c r="T34" s="272">
        <v>127</v>
      </c>
      <c r="U34" s="272">
        <v>213</v>
      </c>
      <c r="V34" s="272">
        <v>111</v>
      </c>
      <c r="W34" s="272">
        <v>191</v>
      </c>
      <c r="X34" s="272">
        <v>100</v>
      </c>
      <c r="Y34" s="272">
        <v>270</v>
      </c>
      <c r="Z34" s="273">
        <v>148</v>
      </c>
    </row>
    <row r="35" spans="1:26" ht="10.5" customHeight="1">
      <c r="A35" s="264" t="s">
        <v>29</v>
      </c>
      <c r="B35" s="131" t="s">
        <v>30</v>
      </c>
      <c r="C35" s="269">
        <v>126</v>
      </c>
      <c r="D35" s="269">
        <v>70</v>
      </c>
      <c r="E35" s="269">
        <v>3</v>
      </c>
      <c r="F35" s="269">
        <v>1</v>
      </c>
      <c r="G35" s="269">
        <v>28</v>
      </c>
      <c r="H35" s="269">
        <v>18</v>
      </c>
      <c r="I35" s="269">
        <v>95</v>
      </c>
      <c r="J35" s="269">
        <v>51</v>
      </c>
      <c r="K35" s="269">
        <v>13</v>
      </c>
      <c r="L35" s="270">
        <v>6</v>
      </c>
      <c r="M35" s="270">
        <v>52</v>
      </c>
      <c r="N35" s="269">
        <v>29</v>
      </c>
      <c r="O35" s="270">
        <v>4</v>
      </c>
      <c r="P35" s="269">
        <v>2</v>
      </c>
      <c r="Q35" s="270" t="s">
        <v>28</v>
      </c>
      <c r="R35" s="269" t="s">
        <v>28</v>
      </c>
      <c r="S35" s="269">
        <v>232</v>
      </c>
      <c r="T35" s="269">
        <v>127</v>
      </c>
      <c r="U35" s="269">
        <v>213</v>
      </c>
      <c r="V35" s="269">
        <v>111</v>
      </c>
      <c r="W35" s="269">
        <v>191</v>
      </c>
      <c r="X35" s="269">
        <v>100</v>
      </c>
      <c r="Y35" s="269">
        <v>270</v>
      </c>
      <c r="Z35" s="1591">
        <v>148</v>
      </c>
    </row>
    <row r="36" spans="1:26" ht="10.5" customHeight="1">
      <c r="A36" s="264" t="s">
        <v>31</v>
      </c>
      <c r="B36" s="131" t="s">
        <v>32</v>
      </c>
      <c r="C36" s="269" t="s">
        <v>28</v>
      </c>
      <c r="D36" s="269" t="s">
        <v>28</v>
      </c>
      <c r="E36" s="269" t="s">
        <v>28</v>
      </c>
      <c r="F36" s="269" t="s">
        <v>28</v>
      </c>
      <c r="G36" s="269" t="s">
        <v>28</v>
      </c>
      <c r="H36" s="269" t="s">
        <v>28</v>
      </c>
      <c r="I36" s="269" t="s">
        <v>28</v>
      </c>
      <c r="J36" s="269" t="s">
        <v>28</v>
      </c>
      <c r="K36" s="269" t="s">
        <v>28</v>
      </c>
      <c r="L36" s="270" t="s">
        <v>28</v>
      </c>
      <c r="M36" s="270">
        <v>0</v>
      </c>
      <c r="N36" s="269">
        <v>0</v>
      </c>
      <c r="O36" s="270" t="s">
        <v>28</v>
      </c>
      <c r="P36" s="269" t="s">
        <v>28</v>
      </c>
      <c r="Q36" s="270" t="s">
        <v>28</v>
      </c>
      <c r="R36" s="269" t="s">
        <v>28</v>
      </c>
      <c r="S36" s="269" t="s">
        <v>28</v>
      </c>
      <c r="T36" s="269" t="s">
        <v>28</v>
      </c>
      <c r="U36" s="269" t="s">
        <v>28</v>
      </c>
      <c r="V36" s="269" t="s">
        <v>28</v>
      </c>
      <c r="W36" s="269" t="s">
        <v>28</v>
      </c>
      <c r="X36" s="269" t="s">
        <v>28</v>
      </c>
      <c r="Y36" s="269" t="s">
        <v>28</v>
      </c>
      <c r="Z36" s="271" t="s">
        <v>28</v>
      </c>
    </row>
    <row r="37" spans="1:26" ht="10.5" customHeight="1">
      <c r="A37" s="263" t="s">
        <v>43</v>
      </c>
      <c r="B37" s="129" t="s">
        <v>44</v>
      </c>
      <c r="C37" s="265">
        <v>5</v>
      </c>
      <c r="D37" s="265">
        <v>3</v>
      </c>
      <c r="E37" s="265">
        <v>1</v>
      </c>
      <c r="F37" s="265">
        <v>1</v>
      </c>
      <c r="G37" s="265">
        <v>2</v>
      </c>
      <c r="H37" s="265">
        <v>2</v>
      </c>
      <c r="I37" s="265">
        <v>2</v>
      </c>
      <c r="J37" s="265" t="s">
        <v>28</v>
      </c>
      <c r="K37" s="265" t="s">
        <v>28</v>
      </c>
      <c r="L37" s="272" t="s">
        <v>28</v>
      </c>
      <c r="M37" s="272">
        <v>1</v>
      </c>
      <c r="N37" s="265">
        <v>1</v>
      </c>
      <c r="O37" s="272" t="s">
        <v>28</v>
      </c>
      <c r="P37" s="265" t="s">
        <v>28</v>
      </c>
      <c r="Q37" s="272" t="s">
        <v>28</v>
      </c>
      <c r="R37" s="265" t="s">
        <v>28</v>
      </c>
      <c r="S37" s="265">
        <v>19</v>
      </c>
      <c r="T37" s="265">
        <v>7</v>
      </c>
      <c r="U37" s="265">
        <v>23</v>
      </c>
      <c r="V37" s="265">
        <v>4</v>
      </c>
      <c r="W37" s="265">
        <v>19</v>
      </c>
      <c r="X37" s="265">
        <v>4</v>
      </c>
      <c r="Y37" s="265">
        <v>16</v>
      </c>
      <c r="Z37" s="273">
        <v>2</v>
      </c>
    </row>
    <row r="38" spans="1:26" ht="10.5" customHeight="1">
      <c r="A38" s="264" t="s">
        <v>29</v>
      </c>
      <c r="B38" s="131" t="s">
        <v>30</v>
      </c>
      <c r="C38" s="269">
        <v>4</v>
      </c>
      <c r="D38" s="269">
        <v>2</v>
      </c>
      <c r="E38" s="269">
        <v>1</v>
      </c>
      <c r="F38" s="269">
        <v>1</v>
      </c>
      <c r="G38" s="269">
        <v>1</v>
      </c>
      <c r="H38" s="269">
        <v>1</v>
      </c>
      <c r="I38" s="269">
        <v>2</v>
      </c>
      <c r="J38" s="269" t="s">
        <v>28</v>
      </c>
      <c r="K38" s="269" t="s">
        <v>28</v>
      </c>
      <c r="L38" s="270" t="s">
        <v>28</v>
      </c>
      <c r="M38" s="270">
        <v>1</v>
      </c>
      <c r="N38" s="269">
        <v>1</v>
      </c>
      <c r="O38" s="270" t="s">
        <v>28</v>
      </c>
      <c r="P38" s="269" t="s">
        <v>28</v>
      </c>
      <c r="Q38" s="270" t="s">
        <v>28</v>
      </c>
      <c r="R38" s="269" t="s">
        <v>28</v>
      </c>
      <c r="S38" s="269">
        <v>14</v>
      </c>
      <c r="T38" s="269">
        <v>6</v>
      </c>
      <c r="U38" s="269">
        <v>10</v>
      </c>
      <c r="V38" s="269">
        <v>4</v>
      </c>
      <c r="W38" s="269">
        <v>15</v>
      </c>
      <c r="X38" s="269">
        <v>4</v>
      </c>
      <c r="Y38" s="269">
        <v>13</v>
      </c>
      <c r="Z38" s="271">
        <v>2</v>
      </c>
    </row>
    <row r="39" spans="1:26" ht="10.5" customHeight="1" thickBot="1">
      <c r="A39" s="1587" t="s">
        <v>31</v>
      </c>
      <c r="B39" s="1533" t="s">
        <v>32</v>
      </c>
      <c r="C39" s="1588">
        <v>1</v>
      </c>
      <c r="D39" s="1588">
        <v>1</v>
      </c>
      <c r="E39" s="1588" t="s">
        <v>28</v>
      </c>
      <c r="F39" s="1588" t="s">
        <v>28</v>
      </c>
      <c r="G39" s="1588">
        <v>1</v>
      </c>
      <c r="H39" s="1588">
        <v>1</v>
      </c>
      <c r="I39" s="1588" t="s">
        <v>28</v>
      </c>
      <c r="J39" s="1588" t="s">
        <v>28</v>
      </c>
      <c r="K39" s="1588" t="s">
        <v>28</v>
      </c>
      <c r="L39" s="274" t="s">
        <v>28</v>
      </c>
      <c r="M39" s="274">
        <v>0</v>
      </c>
      <c r="N39" s="1588">
        <v>0</v>
      </c>
      <c r="O39" s="274" t="s">
        <v>28</v>
      </c>
      <c r="P39" s="1588" t="s">
        <v>28</v>
      </c>
      <c r="Q39" s="274" t="s">
        <v>28</v>
      </c>
      <c r="R39" s="1588" t="s">
        <v>28</v>
      </c>
      <c r="S39" s="1588">
        <v>5</v>
      </c>
      <c r="T39" s="1588">
        <v>1</v>
      </c>
      <c r="U39" s="1588">
        <v>13</v>
      </c>
      <c r="V39" s="1588" t="s">
        <v>28</v>
      </c>
      <c r="W39" s="1588">
        <v>4</v>
      </c>
      <c r="X39" s="1588" t="s">
        <v>28</v>
      </c>
      <c r="Y39" s="1588">
        <v>3</v>
      </c>
      <c r="Z39" s="1589" t="s">
        <v>28</v>
      </c>
    </row>
    <row r="40" spans="1:26" s="261" customFormat="1" ht="14.25" customHeight="1" thickBot="1">
      <c r="A40" s="1124" t="s">
        <v>364</v>
      </c>
      <c r="B40" s="1124"/>
      <c r="C40" s="1124"/>
      <c r="D40" s="1124"/>
      <c r="E40" s="1124"/>
      <c r="F40" s="1124"/>
      <c r="G40" s="1124"/>
      <c r="H40" s="1124"/>
      <c r="I40" s="1124"/>
      <c r="J40" s="1124"/>
      <c r="K40" s="1124"/>
      <c r="L40" s="1124"/>
      <c r="M40" s="1124" t="s">
        <v>46</v>
      </c>
      <c r="N40" s="1124"/>
      <c r="O40" s="1124"/>
      <c r="P40" s="1124"/>
      <c r="Q40" s="1124"/>
      <c r="R40" s="1124"/>
      <c r="S40" s="1124"/>
      <c r="T40" s="1124"/>
      <c r="U40" s="1124"/>
      <c r="V40" s="1124"/>
      <c r="W40" s="1124"/>
      <c r="X40" s="1124"/>
      <c r="Y40" s="1124"/>
      <c r="Z40" s="1124"/>
    </row>
    <row r="41" spans="1:26" ht="9.9499999999999993" customHeight="1">
      <c r="A41" s="263" t="s">
        <v>47</v>
      </c>
      <c r="B41" s="129" t="s">
        <v>48</v>
      </c>
      <c r="C41" s="265">
        <v>47</v>
      </c>
      <c r="D41" s="265">
        <v>27</v>
      </c>
      <c r="E41" s="265">
        <v>5</v>
      </c>
      <c r="F41" s="265" t="s">
        <v>28</v>
      </c>
      <c r="G41" s="265">
        <v>13</v>
      </c>
      <c r="H41" s="265">
        <v>6</v>
      </c>
      <c r="I41" s="265">
        <v>29</v>
      </c>
      <c r="J41" s="265">
        <v>21</v>
      </c>
      <c r="K41" s="265">
        <v>7</v>
      </c>
      <c r="L41" s="272">
        <v>3</v>
      </c>
      <c r="M41" s="272">
        <v>28</v>
      </c>
      <c r="N41" s="265">
        <v>9</v>
      </c>
      <c r="O41" s="266">
        <v>1</v>
      </c>
      <c r="P41" s="265" t="s">
        <v>28</v>
      </c>
      <c r="Q41" s="266">
        <v>1</v>
      </c>
      <c r="R41" s="267" t="s">
        <v>28</v>
      </c>
      <c r="S41" s="265">
        <v>67</v>
      </c>
      <c r="T41" s="265">
        <v>25</v>
      </c>
      <c r="U41" s="265">
        <v>76</v>
      </c>
      <c r="V41" s="265">
        <v>24</v>
      </c>
      <c r="W41" s="265">
        <v>138</v>
      </c>
      <c r="X41" s="265">
        <v>70</v>
      </c>
      <c r="Y41" s="265">
        <v>143</v>
      </c>
      <c r="Z41" s="268">
        <v>68</v>
      </c>
    </row>
    <row r="42" spans="1:26" ht="9.9499999999999993" customHeight="1">
      <c r="A42" s="264" t="s">
        <v>29</v>
      </c>
      <c r="B42" s="131" t="s">
        <v>30</v>
      </c>
      <c r="C42" s="269">
        <v>43</v>
      </c>
      <c r="D42" s="269">
        <v>26</v>
      </c>
      <c r="E42" s="269">
        <v>2</v>
      </c>
      <c r="F42" s="269" t="s">
        <v>28</v>
      </c>
      <c r="G42" s="269">
        <v>13</v>
      </c>
      <c r="H42" s="269">
        <v>6</v>
      </c>
      <c r="I42" s="269">
        <v>28</v>
      </c>
      <c r="J42" s="269">
        <v>20</v>
      </c>
      <c r="K42" s="269">
        <v>6</v>
      </c>
      <c r="L42" s="270">
        <v>3</v>
      </c>
      <c r="M42" s="270">
        <v>21</v>
      </c>
      <c r="N42" s="269">
        <v>9</v>
      </c>
      <c r="O42" s="270" t="s">
        <v>28</v>
      </c>
      <c r="P42" s="269" t="s">
        <v>28</v>
      </c>
      <c r="Q42" s="270" t="s">
        <v>28</v>
      </c>
      <c r="R42" s="269" t="s">
        <v>28</v>
      </c>
      <c r="S42" s="269">
        <v>55</v>
      </c>
      <c r="T42" s="269">
        <v>21</v>
      </c>
      <c r="U42" s="269">
        <v>58</v>
      </c>
      <c r="V42" s="269">
        <v>23</v>
      </c>
      <c r="W42" s="269">
        <v>120</v>
      </c>
      <c r="X42" s="269">
        <v>64</v>
      </c>
      <c r="Y42" s="269">
        <v>127</v>
      </c>
      <c r="Z42" s="271">
        <v>67</v>
      </c>
    </row>
    <row r="43" spans="1:26" ht="9.9499999999999993" customHeight="1">
      <c r="A43" s="264" t="s">
        <v>31</v>
      </c>
      <c r="B43" s="131" t="s">
        <v>32</v>
      </c>
      <c r="C43" s="269">
        <v>4</v>
      </c>
      <c r="D43" s="269">
        <v>1</v>
      </c>
      <c r="E43" s="269">
        <v>3</v>
      </c>
      <c r="F43" s="269" t="s">
        <v>28</v>
      </c>
      <c r="G43" s="269" t="s">
        <v>28</v>
      </c>
      <c r="H43" s="269" t="s">
        <v>28</v>
      </c>
      <c r="I43" s="269">
        <v>1</v>
      </c>
      <c r="J43" s="269">
        <v>1</v>
      </c>
      <c r="K43" s="269">
        <v>1</v>
      </c>
      <c r="L43" s="270" t="s">
        <v>28</v>
      </c>
      <c r="M43" s="270">
        <v>7</v>
      </c>
      <c r="N43" s="269">
        <v>0</v>
      </c>
      <c r="O43" s="270">
        <v>1</v>
      </c>
      <c r="P43" s="269" t="s">
        <v>28</v>
      </c>
      <c r="Q43" s="270">
        <v>1</v>
      </c>
      <c r="R43" s="269" t="s">
        <v>28</v>
      </c>
      <c r="S43" s="269">
        <v>12</v>
      </c>
      <c r="T43" s="269">
        <v>4</v>
      </c>
      <c r="U43" s="269">
        <v>18</v>
      </c>
      <c r="V43" s="269">
        <v>1</v>
      </c>
      <c r="W43" s="269">
        <v>18</v>
      </c>
      <c r="X43" s="269">
        <v>6</v>
      </c>
      <c r="Y43" s="269">
        <v>16</v>
      </c>
      <c r="Z43" s="271">
        <v>1</v>
      </c>
    </row>
    <row r="44" spans="1:26" ht="9.9499999999999993" customHeight="1">
      <c r="A44" s="263" t="s">
        <v>49</v>
      </c>
      <c r="B44" s="129" t="s">
        <v>50</v>
      </c>
      <c r="C44" s="265">
        <v>4</v>
      </c>
      <c r="D44" s="265">
        <v>2</v>
      </c>
      <c r="E44" s="265" t="s">
        <v>28</v>
      </c>
      <c r="F44" s="265" t="s">
        <v>28</v>
      </c>
      <c r="G44" s="265" t="s">
        <v>28</v>
      </c>
      <c r="H44" s="265" t="s">
        <v>28</v>
      </c>
      <c r="I44" s="265">
        <v>4</v>
      </c>
      <c r="J44" s="265">
        <v>2</v>
      </c>
      <c r="K44" s="265">
        <v>1</v>
      </c>
      <c r="L44" s="272" t="s">
        <v>28</v>
      </c>
      <c r="M44" s="272">
        <v>0</v>
      </c>
      <c r="N44" s="265">
        <v>0</v>
      </c>
      <c r="O44" s="272" t="s">
        <v>28</v>
      </c>
      <c r="P44" s="265" t="s">
        <v>28</v>
      </c>
      <c r="Q44" s="272" t="s">
        <v>28</v>
      </c>
      <c r="R44" s="265" t="s">
        <v>28</v>
      </c>
      <c r="S44" s="265">
        <v>22</v>
      </c>
      <c r="T44" s="265">
        <v>5</v>
      </c>
      <c r="U44" s="265">
        <v>11</v>
      </c>
      <c r="V44" s="265" t="s">
        <v>28</v>
      </c>
      <c r="W44" s="265">
        <v>10</v>
      </c>
      <c r="X44" s="265">
        <v>3</v>
      </c>
      <c r="Y44" s="265">
        <v>4</v>
      </c>
      <c r="Z44" s="273">
        <v>2</v>
      </c>
    </row>
    <row r="45" spans="1:26" ht="9.9499999999999993" customHeight="1">
      <c r="A45" s="264" t="s">
        <v>29</v>
      </c>
      <c r="B45" s="131" t="s">
        <v>30</v>
      </c>
      <c r="C45" s="269">
        <v>2</v>
      </c>
      <c r="D45" s="269">
        <v>2</v>
      </c>
      <c r="E45" s="269" t="s">
        <v>28</v>
      </c>
      <c r="F45" s="269" t="s">
        <v>28</v>
      </c>
      <c r="G45" s="269" t="s">
        <v>28</v>
      </c>
      <c r="H45" s="269" t="s">
        <v>28</v>
      </c>
      <c r="I45" s="269">
        <v>2</v>
      </c>
      <c r="J45" s="269">
        <v>2</v>
      </c>
      <c r="K45" s="269">
        <v>1</v>
      </c>
      <c r="L45" s="270" t="s">
        <v>28</v>
      </c>
      <c r="M45" s="270">
        <v>0</v>
      </c>
      <c r="N45" s="269">
        <v>0</v>
      </c>
      <c r="O45" s="270" t="s">
        <v>28</v>
      </c>
      <c r="P45" s="269" t="s">
        <v>28</v>
      </c>
      <c r="Q45" s="270" t="s">
        <v>28</v>
      </c>
      <c r="R45" s="269" t="s">
        <v>28</v>
      </c>
      <c r="S45" s="269">
        <v>8</v>
      </c>
      <c r="T45" s="269">
        <v>5</v>
      </c>
      <c r="U45" s="269" t="s">
        <v>28</v>
      </c>
      <c r="V45" s="269" t="s">
        <v>28</v>
      </c>
      <c r="W45" s="269">
        <v>3</v>
      </c>
      <c r="X45" s="269">
        <v>3</v>
      </c>
      <c r="Y45" s="269">
        <v>2</v>
      </c>
      <c r="Z45" s="271">
        <v>2</v>
      </c>
    </row>
    <row r="46" spans="1:26" ht="9.9499999999999993" customHeight="1">
      <c r="A46" s="264" t="s">
        <v>31</v>
      </c>
      <c r="B46" s="131" t="s">
        <v>32</v>
      </c>
      <c r="C46" s="269">
        <v>2</v>
      </c>
      <c r="D46" s="269" t="s">
        <v>28</v>
      </c>
      <c r="E46" s="269" t="s">
        <v>28</v>
      </c>
      <c r="F46" s="269" t="s">
        <v>28</v>
      </c>
      <c r="G46" s="269" t="s">
        <v>28</v>
      </c>
      <c r="H46" s="269" t="s">
        <v>28</v>
      </c>
      <c r="I46" s="269">
        <v>2</v>
      </c>
      <c r="J46" s="269" t="s">
        <v>28</v>
      </c>
      <c r="K46" s="269" t="s">
        <v>28</v>
      </c>
      <c r="L46" s="270" t="s">
        <v>28</v>
      </c>
      <c r="M46" s="270">
        <v>0</v>
      </c>
      <c r="N46" s="269">
        <v>0</v>
      </c>
      <c r="O46" s="270" t="s">
        <v>28</v>
      </c>
      <c r="P46" s="269" t="s">
        <v>28</v>
      </c>
      <c r="Q46" s="270" t="s">
        <v>28</v>
      </c>
      <c r="R46" s="269" t="s">
        <v>28</v>
      </c>
      <c r="S46" s="269">
        <v>14</v>
      </c>
      <c r="T46" s="269" t="s">
        <v>28</v>
      </c>
      <c r="U46" s="269">
        <v>11</v>
      </c>
      <c r="V46" s="269" t="s">
        <v>28</v>
      </c>
      <c r="W46" s="269">
        <v>7</v>
      </c>
      <c r="X46" s="269" t="s">
        <v>28</v>
      </c>
      <c r="Y46" s="269">
        <v>2</v>
      </c>
      <c r="Z46" s="271" t="s">
        <v>28</v>
      </c>
    </row>
    <row r="47" spans="1:26" ht="9.9499999999999993" customHeight="1">
      <c r="A47" s="263" t="s">
        <v>963</v>
      </c>
      <c r="B47" s="129" t="s">
        <v>964</v>
      </c>
      <c r="C47" s="265">
        <v>37</v>
      </c>
      <c r="D47" s="265">
        <v>29</v>
      </c>
      <c r="E47" s="265">
        <v>1</v>
      </c>
      <c r="F47" s="265" t="s">
        <v>28</v>
      </c>
      <c r="G47" s="265">
        <v>4</v>
      </c>
      <c r="H47" s="265">
        <v>3</v>
      </c>
      <c r="I47" s="265">
        <v>32</v>
      </c>
      <c r="J47" s="265">
        <v>26</v>
      </c>
      <c r="K47" s="265">
        <v>10</v>
      </c>
      <c r="L47" s="272">
        <v>7</v>
      </c>
      <c r="M47" s="272">
        <v>16</v>
      </c>
      <c r="N47" s="265">
        <v>10</v>
      </c>
      <c r="O47" s="272">
        <v>1</v>
      </c>
      <c r="P47" s="265" t="s">
        <v>28</v>
      </c>
      <c r="Q47" s="272" t="s">
        <v>28</v>
      </c>
      <c r="R47" s="265" t="s">
        <v>28</v>
      </c>
      <c r="S47" s="265">
        <v>70</v>
      </c>
      <c r="T47" s="265">
        <v>45</v>
      </c>
      <c r="U47" s="265">
        <v>46</v>
      </c>
      <c r="V47" s="265">
        <v>24</v>
      </c>
      <c r="W47" s="265">
        <v>90</v>
      </c>
      <c r="X47" s="265">
        <v>55</v>
      </c>
      <c r="Y47" s="265">
        <v>81</v>
      </c>
      <c r="Z47" s="273">
        <v>54</v>
      </c>
    </row>
    <row r="48" spans="1:26" ht="9.9499999999999993" customHeight="1">
      <c r="A48" s="264" t="s">
        <v>29</v>
      </c>
      <c r="B48" s="131" t="s">
        <v>30</v>
      </c>
      <c r="C48" s="269">
        <v>33</v>
      </c>
      <c r="D48" s="269">
        <v>29</v>
      </c>
      <c r="E48" s="269">
        <v>1</v>
      </c>
      <c r="F48" s="269" t="s">
        <v>28</v>
      </c>
      <c r="G48" s="269">
        <v>4</v>
      </c>
      <c r="H48" s="269">
        <v>3</v>
      </c>
      <c r="I48" s="269">
        <v>28</v>
      </c>
      <c r="J48" s="269">
        <v>26</v>
      </c>
      <c r="K48" s="269">
        <v>8</v>
      </c>
      <c r="L48" s="270">
        <v>7</v>
      </c>
      <c r="M48" s="270">
        <v>14</v>
      </c>
      <c r="N48" s="269">
        <v>10</v>
      </c>
      <c r="O48" s="270">
        <v>1</v>
      </c>
      <c r="P48" s="269" t="s">
        <v>28</v>
      </c>
      <c r="Q48" s="270" t="s">
        <v>28</v>
      </c>
      <c r="R48" s="269" t="s">
        <v>28</v>
      </c>
      <c r="S48" s="269">
        <v>62</v>
      </c>
      <c r="T48" s="269">
        <v>45</v>
      </c>
      <c r="U48" s="269">
        <v>40</v>
      </c>
      <c r="V48" s="269">
        <v>24</v>
      </c>
      <c r="W48" s="269">
        <v>72</v>
      </c>
      <c r="X48" s="269">
        <v>55</v>
      </c>
      <c r="Y48" s="269">
        <v>61</v>
      </c>
      <c r="Z48" s="271">
        <v>54</v>
      </c>
    </row>
    <row r="49" spans="1:26" ht="9.9499999999999993" customHeight="1">
      <c r="A49" s="264" t="s">
        <v>31</v>
      </c>
      <c r="B49" s="131" t="s">
        <v>32</v>
      </c>
      <c r="C49" s="269">
        <v>4</v>
      </c>
      <c r="D49" s="269" t="s">
        <v>28</v>
      </c>
      <c r="E49" s="269" t="s">
        <v>28</v>
      </c>
      <c r="F49" s="269" t="s">
        <v>28</v>
      </c>
      <c r="G49" s="269" t="s">
        <v>28</v>
      </c>
      <c r="H49" s="269" t="s">
        <v>28</v>
      </c>
      <c r="I49" s="269">
        <v>4</v>
      </c>
      <c r="J49" s="269" t="s">
        <v>28</v>
      </c>
      <c r="K49" s="269">
        <v>2</v>
      </c>
      <c r="L49" s="270" t="s">
        <v>28</v>
      </c>
      <c r="M49" s="270">
        <v>2</v>
      </c>
      <c r="N49" s="269">
        <v>0</v>
      </c>
      <c r="O49" s="270" t="s">
        <v>28</v>
      </c>
      <c r="P49" s="269" t="s">
        <v>28</v>
      </c>
      <c r="Q49" s="270" t="s">
        <v>28</v>
      </c>
      <c r="R49" s="269" t="s">
        <v>28</v>
      </c>
      <c r="S49" s="269">
        <v>8</v>
      </c>
      <c r="T49" s="269" t="s">
        <v>28</v>
      </c>
      <c r="U49" s="269">
        <v>6</v>
      </c>
      <c r="V49" s="269" t="s">
        <v>28</v>
      </c>
      <c r="W49" s="269">
        <v>18</v>
      </c>
      <c r="X49" s="269" t="s">
        <v>28</v>
      </c>
      <c r="Y49" s="269">
        <v>20</v>
      </c>
      <c r="Z49" s="271" t="s">
        <v>28</v>
      </c>
    </row>
    <row r="50" spans="1:26" ht="9.9499999999999993" customHeight="1">
      <c r="A50" s="263" t="s">
        <v>51</v>
      </c>
      <c r="B50" s="129" t="s">
        <v>52</v>
      </c>
      <c r="C50" s="265">
        <v>180</v>
      </c>
      <c r="D50" s="265">
        <v>90</v>
      </c>
      <c r="E50" s="265">
        <v>8</v>
      </c>
      <c r="F50" s="265">
        <v>7</v>
      </c>
      <c r="G50" s="265">
        <v>85</v>
      </c>
      <c r="H50" s="265">
        <v>39</v>
      </c>
      <c r="I50" s="265">
        <v>87</v>
      </c>
      <c r="J50" s="265">
        <v>44</v>
      </c>
      <c r="K50" s="265">
        <v>33</v>
      </c>
      <c r="L50" s="272">
        <v>20</v>
      </c>
      <c r="M50" s="272">
        <v>44</v>
      </c>
      <c r="N50" s="265">
        <v>25</v>
      </c>
      <c r="O50" s="272">
        <v>4</v>
      </c>
      <c r="P50" s="265">
        <v>3</v>
      </c>
      <c r="Q50" s="272" t="s">
        <v>28</v>
      </c>
      <c r="R50" s="265" t="s">
        <v>28</v>
      </c>
      <c r="S50" s="265">
        <v>138</v>
      </c>
      <c r="T50" s="265">
        <v>89</v>
      </c>
      <c r="U50" s="265">
        <v>155</v>
      </c>
      <c r="V50" s="265">
        <v>81</v>
      </c>
      <c r="W50" s="265">
        <v>201</v>
      </c>
      <c r="X50" s="265">
        <v>114</v>
      </c>
      <c r="Y50" s="265">
        <v>250</v>
      </c>
      <c r="Z50" s="273">
        <v>133</v>
      </c>
    </row>
    <row r="51" spans="1:26" ht="9.9499999999999993" customHeight="1">
      <c r="A51" s="264" t="s">
        <v>29</v>
      </c>
      <c r="B51" s="131" t="s">
        <v>30</v>
      </c>
      <c r="C51" s="269">
        <v>169</v>
      </c>
      <c r="D51" s="269">
        <v>87</v>
      </c>
      <c r="E51" s="269">
        <v>7</v>
      </c>
      <c r="F51" s="269">
        <v>6</v>
      </c>
      <c r="G51" s="269">
        <v>82</v>
      </c>
      <c r="H51" s="269">
        <v>37</v>
      </c>
      <c r="I51" s="269">
        <v>80</v>
      </c>
      <c r="J51" s="269">
        <v>44</v>
      </c>
      <c r="K51" s="269">
        <v>33</v>
      </c>
      <c r="L51" s="270">
        <v>20</v>
      </c>
      <c r="M51" s="270">
        <v>41</v>
      </c>
      <c r="N51" s="269">
        <v>25</v>
      </c>
      <c r="O51" s="270">
        <v>4</v>
      </c>
      <c r="P51" s="269">
        <v>3</v>
      </c>
      <c r="Q51" s="270" t="s">
        <v>28</v>
      </c>
      <c r="R51" s="269" t="s">
        <v>28</v>
      </c>
      <c r="S51" s="269">
        <v>133</v>
      </c>
      <c r="T51" s="269">
        <v>85</v>
      </c>
      <c r="U51" s="269">
        <v>146</v>
      </c>
      <c r="V51" s="269">
        <v>77</v>
      </c>
      <c r="W51" s="269">
        <v>187</v>
      </c>
      <c r="X51" s="269">
        <v>103</v>
      </c>
      <c r="Y51" s="269">
        <v>232</v>
      </c>
      <c r="Z51" s="271">
        <v>119</v>
      </c>
    </row>
    <row r="52" spans="1:26" ht="9.9499999999999993" customHeight="1">
      <c r="A52" s="264" t="s">
        <v>31</v>
      </c>
      <c r="B52" s="131" t="s">
        <v>32</v>
      </c>
      <c r="C52" s="269">
        <v>11</v>
      </c>
      <c r="D52" s="269">
        <v>3</v>
      </c>
      <c r="E52" s="269">
        <v>1</v>
      </c>
      <c r="F52" s="269">
        <v>1</v>
      </c>
      <c r="G52" s="269">
        <v>3</v>
      </c>
      <c r="H52" s="269">
        <v>2</v>
      </c>
      <c r="I52" s="269">
        <v>7</v>
      </c>
      <c r="J52" s="269" t="s">
        <v>28</v>
      </c>
      <c r="K52" s="269" t="s">
        <v>28</v>
      </c>
      <c r="L52" s="270" t="s">
        <v>28</v>
      </c>
      <c r="M52" s="270">
        <v>3</v>
      </c>
      <c r="N52" s="269">
        <v>0</v>
      </c>
      <c r="O52" s="270" t="s">
        <v>28</v>
      </c>
      <c r="P52" s="269" t="s">
        <v>28</v>
      </c>
      <c r="Q52" s="270" t="s">
        <v>28</v>
      </c>
      <c r="R52" s="269" t="s">
        <v>28</v>
      </c>
      <c r="S52" s="269">
        <v>5</v>
      </c>
      <c r="T52" s="269">
        <v>4</v>
      </c>
      <c r="U52" s="269">
        <v>9</v>
      </c>
      <c r="V52" s="269">
        <v>4</v>
      </c>
      <c r="W52" s="269">
        <v>14</v>
      </c>
      <c r="X52" s="269">
        <v>11</v>
      </c>
      <c r="Y52" s="269">
        <v>18</v>
      </c>
      <c r="Z52" s="271">
        <v>14</v>
      </c>
    </row>
    <row r="53" spans="1:26" ht="9.9499999999999993" customHeight="1">
      <c r="A53" s="263" t="s">
        <v>53</v>
      </c>
      <c r="B53" s="129" t="s">
        <v>54</v>
      </c>
      <c r="C53" s="265">
        <v>92</v>
      </c>
      <c r="D53" s="265">
        <v>51</v>
      </c>
      <c r="E53" s="265">
        <v>8</v>
      </c>
      <c r="F53" s="265">
        <v>6</v>
      </c>
      <c r="G53" s="265">
        <v>27</v>
      </c>
      <c r="H53" s="265">
        <v>19</v>
      </c>
      <c r="I53" s="265">
        <v>57</v>
      </c>
      <c r="J53" s="265">
        <v>26</v>
      </c>
      <c r="K53" s="265">
        <v>13</v>
      </c>
      <c r="L53" s="272">
        <v>6</v>
      </c>
      <c r="M53" s="272">
        <v>15</v>
      </c>
      <c r="N53" s="265">
        <v>4</v>
      </c>
      <c r="O53" s="272" t="s">
        <v>28</v>
      </c>
      <c r="P53" s="265" t="s">
        <v>28</v>
      </c>
      <c r="Q53" s="272">
        <v>1</v>
      </c>
      <c r="R53" s="265" t="s">
        <v>28</v>
      </c>
      <c r="S53" s="265">
        <v>199</v>
      </c>
      <c r="T53" s="265">
        <v>108</v>
      </c>
      <c r="U53" s="265">
        <v>142</v>
      </c>
      <c r="V53" s="265">
        <v>54</v>
      </c>
      <c r="W53" s="265">
        <v>122</v>
      </c>
      <c r="X53" s="265">
        <v>76</v>
      </c>
      <c r="Y53" s="265">
        <v>126</v>
      </c>
      <c r="Z53" s="273">
        <v>68</v>
      </c>
    </row>
    <row r="54" spans="1:26" ht="9.9499999999999993" customHeight="1">
      <c r="A54" s="264" t="s">
        <v>29</v>
      </c>
      <c r="B54" s="131" t="s">
        <v>30</v>
      </c>
      <c r="C54" s="269">
        <v>92</v>
      </c>
      <c r="D54" s="269">
        <v>51</v>
      </c>
      <c r="E54" s="269">
        <v>8</v>
      </c>
      <c r="F54" s="269">
        <v>6</v>
      </c>
      <c r="G54" s="269">
        <v>27</v>
      </c>
      <c r="H54" s="269">
        <v>19</v>
      </c>
      <c r="I54" s="269">
        <v>57</v>
      </c>
      <c r="J54" s="269">
        <v>26</v>
      </c>
      <c r="K54" s="269">
        <v>13</v>
      </c>
      <c r="L54" s="270">
        <v>6</v>
      </c>
      <c r="M54" s="270">
        <v>15</v>
      </c>
      <c r="N54" s="269">
        <v>4</v>
      </c>
      <c r="O54" s="270" t="s">
        <v>28</v>
      </c>
      <c r="P54" s="269" t="s">
        <v>28</v>
      </c>
      <c r="Q54" s="270">
        <v>1</v>
      </c>
      <c r="R54" s="269" t="s">
        <v>28</v>
      </c>
      <c r="S54" s="269">
        <v>194</v>
      </c>
      <c r="T54" s="269">
        <v>103</v>
      </c>
      <c r="U54" s="269">
        <v>141</v>
      </c>
      <c r="V54" s="269">
        <v>53</v>
      </c>
      <c r="W54" s="269">
        <v>122</v>
      </c>
      <c r="X54" s="269">
        <v>76</v>
      </c>
      <c r="Y54" s="269">
        <v>124</v>
      </c>
      <c r="Z54" s="271">
        <v>66</v>
      </c>
    </row>
    <row r="55" spans="1:26" ht="9.9499999999999993" customHeight="1">
      <c r="A55" s="264" t="s">
        <v>31</v>
      </c>
      <c r="B55" s="131" t="s">
        <v>32</v>
      </c>
      <c r="C55" s="269" t="s">
        <v>28</v>
      </c>
      <c r="D55" s="269" t="s">
        <v>28</v>
      </c>
      <c r="E55" s="269" t="s">
        <v>28</v>
      </c>
      <c r="F55" s="269" t="s">
        <v>28</v>
      </c>
      <c r="G55" s="269" t="s">
        <v>28</v>
      </c>
      <c r="H55" s="269" t="s">
        <v>28</v>
      </c>
      <c r="I55" s="269" t="s">
        <v>28</v>
      </c>
      <c r="J55" s="269" t="s">
        <v>28</v>
      </c>
      <c r="K55" s="269" t="s">
        <v>28</v>
      </c>
      <c r="L55" s="270" t="s">
        <v>28</v>
      </c>
      <c r="M55" s="270">
        <v>0</v>
      </c>
      <c r="N55" s="269">
        <v>0</v>
      </c>
      <c r="O55" s="270" t="s">
        <v>28</v>
      </c>
      <c r="P55" s="269" t="s">
        <v>28</v>
      </c>
      <c r="Q55" s="270" t="s">
        <v>28</v>
      </c>
      <c r="R55" s="269" t="s">
        <v>28</v>
      </c>
      <c r="S55" s="269">
        <v>5</v>
      </c>
      <c r="T55" s="269">
        <v>5</v>
      </c>
      <c r="U55" s="269">
        <v>1</v>
      </c>
      <c r="V55" s="269">
        <v>1</v>
      </c>
      <c r="W55" s="269" t="s">
        <v>28</v>
      </c>
      <c r="X55" s="269" t="s">
        <v>28</v>
      </c>
      <c r="Y55" s="269">
        <v>2</v>
      </c>
      <c r="Z55" s="271">
        <v>2</v>
      </c>
    </row>
    <row r="56" spans="1:26" ht="9.9499999999999993" customHeight="1">
      <c r="A56" s="263" t="s">
        <v>55</v>
      </c>
      <c r="B56" s="129" t="s">
        <v>56</v>
      </c>
      <c r="C56" s="265">
        <v>51</v>
      </c>
      <c r="D56" s="265">
        <v>30</v>
      </c>
      <c r="E56" s="265">
        <v>8</v>
      </c>
      <c r="F56" s="265">
        <v>5</v>
      </c>
      <c r="G56" s="265">
        <v>9</v>
      </c>
      <c r="H56" s="265">
        <v>5</v>
      </c>
      <c r="I56" s="265">
        <v>34</v>
      </c>
      <c r="J56" s="265">
        <v>20</v>
      </c>
      <c r="K56" s="265">
        <v>17</v>
      </c>
      <c r="L56" s="272">
        <v>11</v>
      </c>
      <c r="M56" s="272">
        <v>15</v>
      </c>
      <c r="N56" s="265">
        <v>4</v>
      </c>
      <c r="O56" s="272">
        <v>1</v>
      </c>
      <c r="P56" s="265">
        <v>1</v>
      </c>
      <c r="Q56" s="272">
        <v>3</v>
      </c>
      <c r="R56" s="265" t="s">
        <v>28</v>
      </c>
      <c r="S56" s="265">
        <v>128</v>
      </c>
      <c r="T56" s="265">
        <v>69</v>
      </c>
      <c r="U56" s="265">
        <v>144</v>
      </c>
      <c r="V56" s="265">
        <v>73</v>
      </c>
      <c r="W56" s="265">
        <v>80</v>
      </c>
      <c r="X56" s="265">
        <v>50</v>
      </c>
      <c r="Y56" s="265">
        <v>124</v>
      </c>
      <c r="Z56" s="273">
        <v>60</v>
      </c>
    </row>
    <row r="57" spans="1:26" ht="9.9499999999999993" customHeight="1">
      <c r="A57" s="264" t="s">
        <v>29</v>
      </c>
      <c r="B57" s="131" t="s">
        <v>30</v>
      </c>
      <c r="C57" s="269">
        <v>51</v>
      </c>
      <c r="D57" s="269">
        <v>30</v>
      </c>
      <c r="E57" s="269">
        <v>8</v>
      </c>
      <c r="F57" s="269">
        <v>5</v>
      </c>
      <c r="G57" s="269">
        <v>9</v>
      </c>
      <c r="H57" s="269">
        <v>5</v>
      </c>
      <c r="I57" s="269">
        <v>34</v>
      </c>
      <c r="J57" s="269">
        <v>20</v>
      </c>
      <c r="K57" s="269">
        <v>17</v>
      </c>
      <c r="L57" s="270">
        <v>11</v>
      </c>
      <c r="M57" s="270">
        <v>15</v>
      </c>
      <c r="N57" s="269">
        <v>4</v>
      </c>
      <c r="O57" s="270">
        <v>1</v>
      </c>
      <c r="P57" s="269">
        <v>1</v>
      </c>
      <c r="Q57" s="270">
        <v>3</v>
      </c>
      <c r="R57" s="269" t="s">
        <v>28</v>
      </c>
      <c r="S57" s="269">
        <v>128</v>
      </c>
      <c r="T57" s="269">
        <v>69</v>
      </c>
      <c r="U57" s="269">
        <v>144</v>
      </c>
      <c r="V57" s="269">
        <v>73</v>
      </c>
      <c r="W57" s="269">
        <v>80</v>
      </c>
      <c r="X57" s="269">
        <v>50</v>
      </c>
      <c r="Y57" s="269">
        <v>124</v>
      </c>
      <c r="Z57" s="271">
        <v>60</v>
      </c>
    </row>
    <row r="58" spans="1:26" ht="9.9499999999999993" customHeight="1">
      <c r="A58" s="264" t="s">
        <v>31</v>
      </c>
      <c r="B58" s="131" t="s">
        <v>32</v>
      </c>
      <c r="C58" s="269" t="s">
        <v>28</v>
      </c>
      <c r="D58" s="269" t="s">
        <v>28</v>
      </c>
      <c r="E58" s="269" t="s">
        <v>28</v>
      </c>
      <c r="F58" s="269" t="s">
        <v>28</v>
      </c>
      <c r="G58" s="269" t="s">
        <v>28</v>
      </c>
      <c r="H58" s="269" t="s">
        <v>28</v>
      </c>
      <c r="I58" s="269" t="s">
        <v>28</v>
      </c>
      <c r="J58" s="269" t="s">
        <v>28</v>
      </c>
      <c r="K58" s="269" t="s">
        <v>28</v>
      </c>
      <c r="L58" s="270" t="s">
        <v>28</v>
      </c>
      <c r="M58" s="270">
        <v>0</v>
      </c>
      <c r="N58" s="269">
        <v>0</v>
      </c>
      <c r="O58" s="270" t="s">
        <v>28</v>
      </c>
      <c r="P58" s="269" t="s">
        <v>28</v>
      </c>
      <c r="Q58" s="269" t="s">
        <v>28</v>
      </c>
      <c r="R58" s="269" t="s">
        <v>28</v>
      </c>
      <c r="S58" s="269" t="s">
        <v>28</v>
      </c>
      <c r="T58" s="269" t="s">
        <v>28</v>
      </c>
      <c r="U58" s="269" t="s">
        <v>28</v>
      </c>
      <c r="V58" s="269" t="s">
        <v>28</v>
      </c>
      <c r="W58" s="269" t="s">
        <v>28</v>
      </c>
      <c r="X58" s="269" t="s">
        <v>28</v>
      </c>
      <c r="Y58" s="269" t="s">
        <v>28</v>
      </c>
      <c r="Z58" s="271" t="s">
        <v>28</v>
      </c>
    </row>
    <row r="59" spans="1:26" ht="9.9499999999999993" customHeight="1">
      <c r="A59" s="263" t="s">
        <v>57</v>
      </c>
      <c r="B59" s="129" t="s">
        <v>58</v>
      </c>
      <c r="C59" s="265">
        <v>31</v>
      </c>
      <c r="D59" s="265">
        <v>16</v>
      </c>
      <c r="E59" s="265">
        <v>2</v>
      </c>
      <c r="F59" s="265" t="s">
        <v>28</v>
      </c>
      <c r="G59" s="265">
        <v>10</v>
      </c>
      <c r="H59" s="265">
        <v>7</v>
      </c>
      <c r="I59" s="265">
        <v>19</v>
      </c>
      <c r="J59" s="265">
        <v>9</v>
      </c>
      <c r="K59" s="265">
        <v>6</v>
      </c>
      <c r="L59" s="272">
        <v>3</v>
      </c>
      <c r="M59" s="272">
        <v>14</v>
      </c>
      <c r="N59" s="265">
        <v>6</v>
      </c>
      <c r="O59" s="272" t="s">
        <v>28</v>
      </c>
      <c r="P59" s="265" t="s">
        <v>28</v>
      </c>
      <c r="Q59" s="272" t="s">
        <v>28</v>
      </c>
      <c r="R59" s="265" t="s">
        <v>28</v>
      </c>
      <c r="S59" s="265">
        <v>72</v>
      </c>
      <c r="T59" s="265">
        <v>41</v>
      </c>
      <c r="U59" s="265">
        <v>64</v>
      </c>
      <c r="V59" s="265">
        <v>34</v>
      </c>
      <c r="W59" s="265">
        <v>71</v>
      </c>
      <c r="X59" s="265">
        <v>30</v>
      </c>
      <c r="Y59" s="265">
        <v>67</v>
      </c>
      <c r="Z59" s="273">
        <v>38</v>
      </c>
    </row>
    <row r="60" spans="1:26" ht="9.9499999999999993" customHeight="1">
      <c r="A60" s="264" t="s">
        <v>29</v>
      </c>
      <c r="B60" s="131" t="s">
        <v>30</v>
      </c>
      <c r="C60" s="269">
        <v>31</v>
      </c>
      <c r="D60" s="269">
        <v>16</v>
      </c>
      <c r="E60" s="269">
        <v>2</v>
      </c>
      <c r="F60" s="269" t="s">
        <v>28</v>
      </c>
      <c r="G60" s="269">
        <v>10</v>
      </c>
      <c r="H60" s="269">
        <v>7</v>
      </c>
      <c r="I60" s="269">
        <v>19</v>
      </c>
      <c r="J60" s="269">
        <v>9</v>
      </c>
      <c r="K60" s="269">
        <v>6</v>
      </c>
      <c r="L60" s="270">
        <v>3</v>
      </c>
      <c r="M60" s="270">
        <v>14</v>
      </c>
      <c r="N60" s="269">
        <v>6</v>
      </c>
      <c r="O60" s="270" t="s">
        <v>28</v>
      </c>
      <c r="P60" s="269" t="s">
        <v>28</v>
      </c>
      <c r="Q60" s="270" t="s">
        <v>28</v>
      </c>
      <c r="R60" s="269" t="s">
        <v>28</v>
      </c>
      <c r="S60" s="269">
        <v>72</v>
      </c>
      <c r="T60" s="269">
        <v>41</v>
      </c>
      <c r="U60" s="269">
        <v>64</v>
      </c>
      <c r="V60" s="269">
        <v>34</v>
      </c>
      <c r="W60" s="269">
        <v>71</v>
      </c>
      <c r="X60" s="269">
        <v>30</v>
      </c>
      <c r="Y60" s="269">
        <v>67</v>
      </c>
      <c r="Z60" s="271">
        <v>38</v>
      </c>
    </row>
    <row r="61" spans="1:26" ht="9.9499999999999993" customHeight="1">
      <c r="A61" s="264" t="s">
        <v>31</v>
      </c>
      <c r="B61" s="131" t="s">
        <v>32</v>
      </c>
      <c r="C61" s="269" t="s">
        <v>28</v>
      </c>
      <c r="D61" s="269" t="s">
        <v>28</v>
      </c>
      <c r="E61" s="269" t="s">
        <v>28</v>
      </c>
      <c r="F61" s="269" t="s">
        <v>28</v>
      </c>
      <c r="G61" s="269" t="s">
        <v>28</v>
      </c>
      <c r="H61" s="269" t="s">
        <v>28</v>
      </c>
      <c r="I61" s="269" t="s">
        <v>28</v>
      </c>
      <c r="J61" s="269" t="s">
        <v>28</v>
      </c>
      <c r="K61" s="269" t="s">
        <v>28</v>
      </c>
      <c r="L61" s="270" t="s">
        <v>28</v>
      </c>
      <c r="M61" s="270">
        <v>0</v>
      </c>
      <c r="N61" s="269">
        <v>0</v>
      </c>
      <c r="O61" s="270" t="s">
        <v>28</v>
      </c>
      <c r="P61" s="269" t="s">
        <v>28</v>
      </c>
      <c r="Q61" s="269" t="s">
        <v>28</v>
      </c>
      <c r="R61" s="269" t="s">
        <v>28</v>
      </c>
      <c r="S61" s="269" t="s">
        <v>28</v>
      </c>
      <c r="T61" s="269" t="s">
        <v>28</v>
      </c>
      <c r="U61" s="269" t="s">
        <v>28</v>
      </c>
      <c r="V61" s="269" t="s">
        <v>28</v>
      </c>
      <c r="W61" s="269" t="s">
        <v>28</v>
      </c>
      <c r="X61" s="269" t="s">
        <v>28</v>
      </c>
      <c r="Y61" s="269" t="s">
        <v>28</v>
      </c>
      <c r="Z61" s="271" t="s">
        <v>28</v>
      </c>
    </row>
    <row r="62" spans="1:26" ht="9.9499999999999993" customHeight="1">
      <c r="A62" s="263" t="s">
        <v>59</v>
      </c>
      <c r="B62" s="129" t="s">
        <v>60</v>
      </c>
      <c r="C62" s="265">
        <v>126</v>
      </c>
      <c r="D62" s="265">
        <v>70</v>
      </c>
      <c r="E62" s="265">
        <v>3</v>
      </c>
      <c r="F62" s="265">
        <v>1</v>
      </c>
      <c r="G62" s="265">
        <v>28</v>
      </c>
      <c r="H62" s="265">
        <v>18</v>
      </c>
      <c r="I62" s="265">
        <v>95</v>
      </c>
      <c r="J62" s="265">
        <v>51</v>
      </c>
      <c r="K62" s="265">
        <v>13</v>
      </c>
      <c r="L62" s="272">
        <v>6</v>
      </c>
      <c r="M62" s="272">
        <v>52</v>
      </c>
      <c r="N62" s="265">
        <v>29</v>
      </c>
      <c r="O62" s="272">
        <v>4</v>
      </c>
      <c r="P62" s="265">
        <v>2</v>
      </c>
      <c r="Q62" s="272" t="s">
        <v>28</v>
      </c>
      <c r="R62" s="265" t="s">
        <v>28</v>
      </c>
      <c r="S62" s="265">
        <v>232</v>
      </c>
      <c r="T62" s="265">
        <v>127</v>
      </c>
      <c r="U62" s="265">
        <v>213</v>
      </c>
      <c r="V62" s="265">
        <v>111</v>
      </c>
      <c r="W62" s="265">
        <v>191</v>
      </c>
      <c r="X62" s="265">
        <v>100</v>
      </c>
      <c r="Y62" s="265">
        <v>270</v>
      </c>
      <c r="Z62" s="273">
        <v>148</v>
      </c>
    </row>
    <row r="63" spans="1:26" ht="9.9499999999999993" customHeight="1">
      <c r="A63" s="264" t="s">
        <v>29</v>
      </c>
      <c r="B63" s="131" t="s">
        <v>30</v>
      </c>
      <c r="C63" s="269">
        <v>126</v>
      </c>
      <c r="D63" s="269">
        <v>70</v>
      </c>
      <c r="E63" s="269">
        <v>3</v>
      </c>
      <c r="F63" s="269">
        <v>1</v>
      </c>
      <c r="G63" s="269">
        <v>28</v>
      </c>
      <c r="H63" s="269">
        <v>18</v>
      </c>
      <c r="I63" s="269">
        <v>95</v>
      </c>
      <c r="J63" s="269">
        <v>51</v>
      </c>
      <c r="K63" s="269">
        <v>13</v>
      </c>
      <c r="L63" s="270">
        <v>6</v>
      </c>
      <c r="M63" s="270">
        <v>52</v>
      </c>
      <c r="N63" s="269">
        <v>29</v>
      </c>
      <c r="O63" s="270">
        <v>4</v>
      </c>
      <c r="P63" s="269">
        <v>2</v>
      </c>
      <c r="Q63" s="270" t="s">
        <v>28</v>
      </c>
      <c r="R63" s="269" t="s">
        <v>28</v>
      </c>
      <c r="S63" s="269">
        <v>232</v>
      </c>
      <c r="T63" s="269">
        <v>127</v>
      </c>
      <c r="U63" s="269">
        <v>213</v>
      </c>
      <c r="V63" s="269">
        <v>111</v>
      </c>
      <c r="W63" s="269">
        <v>191</v>
      </c>
      <c r="X63" s="269">
        <v>100</v>
      </c>
      <c r="Y63" s="269">
        <v>270</v>
      </c>
      <c r="Z63" s="271">
        <v>148</v>
      </c>
    </row>
    <row r="64" spans="1:26" ht="9.9499999999999993" customHeight="1">
      <c r="A64" s="264" t="s">
        <v>31</v>
      </c>
      <c r="B64" s="131" t="s">
        <v>32</v>
      </c>
      <c r="C64" s="269" t="s">
        <v>28</v>
      </c>
      <c r="D64" s="269" t="s">
        <v>28</v>
      </c>
      <c r="E64" s="269" t="s">
        <v>28</v>
      </c>
      <c r="F64" s="269" t="s">
        <v>28</v>
      </c>
      <c r="G64" s="269" t="s">
        <v>28</v>
      </c>
      <c r="H64" s="269" t="s">
        <v>28</v>
      </c>
      <c r="I64" s="269" t="s">
        <v>28</v>
      </c>
      <c r="J64" s="269" t="s">
        <v>28</v>
      </c>
      <c r="K64" s="269" t="s">
        <v>28</v>
      </c>
      <c r="L64" s="270" t="s">
        <v>28</v>
      </c>
      <c r="M64" s="270">
        <v>0</v>
      </c>
      <c r="N64" s="269">
        <v>0</v>
      </c>
      <c r="O64" s="270" t="s">
        <v>28</v>
      </c>
      <c r="P64" s="269" t="s">
        <v>28</v>
      </c>
      <c r="Q64" s="269" t="s">
        <v>28</v>
      </c>
      <c r="R64" s="269" t="s">
        <v>28</v>
      </c>
      <c r="S64" s="269" t="s">
        <v>28</v>
      </c>
      <c r="T64" s="269" t="s">
        <v>28</v>
      </c>
      <c r="U64" s="269" t="s">
        <v>28</v>
      </c>
      <c r="V64" s="269" t="s">
        <v>28</v>
      </c>
      <c r="W64" s="269" t="s">
        <v>28</v>
      </c>
      <c r="X64" s="269" t="s">
        <v>28</v>
      </c>
      <c r="Y64" s="269" t="s">
        <v>28</v>
      </c>
      <c r="Z64" s="271" t="s">
        <v>28</v>
      </c>
    </row>
    <row r="65" spans="1:26" ht="9.9499999999999993" customHeight="1">
      <c r="A65" s="263" t="s">
        <v>61</v>
      </c>
      <c r="B65" s="129" t="s">
        <v>62</v>
      </c>
      <c r="C65" s="265">
        <v>5</v>
      </c>
      <c r="D65" s="265">
        <v>3</v>
      </c>
      <c r="E65" s="265">
        <v>1</v>
      </c>
      <c r="F65" s="265">
        <v>1</v>
      </c>
      <c r="G65" s="265">
        <v>2</v>
      </c>
      <c r="H65" s="265">
        <v>2</v>
      </c>
      <c r="I65" s="265">
        <v>2</v>
      </c>
      <c r="J65" s="265" t="s">
        <v>28</v>
      </c>
      <c r="K65" s="265" t="s">
        <v>28</v>
      </c>
      <c r="L65" s="272" t="s">
        <v>28</v>
      </c>
      <c r="M65" s="272">
        <v>1</v>
      </c>
      <c r="N65" s="265">
        <v>1</v>
      </c>
      <c r="O65" s="272" t="s">
        <v>28</v>
      </c>
      <c r="P65" s="265" t="s">
        <v>28</v>
      </c>
      <c r="Q65" s="272" t="s">
        <v>28</v>
      </c>
      <c r="R65" s="265" t="s">
        <v>28</v>
      </c>
      <c r="S65" s="265">
        <v>19</v>
      </c>
      <c r="T65" s="265">
        <v>7</v>
      </c>
      <c r="U65" s="265">
        <v>23</v>
      </c>
      <c r="V65" s="265">
        <v>4</v>
      </c>
      <c r="W65" s="265">
        <v>19</v>
      </c>
      <c r="X65" s="265">
        <v>4</v>
      </c>
      <c r="Y65" s="265">
        <v>16</v>
      </c>
      <c r="Z65" s="273">
        <v>2</v>
      </c>
    </row>
    <row r="66" spans="1:26" ht="9.9499999999999993" customHeight="1">
      <c r="A66" s="264" t="s">
        <v>29</v>
      </c>
      <c r="B66" s="131" t="s">
        <v>30</v>
      </c>
      <c r="C66" s="269">
        <v>4</v>
      </c>
      <c r="D66" s="269">
        <v>2</v>
      </c>
      <c r="E66" s="269">
        <v>1</v>
      </c>
      <c r="F66" s="269">
        <v>1</v>
      </c>
      <c r="G66" s="269">
        <v>1</v>
      </c>
      <c r="H66" s="269">
        <v>1</v>
      </c>
      <c r="I66" s="269">
        <v>2</v>
      </c>
      <c r="J66" s="269" t="s">
        <v>28</v>
      </c>
      <c r="K66" s="269" t="s">
        <v>28</v>
      </c>
      <c r="L66" s="270" t="s">
        <v>28</v>
      </c>
      <c r="M66" s="270">
        <v>1</v>
      </c>
      <c r="N66" s="269">
        <v>1</v>
      </c>
      <c r="O66" s="270" t="s">
        <v>28</v>
      </c>
      <c r="P66" s="269" t="s">
        <v>28</v>
      </c>
      <c r="Q66" s="270" t="s">
        <v>28</v>
      </c>
      <c r="R66" s="269" t="s">
        <v>28</v>
      </c>
      <c r="S66" s="269">
        <v>14</v>
      </c>
      <c r="T66" s="269">
        <v>6</v>
      </c>
      <c r="U66" s="269">
        <v>10</v>
      </c>
      <c r="V66" s="269">
        <v>4</v>
      </c>
      <c r="W66" s="269">
        <v>15</v>
      </c>
      <c r="X66" s="269">
        <v>4</v>
      </c>
      <c r="Y66" s="269">
        <v>13</v>
      </c>
      <c r="Z66" s="271">
        <v>2</v>
      </c>
    </row>
    <row r="67" spans="1:26" ht="9.9499999999999993" customHeight="1">
      <c r="A67" s="264" t="s">
        <v>31</v>
      </c>
      <c r="B67" s="131" t="s">
        <v>32</v>
      </c>
      <c r="C67" s="269">
        <v>1</v>
      </c>
      <c r="D67" s="269">
        <v>1</v>
      </c>
      <c r="E67" s="269" t="s">
        <v>28</v>
      </c>
      <c r="F67" s="269" t="s">
        <v>28</v>
      </c>
      <c r="G67" s="269">
        <v>1</v>
      </c>
      <c r="H67" s="269">
        <v>1</v>
      </c>
      <c r="I67" s="269" t="s">
        <v>28</v>
      </c>
      <c r="J67" s="269" t="s">
        <v>28</v>
      </c>
      <c r="K67" s="269" t="s">
        <v>28</v>
      </c>
      <c r="L67" s="270" t="s">
        <v>28</v>
      </c>
      <c r="M67" s="270">
        <v>0</v>
      </c>
      <c r="N67" s="269">
        <v>0</v>
      </c>
      <c r="O67" s="270" t="s">
        <v>28</v>
      </c>
      <c r="P67" s="269" t="s">
        <v>28</v>
      </c>
      <c r="Q67" s="270" t="s">
        <v>28</v>
      </c>
      <c r="R67" s="269" t="s">
        <v>28</v>
      </c>
      <c r="S67" s="269">
        <v>5</v>
      </c>
      <c r="T67" s="269">
        <v>1</v>
      </c>
      <c r="U67" s="269">
        <v>13</v>
      </c>
      <c r="V67" s="269" t="s">
        <v>28</v>
      </c>
      <c r="W67" s="269">
        <v>4</v>
      </c>
      <c r="X67" s="269" t="s">
        <v>28</v>
      </c>
      <c r="Y67" s="269">
        <v>3</v>
      </c>
      <c r="Z67" s="271" t="s">
        <v>28</v>
      </c>
    </row>
    <row r="68" spans="1:26" ht="9.9499999999999993" customHeight="1">
      <c r="A68" s="263" t="s">
        <v>63</v>
      </c>
      <c r="B68" s="129" t="s">
        <v>64</v>
      </c>
      <c r="C68" s="265" t="s">
        <v>28</v>
      </c>
      <c r="D68" s="265" t="s">
        <v>28</v>
      </c>
      <c r="E68" s="265" t="s">
        <v>28</v>
      </c>
      <c r="F68" s="265" t="s">
        <v>28</v>
      </c>
      <c r="G68" s="265" t="s">
        <v>28</v>
      </c>
      <c r="H68" s="265" t="s">
        <v>28</v>
      </c>
      <c r="I68" s="265" t="s">
        <v>28</v>
      </c>
      <c r="J68" s="265" t="s">
        <v>28</v>
      </c>
      <c r="K68" s="265" t="s">
        <v>28</v>
      </c>
      <c r="L68" s="272" t="s">
        <v>28</v>
      </c>
      <c r="M68" s="272">
        <v>0</v>
      </c>
      <c r="N68" s="265">
        <v>0</v>
      </c>
      <c r="O68" s="272" t="s">
        <v>28</v>
      </c>
      <c r="P68" s="265" t="s">
        <v>28</v>
      </c>
      <c r="Q68" s="272" t="s">
        <v>28</v>
      </c>
      <c r="R68" s="265" t="s">
        <v>28</v>
      </c>
      <c r="S68" s="265">
        <v>6</v>
      </c>
      <c r="T68" s="265">
        <v>3</v>
      </c>
      <c r="U68" s="265">
        <v>4</v>
      </c>
      <c r="V68" s="265">
        <v>1</v>
      </c>
      <c r="W68" s="265">
        <v>3</v>
      </c>
      <c r="X68" s="265">
        <v>1</v>
      </c>
      <c r="Y68" s="265">
        <v>4</v>
      </c>
      <c r="Z68" s="273">
        <v>3</v>
      </c>
    </row>
    <row r="69" spans="1:26" ht="9.9499999999999993" customHeight="1">
      <c r="A69" s="264" t="s">
        <v>29</v>
      </c>
      <c r="B69" s="131" t="s">
        <v>30</v>
      </c>
      <c r="C69" s="269" t="s">
        <v>28</v>
      </c>
      <c r="D69" s="269" t="s">
        <v>28</v>
      </c>
      <c r="E69" s="269" t="s">
        <v>28</v>
      </c>
      <c r="F69" s="269" t="s">
        <v>28</v>
      </c>
      <c r="G69" s="269" t="s">
        <v>28</v>
      </c>
      <c r="H69" s="269" t="s">
        <v>28</v>
      </c>
      <c r="I69" s="269" t="s">
        <v>28</v>
      </c>
      <c r="J69" s="269" t="s">
        <v>28</v>
      </c>
      <c r="K69" s="269" t="s">
        <v>28</v>
      </c>
      <c r="L69" s="270" t="s">
        <v>28</v>
      </c>
      <c r="M69" s="270">
        <v>0</v>
      </c>
      <c r="N69" s="269">
        <v>0</v>
      </c>
      <c r="O69" s="270" t="s">
        <v>28</v>
      </c>
      <c r="P69" s="269" t="s">
        <v>28</v>
      </c>
      <c r="Q69" s="270" t="s">
        <v>28</v>
      </c>
      <c r="R69" s="269" t="s">
        <v>28</v>
      </c>
      <c r="S69" s="269">
        <v>6</v>
      </c>
      <c r="T69" s="269">
        <v>3</v>
      </c>
      <c r="U69" s="269">
        <v>4</v>
      </c>
      <c r="V69" s="269">
        <v>1</v>
      </c>
      <c r="W69" s="269">
        <v>3</v>
      </c>
      <c r="X69" s="269">
        <v>1</v>
      </c>
      <c r="Y69" s="269">
        <v>4</v>
      </c>
      <c r="Z69" s="271">
        <v>3</v>
      </c>
    </row>
    <row r="70" spans="1:26" ht="9" customHeight="1" thickBot="1">
      <c r="A70" s="1587" t="s">
        <v>31</v>
      </c>
      <c r="B70" s="1533" t="s">
        <v>32</v>
      </c>
      <c r="C70" s="1588" t="s">
        <v>28</v>
      </c>
      <c r="D70" s="1588" t="s">
        <v>28</v>
      </c>
      <c r="E70" s="1588" t="s">
        <v>28</v>
      </c>
      <c r="F70" s="1588" t="s">
        <v>28</v>
      </c>
      <c r="G70" s="1588" t="s">
        <v>28</v>
      </c>
      <c r="H70" s="1588" t="s">
        <v>28</v>
      </c>
      <c r="I70" s="1588" t="s">
        <v>28</v>
      </c>
      <c r="J70" s="1588" t="s">
        <v>28</v>
      </c>
      <c r="K70" s="1588" t="s">
        <v>28</v>
      </c>
      <c r="L70" s="274" t="s">
        <v>28</v>
      </c>
      <c r="M70" s="274">
        <v>0</v>
      </c>
      <c r="N70" s="1588">
        <v>0</v>
      </c>
      <c r="O70" s="275" t="s">
        <v>28</v>
      </c>
      <c r="P70" s="1588" t="s">
        <v>28</v>
      </c>
      <c r="Q70" s="274" t="s">
        <v>28</v>
      </c>
      <c r="R70" s="1588" t="s">
        <v>28</v>
      </c>
      <c r="S70" s="1588" t="s">
        <v>28</v>
      </c>
      <c r="T70" s="1588" t="s">
        <v>28</v>
      </c>
      <c r="U70" s="1588" t="s">
        <v>28</v>
      </c>
      <c r="V70" s="1588" t="s">
        <v>28</v>
      </c>
      <c r="W70" s="1588" t="s">
        <v>28</v>
      </c>
      <c r="X70" s="1588" t="s">
        <v>28</v>
      </c>
      <c r="Y70" s="1588" t="s">
        <v>28</v>
      </c>
      <c r="Z70" s="1589" t="s">
        <v>28</v>
      </c>
    </row>
    <row r="71" spans="1:26">
      <c r="A71" s="155"/>
      <c r="B71" s="155"/>
      <c r="C71" s="155"/>
      <c r="D71" s="155"/>
      <c r="E71" s="155"/>
      <c r="F71" s="155"/>
      <c r="G71" s="155"/>
      <c r="H71" s="155"/>
      <c r="I71" s="155"/>
      <c r="J71" s="155"/>
      <c r="K71" s="276"/>
      <c r="L71" s="902"/>
      <c r="M71" s="154"/>
    </row>
    <row r="72" spans="1:26">
      <c r="A72" s="155"/>
      <c r="B72" s="155"/>
      <c r="C72" s="155"/>
      <c r="D72" s="155"/>
      <c r="E72" s="155"/>
      <c r="F72" s="155"/>
      <c r="G72" s="155"/>
      <c r="H72" s="155"/>
      <c r="I72" s="155"/>
      <c r="J72" s="155"/>
      <c r="K72" s="276"/>
    </row>
    <row r="73" spans="1:26">
      <c r="A73" s="155"/>
      <c r="B73" s="155"/>
      <c r="C73" s="155"/>
      <c r="D73" s="155"/>
      <c r="E73" s="155"/>
      <c r="F73" s="155"/>
      <c r="G73" s="155"/>
      <c r="H73" s="155"/>
      <c r="I73" s="155"/>
      <c r="J73" s="155"/>
      <c r="K73" s="276"/>
    </row>
    <row r="74" spans="1:26">
      <c r="A74" s="155"/>
      <c r="B74" s="155"/>
      <c r="C74" s="155"/>
      <c r="D74" s="155"/>
      <c r="E74" s="155"/>
      <c r="F74" s="155"/>
      <c r="G74" s="155"/>
      <c r="H74" s="155"/>
      <c r="I74" s="155"/>
      <c r="J74" s="155"/>
      <c r="K74" s="276"/>
    </row>
    <row r="75" spans="1:26">
      <c r="A75" s="155"/>
      <c r="B75" s="155"/>
      <c r="C75" s="155"/>
      <c r="D75" s="155"/>
      <c r="E75" s="155"/>
      <c r="F75" s="155"/>
      <c r="G75" s="155"/>
      <c r="H75" s="155"/>
      <c r="I75" s="155"/>
      <c r="J75" s="155"/>
      <c r="K75" s="276"/>
    </row>
    <row r="76" spans="1:26">
      <c r="A76" s="614"/>
      <c r="B76" s="155"/>
      <c r="C76" s="155"/>
      <c r="D76" s="155"/>
      <c r="E76" s="155"/>
      <c r="F76" s="155"/>
      <c r="G76" s="155"/>
      <c r="H76" s="155"/>
      <c r="I76" s="155"/>
      <c r="J76" s="155"/>
      <c r="K76" s="276"/>
    </row>
    <row r="77" spans="1:26">
      <c r="A77" s="615"/>
      <c r="B77" s="155"/>
      <c r="C77" s="155"/>
      <c r="D77" s="155"/>
      <c r="E77" s="155"/>
      <c r="F77" s="155"/>
      <c r="G77" s="155"/>
      <c r="H77" s="155"/>
      <c r="I77" s="155"/>
      <c r="J77" s="155"/>
      <c r="K77" s="276"/>
    </row>
  </sheetData>
  <mergeCells count="54">
    <mergeCell ref="A10:B10"/>
    <mergeCell ref="A6:B6"/>
    <mergeCell ref="C6:J6"/>
    <mergeCell ref="O6:P6"/>
    <mergeCell ref="M6:N7"/>
    <mergeCell ref="A8:B8"/>
    <mergeCell ref="C8:D8"/>
    <mergeCell ref="E8:F8"/>
    <mergeCell ref="M8:N8"/>
    <mergeCell ref="O8:P8"/>
    <mergeCell ref="E7:F7"/>
    <mergeCell ref="O7:P7"/>
    <mergeCell ref="K8:L8"/>
    <mergeCell ref="G8:H8"/>
    <mergeCell ref="I8:J8"/>
    <mergeCell ref="W5:Z5"/>
    <mergeCell ref="W6:Z6"/>
    <mergeCell ref="A5:B5"/>
    <mergeCell ref="A7:B7"/>
    <mergeCell ref="A9:B9"/>
    <mergeCell ref="Q8:R8"/>
    <mergeCell ref="S8:T8"/>
    <mergeCell ref="U8:V8"/>
    <mergeCell ref="W8:X8"/>
    <mergeCell ref="U7:V7"/>
    <mergeCell ref="W7:X7"/>
    <mergeCell ref="Y7:Z7"/>
    <mergeCell ref="Y8:Z8"/>
    <mergeCell ref="Q7:R7"/>
    <mergeCell ref="S7:T7"/>
    <mergeCell ref="C7:D7"/>
    <mergeCell ref="C5:J5"/>
    <mergeCell ref="M5:N5"/>
    <mergeCell ref="S6:V6"/>
    <mergeCell ref="O5:P5"/>
    <mergeCell ref="Q6:R6"/>
    <mergeCell ref="Q5:R5"/>
    <mergeCell ref="S5:V5"/>
    <mergeCell ref="K5:L5"/>
    <mergeCell ref="K6:L7"/>
    <mergeCell ref="G7:H7"/>
    <mergeCell ref="I7:J7"/>
    <mergeCell ref="A2:N2"/>
    <mergeCell ref="A4:N4"/>
    <mergeCell ref="O2:Z2"/>
    <mergeCell ref="O4:Z4"/>
    <mergeCell ref="A3:L3"/>
    <mergeCell ref="M3:Z3"/>
    <mergeCell ref="A14:L14"/>
    <mergeCell ref="A24:L24"/>
    <mergeCell ref="M14:Z14"/>
    <mergeCell ref="M24:Z24"/>
    <mergeCell ref="A40:L40"/>
    <mergeCell ref="M40:Z40"/>
  </mergeCells>
  <phoneticPr fontId="4" type="noConversion"/>
  <hyperlinks>
    <hyperlink ref="A1" location="목록!A1" display="목록!A1" xr:uid="{1F82C10D-B5D5-4C74-A555-2D14A78AE70C}"/>
  </hyperlinks>
  <printOptions horizontalCentered="1"/>
  <pageMargins left="0.69791666666666663" right="0.13541666666666666" top="0.78740157480314965" bottom="0.39370078740157483" header="0.62992125984251968" footer="0.39370078740157483"/>
  <pageSetup paperSize="9" scale="96" orientation="portrait" r:id="rId1"/>
  <colBreaks count="2" manualBreakCount="2">
    <brk id="12" min="1" max="69" man="1"/>
    <brk id="26" min="1" max="69" man="1"/>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76"/>
  <sheetViews>
    <sheetView showGridLines="0" showWhiteSpace="0" view="pageBreakPreview" zoomScaleNormal="100" zoomScaleSheetLayoutView="100" zoomScalePageLayoutView="115" workbookViewId="0">
      <selection activeCell="A2" sqref="A2:Z70"/>
    </sheetView>
  </sheetViews>
  <sheetFormatPr defaultColWidth="8.88671875" defaultRowHeight="16.5"/>
  <cols>
    <col min="1" max="1" width="7.77734375" style="153" customWidth="1"/>
    <col min="2" max="2" width="9.5546875" style="153" customWidth="1"/>
    <col min="3" max="12" width="5.88671875" style="152" customWidth="1"/>
    <col min="13" max="26" width="5" style="152" customWidth="1"/>
    <col min="27" max="16384" width="8.88671875" style="60"/>
  </cols>
  <sheetData>
    <row r="1" spans="1:26" ht="22.5">
      <c r="A1" s="901" t="s">
        <v>1332</v>
      </c>
    </row>
    <row r="2" spans="1:26" s="122" customFormat="1" ht="13.5" customHeight="1">
      <c r="A2" s="1046" t="s">
        <v>1341</v>
      </c>
      <c r="B2" s="1046"/>
      <c r="C2" s="1046"/>
      <c r="D2" s="1046"/>
      <c r="E2" s="1046"/>
      <c r="F2" s="1046"/>
      <c r="G2" s="1046"/>
      <c r="H2" s="1046"/>
      <c r="I2" s="1046"/>
      <c r="J2" s="1046"/>
      <c r="K2" s="1046"/>
      <c r="L2" s="1046"/>
      <c r="M2" s="1049" t="s">
        <v>1342</v>
      </c>
      <c r="N2" s="1049"/>
      <c r="O2" s="1049"/>
      <c r="P2" s="1049"/>
      <c r="Q2" s="1049"/>
      <c r="R2" s="1049"/>
      <c r="S2" s="1049"/>
      <c r="T2" s="1049"/>
      <c r="U2" s="1049"/>
      <c r="V2" s="1049"/>
      <c r="W2" s="1049"/>
      <c r="X2" s="1049"/>
      <c r="Y2" s="1049"/>
      <c r="Z2" s="1049"/>
    </row>
    <row r="3" spans="1:26" ht="22.5" customHeight="1">
      <c r="A3" s="1050" t="s">
        <v>943</v>
      </c>
      <c r="B3" s="1050"/>
      <c r="C3" s="1050"/>
      <c r="D3" s="1050"/>
      <c r="E3" s="1050"/>
      <c r="F3" s="1050"/>
      <c r="G3" s="1050"/>
      <c r="H3" s="1050"/>
      <c r="I3" s="1050"/>
      <c r="J3" s="1050"/>
      <c r="K3" s="1050"/>
      <c r="L3" s="1050"/>
      <c r="M3" s="1050" t="s">
        <v>1090</v>
      </c>
      <c r="N3" s="1050"/>
      <c r="O3" s="1050"/>
      <c r="P3" s="1050"/>
      <c r="Q3" s="1050"/>
      <c r="R3" s="1050"/>
      <c r="S3" s="1050"/>
      <c r="T3" s="1050"/>
      <c r="U3" s="1050"/>
      <c r="V3" s="1050"/>
      <c r="W3" s="1050"/>
      <c r="X3" s="1050"/>
      <c r="Y3" s="1050"/>
      <c r="Z3" s="1050"/>
    </row>
    <row r="4" spans="1:26" ht="13.5" customHeight="1" thickBot="1">
      <c r="A4" s="1530" t="s">
        <v>1340</v>
      </c>
      <c r="B4" s="1530"/>
      <c r="C4" s="1530"/>
      <c r="D4" s="1530"/>
      <c r="E4" s="1530"/>
      <c r="F4" s="1530"/>
      <c r="G4" s="1530"/>
      <c r="H4" s="1530"/>
      <c r="I4" s="1530"/>
      <c r="J4" s="1530"/>
      <c r="K4" s="1530"/>
      <c r="L4" s="1530"/>
      <c r="M4" s="1531"/>
      <c r="N4" s="1531"/>
      <c r="O4" s="1531"/>
      <c r="P4" s="1531"/>
      <c r="Q4" s="1531"/>
      <c r="R4" s="1531"/>
      <c r="S4" s="1531"/>
      <c r="T4" s="1531"/>
      <c r="U4" s="1531"/>
      <c r="V4" s="1531"/>
      <c r="W4" s="1531"/>
      <c r="X4" s="1531"/>
      <c r="Y4" s="1531"/>
      <c r="Z4" s="1531"/>
    </row>
    <row r="5" spans="1:26" s="259" customFormat="1" ht="11.45" customHeight="1">
      <c r="A5" s="1141" t="s">
        <v>504</v>
      </c>
      <c r="B5" s="1127"/>
      <c r="C5" s="1126" t="s">
        <v>474</v>
      </c>
      <c r="D5" s="1142"/>
      <c r="E5" s="1140" t="s">
        <v>503</v>
      </c>
      <c r="F5" s="1141"/>
      <c r="G5" s="1141"/>
      <c r="H5" s="1141"/>
      <c r="I5" s="1141"/>
      <c r="J5" s="1141"/>
      <c r="K5" s="1141"/>
      <c r="L5" s="1142"/>
      <c r="M5" s="1140" t="s">
        <v>502</v>
      </c>
      <c r="N5" s="1141"/>
      <c r="O5" s="1141"/>
      <c r="P5" s="1141"/>
      <c r="Q5" s="1141"/>
      <c r="R5" s="1141"/>
      <c r="S5" s="1141"/>
      <c r="T5" s="1142"/>
      <c r="U5" s="1592" t="s">
        <v>1149</v>
      </c>
      <c r="V5" s="1593"/>
      <c r="W5" s="1593"/>
      <c r="X5" s="1593"/>
      <c r="Y5" s="1593"/>
      <c r="Z5" s="1593"/>
    </row>
    <row r="6" spans="1:26" s="260" customFormat="1" ht="21" customHeight="1">
      <c r="A6" s="1136" t="s">
        <v>7</v>
      </c>
      <c r="B6" s="1082"/>
      <c r="C6" s="1128" t="s">
        <v>16</v>
      </c>
      <c r="D6" s="1139"/>
      <c r="E6" s="1148" t="s">
        <v>452</v>
      </c>
      <c r="F6" s="1149"/>
      <c r="G6" s="1149"/>
      <c r="H6" s="1149"/>
      <c r="I6" s="1149"/>
      <c r="J6" s="1149"/>
      <c r="K6" s="1149"/>
      <c r="L6" s="1150"/>
      <c r="M6" s="1143" t="s">
        <v>451</v>
      </c>
      <c r="N6" s="1051"/>
      <c r="O6" s="1051"/>
      <c r="P6" s="1051"/>
      <c r="Q6" s="1051"/>
      <c r="R6" s="1051"/>
      <c r="S6" s="1051"/>
      <c r="T6" s="1144"/>
      <c r="U6" s="1261" t="s">
        <v>1211</v>
      </c>
      <c r="V6" s="1594"/>
      <c r="W6" s="1594"/>
      <c r="X6" s="1594"/>
      <c r="Y6" s="1594"/>
      <c r="Z6" s="1594"/>
    </row>
    <row r="7" spans="1:26" ht="11.45" customHeight="1">
      <c r="A7" s="1130"/>
      <c r="B7" s="1131"/>
      <c r="C7" s="1128"/>
      <c r="D7" s="1139"/>
      <c r="E7" s="1134" t="s">
        <v>475</v>
      </c>
      <c r="F7" s="1129"/>
      <c r="G7" s="1054" t="s">
        <v>505</v>
      </c>
      <c r="H7" s="1129"/>
      <c r="I7" s="1054" t="s">
        <v>1150</v>
      </c>
      <c r="J7" s="1129"/>
      <c r="K7" s="1054" t="s">
        <v>148</v>
      </c>
      <c r="L7" s="1129"/>
      <c r="M7" s="1054" t="s">
        <v>475</v>
      </c>
      <c r="N7" s="1129"/>
      <c r="O7" s="1054" t="s">
        <v>505</v>
      </c>
      <c r="P7" s="1129"/>
      <c r="Q7" s="1054" t="s">
        <v>1153</v>
      </c>
      <c r="R7" s="1129"/>
      <c r="S7" s="1054" t="s">
        <v>506</v>
      </c>
      <c r="T7" s="1146"/>
      <c r="U7" s="1054" t="s">
        <v>1151</v>
      </c>
      <c r="V7" s="1129"/>
      <c r="W7" s="1054" t="s">
        <v>1152</v>
      </c>
      <c r="X7" s="1129"/>
      <c r="Y7" s="1054" t="s">
        <v>1153</v>
      </c>
      <c r="Z7" s="1134"/>
    </row>
    <row r="8" spans="1:26" ht="30" customHeight="1">
      <c r="A8" s="1130"/>
      <c r="B8" s="1131"/>
      <c r="C8" s="1083"/>
      <c r="D8" s="1144"/>
      <c r="E8" s="1051" t="s">
        <v>448</v>
      </c>
      <c r="F8" s="1052"/>
      <c r="G8" s="1083" t="s">
        <v>449</v>
      </c>
      <c r="H8" s="1052"/>
      <c r="I8" s="1083" t="s">
        <v>1177</v>
      </c>
      <c r="J8" s="1052"/>
      <c r="K8" s="1083" t="s">
        <v>150</v>
      </c>
      <c r="L8" s="1052"/>
      <c r="M8" s="1083" t="s">
        <v>448</v>
      </c>
      <c r="N8" s="1052"/>
      <c r="O8" s="1083" t="s">
        <v>449</v>
      </c>
      <c r="P8" s="1052"/>
      <c r="Q8" s="1083" t="s">
        <v>1212</v>
      </c>
      <c r="R8" s="1052"/>
      <c r="S8" s="1083" t="s">
        <v>450</v>
      </c>
      <c r="T8" s="1147"/>
      <c r="U8" s="1083" t="s">
        <v>448</v>
      </c>
      <c r="V8" s="1147"/>
      <c r="W8" s="1083" t="s">
        <v>1178</v>
      </c>
      <c r="X8" s="1147"/>
      <c r="Y8" s="1083" t="s">
        <v>1212</v>
      </c>
      <c r="Z8" s="1051"/>
    </row>
    <row r="9" spans="1:26" ht="11.45" customHeight="1">
      <c r="A9" s="1130"/>
      <c r="B9" s="1131"/>
      <c r="C9" s="920" t="s">
        <v>13</v>
      </c>
      <c r="D9" s="920" t="s">
        <v>23</v>
      </c>
      <c r="E9" s="920" t="s">
        <v>13</v>
      </c>
      <c r="F9" s="920" t="s">
        <v>23</v>
      </c>
      <c r="G9" s="920" t="s">
        <v>13</v>
      </c>
      <c r="H9" s="920" t="s">
        <v>23</v>
      </c>
      <c r="I9" s="920" t="s">
        <v>13</v>
      </c>
      <c r="J9" s="920" t="s">
        <v>23</v>
      </c>
      <c r="K9" s="920" t="s">
        <v>13</v>
      </c>
      <c r="L9" s="920" t="s">
        <v>23</v>
      </c>
      <c r="M9" s="919" t="s">
        <v>13</v>
      </c>
      <c r="N9" s="933" t="s">
        <v>23</v>
      </c>
      <c r="O9" s="920" t="s">
        <v>13</v>
      </c>
      <c r="P9" s="920" t="s">
        <v>23</v>
      </c>
      <c r="Q9" s="920" t="s">
        <v>13</v>
      </c>
      <c r="R9" s="920" t="s">
        <v>23</v>
      </c>
      <c r="S9" s="262" t="s">
        <v>13</v>
      </c>
      <c r="T9" s="920" t="s">
        <v>23</v>
      </c>
      <c r="U9" s="262" t="s">
        <v>13</v>
      </c>
      <c r="V9" s="920" t="s">
        <v>23</v>
      </c>
      <c r="W9" s="920" t="s">
        <v>13</v>
      </c>
      <c r="X9" s="919" t="s">
        <v>23</v>
      </c>
      <c r="Y9" s="920" t="s">
        <v>13</v>
      </c>
      <c r="Z9" s="1001" t="s">
        <v>23</v>
      </c>
    </row>
    <row r="10" spans="1:26" s="260" customFormat="1" ht="9.75" customHeight="1">
      <c r="A10" s="1051"/>
      <c r="B10" s="1052"/>
      <c r="C10" s="923" t="s">
        <v>25</v>
      </c>
      <c r="D10" s="923" t="s">
        <v>26</v>
      </c>
      <c r="E10" s="923" t="s">
        <v>25</v>
      </c>
      <c r="F10" s="923" t="s">
        <v>26</v>
      </c>
      <c r="G10" s="923" t="s">
        <v>25</v>
      </c>
      <c r="H10" s="923" t="s">
        <v>26</v>
      </c>
      <c r="I10" s="923" t="s">
        <v>25</v>
      </c>
      <c r="J10" s="923" t="s">
        <v>26</v>
      </c>
      <c r="K10" s="923" t="s">
        <v>25</v>
      </c>
      <c r="L10" s="923" t="s">
        <v>26</v>
      </c>
      <c r="M10" s="928" t="s">
        <v>25</v>
      </c>
      <c r="N10" s="923" t="s">
        <v>26</v>
      </c>
      <c r="O10" s="923" t="s">
        <v>25</v>
      </c>
      <c r="P10" s="923" t="s">
        <v>26</v>
      </c>
      <c r="Q10" s="923" t="s">
        <v>25</v>
      </c>
      <c r="R10" s="923" t="s">
        <v>26</v>
      </c>
      <c r="S10" s="928" t="s">
        <v>25</v>
      </c>
      <c r="T10" s="923" t="s">
        <v>26</v>
      </c>
      <c r="U10" s="928" t="s">
        <v>25</v>
      </c>
      <c r="V10" s="923" t="s">
        <v>26</v>
      </c>
      <c r="W10" s="923" t="s">
        <v>25</v>
      </c>
      <c r="X10" s="928" t="s">
        <v>26</v>
      </c>
      <c r="Y10" s="923" t="s">
        <v>25</v>
      </c>
      <c r="Z10" s="922" t="s">
        <v>26</v>
      </c>
    </row>
    <row r="11" spans="1:26" ht="10.5" customHeight="1">
      <c r="A11" s="263" t="s">
        <v>27</v>
      </c>
      <c r="B11" s="129" t="s">
        <v>16</v>
      </c>
      <c r="C11" s="243">
        <v>573</v>
      </c>
      <c r="D11" s="243">
        <v>318</v>
      </c>
      <c r="E11" s="243">
        <v>36</v>
      </c>
      <c r="F11" s="243">
        <v>20</v>
      </c>
      <c r="G11" s="243">
        <v>15</v>
      </c>
      <c r="H11" s="243">
        <v>12</v>
      </c>
      <c r="I11" s="243">
        <v>12</v>
      </c>
      <c r="J11" s="243">
        <v>6</v>
      </c>
      <c r="K11" s="243">
        <v>9</v>
      </c>
      <c r="L11" s="243">
        <v>2</v>
      </c>
      <c r="M11" s="244">
        <v>178</v>
      </c>
      <c r="N11" s="243">
        <v>99</v>
      </c>
      <c r="O11" s="243" t="s">
        <v>28</v>
      </c>
      <c r="P11" s="243" t="s">
        <v>28</v>
      </c>
      <c r="Q11" s="243">
        <v>144</v>
      </c>
      <c r="R11" s="243">
        <v>79</v>
      </c>
      <c r="S11" s="243">
        <v>34</v>
      </c>
      <c r="T11" s="243">
        <v>20</v>
      </c>
      <c r="U11" s="244">
        <v>359</v>
      </c>
      <c r="V11" s="243">
        <v>199</v>
      </c>
      <c r="W11" s="243">
        <v>262</v>
      </c>
      <c r="X11" s="243">
        <v>152</v>
      </c>
      <c r="Y11" s="243">
        <v>97</v>
      </c>
      <c r="Z11" s="245">
        <v>47</v>
      </c>
    </row>
    <row r="12" spans="1:26" ht="10.5" customHeight="1">
      <c r="A12" s="264" t="s">
        <v>29</v>
      </c>
      <c r="B12" s="131" t="s">
        <v>30</v>
      </c>
      <c r="C12" s="247">
        <v>551</v>
      </c>
      <c r="D12" s="247">
        <v>313</v>
      </c>
      <c r="E12" s="247">
        <v>32</v>
      </c>
      <c r="F12" s="247">
        <v>19</v>
      </c>
      <c r="G12" s="247">
        <v>15</v>
      </c>
      <c r="H12" s="247">
        <v>12</v>
      </c>
      <c r="I12" s="247">
        <v>11</v>
      </c>
      <c r="J12" s="247">
        <v>5</v>
      </c>
      <c r="K12" s="247">
        <v>6</v>
      </c>
      <c r="L12" s="247">
        <v>2</v>
      </c>
      <c r="M12" s="248">
        <v>174</v>
      </c>
      <c r="N12" s="247">
        <v>96</v>
      </c>
      <c r="O12" s="247" t="s">
        <v>28</v>
      </c>
      <c r="P12" s="247" t="s">
        <v>28</v>
      </c>
      <c r="Q12" s="247">
        <v>140</v>
      </c>
      <c r="R12" s="247">
        <v>76</v>
      </c>
      <c r="S12" s="247">
        <v>34</v>
      </c>
      <c r="T12" s="247">
        <v>20</v>
      </c>
      <c r="U12" s="248">
        <v>345</v>
      </c>
      <c r="V12" s="247">
        <v>198</v>
      </c>
      <c r="W12" s="247">
        <v>250</v>
      </c>
      <c r="X12" s="247">
        <v>151</v>
      </c>
      <c r="Y12" s="247">
        <v>95</v>
      </c>
      <c r="Z12" s="249">
        <v>47</v>
      </c>
    </row>
    <row r="13" spans="1:26" ht="10.5" customHeight="1" thickBot="1">
      <c r="A13" s="1587" t="s">
        <v>31</v>
      </c>
      <c r="B13" s="1533" t="s">
        <v>32</v>
      </c>
      <c r="C13" s="1583">
        <v>22</v>
      </c>
      <c r="D13" s="1583">
        <v>5</v>
      </c>
      <c r="E13" s="1583">
        <v>4</v>
      </c>
      <c r="F13" s="1583">
        <v>1</v>
      </c>
      <c r="G13" s="1583" t="s">
        <v>28</v>
      </c>
      <c r="H13" s="1583" t="s">
        <v>28</v>
      </c>
      <c r="I13" s="1583">
        <v>1</v>
      </c>
      <c r="J13" s="1583">
        <v>1</v>
      </c>
      <c r="K13" s="1583">
        <v>3</v>
      </c>
      <c r="L13" s="1583" t="s">
        <v>28</v>
      </c>
      <c r="M13" s="251">
        <v>4</v>
      </c>
      <c r="N13" s="1583">
        <v>3</v>
      </c>
      <c r="O13" s="1583" t="s">
        <v>28</v>
      </c>
      <c r="P13" s="1583" t="s">
        <v>28</v>
      </c>
      <c r="Q13" s="1583">
        <v>4</v>
      </c>
      <c r="R13" s="1583">
        <v>3</v>
      </c>
      <c r="S13" s="1583" t="s">
        <v>28</v>
      </c>
      <c r="T13" s="1583" t="s">
        <v>28</v>
      </c>
      <c r="U13" s="251">
        <v>14</v>
      </c>
      <c r="V13" s="1583">
        <v>1</v>
      </c>
      <c r="W13" s="1583">
        <v>12</v>
      </c>
      <c r="X13" s="1583">
        <v>1</v>
      </c>
      <c r="Y13" s="1583">
        <v>2</v>
      </c>
      <c r="Z13" s="1584" t="s">
        <v>28</v>
      </c>
    </row>
    <row r="14" spans="1:26" s="261" customFormat="1" ht="10.5" customHeight="1" thickBot="1">
      <c r="A14" s="1595" t="s">
        <v>433</v>
      </c>
      <c r="B14" s="1595"/>
      <c r="C14" s="1595"/>
      <c r="D14" s="1595"/>
      <c r="E14" s="1595"/>
      <c r="F14" s="1595"/>
      <c r="G14" s="1595"/>
      <c r="H14" s="1595"/>
      <c r="I14" s="1595"/>
      <c r="J14" s="1595"/>
      <c r="K14" s="1595"/>
      <c r="L14" s="1595"/>
      <c r="M14" s="1595" t="s">
        <v>438</v>
      </c>
      <c r="N14" s="1595"/>
      <c r="O14" s="1595"/>
      <c r="P14" s="1595"/>
      <c r="Q14" s="1595"/>
      <c r="R14" s="1595"/>
      <c r="S14" s="1595"/>
      <c r="T14" s="1595"/>
      <c r="U14" s="1595"/>
      <c r="V14" s="1595"/>
      <c r="W14" s="1595"/>
      <c r="X14" s="1595"/>
      <c r="Y14" s="1595"/>
      <c r="Z14" s="1595"/>
    </row>
    <row r="15" spans="1:26" ht="10.5" customHeight="1">
      <c r="A15" s="263" t="s">
        <v>96</v>
      </c>
      <c r="B15" s="129" t="s">
        <v>75</v>
      </c>
      <c r="C15" s="265">
        <v>221</v>
      </c>
      <c r="D15" s="265">
        <v>109</v>
      </c>
      <c r="E15" s="265">
        <v>19</v>
      </c>
      <c r="F15" s="265">
        <v>9</v>
      </c>
      <c r="G15" s="265">
        <v>6</v>
      </c>
      <c r="H15" s="265">
        <v>4</v>
      </c>
      <c r="I15" s="265">
        <v>10</v>
      </c>
      <c r="J15" s="265">
        <v>5</v>
      </c>
      <c r="K15" s="265">
        <v>3</v>
      </c>
      <c r="L15" s="265" t="s">
        <v>28</v>
      </c>
      <c r="M15" s="266">
        <v>69</v>
      </c>
      <c r="N15" s="267">
        <v>33</v>
      </c>
      <c r="O15" s="265" t="s">
        <v>28</v>
      </c>
      <c r="P15" s="265" t="s">
        <v>28</v>
      </c>
      <c r="Q15" s="265">
        <v>63</v>
      </c>
      <c r="R15" s="265">
        <v>31</v>
      </c>
      <c r="S15" s="265">
        <v>6</v>
      </c>
      <c r="T15" s="265">
        <v>2</v>
      </c>
      <c r="U15" s="265">
        <v>133</v>
      </c>
      <c r="V15" s="265">
        <v>67</v>
      </c>
      <c r="W15" s="265">
        <v>100</v>
      </c>
      <c r="X15" s="265">
        <v>52</v>
      </c>
      <c r="Y15" s="265">
        <v>33</v>
      </c>
      <c r="Z15" s="268">
        <v>15</v>
      </c>
    </row>
    <row r="16" spans="1:26" ht="10.5" customHeight="1">
      <c r="A16" s="264" t="s">
        <v>136</v>
      </c>
      <c r="B16" s="131" t="s">
        <v>30</v>
      </c>
      <c r="C16" s="269">
        <v>210</v>
      </c>
      <c r="D16" s="269">
        <v>107</v>
      </c>
      <c r="E16" s="269">
        <v>16</v>
      </c>
      <c r="F16" s="269">
        <v>9</v>
      </c>
      <c r="G16" s="269">
        <v>6</v>
      </c>
      <c r="H16" s="269">
        <v>4</v>
      </c>
      <c r="I16" s="269">
        <v>10</v>
      </c>
      <c r="J16" s="269">
        <v>5</v>
      </c>
      <c r="K16" s="269" t="s">
        <v>28</v>
      </c>
      <c r="L16" s="269" t="s">
        <v>28</v>
      </c>
      <c r="M16" s="270">
        <v>67</v>
      </c>
      <c r="N16" s="269">
        <v>32</v>
      </c>
      <c r="O16" s="269" t="s">
        <v>28</v>
      </c>
      <c r="P16" s="269" t="s">
        <v>28</v>
      </c>
      <c r="Q16" s="269">
        <v>61</v>
      </c>
      <c r="R16" s="269">
        <v>30</v>
      </c>
      <c r="S16" s="269">
        <v>6</v>
      </c>
      <c r="T16" s="269">
        <v>2</v>
      </c>
      <c r="U16" s="269">
        <v>127</v>
      </c>
      <c r="V16" s="269">
        <v>66</v>
      </c>
      <c r="W16" s="269">
        <v>95</v>
      </c>
      <c r="X16" s="269">
        <v>51</v>
      </c>
      <c r="Y16" s="269">
        <v>32</v>
      </c>
      <c r="Z16" s="271">
        <v>15</v>
      </c>
    </row>
    <row r="17" spans="1:26" ht="10.5" customHeight="1">
      <c r="A17" s="264" t="s">
        <v>137</v>
      </c>
      <c r="B17" s="131" t="s">
        <v>32</v>
      </c>
      <c r="C17" s="269">
        <v>11</v>
      </c>
      <c r="D17" s="269">
        <v>2</v>
      </c>
      <c r="E17" s="269">
        <v>3</v>
      </c>
      <c r="F17" s="269" t="s">
        <v>28</v>
      </c>
      <c r="G17" s="269" t="s">
        <v>28</v>
      </c>
      <c r="H17" s="269" t="s">
        <v>28</v>
      </c>
      <c r="I17" s="269" t="s">
        <v>28</v>
      </c>
      <c r="J17" s="269" t="s">
        <v>28</v>
      </c>
      <c r="K17" s="269">
        <v>3</v>
      </c>
      <c r="L17" s="269" t="s">
        <v>28</v>
      </c>
      <c r="M17" s="270">
        <v>2</v>
      </c>
      <c r="N17" s="269">
        <v>1</v>
      </c>
      <c r="O17" s="269" t="s">
        <v>28</v>
      </c>
      <c r="P17" s="269" t="s">
        <v>28</v>
      </c>
      <c r="Q17" s="269">
        <v>2</v>
      </c>
      <c r="R17" s="269">
        <v>1</v>
      </c>
      <c r="S17" s="269" t="s">
        <v>28</v>
      </c>
      <c r="T17" s="269" t="s">
        <v>28</v>
      </c>
      <c r="U17" s="269">
        <v>6</v>
      </c>
      <c r="V17" s="269">
        <v>1</v>
      </c>
      <c r="W17" s="269">
        <v>5</v>
      </c>
      <c r="X17" s="269">
        <v>1</v>
      </c>
      <c r="Y17" s="269">
        <v>1</v>
      </c>
      <c r="Z17" s="271" t="s">
        <v>28</v>
      </c>
    </row>
    <row r="18" spans="1:26" ht="10.5" customHeight="1">
      <c r="A18" s="263" t="s">
        <v>97</v>
      </c>
      <c r="B18" s="129" t="s">
        <v>76</v>
      </c>
      <c r="C18" s="265">
        <v>210</v>
      </c>
      <c r="D18" s="265">
        <v>125</v>
      </c>
      <c r="E18" s="265">
        <v>10</v>
      </c>
      <c r="F18" s="265">
        <v>6</v>
      </c>
      <c r="G18" s="265">
        <v>4</v>
      </c>
      <c r="H18" s="265">
        <v>3</v>
      </c>
      <c r="I18" s="265">
        <v>2</v>
      </c>
      <c r="J18" s="265">
        <v>1</v>
      </c>
      <c r="K18" s="265">
        <v>4</v>
      </c>
      <c r="L18" s="265">
        <v>2</v>
      </c>
      <c r="M18" s="272">
        <v>61</v>
      </c>
      <c r="N18" s="265">
        <v>37</v>
      </c>
      <c r="O18" s="265" t="s">
        <v>28</v>
      </c>
      <c r="P18" s="265" t="s">
        <v>28</v>
      </c>
      <c r="Q18" s="265">
        <v>48</v>
      </c>
      <c r="R18" s="265">
        <v>30</v>
      </c>
      <c r="S18" s="265">
        <v>13</v>
      </c>
      <c r="T18" s="265">
        <v>7</v>
      </c>
      <c r="U18" s="265">
        <v>139</v>
      </c>
      <c r="V18" s="265">
        <v>82</v>
      </c>
      <c r="W18" s="265">
        <v>110</v>
      </c>
      <c r="X18" s="265">
        <v>67</v>
      </c>
      <c r="Y18" s="265">
        <v>29</v>
      </c>
      <c r="Z18" s="273">
        <v>15</v>
      </c>
    </row>
    <row r="19" spans="1:26" ht="10.5" customHeight="1">
      <c r="A19" s="264" t="s">
        <v>136</v>
      </c>
      <c r="B19" s="131" t="s">
        <v>30</v>
      </c>
      <c r="C19" s="269">
        <v>204</v>
      </c>
      <c r="D19" s="269">
        <v>123</v>
      </c>
      <c r="E19" s="269">
        <v>9</v>
      </c>
      <c r="F19" s="269">
        <v>5</v>
      </c>
      <c r="G19" s="269">
        <v>4</v>
      </c>
      <c r="H19" s="269">
        <v>3</v>
      </c>
      <c r="I19" s="269">
        <v>1</v>
      </c>
      <c r="J19" s="269" t="s">
        <v>28</v>
      </c>
      <c r="K19" s="269">
        <v>4</v>
      </c>
      <c r="L19" s="269">
        <v>2</v>
      </c>
      <c r="M19" s="270">
        <v>60</v>
      </c>
      <c r="N19" s="269">
        <v>36</v>
      </c>
      <c r="O19" s="269" t="s">
        <v>28</v>
      </c>
      <c r="P19" s="269" t="s">
        <v>28</v>
      </c>
      <c r="Q19" s="269">
        <v>47</v>
      </c>
      <c r="R19" s="269">
        <v>29</v>
      </c>
      <c r="S19" s="269">
        <v>13</v>
      </c>
      <c r="T19" s="269">
        <v>7</v>
      </c>
      <c r="U19" s="269">
        <v>135</v>
      </c>
      <c r="V19" s="269">
        <v>82</v>
      </c>
      <c r="W19" s="269">
        <v>106</v>
      </c>
      <c r="X19" s="269">
        <v>67</v>
      </c>
      <c r="Y19" s="269">
        <v>29</v>
      </c>
      <c r="Z19" s="271">
        <v>15</v>
      </c>
    </row>
    <row r="20" spans="1:26" ht="10.5" customHeight="1">
      <c r="A20" s="264" t="s">
        <v>137</v>
      </c>
      <c r="B20" s="131" t="s">
        <v>32</v>
      </c>
      <c r="C20" s="269">
        <v>6</v>
      </c>
      <c r="D20" s="269">
        <v>2</v>
      </c>
      <c r="E20" s="269">
        <v>1</v>
      </c>
      <c r="F20" s="269">
        <v>1</v>
      </c>
      <c r="G20" s="269" t="s">
        <v>28</v>
      </c>
      <c r="H20" s="269" t="s">
        <v>28</v>
      </c>
      <c r="I20" s="269">
        <v>1</v>
      </c>
      <c r="J20" s="269">
        <v>1</v>
      </c>
      <c r="K20" s="269" t="s">
        <v>28</v>
      </c>
      <c r="L20" s="269" t="s">
        <v>28</v>
      </c>
      <c r="M20" s="270">
        <v>1</v>
      </c>
      <c r="N20" s="269">
        <v>1</v>
      </c>
      <c r="O20" s="269" t="s">
        <v>28</v>
      </c>
      <c r="P20" s="269" t="s">
        <v>28</v>
      </c>
      <c r="Q20" s="269">
        <v>1</v>
      </c>
      <c r="R20" s="269">
        <v>1</v>
      </c>
      <c r="S20" s="269" t="s">
        <v>28</v>
      </c>
      <c r="T20" s="269" t="s">
        <v>28</v>
      </c>
      <c r="U20" s="269">
        <v>4</v>
      </c>
      <c r="V20" s="269" t="s">
        <v>28</v>
      </c>
      <c r="W20" s="269">
        <v>4</v>
      </c>
      <c r="X20" s="269" t="s">
        <v>28</v>
      </c>
      <c r="Y20" s="269" t="s">
        <v>28</v>
      </c>
      <c r="Z20" s="271" t="s">
        <v>28</v>
      </c>
    </row>
    <row r="21" spans="1:26" ht="10.5" customHeight="1">
      <c r="A21" s="263" t="s">
        <v>98</v>
      </c>
      <c r="B21" s="129" t="s">
        <v>77</v>
      </c>
      <c r="C21" s="265">
        <v>142</v>
      </c>
      <c r="D21" s="265">
        <v>84</v>
      </c>
      <c r="E21" s="265">
        <v>7</v>
      </c>
      <c r="F21" s="265">
        <v>5</v>
      </c>
      <c r="G21" s="265">
        <v>5</v>
      </c>
      <c r="H21" s="265">
        <v>5</v>
      </c>
      <c r="I21" s="265" t="s">
        <v>28</v>
      </c>
      <c r="J21" s="265" t="s">
        <v>28</v>
      </c>
      <c r="K21" s="265">
        <v>2</v>
      </c>
      <c r="L21" s="265" t="s">
        <v>28</v>
      </c>
      <c r="M21" s="272">
        <v>48</v>
      </c>
      <c r="N21" s="265">
        <v>29</v>
      </c>
      <c r="O21" s="265" t="s">
        <v>28</v>
      </c>
      <c r="P21" s="265" t="s">
        <v>28</v>
      </c>
      <c r="Q21" s="265">
        <v>33</v>
      </c>
      <c r="R21" s="265">
        <v>18</v>
      </c>
      <c r="S21" s="265">
        <v>15</v>
      </c>
      <c r="T21" s="265">
        <v>11</v>
      </c>
      <c r="U21" s="265">
        <v>87</v>
      </c>
      <c r="V21" s="265">
        <v>50</v>
      </c>
      <c r="W21" s="265">
        <v>52</v>
      </c>
      <c r="X21" s="265">
        <v>33</v>
      </c>
      <c r="Y21" s="265">
        <v>35</v>
      </c>
      <c r="Z21" s="273">
        <v>17</v>
      </c>
    </row>
    <row r="22" spans="1:26" ht="10.5" customHeight="1">
      <c r="A22" s="264" t="s">
        <v>136</v>
      </c>
      <c r="B22" s="131" t="s">
        <v>30</v>
      </c>
      <c r="C22" s="269">
        <v>137</v>
      </c>
      <c r="D22" s="269">
        <v>83</v>
      </c>
      <c r="E22" s="269">
        <v>7</v>
      </c>
      <c r="F22" s="269">
        <v>5</v>
      </c>
      <c r="G22" s="269">
        <v>5</v>
      </c>
      <c r="H22" s="269">
        <v>5</v>
      </c>
      <c r="I22" s="269" t="s">
        <v>28</v>
      </c>
      <c r="J22" s="269" t="s">
        <v>28</v>
      </c>
      <c r="K22" s="269">
        <v>2</v>
      </c>
      <c r="L22" s="269" t="s">
        <v>28</v>
      </c>
      <c r="M22" s="270">
        <v>47</v>
      </c>
      <c r="N22" s="269">
        <v>28</v>
      </c>
      <c r="O22" s="269" t="s">
        <v>28</v>
      </c>
      <c r="P22" s="269" t="s">
        <v>28</v>
      </c>
      <c r="Q22" s="269">
        <v>32</v>
      </c>
      <c r="R22" s="269">
        <v>17</v>
      </c>
      <c r="S22" s="269">
        <v>15</v>
      </c>
      <c r="T22" s="269">
        <v>11</v>
      </c>
      <c r="U22" s="269">
        <v>83</v>
      </c>
      <c r="V22" s="269">
        <v>50</v>
      </c>
      <c r="W22" s="269">
        <v>49</v>
      </c>
      <c r="X22" s="269">
        <v>33</v>
      </c>
      <c r="Y22" s="269">
        <v>34</v>
      </c>
      <c r="Z22" s="271">
        <v>17</v>
      </c>
    </row>
    <row r="23" spans="1:26" ht="10.5" customHeight="1" thickBot="1">
      <c r="A23" s="1587" t="s">
        <v>137</v>
      </c>
      <c r="B23" s="1533" t="s">
        <v>32</v>
      </c>
      <c r="C23" s="1588">
        <v>5</v>
      </c>
      <c r="D23" s="1588">
        <v>1</v>
      </c>
      <c r="E23" s="1588" t="s">
        <v>28</v>
      </c>
      <c r="F23" s="1588" t="s">
        <v>28</v>
      </c>
      <c r="G23" s="1588" t="s">
        <v>28</v>
      </c>
      <c r="H23" s="1588" t="s">
        <v>28</v>
      </c>
      <c r="I23" s="1588" t="s">
        <v>28</v>
      </c>
      <c r="J23" s="1588" t="s">
        <v>28</v>
      </c>
      <c r="K23" s="1588" t="s">
        <v>28</v>
      </c>
      <c r="L23" s="1588" t="s">
        <v>28</v>
      </c>
      <c r="M23" s="274">
        <v>1</v>
      </c>
      <c r="N23" s="1588">
        <v>1</v>
      </c>
      <c r="O23" s="1588" t="s">
        <v>28</v>
      </c>
      <c r="P23" s="1588" t="s">
        <v>28</v>
      </c>
      <c r="Q23" s="1588">
        <v>1</v>
      </c>
      <c r="R23" s="1588">
        <v>1</v>
      </c>
      <c r="S23" s="1588" t="s">
        <v>28</v>
      </c>
      <c r="T23" s="1588" t="s">
        <v>28</v>
      </c>
      <c r="U23" s="1588">
        <v>4</v>
      </c>
      <c r="V23" s="1588" t="s">
        <v>28</v>
      </c>
      <c r="W23" s="1588">
        <v>3</v>
      </c>
      <c r="X23" s="1588" t="s">
        <v>28</v>
      </c>
      <c r="Y23" s="1588">
        <v>1</v>
      </c>
      <c r="Z23" s="1589" t="s">
        <v>28</v>
      </c>
    </row>
    <row r="24" spans="1:26" s="261" customFormat="1" ht="10.5" customHeight="1" thickBot="1">
      <c r="A24" s="1596" t="s">
        <v>363</v>
      </c>
      <c r="B24" s="1596"/>
      <c r="C24" s="1596"/>
      <c r="D24" s="1596"/>
      <c r="E24" s="1596"/>
      <c r="F24" s="1596"/>
      <c r="G24" s="1596"/>
      <c r="H24" s="1596"/>
      <c r="I24" s="1596"/>
      <c r="J24" s="1596"/>
      <c r="K24" s="1596"/>
      <c r="L24" s="1596"/>
      <c r="M24" s="1596" t="s">
        <v>393</v>
      </c>
      <c r="N24" s="1596"/>
      <c r="O24" s="1596"/>
      <c r="P24" s="1596"/>
      <c r="Q24" s="1596"/>
      <c r="R24" s="1596"/>
      <c r="S24" s="1596"/>
      <c r="T24" s="1596"/>
      <c r="U24" s="1596"/>
      <c r="V24" s="1596"/>
      <c r="W24" s="1596"/>
      <c r="X24" s="1596"/>
      <c r="Y24" s="1596"/>
      <c r="Z24" s="1596"/>
    </row>
    <row r="25" spans="1:26" ht="10.5" customHeight="1">
      <c r="A25" s="263" t="s">
        <v>35</v>
      </c>
      <c r="B25" s="129" t="s">
        <v>36</v>
      </c>
      <c r="C25" s="265">
        <v>88</v>
      </c>
      <c r="D25" s="265">
        <v>58</v>
      </c>
      <c r="E25" s="265">
        <v>6</v>
      </c>
      <c r="F25" s="265" t="s">
        <v>28</v>
      </c>
      <c r="G25" s="265">
        <v>2</v>
      </c>
      <c r="H25" s="265" t="s">
        <v>28</v>
      </c>
      <c r="I25" s="265" t="s">
        <v>28</v>
      </c>
      <c r="J25" s="265" t="s">
        <v>28</v>
      </c>
      <c r="K25" s="265">
        <v>4</v>
      </c>
      <c r="L25" s="265" t="s">
        <v>28</v>
      </c>
      <c r="M25" s="266">
        <v>17</v>
      </c>
      <c r="N25" s="266">
        <v>9</v>
      </c>
      <c r="O25" s="266" t="s">
        <v>28</v>
      </c>
      <c r="P25" s="266" t="s">
        <v>28</v>
      </c>
      <c r="Q25" s="266">
        <v>12</v>
      </c>
      <c r="R25" s="266">
        <v>5</v>
      </c>
      <c r="S25" s="266">
        <v>5</v>
      </c>
      <c r="T25" s="266">
        <v>4</v>
      </c>
      <c r="U25" s="266">
        <v>65</v>
      </c>
      <c r="V25" s="266">
        <v>49</v>
      </c>
      <c r="W25" s="266">
        <v>55</v>
      </c>
      <c r="X25" s="266">
        <v>44</v>
      </c>
      <c r="Y25" s="266">
        <v>10</v>
      </c>
      <c r="Z25" s="268">
        <v>5</v>
      </c>
    </row>
    <row r="26" spans="1:26" ht="10.5" customHeight="1">
      <c r="A26" s="264" t="s">
        <v>29</v>
      </c>
      <c r="B26" s="131" t="s">
        <v>30</v>
      </c>
      <c r="C26" s="269">
        <v>78</v>
      </c>
      <c r="D26" s="269">
        <v>57</v>
      </c>
      <c r="E26" s="269">
        <v>3</v>
      </c>
      <c r="F26" s="269" t="s">
        <v>28</v>
      </c>
      <c r="G26" s="269">
        <v>2</v>
      </c>
      <c r="H26" s="269" t="s">
        <v>28</v>
      </c>
      <c r="I26" s="269" t="s">
        <v>28</v>
      </c>
      <c r="J26" s="269" t="s">
        <v>28</v>
      </c>
      <c r="K26" s="269">
        <v>1</v>
      </c>
      <c r="L26" s="269" t="s">
        <v>28</v>
      </c>
      <c r="M26" s="270">
        <v>17</v>
      </c>
      <c r="N26" s="270">
        <v>9</v>
      </c>
      <c r="O26" s="269" t="s">
        <v>28</v>
      </c>
      <c r="P26" s="269" t="s">
        <v>28</v>
      </c>
      <c r="Q26" s="269">
        <v>12</v>
      </c>
      <c r="R26" s="269">
        <v>5</v>
      </c>
      <c r="S26" s="269">
        <v>5</v>
      </c>
      <c r="T26" s="269">
        <v>4</v>
      </c>
      <c r="U26" s="269">
        <v>58</v>
      </c>
      <c r="V26" s="269">
        <v>48</v>
      </c>
      <c r="W26" s="269">
        <v>50</v>
      </c>
      <c r="X26" s="269">
        <v>43</v>
      </c>
      <c r="Y26" s="269">
        <v>8</v>
      </c>
      <c r="Z26" s="1591">
        <v>5</v>
      </c>
    </row>
    <row r="27" spans="1:26" ht="10.5" customHeight="1">
      <c r="A27" s="264" t="s">
        <v>31</v>
      </c>
      <c r="B27" s="131" t="s">
        <v>32</v>
      </c>
      <c r="C27" s="269">
        <v>10</v>
      </c>
      <c r="D27" s="269">
        <v>1</v>
      </c>
      <c r="E27" s="269">
        <v>3</v>
      </c>
      <c r="F27" s="269" t="s">
        <v>28</v>
      </c>
      <c r="G27" s="269" t="s">
        <v>28</v>
      </c>
      <c r="H27" s="269" t="s">
        <v>28</v>
      </c>
      <c r="I27" s="269" t="s">
        <v>28</v>
      </c>
      <c r="J27" s="269" t="s">
        <v>28</v>
      </c>
      <c r="K27" s="269">
        <v>3</v>
      </c>
      <c r="L27" s="269" t="s">
        <v>28</v>
      </c>
      <c r="M27" s="270" t="s">
        <v>28</v>
      </c>
      <c r="N27" s="269" t="s">
        <v>28</v>
      </c>
      <c r="O27" s="269" t="s">
        <v>28</v>
      </c>
      <c r="P27" s="269" t="s">
        <v>28</v>
      </c>
      <c r="Q27" s="269" t="s">
        <v>28</v>
      </c>
      <c r="R27" s="269" t="s">
        <v>28</v>
      </c>
      <c r="S27" s="269" t="s">
        <v>28</v>
      </c>
      <c r="T27" s="269" t="s">
        <v>28</v>
      </c>
      <c r="U27" s="269">
        <v>7</v>
      </c>
      <c r="V27" s="269">
        <v>1</v>
      </c>
      <c r="W27" s="269">
        <v>5</v>
      </c>
      <c r="X27" s="269">
        <v>1</v>
      </c>
      <c r="Y27" s="269">
        <v>2</v>
      </c>
      <c r="Z27" s="1591" t="s">
        <v>28</v>
      </c>
    </row>
    <row r="28" spans="1:26" ht="10.5" customHeight="1">
      <c r="A28" s="263" t="s">
        <v>37</v>
      </c>
      <c r="B28" s="129" t="s">
        <v>38</v>
      </c>
      <c r="C28" s="265">
        <v>82</v>
      </c>
      <c r="D28" s="265">
        <v>46</v>
      </c>
      <c r="E28" s="265">
        <v>10</v>
      </c>
      <c r="F28" s="265">
        <v>5</v>
      </c>
      <c r="G28" s="265">
        <v>5</v>
      </c>
      <c r="H28" s="265">
        <v>4</v>
      </c>
      <c r="I28" s="265">
        <v>3</v>
      </c>
      <c r="J28" s="265">
        <v>1</v>
      </c>
      <c r="K28" s="265">
        <v>2</v>
      </c>
      <c r="L28" s="265" t="s">
        <v>28</v>
      </c>
      <c r="M28" s="272">
        <v>19</v>
      </c>
      <c r="N28" s="272">
        <v>12</v>
      </c>
      <c r="O28" s="272" t="s">
        <v>28</v>
      </c>
      <c r="P28" s="272" t="s">
        <v>28</v>
      </c>
      <c r="Q28" s="272">
        <v>12</v>
      </c>
      <c r="R28" s="272">
        <v>8</v>
      </c>
      <c r="S28" s="272">
        <v>7</v>
      </c>
      <c r="T28" s="272">
        <v>4</v>
      </c>
      <c r="U28" s="272">
        <v>53</v>
      </c>
      <c r="V28" s="272">
        <v>29</v>
      </c>
      <c r="W28" s="272">
        <v>39</v>
      </c>
      <c r="X28" s="272">
        <v>24</v>
      </c>
      <c r="Y28" s="272">
        <v>14</v>
      </c>
      <c r="Z28" s="273">
        <v>5</v>
      </c>
    </row>
    <row r="29" spans="1:26" ht="10.5" customHeight="1">
      <c r="A29" s="264" t="s">
        <v>29</v>
      </c>
      <c r="B29" s="131" t="s">
        <v>30</v>
      </c>
      <c r="C29" s="269">
        <v>82</v>
      </c>
      <c r="D29" s="269">
        <v>46</v>
      </c>
      <c r="E29" s="269">
        <v>10</v>
      </c>
      <c r="F29" s="269">
        <v>5</v>
      </c>
      <c r="G29" s="269">
        <v>5</v>
      </c>
      <c r="H29" s="269">
        <v>4</v>
      </c>
      <c r="I29" s="269">
        <v>3</v>
      </c>
      <c r="J29" s="269">
        <v>1</v>
      </c>
      <c r="K29" s="269">
        <v>2</v>
      </c>
      <c r="L29" s="269" t="s">
        <v>28</v>
      </c>
      <c r="M29" s="270">
        <v>19</v>
      </c>
      <c r="N29" s="269">
        <v>12</v>
      </c>
      <c r="O29" s="269" t="s">
        <v>28</v>
      </c>
      <c r="P29" s="269" t="s">
        <v>28</v>
      </c>
      <c r="Q29" s="269">
        <v>12</v>
      </c>
      <c r="R29" s="269">
        <v>8</v>
      </c>
      <c r="S29" s="269">
        <v>7</v>
      </c>
      <c r="T29" s="269">
        <v>4</v>
      </c>
      <c r="U29" s="269">
        <v>53</v>
      </c>
      <c r="V29" s="269">
        <v>29</v>
      </c>
      <c r="W29" s="269">
        <v>39</v>
      </c>
      <c r="X29" s="269">
        <v>24</v>
      </c>
      <c r="Y29" s="269">
        <v>14</v>
      </c>
      <c r="Z29" s="271">
        <v>5</v>
      </c>
    </row>
    <row r="30" spans="1:26" ht="10.5" customHeight="1">
      <c r="A30" s="264" t="s">
        <v>31</v>
      </c>
      <c r="B30" s="131" t="s">
        <v>32</v>
      </c>
      <c r="C30" s="269" t="s">
        <v>28</v>
      </c>
      <c r="D30" s="269" t="s">
        <v>28</v>
      </c>
      <c r="E30" s="269" t="s">
        <v>28</v>
      </c>
      <c r="F30" s="269" t="s">
        <v>28</v>
      </c>
      <c r="G30" s="269" t="s">
        <v>28</v>
      </c>
      <c r="H30" s="269" t="s">
        <v>28</v>
      </c>
      <c r="I30" s="269" t="s">
        <v>28</v>
      </c>
      <c r="J30" s="269" t="s">
        <v>28</v>
      </c>
      <c r="K30" s="269" t="s">
        <v>28</v>
      </c>
      <c r="L30" s="269" t="s">
        <v>28</v>
      </c>
      <c r="M30" s="270" t="s">
        <v>28</v>
      </c>
      <c r="N30" s="269" t="s">
        <v>28</v>
      </c>
      <c r="O30" s="269" t="s">
        <v>28</v>
      </c>
      <c r="P30" s="269" t="s">
        <v>28</v>
      </c>
      <c r="Q30" s="269" t="s">
        <v>28</v>
      </c>
      <c r="R30" s="269" t="s">
        <v>28</v>
      </c>
      <c r="S30" s="269" t="s">
        <v>28</v>
      </c>
      <c r="T30" s="269" t="s">
        <v>28</v>
      </c>
      <c r="U30" s="269" t="s">
        <v>28</v>
      </c>
      <c r="V30" s="269" t="s">
        <v>28</v>
      </c>
      <c r="W30" s="269" t="s">
        <v>28</v>
      </c>
      <c r="X30" s="269" t="s">
        <v>28</v>
      </c>
      <c r="Y30" s="269" t="s">
        <v>28</v>
      </c>
      <c r="Z30" s="271" t="s">
        <v>28</v>
      </c>
    </row>
    <row r="31" spans="1:26" ht="10.5" customHeight="1">
      <c r="A31" s="263" t="s">
        <v>39</v>
      </c>
      <c r="B31" s="129" t="s">
        <v>40</v>
      </c>
      <c r="C31" s="265">
        <v>272</v>
      </c>
      <c r="D31" s="265">
        <v>141</v>
      </c>
      <c r="E31" s="265">
        <v>16</v>
      </c>
      <c r="F31" s="265">
        <v>13</v>
      </c>
      <c r="G31" s="265">
        <v>7</v>
      </c>
      <c r="H31" s="265">
        <v>7</v>
      </c>
      <c r="I31" s="265">
        <v>6</v>
      </c>
      <c r="J31" s="265">
        <v>4</v>
      </c>
      <c r="K31" s="265">
        <v>3</v>
      </c>
      <c r="L31" s="265">
        <v>2</v>
      </c>
      <c r="M31" s="272">
        <v>112</v>
      </c>
      <c r="N31" s="272">
        <v>58</v>
      </c>
      <c r="O31" s="272" t="s">
        <v>28</v>
      </c>
      <c r="P31" s="272" t="s">
        <v>28</v>
      </c>
      <c r="Q31" s="272">
        <v>96</v>
      </c>
      <c r="R31" s="272">
        <v>50</v>
      </c>
      <c r="S31" s="272">
        <v>16</v>
      </c>
      <c r="T31" s="272">
        <v>8</v>
      </c>
      <c r="U31" s="272">
        <v>144</v>
      </c>
      <c r="V31" s="272">
        <v>70</v>
      </c>
      <c r="W31" s="272">
        <v>103</v>
      </c>
      <c r="X31" s="272">
        <v>50</v>
      </c>
      <c r="Y31" s="272">
        <v>41</v>
      </c>
      <c r="Z31" s="273">
        <v>20</v>
      </c>
    </row>
    <row r="32" spans="1:26" ht="10.5" customHeight="1">
      <c r="A32" s="264" t="s">
        <v>29</v>
      </c>
      <c r="B32" s="131" t="s">
        <v>30</v>
      </c>
      <c r="C32" s="269">
        <v>261</v>
      </c>
      <c r="D32" s="269">
        <v>138</v>
      </c>
      <c r="E32" s="269">
        <v>15</v>
      </c>
      <c r="F32" s="269">
        <v>12</v>
      </c>
      <c r="G32" s="269">
        <v>7</v>
      </c>
      <c r="H32" s="269">
        <v>7</v>
      </c>
      <c r="I32" s="269">
        <v>5</v>
      </c>
      <c r="J32" s="269">
        <v>3</v>
      </c>
      <c r="K32" s="269">
        <v>3</v>
      </c>
      <c r="L32" s="269">
        <v>2</v>
      </c>
      <c r="M32" s="270">
        <v>109</v>
      </c>
      <c r="N32" s="270">
        <v>56</v>
      </c>
      <c r="O32" s="269" t="s">
        <v>28</v>
      </c>
      <c r="P32" s="269" t="s">
        <v>28</v>
      </c>
      <c r="Q32" s="269">
        <v>93</v>
      </c>
      <c r="R32" s="269">
        <v>48</v>
      </c>
      <c r="S32" s="269">
        <v>16</v>
      </c>
      <c r="T32" s="269">
        <v>8</v>
      </c>
      <c r="U32" s="269">
        <v>137</v>
      </c>
      <c r="V32" s="269">
        <v>70</v>
      </c>
      <c r="W32" s="269">
        <v>96</v>
      </c>
      <c r="X32" s="269">
        <v>50</v>
      </c>
      <c r="Y32" s="269">
        <v>41</v>
      </c>
      <c r="Z32" s="1591">
        <v>20</v>
      </c>
    </row>
    <row r="33" spans="1:26" ht="10.5" customHeight="1">
      <c r="A33" s="264" t="s">
        <v>31</v>
      </c>
      <c r="B33" s="131" t="s">
        <v>32</v>
      </c>
      <c r="C33" s="269">
        <v>11</v>
      </c>
      <c r="D33" s="269">
        <v>3</v>
      </c>
      <c r="E33" s="269">
        <v>1</v>
      </c>
      <c r="F33" s="269">
        <v>1</v>
      </c>
      <c r="G33" s="269" t="s">
        <v>28</v>
      </c>
      <c r="H33" s="269" t="s">
        <v>28</v>
      </c>
      <c r="I33" s="269">
        <v>1</v>
      </c>
      <c r="J33" s="269">
        <v>1</v>
      </c>
      <c r="K33" s="269" t="s">
        <v>28</v>
      </c>
      <c r="L33" s="269" t="s">
        <v>28</v>
      </c>
      <c r="M33" s="270">
        <v>3</v>
      </c>
      <c r="N33" s="269">
        <v>2</v>
      </c>
      <c r="O33" s="269" t="s">
        <v>28</v>
      </c>
      <c r="P33" s="269" t="s">
        <v>28</v>
      </c>
      <c r="Q33" s="269">
        <v>3</v>
      </c>
      <c r="R33" s="269">
        <v>2</v>
      </c>
      <c r="S33" s="269" t="s">
        <v>28</v>
      </c>
      <c r="T33" s="269" t="s">
        <v>28</v>
      </c>
      <c r="U33" s="269">
        <v>7</v>
      </c>
      <c r="V33" s="269" t="s">
        <v>28</v>
      </c>
      <c r="W33" s="269">
        <v>7</v>
      </c>
      <c r="X33" s="269" t="s">
        <v>28</v>
      </c>
      <c r="Y33" s="269" t="s">
        <v>28</v>
      </c>
      <c r="Z33" s="1591" t="s">
        <v>28</v>
      </c>
    </row>
    <row r="34" spans="1:26" ht="10.5" customHeight="1">
      <c r="A34" s="263" t="s">
        <v>41</v>
      </c>
      <c r="B34" s="129" t="s">
        <v>42</v>
      </c>
      <c r="C34" s="265">
        <v>126</v>
      </c>
      <c r="D34" s="265">
        <v>70</v>
      </c>
      <c r="E34" s="265">
        <v>3</v>
      </c>
      <c r="F34" s="265">
        <v>1</v>
      </c>
      <c r="G34" s="265" t="s">
        <v>28</v>
      </c>
      <c r="H34" s="265" t="s">
        <v>28</v>
      </c>
      <c r="I34" s="265">
        <v>3</v>
      </c>
      <c r="J34" s="265">
        <v>1</v>
      </c>
      <c r="K34" s="265" t="s">
        <v>28</v>
      </c>
      <c r="L34" s="265" t="s">
        <v>28</v>
      </c>
      <c r="M34" s="272">
        <v>28</v>
      </c>
      <c r="N34" s="272">
        <v>18</v>
      </c>
      <c r="O34" s="272" t="s">
        <v>28</v>
      </c>
      <c r="P34" s="272" t="s">
        <v>28</v>
      </c>
      <c r="Q34" s="272">
        <v>22</v>
      </c>
      <c r="R34" s="272">
        <v>14</v>
      </c>
      <c r="S34" s="272">
        <v>6</v>
      </c>
      <c r="T34" s="272">
        <v>4</v>
      </c>
      <c r="U34" s="272">
        <v>95</v>
      </c>
      <c r="V34" s="272">
        <v>51</v>
      </c>
      <c r="W34" s="272">
        <v>64</v>
      </c>
      <c r="X34" s="272">
        <v>34</v>
      </c>
      <c r="Y34" s="272">
        <v>31</v>
      </c>
      <c r="Z34" s="273">
        <v>17</v>
      </c>
    </row>
    <row r="35" spans="1:26" ht="10.5" customHeight="1">
      <c r="A35" s="264" t="s">
        <v>29</v>
      </c>
      <c r="B35" s="131" t="s">
        <v>30</v>
      </c>
      <c r="C35" s="269">
        <v>126</v>
      </c>
      <c r="D35" s="269">
        <v>70</v>
      </c>
      <c r="E35" s="269">
        <v>3</v>
      </c>
      <c r="F35" s="269">
        <v>1</v>
      </c>
      <c r="G35" s="269" t="s">
        <v>28</v>
      </c>
      <c r="H35" s="269" t="s">
        <v>28</v>
      </c>
      <c r="I35" s="269">
        <v>3</v>
      </c>
      <c r="J35" s="269">
        <v>1</v>
      </c>
      <c r="K35" s="269" t="s">
        <v>28</v>
      </c>
      <c r="L35" s="269" t="s">
        <v>28</v>
      </c>
      <c r="M35" s="270">
        <v>28</v>
      </c>
      <c r="N35" s="269">
        <v>18</v>
      </c>
      <c r="O35" s="269" t="s">
        <v>28</v>
      </c>
      <c r="P35" s="269" t="s">
        <v>28</v>
      </c>
      <c r="Q35" s="269">
        <v>22</v>
      </c>
      <c r="R35" s="269">
        <v>14</v>
      </c>
      <c r="S35" s="269">
        <v>6</v>
      </c>
      <c r="T35" s="269">
        <v>4</v>
      </c>
      <c r="U35" s="269">
        <v>95</v>
      </c>
      <c r="V35" s="269">
        <v>51</v>
      </c>
      <c r="W35" s="269">
        <v>64</v>
      </c>
      <c r="X35" s="269">
        <v>34</v>
      </c>
      <c r="Y35" s="269">
        <v>31</v>
      </c>
      <c r="Z35" s="1591">
        <v>17</v>
      </c>
    </row>
    <row r="36" spans="1:26" ht="10.5" customHeight="1">
      <c r="A36" s="264" t="s">
        <v>31</v>
      </c>
      <c r="B36" s="131" t="s">
        <v>32</v>
      </c>
      <c r="C36" s="269" t="s">
        <v>28</v>
      </c>
      <c r="D36" s="269" t="s">
        <v>28</v>
      </c>
      <c r="E36" s="269" t="s">
        <v>28</v>
      </c>
      <c r="F36" s="269" t="s">
        <v>28</v>
      </c>
      <c r="G36" s="269" t="s">
        <v>28</v>
      </c>
      <c r="H36" s="269" t="s">
        <v>28</v>
      </c>
      <c r="I36" s="269" t="s">
        <v>28</v>
      </c>
      <c r="J36" s="269" t="s">
        <v>28</v>
      </c>
      <c r="K36" s="269" t="s">
        <v>28</v>
      </c>
      <c r="L36" s="269" t="s">
        <v>28</v>
      </c>
      <c r="M36" s="270" t="s">
        <v>28</v>
      </c>
      <c r="N36" s="269" t="s">
        <v>28</v>
      </c>
      <c r="O36" s="269" t="s">
        <v>28</v>
      </c>
      <c r="P36" s="269" t="s">
        <v>28</v>
      </c>
      <c r="Q36" s="269" t="s">
        <v>28</v>
      </c>
      <c r="R36" s="269" t="s">
        <v>28</v>
      </c>
      <c r="S36" s="269" t="s">
        <v>28</v>
      </c>
      <c r="T36" s="269" t="s">
        <v>28</v>
      </c>
      <c r="U36" s="269" t="s">
        <v>28</v>
      </c>
      <c r="V36" s="269" t="s">
        <v>28</v>
      </c>
      <c r="W36" s="269" t="s">
        <v>28</v>
      </c>
      <c r="X36" s="269" t="s">
        <v>28</v>
      </c>
      <c r="Y36" s="269" t="s">
        <v>28</v>
      </c>
      <c r="Z36" s="271" t="s">
        <v>28</v>
      </c>
    </row>
    <row r="37" spans="1:26" ht="10.5" customHeight="1">
      <c r="A37" s="263" t="s">
        <v>43</v>
      </c>
      <c r="B37" s="129" t="s">
        <v>44</v>
      </c>
      <c r="C37" s="265">
        <v>5</v>
      </c>
      <c r="D37" s="265">
        <v>3</v>
      </c>
      <c r="E37" s="265">
        <v>1</v>
      </c>
      <c r="F37" s="265">
        <v>1</v>
      </c>
      <c r="G37" s="265">
        <v>1</v>
      </c>
      <c r="H37" s="265">
        <v>1</v>
      </c>
      <c r="I37" s="265" t="s">
        <v>28</v>
      </c>
      <c r="J37" s="265" t="s">
        <v>28</v>
      </c>
      <c r="K37" s="265" t="s">
        <v>28</v>
      </c>
      <c r="L37" s="265" t="s">
        <v>28</v>
      </c>
      <c r="M37" s="272">
        <v>2</v>
      </c>
      <c r="N37" s="272">
        <v>2</v>
      </c>
      <c r="O37" s="272" t="s">
        <v>28</v>
      </c>
      <c r="P37" s="272" t="s">
        <v>28</v>
      </c>
      <c r="Q37" s="272">
        <v>2</v>
      </c>
      <c r="R37" s="272">
        <v>2</v>
      </c>
      <c r="S37" s="272" t="s">
        <v>28</v>
      </c>
      <c r="T37" s="272" t="s">
        <v>28</v>
      </c>
      <c r="U37" s="272">
        <v>2</v>
      </c>
      <c r="V37" s="272" t="s">
        <v>28</v>
      </c>
      <c r="W37" s="272">
        <v>1</v>
      </c>
      <c r="X37" s="272" t="s">
        <v>28</v>
      </c>
      <c r="Y37" s="272">
        <v>1</v>
      </c>
      <c r="Z37" s="273" t="s">
        <v>28</v>
      </c>
    </row>
    <row r="38" spans="1:26" ht="10.5" customHeight="1">
      <c r="A38" s="264" t="s">
        <v>29</v>
      </c>
      <c r="B38" s="131" t="s">
        <v>30</v>
      </c>
      <c r="C38" s="269">
        <v>4</v>
      </c>
      <c r="D38" s="269">
        <v>2</v>
      </c>
      <c r="E38" s="269">
        <v>1</v>
      </c>
      <c r="F38" s="269">
        <v>1</v>
      </c>
      <c r="G38" s="269">
        <v>1</v>
      </c>
      <c r="H38" s="269">
        <v>1</v>
      </c>
      <c r="I38" s="269" t="s">
        <v>28</v>
      </c>
      <c r="J38" s="269" t="s">
        <v>28</v>
      </c>
      <c r="K38" s="269" t="s">
        <v>28</v>
      </c>
      <c r="L38" s="269" t="s">
        <v>28</v>
      </c>
      <c r="M38" s="270">
        <v>1</v>
      </c>
      <c r="N38" s="269">
        <v>1</v>
      </c>
      <c r="O38" s="269" t="s">
        <v>28</v>
      </c>
      <c r="P38" s="269" t="s">
        <v>28</v>
      </c>
      <c r="Q38" s="269">
        <v>1</v>
      </c>
      <c r="R38" s="269">
        <v>1</v>
      </c>
      <c r="S38" s="269" t="s">
        <v>28</v>
      </c>
      <c r="T38" s="269" t="s">
        <v>28</v>
      </c>
      <c r="U38" s="269">
        <v>2</v>
      </c>
      <c r="V38" s="269" t="s">
        <v>28</v>
      </c>
      <c r="W38" s="269">
        <v>1</v>
      </c>
      <c r="X38" s="269" t="s">
        <v>28</v>
      </c>
      <c r="Y38" s="269">
        <v>1</v>
      </c>
      <c r="Z38" s="271" t="s">
        <v>28</v>
      </c>
    </row>
    <row r="39" spans="1:26" ht="10.5" customHeight="1" thickBot="1">
      <c r="A39" s="1587" t="s">
        <v>31</v>
      </c>
      <c r="B39" s="1533" t="s">
        <v>32</v>
      </c>
      <c r="C39" s="1588">
        <v>1</v>
      </c>
      <c r="D39" s="1588">
        <v>1</v>
      </c>
      <c r="E39" s="1588" t="s">
        <v>28</v>
      </c>
      <c r="F39" s="1588" t="s">
        <v>28</v>
      </c>
      <c r="G39" s="1588" t="s">
        <v>28</v>
      </c>
      <c r="H39" s="1588" t="s">
        <v>28</v>
      </c>
      <c r="I39" s="1588" t="s">
        <v>28</v>
      </c>
      <c r="J39" s="1588" t="s">
        <v>28</v>
      </c>
      <c r="K39" s="1588" t="s">
        <v>28</v>
      </c>
      <c r="L39" s="1588" t="s">
        <v>28</v>
      </c>
      <c r="M39" s="274">
        <v>1</v>
      </c>
      <c r="N39" s="1588">
        <v>1</v>
      </c>
      <c r="O39" s="1588" t="s">
        <v>28</v>
      </c>
      <c r="P39" s="1588" t="s">
        <v>28</v>
      </c>
      <c r="Q39" s="1588">
        <v>1</v>
      </c>
      <c r="R39" s="1588">
        <v>1</v>
      </c>
      <c r="S39" s="1588" t="s">
        <v>28</v>
      </c>
      <c r="T39" s="1588" t="s">
        <v>28</v>
      </c>
      <c r="U39" s="1588" t="s">
        <v>28</v>
      </c>
      <c r="V39" s="1588" t="s">
        <v>28</v>
      </c>
      <c r="W39" s="1588" t="s">
        <v>28</v>
      </c>
      <c r="X39" s="1588" t="s">
        <v>28</v>
      </c>
      <c r="Y39" s="1588" t="s">
        <v>28</v>
      </c>
      <c r="Z39" s="1589" t="s">
        <v>28</v>
      </c>
    </row>
    <row r="40" spans="1:26" s="261" customFormat="1" ht="10.5" customHeight="1" thickBot="1">
      <c r="A40" s="1595" t="s">
        <v>364</v>
      </c>
      <c r="B40" s="1595"/>
      <c r="C40" s="1595"/>
      <c r="D40" s="1595"/>
      <c r="E40" s="1595"/>
      <c r="F40" s="1595"/>
      <c r="G40" s="1595"/>
      <c r="H40" s="1595"/>
      <c r="I40" s="1595"/>
      <c r="J40" s="1595"/>
      <c r="K40" s="1595"/>
      <c r="L40" s="1595"/>
      <c r="M40" s="1595" t="s">
        <v>46</v>
      </c>
      <c r="N40" s="1595"/>
      <c r="O40" s="1595"/>
      <c r="P40" s="1595"/>
      <c r="Q40" s="1595"/>
      <c r="R40" s="1595"/>
      <c r="S40" s="1595"/>
      <c r="T40" s="1595"/>
      <c r="U40" s="1595"/>
      <c r="V40" s="1595"/>
      <c r="W40" s="1595"/>
      <c r="X40" s="1595"/>
      <c r="Y40" s="1595"/>
      <c r="Z40" s="1595"/>
    </row>
    <row r="41" spans="1:26" ht="9.9499999999999993" customHeight="1">
      <c r="A41" s="263" t="s">
        <v>47</v>
      </c>
      <c r="B41" s="129" t="s">
        <v>48</v>
      </c>
      <c r="C41" s="265">
        <v>47</v>
      </c>
      <c r="D41" s="265">
        <v>27</v>
      </c>
      <c r="E41" s="265">
        <v>5</v>
      </c>
      <c r="F41" s="265" t="s">
        <v>28</v>
      </c>
      <c r="G41" s="265">
        <v>2</v>
      </c>
      <c r="H41" s="265" t="s">
        <v>28</v>
      </c>
      <c r="I41" s="265" t="s">
        <v>28</v>
      </c>
      <c r="J41" s="265" t="s">
        <v>28</v>
      </c>
      <c r="K41" s="265">
        <v>3</v>
      </c>
      <c r="L41" s="265" t="s">
        <v>28</v>
      </c>
      <c r="M41" s="266">
        <v>13</v>
      </c>
      <c r="N41" s="267">
        <v>6</v>
      </c>
      <c r="O41" s="265" t="s">
        <v>28</v>
      </c>
      <c r="P41" s="265" t="s">
        <v>28</v>
      </c>
      <c r="Q41" s="265">
        <v>9</v>
      </c>
      <c r="R41" s="265">
        <v>3</v>
      </c>
      <c r="S41" s="265">
        <v>4</v>
      </c>
      <c r="T41" s="265">
        <v>3</v>
      </c>
      <c r="U41" s="265">
        <v>29</v>
      </c>
      <c r="V41" s="265">
        <v>21</v>
      </c>
      <c r="W41" s="265">
        <v>23</v>
      </c>
      <c r="X41" s="265">
        <v>17</v>
      </c>
      <c r="Y41" s="265">
        <v>6</v>
      </c>
      <c r="Z41" s="268">
        <v>4</v>
      </c>
    </row>
    <row r="42" spans="1:26" ht="9.9499999999999993" customHeight="1">
      <c r="A42" s="264" t="s">
        <v>29</v>
      </c>
      <c r="B42" s="131" t="s">
        <v>30</v>
      </c>
      <c r="C42" s="269">
        <v>43</v>
      </c>
      <c r="D42" s="269">
        <v>26</v>
      </c>
      <c r="E42" s="269">
        <v>2</v>
      </c>
      <c r="F42" s="269" t="s">
        <v>28</v>
      </c>
      <c r="G42" s="269">
        <v>2</v>
      </c>
      <c r="H42" s="269" t="s">
        <v>28</v>
      </c>
      <c r="I42" s="269" t="s">
        <v>28</v>
      </c>
      <c r="J42" s="269" t="s">
        <v>28</v>
      </c>
      <c r="K42" s="269" t="s">
        <v>28</v>
      </c>
      <c r="L42" s="269" t="s">
        <v>28</v>
      </c>
      <c r="M42" s="270">
        <v>13</v>
      </c>
      <c r="N42" s="269">
        <v>6</v>
      </c>
      <c r="O42" s="269" t="s">
        <v>28</v>
      </c>
      <c r="P42" s="269" t="s">
        <v>28</v>
      </c>
      <c r="Q42" s="269">
        <v>9</v>
      </c>
      <c r="R42" s="269">
        <v>3</v>
      </c>
      <c r="S42" s="269">
        <v>4</v>
      </c>
      <c r="T42" s="269">
        <v>3</v>
      </c>
      <c r="U42" s="269">
        <v>28</v>
      </c>
      <c r="V42" s="269">
        <v>20</v>
      </c>
      <c r="W42" s="269">
        <v>22</v>
      </c>
      <c r="X42" s="269">
        <v>16</v>
      </c>
      <c r="Y42" s="269">
        <v>6</v>
      </c>
      <c r="Z42" s="271">
        <v>4</v>
      </c>
    </row>
    <row r="43" spans="1:26" ht="9.9499999999999993" customHeight="1">
      <c r="A43" s="264" t="s">
        <v>31</v>
      </c>
      <c r="B43" s="131" t="s">
        <v>32</v>
      </c>
      <c r="C43" s="269">
        <v>4</v>
      </c>
      <c r="D43" s="269">
        <v>1</v>
      </c>
      <c r="E43" s="269">
        <v>3</v>
      </c>
      <c r="F43" s="269" t="s">
        <v>28</v>
      </c>
      <c r="G43" s="269" t="s">
        <v>28</v>
      </c>
      <c r="H43" s="269" t="s">
        <v>28</v>
      </c>
      <c r="I43" s="269" t="s">
        <v>28</v>
      </c>
      <c r="J43" s="269" t="s">
        <v>28</v>
      </c>
      <c r="K43" s="269">
        <v>3</v>
      </c>
      <c r="L43" s="269" t="s">
        <v>28</v>
      </c>
      <c r="M43" s="270" t="s">
        <v>28</v>
      </c>
      <c r="N43" s="269" t="s">
        <v>28</v>
      </c>
      <c r="O43" s="269" t="s">
        <v>28</v>
      </c>
      <c r="P43" s="269" t="s">
        <v>28</v>
      </c>
      <c r="Q43" s="269" t="s">
        <v>28</v>
      </c>
      <c r="R43" s="269" t="s">
        <v>28</v>
      </c>
      <c r="S43" s="269" t="s">
        <v>28</v>
      </c>
      <c r="T43" s="269" t="s">
        <v>28</v>
      </c>
      <c r="U43" s="269">
        <v>1</v>
      </c>
      <c r="V43" s="269">
        <v>1</v>
      </c>
      <c r="W43" s="269">
        <v>1</v>
      </c>
      <c r="X43" s="269">
        <v>1</v>
      </c>
      <c r="Y43" s="269" t="s">
        <v>28</v>
      </c>
      <c r="Z43" s="271" t="s">
        <v>28</v>
      </c>
    </row>
    <row r="44" spans="1:26" ht="9.9499999999999993" customHeight="1">
      <c r="A44" s="263" t="s">
        <v>49</v>
      </c>
      <c r="B44" s="129" t="s">
        <v>50</v>
      </c>
      <c r="C44" s="265">
        <v>4</v>
      </c>
      <c r="D44" s="265">
        <v>2</v>
      </c>
      <c r="E44" s="265" t="s">
        <v>28</v>
      </c>
      <c r="F44" s="265" t="s">
        <v>28</v>
      </c>
      <c r="G44" s="265" t="s">
        <v>28</v>
      </c>
      <c r="H44" s="265" t="s">
        <v>28</v>
      </c>
      <c r="I44" s="265" t="s">
        <v>28</v>
      </c>
      <c r="J44" s="265" t="s">
        <v>28</v>
      </c>
      <c r="K44" s="265" t="s">
        <v>28</v>
      </c>
      <c r="L44" s="265" t="s">
        <v>28</v>
      </c>
      <c r="M44" s="272" t="s">
        <v>28</v>
      </c>
      <c r="N44" s="265" t="s">
        <v>28</v>
      </c>
      <c r="O44" s="265" t="s">
        <v>28</v>
      </c>
      <c r="P44" s="265" t="s">
        <v>28</v>
      </c>
      <c r="Q44" s="265" t="s">
        <v>28</v>
      </c>
      <c r="R44" s="265" t="s">
        <v>28</v>
      </c>
      <c r="S44" s="265" t="s">
        <v>28</v>
      </c>
      <c r="T44" s="265" t="s">
        <v>28</v>
      </c>
      <c r="U44" s="265">
        <v>4</v>
      </c>
      <c r="V44" s="265">
        <v>2</v>
      </c>
      <c r="W44" s="265">
        <v>3</v>
      </c>
      <c r="X44" s="265">
        <v>2</v>
      </c>
      <c r="Y44" s="265">
        <v>1</v>
      </c>
      <c r="Z44" s="273" t="s">
        <v>28</v>
      </c>
    </row>
    <row r="45" spans="1:26" ht="9.9499999999999993" customHeight="1">
      <c r="A45" s="264" t="s">
        <v>29</v>
      </c>
      <c r="B45" s="131" t="s">
        <v>30</v>
      </c>
      <c r="C45" s="269">
        <v>2</v>
      </c>
      <c r="D45" s="269">
        <v>2</v>
      </c>
      <c r="E45" s="269" t="s">
        <v>28</v>
      </c>
      <c r="F45" s="269" t="s">
        <v>28</v>
      </c>
      <c r="G45" s="269" t="s">
        <v>28</v>
      </c>
      <c r="H45" s="269" t="s">
        <v>28</v>
      </c>
      <c r="I45" s="269" t="s">
        <v>28</v>
      </c>
      <c r="J45" s="269" t="s">
        <v>28</v>
      </c>
      <c r="K45" s="269" t="s">
        <v>28</v>
      </c>
      <c r="L45" s="269" t="s">
        <v>28</v>
      </c>
      <c r="M45" s="270" t="s">
        <v>28</v>
      </c>
      <c r="N45" s="269" t="s">
        <v>28</v>
      </c>
      <c r="O45" s="269" t="s">
        <v>28</v>
      </c>
      <c r="P45" s="269" t="s">
        <v>28</v>
      </c>
      <c r="Q45" s="269" t="s">
        <v>28</v>
      </c>
      <c r="R45" s="269" t="s">
        <v>28</v>
      </c>
      <c r="S45" s="269" t="s">
        <v>28</v>
      </c>
      <c r="T45" s="269" t="s">
        <v>28</v>
      </c>
      <c r="U45" s="269">
        <v>2</v>
      </c>
      <c r="V45" s="269">
        <v>2</v>
      </c>
      <c r="W45" s="269">
        <v>2</v>
      </c>
      <c r="X45" s="269">
        <v>2</v>
      </c>
      <c r="Y45" s="269" t="s">
        <v>28</v>
      </c>
      <c r="Z45" s="271" t="s">
        <v>28</v>
      </c>
    </row>
    <row r="46" spans="1:26" ht="9.9499999999999993" customHeight="1">
      <c r="A46" s="264" t="s">
        <v>31</v>
      </c>
      <c r="B46" s="131" t="s">
        <v>32</v>
      </c>
      <c r="C46" s="269">
        <v>2</v>
      </c>
      <c r="D46" s="269" t="s">
        <v>28</v>
      </c>
      <c r="E46" s="269" t="s">
        <v>28</v>
      </c>
      <c r="F46" s="269" t="s">
        <v>28</v>
      </c>
      <c r="G46" s="269" t="s">
        <v>28</v>
      </c>
      <c r="H46" s="269" t="s">
        <v>28</v>
      </c>
      <c r="I46" s="269" t="s">
        <v>28</v>
      </c>
      <c r="J46" s="269" t="s">
        <v>28</v>
      </c>
      <c r="K46" s="269" t="s">
        <v>28</v>
      </c>
      <c r="L46" s="269" t="s">
        <v>28</v>
      </c>
      <c r="M46" s="270" t="s">
        <v>28</v>
      </c>
      <c r="N46" s="269" t="s">
        <v>28</v>
      </c>
      <c r="O46" s="269" t="s">
        <v>28</v>
      </c>
      <c r="P46" s="269" t="s">
        <v>28</v>
      </c>
      <c r="Q46" s="269" t="s">
        <v>28</v>
      </c>
      <c r="R46" s="269" t="s">
        <v>28</v>
      </c>
      <c r="S46" s="269" t="s">
        <v>28</v>
      </c>
      <c r="T46" s="269" t="s">
        <v>28</v>
      </c>
      <c r="U46" s="269">
        <v>2</v>
      </c>
      <c r="V46" s="269" t="s">
        <v>28</v>
      </c>
      <c r="W46" s="269">
        <v>1</v>
      </c>
      <c r="X46" s="269" t="s">
        <v>28</v>
      </c>
      <c r="Y46" s="269">
        <v>1</v>
      </c>
      <c r="Z46" s="271" t="s">
        <v>28</v>
      </c>
    </row>
    <row r="47" spans="1:26" ht="9.9499999999999993" customHeight="1">
      <c r="A47" s="263" t="s">
        <v>963</v>
      </c>
      <c r="B47" s="129" t="s">
        <v>964</v>
      </c>
      <c r="C47" s="265">
        <v>37</v>
      </c>
      <c r="D47" s="265">
        <v>29</v>
      </c>
      <c r="E47" s="265">
        <v>1</v>
      </c>
      <c r="F47" s="265" t="s">
        <v>28</v>
      </c>
      <c r="G47" s="265" t="s">
        <v>28</v>
      </c>
      <c r="H47" s="265" t="s">
        <v>28</v>
      </c>
      <c r="I47" s="265" t="s">
        <v>28</v>
      </c>
      <c r="J47" s="265" t="s">
        <v>28</v>
      </c>
      <c r="K47" s="265">
        <v>1</v>
      </c>
      <c r="L47" s="265" t="s">
        <v>28</v>
      </c>
      <c r="M47" s="272">
        <v>4</v>
      </c>
      <c r="N47" s="265">
        <v>3</v>
      </c>
      <c r="O47" s="265" t="s">
        <v>28</v>
      </c>
      <c r="P47" s="265" t="s">
        <v>28</v>
      </c>
      <c r="Q47" s="265">
        <v>3</v>
      </c>
      <c r="R47" s="265">
        <v>2</v>
      </c>
      <c r="S47" s="265">
        <v>1</v>
      </c>
      <c r="T47" s="265">
        <v>1</v>
      </c>
      <c r="U47" s="265">
        <v>32</v>
      </c>
      <c r="V47" s="265">
        <v>26</v>
      </c>
      <c r="W47" s="265">
        <v>29</v>
      </c>
      <c r="X47" s="265">
        <v>25</v>
      </c>
      <c r="Y47" s="265">
        <v>3</v>
      </c>
      <c r="Z47" s="273">
        <v>1</v>
      </c>
    </row>
    <row r="48" spans="1:26" ht="9.9499999999999993" customHeight="1">
      <c r="A48" s="264" t="s">
        <v>29</v>
      </c>
      <c r="B48" s="131" t="s">
        <v>30</v>
      </c>
      <c r="C48" s="269">
        <v>33</v>
      </c>
      <c r="D48" s="269">
        <v>29</v>
      </c>
      <c r="E48" s="269">
        <v>1</v>
      </c>
      <c r="F48" s="269" t="s">
        <v>28</v>
      </c>
      <c r="G48" s="269" t="s">
        <v>28</v>
      </c>
      <c r="H48" s="269" t="s">
        <v>28</v>
      </c>
      <c r="I48" s="269" t="s">
        <v>28</v>
      </c>
      <c r="J48" s="269" t="s">
        <v>28</v>
      </c>
      <c r="K48" s="269">
        <v>1</v>
      </c>
      <c r="L48" s="269" t="s">
        <v>28</v>
      </c>
      <c r="M48" s="270">
        <v>4</v>
      </c>
      <c r="N48" s="269">
        <v>3</v>
      </c>
      <c r="O48" s="269" t="s">
        <v>28</v>
      </c>
      <c r="P48" s="269" t="s">
        <v>28</v>
      </c>
      <c r="Q48" s="269">
        <v>3</v>
      </c>
      <c r="R48" s="269">
        <v>2</v>
      </c>
      <c r="S48" s="269">
        <v>1</v>
      </c>
      <c r="T48" s="269">
        <v>1</v>
      </c>
      <c r="U48" s="269">
        <v>28</v>
      </c>
      <c r="V48" s="269">
        <v>26</v>
      </c>
      <c r="W48" s="269">
        <v>26</v>
      </c>
      <c r="X48" s="269">
        <v>25</v>
      </c>
      <c r="Y48" s="269">
        <v>2</v>
      </c>
      <c r="Z48" s="271">
        <v>1</v>
      </c>
    </row>
    <row r="49" spans="1:26" ht="9.9499999999999993" customHeight="1">
      <c r="A49" s="264" t="s">
        <v>31</v>
      </c>
      <c r="B49" s="131" t="s">
        <v>32</v>
      </c>
      <c r="C49" s="269">
        <v>4</v>
      </c>
      <c r="D49" s="269" t="s">
        <v>28</v>
      </c>
      <c r="E49" s="269" t="s">
        <v>28</v>
      </c>
      <c r="F49" s="269" t="s">
        <v>28</v>
      </c>
      <c r="G49" s="269" t="s">
        <v>28</v>
      </c>
      <c r="H49" s="269" t="s">
        <v>28</v>
      </c>
      <c r="I49" s="269" t="s">
        <v>28</v>
      </c>
      <c r="J49" s="269" t="s">
        <v>28</v>
      </c>
      <c r="K49" s="269" t="s">
        <v>28</v>
      </c>
      <c r="L49" s="269" t="s">
        <v>28</v>
      </c>
      <c r="M49" s="270" t="s">
        <v>28</v>
      </c>
      <c r="N49" s="269" t="s">
        <v>28</v>
      </c>
      <c r="O49" s="269" t="s">
        <v>28</v>
      </c>
      <c r="P49" s="269" t="s">
        <v>28</v>
      </c>
      <c r="Q49" s="269" t="s">
        <v>28</v>
      </c>
      <c r="R49" s="269" t="s">
        <v>28</v>
      </c>
      <c r="S49" s="269" t="s">
        <v>28</v>
      </c>
      <c r="T49" s="269" t="s">
        <v>28</v>
      </c>
      <c r="U49" s="269">
        <v>4</v>
      </c>
      <c r="V49" s="269" t="s">
        <v>28</v>
      </c>
      <c r="W49" s="269">
        <v>3</v>
      </c>
      <c r="X49" s="269" t="s">
        <v>28</v>
      </c>
      <c r="Y49" s="269">
        <v>1</v>
      </c>
      <c r="Z49" s="271" t="s">
        <v>28</v>
      </c>
    </row>
    <row r="50" spans="1:26" ht="9.9499999999999993" customHeight="1">
      <c r="A50" s="263" t="s">
        <v>51</v>
      </c>
      <c r="B50" s="129" t="s">
        <v>52</v>
      </c>
      <c r="C50" s="265">
        <v>180</v>
      </c>
      <c r="D50" s="265">
        <v>90</v>
      </c>
      <c r="E50" s="265">
        <v>8</v>
      </c>
      <c r="F50" s="265">
        <v>7</v>
      </c>
      <c r="G50" s="265">
        <v>6</v>
      </c>
      <c r="H50" s="265">
        <v>6</v>
      </c>
      <c r="I50" s="265">
        <v>2</v>
      </c>
      <c r="J50" s="265">
        <v>1</v>
      </c>
      <c r="K50" s="265" t="s">
        <v>28</v>
      </c>
      <c r="L50" s="265" t="s">
        <v>28</v>
      </c>
      <c r="M50" s="272">
        <v>85</v>
      </c>
      <c r="N50" s="265">
        <v>39</v>
      </c>
      <c r="O50" s="265" t="s">
        <v>28</v>
      </c>
      <c r="P50" s="265" t="s">
        <v>28</v>
      </c>
      <c r="Q50" s="265">
        <v>73</v>
      </c>
      <c r="R50" s="265">
        <v>34</v>
      </c>
      <c r="S50" s="265">
        <v>12</v>
      </c>
      <c r="T50" s="265">
        <v>5</v>
      </c>
      <c r="U50" s="265">
        <v>87</v>
      </c>
      <c r="V50" s="265">
        <v>44</v>
      </c>
      <c r="W50" s="265">
        <v>59</v>
      </c>
      <c r="X50" s="265">
        <v>27</v>
      </c>
      <c r="Y50" s="265">
        <v>28</v>
      </c>
      <c r="Z50" s="273">
        <v>17</v>
      </c>
    </row>
    <row r="51" spans="1:26" ht="9.9499999999999993" customHeight="1">
      <c r="A51" s="264" t="s">
        <v>29</v>
      </c>
      <c r="B51" s="131" t="s">
        <v>30</v>
      </c>
      <c r="C51" s="269">
        <v>169</v>
      </c>
      <c r="D51" s="269">
        <v>87</v>
      </c>
      <c r="E51" s="269">
        <v>7</v>
      </c>
      <c r="F51" s="269">
        <v>6</v>
      </c>
      <c r="G51" s="269">
        <v>6</v>
      </c>
      <c r="H51" s="269">
        <v>6</v>
      </c>
      <c r="I51" s="269">
        <v>1</v>
      </c>
      <c r="J51" s="269" t="s">
        <v>28</v>
      </c>
      <c r="K51" s="269" t="s">
        <v>28</v>
      </c>
      <c r="L51" s="269" t="s">
        <v>28</v>
      </c>
      <c r="M51" s="270">
        <v>82</v>
      </c>
      <c r="N51" s="269">
        <v>37</v>
      </c>
      <c r="O51" s="269" t="s">
        <v>28</v>
      </c>
      <c r="P51" s="269" t="s">
        <v>28</v>
      </c>
      <c r="Q51" s="269">
        <v>70</v>
      </c>
      <c r="R51" s="269">
        <v>32</v>
      </c>
      <c r="S51" s="269">
        <v>12</v>
      </c>
      <c r="T51" s="269">
        <v>5</v>
      </c>
      <c r="U51" s="269">
        <v>80</v>
      </c>
      <c r="V51" s="269">
        <v>44</v>
      </c>
      <c r="W51" s="269">
        <v>52</v>
      </c>
      <c r="X51" s="269">
        <v>27</v>
      </c>
      <c r="Y51" s="269">
        <v>28</v>
      </c>
      <c r="Z51" s="271">
        <v>17</v>
      </c>
    </row>
    <row r="52" spans="1:26" ht="9.9499999999999993" customHeight="1">
      <c r="A52" s="264" t="s">
        <v>31</v>
      </c>
      <c r="B52" s="131" t="s">
        <v>32</v>
      </c>
      <c r="C52" s="269">
        <v>11</v>
      </c>
      <c r="D52" s="269">
        <v>3</v>
      </c>
      <c r="E52" s="269">
        <v>1</v>
      </c>
      <c r="F52" s="269">
        <v>1</v>
      </c>
      <c r="G52" s="269" t="s">
        <v>28</v>
      </c>
      <c r="H52" s="269" t="s">
        <v>28</v>
      </c>
      <c r="I52" s="269">
        <v>1</v>
      </c>
      <c r="J52" s="269">
        <v>1</v>
      </c>
      <c r="K52" s="269" t="s">
        <v>28</v>
      </c>
      <c r="L52" s="269" t="s">
        <v>28</v>
      </c>
      <c r="M52" s="270">
        <v>3</v>
      </c>
      <c r="N52" s="269">
        <v>2</v>
      </c>
      <c r="O52" s="269" t="s">
        <v>28</v>
      </c>
      <c r="P52" s="269" t="s">
        <v>28</v>
      </c>
      <c r="Q52" s="269">
        <v>3</v>
      </c>
      <c r="R52" s="269">
        <v>2</v>
      </c>
      <c r="S52" s="269" t="s">
        <v>28</v>
      </c>
      <c r="T52" s="269" t="s">
        <v>28</v>
      </c>
      <c r="U52" s="269">
        <v>7</v>
      </c>
      <c r="V52" s="269" t="s">
        <v>28</v>
      </c>
      <c r="W52" s="269">
        <v>7</v>
      </c>
      <c r="X52" s="269" t="s">
        <v>28</v>
      </c>
      <c r="Y52" s="269" t="s">
        <v>28</v>
      </c>
      <c r="Z52" s="271" t="s">
        <v>28</v>
      </c>
    </row>
    <row r="53" spans="1:26" ht="9.9499999999999993" customHeight="1">
      <c r="A53" s="263" t="s">
        <v>53</v>
      </c>
      <c r="B53" s="129" t="s">
        <v>54</v>
      </c>
      <c r="C53" s="265">
        <v>92</v>
      </c>
      <c r="D53" s="265">
        <v>51</v>
      </c>
      <c r="E53" s="265">
        <v>8</v>
      </c>
      <c r="F53" s="265">
        <v>6</v>
      </c>
      <c r="G53" s="265">
        <v>1</v>
      </c>
      <c r="H53" s="265">
        <v>1</v>
      </c>
      <c r="I53" s="265">
        <v>4</v>
      </c>
      <c r="J53" s="265">
        <v>3</v>
      </c>
      <c r="K53" s="265">
        <v>3</v>
      </c>
      <c r="L53" s="265">
        <v>2</v>
      </c>
      <c r="M53" s="272">
        <v>27</v>
      </c>
      <c r="N53" s="265">
        <v>19</v>
      </c>
      <c r="O53" s="265" t="s">
        <v>28</v>
      </c>
      <c r="P53" s="265" t="s">
        <v>28</v>
      </c>
      <c r="Q53" s="265">
        <v>23</v>
      </c>
      <c r="R53" s="265">
        <v>16</v>
      </c>
      <c r="S53" s="265">
        <v>4</v>
      </c>
      <c r="T53" s="265">
        <v>3</v>
      </c>
      <c r="U53" s="265">
        <v>57</v>
      </c>
      <c r="V53" s="265">
        <v>26</v>
      </c>
      <c r="W53" s="265">
        <v>44</v>
      </c>
      <c r="X53" s="265">
        <v>23</v>
      </c>
      <c r="Y53" s="265">
        <v>13</v>
      </c>
      <c r="Z53" s="273">
        <v>3</v>
      </c>
    </row>
    <row r="54" spans="1:26" ht="9.9499999999999993" customHeight="1">
      <c r="A54" s="264" t="s">
        <v>29</v>
      </c>
      <c r="B54" s="131" t="s">
        <v>30</v>
      </c>
      <c r="C54" s="269">
        <v>92</v>
      </c>
      <c r="D54" s="269">
        <v>51</v>
      </c>
      <c r="E54" s="269">
        <v>8</v>
      </c>
      <c r="F54" s="269">
        <v>6</v>
      </c>
      <c r="G54" s="269">
        <v>1</v>
      </c>
      <c r="H54" s="269">
        <v>1</v>
      </c>
      <c r="I54" s="269">
        <v>4</v>
      </c>
      <c r="J54" s="269">
        <v>3</v>
      </c>
      <c r="K54" s="269">
        <v>3</v>
      </c>
      <c r="L54" s="269">
        <v>2</v>
      </c>
      <c r="M54" s="270">
        <v>27</v>
      </c>
      <c r="N54" s="269">
        <v>19</v>
      </c>
      <c r="O54" s="269" t="s">
        <v>28</v>
      </c>
      <c r="P54" s="269" t="s">
        <v>28</v>
      </c>
      <c r="Q54" s="269">
        <v>23</v>
      </c>
      <c r="R54" s="269">
        <v>16</v>
      </c>
      <c r="S54" s="269">
        <v>4</v>
      </c>
      <c r="T54" s="269">
        <v>3</v>
      </c>
      <c r="U54" s="269">
        <v>57</v>
      </c>
      <c r="V54" s="269">
        <v>26</v>
      </c>
      <c r="W54" s="269">
        <v>44</v>
      </c>
      <c r="X54" s="269">
        <v>23</v>
      </c>
      <c r="Y54" s="269">
        <v>13</v>
      </c>
      <c r="Z54" s="271">
        <v>3</v>
      </c>
    </row>
    <row r="55" spans="1:26" ht="9.9499999999999993" customHeight="1">
      <c r="A55" s="264" t="s">
        <v>31</v>
      </c>
      <c r="B55" s="131" t="s">
        <v>32</v>
      </c>
      <c r="C55" s="269" t="s">
        <v>28</v>
      </c>
      <c r="D55" s="269" t="s">
        <v>28</v>
      </c>
      <c r="E55" s="269" t="s">
        <v>28</v>
      </c>
      <c r="F55" s="269" t="s">
        <v>28</v>
      </c>
      <c r="G55" s="269" t="s">
        <v>28</v>
      </c>
      <c r="H55" s="269" t="s">
        <v>28</v>
      </c>
      <c r="I55" s="269" t="s">
        <v>28</v>
      </c>
      <c r="J55" s="269" t="s">
        <v>28</v>
      </c>
      <c r="K55" s="269" t="s">
        <v>28</v>
      </c>
      <c r="L55" s="269" t="s">
        <v>28</v>
      </c>
      <c r="M55" s="270" t="s">
        <v>28</v>
      </c>
      <c r="N55" s="269" t="s">
        <v>28</v>
      </c>
      <c r="O55" s="269" t="s">
        <v>28</v>
      </c>
      <c r="P55" s="269" t="s">
        <v>28</v>
      </c>
      <c r="Q55" s="269" t="s">
        <v>28</v>
      </c>
      <c r="R55" s="269" t="s">
        <v>28</v>
      </c>
      <c r="S55" s="269" t="s">
        <v>28</v>
      </c>
      <c r="T55" s="269" t="s">
        <v>28</v>
      </c>
      <c r="U55" s="269" t="s">
        <v>28</v>
      </c>
      <c r="V55" s="269" t="s">
        <v>28</v>
      </c>
      <c r="W55" s="269" t="s">
        <v>28</v>
      </c>
      <c r="X55" s="269" t="s">
        <v>28</v>
      </c>
      <c r="Y55" s="269" t="s">
        <v>28</v>
      </c>
      <c r="Z55" s="271" t="s">
        <v>28</v>
      </c>
    </row>
    <row r="56" spans="1:26" ht="9.9499999999999993" customHeight="1">
      <c r="A56" s="263" t="s">
        <v>55</v>
      </c>
      <c r="B56" s="129" t="s">
        <v>56</v>
      </c>
      <c r="C56" s="265">
        <v>51</v>
      </c>
      <c r="D56" s="265">
        <v>30</v>
      </c>
      <c r="E56" s="265">
        <v>8</v>
      </c>
      <c r="F56" s="265">
        <v>5</v>
      </c>
      <c r="G56" s="265">
        <v>5</v>
      </c>
      <c r="H56" s="265">
        <v>4</v>
      </c>
      <c r="I56" s="265">
        <v>1</v>
      </c>
      <c r="J56" s="265">
        <v>1</v>
      </c>
      <c r="K56" s="265">
        <v>2</v>
      </c>
      <c r="L56" s="265" t="s">
        <v>28</v>
      </c>
      <c r="M56" s="272">
        <v>9</v>
      </c>
      <c r="N56" s="265">
        <v>5</v>
      </c>
      <c r="O56" s="265" t="s">
        <v>28</v>
      </c>
      <c r="P56" s="265" t="s">
        <v>28</v>
      </c>
      <c r="Q56" s="265">
        <v>7</v>
      </c>
      <c r="R56" s="265">
        <v>4</v>
      </c>
      <c r="S56" s="265">
        <v>2</v>
      </c>
      <c r="T56" s="265">
        <v>1</v>
      </c>
      <c r="U56" s="265">
        <v>34</v>
      </c>
      <c r="V56" s="265">
        <v>20</v>
      </c>
      <c r="W56" s="265">
        <v>27</v>
      </c>
      <c r="X56" s="265">
        <v>18</v>
      </c>
      <c r="Y56" s="265">
        <v>7</v>
      </c>
      <c r="Z56" s="273">
        <v>2</v>
      </c>
    </row>
    <row r="57" spans="1:26" ht="9.9499999999999993" customHeight="1">
      <c r="A57" s="264" t="s">
        <v>29</v>
      </c>
      <c r="B57" s="131" t="s">
        <v>30</v>
      </c>
      <c r="C57" s="269">
        <v>51</v>
      </c>
      <c r="D57" s="269">
        <v>30</v>
      </c>
      <c r="E57" s="269">
        <v>8</v>
      </c>
      <c r="F57" s="269">
        <v>5</v>
      </c>
      <c r="G57" s="269">
        <v>5</v>
      </c>
      <c r="H57" s="269">
        <v>4</v>
      </c>
      <c r="I57" s="269">
        <v>1</v>
      </c>
      <c r="J57" s="269">
        <v>1</v>
      </c>
      <c r="K57" s="269">
        <v>2</v>
      </c>
      <c r="L57" s="269" t="s">
        <v>28</v>
      </c>
      <c r="M57" s="270">
        <v>9</v>
      </c>
      <c r="N57" s="269">
        <v>5</v>
      </c>
      <c r="O57" s="269" t="s">
        <v>28</v>
      </c>
      <c r="P57" s="269" t="s">
        <v>28</v>
      </c>
      <c r="Q57" s="269">
        <v>7</v>
      </c>
      <c r="R57" s="269">
        <v>4</v>
      </c>
      <c r="S57" s="269">
        <v>2</v>
      </c>
      <c r="T57" s="269">
        <v>1</v>
      </c>
      <c r="U57" s="269">
        <v>34</v>
      </c>
      <c r="V57" s="269">
        <v>20</v>
      </c>
      <c r="W57" s="269">
        <v>27</v>
      </c>
      <c r="X57" s="269">
        <v>18</v>
      </c>
      <c r="Y57" s="269">
        <v>7</v>
      </c>
      <c r="Z57" s="271">
        <v>2</v>
      </c>
    </row>
    <row r="58" spans="1:26" ht="9.9499999999999993" customHeight="1">
      <c r="A58" s="264" t="s">
        <v>31</v>
      </c>
      <c r="B58" s="131" t="s">
        <v>32</v>
      </c>
      <c r="C58" s="269" t="s">
        <v>28</v>
      </c>
      <c r="D58" s="269" t="s">
        <v>28</v>
      </c>
      <c r="E58" s="269" t="s">
        <v>28</v>
      </c>
      <c r="F58" s="269" t="s">
        <v>28</v>
      </c>
      <c r="G58" s="269" t="s">
        <v>28</v>
      </c>
      <c r="H58" s="269" t="s">
        <v>28</v>
      </c>
      <c r="I58" s="269" t="s">
        <v>28</v>
      </c>
      <c r="J58" s="269" t="s">
        <v>28</v>
      </c>
      <c r="K58" s="269" t="s">
        <v>28</v>
      </c>
      <c r="L58" s="269" t="s">
        <v>28</v>
      </c>
      <c r="M58" s="270" t="s">
        <v>28</v>
      </c>
      <c r="N58" s="269" t="s">
        <v>28</v>
      </c>
      <c r="O58" s="269" t="s">
        <v>28</v>
      </c>
      <c r="P58" s="269" t="s">
        <v>28</v>
      </c>
      <c r="Q58" s="269" t="s">
        <v>28</v>
      </c>
      <c r="R58" s="269" t="s">
        <v>28</v>
      </c>
      <c r="S58" s="269" t="s">
        <v>28</v>
      </c>
      <c r="T58" s="269" t="s">
        <v>28</v>
      </c>
      <c r="U58" s="269" t="s">
        <v>28</v>
      </c>
      <c r="V58" s="269" t="s">
        <v>28</v>
      </c>
      <c r="W58" s="269" t="s">
        <v>28</v>
      </c>
      <c r="X58" s="269" t="s">
        <v>28</v>
      </c>
      <c r="Y58" s="269" t="s">
        <v>28</v>
      </c>
      <c r="Z58" s="271" t="s">
        <v>28</v>
      </c>
    </row>
    <row r="59" spans="1:26" ht="9.9499999999999993" customHeight="1">
      <c r="A59" s="263" t="s">
        <v>57</v>
      </c>
      <c r="B59" s="129" t="s">
        <v>58</v>
      </c>
      <c r="C59" s="265">
        <v>31</v>
      </c>
      <c r="D59" s="265">
        <v>16</v>
      </c>
      <c r="E59" s="265">
        <v>2</v>
      </c>
      <c r="F59" s="265" t="s">
        <v>28</v>
      </c>
      <c r="G59" s="265" t="s">
        <v>28</v>
      </c>
      <c r="H59" s="265" t="s">
        <v>28</v>
      </c>
      <c r="I59" s="265">
        <v>2</v>
      </c>
      <c r="J59" s="265" t="s">
        <v>28</v>
      </c>
      <c r="K59" s="265" t="s">
        <v>28</v>
      </c>
      <c r="L59" s="265" t="s">
        <v>28</v>
      </c>
      <c r="M59" s="272">
        <v>10</v>
      </c>
      <c r="N59" s="265">
        <v>7</v>
      </c>
      <c r="O59" s="265" t="s">
        <v>28</v>
      </c>
      <c r="P59" s="265" t="s">
        <v>28</v>
      </c>
      <c r="Q59" s="265">
        <v>5</v>
      </c>
      <c r="R59" s="265">
        <v>4</v>
      </c>
      <c r="S59" s="265">
        <v>5</v>
      </c>
      <c r="T59" s="265">
        <v>3</v>
      </c>
      <c r="U59" s="265">
        <v>19</v>
      </c>
      <c r="V59" s="265">
        <v>9</v>
      </c>
      <c r="W59" s="265">
        <v>12</v>
      </c>
      <c r="X59" s="265">
        <v>6</v>
      </c>
      <c r="Y59" s="265">
        <v>7</v>
      </c>
      <c r="Z59" s="273">
        <v>3</v>
      </c>
    </row>
    <row r="60" spans="1:26" ht="9.9499999999999993" customHeight="1">
      <c r="A60" s="264" t="s">
        <v>29</v>
      </c>
      <c r="B60" s="131" t="s">
        <v>30</v>
      </c>
      <c r="C60" s="269">
        <v>31</v>
      </c>
      <c r="D60" s="269">
        <v>16</v>
      </c>
      <c r="E60" s="269">
        <v>2</v>
      </c>
      <c r="F60" s="269" t="s">
        <v>28</v>
      </c>
      <c r="G60" s="269" t="s">
        <v>28</v>
      </c>
      <c r="H60" s="269" t="s">
        <v>28</v>
      </c>
      <c r="I60" s="269">
        <v>2</v>
      </c>
      <c r="J60" s="269" t="s">
        <v>28</v>
      </c>
      <c r="K60" s="269" t="s">
        <v>28</v>
      </c>
      <c r="L60" s="269" t="s">
        <v>28</v>
      </c>
      <c r="M60" s="270">
        <v>10</v>
      </c>
      <c r="N60" s="269">
        <v>7</v>
      </c>
      <c r="O60" s="269" t="s">
        <v>28</v>
      </c>
      <c r="P60" s="269" t="s">
        <v>28</v>
      </c>
      <c r="Q60" s="269">
        <v>5</v>
      </c>
      <c r="R60" s="269">
        <v>4</v>
      </c>
      <c r="S60" s="269">
        <v>5</v>
      </c>
      <c r="T60" s="269">
        <v>3</v>
      </c>
      <c r="U60" s="269">
        <v>19</v>
      </c>
      <c r="V60" s="269">
        <v>9</v>
      </c>
      <c r="W60" s="269">
        <v>12</v>
      </c>
      <c r="X60" s="269">
        <v>6</v>
      </c>
      <c r="Y60" s="269">
        <v>7</v>
      </c>
      <c r="Z60" s="271">
        <v>3</v>
      </c>
    </row>
    <row r="61" spans="1:26" ht="9.9499999999999993" customHeight="1">
      <c r="A61" s="264" t="s">
        <v>31</v>
      </c>
      <c r="B61" s="131" t="s">
        <v>32</v>
      </c>
      <c r="C61" s="269" t="s">
        <v>28</v>
      </c>
      <c r="D61" s="269" t="s">
        <v>28</v>
      </c>
      <c r="E61" s="269" t="s">
        <v>28</v>
      </c>
      <c r="F61" s="269" t="s">
        <v>28</v>
      </c>
      <c r="G61" s="269" t="s">
        <v>28</v>
      </c>
      <c r="H61" s="269" t="s">
        <v>28</v>
      </c>
      <c r="I61" s="269" t="s">
        <v>28</v>
      </c>
      <c r="J61" s="269" t="s">
        <v>28</v>
      </c>
      <c r="K61" s="269" t="s">
        <v>28</v>
      </c>
      <c r="L61" s="269" t="s">
        <v>28</v>
      </c>
      <c r="M61" s="270" t="s">
        <v>28</v>
      </c>
      <c r="N61" s="269" t="s">
        <v>28</v>
      </c>
      <c r="O61" s="269" t="s">
        <v>28</v>
      </c>
      <c r="P61" s="269" t="s">
        <v>28</v>
      </c>
      <c r="Q61" s="269" t="s">
        <v>28</v>
      </c>
      <c r="R61" s="269" t="s">
        <v>28</v>
      </c>
      <c r="S61" s="269" t="s">
        <v>28</v>
      </c>
      <c r="T61" s="269" t="s">
        <v>28</v>
      </c>
      <c r="U61" s="269" t="s">
        <v>28</v>
      </c>
      <c r="V61" s="269" t="s">
        <v>28</v>
      </c>
      <c r="W61" s="269" t="s">
        <v>28</v>
      </c>
      <c r="X61" s="269" t="s">
        <v>28</v>
      </c>
      <c r="Y61" s="269" t="s">
        <v>28</v>
      </c>
      <c r="Z61" s="271" t="s">
        <v>28</v>
      </c>
    </row>
    <row r="62" spans="1:26" ht="9.9499999999999993" customHeight="1">
      <c r="A62" s="263" t="s">
        <v>59</v>
      </c>
      <c r="B62" s="129" t="s">
        <v>60</v>
      </c>
      <c r="C62" s="265">
        <v>126</v>
      </c>
      <c r="D62" s="265">
        <v>70</v>
      </c>
      <c r="E62" s="265">
        <v>3</v>
      </c>
      <c r="F62" s="265">
        <v>1</v>
      </c>
      <c r="G62" s="265" t="s">
        <v>28</v>
      </c>
      <c r="H62" s="265" t="s">
        <v>28</v>
      </c>
      <c r="I62" s="265">
        <v>3</v>
      </c>
      <c r="J62" s="265">
        <v>1</v>
      </c>
      <c r="K62" s="265" t="s">
        <v>28</v>
      </c>
      <c r="L62" s="265" t="s">
        <v>28</v>
      </c>
      <c r="M62" s="272">
        <v>28</v>
      </c>
      <c r="N62" s="265">
        <v>18</v>
      </c>
      <c r="O62" s="265" t="s">
        <v>28</v>
      </c>
      <c r="P62" s="265" t="s">
        <v>28</v>
      </c>
      <c r="Q62" s="265">
        <v>22</v>
      </c>
      <c r="R62" s="265">
        <v>14</v>
      </c>
      <c r="S62" s="265">
        <v>6</v>
      </c>
      <c r="T62" s="265">
        <v>4</v>
      </c>
      <c r="U62" s="265">
        <v>95</v>
      </c>
      <c r="V62" s="265">
        <v>51</v>
      </c>
      <c r="W62" s="265">
        <v>64</v>
      </c>
      <c r="X62" s="265">
        <v>34</v>
      </c>
      <c r="Y62" s="265">
        <v>31</v>
      </c>
      <c r="Z62" s="273">
        <v>17</v>
      </c>
    </row>
    <row r="63" spans="1:26" ht="9.9499999999999993" customHeight="1">
      <c r="A63" s="264" t="s">
        <v>29</v>
      </c>
      <c r="B63" s="131" t="s">
        <v>30</v>
      </c>
      <c r="C63" s="269">
        <v>126</v>
      </c>
      <c r="D63" s="269">
        <v>70</v>
      </c>
      <c r="E63" s="269">
        <v>3</v>
      </c>
      <c r="F63" s="269">
        <v>1</v>
      </c>
      <c r="G63" s="269" t="s">
        <v>28</v>
      </c>
      <c r="H63" s="269" t="s">
        <v>28</v>
      </c>
      <c r="I63" s="269">
        <v>3</v>
      </c>
      <c r="J63" s="269">
        <v>1</v>
      </c>
      <c r="K63" s="269" t="s">
        <v>28</v>
      </c>
      <c r="L63" s="269" t="s">
        <v>28</v>
      </c>
      <c r="M63" s="270">
        <v>28</v>
      </c>
      <c r="N63" s="269">
        <v>18</v>
      </c>
      <c r="O63" s="269" t="s">
        <v>28</v>
      </c>
      <c r="P63" s="269" t="s">
        <v>28</v>
      </c>
      <c r="Q63" s="269">
        <v>22</v>
      </c>
      <c r="R63" s="269">
        <v>14</v>
      </c>
      <c r="S63" s="269">
        <v>6</v>
      </c>
      <c r="T63" s="269">
        <v>4</v>
      </c>
      <c r="U63" s="269">
        <v>95</v>
      </c>
      <c r="V63" s="269">
        <v>51</v>
      </c>
      <c r="W63" s="269">
        <v>64</v>
      </c>
      <c r="X63" s="269">
        <v>34</v>
      </c>
      <c r="Y63" s="269">
        <v>31</v>
      </c>
      <c r="Z63" s="271">
        <v>17</v>
      </c>
    </row>
    <row r="64" spans="1:26" ht="9.9499999999999993" customHeight="1">
      <c r="A64" s="264" t="s">
        <v>31</v>
      </c>
      <c r="B64" s="131" t="s">
        <v>32</v>
      </c>
      <c r="C64" s="269" t="s">
        <v>28</v>
      </c>
      <c r="D64" s="269" t="s">
        <v>28</v>
      </c>
      <c r="E64" s="269" t="s">
        <v>28</v>
      </c>
      <c r="F64" s="269" t="s">
        <v>28</v>
      </c>
      <c r="G64" s="269" t="s">
        <v>28</v>
      </c>
      <c r="H64" s="269" t="s">
        <v>28</v>
      </c>
      <c r="I64" s="269" t="s">
        <v>28</v>
      </c>
      <c r="J64" s="269" t="s">
        <v>28</v>
      </c>
      <c r="K64" s="269" t="s">
        <v>28</v>
      </c>
      <c r="L64" s="269" t="s">
        <v>28</v>
      </c>
      <c r="M64" s="270" t="s">
        <v>28</v>
      </c>
      <c r="N64" s="269" t="s">
        <v>28</v>
      </c>
      <c r="O64" s="269" t="s">
        <v>28</v>
      </c>
      <c r="P64" s="269" t="s">
        <v>28</v>
      </c>
      <c r="Q64" s="269" t="s">
        <v>28</v>
      </c>
      <c r="R64" s="269" t="s">
        <v>28</v>
      </c>
      <c r="S64" s="269" t="s">
        <v>28</v>
      </c>
      <c r="T64" s="269" t="s">
        <v>28</v>
      </c>
      <c r="U64" s="269" t="s">
        <v>28</v>
      </c>
      <c r="V64" s="269" t="s">
        <v>28</v>
      </c>
      <c r="W64" s="269" t="s">
        <v>28</v>
      </c>
      <c r="X64" s="269" t="s">
        <v>28</v>
      </c>
      <c r="Y64" s="269" t="s">
        <v>28</v>
      </c>
      <c r="Z64" s="271" t="s">
        <v>28</v>
      </c>
    </row>
    <row r="65" spans="1:26" ht="9.9499999999999993" customHeight="1">
      <c r="A65" s="263" t="s">
        <v>61</v>
      </c>
      <c r="B65" s="129" t="s">
        <v>62</v>
      </c>
      <c r="C65" s="265">
        <v>5</v>
      </c>
      <c r="D65" s="265">
        <v>3</v>
      </c>
      <c r="E65" s="265">
        <v>1</v>
      </c>
      <c r="F65" s="265">
        <v>1</v>
      </c>
      <c r="G65" s="265">
        <v>1</v>
      </c>
      <c r="H65" s="265">
        <v>1</v>
      </c>
      <c r="I65" s="265" t="s">
        <v>28</v>
      </c>
      <c r="J65" s="265" t="s">
        <v>28</v>
      </c>
      <c r="K65" s="265" t="s">
        <v>28</v>
      </c>
      <c r="L65" s="265" t="s">
        <v>28</v>
      </c>
      <c r="M65" s="272">
        <v>2</v>
      </c>
      <c r="N65" s="265">
        <v>2</v>
      </c>
      <c r="O65" s="265" t="s">
        <v>28</v>
      </c>
      <c r="P65" s="265" t="s">
        <v>28</v>
      </c>
      <c r="Q65" s="265">
        <v>2</v>
      </c>
      <c r="R65" s="265">
        <v>2</v>
      </c>
      <c r="S65" s="265" t="s">
        <v>28</v>
      </c>
      <c r="T65" s="265" t="s">
        <v>28</v>
      </c>
      <c r="U65" s="265">
        <v>2</v>
      </c>
      <c r="V65" s="265" t="s">
        <v>28</v>
      </c>
      <c r="W65" s="265">
        <v>1</v>
      </c>
      <c r="X65" s="265" t="s">
        <v>28</v>
      </c>
      <c r="Y65" s="265">
        <v>1</v>
      </c>
      <c r="Z65" s="273" t="s">
        <v>28</v>
      </c>
    </row>
    <row r="66" spans="1:26" ht="9.9499999999999993" customHeight="1">
      <c r="A66" s="264" t="s">
        <v>29</v>
      </c>
      <c r="B66" s="131" t="s">
        <v>30</v>
      </c>
      <c r="C66" s="269">
        <v>4</v>
      </c>
      <c r="D66" s="269">
        <v>2</v>
      </c>
      <c r="E66" s="269">
        <v>1</v>
      </c>
      <c r="F66" s="269">
        <v>1</v>
      </c>
      <c r="G66" s="269">
        <v>1</v>
      </c>
      <c r="H66" s="269">
        <v>1</v>
      </c>
      <c r="I66" s="269" t="s">
        <v>28</v>
      </c>
      <c r="J66" s="269" t="s">
        <v>28</v>
      </c>
      <c r="K66" s="269" t="s">
        <v>28</v>
      </c>
      <c r="L66" s="269" t="s">
        <v>28</v>
      </c>
      <c r="M66" s="270">
        <v>1</v>
      </c>
      <c r="N66" s="269">
        <v>1</v>
      </c>
      <c r="O66" s="269" t="s">
        <v>28</v>
      </c>
      <c r="P66" s="269" t="s">
        <v>28</v>
      </c>
      <c r="Q66" s="269">
        <v>1</v>
      </c>
      <c r="R66" s="269">
        <v>1</v>
      </c>
      <c r="S66" s="269" t="s">
        <v>28</v>
      </c>
      <c r="T66" s="269" t="s">
        <v>28</v>
      </c>
      <c r="U66" s="269">
        <v>2</v>
      </c>
      <c r="V66" s="269" t="s">
        <v>28</v>
      </c>
      <c r="W66" s="269">
        <v>1</v>
      </c>
      <c r="X66" s="269" t="s">
        <v>28</v>
      </c>
      <c r="Y66" s="269">
        <v>1</v>
      </c>
      <c r="Z66" s="271" t="s">
        <v>28</v>
      </c>
    </row>
    <row r="67" spans="1:26" ht="9.9499999999999993" customHeight="1">
      <c r="A67" s="264" t="s">
        <v>31</v>
      </c>
      <c r="B67" s="131" t="s">
        <v>32</v>
      </c>
      <c r="C67" s="269">
        <v>1</v>
      </c>
      <c r="D67" s="269">
        <v>1</v>
      </c>
      <c r="E67" s="269" t="s">
        <v>28</v>
      </c>
      <c r="F67" s="269" t="s">
        <v>28</v>
      </c>
      <c r="G67" s="269" t="s">
        <v>28</v>
      </c>
      <c r="H67" s="269" t="s">
        <v>28</v>
      </c>
      <c r="I67" s="269" t="s">
        <v>28</v>
      </c>
      <c r="J67" s="269" t="s">
        <v>28</v>
      </c>
      <c r="K67" s="269" t="s">
        <v>28</v>
      </c>
      <c r="L67" s="269" t="s">
        <v>28</v>
      </c>
      <c r="M67" s="270">
        <v>1</v>
      </c>
      <c r="N67" s="269">
        <v>1</v>
      </c>
      <c r="O67" s="269" t="s">
        <v>28</v>
      </c>
      <c r="P67" s="269" t="s">
        <v>28</v>
      </c>
      <c r="Q67" s="269">
        <v>1</v>
      </c>
      <c r="R67" s="269">
        <v>1</v>
      </c>
      <c r="S67" s="269" t="s">
        <v>28</v>
      </c>
      <c r="T67" s="269" t="s">
        <v>28</v>
      </c>
      <c r="U67" s="269" t="s">
        <v>28</v>
      </c>
      <c r="V67" s="269" t="s">
        <v>28</v>
      </c>
      <c r="W67" s="269" t="s">
        <v>28</v>
      </c>
      <c r="X67" s="269" t="s">
        <v>28</v>
      </c>
      <c r="Y67" s="269" t="s">
        <v>28</v>
      </c>
      <c r="Z67" s="271" t="s">
        <v>28</v>
      </c>
    </row>
    <row r="68" spans="1:26" ht="9.9499999999999993" customHeight="1">
      <c r="A68" s="263" t="s">
        <v>63</v>
      </c>
      <c r="B68" s="129" t="s">
        <v>64</v>
      </c>
      <c r="C68" s="265" t="s">
        <v>28</v>
      </c>
      <c r="D68" s="265" t="s">
        <v>28</v>
      </c>
      <c r="E68" s="265" t="s">
        <v>28</v>
      </c>
      <c r="F68" s="265" t="s">
        <v>28</v>
      </c>
      <c r="G68" s="265" t="s">
        <v>28</v>
      </c>
      <c r="H68" s="265" t="s">
        <v>28</v>
      </c>
      <c r="I68" s="265" t="s">
        <v>28</v>
      </c>
      <c r="J68" s="265" t="s">
        <v>28</v>
      </c>
      <c r="K68" s="265" t="s">
        <v>28</v>
      </c>
      <c r="L68" s="265" t="s">
        <v>28</v>
      </c>
      <c r="M68" s="272" t="s">
        <v>28</v>
      </c>
      <c r="N68" s="265" t="s">
        <v>28</v>
      </c>
      <c r="O68" s="265" t="s">
        <v>28</v>
      </c>
      <c r="P68" s="265" t="s">
        <v>28</v>
      </c>
      <c r="Q68" s="265" t="s">
        <v>28</v>
      </c>
      <c r="R68" s="265" t="s">
        <v>28</v>
      </c>
      <c r="S68" s="265" t="s">
        <v>28</v>
      </c>
      <c r="T68" s="265" t="s">
        <v>28</v>
      </c>
      <c r="U68" s="265" t="s">
        <v>28</v>
      </c>
      <c r="V68" s="265" t="s">
        <v>28</v>
      </c>
      <c r="W68" s="265" t="s">
        <v>28</v>
      </c>
      <c r="X68" s="265" t="s">
        <v>28</v>
      </c>
      <c r="Y68" s="265" t="s">
        <v>28</v>
      </c>
      <c r="Z68" s="273" t="s">
        <v>28</v>
      </c>
    </row>
    <row r="69" spans="1:26" ht="9.9499999999999993" customHeight="1">
      <c r="A69" s="264" t="s">
        <v>29</v>
      </c>
      <c r="B69" s="131" t="s">
        <v>30</v>
      </c>
      <c r="C69" s="269" t="s">
        <v>28</v>
      </c>
      <c r="D69" s="269" t="s">
        <v>28</v>
      </c>
      <c r="E69" s="269" t="s">
        <v>28</v>
      </c>
      <c r="F69" s="269" t="s">
        <v>28</v>
      </c>
      <c r="G69" s="269" t="s">
        <v>28</v>
      </c>
      <c r="H69" s="269" t="s">
        <v>28</v>
      </c>
      <c r="I69" s="269" t="s">
        <v>28</v>
      </c>
      <c r="J69" s="269" t="s">
        <v>28</v>
      </c>
      <c r="K69" s="269" t="s">
        <v>28</v>
      </c>
      <c r="L69" s="269" t="s">
        <v>28</v>
      </c>
      <c r="M69" s="270" t="s">
        <v>28</v>
      </c>
      <c r="N69" s="269" t="s">
        <v>28</v>
      </c>
      <c r="O69" s="269" t="s">
        <v>28</v>
      </c>
      <c r="P69" s="269" t="s">
        <v>28</v>
      </c>
      <c r="Q69" s="269" t="s">
        <v>28</v>
      </c>
      <c r="R69" s="269" t="s">
        <v>28</v>
      </c>
      <c r="S69" s="269" t="s">
        <v>28</v>
      </c>
      <c r="T69" s="269" t="s">
        <v>28</v>
      </c>
      <c r="U69" s="269" t="s">
        <v>28</v>
      </c>
      <c r="V69" s="269" t="s">
        <v>28</v>
      </c>
      <c r="W69" s="269" t="s">
        <v>28</v>
      </c>
      <c r="X69" s="269" t="s">
        <v>28</v>
      </c>
      <c r="Y69" s="269" t="s">
        <v>28</v>
      </c>
      <c r="Z69" s="271" t="s">
        <v>28</v>
      </c>
    </row>
    <row r="70" spans="1:26" ht="9" customHeight="1" thickBot="1">
      <c r="A70" s="1587" t="s">
        <v>31</v>
      </c>
      <c r="B70" s="1533" t="s">
        <v>32</v>
      </c>
      <c r="C70" s="1588" t="s">
        <v>28</v>
      </c>
      <c r="D70" s="1588" t="s">
        <v>28</v>
      </c>
      <c r="E70" s="1588" t="s">
        <v>28</v>
      </c>
      <c r="F70" s="1588" t="s">
        <v>28</v>
      </c>
      <c r="G70" s="1588" t="s">
        <v>28</v>
      </c>
      <c r="H70" s="1588" t="s">
        <v>28</v>
      </c>
      <c r="I70" s="1588" t="s">
        <v>28</v>
      </c>
      <c r="J70" s="1588" t="s">
        <v>28</v>
      </c>
      <c r="K70" s="1588" t="s">
        <v>28</v>
      </c>
      <c r="L70" s="1588" t="s">
        <v>28</v>
      </c>
      <c r="M70" s="274" t="s">
        <v>28</v>
      </c>
      <c r="N70" s="1588" t="s">
        <v>28</v>
      </c>
      <c r="O70" s="1588" t="s">
        <v>28</v>
      </c>
      <c r="P70" s="1588" t="s">
        <v>28</v>
      </c>
      <c r="Q70" s="1588" t="s">
        <v>28</v>
      </c>
      <c r="R70" s="1588" t="s">
        <v>28</v>
      </c>
      <c r="S70" s="1588" t="s">
        <v>28</v>
      </c>
      <c r="T70" s="1588" t="s">
        <v>28</v>
      </c>
      <c r="U70" s="1588" t="s">
        <v>28</v>
      </c>
      <c r="V70" s="1588" t="s">
        <v>28</v>
      </c>
      <c r="W70" s="1588" t="s">
        <v>28</v>
      </c>
      <c r="X70" s="1588" t="s">
        <v>28</v>
      </c>
      <c r="Y70" s="1588" t="s">
        <v>28</v>
      </c>
      <c r="Z70" s="1589" t="s">
        <v>28</v>
      </c>
    </row>
    <row r="73" spans="1:26">
      <c r="A73" s="155"/>
    </row>
    <row r="74" spans="1:26">
      <c r="A74" s="615"/>
    </row>
    <row r="75" spans="1:26">
      <c r="A75" s="615"/>
    </row>
    <row r="76" spans="1:26">
      <c r="A76" s="615"/>
    </row>
  </sheetData>
  <mergeCells count="50">
    <mergeCell ref="A6:B6"/>
    <mergeCell ref="A7:B7"/>
    <mergeCell ref="A5:B5"/>
    <mergeCell ref="C6:D6"/>
    <mergeCell ref="C5:D5"/>
    <mergeCell ref="M2:Z2"/>
    <mergeCell ref="A3:L3"/>
    <mergeCell ref="M3:Z3"/>
    <mergeCell ref="A4:L4"/>
    <mergeCell ref="M4:Z4"/>
    <mergeCell ref="A2:L2"/>
    <mergeCell ref="E7:F7"/>
    <mergeCell ref="G7:H7"/>
    <mergeCell ref="C8:D8"/>
    <mergeCell ref="I8:J8"/>
    <mergeCell ref="E5:L5"/>
    <mergeCell ref="E6:L6"/>
    <mergeCell ref="K7:L7"/>
    <mergeCell ref="A40:L40"/>
    <mergeCell ref="M40:Z40"/>
    <mergeCell ref="S7:T7"/>
    <mergeCell ref="S8:T8"/>
    <mergeCell ref="Q8:R8"/>
    <mergeCell ref="O7:P7"/>
    <mergeCell ref="A10:B10"/>
    <mergeCell ref="U8:V8"/>
    <mergeCell ref="W8:X8"/>
    <mergeCell ref="A9:B9"/>
    <mergeCell ref="M8:N8"/>
    <mergeCell ref="O8:P8"/>
    <mergeCell ref="A14:L14"/>
    <mergeCell ref="M14:Z14"/>
    <mergeCell ref="U7:V7"/>
    <mergeCell ref="W7:X7"/>
    <mergeCell ref="U6:Z6"/>
    <mergeCell ref="U5:Z5"/>
    <mergeCell ref="Y7:Z7"/>
    <mergeCell ref="A24:L24"/>
    <mergeCell ref="M24:Z24"/>
    <mergeCell ref="A8:B8"/>
    <mergeCell ref="E8:F8"/>
    <mergeCell ref="G8:H8"/>
    <mergeCell ref="K8:L8"/>
    <mergeCell ref="C7:D7"/>
    <mergeCell ref="Q7:R7"/>
    <mergeCell ref="I7:J7"/>
    <mergeCell ref="Y8:Z8"/>
    <mergeCell ref="M7:N7"/>
    <mergeCell ref="M5:T5"/>
    <mergeCell ref="M6:T6"/>
  </mergeCells>
  <phoneticPr fontId="4" type="noConversion"/>
  <hyperlinks>
    <hyperlink ref="A1" location="목록!A1" display="목록!A1" xr:uid="{ECB05C1C-F352-4F1E-A2EB-203A460D41B5}"/>
  </hyperlinks>
  <printOptions horizontalCentered="1"/>
  <pageMargins left="0.59055118110236227" right="0.59055118110236227" top="0.78740157480314965" bottom="0.39370078740157483" header="0.62992125984251968" footer="0.39370078740157483"/>
  <pageSetup paperSize="9" scale="99" orientation="portrait" r:id="rId1"/>
  <colBreaks count="2" manualBreakCount="2">
    <brk id="12" min="1" max="69" man="1"/>
    <brk id="26" min="1" max="69" man="1"/>
  </col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I67"/>
  <sheetViews>
    <sheetView showGridLines="0" showWhiteSpace="0" view="pageBreakPreview" zoomScaleNormal="100" zoomScaleSheetLayoutView="100" workbookViewId="0">
      <selection activeCell="A2" sqref="A2:AH62"/>
    </sheetView>
  </sheetViews>
  <sheetFormatPr defaultRowHeight="16.5"/>
  <cols>
    <col min="1" max="2" width="7.33203125" style="152" customWidth="1"/>
    <col min="3" max="16" width="4.21875" style="152" customWidth="1"/>
    <col min="17" max="34" width="4.33203125" style="152" customWidth="1"/>
  </cols>
  <sheetData>
    <row r="1" spans="1:34" ht="22.5">
      <c r="A1" s="901" t="s">
        <v>1332</v>
      </c>
    </row>
    <row r="2" spans="1:34" s="3" customFormat="1" ht="13.5" customHeight="1">
      <c r="A2" s="1046" t="s">
        <v>1023</v>
      </c>
      <c r="B2" s="1046"/>
      <c r="C2" s="1046"/>
      <c r="D2" s="1046"/>
      <c r="E2" s="1046"/>
      <c r="F2" s="1046"/>
      <c r="G2" s="1046"/>
      <c r="H2" s="1046"/>
      <c r="I2" s="1046"/>
      <c r="J2" s="1046"/>
      <c r="K2" s="1046"/>
      <c r="L2" s="1046"/>
      <c r="M2" s="1046"/>
      <c r="N2" s="1046"/>
      <c r="O2" s="1046"/>
      <c r="P2" s="1046"/>
      <c r="Q2" s="1049" t="s">
        <v>1051</v>
      </c>
      <c r="R2" s="1049"/>
      <c r="S2" s="1049"/>
      <c r="T2" s="1049"/>
      <c r="U2" s="1049"/>
      <c r="V2" s="1049"/>
      <c r="W2" s="1049"/>
      <c r="X2" s="1049"/>
      <c r="Y2" s="1049"/>
      <c r="Z2" s="1049"/>
      <c r="AA2" s="1049"/>
      <c r="AB2" s="1049"/>
      <c r="AC2" s="1049"/>
      <c r="AD2" s="1049"/>
      <c r="AE2" s="1049"/>
      <c r="AF2" s="1049"/>
      <c r="AG2" s="1049"/>
      <c r="AH2" s="1049"/>
    </row>
    <row r="3" spans="1:34" s="12" customFormat="1" ht="22.5" customHeight="1">
      <c r="A3" s="1050" t="s">
        <v>942</v>
      </c>
      <c r="B3" s="1050"/>
      <c r="C3" s="1050"/>
      <c r="D3" s="1050"/>
      <c r="E3" s="1050"/>
      <c r="F3" s="1050"/>
      <c r="G3" s="1050"/>
      <c r="H3" s="1050"/>
      <c r="I3" s="1050"/>
      <c r="J3" s="1050"/>
      <c r="K3" s="1050"/>
      <c r="L3" s="1050"/>
      <c r="M3" s="1050"/>
      <c r="N3" s="1050"/>
      <c r="O3" s="1050"/>
      <c r="P3" s="1050"/>
      <c r="Q3" s="1050" t="s">
        <v>941</v>
      </c>
      <c r="R3" s="1050"/>
      <c r="S3" s="1050"/>
      <c r="T3" s="1050"/>
      <c r="U3" s="1050"/>
      <c r="V3" s="1050"/>
      <c r="W3" s="1050"/>
      <c r="X3" s="1050"/>
      <c r="Y3" s="1050"/>
      <c r="Z3" s="1050"/>
      <c r="AA3" s="1050"/>
      <c r="AB3" s="1050"/>
      <c r="AC3" s="1050"/>
      <c r="AD3" s="1050"/>
      <c r="AE3" s="1050"/>
      <c r="AF3" s="1050"/>
      <c r="AG3" s="1050"/>
      <c r="AH3" s="1050"/>
    </row>
    <row r="4" spans="1:34" ht="13.5" customHeight="1" thickBot="1">
      <c r="A4" s="1170" t="s">
        <v>1340</v>
      </c>
      <c r="B4" s="1170"/>
      <c r="C4" s="1170"/>
      <c r="D4" s="1170"/>
      <c r="E4" s="1170"/>
      <c r="F4" s="1170"/>
      <c r="G4" s="1170"/>
      <c r="H4" s="1170"/>
      <c r="I4" s="1170"/>
      <c r="J4" s="1170"/>
      <c r="K4" s="1170"/>
      <c r="L4" s="1170"/>
      <c r="M4" s="1170"/>
      <c r="N4" s="1170"/>
      <c r="O4" s="1170"/>
      <c r="P4" s="1170"/>
      <c r="Q4" s="1171"/>
      <c r="R4" s="1171"/>
      <c r="S4" s="1171"/>
      <c r="T4" s="1171"/>
      <c r="U4" s="1171"/>
      <c r="V4" s="1171"/>
      <c r="W4" s="1171"/>
      <c r="X4" s="1171"/>
      <c r="Y4" s="1171"/>
      <c r="Z4" s="1171"/>
      <c r="AA4" s="1171"/>
      <c r="AB4" s="1171"/>
      <c r="AC4" s="1171"/>
      <c r="AD4" s="1171"/>
      <c r="AE4" s="1171"/>
      <c r="AF4" s="1171"/>
      <c r="AG4" s="1171"/>
      <c r="AH4" s="1171"/>
    </row>
    <row r="5" spans="1:34" ht="12" customHeight="1">
      <c r="A5" s="1164" t="s">
        <v>1213</v>
      </c>
      <c r="B5" s="1165"/>
      <c r="C5" s="1166" t="s">
        <v>671</v>
      </c>
      <c r="D5" s="1165"/>
      <c r="E5" s="1166" t="s">
        <v>396</v>
      </c>
      <c r="F5" s="1164"/>
      <c r="G5" s="1164"/>
      <c r="H5" s="1164"/>
      <c r="I5" s="1164"/>
      <c r="J5" s="1165"/>
      <c r="K5" s="1166" t="s">
        <v>436</v>
      </c>
      <c r="L5" s="1164"/>
      <c r="M5" s="1167"/>
      <c r="N5" s="1167"/>
      <c r="O5" s="1167"/>
      <c r="P5" s="1167"/>
      <c r="Q5" s="1164" t="s">
        <v>436</v>
      </c>
      <c r="R5" s="1164"/>
      <c r="S5" s="1164"/>
      <c r="T5" s="1164"/>
      <c r="U5" s="1164"/>
      <c r="V5" s="1164"/>
      <c r="W5" s="1164"/>
      <c r="X5" s="1164"/>
      <c r="Y5" s="1164"/>
      <c r="Z5" s="1164"/>
      <c r="AA5" s="1164"/>
      <c r="AB5" s="1164"/>
      <c r="AC5" s="1164"/>
      <c r="AD5" s="1164"/>
      <c r="AE5" s="1164"/>
      <c r="AF5" s="1164"/>
      <c r="AG5" s="1164"/>
      <c r="AH5" s="1164"/>
    </row>
    <row r="6" spans="1:34" ht="10.5" customHeight="1">
      <c r="A6" s="1597" t="s">
        <v>7</v>
      </c>
      <c r="B6" s="1168"/>
      <c r="C6" s="1598" t="s">
        <v>16</v>
      </c>
      <c r="D6" s="1168"/>
      <c r="E6" s="1161" t="s">
        <v>509</v>
      </c>
      <c r="F6" s="1169"/>
      <c r="G6" s="1169"/>
      <c r="H6" s="1169"/>
      <c r="I6" s="1169"/>
      <c r="J6" s="1162"/>
      <c r="K6" s="1161" t="s">
        <v>510</v>
      </c>
      <c r="L6" s="1169"/>
      <c r="M6" s="1169"/>
      <c r="N6" s="1169"/>
      <c r="O6" s="1169"/>
      <c r="P6" s="1169"/>
      <c r="Q6" s="1169" t="s">
        <v>510</v>
      </c>
      <c r="R6" s="1169"/>
      <c r="S6" s="1169"/>
      <c r="T6" s="1169"/>
      <c r="U6" s="1169"/>
      <c r="V6" s="1169"/>
      <c r="W6" s="1169"/>
      <c r="X6" s="1169"/>
      <c r="Y6" s="1169"/>
      <c r="Z6" s="1169"/>
      <c r="AA6" s="1169"/>
      <c r="AB6" s="1169"/>
      <c r="AC6" s="1169"/>
      <c r="AD6" s="1169"/>
      <c r="AE6" s="1169"/>
      <c r="AF6" s="1169"/>
      <c r="AG6" s="1169"/>
      <c r="AH6" s="1169"/>
    </row>
    <row r="7" spans="1:34" s="5" customFormat="1" ht="12" customHeight="1">
      <c r="A7" s="1599" t="s">
        <v>397</v>
      </c>
      <c r="B7" s="1157"/>
      <c r="C7" s="1600" t="s">
        <v>397</v>
      </c>
      <c r="D7" s="1163"/>
      <c r="E7" s="1601" t="s">
        <v>453</v>
      </c>
      <c r="F7" s="1602"/>
      <c r="G7" s="1601" t="s">
        <v>398</v>
      </c>
      <c r="H7" s="1602"/>
      <c r="I7" s="1601" t="s">
        <v>399</v>
      </c>
      <c r="J7" s="1602"/>
      <c r="K7" s="1601" t="s">
        <v>400</v>
      </c>
      <c r="L7" s="1602"/>
      <c r="M7" s="1601" t="s">
        <v>401</v>
      </c>
      <c r="N7" s="1602"/>
      <c r="O7" s="1601" t="s">
        <v>402</v>
      </c>
      <c r="P7" s="1602"/>
      <c r="Q7" s="1601" t="s">
        <v>403</v>
      </c>
      <c r="R7" s="1602"/>
      <c r="S7" s="1601" t="s">
        <v>404</v>
      </c>
      <c r="T7" s="1602"/>
      <c r="U7" s="1601" t="s">
        <v>405</v>
      </c>
      <c r="V7" s="1602"/>
      <c r="W7" s="1601" t="s">
        <v>406</v>
      </c>
      <c r="X7" s="1602"/>
      <c r="Y7" s="1601" t="s">
        <v>407</v>
      </c>
      <c r="Z7" s="1602"/>
      <c r="AA7" s="1601" t="s">
        <v>408</v>
      </c>
      <c r="AB7" s="1602"/>
      <c r="AC7" s="1601" t="s">
        <v>409</v>
      </c>
      <c r="AD7" s="1602"/>
      <c r="AE7" s="1601" t="s">
        <v>298</v>
      </c>
      <c r="AF7" s="1602"/>
      <c r="AG7" s="1601" t="s">
        <v>410</v>
      </c>
      <c r="AH7" s="1158"/>
    </row>
    <row r="8" spans="1:34" ht="19.5" customHeight="1">
      <c r="A8" s="1599"/>
      <c r="B8" s="1157"/>
      <c r="C8" s="1159" t="s">
        <v>397</v>
      </c>
      <c r="D8" s="1160"/>
      <c r="E8" s="1161" t="s">
        <v>454</v>
      </c>
      <c r="F8" s="1162"/>
      <c r="G8" s="1161" t="s">
        <v>420</v>
      </c>
      <c r="H8" s="1162"/>
      <c r="I8" s="1154" t="s">
        <v>511</v>
      </c>
      <c r="J8" s="1155"/>
      <c r="K8" s="1154" t="s">
        <v>507</v>
      </c>
      <c r="L8" s="1155"/>
      <c r="M8" s="1154" t="s">
        <v>421</v>
      </c>
      <c r="N8" s="1155"/>
      <c r="O8" s="1154" t="s">
        <v>422</v>
      </c>
      <c r="P8" s="1155"/>
      <c r="Q8" s="1154" t="s">
        <v>423</v>
      </c>
      <c r="R8" s="1155"/>
      <c r="S8" s="1154" t="s">
        <v>424</v>
      </c>
      <c r="T8" s="1155"/>
      <c r="U8" s="1154" t="s">
        <v>541</v>
      </c>
      <c r="V8" s="1155"/>
      <c r="W8" s="1154" t="s">
        <v>508</v>
      </c>
      <c r="X8" s="1155"/>
      <c r="Y8" s="1154" t="s">
        <v>1214</v>
      </c>
      <c r="Z8" s="1155"/>
      <c r="AA8" s="1154" t="s">
        <v>425</v>
      </c>
      <c r="AB8" s="1155"/>
      <c r="AC8" s="1154" t="s">
        <v>512</v>
      </c>
      <c r="AD8" s="1155"/>
      <c r="AE8" s="1154" t="s">
        <v>150</v>
      </c>
      <c r="AF8" s="1155"/>
      <c r="AG8" s="1154" t="s">
        <v>426</v>
      </c>
      <c r="AH8" s="1156"/>
    </row>
    <row r="9" spans="1:34" ht="11.25" customHeight="1">
      <c r="A9" s="1603"/>
      <c r="B9" s="937"/>
      <c r="C9" s="920" t="s">
        <v>13</v>
      </c>
      <c r="D9" s="920" t="s">
        <v>23</v>
      </c>
      <c r="E9" s="920" t="s">
        <v>13</v>
      </c>
      <c r="F9" s="920" t="s">
        <v>23</v>
      </c>
      <c r="G9" s="920" t="s">
        <v>13</v>
      </c>
      <c r="H9" s="920" t="s">
        <v>23</v>
      </c>
      <c r="I9" s="920" t="s">
        <v>13</v>
      </c>
      <c r="J9" s="920" t="s">
        <v>23</v>
      </c>
      <c r="K9" s="920" t="s">
        <v>13</v>
      </c>
      <c r="L9" s="920" t="s">
        <v>23</v>
      </c>
      <c r="M9" s="920" t="s">
        <v>13</v>
      </c>
      <c r="N9" s="920" t="s">
        <v>23</v>
      </c>
      <c r="O9" s="920" t="s">
        <v>13</v>
      </c>
      <c r="P9" s="920" t="s">
        <v>23</v>
      </c>
      <c r="Q9" s="278" t="s">
        <v>13</v>
      </c>
      <c r="R9" s="920" t="s">
        <v>23</v>
      </c>
      <c r="S9" s="920" t="s">
        <v>13</v>
      </c>
      <c r="T9" s="920" t="s">
        <v>23</v>
      </c>
      <c r="U9" s="920" t="s">
        <v>13</v>
      </c>
      <c r="V9" s="920" t="s">
        <v>23</v>
      </c>
      <c r="W9" s="920" t="s">
        <v>13</v>
      </c>
      <c r="X9" s="920" t="s">
        <v>23</v>
      </c>
      <c r="Y9" s="920" t="s">
        <v>13</v>
      </c>
      <c r="Z9" s="920" t="s">
        <v>23</v>
      </c>
      <c r="AA9" s="920" t="s">
        <v>13</v>
      </c>
      <c r="AB9" s="920" t="s">
        <v>23</v>
      </c>
      <c r="AC9" s="920" t="s">
        <v>13</v>
      </c>
      <c r="AD9" s="920" t="s">
        <v>23</v>
      </c>
      <c r="AE9" s="920" t="s">
        <v>13</v>
      </c>
      <c r="AF9" s="920" t="s">
        <v>23</v>
      </c>
      <c r="AG9" s="1604" t="s">
        <v>13</v>
      </c>
      <c r="AH9" s="934" t="s">
        <v>23</v>
      </c>
    </row>
    <row r="10" spans="1:34" ht="11.25" customHeight="1">
      <c r="A10" s="279"/>
      <c r="B10" s="280"/>
      <c r="C10" s="923" t="s">
        <v>25</v>
      </c>
      <c r="D10" s="923" t="s">
        <v>26</v>
      </c>
      <c r="E10" s="923" t="s">
        <v>25</v>
      </c>
      <c r="F10" s="923" t="s">
        <v>26</v>
      </c>
      <c r="G10" s="923" t="s">
        <v>25</v>
      </c>
      <c r="H10" s="923" t="s">
        <v>26</v>
      </c>
      <c r="I10" s="923" t="s">
        <v>25</v>
      </c>
      <c r="J10" s="923" t="s">
        <v>26</v>
      </c>
      <c r="K10" s="923" t="s">
        <v>25</v>
      </c>
      <c r="L10" s="923" t="s">
        <v>26</v>
      </c>
      <c r="M10" s="923" t="s">
        <v>25</v>
      </c>
      <c r="N10" s="923" t="s">
        <v>26</v>
      </c>
      <c r="O10" s="923" t="s">
        <v>25</v>
      </c>
      <c r="P10" s="936" t="s">
        <v>26</v>
      </c>
      <c r="Q10" s="281" t="s">
        <v>25</v>
      </c>
      <c r="R10" s="923" t="s">
        <v>26</v>
      </c>
      <c r="S10" s="923" t="s">
        <v>25</v>
      </c>
      <c r="T10" s="923" t="s">
        <v>26</v>
      </c>
      <c r="U10" s="923" t="s">
        <v>25</v>
      </c>
      <c r="V10" s="923" t="s">
        <v>26</v>
      </c>
      <c r="W10" s="923" t="s">
        <v>25</v>
      </c>
      <c r="X10" s="923" t="s">
        <v>26</v>
      </c>
      <c r="Y10" s="923" t="s">
        <v>25</v>
      </c>
      <c r="Z10" s="923" t="s">
        <v>26</v>
      </c>
      <c r="AA10" s="923" t="s">
        <v>25</v>
      </c>
      <c r="AB10" s="923" t="s">
        <v>26</v>
      </c>
      <c r="AC10" s="923" t="s">
        <v>25</v>
      </c>
      <c r="AD10" s="923" t="s">
        <v>26</v>
      </c>
      <c r="AE10" s="923" t="s">
        <v>25</v>
      </c>
      <c r="AF10" s="923" t="s">
        <v>26</v>
      </c>
      <c r="AG10" s="282" t="s">
        <v>25</v>
      </c>
      <c r="AH10" s="922" t="s">
        <v>26</v>
      </c>
    </row>
    <row r="11" spans="1:34" ht="11.85" customHeight="1">
      <c r="A11" s="283" t="s">
        <v>27</v>
      </c>
      <c r="B11" s="1605" t="s">
        <v>16</v>
      </c>
      <c r="C11" s="284">
        <v>185</v>
      </c>
      <c r="D11" s="285">
        <v>95</v>
      </c>
      <c r="E11" s="285">
        <v>98</v>
      </c>
      <c r="F11" s="285">
        <v>49</v>
      </c>
      <c r="G11" s="285">
        <v>28</v>
      </c>
      <c r="H11" s="285">
        <v>15</v>
      </c>
      <c r="I11" s="285">
        <v>59</v>
      </c>
      <c r="J11" s="285">
        <v>31</v>
      </c>
      <c r="K11" s="285">
        <v>37</v>
      </c>
      <c r="L11" s="285">
        <v>21</v>
      </c>
      <c r="M11" s="285">
        <v>34</v>
      </c>
      <c r="N11" s="285">
        <v>18</v>
      </c>
      <c r="O11" s="285">
        <v>4</v>
      </c>
      <c r="P11" s="286">
        <v>3</v>
      </c>
      <c r="Q11" s="284">
        <v>6</v>
      </c>
      <c r="R11" s="285">
        <v>6</v>
      </c>
      <c r="S11" s="285">
        <v>20</v>
      </c>
      <c r="T11" s="285">
        <v>9</v>
      </c>
      <c r="U11" s="285">
        <v>6</v>
      </c>
      <c r="V11" s="285">
        <v>4</v>
      </c>
      <c r="W11" s="285">
        <v>5</v>
      </c>
      <c r="X11" s="285">
        <v>3</v>
      </c>
      <c r="Y11" s="285">
        <v>2</v>
      </c>
      <c r="Z11" s="285">
        <v>1</v>
      </c>
      <c r="AA11" s="285">
        <v>2</v>
      </c>
      <c r="AB11" s="285">
        <v>1</v>
      </c>
      <c r="AC11" s="285">
        <v>61</v>
      </c>
      <c r="AD11" s="285">
        <v>27</v>
      </c>
      <c r="AE11" s="285">
        <v>8</v>
      </c>
      <c r="AF11" s="285">
        <v>2</v>
      </c>
      <c r="AG11" s="285" t="s">
        <v>28</v>
      </c>
      <c r="AH11" s="1606" t="s">
        <v>28</v>
      </c>
    </row>
    <row r="12" spans="1:34" ht="11.85" customHeight="1">
      <c r="A12" s="310" t="s">
        <v>411</v>
      </c>
      <c r="B12" s="287" t="s">
        <v>30</v>
      </c>
      <c r="C12" s="1607">
        <v>184</v>
      </c>
      <c r="D12" s="289">
        <v>94</v>
      </c>
      <c r="E12" s="289">
        <v>97</v>
      </c>
      <c r="F12" s="289">
        <v>48</v>
      </c>
      <c r="G12" s="289">
        <v>28</v>
      </c>
      <c r="H12" s="289">
        <v>15</v>
      </c>
      <c r="I12" s="289">
        <v>59</v>
      </c>
      <c r="J12" s="289">
        <v>31</v>
      </c>
      <c r="K12" s="289">
        <v>36</v>
      </c>
      <c r="L12" s="289">
        <v>20</v>
      </c>
      <c r="M12" s="289">
        <v>34</v>
      </c>
      <c r="N12" s="289">
        <v>18</v>
      </c>
      <c r="O12" s="289">
        <v>4</v>
      </c>
      <c r="P12" s="290">
        <v>3</v>
      </c>
      <c r="Q12" s="1607">
        <v>6</v>
      </c>
      <c r="R12" s="289">
        <v>6</v>
      </c>
      <c r="S12" s="289">
        <v>20</v>
      </c>
      <c r="T12" s="289">
        <v>9</v>
      </c>
      <c r="U12" s="289">
        <v>6</v>
      </c>
      <c r="V12" s="289">
        <v>4</v>
      </c>
      <c r="W12" s="289">
        <v>5</v>
      </c>
      <c r="X12" s="289">
        <v>3</v>
      </c>
      <c r="Y12" s="289">
        <v>2</v>
      </c>
      <c r="Z12" s="289">
        <v>1</v>
      </c>
      <c r="AA12" s="289">
        <v>2</v>
      </c>
      <c r="AB12" s="289">
        <v>1</v>
      </c>
      <c r="AC12" s="289">
        <v>61</v>
      </c>
      <c r="AD12" s="289">
        <v>27</v>
      </c>
      <c r="AE12" s="289">
        <v>8</v>
      </c>
      <c r="AF12" s="289">
        <v>2</v>
      </c>
      <c r="AG12" s="289" t="s">
        <v>28</v>
      </c>
      <c r="AH12" s="291" t="s">
        <v>28</v>
      </c>
    </row>
    <row r="13" spans="1:34" ht="11.85" customHeight="1" thickBot="1">
      <c r="A13" s="1608" t="s">
        <v>412</v>
      </c>
      <c r="B13" s="1609" t="s">
        <v>32</v>
      </c>
      <c r="C13" s="1610">
        <v>1</v>
      </c>
      <c r="D13" s="1611">
        <v>1</v>
      </c>
      <c r="E13" s="1611">
        <v>1</v>
      </c>
      <c r="F13" s="1611">
        <v>1</v>
      </c>
      <c r="G13" s="1611" t="s">
        <v>28</v>
      </c>
      <c r="H13" s="1611" t="s">
        <v>28</v>
      </c>
      <c r="I13" s="1611" t="s">
        <v>28</v>
      </c>
      <c r="J13" s="1611" t="s">
        <v>28</v>
      </c>
      <c r="K13" s="1611">
        <v>1</v>
      </c>
      <c r="L13" s="1611">
        <v>1</v>
      </c>
      <c r="M13" s="1611" t="s">
        <v>28</v>
      </c>
      <c r="N13" s="1611" t="s">
        <v>28</v>
      </c>
      <c r="O13" s="1611" t="s">
        <v>28</v>
      </c>
      <c r="P13" s="1612" t="s">
        <v>28</v>
      </c>
      <c r="Q13" s="1610" t="s">
        <v>28</v>
      </c>
      <c r="R13" s="1611" t="s">
        <v>28</v>
      </c>
      <c r="S13" s="1611" t="s">
        <v>28</v>
      </c>
      <c r="T13" s="1611" t="s">
        <v>28</v>
      </c>
      <c r="U13" s="1611" t="s">
        <v>28</v>
      </c>
      <c r="V13" s="1611" t="s">
        <v>28</v>
      </c>
      <c r="W13" s="1611" t="s">
        <v>28</v>
      </c>
      <c r="X13" s="1611" t="s">
        <v>28</v>
      </c>
      <c r="Y13" s="1611" t="s">
        <v>28</v>
      </c>
      <c r="Z13" s="1611" t="s">
        <v>28</v>
      </c>
      <c r="AA13" s="1611" t="s">
        <v>28</v>
      </c>
      <c r="AB13" s="1611" t="s">
        <v>28</v>
      </c>
      <c r="AC13" s="1611" t="s">
        <v>28</v>
      </c>
      <c r="AD13" s="1611" t="s">
        <v>28</v>
      </c>
      <c r="AE13" s="1611" t="s">
        <v>28</v>
      </c>
      <c r="AF13" s="1611" t="s">
        <v>28</v>
      </c>
      <c r="AG13" s="1611" t="s">
        <v>28</v>
      </c>
      <c r="AH13" s="1613" t="s">
        <v>28</v>
      </c>
    </row>
    <row r="14" spans="1:34" ht="13.5" customHeight="1" thickBot="1">
      <c r="A14" s="1614" t="s">
        <v>363</v>
      </c>
      <c r="B14" s="1614"/>
      <c r="C14" s="1614"/>
      <c r="D14" s="1614"/>
      <c r="E14" s="1614"/>
      <c r="F14" s="1614"/>
      <c r="G14" s="1614"/>
      <c r="H14" s="1614"/>
      <c r="I14" s="1614"/>
      <c r="J14" s="1614"/>
      <c r="K14" s="1614"/>
      <c r="L14" s="1614"/>
      <c r="M14" s="1614"/>
      <c r="N14" s="1614"/>
      <c r="O14" s="1614"/>
      <c r="P14" s="1614"/>
      <c r="Q14" s="1614" t="s">
        <v>34</v>
      </c>
      <c r="R14" s="1614"/>
      <c r="S14" s="1614"/>
      <c r="T14" s="1614"/>
      <c r="U14" s="1614"/>
      <c r="V14" s="1614"/>
      <c r="W14" s="1614"/>
      <c r="X14" s="1614"/>
      <c r="Y14" s="1614"/>
      <c r="Z14" s="1614"/>
      <c r="AA14" s="1614"/>
      <c r="AB14" s="1614"/>
      <c r="AC14" s="1614"/>
      <c r="AD14" s="1614"/>
      <c r="AE14" s="1614"/>
      <c r="AF14" s="1614"/>
      <c r="AG14" s="1614"/>
      <c r="AH14" s="1614"/>
    </row>
    <row r="15" spans="1:34" ht="11.85" customHeight="1">
      <c r="A15" s="1615" t="s">
        <v>35</v>
      </c>
      <c r="B15" s="292" t="s">
        <v>36</v>
      </c>
      <c r="C15" s="293">
        <v>15</v>
      </c>
      <c r="D15" s="293">
        <v>6</v>
      </c>
      <c r="E15" s="293">
        <v>5</v>
      </c>
      <c r="F15" s="293">
        <v>2</v>
      </c>
      <c r="G15" s="293">
        <v>5</v>
      </c>
      <c r="H15" s="293">
        <v>2</v>
      </c>
      <c r="I15" s="293">
        <v>5</v>
      </c>
      <c r="J15" s="293">
        <v>2</v>
      </c>
      <c r="K15" s="293">
        <v>5</v>
      </c>
      <c r="L15" s="293">
        <v>2</v>
      </c>
      <c r="M15" s="293">
        <v>5</v>
      </c>
      <c r="N15" s="293">
        <v>2</v>
      </c>
      <c r="O15" s="293" t="s">
        <v>28</v>
      </c>
      <c r="P15" s="324" t="s">
        <v>28</v>
      </c>
      <c r="Q15" s="324" t="s">
        <v>28</v>
      </c>
      <c r="R15" s="293" t="s">
        <v>28</v>
      </c>
      <c r="S15" s="293" t="s">
        <v>28</v>
      </c>
      <c r="T15" s="293" t="s">
        <v>28</v>
      </c>
      <c r="U15" s="293" t="s">
        <v>28</v>
      </c>
      <c r="V15" s="293" t="s">
        <v>28</v>
      </c>
      <c r="W15" s="293">
        <v>1</v>
      </c>
      <c r="X15" s="293">
        <v>1</v>
      </c>
      <c r="Y15" s="293" t="s">
        <v>28</v>
      </c>
      <c r="Z15" s="293" t="s">
        <v>28</v>
      </c>
      <c r="AA15" s="293" t="s">
        <v>28</v>
      </c>
      <c r="AB15" s="293" t="s">
        <v>28</v>
      </c>
      <c r="AC15" s="293">
        <v>4</v>
      </c>
      <c r="AD15" s="293">
        <v>1</v>
      </c>
      <c r="AE15" s="293" t="s">
        <v>28</v>
      </c>
      <c r="AF15" s="293" t="s">
        <v>28</v>
      </c>
      <c r="AG15" s="293" t="s">
        <v>28</v>
      </c>
      <c r="AH15" s="873" t="s">
        <v>28</v>
      </c>
    </row>
    <row r="16" spans="1:34" ht="11.85" customHeight="1">
      <c r="A16" s="1616" t="s">
        <v>29</v>
      </c>
      <c r="B16" s="294" t="s">
        <v>673</v>
      </c>
      <c r="C16" s="295">
        <v>15</v>
      </c>
      <c r="D16" s="296">
        <v>6</v>
      </c>
      <c r="E16" s="296">
        <v>5</v>
      </c>
      <c r="F16" s="296">
        <v>2</v>
      </c>
      <c r="G16" s="296">
        <v>5</v>
      </c>
      <c r="H16" s="296">
        <v>2</v>
      </c>
      <c r="I16" s="296">
        <v>5</v>
      </c>
      <c r="J16" s="296">
        <v>2</v>
      </c>
      <c r="K16" s="296">
        <v>5</v>
      </c>
      <c r="L16" s="296">
        <v>2</v>
      </c>
      <c r="M16" s="296">
        <v>5</v>
      </c>
      <c r="N16" s="296">
        <v>2</v>
      </c>
      <c r="O16" s="296" t="s">
        <v>28</v>
      </c>
      <c r="P16" s="296" t="s">
        <v>28</v>
      </c>
      <c r="Q16" s="296" t="s">
        <v>28</v>
      </c>
      <c r="R16" s="296" t="s">
        <v>28</v>
      </c>
      <c r="S16" s="296" t="s">
        <v>28</v>
      </c>
      <c r="T16" s="296" t="s">
        <v>28</v>
      </c>
      <c r="U16" s="296" t="s">
        <v>28</v>
      </c>
      <c r="V16" s="296" t="s">
        <v>28</v>
      </c>
      <c r="W16" s="289">
        <v>1</v>
      </c>
      <c r="X16" s="289">
        <v>1</v>
      </c>
      <c r="Y16" s="289" t="s">
        <v>28</v>
      </c>
      <c r="Z16" s="289" t="s">
        <v>28</v>
      </c>
      <c r="AA16" s="296" t="s">
        <v>28</v>
      </c>
      <c r="AB16" s="296" t="s">
        <v>28</v>
      </c>
      <c r="AC16" s="296">
        <v>4</v>
      </c>
      <c r="AD16" s="296">
        <v>1</v>
      </c>
      <c r="AE16" s="296" t="s">
        <v>28</v>
      </c>
      <c r="AF16" s="296" t="s">
        <v>28</v>
      </c>
      <c r="AG16" s="296" t="s">
        <v>28</v>
      </c>
      <c r="AH16" s="297" t="s">
        <v>28</v>
      </c>
    </row>
    <row r="17" spans="1:34" ht="11.85" customHeight="1">
      <c r="A17" s="1616" t="s">
        <v>31</v>
      </c>
      <c r="B17" s="294" t="s">
        <v>32</v>
      </c>
      <c r="C17" s="295" t="s">
        <v>28</v>
      </c>
      <c r="D17" s="296" t="s">
        <v>28</v>
      </c>
      <c r="E17" s="296" t="s">
        <v>28</v>
      </c>
      <c r="F17" s="296" t="s">
        <v>28</v>
      </c>
      <c r="G17" s="296" t="s">
        <v>28</v>
      </c>
      <c r="H17" s="296" t="s">
        <v>28</v>
      </c>
      <c r="I17" s="289" t="s">
        <v>28</v>
      </c>
      <c r="J17" s="289" t="s">
        <v>28</v>
      </c>
      <c r="K17" s="296" t="s">
        <v>28</v>
      </c>
      <c r="L17" s="296" t="s">
        <v>28</v>
      </c>
      <c r="M17" s="289" t="s">
        <v>28</v>
      </c>
      <c r="N17" s="289" t="s">
        <v>28</v>
      </c>
      <c r="O17" s="289" t="s">
        <v>28</v>
      </c>
      <c r="P17" s="289" t="s">
        <v>28</v>
      </c>
      <c r="Q17" s="289" t="s">
        <v>28</v>
      </c>
      <c r="R17" s="289" t="s">
        <v>28</v>
      </c>
      <c r="S17" s="296" t="s">
        <v>28</v>
      </c>
      <c r="T17" s="296" t="s">
        <v>28</v>
      </c>
      <c r="U17" s="289" t="s">
        <v>28</v>
      </c>
      <c r="V17" s="289" t="s">
        <v>28</v>
      </c>
      <c r="W17" s="296" t="s">
        <v>28</v>
      </c>
      <c r="X17" s="296" t="s">
        <v>28</v>
      </c>
      <c r="Y17" s="289" t="s">
        <v>28</v>
      </c>
      <c r="Z17" s="289" t="s">
        <v>28</v>
      </c>
      <c r="AA17" s="289" t="s">
        <v>28</v>
      </c>
      <c r="AB17" s="289" t="s">
        <v>28</v>
      </c>
      <c r="AC17" s="296" t="s">
        <v>28</v>
      </c>
      <c r="AD17" s="296" t="s">
        <v>28</v>
      </c>
      <c r="AE17" s="289" t="s">
        <v>28</v>
      </c>
      <c r="AF17" s="289" t="s">
        <v>28</v>
      </c>
      <c r="AG17" s="289" t="s">
        <v>28</v>
      </c>
      <c r="AH17" s="291" t="s">
        <v>28</v>
      </c>
    </row>
    <row r="18" spans="1:34" ht="11.85" customHeight="1">
      <c r="A18" s="1617" t="s">
        <v>37</v>
      </c>
      <c r="B18" s="298" t="s">
        <v>38</v>
      </c>
      <c r="C18" s="1618">
        <v>22</v>
      </c>
      <c r="D18" s="1618">
        <v>11</v>
      </c>
      <c r="E18" s="1618">
        <v>16</v>
      </c>
      <c r="F18" s="1618">
        <v>8</v>
      </c>
      <c r="G18" s="1618" t="s">
        <v>28</v>
      </c>
      <c r="H18" s="1618" t="s">
        <v>28</v>
      </c>
      <c r="I18" s="1618">
        <v>6</v>
      </c>
      <c r="J18" s="1618">
        <v>3</v>
      </c>
      <c r="K18" s="1618">
        <v>3</v>
      </c>
      <c r="L18" s="1618">
        <v>2</v>
      </c>
      <c r="M18" s="1618">
        <v>5</v>
      </c>
      <c r="N18" s="1618">
        <v>1</v>
      </c>
      <c r="O18" s="1618">
        <v>2</v>
      </c>
      <c r="P18" s="313">
        <v>2</v>
      </c>
      <c r="Q18" s="313">
        <v>2</v>
      </c>
      <c r="R18" s="1618">
        <v>2</v>
      </c>
      <c r="S18" s="1618">
        <v>5</v>
      </c>
      <c r="T18" s="1618">
        <v>2</v>
      </c>
      <c r="U18" s="1618" t="s">
        <v>28</v>
      </c>
      <c r="V18" s="1618" t="s">
        <v>28</v>
      </c>
      <c r="W18" s="1618" t="s">
        <v>28</v>
      </c>
      <c r="X18" s="1618" t="s">
        <v>28</v>
      </c>
      <c r="Y18" s="1618" t="s">
        <v>28</v>
      </c>
      <c r="Z18" s="1618" t="s">
        <v>28</v>
      </c>
      <c r="AA18" s="1618" t="s">
        <v>28</v>
      </c>
      <c r="AB18" s="1618" t="s">
        <v>28</v>
      </c>
      <c r="AC18" s="1618">
        <v>4</v>
      </c>
      <c r="AD18" s="1618">
        <v>2</v>
      </c>
      <c r="AE18" s="1618">
        <v>1</v>
      </c>
      <c r="AF18" s="1618" t="s">
        <v>28</v>
      </c>
      <c r="AG18" s="1618" t="s">
        <v>28</v>
      </c>
      <c r="AH18" s="315" t="s">
        <v>28</v>
      </c>
    </row>
    <row r="19" spans="1:34" ht="11.85" customHeight="1">
      <c r="A19" s="1616" t="s">
        <v>29</v>
      </c>
      <c r="B19" s="294" t="s">
        <v>30</v>
      </c>
      <c r="C19" s="300">
        <v>22</v>
      </c>
      <c r="D19" s="289">
        <v>11</v>
      </c>
      <c r="E19" s="289">
        <v>16</v>
      </c>
      <c r="F19" s="289">
        <v>8</v>
      </c>
      <c r="G19" s="289" t="s">
        <v>28</v>
      </c>
      <c r="H19" s="289" t="s">
        <v>28</v>
      </c>
      <c r="I19" s="289">
        <v>6</v>
      </c>
      <c r="J19" s="289">
        <v>3</v>
      </c>
      <c r="K19" s="289">
        <v>3</v>
      </c>
      <c r="L19" s="289">
        <v>2</v>
      </c>
      <c r="M19" s="289">
        <v>5</v>
      </c>
      <c r="N19" s="289">
        <v>1</v>
      </c>
      <c r="O19" s="289">
        <v>2</v>
      </c>
      <c r="P19" s="289">
        <v>2</v>
      </c>
      <c r="Q19" s="289">
        <v>2</v>
      </c>
      <c r="R19" s="289">
        <v>2</v>
      </c>
      <c r="S19" s="289">
        <v>5</v>
      </c>
      <c r="T19" s="289">
        <v>2</v>
      </c>
      <c r="U19" s="289" t="s">
        <v>28</v>
      </c>
      <c r="V19" s="289" t="s">
        <v>28</v>
      </c>
      <c r="W19" s="289" t="s">
        <v>28</v>
      </c>
      <c r="X19" s="289" t="s">
        <v>28</v>
      </c>
      <c r="Y19" s="289" t="s">
        <v>28</v>
      </c>
      <c r="Z19" s="289" t="s">
        <v>28</v>
      </c>
      <c r="AA19" s="289" t="s">
        <v>28</v>
      </c>
      <c r="AB19" s="289" t="s">
        <v>28</v>
      </c>
      <c r="AC19" s="289">
        <v>4</v>
      </c>
      <c r="AD19" s="289">
        <v>2</v>
      </c>
      <c r="AE19" s="289">
        <v>1</v>
      </c>
      <c r="AF19" s="289" t="s">
        <v>28</v>
      </c>
      <c r="AG19" s="289" t="s">
        <v>28</v>
      </c>
      <c r="AH19" s="291" t="s">
        <v>28</v>
      </c>
    </row>
    <row r="20" spans="1:34" ht="11.85" customHeight="1">
      <c r="A20" s="1616" t="s">
        <v>31</v>
      </c>
      <c r="B20" s="1619" t="s">
        <v>32</v>
      </c>
      <c r="C20" s="289" t="s">
        <v>28</v>
      </c>
      <c r="D20" s="289" t="s">
        <v>28</v>
      </c>
      <c r="E20" s="289" t="s">
        <v>28</v>
      </c>
      <c r="F20" s="289" t="s">
        <v>28</v>
      </c>
      <c r="G20" s="289" t="s">
        <v>28</v>
      </c>
      <c r="H20" s="289" t="s">
        <v>28</v>
      </c>
      <c r="I20" s="289" t="s">
        <v>28</v>
      </c>
      <c r="J20" s="289" t="s">
        <v>28</v>
      </c>
      <c r="K20" s="289" t="s">
        <v>28</v>
      </c>
      <c r="L20" s="289" t="s">
        <v>28</v>
      </c>
      <c r="M20" s="289" t="s">
        <v>28</v>
      </c>
      <c r="N20" s="289" t="s">
        <v>28</v>
      </c>
      <c r="O20" s="289" t="s">
        <v>28</v>
      </c>
      <c r="P20" s="289" t="s">
        <v>28</v>
      </c>
      <c r="Q20" s="289" t="s">
        <v>28</v>
      </c>
      <c r="R20" s="289" t="s">
        <v>28</v>
      </c>
      <c r="S20" s="289" t="s">
        <v>28</v>
      </c>
      <c r="T20" s="289" t="s">
        <v>28</v>
      </c>
      <c r="U20" s="289" t="s">
        <v>28</v>
      </c>
      <c r="V20" s="289" t="s">
        <v>28</v>
      </c>
      <c r="W20" s="289" t="s">
        <v>28</v>
      </c>
      <c r="X20" s="289" t="s">
        <v>28</v>
      </c>
      <c r="Y20" s="289" t="s">
        <v>28</v>
      </c>
      <c r="Z20" s="289" t="s">
        <v>28</v>
      </c>
      <c r="AA20" s="289" t="s">
        <v>28</v>
      </c>
      <c r="AB20" s="289" t="s">
        <v>28</v>
      </c>
      <c r="AC20" s="289" t="s">
        <v>28</v>
      </c>
      <c r="AD20" s="289" t="s">
        <v>28</v>
      </c>
      <c r="AE20" s="289" t="s">
        <v>28</v>
      </c>
      <c r="AF20" s="289" t="s">
        <v>28</v>
      </c>
      <c r="AG20" s="289" t="s">
        <v>28</v>
      </c>
      <c r="AH20" s="291" t="s">
        <v>28</v>
      </c>
    </row>
    <row r="21" spans="1:34" ht="11.85" customHeight="1">
      <c r="A21" s="1617" t="s">
        <v>39</v>
      </c>
      <c r="B21" s="298" t="s">
        <v>40</v>
      </c>
      <c r="C21" s="301">
        <v>102</v>
      </c>
      <c r="D21" s="301">
        <v>52</v>
      </c>
      <c r="E21" s="301">
        <v>44</v>
      </c>
      <c r="F21" s="301">
        <v>20</v>
      </c>
      <c r="G21" s="301">
        <v>17</v>
      </c>
      <c r="H21" s="301">
        <v>10</v>
      </c>
      <c r="I21" s="301">
        <v>41</v>
      </c>
      <c r="J21" s="301">
        <v>22</v>
      </c>
      <c r="K21" s="301">
        <v>22</v>
      </c>
      <c r="L21" s="301">
        <v>13</v>
      </c>
      <c r="M21" s="301">
        <v>21</v>
      </c>
      <c r="N21" s="301">
        <v>14</v>
      </c>
      <c r="O21" s="301">
        <v>1</v>
      </c>
      <c r="P21" s="302" t="s">
        <v>28</v>
      </c>
      <c r="Q21" s="302">
        <v>1</v>
      </c>
      <c r="R21" s="301">
        <v>1</v>
      </c>
      <c r="S21" s="301">
        <v>8</v>
      </c>
      <c r="T21" s="301">
        <v>4</v>
      </c>
      <c r="U21" s="301">
        <v>4</v>
      </c>
      <c r="V21" s="301">
        <v>2</v>
      </c>
      <c r="W21" s="301">
        <v>3</v>
      </c>
      <c r="X21" s="301">
        <v>1</v>
      </c>
      <c r="Y21" s="301">
        <v>1</v>
      </c>
      <c r="Z21" s="301" t="s">
        <v>28</v>
      </c>
      <c r="AA21" s="301">
        <v>1</v>
      </c>
      <c r="AB21" s="301" t="s">
        <v>28</v>
      </c>
      <c r="AC21" s="301">
        <v>35</v>
      </c>
      <c r="AD21" s="301">
        <v>16</v>
      </c>
      <c r="AE21" s="301">
        <v>5</v>
      </c>
      <c r="AF21" s="301">
        <v>1</v>
      </c>
      <c r="AG21" s="301" t="s">
        <v>28</v>
      </c>
      <c r="AH21" s="323" t="s">
        <v>28</v>
      </c>
    </row>
    <row r="22" spans="1:34" ht="11.85" customHeight="1">
      <c r="A22" s="1616" t="s">
        <v>29</v>
      </c>
      <c r="B22" s="294" t="s">
        <v>30</v>
      </c>
      <c r="C22" s="295">
        <v>102</v>
      </c>
      <c r="D22" s="296">
        <v>52</v>
      </c>
      <c r="E22" s="296">
        <v>44</v>
      </c>
      <c r="F22" s="296">
        <v>20</v>
      </c>
      <c r="G22" s="296">
        <v>17</v>
      </c>
      <c r="H22" s="296">
        <v>10</v>
      </c>
      <c r="I22" s="296">
        <v>41</v>
      </c>
      <c r="J22" s="296">
        <v>22</v>
      </c>
      <c r="K22" s="296">
        <v>22</v>
      </c>
      <c r="L22" s="296">
        <v>13</v>
      </c>
      <c r="M22" s="296">
        <v>21</v>
      </c>
      <c r="N22" s="296">
        <v>14</v>
      </c>
      <c r="O22" s="296">
        <v>1</v>
      </c>
      <c r="P22" s="296" t="s">
        <v>28</v>
      </c>
      <c r="Q22" s="296">
        <v>1</v>
      </c>
      <c r="R22" s="296">
        <v>1</v>
      </c>
      <c r="S22" s="296">
        <v>8</v>
      </c>
      <c r="T22" s="296">
        <v>4</v>
      </c>
      <c r="U22" s="296">
        <v>4</v>
      </c>
      <c r="V22" s="296">
        <v>2</v>
      </c>
      <c r="W22" s="296">
        <v>3</v>
      </c>
      <c r="X22" s="296">
        <v>1</v>
      </c>
      <c r="Y22" s="296">
        <v>1</v>
      </c>
      <c r="Z22" s="296" t="s">
        <v>28</v>
      </c>
      <c r="AA22" s="296">
        <v>1</v>
      </c>
      <c r="AB22" s="296" t="s">
        <v>28</v>
      </c>
      <c r="AC22" s="296">
        <v>35</v>
      </c>
      <c r="AD22" s="296">
        <v>16</v>
      </c>
      <c r="AE22" s="296">
        <v>5</v>
      </c>
      <c r="AF22" s="296">
        <v>1</v>
      </c>
      <c r="AG22" s="296" t="s">
        <v>28</v>
      </c>
      <c r="AH22" s="291" t="s">
        <v>28</v>
      </c>
    </row>
    <row r="23" spans="1:34" ht="11.85" customHeight="1">
      <c r="A23" s="1616" t="s">
        <v>31</v>
      </c>
      <c r="B23" s="294" t="s">
        <v>32</v>
      </c>
      <c r="C23" s="295" t="s">
        <v>28</v>
      </c>
      <c r="D23" s="296" t="s">
        <v>28</v>
      </c>
      <c r="E23" s="296" t="s">
        <v>28</v>
      </c>
      <c r="F23" s="296" t="s">
        <v>28</v>
      </c>
      <c r="G23" s="296" t="s">
        <v>28</v>
      </c>
      <c r="H23" s="296" t="s">
        <v>28</v>
      </c>
      <c r="I23" s="296" t="s">
        <v>28</v>
      </c>
      <c r="J23" s="296" t="s">
        <v>28</v>
      </c>
      <c r="K23" s="296" t="s">
        <v>28</v>
      </c>
      <c r="L23" s="296" t="s">
        <v>28</v>
      </c>
      <c r="M23" s="296" t="s">
        <v>28</v>
      </c>
      <c r="N23" s="296" t="s">
        <v>28</v>
      </c>
      <c r="O23" s="296" t="s">
        <v>28</v>
      </c>
      <c r="P23" s="296" t="s">
        <v>28</v>
      </c>
      <c r="Q23" s="296" t="s">
        <v>28</v>
      </c>
      <c r="R23" s="296" t="s">
        <v>28</v>
      </c>
      <c r="S23" s="296" t="s">
        <v>28</v>
      </c>
      <c r="T23" s="296" t="s">
        <v>28</v>
      </c>
      <c r="U23" s="296" t="s">
        <v>28</v>
      </c>
      <c r="V23" s="296" t="s">
        <v>28</v>
      </c>
      <c r="W23" s="296" t="s">
        <v>28</v>
      </c>
      <c r="X23" s="296" t="s">
        <v>28</v>
      </c>
      <c r="Y23" s="296" t="s">
        <v>28</v>
      </c>
      <c r="Z23" s="296" t="s">
        <v>28</v>
      </c>
      <c r="AA23" s="296" t="s">
        <v>28</v>
      </c>
      <c r="AB23" s="296" t="s">
        <v>28</v>
      </c>
      <c r="AC23" s="296" t="s">
        <v>28</v>
      </c>
      <c r="AD23" s="296" t="s">
        <v>28</v>
      </c>
      <c r="AE23" s="296" t="s">
        <v>28</v>
      </c>
      <c r="AF23" s="296" t="s">
        <v>28</v>
      </c>
      <c r="AG23" s="296" t="s">
        <v>28</v>
      </c>
      <c r="AH23" s="297" t="s">
        <v>28</v>
      </c>
    </row>
    <row r="24" spans="1:34" ht="11.85" customHeight="1">
      <c r="A24" s="1617" t="s">
        <v>41</v>
      </c>
      <c r="B24" s="298" t="s">
        <v>42</v>
      </c>
      <c r="C24" s="301">
        <v>45</v>
      </c>
      <c r="D24" s="301">
        <v>25</v>
      </c>
      <c r="E24" s="301">
        <v>32</v>
      </c>
      <c r="F24" s="301">
        <v>18</v>
      </c>
      <c r="G24" s="301">
        <v>6</v>
      </c>
      <c r="H24" s="301">
        <v>3</v>
      </c>
      <c r="I24" s="301">
        <v>7</v>
      </c>
      <c r="J24" s="301">
        <v>4</v>
      </c>
      <c r="K24" s="301">
        <v>6</v>
      </c>
      <c r="L24" s="301">
        <v>3</v>
      </c>
      <c r="M24" s="301">
        <v>3</v>
      </c>
      <c r="N24" s="301">
        <v>1</v>
      </c>
      <c r="O24" s="301">
        <v>1</v>
      </c>
      <c r="P24" s="302">
        <v>1</v>
      </c>
      <c r="Q24" s="302">
        <v>3</v>
      </c>
      <c r="R24" s="301">
        <v>3</v>
      </c>
      <c r="S24" s="301">
        <v>7</v>
      </c>
      <c r="T24" s="301">
        <v>3</v>
      </c>
      <c r="U24" s="301">
        <v>2</v>
      </c>
      <c r="V24" s="301">
        <v>2</v>
      </c>
      <c r="W24" s="301">
        <v>1</v>
      </c>
      <c r="X24" s="301">
        <v>1</v>
      </c>
      <c r="Y24" s="301">
        <v>1</v>
      </c>
      <c r="Z24" s="301">
        <v>1</v>
      </c>
      <c r="AA24" s="301">
        <v>1</v>
      </c>
      <c r="AB24" s="301">
        <v>1</v>
      </c>
      <c r="AC24" s="301">
        <v>18</v>
      </c>
      <c r="AD24" s="301">
        <v>8</v>
      </c>
      <c r="AE24" s="301">
        <v>2</v>
      </c>
      <c r="AF24" s="301">
        <v>1</v>
      </c>
      <c r="AG24" s="301" t="s">
        <v>28</v>
      </c>
      <c r="AH24" s="323" t="s">
        <v>28</v>
      </c>
    </row>
    <row r="25" spans="1:34" ht="11.85" customHeight="1">
      <c r="A25" s="1616" t="s">
        <v>29</v>
      </c>
      <c r="B25" s="294" t="s">
        <v>30</v>
      </c>
      <c r="C25" s="295">
        <v>45</v>
      </c>
      <c r="D25" s="296">
        <v>25</v>
      </c>
      <c r="E25" s="296">
        <v>32</v>
      </c>
      <c r="F25" s="296">
        <v>18</v>
      </c>
      <c r="G25" s="296">
        <v>6</v>
      </c>
      <c r="H25" s="296">
        <v>3</v>
      </c>
      <c r="I25" s="296">
        <v>7</v>
      </c>
      <c r="J25" s="296">
        <v>4</v>
      </c>
      <c r="K25" s="296">
        <v>6</v>
      </c>
      <c r="L25" s="296">
        <v>3</v>
      </c>
      <c r="M25" s="296">
        <v>3</v>
      </c>
      <c r="N25" s="296">
        <v>1</v>
      </c>
      <c r="O25" s="296">
        <v>1</v>
      </c>
      <c r="P25" s="296">
        <v>1</v>
      </c>
      <c r="Q25" s="296">
        <v>3</v>
      </c>
      <c r="R25" s="296">
        <v>3</v>
      </c>
      <c r="S25" s="296">
        <v>7</v>
      </c>
      <c r="T25" s="296">
        <v>3</v>
      </c>
      <c r="U25" s="296">
        <v>2</v>
      </c>
      <c r="V25" s="296">
        <v>2</v>
      </c>
      <c r="W25" s="296">
        <v>1</v>
      </c>
      <c r="X25" s="296">
        <v>1</v>
      </c>
      <c r="Y25" s="296">
        <v>1</v>
      </c>
      <c r="Z25" s="296">
        <v>1</v>
      </c>
      <c r="AA25" s="296">
        <v>1</v>
      </c>
      <c r="AB25" s="296">
        <v>1</v>
      </c>
      <c r="AC25" s="296">
        <v>18</v>
      </c>
      <c r="AD25" s="296">
        <v>8</v>
      </c>
      <c r="AE25" s="296">
        <v>2</v>
      </c>
      <c r="AF25" s="296">
        <v>1</v>
      </c>
      <c r="AG25" s="296" t="s">
        <v>28</v>
      </c>
      <c r="AH25" s="297" t="s">
        <v>28</v>
      </c>
    </row>
    <row r="26" spans="1:34" ht="11.85" customHeight="1">
      <c r="A26" s="1616" t="s">
        <v>31</v>
      </c>
      <c r="B26" s="294" t="s">
        <v>32</v>
      </c>
      <c r="C26" s="295" t="s">
        <v>28</v>
      </c>
      <c r="D26" s="296" t="s">
        <v>28</v>
      </c>
      <c r="E26" s="296" t="s">
        <v>28</v>
      </c>
      <c r="F26" s="296" t="s">
        <v>28</v>
      </c>
      <c r="G26" s="296" t="s">
        <v>28</v>
      </c>
      <c r="H26" s="296" t="s">
        <v>28</v>
      </c>
      <c r="I26" s="296" t="s">
        <v>28</v>
      </c>
      <c r="J26" s="296" t="s">
        <v>28</v>
      </c>
      <c r="K26" s="296" t="s">
        <v>28</v>
      </c>
      <c r="L26" s="296" t="s">
        <v>28</v>
      </c>
      <c r="M26" s="296" t="s">
        <v>28</v>
      </c>
      <c r="N26" s="296" t="s">
        <v>28</v>
      </c>
      <c r="O26" s="296" t="s">
        <v>28</v>
      </c>
      <c r="P26" s="296" t="s">
        <v>28</v>
      </c>
      <c r="Q26" s="296" t="s">
        <v>28</v>
      </c>
      <c r="R26" s="296" t="s">
        <v>28</v>
      </c>
      <c r="S26" s="296" t="s">
        <v>28</v>
      </c>
      <c r="T26" s="296" t="s">
        <v>28</v>
      </c>
      <c r="U26" s="296" t="s">
        <v>28</v>
      </c>
      <c r="V26" s="296" t="s">
        <v>28</v>
      </c>
      <c r="W26" s="296" t="s">
        <v>28</v>
      </c>
      <c r="X26" s="296" t="s">
        <v>28</v>
      </c>
      <c r="Y26" s="296" t="s">
        <v>28</v>
      </c>
      <c r="Z26" s="296" t="s">
        <v>28</v>
      </c>
      <c r="AA26" s="289" t="s">
        <v>28</v>
      </c>
      <c r="AB26" s="289" t="s">
        <v>28</v>
      </c>
      <c r="AC26" s="296" t="s">
        <v>28</v>
      </c>
      <c r="AD26" s="296" t="s">
        <v>28</v>
      </c>
      <c r="AE26" s="296" t="s">
        <v>28</v>
      </c>
      <c r="AF26" s="296" t="s">
        <v>28</v>
      </c>
      <c r="AG26" s="296" t="s">
        <v>28</v>
      </c>
      <c r="AH26" s="297" t="s">
        <v>28</v>
      </c>
    </row>
    <row r="27" spans="1:34" ht="11.85" customHeight="1">
      <c r="A27" s="1617" t="s">
        <v>43</v>
      </c>
      <c r="B27" s="298" t="s">
        <v>44</v>
      </c>
      <c r="C27" s="302">
        <v>1</v>
      </c>
      <c r="D27" s="302">
        <v>1</v>
      </c>
      <c r="E27" s="302">
        <v>1</v>
      </c>
      <c r="F27" s="302">
        <v>1</v>
      </c>
      <c r="G27" s="302" t="s">
        <v>28</v>
      </c>
      <c r="H27" s="302" t="s">
        <v>28</v>
      </c>
      <c r="I27" s="302" t="s">
        <v>28</v>
      </c>
      <c r="J27" s="302" t="s">
        <v>28</v>
      </c>
      <c r="K27" s="302">
        <v>1</v>
      </c>
      <c r="L27" s="302">
        <v>1</v>
      </c>
      <c r="M27" s="302" t="s">
        <v>28</v>
      </c>
      <c r="N27" s="302" t="s">
        <v>28</v>
      </c>
      <c r="O27" s="302" t="s">
        <v>28</v>
      </c>
      <c r="P27" s="302" t="s">
        <v>28</v>
      </c>
      <c r="Q27" s="302" t="s">
        <v>28</v>
      </c>
      <c r="R27" s="302" t="s">
        <v>28</v>
      </c>
      <c r="S27" s="302" t="s">
        <v>28</v>
      </c>
      <c r="T27" s="302" t="s">
        <v>28</v>
      </c>
      <c r="U27" s="302" t="s">
        <v>28</v>
      </c>
      <c r="V27" s="302" t="s">
        <v>28</v>
      </c>
      <c r="W27" s="302" t="s">
        <v>28</v>
      </c>
      <c r="X27" s="302" t="s">
        <v>28</v>
      </c>
      <c r="Y27" s="302" t="s">
        <v>28</v>
      </c>
      <c r="Z27" s="302" t="s">
        <v>28</v>
      </c>
      <c r="AA27" s="302" t="s">
        <v>28</v>
      </c>
      <c r="AB27" s="302" t="s">
        <v>28</v>
      </c>
      <c r="AC27" s="302" t="s">
        <v>28</v>
      </c>
      <c r="AD27" s="302" t="s">
        <v>28</v>
      </c>
      <c r="AE27" s="302" t="s">
        <v>28</v>
      </c>
      <c r="AF27" s="302" t="s">
        <v>28</v>
      </c>
      <c r="AG27" s="302" t="s">
        <v>28</v>
      </c>
      <c r="AH27" s="323" t="s">
        <v>28</v>
      </c>
    </row>
    <row r="28" spans="1:34" ht="11.85" customHeight="1">
      <c r="A28" s="1616" t="s">
        <v>29</v>
      </c>
      <c r="B28" s="294" t="s">
        <v>30</v>
      </c>
      <c r="C28" s="296" t="s">
        <v>28</v>
      </c>
      <c r="D28" s="296" t="s">
        <v>28</v>
      </c>
      <c r="E28" s="296" t="s">
        <v>28</v>
      </c>
      <c r="F28" s="296" t="s">
        <v>28</v>
      </c>
      <c r="G28" s="296" t="s">
        <v>28</v>
      </c>
      <c r="H28" s="296" t="s">
        <v>28</v>
      </c>
      <c r="I28" s="296" t="s">
        <v>28</v>
      </c>
      <c r="J28" s="296" t="s">
        <v>28</v>
      </c>
      <c r="K28" s="296" t="s">
        <v>28</v>
      </c>
      <c r="L28" s="296" t="s">
        <v>28</v>
      </c>
      <c r="M28" s="296" t="s">
        <v>28</v>
      </c>
      <c r="N28" s="296" t="s">
        <v>28</v>
      </c>
      <c r="O28" s="296" t="s">
        <v>28</v>
      </c>
      <c r="P28" s="296" t="s">
        <v>28</v>
      </c>
      <c r="Q28" s="296" t="s">
        <v>28</v>
      </c>
      <c r="R28" s="296" t="s">
        <v>28</v>
      </c>
      <c r="S28" s="296" t="s">
        <v>28</v>
      </c>
      <c r="T28" s="296" t="s">
        <v>28</v>
      </c>
      <c r="U28" s="296" t="s">
        <v>28</v>
      </c>
      <c r="V28" s="296" t="s">
        <v>28</v>
      </c>
      <c r="W28" s="296" t="s">
        <v>28</v>
      </c>
      <c r="X28" s="296" t="s">
        <v>28</v>
      </c>
      <c r="Y28" s="296" t="s">
        <v>28</v>
      </c>
      <c r="Z28" s="296" t="s">
        <v>28</v>
      </c>
      <c r="AA28" s="296" t="s">
        <v>28</v>
      </c>
      <c r="AB28" s="296" t="s">
        <v>28</v>
      </c>
      <c r="AC28" s="296" t="s">
        <v>28</v>
      </c>
      <c r="AD28" s="296" t="s">
        <v>28</v>
      </c>
      <c r="AE28" s="296" t="s">
        <v>28</v>
      </c>
      <c r="AF28" s="296" t="s">
        <v>28</v>
      </c>
      <c r="AG28" s="296" t="s">
        <v>28</v>
      </c>
      <c r="AH28" s="297" t="s">
        <v>28</v>
      </c>
    </row>
    <row r="29" spans="1:34" ht="11.85" customHeight="1" thickBot="1">
      <c r="A29" s="1620" t="s">
        <v>31</v>
      </c>
      <c r="B29" s="303" t="s">
        <v>32</v>
      </c>
      <c r="C29" s="304">
        <v>1</v>
      </c>
      <c r="D29" s="304">
        <v>1</v>
      </c>
      <c r="E29" s="304">
        <v>1</v>
      </c>
      <c r="F29" s="304">
        <v>1</v>
      </c>
      <c r="G29" s="304" t="s">
        <v>28</v>
      </c>
      <c r="H29" s="304" t="s">
        <v>28</v>
      </c>
      <c r="I29" s="304" t="s">
        <v>28</v>
      </c>
      <c r="J29" s="304" t="s">
        <v>28</v>
      </c>
      <c r="K29" s="304">
        <v>1</v>
      </c>
      <c r="L29" s="304">
        <v>1</v>
      </c>
      <c r="M29" s="304" t="s">
        <v>28</v>
      </c>
      <c r="N29" s="304" t="s">
        <v>28</v>
      </c>
      <c r="O29" s="304" t="s">
        <v>28</v>
      </c>
      <c r="P29" s="304" t="s">
        <v>28</v>
      </c>
      <c r="Q29" s="304" t="s">
        <v>28</v>
      </c>
      <c r="R29" s="304" t="s">
        <v>28</v>
      </c>
      <c r="S29" s="304" t="s">
        <v>28</v>
      </c>
      <c r="T29" s="304" t="s">
        <v>28</v>
      </c>
      <c r="U29" s="304" t="s">
        <v>28</v>
      </c>
      <c r="V29" s="304" t="s">
        <v>28</v>
      </c>
      <c r="W29" s="304" t="s">
        <v>28</v>
      </c>
      <c r="X29" s="304" t="s">
        <v>28</v>
      </c>
      <c r="Y29" s="304" t="s">
        <v>28</v>
      </c>
      <c r="Z29" s="304" t="s">
        <v>28</v>
      </c>
      <c r="AA29" s="304" t="s">
        <v>28</v>
      </c>
      <c r="AB29" s="304" t="s">
        <v>28</v>
      </c>
      <c r="AC29" s="304" t="s">
        <v>28</v>
      </c>
      <c r="AD29" s="304" t="s">
        <v>28</v>
      </c>
      <c r="AE29" s="304" t="s">
        <v>28</v>
      </c>
      <c r="AF29" s="304" t="s">
        <v>28</v>
      </c>
      <c r="AG29" s="304" t="s">
        <v>28</v>
      </c>
      <c r="AH29" s="1621" t="s">
        <v>28</v>
      </c>
    </row>
    <row r="30" spans="1:34" ht="13.5" customHeight="1" thickBot="1">
      <c r="A30" s="1151" t="s">
        <v>434</v>
      </c>
      <c r="B30" s="1151"/>
      <c r="C30" s="1151"/>
      <c r="D30" s="1151"/>
      <c r="E30" s="1151"/>
      <c r="F30" s="1151"/>
      <c r="G30" s="1151"/>
      <c r="H30" s="1151"/>
      <c r="I30" s="1151"/>
      <c r="J30" s="1151"/>
      <c r="K30" s="1151"/>
      <c r="L30" s="1151"/>
      <c r="M30" s="1151"/>
      <c r="N30" s="1151"/>
      <c r="O30" s="1151"/>
      <c r="P30" s="1151"/>
      <c r="Q30" s="1151" t="s">
        <v>513</v>
      </c>
      <c r="R30" s="1151"/>
      <c r="S30" s="1151"/>
      <c r="T30" s="1151"/>
      <c r="U30" s="1151"/>
      <c r="V30" s="1151"/>
      <c r="W30" s="1151"/>
      <c r="X30" s="1151"/>
      <c r="Y30" s="1151"/>
      <c r="Z30" s="1151"/>
      <c r="AA30" s="1151"/>
      <c r="AB30" s="1151"/>
      <c r="AC30" s="1151"/>
      <c r="AD30" s="1151"/>
      <c r="AE30" s="1151"/>
      <c r="AF30" s="1151"/>
      <c r="AG30" s="1151"/>
      <c r="AH30" s="1151"/>
    </row>
    <row r="31" spans="1:34" ht="11.85" customHeight="1">
      <c r="A31" s="305" t="s">
        <v>47</v>
      </c>
      <c r="B31" s="306" t="s">
        <v>48</v>
      </c>
      <c r="C31" s="307">
        <v>13</v>
      </c>
      <c r="D31" s="308">
        <v>5</v>
      </c>
      <c r="E31" s="308">
        <v>4</v>
      </c>
      <c r="F31" s="308">
        <v>2</v>
      </c>
      <c r="G31" s="308">
        <v>4</v>
      </c>
      <c r="H31" s="308">
        <v>1</v>
      </c>
      <c r="I31" s="308">
        <v>5</v>
      </c>
      <c r="J31" s="308">
        <v>2</v>
      </c>
      <c r="K31" s="308">
        <v>4</v>
      </c>
      <c r="L31" s="308">
        <v>1</v>
      </c>
      <c r="M31" s="308">
        <v>5</v>
      </c>
      <c r="N31" s="308">
        <v>2</v>
      </c>
      <c r="O31" s="308" t="s">
        <v>28</v>
      </c>
      <c r="P31" s="308" t="s">
        <v>28</v>
      </c>
      <c r="Q31" s="308" t="s">
        <v>28</v>
      </c>
      <c r="R31" s="308" t="s">
        <v>28</v>
      </c>
      <c r="S31" s="308" t="s">
        <v>28</v>
      </c>
      <c r="T31" s="308" t="s">
        <v>28</v>
      </c>
      <c r="U31" s="308" t="s">
        <v>28</v>
      </c>
      <c r="V31" s="308" t="s">
        <v>28</v>
      </c>
      <c r="W31" s="308">
        <v>1</v>
      </c>
      <c r="X31" s="308">
        <v>1</v>
      </c>
      <c r="Y31" s="308" t="s">
        <v>28</v>
      </c>
      <c r="Z31" s="308" t="s">
        <v>28</v>
      </c>
      <c r="AA31" s="308" t="s">
        <v>28</v>
      </c>
      <c r="AB31" s="308" t="s">
        <v>28</v>
      </c>
      <c r="AC31" s="308">
        <v>3</v>
      </c>
      <c r="AD31" s="308">
        <v>1</v>
      </c>
      <c r="AE31" s="308" t="s">
        <v>28</v>
      </c>
      <c r="AF31" s="308" t="s">
        <v>28</v>
      </c>
      <c r="AG31" s="308" t="s">
        <v>28</v>
      </c>
      <c r="AH31" s="309" t="s">
        <v>28</v>
      </c>
    </row>
    <row r="32" spans="1:34" ht="11.85" customHeight="1">
      <c r="A32" s="310" t="s">
        <v>411</v>
      </c>
      <c r="B32" s="287" t="s">
        <v>30</v>
      </c>
      <c r="C32" s="1607">
        <v>13</v>
      </c>
      <c r="D32" s="289">
        <v>5</v>
      </c>
      <c r="E32" s="289">
        <v>4</v>
      </c>
      <c r="F32" s="289">
        <v>2</v>
      </c>
      <c r="G32" s="289">
        <v>4</v>
      </c>
      <c r="H32" s="289">
        <v>1</v>
      </c>
      <c r="I32" s="289">
        <v>5</v>
      </c>
      <c r="J32" s="289">
        <v>2</v>
      </c>
      <c r="K32" s="289">
        <v>4</v>
      </c>
      <c r="L32" s="289">
        <v>1</v>
      </c>
      <c r="M32" s="289">
        <v>5</v>
      </c>
      <c r="N32" s="289">
        <v>2</v>
      </c>
      <c r="O32" s="289" t="s">
        <v>28</v>
      </c>
      <c r="P32" s="289" t="s">
        <v>28</v>
      </c>
      <c r="Q32" s="289" t="s">
        <v>28</v>
      </c>
      <c r="R32" s="289" t="s">
        <v>28</v>
      </c>
      <c r="S32" s="289" t="s">
        <v>28</v>
      </c>
      <c r="T32" s="289" t="s">
        <v>28</v>
      </c>
      <c r="U32" s="289" t="s">
        <v>28</v>
      </c>
      <c r="V32" s="289" t="s">
        <v>28</v>
      </c>
      <c r="W32" s="289">
        <v>1</v>
      </c>
      <c r="X32" s="289">
        <v>1</v>
      </c>
      <c r="Y32" s="289" t="s">
        <v>28</v>
      </c>
      <c r="Z32" s="289" t="s">
        <v>28</v>
      </c>
      <c r="AA32" s="289" t="s">
        <v>28</v>
      </c>
      <c r="AB32" s="289" t="s">
        <v>28</v>
      </c>
      <c r="AC32" s="289">
        <v>3</v>
      </c>
      <c r="AD32" s="289">
        <v>1</v>
      </c>
      <c r="AE32" s="289" t="s">
        <v>28</v>
      </c>
      <c r="AF32" s="289" t="s">
        <v>28</v>
      </c>
      <c r="AG32" s="289" t="s">
        <v>28</v>
      </c>
      <c r="AH32" s="291" t="s">
        <v>28</v>
      </c>
    </row>
    <row r="33" spans="1:34" ht="11.85" customHeight="1">
      <c r="A33" s="310" t="s">
        <v>412</v>
      </c>
      <c r="B33" s="287" t="s">
        <v>32</v>
      </c>
      <c r="C33" s="1607" t="s">
        <v>28</v>
      </c>
      <c r="D33" s="289" t="s">
        <v>28</v>
      </c>
      <c r="E33" s="289" t="s">
        <v>28</v>
      </c>
      <c r="F33" s="289" t="s">
        <v>28</v>
      </c>
      <c r="G33" s="289" t="s">
        <v>28</v>
      </c>
      <c r="H33" s="289" t="s">
        <v>28</v>
      </c>
      <c r="I33" s="289" t="s">
        <v>28</v>
      </c>
      <c r="J33" s="289" t="s">
        <v>28</v>
      </c>
      <c r="K33" s="289" t="s">
        <v>28</v>
      </c>
      <c r="L33" s="289" t="s">
        <v>28</v>
      </c>
      <c r="M33" s="289" t="s">
        <v>28</v>
      </c>
      <c r="N33" s="289" t="s">
        <v>28</v>
      </c>
      <c r="O33" s="289" t="s">
        <v>28</v>
      </c>
      <c r="P33" s="289" t="s">
        <v>28</v>
      </c>
      <c r="Q33" s="289" t="s">
        <v>28</v>
      </c>
      <c r="R33" s="289" t="s">
        <v>28</v>
      </c>
      <c r="S33" s="289" t="s">
        <v>28</v>
      </c>
      <c r="T33" s="289" t="s">
        <v>28</v>
      </c>
      <c r="U33" s="289" t="s">
        <v>28</v>
      </c>
      <c r="V33" s="289" t="s">
        <v>28</v>
      </c>
      <c r="W33" s="289" t="s">
        <v>28</v>
      </c>
      <c r="X33" s="289" t="s">
        <v>28</v>
      </c>
      <c r="Y33" s="289" t="s">
        <v>28</v>
      </c>
      <c r="Z33" s="289" t="s">
        <v>28</v>
      </c>
      <c r="AA33" s="289" t="s">
        <v>28</v>
      </c>
      <c r="AB33" s="289" t="s">
        <v>28</v>
      </c>
      <c r="AC33" s="289" t="s">
        <v>28</v>
      </c>
      <c r="AD33" s="289" t="s">
        <v>28</v>
      </c>
      <c r="AE33" s="289" t="s">
        <v>28</v>
      </c>
      <c r="AF33" s="289" t="s">
        <v>28</v>
      </c>
      <c r="AG33" s="289" t="s">
        <v>28</v>
      </c>
      <c r="AH33" s="291" t="s">
        <v>28</v>
      </c>
    </row>
    <row r="34" spans="1:34" ht="11.85" customHeight="1">
      <c r="A34" s="311" t="s">
        <v>49</v>
      </c>
      <c r="B34" s="312" t="s">
        <v>50</v>
      </c>
      <c r="C34" s="1618" t="s">
        <v>28</v>
      </c>
      <c r="D34" s="313" t="s">
        <v>28</v>
      </c>
      <c r="E34" s="313" t="s">
        <v>28</v>
      </c>
      <c r="F34" s="313" t="s">
        <v>28</v>
      </c>
      <c r="G34" s="313" t="s">
        <v>28</v>
      </c>
      <c r="H34" s="313" t="s">
        <v>28</v>
      </c>
      <c r="I34" s="313" t="s">
        <v>28</v>
      </c>
      <c r="J34" s="313" t="s">
        <v>28</v>
      </c>
      <c r="K34" s="313" t="s">
        <v>28</v>
      </c>
      <c r="L34" s="313" t="s">
        <v>28</v>
      </c>
      <c r="M34" s="313" t="s">
        <v>28</v>
      </c>
      <c r="N34" s="313" t="s">
        <v>28</v>
      </c>
      <c r="O34" s="313" t="s">
        <v>28</v>
      </c>
      <c r="P34" s="313" t="s">
        <v>28</v>
      </c>
      <c r="Q34" s="313" t="s">
        <v>28</v>
      </c>
      <c r="R34" s="313" t="s">
        <v>28</v>
      </c>
      <c r="S34" s="313" t="s">
        <v>28</v>
      </c>
      <c r="T34" s="313" t="s">
        <v>28</v>
      </c>
      <c r="U34" s="313" t="s">
        <v>28</v>
      </c>
      <c r="V34" s="313" t="s">
        <v>28</v>
      </c>
      <c r="W34" s="313" t="s">
        <v>28</v>
      </c>
      <c r="X34" s="313" t="s">
        <v>28</v>
      </c>
      <c r="Y34" s="313" t="s">
        <v>28</v>
      </c>
      <c r="Z34" s="313" t="s">
        <v>28</v>
      </c>
      <c r="AA34" s="313" t="s">
        <v>28</v>
      </c>
      <c r="AB34" s="313" t="s">
        <v>28</v>
      </c>
      <c r="AC34" s="313" t="s">
        <v>28</v>
      </c>
      <c r="AD34" s="313" t="s">
        <v>28</v>
      </c>
      <c r="AE34" s="313" t="s">
        <v>28</v>
      </c>
      <c r="AF34" s="313" t="s">
        <v>28</v>
      </c>
      <c r="AG34" s="313" t="s">
        <v>28</v>
      </c>
      <c r="AH34" s="315" t="s">
        <v>28</v>
      </c>
    </row>
    <row r="35" spans="1:34" ht="11.85" customHeight="1">
      <c r="A35" s="310" t="s">
        <v>411</v>
      </c>
      <c r="B35" s="287" t="s">
        <v>30</v>
      </c>
      <c r="C35" s="1607" t="s">
        <v>28</v>
      </c>
      <c r="D35" s="1607" t="s">
        <v>28</v>
      </c>
      <c r="E35" s="1607" t="s">
        <v>28</v>
      </c>
      <c r="F35" s="1607" t="s">
        <v>28</v>
      </c>
      <c r="G35" s="1607" t="s">
        <v>28</v>
      </c>
      <c r="H35" s="1607" t="s">
        <v>28</v>
      </c>
      <c r="I35" s="1607" t="s">
        <v>28</v>
      </c>
      <c r="J35" s="1607" t="s">
        <v>28</v>
      </c>
      <c r="K35" s="1607" t="s">
        <v>28</v>
      </c>
      <c r="L35" s="1607" t="s">
        <v>28</v>
      </c>
      <c r="M35" s="1607" t="s">
        <v>28</v>
      </c>
      <c r="N35" s="1607" t="s">
        <v>28</v>
      </c>
      <c r="O35" s="1607" t="s">
        <v>28</v>
      </c>
      <c r="P35" s="289" t="s">
        <v>28</v>
      </c>
      <c r="Q35" s="289" t="s">
        <v>28</v>
      </c>
      <c r="R35" s="1607" t="s">
        <v>28</v>
      </c>
      <c r="S35" s="1607" t="s">
        <v>28</v>
      </c>
      <c r="T35" s="1607" t="s">
        <v>28</v>
      </c>
      <c r="U35" s="1607" t="s">
        <v>28</v>
      </c>
      <c r="V35" s="1607" t="s">
        <v>28</v>
      </c>
      <c r="W35" s="1607" t="s">
        <v>28</v>
      </c>
      <c r="X35" s="1607" t="s">
        <v>28</v>
      </c>
      <c r="Y35" s="1607" t="s">
        <v>28</v>
      </c>
      <c r="Z35" s="1607" t="s">
        <v>28</v>
      </c>
      <c r="AA35" s="1607" t="s">
        <v>28</v>
      </c>
      <c r="AB35" s="1607" t="s">
        <v>28</v>
      </c>
      <c r="AC35" s="1607" t="s">
        <v>28</v>
      </c>
      <c r="AD35" s="1607" t="s">
        <v>28</v>
      </c>
      <c r="AE35" s="1607" t="s">
        <v>28</v>
      </c>
      <c r="AF35" s="1607" t="s">
        <v>28</v>
      </c>
      <c r="AG35" s="1607" t="s">
        <v>28</v>
      </c>
      <c r="AH35" s="291" t="s">
        <v>28</v>
      </c>
    </row>
    <row r="36" spans="1:34" ht="11.85" customHeight="1">
      <c r="A36" s="310" t="s">
        <v>412</v>
      </c>
      <c r="B36" s="287" t="s">
        <v>32</v>
      </c>
      <c r="C36" s="1607" t="s">
        <v>28</v>
      </c>
      <c r="D36" s="1607" t="s">
        <v>28</v>
      </c>
      <c r="E36" s="1607" t="s">
        <v>28</v>
      </c>
      <c r="F36" s="1607" t="s">
        <v>28</v>
      </c>
      <c r="G36" s="1607" t="s">
        <v>28</v>
      </c>
      <c r="H36" s="1607" t="s">
        <v>28</v>
      </c>
      <c r="I36" s="1607" t="s">
        <v>28</v>
      </c>
      <c r="J36" s="1607" t="s">
        <v>28</v>
      </c>
      <c r="K36" s="1607" t="s">
        <v>28</v>
      </c>
      <c r="L36" s="1607" t="s">
        <v>28</v>
      </c>
      <c r="M36" s="1607" t="s">
        <v>28</v>
      </c>
      <c r="N36" s="1607" t="s">
        <v>28</v>
      </c>
      <c r="O36" s="1607" t="s">
        <v>28</v>
      </c>
      <c r="P36" s="289" t="s">
        <v>28</v>
      </c>
      <c r="Q36" s="289" t="s">
        <v>28</v>
      </c>
      <c r="R36" s="1607" t="s">
        <v>28</v>
      </c>
      <c r="S36" s="1607" t="s">
        <v>28</v>
      </c>
      <c r="T36" s="1607" t="s">
        <v>28</v>
      </c>
      <c r="U36" s="1607" t="s">
        <v>28</v>
      </c>
      <c r="V36" s="1607" t="s">
        <v>28</v>
      </c>
      <c r="W36" s="1607" t="s">
        <v>28</v>
      </c>
      <c r="X36" s="1607" t="s">
        <v>28</v>
      </c>
      <c r="Y36" s="1607" t="s">
        <v>28</v>
      </c>
      <c r="Z36" s="1607" t="s">
        <v>28</v>
      </c>
      <c r="AA36" s="1607" t="s">
        <v>28</v>
      </c>
      <c r="AB36" s="1607" t="s">
        <v>28</v>
      </c>
      <c r="AC36" s="1607" t="s">
        <v>28</v>
      </c>
      <c r="AD36" s="1607" t="s">
        <v>28</v>
      </c>
      <c r="AE36" s="1607" t="s">
        <v>28</v>
      </c>
      <c r="AF36" s="1607" t="s">
        <v>28</v>
      </c>
      <c r="AG36" s="1607" t="s">
        <v>28</v>
      </c>
      <c r="AH36" s="291" t="s">
        <v>28</v>
      </c>
    </row>
    <row r="37" spans="1:34" ht="11.85" customHeight="1">
      <c r="A37" s="311" t="s">
        <v>963</v>
      </c>
      <c r="B37" s="312" t="s">
        <v>964</v>
      </c>
      <c r="C37" s="1618">
        <v>2</v>
      </c>
      <c r="D37" s="313">
        <v>1</v>
      </c>
      <c r="E37" s="313">
        <v>1</v>
      </c>
      <c r="F37" s="313" t="s">
        <v>28</v>
      </c>
      <c r="G37" s="313">
        <v>1</v>
      </c>
      <c r="H37" s="313">
        <v>1</v>
      </c>
      <c r="I37" s="313" t="s">
        <v>28</v>
      </c>
      <c r="J37" s="313" t="s">
        <v>28</v>
      </c>
      <c r="K37" s="313">
        <v>1</v>
      </c>
      <c r="L37" s="313">
        <v>1</v>
      </c>
      <c r="M37" s="313" t="s">
        <v>28</v>
      </c>
      <c r="N37" s="313" t="s">
        <v>28</v>
      </c>
      <c r="O37" s="313" t="s">
        <v>28</v>
      </c>
      <c r="P37" s="313" t="s">
        <v>28</v>
      </c>
      <c r="Q37" s="313" t="s">
        <v>28</v>
      </c>
      <c r="R37" s="313" t="s">
        <v>28</v>
      </c>
      <c r="S37" s="313" t="s">
        <v>28</v>
      </c>
      <c r="T37" s="313" t="s">
        <v>28</v>
      </c>
      <c r="U37" s="313" t="s">
        <v>28</v>
      </c>
      <c r="V37" s="313" t="s">
        <v>28</v>
      </c>
      <c r="W37" s="313" t="s">
        <v>28</v>
      </c>
      <c r="X37" s="313" t="s">
        <v>28</v>
      </c>
      <c r="Y37" s="313" t="s">
        <v>28</v>
      </c>
      <c r="Z37" s="313" t="s">
        <v>28</v>
      </c>
      <c r="AA37" s="313" t="s">
        <v>28</v>
      </c>
      <c r="AB37" s="313" t="s">
        <v>28</v>
      </c>
      <c r="AC37" s="313">
        <v>1</v>
      </c>
      <c r="AD37" s="313" t="s">
        <v>28</v>
      </c>
      <c r="AE37" s="313" t="s">
        <v>28</v>
      </c>
      <c r="AF37" s="313" t="s">
        <v>28</v>
      </c>
      <c r="AG37" s="313" t="s">
        <v>28</v>
      </c>
      <c r="AH37" s="315" t="s">
        <v>28</v>
      </c>
    </row>
    <row r="38" spans="1:34" ht="11.85" customHeight="1">
      <c r="A38" s="310" t="s">
        <v>411</v>
      </c>
      <c r="B38" s="287" t="s">
        <v>30</v>
      </c>
      <c r="C38" s="1607">
        <v>2</v>
      </c>
      <c r="D38" s="289">
        <v>1</v>
      </c>
      <c r="E38" s="289">
        <v>1</v>
      </c>
      <c r="F38" s="289" t="s">
        <v>28</v>
      </c>
      <c r="G38" s="289">
        <v>1</v>
      </c>
      <c r="H38" s="289">
        <v>1</v>
      </c>
      <c r="I38" s="289" t="s">
        <v>28</v>
      </c>
      <c r="J38" s="289" t="s">
        <v>28</v>
      </c>
      <c r="K38" s="289">
        <v>1</v>
      </c>
      <c r="L38" s="289">
        <v>1</v>
      </c>
      <c r="M38" s="289" t="s">
        <v>28</v>
      </c>
      <c r="N38" s="289" t="s">
        <v>28</v>
      </c>
      <c r="O38" s="289" t="s">
        <v>28</v>
      </c>
      <c r="P38" s="289" t="s">
        <v>28</v>
      </c>
      <c r="Q38" s="289" t="s">
        <v>28</v>
      </c>
      <c r="R38" s="289" t="s">
        <v>28</v>
      </c>
      <c r="S38" s="289" t="s">
        <v>28</v>
      </c>
      <c r="T38" s="289" t="s">
        <v>28</v>
      </c>
      <c r="U38" s="289" t="s">
        <v>28</v>
      </c>
      <c r="V38" s="289" t="s">
        <v>28</v>
      </c>
      <c r="W38" s="289" t="s">
        <v>28</v>
      </c>
      <c r="X38" s="289" t="s">
        <v>28</v>
      </c>
      <c r="Y38" s="289" t="s">
        <v>28</v>
      </c>
      <c r="Z38" s="289" t="s">
        <v>28</v>
      </c>
      <c r="AA38" s="289" t="s">
        <v>28</v>
      </c>
      <c r="AB38" s="289" t="s">
        <v>28</v>
      </c>
      <c r="AC38" s="289">
        <v>1</v>
      </c>
      <c r="AD38" s="289" t="s">
        <v>28</v>
      </c>
      <c r="AE38" s="289" t="s">
        <v>28</v>
      </c>
      <c r="AF38" s="289" t="s">
        <v>28</v>
      </c>
      <c r="AG38" s="289" t="s">
        <v>28</v>
      </c>
      <c r="AH38" s="291" t="s">
        <v>28</v>
      </c>
    </row>
    <row r="39" spans="1:34" ht="11.85" customHeight="1">
      <c r="A39" s="310" t="s">
        <v>412</v>
      </c>
      <c r="B39" s="287" t="s">
        <v>32</v>
      </c>
      <c r="C39" s="1607" t="s">
        <v>28</v>
      </c>
      <c r="D39" s="289" t="s">
        <v>28</v>
      </c>
      <c r="E39" s="289" t="s">
        <v>28</v>
      </c>
      <c r="F39" s="289" t="s">
        <v>28</v>
      </c>
      <c r="G39" s="289" t="s">
        <v>28</v>
      </c>
      <c r="H39" s="289" t="s">
        <v>28</v>
      </c>
      <c r="I39" s="289" t="s">
        <v>28</v>
      </c>
      <c r="J39" s="289" t="s">
        <v>28</v>
      </c>
      <c r="K39" s="289" t="s">
        <v>28</v>
      </c>
      <c r="L39" s="289" t="s">
        <v>28</v>
      </c>
      <c r="M39" s="289" t="s">
        <v>28</v>
      </c>
      <c r="N39" s="289" t="s">
        <v>28</v>
      </c>
      <c r="O39" s="289" t="s">
        <v>28</v>
      </c>
      <c r="P39" s="289" t="s">
        <v>28</v>
      </c>
      <c r="Q39" s="289" t="s">
        <v>28</v>
      </c>
      <c r="R39" s="289" t="s">
        <v>28</v>
      </c>
      <c r="S39" s="289" t="s">
        <v>28</v>
      </c>
      <c r="T39" s="289" t="s">
        <v>28</v>
      </c>
      <c r="U39" s="289" t="s">
        <v>28</v>
      </c>
      <c r="V39" s="289" t="s">
        <v>28</v>
      </c>
      <c r="W39" s="289" t="s">
        <v>28</v>
      </c>
      <c r="X39" s="289" t="s">
        <v>28</v>
      </c>
      <c r="Y39" s="289" t="s">
        <v>28</v>
      </c>
      <c r="Z39" s="289" t="s">
        <v>28</v>
      </c>
      <c r="AA39" s="289" t="s">
        <v>28</v>
      </c>
      <c r="AB39" s="289" t="s">
        <v>28</v>
      </c>
      <c r="AC39" s="289" t="s">
        <v>28</v>
      </c>
      <c r="AD39" s="289" t="s">
        <v>28</v>
      </c>
      <c r="AE39" s="289" t="s">
        <v>28</v>
      </c>
      <c r="AF39" s="289" t="s">
        <v>28</v>
      </c>
      <c r="AG39" s="289" t="s">
        <v>28</v>
      </c>
      <c r="AH39" s="291" t="s">
        <v>28</v>
      </c>
    </row>
    <row r="40" spans="1:34" ht="11.85" customHeight="1">
      <c r="A40" s="311" t="s">
        <v>51</v>
      </c>
      <c r="B40" s="312" t="s">
        <v>52</v>
      </c>
      <c r="C40" s="1618">
        <v>75</v>
      </c>
      <c r="D40" s="313">
        <v>38</v>
      </c>
      <c r="E40" s="313">
        <v>33</v>
      </c>
      <c r="F40" s="313">
        <v>17</v>
      </c>
      <c r="G40" s="313">
        <v>8</v>
      </c>
      <c r="H40" s="313">
        <v>3</v>
      </c>
      <c r="I40" s="313">
        <v>34</v>
      </c>
      <c r="J40" s="313">
        <v>18</v>
      </c>
      <c r="K40" s="313">
        <v>15</v>
      </c>
      <c r="L40" s="313">
        <v>8</v>
      </c>
      <c r="M40" s="313">
        <v>14</v>
      </c>
      <c r="N40" s="313">
        <v>9</v>
      </c>
      <c r="O40" s="313" t="s">
        <v>28</v>
      </c>
      <c r="P40" s="313" t="s">
        <v>28</v>
      </c>
      <c r="Q40" s="313">
        <v>1</v>
      </c>
      <c r="R40" s="313">
        <v>1</v>
      </c>
      <c r="S40" s="313">
        <v>8</v>
      </c>
      <c r="T40" s="313">
        <v>4</v>
      </c>
      <c r="U40" s="313">
        <v>1</v>
      </c>
      <c r="V40" s="313">
        <v>1</v>
      </c>
      <c r="W40" s="313">
        <v>3</v>
      </c>
      <c r="X40" s="313">
        <v>1</v>
      </c>
      <c r="Y40" s="313">
        <v>1</v>
      </c>
      <c r="Z40" s="313" t="s">
        <v>28</v>
      </c>
      <c r="AA40" s="313">
        <v>1</v>
      </c>
      <c r="AB40" s="313" t="s">
        <v>28</v>
      </c>
      <c r="AC40" s="313">
        <v>28</v>
      </c>
      <c r="AD40" s="313">
        <v>13</v>
      </c>
      <c r="AE40" s="313">
        <v>3</v>
      </c>
      <c r="AF40" s="313">
        <v>1</v>
      </c>
      <c r="AG40" s="313" t="s">
        <v>28</v>
      </c>
      <c r="AH40" s="315" t="s">
        <v>28</v>
      </c>
    </row>
    <row r="41" spans="1:34" ht="11.85" customHeight="1">
      <c r="A41" s="310" t="s">
        <v>411</v>
      </c>
      <c r="B41" s="287" t="s">
        <v>30</v>
      </c>
      <c r="C41" s="300">
        <v>75</v>
      </c>
      <c r="D41" s="289">
        <v>38</v>
      </c>
      <c r="E41" s="289">
        <v>33</v>
      </c>
      <c r="F41" s="289">
        <v>17</v>
      </c>
      <c r="G41" s="289">
        <v>8</v>
      </c>
      <c r="H41" s="289">
        <v>3</v>
      </c>
      <c r="I41" s="289">
        <v>34</v>
      </c>
      <c r="J41" s="289">
        <v>18</v>
      </c>
      <c r="K41" s="289">
        <v>15</v>
      </c>
      <c r="L41" s="289">
        <v>8</v>
      </c>
      <c r="M41" s="289">
        <v>14</v>
      </c>
      <c r="N41" s="289">
        <v>9</v>
      </c>
      <c r="O41" s="289" t="s">
        <v>28</v>
      </c>
      <c r="P41" s="289" t="s">
        <v>28</v>
      </c>
      <c r="Q41" s="289">
        <v>1</v>
      </c>
      <c r="R41" s="289">
        <v>1</v>
      </c>
      <c r="S41" s="289">
        <v>8</v>
      </c>
      <c r="T41" s="289">
        <v>4</v>
      </c>
      <c r="U41" s="289">
        <v>1</v>
      </c>
      <c r="V41" s="289">
        <v>1</v>
      </c>
      <c r="W41" s="289">
        <v>3</v>
      </c>
      <c r="X41" s="289">
        <v>1</v>
      </c>
      <c r="Y41" s="289">
        <v>1</v>
      </c>
      <c r="Z41" s="289" t="s">
        <v>28</v>
      </c>
      <c r="AA41" s="289">
        <v>1</v>
      </c>
      <c r="AB41" s="289" t="s">
        <v>28</v>
      </c>
      <c r="AC41" s="289">
        <v>28</v>
      </c>
      <c r="AD41" s="289">
        <v>13</v>
      </c>
      <c r="AE41" s="289">
        <v>3</v>
      </c>
      <c r="AF41" s="289">
        <v>1</v>
      </c>
      <c r="AG41" s="289" t="s">
        <v>28</v>
      </c>
      <c r="AH41" s="291" t="s">
        <v>28</v>
      </c>
    </row>
    <row r="42" spans="1:34" ht="11.85" customHeight="1">
      <c r="A42" s="310" t="s">
        <v>412</v>
      </c>
      <c r="B42" s="287" t="s">
        <v>32</v>
      </c>
      <c r="C42" s="300" t="s">
        <v>28</v>
      </c>
      <c r="D42" s="289" t="s">
        <v>28</v>
      </c>
      <c r="E42" s="289" t="s">
        <v>28</v>
      </c>
      <c r="F42" s="289" t="s">
        <v>28</v>
      </c>
      <c r="G42" s="289" t="s">
        <v>28</v>
      </c>
      <c r="H42" s="289" t="s">
        <v>28</v>
      </c>
      <c r="I42" s="289" t="s">
        <v>28</v>
      </c>
      <c r="J42" s="289" t="s">
        <v>28</v>
      </c>
      <c r="K42" s="289" t="s">
        <v>28</v>
      </c>
      <c r="L42" s="289" t="s">
        <v>28</v>
      </c>
      <c r="M42" s="289" t="s">
        <v>28</v>
      </c>
      <c r="N42" s="289" t="s">
        <v>28</v>
      </c>
      <c r="O42" s="289" t="s">
        <v>28</v>
      </c>
      <c r="P42" s="289" t="s">
        <v>28</v>
      </c>
      <c r="Q42" s="289" t="s">
        <v>28</v>
      </c>
      <c r="R42" s="289" t="s">
        <v>28</v>
      </c>
      <c r="S42" s="289" t="s">
        <v>28</v>
      </c>
      <c r="T42" s="289" t="s">
        <v>28</v>
      </c>
      <c r="U42" s="289" t="s">
        <v>28</v>
      </c>
      <c r="V42" s="289" t="s">
        <v>28</v>
      </c>
      <c r="W42" s="289" t="s">
        <v>28</v>
      </c>
      <c r="X42" s="289" t="s">
        <v>28</v>
      </c>
      <c r="Y42" s="289" t="s">
        <v>28</v>
      </c>
      <c r="Z42" s="289" t="s">
        <v>28</v>
      </c>
      <c r="AA42" s="289" t="s">
        <v>28</v>
      </c>
      <c r="AB42" s="289" t="s">
        <v>28</v>
      </c>
      <c r="AC42" s="289" t="s">
        <v>28</v>
      </c>
      <c r="AD42" s="289" t="s">
        <v>28</v>
      </c>
      <c r="AE42" s="289" t="s">
        <v>28</v>
      </c>
      <c r="AF42" s="289" t="s">
        <v>28</v>
      </c>
      <c r="AG42" s="289" t="s">
        <v>28</v>
      </c>
      <c r="AH42" s="291" t="s">
        <v>28</v>
      </c>
    </row>
    <row r="43" spans="1:34" ht="11.85" customHeight="1">
      <c r="A43" s="311" t="s">
        <v>53</v>
      </c>
      <c r="B43" s="312" t="s">
        <v>54</v>
      </c>
      <c r="C43" s="1618">
        <v>27</v>
      </c>
      <c r="D43" s="313">
        <v>14</v>
      </c>
      <c r="E43" s="313">
        <v>11</v>
      </c>
      <c r="F43" s="313">
        <v>3</v>
      </c>
      <c r="G43" s="313">
        <v>9</v>
      </c>
      <c r="H43" s="313">
        <v>7</v>
      </c>
      <c r="I43" s="313">
        <v>7</v>
      </c>
      <c r="J43" s="313">
        <v>4</v>
      </c>
      <c r="K43" s="313">
        <v>7</v>
      </c>
      <c r="L43" s="313">
        <v>5</v>
      </c>
      <c r="M43" s="313">
        <v>7</v>
      </c>
      <c r="N43" s="313">
        <v>5</v>
      </c>
      <c r="O43" s="313">
        <v>1</v>
      </c>
      <c r="P43" s="313" t="s">
        <v>28</v>
      </c>
      <c r="Q43" s="313" t="s">
        <v>28</v>
      </c>
      <c r="R43" s="313" t="s">
        <v>28</v>
      </c>
      <c r="S43" s="313" t="s">
        <v>28</v>
      </c>
      <c r="T43" s="313" t="s">
        <v>28</v>
      </c>
      <c r="U43" s="313">
        <v>3</v>
      </c>
      <c r="V43" s="313">
        <v>1</v>
      </c>
      <c r="W43" s="313" t="s">
        <v>28</v>
      </c>
      <c r="X43" s="313" t="s">
        <v>28</v>
      </c>
      <c r="Y43" s="313" t="s">
        <v>28</v>
      </c>
      <c r="Z43" s="313" t="s">
        <v>28</v>
      </c>
      <c r="AA43" s="313" t="s">
        <v>28</v>
      </c>
      <c r="AB43" s="313" t="s">
        <v>28</v>
      </c>
      <c r="AC43" s="313">
        <v>7</v>
      </c>
      <c r="AD43" s="313">
        <v>3</v>
      </c>
      <c r="AE43" s="313">
        <v>2</v>
      </c>
      <c r="AF43" s="313" t="s">
        <v>28</v>
      </c>
      <c r="AG43" s="313" t="s">
        <v>28</v>
      </c>
      <c r="AH43" s="315" t="s">
        <v>28</v>
      </c>
    </row>
    <row r="44" spans="1:34" ht="11.85" customHeight="1">
      <c r="A44" s="310" t="s">
        <v>411</v>
      </c>
      <c r="B44" s="287" t="s">
        <v>30</v>
      </c>
      <c r="C44" s="300">
        <v>27</v>
      </c>
      <c r="D44" s="289">
        <v>14</v>
      </c>
      <c r="E44" s="289">
        <v>11</v>
      </c>
      <c r="F44" s="289">
        <v>3</v>
      </c>
      <c r="G44" s="289">
        <v>9</v>
      </c>
      <c r="H44" s="289">
        <v>7</v>
      </c>
      <c r="I44" s="289">
        <v>7</v>
      </c>
      <c r="J44" s="289">
        <v>4</v>
      </c>
      <c r="K44" s="289">
        <v>7</v>
      </c>
      <c r="L44" s="289">
        <v>5</v>
      </c>
      <c r="M44" s="289">
        <v>7</v>
      </c>
      <c r="N44" s="289">
        <v>5</v>
      </c>
      <c r="O44" s="289">
        <v>1</v>
      </c>
      <c r="P44" s="289" t="s">
        <v>28</v>
      </c>
      <c r="Q44" s="289" t="s">
        <v>28</v>
      </c>
      <c r="R44" s="289" t="s">
        <v>28</v>
      </c>
      <c r="S44" s="289" t="s">
        <v>28</v>
      </c>
      <c r="T44" s="289" t="s">
        <v>28</v>
      </c>
      <c r="U44" s="289">
        <v>3</v>
      </c>
      <c r="V44" s="289">
        <v>1</v>
      </c>
      <c r="W44" s="289" t="s">
        <v>28</v>
      </c>
      <c r="X44" s="289" t="s">
        <v>28</v>
      </c>
      <c r="Y44" s="289" t="s">
        <v>28</v>
      </c>
      <c r="Z44" s="289" t="s">
        <v>28</v>
      </c>
      <c r="AA44" s="289" t="s">
        <v>28</v>
      </c>
      <c r="AB44" s="289" t="s">
        <v>28</v>
      </c>
      <c r="AC44" s="289">
        <v>7</v>
      </c>
      <c r="AD44" s="289">
        <v>3</v>
      </c>
      <c r="AE44" s="289">
        <v>2</v>
      </c>
      <c r="AF44" s="289" t="s">
        <v>28</v>
      </c>
      <c r="AG44" s="289" t="s">
        <v>28</v>
      </c>
      <c r="AH44" s="291" t="s">
        <v>28</v>
      </c>
    </row>
    <row r="45" spans="1:34" ht="11.85" customHeight="1">
      <c r="A45" s="310" t="s">
        <v>412</v>
      </c>
      <c r="B45" s="287" t="s">
        <v>32</v>
      </c>
      <c r="C45" s="1607" t="s">
        <v>28</v>
      </c>
      <c r="D45" s="289" t="s">
        <v>28</v>
      </c>
      <c r="E45" s="289" t="s">
        <v>28</v>
      </c>
      <c r="F45" s="289" t="s">
        <v>28</v>
      </c>
      <c r="G45" s="289" t="s">
        <v>28</v>
      </c>
      <c r="H45" s="289" t="s">
        <v>28</v>
      </c>
      <c r="I45" s="289" t="s">
        <v>28</v>
      </c>
      <c r="J45" s="289" t="s">
        <v>28</v>
      </c>
      <c r="K45" s="289" t="s">
        <v>28</v>
      </c>
      <c r="L45" s="289" t="s">
        <v>28</v>
      </c>
      <c r="M45" s="289" t="s">
        <v>28</v>
      </c>
      <c r="N45" s="289" t="s">
        <v>28</v>
      </c>
      <c r="O45" s="289" t="s">
        <v>28</v>
      </c>
      <c r="P45" s="289" t="s">
        <v>28</v>
      </c>
      <c r="Q45" s="289" t="s">
        <v>28</v>
      </c>
      <c r="R45" s="289" t="s">
        <v>28</v>
      </c>
      <c r="S45" s="289" t="s">
        <v>28</v>
      </c>
      <c r="T45" s="289" t="s">
        <v>28</v>
      </c>
      <c r="U45" s="289" t="s">
        <v>28</v>
      </c>
      <c r="V45" s="289" t="s">
        <v>28</v>
      </c>
      <c r="W45" s="289" t="s">
        <v>28</v>
      </c>
      <c r="X45" s="289" t="s">
        <v>28</v>
      </c>
      <c r="Y45" s="289" t="s">
        <v>28</v>
      </c>
      <c r="Z45" s="289" t="s">
        <v>28</v>
      </c>
      <c r="AA45" s="289" t="s">
        <v>28</v>
      </c>
      <c r="AB45" s="289" t="s">
        <v>28</v>
      </c>
      <c r="AC45" s="289" t="s">
        <v>28</v>
      </c>
      <c r="AD45" s="289" t="s">
        <v>28</v>
      </c>
      <c r="AE45" s="289" t="s">
        <v>28</v>
      </c>
      <c r="AF45" s="289" t="s">
        <v>28</v>
      </c>
      <c r="AG45" s="289" t="s">
        <v>28</v>
      </c>
      <c r="AH45" s="291" t="s">
        <v>28</v>
      </c>
    </row>
    <row r="46" spans="1:34" ht="11.85" customHeight="1">
      <c r="A46" s="311" t="s">
        <v>55</v>
      </c>
      <c r="B46" s="312" t="s">
        <v>56</v>
      </c>
      <c r="C46" s="1618">
        <v>13</v>
      </c>
      <c r="D46" s="313">
        <v>6</v>
      </c>
      <c r="E46" s="313">
        <v>9</v>
      </c>
      <c r="F46" s="313">
        <v>4</v>
      </c>
      <c r="G46" s="313" t="s">
        <v>28</v>
      </c>
      <c r="H46" s="313" t="s">
        <v>28</v>
      </c>
      <c r="I46" s="313">
        <v>4</v>
      </c>
      <c r="J46" s="313">
        <v>2</v>
      </c>
      <c r="K46" s="313">
        <v>1</v>
      </c>
      <c r="L46" s="313">
        <v>1</v>
      </c>
      <c r="M46" s="313">
        <v>2</v>
      </c>
      <c r="N46" s="313" t="s">
        <v>28</v>
      </c>
      <c r="O46" s="313" t="s">
        <v>28</v>
      </c>
      <c r="P46" s="313" t="s">
        <v>28</v>
      </c>
      <c r="Q46" s="313">
        <v>2</v>
      </c>
      <c r="R46" s="313">
        <v>2</v>
      </c>
      <c r="S46" s="313">
        <v>5</v>
      </c>
      <c r="T46" s="313">
        <v>2</v>
      </c>
      <c r="U46" s="313" t="s">
        <v>28</v>
      </c>
      <c r="V46" s="313" t="s">
        <v>28</v>
      </c>
      <c r="W46" s="313" t="s">
        <v>28</v>
      </c>
      <c r="X46" s="313" t="s">
        <v>28</v>
      </c>
      <c r="Y46" s="313" t="s">
        <v>28</v>
      </c>
      <c r="Z46" s="313" t="s">
        <v>28</v>
      </c>
      <c r="AA46" s="313" t="s">
        <v>28</v>
      </c>
      <c r="AB46" s="313" t="s">
        <v>28</v>
      </c>
      <c r="AC46" s="313">
        <v>3</v>
      </c>
      <c r="AD46" s="313">
        <v>1</v>
      </c>
      <c r="AE46" s="313" t="s">
        <v>28</v>
      </c>
      <c r="AF46" s="313" t="s">
        <v>28</v>
      </c>
      <c r="AG46" s="313" t="s">
        <v>28</v>
      </c>
      <c r="AH46" s="315" t="s">
        <v>28</v>
      </c>
    </row>
    <row r="47" spans="1:34" ht="11.85" customHeight="1">
      <c r="A47" s="310" t="s">
        <v>411</v>
      </c>
      <c r="B47" s="287" t="s">
        <v>30</v>
      </c>
      <c r="C47" s="300">
        <v>13</v>
      </c>
      <c r="D47" s="289">
        <v>6</v>
      </c>
      <c r="E47" s="289">
        <v>9</v>
      </c>
      <c r="F47" s="289">
        <v>4</v>
      </c>
      <c r="G47" s="289" t="s">
        <v>28</v>
      </c>
      <c r="H47" s="289" t="s">
        <v>28</v>
      </c>
      <c r="I47" s="289">
        <v>4</v>
      </c>
      <c r="J47" s="289">
        <v>2</v>
      </c>
      <c r="K47" s="289">
        <v>1</v>
      </c>
      <c r="L47" s="289">
        <v>1</v>
      </c>
      <c r="M47" s="289">
        <v>2</v>
      </c>
      <c r="N47" s="289" t="s">
        <v>28</v>
      </c>
      <c r="O47" s="289" t="s">
        <v>28</v>
      </c>
      <c r="P47" s="289" t="s">
        <v>28</v>
      </c>
      <c r="Q47" s="289">
        <v>2</v>
      </c>
      <c r="R47" s="289">
        <v>2</v>
      </c>
      <c r="S47" s="289">
        <v>5</v>
      </c>
      <c r="T47" s="289">
        <v>2</v>
      </c>
      <c r="U47" s="289" t="s">
        <v>28</v>
      </c>
      <c r="V47" s="289" t="s">
        <v>28</v>
      </c>
      <c r="W47" s="289" t="s">
        <v>28</v>
      </c>
      <c r="X47" s="289" t="s">
        <v>28</v>
      </c>
      <c r="Y47" s="289" t="s">
        <v>28</v>
      </c>
      <c r="Z47" s="289" t="s">
        <v>28</v>
      </c>
      <c r="AA47" s="289" t="s">
        <v>28</v>
      </c>
      <c r="AB47" s="289" t="s">
        <v>28</v>
      </c>
      <c r="AC47" s="289">
        <v>3</v>
      </c>
      <c r="AD47" s="289">
        <v>1</v>
      </c>
      <c r="AE47" s="289" t="s">
        <v>28</v>
      </c>
      <c r="AF47" s="289" t="s">
        <v>28</v>
      </c>
      <c r="AG47" s="289" t="s">
        <v>28</v>
      </c>
      <c r="AH47" s="291" t="s">
        <v>28</v>
      </c>
    </row>
    <row r="48" spans="1:34" ht="11.85" customHeight="1">
      <c r="A48" s="310" t="s">
        <v>412</v>
      </c>
      <c r="B48" s="287" t="s">
        <v>32</v>
      </c>
      <c r="C48" s="300" t="s">
        <v>28</v>
      </c>
      <c r="D48" s="289" t="s">
        <v>28</v>
      </c>
      <c r="E48" s="289" t="s">
        <v>28</v>
      </c>
      <c r="F48" s="289" t="s">
        <v>28</v>
      </c>
      <c r="G48" s="289" t="s">
        <v>28</v>
      </c>
      <c r="H48" s="289" t="s">
        <v>28</v>
      </c>
      <c r="I48" s="289" t="s">
        <v>28</v>
      </c>
      <c r="J48" s="289" t="s">
        <v>28</v>
      </c>
      <c r="K48" s="289" t="s">
        <v>28</v>
      </c>
      <c r="L48" s="289" t="s">
        <v>28</v>
      </c>
      <c r="M48" s="289" t="s">
        <v>28</v>
      </c>
      <c r="N48" s="289" t="s">
        <v>28</v>
      </c>
      <c r="O48" s="289" t="s">
        <v>28</v>
      </c>
      <c r="P48" s="289" t="s">
        <v>28</v>
      </c>
      <c r="Q48" s="289" t="s">
        <v>28</v>
      </c>
      <c r="R48" s="289" t="s">
        <v>28</v>
      </c>
      <c r="S48" s="289" t="s">
        <v>28</v>
      </c>
      <c r="T48" s="289" t="s">
        <v>28</v>
      </c>
      <c r="U48" s="289" t="s">
        <v>28</v>
      </c>
      <c r="V48" s="289" t="s">
        <v>28</v>
      </c>
      <c r="W48" s="289" t="s">
        <v>28</v>
      </c>
      <c r="X48" s="289" t="s">
        <v>28</v>
      </c>
      <c r="Y48" s="289" t="s">
        <v>28</v>
      </c>
      <c r="Z48" s="289" t="s">
        <v>28</v>
      </c>
      <c r="AA48" s="289" t="s">
        <v>28</v>
      </c>
      <c r="AB48" s="289" t="s">
        <v>28</v>
      </c>
      <c r="AC48" s="289" t="s">
        <v>28</v>
      </c>
      <c r="AD48" s="289" t="s">
        <v>28</v>
      </c>
      <c r="AE48" s="289" t="s">
        <v>28</v>
      </c>
      <c r="AF48" s="289" t="s">
        <v>28</v>
      </c>
      <c r="AG48" s="289" t="s">
        <v>28</v>
      </c>
      <c r="AH48" s="291" t="s">
        <v>28</v>
      </c>
    </row>
    <row r="49" spans="1:35" ht="11.85" customHeight="1">
      <c r="A49" s="311" t="s">
        <v>57</v>
      </c>
      <c r="B49" s="312" t="s">
        <v>58</v>
      </c>
      <c r="C49" s="1618">
        <v>9</v>
      </c>
      <c r="D49" s="313">
        <v>5</v>
      </c>
      <c r="E49" s="313">
        <v>7</v>
      </c>
      <c r="F49" s="313">
        <v>4</v>
      </c>
      <c r="G49" s="313" t="s">
        <v>28</v>
      </c>
      <c r="H49" s="313" t="s">
        <v>28</v>
      </c>
      <c r="I49" s="313">
        <v>2</v>
      </c>
      <c r="J49" s="313">
        <v>1</v>
      </c>
      <c r="K49" s="313">
        <v>2</v>
      </c>
      <c r="L49" s="313">
        <v>1</v>
      </c>
      <c r="M49" s="313">
        <v>3</v>
      </c>
      <c r="N49" s="313">
        <v>1</v>
      </c>
      <c r="O49" s="313">
        <v>2</v>
      </c>
      <c r="P49" s="313">
        <v>2</v>
      </c>
      <c r="Q49" s="313" t="s">
        <v>28</v>
      </c>
      <c r="R49" s="313" t="s">
        <v>28</v>
      </c>
      <c r="S49" s="313" t="s">
        <v>28</v>
      </c>
      <c r="T49" s="313" t="s">
        <v>28</v>
      </c>
      <c r="U49" s="313" t="s">
        <v>28</v>
      </c>
      <c r="V49" s="313" t="s">
        <v>28</v>
      </c>
      <c r="W49" s="313" t="s">
        <v>28</v>
      </c>
      <c r="X49" s="313" t="s">
        <v>28</v>
      </c>
      <c r="Y49" s="313" t="s">
        <v>28</v>
      </c>
      <c r="Z49" s="313" t="s">
        <v>28</v>
      </c>
      <c r="AA49" s="313" t="s">
        <v>28</v>
      </c>
      <c r="AB49" s="313" t="s">
        <v>28</v>
      </c>
      <c r="AC49" s="313">
        <v>1</v>
      </c>
      <c r="AD49" s="313">
        <v>1</v>
      </c>
      <c r="AE49" s="313">
        <v>1</v>
      </c>
      <c r="AF49" s="313" t="s">
        <v>28</v>
      </c>
      <c r="AG49" s="313" t="s">
        <v>28</v>
      </c>
      <c r="AH49" s="315" t="s">
        <v>28</v>
      </c>
    </row>
    <row r="50" spans="1:35" ht="11.85" customHeight="1">
      <c r="A50" s="310" t="s">
        <v>411</v>
      </c>
      <c r="B50" s="287" t="s">
        <v>30</v>
      </c>
      <c r="C50" s="300">
        <v>9</v>
      </c>
      <c r="D50" s="289">
        <v>5</v>
      </c>
      <c r="E50" s="289">
        <v>7</v>
      </c>
      <c r="F50" s="289">
        <v>4</v>
      </c>
      <c r="G50" s="289" t="s">
        <v>28</v>
      </c>
      <c r="H50" s="289" t="s">
        <v>28</v>
      </c>
      <c r="I50" s="289">
        <v>2</v>
      </c>
      <c r="J50" s="289">
        <v>1</v>
      </c>
      <c r="K50" s="289">
        <v>2</v>
      </c>
      <c r="L50" s="289">
        <v>1</v>
      </c>
      <c r="M50" s="289">
        <v>3</v>
      </c>
      <c r="N50" s="289">
        <v>1</v>
      </c>
      <c r="O50" s="289">
        <v>2</v>
      </c>
      <c r="P50" s="289">
        <v>2</v>
      </c>
      <c r="Q50" s="289" t="s">
        <v>28</v>
      </c>
      <c r="R50" s="289" t="s">
        <v>28</v>
      </c>
      <c r="S50" s="289" t="s">
        <v>28</v>
      </c>
      <c r="T50" s="289" t="s">
        <v>28</v>
      </c>
      <c r="U50" s="289" t="s">
        <v>28</v>
      </c>
      <c r="V50" s="289" t="s">
        <v>28</v>
      </c>
      <c r="W50" s="289" t="s">
        <v>28</v>
      </c>
      <c r="X50" s="289" t="s">
        <v>28</v>
      </c>
      <c r="Y50" s="289" t="s">
        <v>28</v>
      </c>
      <c r="Z50" s="289" t="s">
        <v>28</v>
      </c>
      <c r="AA50" s="289" t="s">
        <v>28</v>
      </c>
      <c r="AB50" s="289" t="s">
        <v>28</v>
      </c>
      <c r="AC50" s="289">
        <v>1</v>
      </c>
      <c r="AD50" s="289">
        <v>1</v>
      </c>
      <c r="AE50" s="289">
        <v>1</v>
      </c>
      <c r="AF50" s="289" t="s">
        <v>28</v>
      </c>
      <c r="AG50" s="289" t="s">
        <v>28</v>
      </c>
      <c r="AH50" s="291" t="s">
        <v>28</v>
      </c>
    </row>
    <row r="51" spans="1:35" ht="11.85" customHeight="1">
      <c r="A51" s="310" t="s">
        <v>412</v>
      </c>
      <c r="B51" s="287" t="s">
        <v>32</v>
      </c>
      <c r="C51" s="1607" t="s">
        <v>28</v>
      </c>
      <c r="D51" s="289" t="s">
        <v>28</v>
      </c>
      <c r="E51" s="289" t="s">
        <v>28</v>
      </c>
      <c r="F51" s="289" t="s">
        <v>28</v>
      </c>
      <c r="G51" s="289" t="s">
        <v>28</v>
      </c>
      <c r="H51" s="289" t="s">
        <v>28</v>
      </c>
      <c r="I51" s="289" t="s">
        <v>28</v>
      </c>
      <c r="J51" s="289" t="s">
        <v>28</v>
      </c>
      <c r="K51" s="289" t="s">
        <v>28</v>
      </c>
      <c r="L51" s="289" t="s">
        <v>28</v>
      </c>
      <c r="M51" s="289" t="s">
        <v>28</v>
      </c>
      <c r="N51" s="289" t="s">
        <v>28</v>
      </c>
      <c r="O51" s="289" t="s">
        <v>28</v>
      </c>
      <c r="P51" s="289" t="s">
        <v>28</v>
      </c>
      <c r="Q51" s="289" t="s">
        <v>28</v>
      </c>
      <c r="R51" s="289" t="s">
        <v>28</v>
      </c>
      <c r="S51" s="289" t="s">
        <v>28</v>
      </c>
      <c r="T51" s="289" t="s">
        <v>28</v>
      </c>
      <c r="U51" s="289" t="s">
        <v>28</v>
      </c>
      <c r="V51" s="289" t="s">
        <v>28</v>
      </c>
      <c r="W51" s="289" t="s">
        <v>28</v>
      </c>
      <c r="X51" s="289" t="s">
        <v>28</v>
      </c>
      <c r="Y51" s="289" t="s">
        <v>28</v>
      </c>
      <c r="Z51" s="289" t="s">
        <v>28</v>
      </c>
      <c r="AA51" s="289" t="s">
        <v>28</v>
      </c>
      <c r="AB51" s="289" t="s">
        <v>28</v>
      </c>
      <c r="AC51" s="289" t="s">
        <v>28</v>
      </c>
      <c r="AD51" s="289" t="s">
        <v>28</v>
      </c>
      <c r="AE51" s="289" t="s">
        <v>28</v>
      </c>
      <c r="AF51" s="289" t="s">
        <v>28</v>
      </c>
      <c r="AG51" s="289" t="s">
        <v>28</v>
      </c>
      <c r="AH51" s="291" t="s">
        <v>28</v>
      </c>
    </row>
    <row r="52" spans="1:35" ht="11.85" customHeight="1">
      <c r="A52" s="311" t="s">
        <v>59</v>
      </c>
      <c r="B52" s="312" t="s">
        <v>60</v>
      </c>
      <c r="C52" s="1618">
        <v>45</v>
      </c>
      <c r="D52" s="313">
        <v>25</v>
      </c>
      <c r="E52" s="313">
        <v>32</v>
      </c>
      <c r="F52" s="313">
        <v>18</v>
      </c>
      <c r="G52" s="313">
        <v>6</v>
      </c>
      <c r="H52" s="313">
        <v>3</v>
      </c>
      <c r="I52" s="313">
        <v>7</v>
      </c>
      <c r="J52" s="313">
        <v>4</v>
      </c>
      <c r="K52" s="313">
        <v>6</v>
      </c>
      <c r="L52" s="313">
        <v>3</v>
      </c>
      <c r="M52" s="313">
        <v>3</v>
      </c>
      <c r="N52" s="313">
        <v>1</v>
      </c>
      <c r="O52" s="313">
        <v>1</v>
      </c>
      <c r="P52" s="313">
        <v>1</v>
      </c>
      <c r="Q52" s="313">
        <v>3</v>
      </c>
      <c r="R52" s="313">
        <v>3</v>
      </c>
      <c r="S52" s="313">
        <v>7</v>
      </c>
      <c r="T52" s="313">
        <v>3</v>
      </c>
      <c r="U52" s="313">
        <v>2</v>
      </c>
      <c r="V52" s="313">
        <v>2</v>
      </c>
      <c r="W52" s="313">
        <v>1</v>
      </c>
      <c r="X52" s="313">
        <v>1</v>
      </c>
      <c r="Y52" s="313">
        <v>1</v>
      </c>
      <c r="Z52" s="313">
        <v>1</v>
      </c>
      <c r="AA52" s="313">
        <v>1</v>
      </c>
      <c r="AB52" s="313">
        <v>1</v>
      </c>
      <c r="AC52" s="313">
        <v>18</v>
      </c>
      <c r="AD52" s="313">
        <v>8</v>
      </c>
      <c r="AE52" s="313">
        <v>2</v>
      </c>
      <c r="AF52" s="313">
        <v>1</v>
      </c>
      <c r="AG52" s="313" t="s">
        <v>28</v>
      </c>
      <c r="AH52" s="315" t="s">
        <v>28</v>
      </c>
    </row>
    <row r="53" spans="1:35" ht="11.85" customHeight="1">
      <c r="A53" s="310" t="s">
        <v>411</v>
      </c>
      <c r="B53" s="287" t="s">
        <v>30</v>
      </c>
      <c r="C53" s="300">
        <v>45</v>
      </c>
      <c r="D53" s="289">
        <v>25</v>
      </c>
      <c r="E53" s="289">
        <v>32</v>
      </c>
      <c r="F53" s="289">
        <v>18</v>
      </c>
      <c r="G53" s="289">
        <v>6</v>
      </c>
      <c r="H53" s="289">
        <v>3</v>
      </c>
      <c r="I53" s="289">
        <v>7</v>
      </c>
      <c r="J53" s="289">
        <v>4</v>
      </c>
      <c r="K53" s="289">
        <v>6</v>
      </c>
      <c r="L53" s="289">
        <v>3</v>
      </c>
      <c r="M53" s="289">
        <v>3</v>
      </c>
      <c r="N53" s="289">
        <v>1</v>
      </c>
      <c r="O53" s="289">
        <v>1</v>
      </c>
      <c r="P53" s="289">
        <v>1</v>
      </c>
      <c r="Q53" s="289">
        <v>3</v>
      </c>
      <c r="R53" s="289">
        <v>3</v>
      </c>
      <c r="S53" s="289">
        <v>7</v>
      </c>
      <c r="T53" s="289">
        <v>3</v>
      </c>
      <c r="U53" s="289">
        <v>2</v>
      </c>
      <c r="V53" s="289">
        <v>2</v>
      </c>
      <c r="W53" s="289">
        <v>1</v>
      </c>
      <c r="X53" s="289">
        <v>1</v>
      </c>
      <c r="Y53" s="289">
        <v>1</v>
      </c>
      <c r="Z53" s="289">
        <v>1</v>
      </c>
      <c r="AA53" s="289">
        <v>1</v>
      </c>
      <c r="AB53" s="289">
        <v>1</v>
      </c>
      <c r="AC53" s="289">
        <v>18</v>
      </c>
      <c r="AD53" s="289">
        <v>8</v>
      </c>
      <c r="AE53" s="289">
        <v>2</v>
      </c>
      <c r="AF53" s="289">
        <v>1</v>
      </c>
      <c r="AG53" s="289" t="s">
        <v>28</v>
      </c>
      <c r="AH53" s="291" t="s">
        <v>28</v>
      </c>
    </row>
    <row r="54" spans="1:35" ht="11.85" customHeight="1">
      <c r="A54" s="310" t="s">
        <v>412</v>
      </c>
      <c r="B54" s="287" t="s">
        <v>32</v>
      </c>
      <c r="C54" s="1607" t="s">
        <v>28</v>
      </c>
      <c r="D54" s="289" t="s">
        <v>28</v>
      </c>
      <c r="E54" s="289" t="s">
        <v>28</v>
      </c>
      <c r="F54" s="289" t="s">
        <v>28</v>
      </c>
      <c r="G54" s="289" t="s">
        <v>28</v>
      </c>
      <c r="H54" s="289" t="s">
        <v>28</v>
      </c>
      <c r="I54" s="289" t="s">
        <v>28</v>
      </c>
      <c r="J54" s="289" t="s">
        <v>28</v>
      </c>
      <c r="K54" s="289" t="s">
        <v>28</v>
      </c>
      <c r="L54" s="289" t="s">
        <v>28</v>
      </c>
      <c r="M54" s="289" t="s">
        <v>28</v>
      </c>
      <c r="N54" s="289" t="s">
        <v>28</v>
      </c>
      <c r="O54" s="289" t="s">
        <v>28</v>
      </c>
      <c r="P54" s="289" t="s">
        <v>28</v>
      </c>
      <c r="Q54" s="289" t="s">
        <v>28</v>
      </c>
      <c r="R54" s="289" t="s">
        <v>28</v>
      </c>
      <c r="S54" s="289" t="s">
        <v>28</v>
      </c>
      <c r="T54" s="289" t="s">
        <v>28</v>
      </c>
      <c r="U54" s="289" t="s">
        <v>28</v>
      </c>
      <c r="V54" s="289" t="s">
        <v>28</v>
      </c>
      <c r="W54" s="289" t="s">
        <v>28</v>
      </c>
      <c r="X54" s="289" t="s">
        <v>28</v>
      </c>
      <c r="Y54" s="289" t="s">
        <v>28</v>
      </c>
      <c r="Z54" s="289" t="s">
        <v>28</v>
      </c>
      <c r="AA54" s="289" t="s">
        <v>28</v>
      </c>
      <c r="AB54" s="289" t="s">
        <v>28</v>
      </c>
      <c r="AC54" s="289" t="s">
        <v>28</v>
      </c>
      <c r="AD54" s="289" t="s">
        <v>28</v>
      </c>
      <c r="AE54" s="289" t="s">
        <v>28</v>
      </c>
      <c r="AF54" s="289" t="s">
        <v>28</v>
      </c>
      <c r="AG54" s="289" t="s">
        <v>28</v>
      </c>
      <c r="AH54" s="291" t="s">
        <v>28</v>
      </c>
    </row>
    <row r="55" spans="1:35" ht="11.85" customHeight="1">
      <c r="A55" s="311" t="s">
        <v>61</v>
      </c>
      <c r="B55" s="312" t="s">
        <v>62</v>
      </c>
      <c r="C55" s="1618">
        <v>1</v>
      </c>
      <c r="D55" s="313">
        <v>1</v>
      </c>
      <c r="E55" s="313">
        <v>1</v>
      </c>
      <c r="F55" s="313">
        <v>1</v>
      </c>
      <c r="G55" s="313" t="s">
        <v>28</v>
      </c>
      <c r="H55" s="313" t="s">
        <v>28</v>
      </c>
      <c r="I55" s="313" t="s">
        <v>28</v>
      </c>
      <c r="J55" s="313" t="s">
        <v>28</v>
      </c>
      <c r="K55" s="313">
        <v>1</v>
      </c>
      <c r="L55" s="313">
        <v>1</v>
      </c>
      <c r="M55" s="313" t="s">
        <v>28</v>
      </c>
      <c r="N55" s="313" t="s">
        <v>28</v>
      </c>
      <c r="O55" s="313" t="s">
        <v>28</v>
      </c>
      <c r="P55" s="313" t="s">
        <v>28</v>
      </c>
      <c r="Q55" s="313" t="s">
        <v>28</v>
      </c>
      <c r="R55" s="313" t="s">
        <v>28</v>
      </c>
      <c r="S55" s="313" t="s">
        <v>28</v>
      </c>
      <c r="T55" s="313" t="s">
        <v>28</v>
      </c>
      <c r="U55" s="313" t="s">
        <v>28</v>
      </c>
      <c r="V55" s="313" t="s">
        <v>28</v>
      </c>
      <c r="W55" s="313" t="s">
        <v>28</v>
      </c>
      <c r="X55" s="313" t="s">
        <v>28</v>
      </c>
      <c r="Y55" s="313" t="s">
        <v>28</v>
      </c>
      <c r="Z55" s="313" t="s">
        <v>28</v>
      </c>
      <c r="AA55" s="313" t="s">
        <v>28</v>
      </c>
      <c r="AB55" s="313" t="s">
        <v>28</v>
      </c>
      <c r="AC55" s="313" t="s">
        <v>28</v>
      </c>
      <c r="AD55" s="313" t="s">
        <v>28</v>
      </c>
      <c r="AE55" s="313" t="s">
        <v>28</v>
      </c>
      <c r="AF55" s="313" t="s">
        <v>28</v>
      </c>
      <c r="AG55" s="313" t="s">
        <v>28</v>
      </c>
      <c r="AH55" s="315" t="s">
        <v>28</v>
      </c>
    </row>
    <row r="56" spans="1:35" ht="11.85" customHeight="1">
      <c r="A56" s="310" t="s">
        <v>411</v>
      </c>
      <c r="B56" s="287" t="s">
        <v>30</v>
      </c>
      <c r="C56" s="1607" t="s">
        <v>28</v>
      </c>
      <c r="D56" s="289" t="s">
        <v>28</v>
      </c>
      <c r="E56" s="289" t="s">
        <v>28</v>
      </c>
      <c r="F56" s="289" t="s">
        <v>28</v>
      </c>
      <c r="G56" s="289" t="s">
        <v>28</v>
      </c>
      <c r="H56" s="289" t="s">
        <v>28</v>
      </c>
      <c r="I56" s="289" t="s">
        <v>28</v>
      </c>
      <c r="J56" s="289" t="s">
        <v>28</v>
      </c>
      <c r="K56" s="289" t="s">
        <v>28</v>
      </c>
      <c r="L56" s="289" t="s">
        <v>28</v>
      </c>
      <c r="M56" s="289" t="s">
        <v>28</v>
      </c>
      <c r="N56" s="289" t="s">
        <v>28</v>
      </c>
      <c r="O56" s="289" t="s">
        <v>28</v>
      </c>
      <c r="P56" s="289" t="s">
        <v>28</v>
      </c>
      <c r="Q56" s="289" t="s">
        <v>28</v>
      </c>
      <c r="R56" s="289" t="s">
        <v>28</v>
      </c>
      <c r="S56" s="289" t="s">
        <v>28</v>
      </c>
      <c r="T56" s="289" t="s">
        <v>28</v>
      </c>
      <c r="U56" s="289" t="s">
        <v>28</v>
      </c>
      <c r="V56" s="289" t="s">
        <v>28</v>
      </c>
      <c r="W56" s="289" t="s">
        <v>28</v>
      </c>
      <c r="X56" s="289" t="s">
        <v>28</v>
      </c>
      <c r="Y56" s="289" t="s">
        <v>28</v>
      </c>
      <c r="Z56" s="289" t="s">
        <v>28</v>
      </c>
      <c r="AA56" s="289" t="s">
        <v>28</v>
      </c>
      <c r="AB56" s="289" t="s">
        <v>28</v>
      </c>
      <c r="AC56" s="289" t="s">
        <v>28</v>
      </c>
      <c r="AD56" s="289" t="s">
        <v>28</v>
      </c>
      <c r="AE56" s="289" t="s">
        <v>28</v>
      </c>
      <c r="AF56" s="289" t="s">
        <v>28</v>
      </c>
      <c r="AG56" s="289" t="s">
        <v>28</v>
      </c>
      <c r="AH56" s="291" t="s">
        <v>28</v>
      </c>
    </row>
    <row r="57" spans="1:35" ht="11.85" customHeight="1">
      <c r="A57" s="310" t="s">
        <v>412</v>
      </c>
      <c r="B57" s="287" t="s">
        <v>32</v>
      </c>
      <c r="C57" s="1607">
        <v>1</v>
      </c>
      <c r="D57" s="289">
        <v>1</v>
      </c>
      <c r="E57" s="289">
        <v>1</v>
      </c>
      <c r="F57" s="289">
        <v>1</v>
      </c>
      <c r="G57" s="289" t="s">
        <v>28</v>
      </c>
      <c r="H57" s="289" t="s">
        <v>28</v>
      </c>
      <c r="I57" s="289" t="s">
        <v>28</v>
      </c>
      <c r="J57" s="289" t="s">
        <v>28</v>
      </c>
      <c r="K57" s="289">
        <v>1</v>
      </c>
      <c r="L57" s="289">
        <v>1</v>
      </c>
      <c r="M57" s="289" t="s">
        <v>28</v>
      </c>
      <c r="N57" s="289" t="s">
        <v>28</v>
      </c>
      <c r="O57" s="289" t="s">
        <v>28</v>
      </c>
      <c r="P57" s="289" t="s">
        <v>28</v>
      </c>
      <c r="Q57" s="289" t="s">
        <v>28</v>
      </c>
      <c r="R57" s="289" t="s">
        <v>28</v>
      </c>
      <c r="S57" s="289" t="s">
        <v>28</v>
      </c>
      <c r="T57" s="289" t="s">
        <v>28</v>
      </c>
      <c r="U57" s="289" t="s">
        <v>28</v>
      </c>
      <c r="V57" s="289" t="s">
        <v>28</v>
      </c>
      <c r="W57" s="289" t="s">
        <v>28</v>
      </c>
      <c r="X57" s="289" t="s">
        <v>28</v>
      </c>
      <c r="Y57" s="289" t="s">
        <v>28</v>
      </c>
      <c r="Z57" s="289" t="s">
        <v>28</v>
      </c>
      <c r="AA57" s="289" t="s">
        <v>28</v>
      </c>
      <c r="AB57" s="289" t="s">
        <v>28</v>
      </c>
      <c r="AC57" s="289" t="s">
        <v>28</v>
      </c>
      <c r="AD57" s="289" t="s">
        <v>28</v>
      </c>
      <c r="AE57" s="289" t="s">
        <v>28</v>
      </c>
      <c r="AF57" s="289" t="s">
        <v>28</v>
      </c>
      <c r="AG57" s="289" t="s">
        <v>28</v>
      </c>
      <c r="AH57" s="291" t="s">
        <v>28</v>
      </c>
    </row>
    <row r="58" spans="1:35" ht="11.85" customHeight="1">
      <c r="A58" s="311" t="s">
        <v>63</v>
      </c>
      <c r="B58" s="312" t="s">
        <v>64</v>
      </c>
      <c r="C58" s="1618" t="s">
        <v>28</v>
      </c>
      <c r="D58" s="313" t="s">
        <v>28</v>
      </c>
      <c r="E58" s="313" t="s">
        <v>28</v>
      </c>
      <c r="F58" s="313" t="s">
        <v>28</v>
      </c>
      <c r="G58" s="313" t="s">
        <v>28</v>
      </c>
      <c r="H58" s="313" t="s">
        <v>28</v>
      </c>
      <c r="I58" s="313" t="s">
        <v>28</v>
      </c>
      <c r="J58" s="313" t="s">
        <v>28</v>
      </c>
      <c r="K58" s="313" t="s">
        <v>28</v>
      </c>
      <c r="L58" s="313" t="s">
        <v>28</v>
      </c>
      <c r="M58" s="313" t="s">
        <v>28</v>
      </c>
      <c r="N58" s="313" t="s">
        <v>28</v>
      </c>
      <c r="O58" s="313" t="s">
        <v>28</v>
      </c>
      <c r="P58" s="313" t="s">
        <v>28</v>
      </c>
      <c r="Q58" s="313" t="s">
        <v>28</v>
      </c>
      <c r="R58" s="313" t="s">
        <v>28</v>
      </c>
      <c r="S58" s="313" t="s">
        <v>28</v>
      </c>
      <c r="T58" s="313" t="s">
        <v>28</v>
      </c>
      <c r="U58" s="313" t="s">
        <v>28</v>
      </c>
      <c r="V58" s="313" t="s">
        <v>28</v>
      </c>
      <c r="W58" s="313" t="s">
        <v>28</v>
      </c>
      <c r="X58" s="313" t="s">
        <v>28</v>
      </c>
      <c r="Y58" s="313" t="s">
        <v>28</v>
      </c>
      <c r="Z58" s="313" t="s">
        <v>28</v>
      </c>
      <c r="AA58" s="313" t="s">
        <v>28</v>
      </c>
      <c r="AB58" s="313" t="s">
        <v>28</v>
      </c>
      <c r="AC58" s="313" t="s">
        <v>28</v>
      </c>
      <c r="AD58" s="313" t="s">
        <v>28</v>
      </c>
      <c r="AE58" s="313" t="s">
        <v>28</v>
      </c>
      <c r="AF58" s="313" t="s">
        <v>28</v>
      </c>
      <c r="AG58" s="313" t="s">
        <v>28</v>
      </c>
      <c r="AH58" s="315" t="s">
        <v>28</v>
      </c>
    </row>
    <row r="59" spans="1:35" ht="11.85" customHeight="1">
      <c r="A59" s="310" t="s">
        <v>411</v>
      </c>
      <c r="B59" s="287" t="s">
        <v>30</v>
      </c>
      <c r="C59" s="1607" t="s">
        <v>28</v>
      </c>
      <c r="D59" s="289" t="s">
        <v>28</v>
      </c>
      <c r="E59" s="289" t="s">
        <v>28</v>
      </c>
      <c r="F59" s="289" t="s">
        <v>28</v>
      </c>
      <c r="G59" s="289" t="s">
        <v>28</v>
      </c>
      <c r="H59" s="289" t="s">
        <v>28</v>
      </c>
      <c r="I59" s="289" t="s">
        <v>28</v>
      </c>
      <c r="J59" s="289" t="s">
        <v>28</v>
      </c>
      <c r="K59" s="289" t="s">
        <v>28</v>
      </c>
      <c r="L59" s="289" t="s">
        <v>28</v>
      </c>
      <c r="M59" s="289" t="s">
        <v>28</v>
      </c>
      <c r="N59" s="289" t="s">
        <v>28</v>
      </c>
      <c r="O59" s="289" t="s">
        <v>28</v>
      </c>
      <c r="P59" s="289" t="s">
        <v>28</v>
      </c>
      <c r="Q59" s="289" t="s">
        <v>28</v>
      </c>
      <c r="R59" s="289" t="s">
        <v>28</v>
      </c>
      <c r="S59" s="289" t="s">
        <v>28</v>
      </c>
      <c r="T59" s="289" t="s">
        <v>28</v>
      </c>
      <c r="U59" s="289" t="s">
        <v>28</v>
      </c>
      <c r="V59" s="289" t="s">
        <v>28</v>
      </c>
      <c r="W59" s="289" t="s">
        <v>28</v>
      </c>
      <c r="X59" s="289" t="s">
        <v>28</v>
      </c>
      <c r="Y59" s="289" t="s">
        <v>28</v>
      </c>
      <c r="Z59" s="289" t="s">
        <v>28</v>
      </c>
      <c r="AA59" s="289" t="s">
        <v>28</v>
      </c>
      <c r="AB59" s="289" t="s">
        <v>28</v>
      </c>
      <c r="AC59" s="289" t="s">
        <v>28</v>
      </c>
      <c r="AD59" s="289" t="s">
        <v>28</v>
      </c>
      <c r="AE59" s="289" t="s">
        <v>28</v>
      </c>
      <c r="AF59" s="289" t="s">
        <v>28</v>
      </c>
      <c r="AG59" s="289" t="s">
        <v>28</v>
      </c>
      <c r="AH59" s="291" t="s">
        <v>28</v>
      </c>
    </row>
    <row r="60" spans="1:35" ht="11.85" customHeight="1" thickBot="1">
      <c r="A60" s="1622" t="s">
        <v>412</v>
      </c>
      <c r="B60" s="316" t="s">
        <v>32</v>
      </c>
      <c r="C60" s="317" t="s">
        <v>28</v>
      </c>
      <c r="D60" s="318" t="s">
        <v>28</v>
      </c>
      <c r="E60" s="318" t="s">
        <v>28</v>
      </c>
      <c r="F60" s="318" t="s">
        <v>28</v>
      </c>
      <c r="G60" s="318" t="s">
        <v>28</v>
      </c>
      <c r="H60" s="318" t="s">
        <v>28</v>
      </c>
      <c r="I60" s="318" t="s">
        <v>28</v>
      </c>
      <c r="J60" s="318" t="s">
        <v>28</v>
      </c>
      <c r="K60" s="318" t="s">
        <v>28</v>
      </c>
      <c r="L60" s="318" t="s">
        <v>28</v>
      </c>
      <c r="M60" s="318" t="s">
        <v>28</v>
      </c>
      <c r="N60" s="318" t="s">
        <v>28</v>
      </c>
      <c r="O60" s="318" t="s">
        <v>28</v>
      </c>
      <c r="P60" s="318" t="s">
        <v>28</v>
      </c>
      <c r="Q60" s="318" t="s">
        <v>28</v>
      </c>
      <c r="R60" s="318" t="s">
        <v>28</v>
      </c>
      <c r="S60" s="318" t="s">
        <v>28</v>
      </c>
      <c r="T60" s="318" t="s">
        <v>28</v>
      </c>
      <c r="U60" s="318" t="s">
        <v>28</v>
      </c>
      <c r="V60" s="318" t="s">
        <v>28</v>
      </c>
      <c r="W60" s="318" t="s">
        <v>28</v>
      </c>
      <c r="X60" s="318" t="s">
        <v>28</v>
      </c>
      <c r="Y60" s="318" t="s">
        <v>28</v>
      </c>
      <c r="Z60" s="318" t="s">
        <v>28</v>
      </c>
      <c r="AA60" s="318" t="s">
        <v>28</v>
      </c>
      <c r="AB60" s="318" t="s">
        <v>28</v>
      </c>
      <c r="AC60" s="318" t="s">
        <v>28</v>
      </c>
      <c r="AD60" s="318" t="s">
        <v>28</v>
      </c>
      <c r="AE60" s="318" t="s">
        <v>28</v>
      </c>
      <c r="AF60" s="318" t="s">
        <v>28</v>
      </c>
      <c r="AG60" s="318" t="s">
        <v>28</v>
      </c>
      <c r="AH60" s="319" t="s">
        <v>28</v>
      </c>
    </row>
    <row r="61" spans="1:35" ht="10.5" customHeight="1">
      <c r="A61" s="1152" t="s">
        <v>1111</v>
      </c>
      <c r="B61" s="1152"/>
      <c r="C61" s="1152"/>
      <c r="D61" s="1152"/>
      <c r="E61" s="1152"/>
      <c r="F61" s="1152"/>
      <c r="G61" s="1152"/>
      <c r="H61" s="1152"/>
      <c r="I61" s="1152"/>
      <c r="J61" s="1152"/>
      <c r="K61" s="1152"/>
      <c r="L61" s="1152"/>
      <c r="M61" s="1152"/>
      <c r="N61" s="1152"/>
      <c r="O61" s="1152"/>
      <c r="P61" s="1152"/>
      <c r="Q61" s="1153" t="s">
        <v>1215</v>
      </c>
      <c r="R61" s="1153"/>
      <c r="S61" s="1153"/>
      <c r="T61" s="1153"/>
      <c r="U61" s="1153"/>
      <c r="V61" s="1153"/>
      <c r="W61" s="1153"/>
      <c r="X61" s="1153"/>
      <c r="Y61" s="1153"/>
      <c r="Z61" s="1153"/>
      <c r="AA61" s="1153"/>
      <c r="AB61" s="1153"/>
      <c r="AC61" s="1153"/>
      <c r="AD61" s="1153"/>
      <c r="AE61" s="1153"/>
      <c r="AF61" s="1153"/>
      <c r="AG61" s="1153"/>
      <c r="AH61" s="1153"/>
    </row>
    <row r="62" spans="1:35" ht="10.5" customHeight="1">
      <c r="A62" s="1174" t="s">
        <v>672</v>
      </c>
      <c r="B62" s="1174"/>
      <c r="C62" s="1174"/>
      <c r="D62" s="1174"/>
      <c r="E62" s="1174"/>
      <c r="F62" s="1174"/>
      <c r="G62" s="1174"/>
      <c r="H62" s="1174"/>
      <c r="I62" s="1174"/>
      <c r="J62" s="1174"/>
      <c r="K62" s="1174"/>
      <c r="L62" s="1174"/>
      <c r="M62" s="1174"/>
      <c r="N62" s="1174"/>
      <c r="O62" s="1174"/>
      <c r="P62" s="1174"/>
      <c r="Q62" s="1623" t="s">
        <v>1343</v>
      </c>
      <c r="R62" s="1623"/>
      <c r="S62" s="1623"/>
      <c r="T62" s="1623"/>
      <c r="U62" s="1623"/>
      <c r="V62" s="1623"/>
      <c r="W62" s="1623"/>
      <c r="X62" s="1623"/>
      <c r="Y62" s="1623"/>
      <c r="Z62" s="1623"/>
      <c r="AA62" s="1623"/>
      <c r="AB62" s="1623"/>
      <c r="AC62" s="1623"/>
      <c r="AD62" s="1623"/>
      <c r="AE62" s="1623"/>
      <c r="AF62" s="1623"/>
      <c r="AG62" s="1623"/>
      <c r="AH62" s="1623"/>
      <c r="AI62" s="13"/>
    </row>
    <row r="63" spans="1:35" ht="11.25" customHeight="1">
      <c r="A63" s="320"/>
      <c r="B63" s="320"/>
      <c r="C63" s="320"/>
      <c r="D63" s="320"/>
      <c r="E63" s="320"/>
      <c r="F63" s="320"/>
      <c r="G63" s="320"/>
      <c r="H63" s="320"/>
      <c r="I63" s="320"/>
      <c r="J63" s="320"/>
      <c r="K63" s="320"/>
      <c r="L63" s="320"/>
      <c r="M63" s="320"/>
      <c r="N63" s="320"/>
      <c r="O63" s="320"/>
      <c r="P63" s="320"/>
      <c r="Q63" s="321"/>
      <c r="R63" s="321"/>
      <c r="S63" s="321"/>
      <c r="T63" s="321"/>
      <c r="U63" s="321"/>
      <c r="V63" s="321"/>
      <c r="W63" s="321"/>
      <c r="X63" s="321"/>
      <c r="Y63" s="321"/>
      <c r="Z63" s="321"/>
      <c r="AA63" s="321"/>
      <c r="AB63" s="321"/>
      <c r="AC63" s="321"/>
      <c r="AD63" s="321"/>
      <c r="AE63" s="321"/>
      <c r="AF63" s="321"/>
      <c r="AG63" s="321"/>
      <c r="AH63" s="321"/>
      <c r="AI63" s="13"/>
    </row>
    <row r="67" spans="1:1">
      <c r="A67" s="155"/>
    </row>
  </sheetData>
  <mergeCells count="57">
    <mergeCell ref="A3:P3"/>
    <mergeCell ref="Q3:AH3"/>
    <mergeCell ref="A2:P2"/>
    <mergeCell ref="A4:P4"/>
    <mergeCell ref="Q2:AH2"/>
    <mergeCell ref="Q4:AH4"/>
    <mergeCell ref="A6:B6"/>
    <mergeCell ref="C6:D6"/>
    <mergeCell ref="K6:P6"/>
    <mergeCell ref="Q6:AH6"/>
    <mergeCell ref="E6:J6"/>
    <mergeCell ref="A5:B5"/>
    <mergeCell ref="C5:D5"/>
    <mergeCell ref="K5:P5"/>
    <mergeCell ref="Q5:AH5"/>
    <mergeCell ref="E5:J5"/>
    <mergeCell ref="M7:N7"/>
    <mergeCell ref="O7:P7"/>
    <mergeCell ref="Q7:R7"/>
    <mergeCell ref="C7:D7"/>
    <mergeCell ref="E7:F7"/>
    <mergeCell ref="G7:H7"/>
    <mergeCell ref="I7:J7"/>
    <mergeCell ref="K7:L7"/>
    <mergeCell ref="C8:D8"/>
    <mergeCell ref="E8:F8"/>
    <mergeCell ref="G8:H8"/>
    <mergeCell ref="I8:J8"/>
    <mergeCell ref="K8:L8"/>
    <mergeCell ref="S7:T7"/>
    <mergeCell ref="U7:V7"/>
    <mergeCell ref="W7:X7"/>
    <mergeCell ref="AE7:AF7"/>
    <mergeCell ref="AG7:AH7"/>
    <mergeCell ref="Y7:Z7"/>
    <mergeCell ref="AE8:AF8"/>
    <mergeCell ref="AG8:AH8"/>
    <mergeCell ref="A14:P14"/>
    <mergeCell ref="Q14:AH14"/>
    <mergeCell ref="M8:N8"/>
    <mergeCell ref="O8:P8"/>
    <mergeCell ref="Q8:R8"/>
    <mergeCell ref="S8:T8"/>
    <mergeCell ref="U8:V8"/>
    <mergeCell ref="W8:X8"/>
    <mergeCell ref="Y8:Z8"/>
    <mergeCell ref="AA8:AB8"/>
    <mergeCell ref="AC8:AD8"/>
    <mergeCell ref="A7:B8"/>
    <mergeCell ref="AA7:AB7"/>
    <mergeCell ref="AC7:AD7"/>
    <mergeCell ref="A30:P30"/>
    <mergeCell ref="Q30:AH30"/>
    <mergeCell ref="A61:P61"/>
    <mergeCell ref="Q61:AH61"/>
    <mergeCell ref="A62:P62"/>
    <mergeCell ref="Q62:AH62"/>
  </mergeCells>
  <phoneticPr fontId="4" type="noConversion"/>
  <hyperlinks>
    <hyperlink ref="A1" location="목록!A1" display="목록!A1" xr:uid="{70D05E17-F57B-40FA-A044-E40BDE0D3F85}"/>
  </hyperlinks>
  <printOptions horizontalCentered="1"/>
  <pageMargins left="0.59055118110236227" right="0.59055118110236227" top="0.78740157480314965" bottom="0.59055118110236227" header="0.62992125984251968" footer="0.39370078740157483"/>
  <pageSetup paperSize="9" scale="99" orientation="portrait" r:id="rId1"/>
  <colBreaks count="1" manualBreakCount="1">
    <brk id="16" min="1" max="61" man="1"/>
  </colBreak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R66"/>
  <sheetViews>
    <sheetView showGridLines="0" showWhiteSpace="0" view="pageBreakPreview" zoomScaleNormal="100" zoomScaleSheetLayoutView="100" zoomScalePageLayoutView="85" workbookViewId="0">
      <selection activeCell="A2" sqref="A2:R62"/>
    </sheetView>
  </sheetViews>
  <sheetFormatPr defaultColWidth="8.88671875" defaultRowHeight="16.5"/>
  <cols>
    <col min="1" max="1" width="7.77734375" style="340" customWidth="1"/>
    <col min="2" max="2" width="11.21875" style="340" customWidth="1"/>
    <col min="3" max="7" width="7.44140625" style="340" customWidth="1"/>
    <col min="8" max="8" width="7.44140625" style="341" customWidth="1"/>
    <col min="9" max="10" width="7.44140625" style="340" customWidth="1"/>
    <col min="11" max="13" width="9.88671875" style="340" customWidth="1"/>
    <col min="14" max="17" width="9.77734375" style="340" customWidth="1"/>
    <col min="18" max="18" width="9.77734375" style="342" customWidth="1"/>
    <col min="19" max="16384" width="8.88671875" style="16"/>
  </cols>
  <sheetData>
    <row r="1" spans="1:18" ht="22.5">
      <c r="A1" s="901" t="s">
        <v>1332</v>
      </c>
      <c r="H1" s="879"/>
    </row>
    <row r="2" spans="1:18" s="14" customFormat="1" ht="13.5" customHeight="1">
      <c r="A2" s="1188" t="s">
        <v>1024</v>
      </c>
      <c r="B2" s="1188"/>
      <c r="C2" s="1188"/>
      <c r="D2" s="1188"/>
      <c r="E2" s="1188"/>
      <c r="F2" s="1188"/>
      <c r="G2" s="1188"/>
      <c r="H2" s="1188"/>
      <c r="I2" s="1188"/>
      <c r="J2" s="1188"/>
      <c r="K2" s="1189" t="s">
        <v>1025</v>
      </c>
      <c r="L2" s="1189"/>
      <c r="M2" s="1189"/>
      <c r="N2" s="1189"/>
      <c r="O2" s="1189"/>
      <c r="P2" s="1189"/>
      <c r="Q2" s="1189"/>
      <c r="R2" s="1189"/>
    </row>
    <row r="3" spans="1:18" s="15" customFormat="1" ht="22.5" customHeight="1">
      <c r="A3" s="1186" t="s">
        <v>940</v>
      </c>
      <c r="B3" s="1186"/>
      <c r="C3" s="1186"/>
      <c r="D3" s="1186"/>
      <c r="E3" s="1186"/>
      <c r="F3" s="1186"/>
      <c r="G3" s="1186"/>
      <c r="H3" s="1186"/>
      <c r="I3" s="1186"/>
      <c r="J3" s="1186"/>
      <c r="K3" s="1187" t="s">
        <v>939</v>
      </c>
      <c r="L3" s="1187"/>
      <c r="M3" s="1187"/>
      <c r="N3" s="1187"/>
      <c r="O3" s="1187"/>
      <c r="P3" s="1187"/>
      <c r="Q3" s="1187"/>
      <c r="R3" s="1187"/>
    </row>
    <row r="4" spans="1:18" ht="13.5" customHeight="1" thickBot="1">
      <c r="A4" s="1624" t="s">
        <v>1340</v>
      </c>
      <c r="B4" s="1624"/>
      <c r="C4" s="1624"/>
      <c r="D4" s="1624"/>
      <c r="E4" s="1624"/>
      <c r="F4" s="1624"/>
      <c r="G4" s="1624"/>
      <c r="H4" s="1624"/>
      <c r="I4" s="1624"/>
      <c r="J4" s="1624"/>
      <c r="K4" s="1625"/>
      <c r="L4" s="1625"/>
      <c r="M4" s="1625"/>
      <c r="N4" s="1625"/>
      <c r="O4" s="1625"/>
      <c r="P4" s="1625"/>
      <c r="Q4" s="1625"/>
      <c r="R4" s="1625"/>
    </row>
    <row r="5" spans="1:18" ht="12" customHeight="1">
      <c r="A5" s="1190" t="s">
        <v>668</v>
      </c>
      <c r="B5" s="1191"/>
      <c r="C5" s="1192" t="s">
        <v>671</v>
      </c>
      <c r="D5" s="1193"/>
      <c r="E5" s="1192" t="s">
        <v>514</v>
      </c>
      <c r="F5" s="1190"/>
      <c r="G5" s="1190"/>
      <c r="H5" s="1190"/>
      <c r="I5" s="1190"/>
      <c r="J5" s="1191"/>
      <c r="K5" s="1192" t="s">
        <v>435</v>
      </c>
      <c r="L5" s="1190"/>
      <c r="M5" s="1190"/>
      <c r="N5" s="1190"/>
      <c r="O5" s="1190"/>
      <c r="P5" s="1190"/>
      <c r="Q5" s="1190"/>
      <c r="R5" s="1190"/>
    </row>
    <row r="6" spans="1:18" ht="11.25" customHeight="1">
      <c r="A6" s="1626" t="s">
        <v>7</v>
      </c>
      <c r="B6" s="1194"/>
      <c r="C6" s="1627" t="s">
        <v>387</v>
      </c>
      <c r="D6" s="1195"/>
      <c r="E6" s="1196" t="s">
        <v>509</v>
      </c>
      <c r="F6" s="1197"/>
      <c r="G6" s="1197"/>
      <c r="H6" s="1197"/>
      <c r="I6" s="1197"/>
      <c r="J6" s="1198"/>
      <c r="K6" s="1196" t="s">
        <v>515</v>
      </c>
      <c r="L6" s="1197"/>
      <c r="M6" s="1197"/>
      <c r="N6" s="1197"/>
      <c r="O6" s="1197"/>
      <c r="P6" s="1197"/>
      <c r="Q6" s="1197"/>
      <c r="R6" s="1197"/>
    </row>
    <row r="7" spans="1:18" s="17" customFormat="1" ht="12" customHeight="1">
      <c r="A7" s="1628" t="s">
        <v>397</v>
      </c>
      <c r="B7" s="325"/>
      <c r="C7" s="1629"/>
      <c r="D7" s="1181"/>
      <c r="E7" s="1182" t="s">
        <v>516</v>
      </c>
      <c r="F7" s="1183"/>
      <c r="G7" s="1182" t="s">
        <v>674</v>
      </c>
      <c r="H7" s="1183"/>
      <c r="I7" s="1182" t="s">
        <v>453</v>
      </c>
      <c r="J7" s="1183"/>
      <c r="K7" s="1182" t="s">
        <v>517</v>
      </c>
      <c r="L7" s="1183"/>
      <c r="M7" s="1182" t="s">
        <v>518</v>
      </c>
      <c r="N7" s="1183"/>
      <c r="O7" s="1182" t="s">
        <v>519</v>
      </c>
      <c r="P7" s="1183"/>
      <c r="Q7" s="1182" t="s">
        <v>520</v>
      </c>
      <c r="R7" s="1175"/>
    </row>
    <row r="8" spans="1:18" ht="11.25" customHeight="1">
      <c r="A8" s="1630"/>
      <c r="B8" s="326"/>
      <c r="C8" s="1176"/>
      <c r="D8" s="1177"/>
      <c r="E8" s="1178" t="s">
        <v>521</v>
      </c>
      <c r="F8" s="1179"/>
      <c r="G8" s="1178" t="s">
        <v>522</v>
      </c>
      <c r="H8" s="1179"/>
      <c r="I8" s="1178" t="s">
        <v>446</v>
      </c>
      <c r="J8" s="1179"/>
      <c r="K8" s="1178" t="s">
        <v>675</v>
      </c>
      <c r="L8" s="1179"/>
      <c r="M8" s="1184"/>
      <c r="N8" s="1185"/>
      <c r="O8" s="1184"/>
      <c r="P8" s="1185"/>
      <c r="Q8" s="1178" t="s">
        <v>523</v>
      </c>
      <c r="R8" s="1180"/>
    </row>
    <row r="9" spans="1:18" ht="12" customHeight="1">
      <c r="A9" s="1630"/>
      <c r="B9" s="326"/>
      <c r="C9" s="920" t="s">
        <v>13</v>
      </c>
      <c r="D9" s="920" t="s">
        <v>23</v>
      </c>
      <c r="E9" s="920" t="s">
        <v>13</v>
      </c>
      <c r="F9" s="920" t="s">
        <v>23</v>
      </c>
      <c r="G9" s="920" t="s">
        <v>13</v>
      </c>
      <c r="H9" s="920" t="s">
        <v>23</v>
      </c>
      <c r="I9" s="920" t="s">
        <v>13</v>
      </c>
      <c r="J9" s="920" t="s">
        <v>23</v>
      </c>
      <c r="K9" s="278" t="s">
        <v>13</v>
      </c>
      <c r="L9" s="920" t="s">
        <v>23</v>
      </c>
      <c r="M9" s="920" t="s">
        <v>13</v>
      </c>
      <c r="N9" s="920" t="s">
        <v>23</v>
      </c>
      <c r="O9" s="920" t="s">
        <v>13</v>
      </c>
      <c r="P9" s="920" t="s">
        <v>23</v>
      </c>
      <c r="Q9" s="920" t="s">
        <v>13</v>
      </c>
      <c r="R9" s="1001" t="s">
        <v>23</v>
      </c>
    </row>
    <row r="10" spans="1:18" ht="11.25" customHeight="1">
      <c r="A10" s="327"/>
      <c r="B10" s="328"/>
      <c r="C10" s="923" t="s">
        <v>25</v>
      </c>
      <c r="D10" s="923" t="s">
        <v>26</v>
      </c>
      <c r="E10" s="923" t="s">
        <v>25</v>
      </c>
      <c r="F10" s="923" t="s">
        <v>26</v>
      </c>
      <c r="G10" s="923" t="s">
        <v>25</v>
      </c>
      <c r="H10" s="923" t="s">
        <v>26</v>
      </c>
      <c r="I10" s="923" t="s">
        <v>25</v>
      </c>
      <c r="J10" s="936" t="s">
        <v>26</v>
      </c>
      <c r="K10" s="281" t="s">
        <v>25</v>
      </c>
      <c r="L10" s="923" t="s">
        <v>26</v>
      </c>
      <c r="M10" s="923" t="s">
        <v>25</v>
      </c>
      <c r="N10" s="923" t="s">
        <v>26</v>
      </c>
      <c r="O10" s="923" t="s">
        <v>25</v>
      </c>
      <c r="P10" s="923" t="s">
        <v>26</v>
      </c>
      <c r="Q10" s="923" t="s">
        <v>25</v>
      </c>
      <c r="R10" s="922" t="s">
        <v>26</v>
      </c>
    </row>
    <row r="11" spans="1:18" ht="12" customHeight="1">
      <c r="A11" s="283" t="s">
        <v>27</v>
      </c>
      <c r="B11" s="1605" t="s">
        <v>16</v>
      </c>
      <c r="C11" s="1631">
        <v>56</v>
      </c>
      <c r="D11" s="1631">
        <v>31</v>
      </c>
      <c r="E11" s="1631">
        <v>29</v>
      </c>
      <c r="F11" s="1631">
        <v>15</v>
      </c>
      <c r="G11" s="1631">
        <v>3</v>
      </c>
      <c r="H11" s="1632">
        <v>1</v>
      </c>
      <c r="I11" s="1631">
        <v>24</v>
      </c>
      <c r="J11" s="1631">
        <v>15</v>
      </c>
      <c r="K11" s="1631">
        <v>27</v>
      </c>
      <c r="L11" s="1631">
        <v>14</v>
      </c>
      <c r="M11" s="1631">
        <v>18</v>
      </c>
      <c r="N11" s="1631">
        <v>9</v>
      </c>
      <c r="O11" s="1631">
        <v>7</v>
      </c>
      <c r="P11" s="1631">
        <v>4</v>
      </c>
      <c r="Q11" s="1631">
        <v>4</v>
      </c>
      <c r="R11" s="1632">
        <v>4</v>
      </c>
    </row>
    <row r="12" spans="1:18" ht="12" customHeight="1">
      <c r="A12" s="1616" t="s">
        <v>29</v>
      </c>
      <c r="B12" s="294" t="s">
        <v>30</v>
      </c>
      <c r="C12" s="346">
        <v>56</v>
      </c>
      <c r="D12" s="346">
        <v>31</v>
      </c>
      <c r="E12" s="346">
        <v>29</v>
      </c>
      <c r="F12" s="346">
        <v>15</v>
      </c>
      <c r="G12" s="346">
        <v>3</v>
      </c>
      <c r="H12" s="343">
        <v>1</v>
      </c>
      <c r="I12" s="346">
        <v>24</v>
      </c>
      <c r="J12" s="346">
        <v>15</v>
      </c>
      <c r="K12" s="346">
        <v>27</v>
      </c>
      <c r="L12" s="346">
        <v>14</v>
      </c>
      <c r="M12" s="346">
        <v>18</v>
      </c>
      <c r="N12" s="346">
        <v>9</v>
      </c>
      <c r="O12" s="346">
        <v>7</v>
      </c>
      <c r="P12" s="346">
        <v>4</v>
      </c>
      <c r="Q12" s="346">
        <v>4</v>
      </c>
      <c r="R12" s="343">
        <v>4</v>
      </c>
    </row>
    <row r="13" spans="1:18" ht="12" customHeight="1" thickBot="1">
      <c r="A13" s="1620" t="s">
        <v>31</v>
      </c>
      <c r="B13" s="303" t="s">
        <v>32</v>
      </c>
      <c r="C13" s="329" t="s">
        <v>28</v>
      </c>
      <c r="D13" s="329" t="s">
        <v>28</v>
      </c>
      <c r="E13" s="329" t="s">
        <v>28</v>
      </c>
      <c r="F13" s="329" t="s">
        <v>28</v>
      </c>
      <c r="G13" s="329" t="s">
        <v>28</v>
      </c>
      <c r="H13" s="330" t="s">
        <v>28</v>
      </c>
      <c r="I13" s="329" t="s">
        <v>28</v>
      </c>
      <c r="J13" s="329" t="s">
        <v>28</v>
      </c>
      <c r="K13" s="329" t="s">
        <v>28</v>
      </c>
      <c r="L13" s="329" t="s">
        <v>28</v>
      </c>
      <c r="M13" s="329" t="s">
        <v>28</v>
      </c>
      <c r="N13" s="329" t="s">
        <v>28</v>
      </c>
      <c r="O13" s="329" t="s">
        <v>28</v>
      </c>
      <c r="P13" s="329" t="s">
        <v>28</v>
      </c>
      <c r="Q13" s="329" t="s">
        <v>28</v>
      </c>
      <c r="R13" s="330" t="s">
        <v>28</v>
      </c>
    </row>
    <row r="14" spans="1:18" s="18" customFormat="1" ht="13.5" customHeight="1" thickBot="1">
      <c r="A14" s="1633" t="s">
        <v>363</v>
      </c>
      <c r="B14" s="1633"/>
      <c r="C14" s="1633"/>
      <c r="D14" s="1633"/>
      <c r="E14" s="1633"/>
      <c r="F14" s="1633"/>
      <c r="G14" s="1633"/>
      <c r="H14" s="1633"/>
      <c r="I14" s="1633"/>
      <c r="J14" s="1633"/>
      <c r="K14" s="1633" t="s">
        <v>393</v>
      </c>
      <c r="L14" s="1633"/>
      <c r="M14" s="1633"/>
      <c r="N14" s="1633"/>
      <c r="O14" s="1633"/>
      <c r="P14" s="1633"/>
      <c r="Q14" s="1633"/>
      <c r="R14" s="1633"/>
    </row>
    <row r="15" spans="1:18" ht="11.45" customHeight="1">
      <c r="A15" s="1615" t="s">
        <v>35</v>
      </c>
      <c r="B15" s="292" t="s">
        <v>36</v>
      </c>
      <c r="C15" s="331">
        <v>10</v>
      </c>
      <c r="D15" s="331">
        <v>7</v>
      </c>
      <c r="E15" s="331">
        <v>3</v>
      </c>
      <c r="F15" s="331">
        <v>1</v>
      </c>
      <c r="G15" s="331" t="s">
        <v>28</v>
      </c>
      <c r="H15" s="331" t="s">
        <v>28</v>
      </c>
      <c r="I15" s="331">
        <v>7</v>
      </c>
      <c r="J15" s="293">
        <v>6</v>
      </c>
      <c r="K15" s="344">
        <v>5</v>
      </c>
      <c r="L15" s="331">
        <v>3</v>
      </c>
      <c r="M15" s="331">
        <v>4</v>
      </c>
      <c r="N15" s="331">
        <v>3</v>
      </c>
      <c r="O15" s="331">
        <v>1</v>
      </c>
      <c r="P15" s="331">
        <v>1</v>
      </c>
      <c r="Q15" s="331" t="s">
        <v>28</v>
      </c>
      <c r="R15" s="1634" t="s">
        <v>28</v>
      </c>
    </row>
    <row r="16" spans="1:18" ht="11.45" customHeight="1">
      <c r="A16" s="1616" t="s">
        <v>29</v>
      </c>
      <c r="B16" s="294" t="s">
        <v>30</v>
      </c>
      <c r="C16" s="332">
        <v>10</v>
      </c>
      <c r="D16" s="332">
        <v>7</v>
      </c>
      <c r="E16" s="1635">
        <v>3</v>
      </c>
      <c r="F16" s="296">
        <v>1</v>
      </c>
      <c r="G16" s="296" t="s">
        <v>28</v>
      </c>
      <c r="H16" s="332" t="s">
        <v>28</v>
      </c>
      <c r="I16" s="332">
        <v>7</v>
      </c>
      <c r="J16" s="295">
        <v>6</v>
      </c>
      <c r="K16" s="333">
        <v>5</v>
      </c>
      <c r="L16" s="332">
        <v>3</v>
      </c>
      <c r="M16" s="332">
        <v>4</v>
      </c>
      <c r="N16" s="332">
        <v>3</v>
      </c>
      <c r="O16" s="332">
        <v>1</v>
      </c>
      <c r="P16" s="332">
        <v>1</v>
      </c>
      <c r="Q16" s="332" t="s">
        <v>28</v>
      </c>
      <c r="R16" s="1635" t="s">
        <v>28</v>
      </c>
    </row>
    <row r="17" spans="1:18" ht="11.45" customHeight="1">
      <c r="A17" s="1616" t="s">
        <v>31</v>
      </c>
      <c r="B17" s="294" t="s">
        <v>32</v>
      </c>
      <c r="C17" s="332" t="s">
        <v>28</v>
      </c>
      <c r="D17" s="332" t="s">
        <v>28</v>
      </c>
      <c r="E17" s="1635" t="s">
        <v>28</v>
      </c>
      <c r="F17" s="296" t="s">
        <v>28</v>
      </c>
      <c r="G17" s="296" t="s">
        <v>28</v>
      </c>
      <c r="H17" s="332" t="s">
        <v>28</v>
      </c>
      <c r="I17" s="332" t="s">
        <v>28</v>
      </c>
      <c r="J17" s="295" t="s">
        <v>28</v>
      </c>
      <c r="K17" s="333" t="s">
        <v>28</v>
      </c>
      <c r="L17" s="332" t="s">
        <v>28</v>
      </c>
      <c r="M17" s="332" t="s">
        <v>28</v>
      </c>
      <c r="N17" s="332" t="s">
        <v>28</v>
      </c>
      <c r="O17" s="332" t="s">
        <v>28</v>
      </c>
      <c r="P17" s="332" t="s">
        <v>28</v>
      </c>
      <c r="Q17" s="332" t="s">
        <v>28</v>
      </c>
      <c r="R17" s="1635" t="s">
        <v>28</v>
      </c>
    </row>
    <row r="18" spans="1:18" ht="11.45" customHeight="1">
      <c r="A18" s="1617" t="s">
        <v>37</v>
      </c>
      <c r="B18" s="298" t="s">
        <v>38</v>
      </c>
      <c r="C18" s="345">
        <v>7</v>
      </c>
      <c r="D18" s="345">
        <v>2</v>
      </c>
      <c r="E18" s="345">
        <v>2</v>
      </c>
      <c r="F18" s="345" t="s">
        <v>28</v>
      </c>
      <c r="G18" s="345" t="s">
        <v>28</v>
      </c>
      <c r="H18" s="345" t="s">
        <v>28</v>
      </c>
      <c r="I18" s="345">
        <v>5</v>
      </c>
      <c r="J18" s="299">
        <v>2</v>
      </c>
      <c r="K18" s="314">
        <v>3</v>
      </c>
      <c r="L18" s="345" t="s">
        <v>28</v>
      </c>
      <c r="M18" s="345">
        <v>2</v>
      </c>
      <c r="N18" s="345" t="s">
        <v>28</v>
      </c>
      <c r="O18" s="345">
        <v>1</v>
      </c>
      <c r="P18" s="345">
        <v>1</v>
      </c>
      <c r="Q18" s="345">
        <v>1</v>
      </c>
      <c r="R18" s="322">
        <v>1</v>
      </c>
    </row>
    <row r="19" spans="1:18" ht="11.45" customHeight="1">
      <c r="A19" s="1616" t="s">
        <v>29</v>
      </c>
      <c r="B19" s="294" t="s">
        <v>30</v>
      </c>
      <c r="C19" s="346">
        <v>7</v>
      </c>
      <c r="D19" s="346">
        <v>2</v>
      </c>
      <c r="E19" s="343">
        <v>2</v>
      </c>
      <c r="F19" s="289" t="s">
        <v>28</v>
      </c>
      <c r="G19" s="289" t="s">
        <v>28</v>
      </c>
      <c r="H19" s="1636" t="s">
        <v>28</v>
      </c>
      <c r="I19" s="346">
        <v>5</v>
      </c>
      <c r="J19" s="288">
        <v>2</v>
      </c>
      <c r="K19" s="290">
        <v>3</v>
      </c>
      <c r="L19" s="346" t="s">
        <v>28</v>
      </c>
      <c r="M19" s="346">
        <v>2</v>
      </c>
      <c r="N19" s="346" t="s">
        <v>28</v>
      </c>
      <c r="O19" s="346">
        <v>1</v>
      </c>
      <c r="P19" s="346">
        <v>1</v>
      </c>
      <c r="Q19" s="346">
        <v>1</v>
      </c>
      <c r="R19" s="343">
        <v>1</v>
      </c>
    </row>
    <row r="20" spans="1:18" ht="11.45" customHeight="1">
      <c r="A20" s="1616" t="s">
        <v>31</v>
      </c>
      <c r="B20" s="294" t="s">
        <v>32</v>
      </c>
      <c r="C20" s="346" t="s">
        <v>28</v>
      </c>
      <c r="D20" s="346" t="s">
        <v>28</v>
      </c>
      <c r="E20" s="343" t="s">
        <v>28</v>
      </c>
      <c r="F20" s="289" t="s">
        <v>28</v>
      </c>
      <c r="G20" s="289" t="s">
        <v>28</v>
      </c>
      <c r="H20" s="1636" t="s">
        <v>28</v>
      </c>
      <c r="I20" s="346" t="s">
        <v>28</v>
      </c>
      <c r="J20" s="288" t="s">
        <v>28</v>
      </c>
      <c r="K20" s="290" t="s">
        <v>28</v>
      </c>
      <c r="L20" s="346" t="s">
        <v>28</v>
      </c>
      <c r="M20" s="346" t="s">
        <v>28</v>
      </c>
      <c r="N20" s="346" t="s">
        <v>28</v>
      </c>
      <c r="O20" s="346" t="s">
        <v>28</v>
      </c>
      <c r="P20" s="346" t="s">
        <v>28</v>
      </c>
      <c r="Q20" s="346" t="s">
        <v>28</v>
      </c>
      <c r="R20" s="343" t="s">
        <v>28</v>
      </c>
    </row>
    <row r="21" spans="1:18" ht="11.45" customHeight="1">
      <c r="A21" s="1617" t="s">
        <v>39</v>
      </c>
      <c r="B21" s="298" t="s">
        <v>40</v>
      </c>
      <c r="C21" s="334">
        <v>30</v>
      </c>
      <c r="D21" s="334">
        <v>16</v>
      </c>
      <c r="E21" s="334">
        <v>19</v>
      </c>
      <c r="F21" s="334">
        <v>11</v>
      </c>
      <c r="G21" s="334">
        <v>2</v>
      </c>
      <c r="H21" s="334" t="s">
        <v>28</v>
      </c>
      <c r="I21" s="334">
        <v>9</v>
      </c>
      <c r="J21" s="301">
        <v>5</v>
      </c>
      <c r="K21" s="347">
        <v>14</v>
      </c>
      <c r="L21" s="334">
        <v>7</v>
      </c>
      <c r="M21" s="334">
        <v>12</v>
      </c>
      <c r="N21" s="334">
        <v>6</v>
      </c>
      <c r="O21" s="334">
        <v>3</v>
      </c>
      <c r="P21" s="334">
        <v>2</v>
      </c>
      <c r="Q21" s="334">
        <v>1</v>
      </c>
      <c r="R21" s="1637">
        <v>1</v>
      </c>
    </row>
    <row r="22" spans="1:18" ht="11.45" customHeight="1">
      <c r="A22" s="1616" t="s">
        <v>29</v>
      </c>
      <c r="B22" s="294" t="s">
        <v>30</v>
      </c>
      <c r="C22" s="332">
        <v>30</v>
      </c>
      <c r="D22" s="332">
        <v>16</v>
      </c>
      <c r="E22" s="1635">
        <v>19</v>
      </c>
      <c r="F22" s="296">
        <v>11</v>
      </c>
      <c r="G22" s="296">
        <v>2</v>
      </c>
      <c r="H22" s="332" t="s">
        <v>28</v>
      </c>
      <c r="I22" s="332">
        <v>9</v>
      </c>
      <c r="J22" s="295">
        <v>5</v>
      </c>
      <c r="K22" s="333">
        <v>14</v>
      </c>
      <c r="L22" s="332">
        <v>7</v>
      </c>
      <c r="M22" s="332">
        <v>12</v>
      </c>
      <c r="N22" s="332">
        <v>6</v>
      </c>
      <c r="O22" s="332">
        <v>3</v>
      </c>
      <c r="P22" s="332">
        <v>2</v>
      </c>
      <c r="Q22" s="332">
        <v>1</v>
      </c>
      <c r="R22" s="1635">
        <v>1</v>
      </c>
    </row>
    <row r="23" spans="1:18" ht="11.45" customHeight="1">
      <c r="A23" s="1616" t="s">
        <v>31</v>
      </c>
      <c r="B23" s="294" t="s">
        <v>32</v>
      </c>
      <c r="C23" s="346" t="s">
        <v>28</v>
      </c>
      <c r="D23" s="346" t="s">
        <v>28</v>
      </c>
      <c r="E23" s="343" t="s">
        <v>28</v>
      </c>
      <c r="F23" s="289" t="s">
        <v>28</v>
      </c>
      <c r="G23" s="289" t="s">
        <v>28</v>
      </c>
      <c r="H23" s="1636" t="s">
        <v>28</v>
      </c>
      <c r="I23" s="346" t="s">
        <v>28</v>
      </c>
      <c r="J23" s="288" t="s">
        <v>28</v>
      </c>
      <c r="K23" s="290" t="s">
        <v>28</v>
      </c>
      <c r="L23" s="346" t="s">
        <v>28</v>
      </c>
      <c r="M23" s="346" t="s">
        <v>28</v>
      </c>
      <c r="N23" s="346" t="s">
        <v>28</v>
      </c>
      <c r="O23" s="346" t="s">
        <v>28</v>
      </c>
      <c r="P23" s="346" t="s">
        <v>28</v>
      </c>
      <c r="Q23" s="346" t="s">
        <v>28</v>
      </c>
      <c r="R23" s="343" t="s">
        <v>28</v>
      </c>
    </row>
    <row r="24" spans="1:18" ht="11.45" customHeight="1">
      <c r="A24" s="1617" t="s">
        <v>41</v>
      </c>
      <c r="B24" s="298" t="s">
        <v>42</v>
      </c>
      <c r="C24" s="334">
        <v>9</v>
      </c>
      <c r="D24" s="334">
        <v>6</v>
      </c>
      <c r="E24" s="334">
        <v>5</v>
      </c>
      <c r="F24" s="334">
        <v>3</v>
      </c>
      <c r="G24" s="334">
        <v>1</v>
      </c>
      <c r="H24" s="334">
        <v>1</v>
      </c>
      <c r="I24" s="334">
        <v>3</v>
      </c>
      <c r="J24" s="301">
        <v>2</v>
      </c>
      <c r="K24" s="347">
        <v>5</v>
      </c>
      <c r="L24" s="334">
        <v>4</v>
      </c>
      <c r="M24" s="334" t="s">
        <v>28</v>
      </c>
      <c r="N24" s="334" t="s">
        <v>28</v>
      </c>
      <c r="O24" s="334">
        <v>2</v>
      </c>
      <c r="P24" s="334" t="s">
        <v>28</v>
      </c>
      <c r="Q24" s="334">
        <v>2</v>
      </c>
      <c r="R24" s="1637">
        <v>2</v>
      </c>
    </row>
    <row r="25" spans="1:18" ht="11.45" customHeight="1">
      <c r="A25" s="1616" t="s">
        <v>29</v>
      </c>
      <c r="B25" s="294" t="s">
        <v>30</v>
      </c>
      <c r="C25" s="332">
        <v>9</v>
      </c>
      <c r="D25" s="332">
        <v>6</v>
      </c>
      <c r="E25" s="1635">
        <v>5</v>
      </c>
      <c r="F25" s="296">
        <v>3</v>
      </c>
      <c r="G25" s="296">
        <v>1</v>
      </c>
      <c r="H25" s="332">
        <v>1</v>
      </c>
      <c r="I25" s="332">
        <v>3</v>
      </c>
      <c r="J25" s="295">
        <v>2</v>
      </c>
      <c r="K25" s="296">
        <v>5</v>
      </c>
      <c r="L25" s="296">
        <v>4</v>
      </c>
      <c r="M25" s="332" t="s">
        <v>28</v>
      </c>
      <c r="N25" s="332" t="s">
        <v>28</v>
      </c>
      <c r="O25" s="332">
        <v>2</v>
      </c>
      <c r="P25" s="332" t="s">
        <v>28</v>
      </c>
      <c r="Q25" s="332">
        <v>2</v>
      </c>
      <c r="R25" s="1635">
        <v>2</v>
      </c>
    </row>
    <row r="26" spans="1:18" ht="11.45" customHeight="1">
      <c r="A26" s="1616" t="s">
        <v>31</v>
      </c>
      <c r="B26" s="294" t="s">
        <v>32</v>
      </c>
      <c r="C26" s="332" t="s">
        <v>28</v>
      </c>
      <c r="D26" s="332" t="s">
        <v>28</v>
      </c>
      <c r="E26" s="1635" t="s">
        <v>28</v>
      </c>
      <c r="F26" s="296" t="s">
        <v>28</v>
      </c>
      <c r="G26" s="296" t="s">
        <v>28</v>
      </c>
      <c r="H26" s="332" t="s">
        <v>28</v>
      </c>
      <c r="I26" s="332" t="s">
        <v>28</v>
      </c>
      <c r="J26" s="295" t="s">
        <v>28</v>
      </c>
      <c r="K26" s="296" t="s">
        <v>28</v>
      </c>
      <c r="L26" s="296" t="s">
        <v>28</v>
      </c>
      <c r="M26" s="332" t="s">
        <v>28</v>
      </c>
      <c r="N26" s="332" t="s">
        <v>28</v>
      </c>
      <c r="O26" s="332" t="s">
        <v>28</v>
      </c>
      <c r="P26" s="332" t="s">
        <v>28</v>
      </c>
      <c r="Q26" s="332" t="s">
        <v>28</v>
      </c>
      <c r="R26" s="1635" t="s">
        <v>28</v>
      </c>
    </row>
    <row r="27" spans="1:18" ht="11.45" customHeight="1">
      <c r="A27" s="1617" t="s">
        <v>43</v>
      </c>
      <c r="B27" s="298" t="s">
        <v>44</v>
      </c>
      <c r="C27" s="334" t="s">
        <v>28</v>
      </c>
      <c r="D27" s="334" t="s">
        <v>28</v>
      </c>
      <c r="E27" s="334" t="s">
        <v>28</v>
      </c>
      <c r="F27" s="334" t="s">
        <v>28</v>
      </c>
      <c r="G27" s="334" t="s">
        <v>28</v>
      </c>
      <c r="H27" s="334" t="s">
        <v>28</v>
      </c>
      <c r="I27" s="334" t="s">
        <v>28</v>
      </c>
      <c r="J27" s="301" t="s">
        <v>28</v>
      </c>
      <c r="K27" s="347" t="s">
        <v>28</v>
      </c>
      <c r="L27" s="334" t="s">
        <v>28</v>
      </c>
      <c r="M27" s="334" t="s">
        <v>28</v>
      </c>
      <c r="N27" s="334" t="s">
        <v>28</v>
      </c>
      <c r="O27" s="334" t="s">
        <v>28</v>
      </c>
      <c r="P27" s="334" t="s">
        <v>28</v>
      </c>
      <c r="Q27" s="334" t="s">
        <v>28</v>
      </c>
      <c r="R27" s="1637" t="s">
        <v>28</v>
      </c>
    </row>
    <row r="28" spans="1:18" ht="11.45" customHeight="1">
      <c r="A28" s="1616" t="s">
        <v>29</v>
      </c>
      <c r="B28" s="294" t="s">
        <v>30</v>
      </c>
      <c r="C28" s="332" t="s">
        <v>28</v>
      </c>
      <c r="D28" s="332" t="s">
        <v>28</v>
      </c>
      <c r="E28" s="1635" t="s">
        <v>28</v>
      </c>
      <c r="F28" s="296" t="s">
        <v>28</v>
      </c>
      <c r="G28" s="296" t="s">
        <v>28</v>
      </c>
      <c r="H28" s="332" t="s">
        <v>28</v>
      </c>
      <c r="I28" s="332" t="s">
        <v>28</v>
      </c>
      <c r="J28" s="295" t="s">
        <v>28</v>
      </c>
      <c r="K28" s="296" t="s">
        <v>28</v>
      </c>
      <c r="L28" s="296" t="s">
        <v>28</v>
      </c>
      <c r="M28" s="332" t="s">
        <v>28</v>
      </c>
      <c r="N28" s="332" t="s">
        <v>28</v>
      </c>
      <c r="O28" s="332" t="s">
        <v>28</v>
      </c>
      <c r="P28" s="332" t="s">
        <v>28</v>
      </c>
      <c r="Q28" s="332" t="s">
        <v>28</v>
      </c>
      <c r="R28" s="1635" t="s">
        <v>28</v>
      </c>
    </row>
    <row r="29" spans="1:18" ht="11.45" customHeight="1" thickBot="1">
      <c r="A29" s="1620" t="s">
        <v>31</v>
      </c>
      <c r="B29" s="303" t="s">
        <v>32</v>
      </c>
      <c r="C29" s="335" t="s">
        <v>28</v>
      </c>
      <c r="D29" s="335" t="s">
        <v>28</v>
      </c>
      <c r="E29" s="1638" t="s">
        <v>28</v>
      </c>
      <c r="F29" s="304" t="s">
        <v>28</v>
      </c>
      <c r="G29" s="304" t="s">
        <v>28</v>
      </c>
      <c r="H29" s="335" t="s">
        <v>28</v>
      </c>
      <c r="I29" s="335" t="s">
        <v>28</v>
      </c>
      <c r="J29" s="336" t="s">
        <v>28</v>
      </c>
      <c r="K29" s="304" t="s">
        <v>28</v>
      </c>
      <c r="L29" s="304" t="s">
        <v>28</v>
      </c>
      <c r="M29" s="335" t="s">
        <v>28</v>
      </c>
      <c r="N29" s="335" t="s">
        <v>28</v>
      </c>
      <c r="O29" s="335" t="s">
        <v>28</v>
      </c>
      <c r="P29" s="335" t="s">
        <v>28</v>
      </c>
      <c r="Q29" s="335" t="s">
        <v>28</v>
      </c>
      <c r="R29" s="1638" t="s">
        <v>28</v>
      </c>
    </row>
    <row r="30" spans="1:18" ht="13.5" customHeight="1" thickBot="1">
      <c r="A30" s="1172" t="s">
        <v>364</v>
      </c>
      <c r="B30" s="1172"/>
      <c r="C30" s="1172"/>
      <c r="D30" s="1172"/>
      <c r="E30" s="1172"/>
      <c r="F30" s="1172"/>
      <c r="G30" s="1172"/>
      <c r="H30" s="1172"/>
      <c r="I30" s="1172"/>
      <c r="J30" s="1172"/>
      <c r="K30" s="1173" t="s">
        <v>394</v>
      </c>
      <c r="L30" s="1173"/>
      <c r="M30" s="1173"/>
      <c r="N30" s="1173"/>
      <c r="O30" s="1173"/>
      <c r="P30" s="1173"/>
      <c r="Q30" s="1173"/>
      <c r="R30" s="1173"/>
    </row>
    <row r="31" spans="1:18" ht="11.45" customHeight="1">
      <c r="A31" s="1639" t="s">
        <v>47</v>
      </c>
      <c r="B31" s="306" t="s">
        <v>48</v>
      </c>
      <c r="C31" s="337">
        <v>7</v>
      </c>
      <c r="D31" s="337">
        <v>4</v>
      </c>
      <c r="E31" s="337">
        <v>3</v>
      </c>
      <c r="F31" s="337">
        <v>1</v>
      </c>
      <c r="G31" s="337" t="s">
        <v>28</v>
      </c>
      <c r="H31" s="338" t="s">
        <v>28</v>
      </c>
      <c r="I31" s="337">
        <v>4</v>
      </c>
      <c r="J31" s="337">
        <v>3</v>
      </c>
      <c r="K31" s="337">
        <v>4</v>
      </c>
      <c r="L31" s="337">
        <v>2</v>
      </c>
      <c r="M31" s="337">
        <v>2</v>
      </c>
      <c r="N31" s="337">
        <v>1</v>
      </c>
      <c r="O31" s="337">
        <v>1</v>
      </c>
      <c r="P31" s="337">
        <v>1</v>
      </c>
      <c r="Q31" s="337" t="s">
        <v>28</v>
      </c>
      <c r="R31" s="338" t="s">
        <v>28</v>
      </c>
    </row>
    <row r="32" spans="1:18" ht="11.45" customHeight="1">
      <c r="A32" s="1616" t="s">
        <v>29</v>
      </c>
      <c r="B32" s="294" t="s">
        <v>30</v>
      </c>
      <c r="C32" s="346">
        <v>7</v>
      </c>
      <c r="D32" s="346">
        <v>4</v>
      </c>
      <c r="E32" s="346">
        <v>3</v>
      </c>
      <c r="F32" s="346">
        <v>1</v>
      </c>
      <c r="G32" s="346" t="s">
        <v>28</v>
      </c>
      <c r="H32" s="343" t="s">
        <v>28</v>
      </c>
      <c r="I32" s="346">
        <v>4</v>
      </c>
      <c r="J32" s="346">
        <v>3</v>
      </c>
      <c r="K32" s="346">
        <v>4</v>
      </c>
      <c r="L32" s="346">
        <v>2</v>
      </c>
      <c r="M32" s="346">
        <v>2</v>
      </c>
      <c r="N32" s="346">
        <v>1</v>
      </c>
      <c r="O32" s="346">
        <v>1</v>
      </c>
      <c r="P32" s="346">
        <v>1</v>
      </c>
      <c r="Q32" s="346" t="s">
        <v>28</v>
      </c>
      <c r="R32" s="343" t="s">
        <v>28</v>
      </c>
    </row>
    <row r="33" spans="1:18" ht="11.45" customHeight="1">
      <c r="A33" s="1616" t="s">
        <v>31</v>
      </c>
      <c r="B33" s="294" t="s">
        <v>32</v>
      </c>
      <c r="C33" s="346" t="s">
        <v>28</v>
      </c>
      <c r="D33" s="346" t="s">
        <v>28</v>
      </c>
      <c r="E33" s="346" t="s">
        <v>28</v>
      </c>
      <c r="F33" s="346" t="s">
        <v>28</v>
      </c>
      <c r="G33" s="346" t="s">
        <v>28</v>
      </c>
      <c r="H33" s="343" t="s">
        <v>28</v>
      </c>
      <c r="I33" s="346" t="s">
        <v>28</v>
      </c>
      <c r="J33" s="346" t="s">
        <v>28</v>
      </c>
      <c r="K33" s="346" t="s">
        <v>28</v>
      </c>
      <c r="L33" s="346" t="s">
        <v>28</v>
      </c>
      <c r="M33" s="346" t="s">
        <v>28</v>
      </c>
      <c r="N33" s="346" t="s">
        <v>28</v>
      </c>
      <c r="O33" s="346" t="s">
        <v>28</v>
      </c>
      <c r="P33" s="346" t="s">
        <v>28</v>
      </c>
      <c r="Q33" s="346" t="s">
        <v>28</v>
      </c>
      <c r="R33" s="343" t="s">
        <v>28</v>
      </c>
    </row>
    <row r="34" spans="1:18" ht="11.45" customHeight="1">
      <c r="A34" s="311" t="s">
        <v>49</v>
      </c>
      <c r="B34" s="312" t="s">
        <v>50</v>
      </c>
      <c r="C34" s="345" t="s">
        <v>28</v>
      </c>
      <c r="D34" s="345" t="s">
        <v>28</v>
      </c>
      <c r="E34" s="345" t="s">
        <v>28</v>
      </c>
      <c r="F34" s="345" t="s">
        <v>28</v>
      </c>
      <c r="G34" s="345" t="s">
        <v>28</v>
      </c>
      <c r="H34" s="322" t="s">
        <v>28</v>
      </c>
      <c r="I34" s="345" t="s">
        <v>28</v>
      </c>
      <c r="J34" s="345" t="s">
        <v>28</v>
      </c>
      <c r="K34" s="345" t="s">
        <v>28</v>
      </c>
      <c r="L34" s="345" t="s">
        <v>28</v>
      </c>
      <c r="M34" s="345" t="s">
        <v>28</v>
      </c>
      <c r="N34" s="345" t="s">
        <v>28</v>
      </c>
      <c r="O34" s="345" t="s">
        <v>28</v>
      </c>
      <c r="P34" s="345" t="s">
        <v>28</v>
      </c>
      <c r="Q34" s="345" t="s">
        <v>28</v>
      </c>
      <c r="R34" s="322" t="s">
        <v>28</v>
      </c>
    </row>
    <row r="35" spans="1:18" ht="11.45" customHeight="1">
      <c r="A35" s="1616" t="s">
        <v>29</v>
      </c>
      <c r="B35" s="294" t="s">
        <v>30</v>
      </c>
      <c r="C35" s="346" t="s">
        <v>28</v>
      </c>
      <c r="D35" s="346" t="s">
        <v>28</v>
      </c>
      <c r="E35" s="346" t="s">
        <v>28</v>
      </c>
      <c r="F35" s="346" t="s">
        <v>28</v>
      </c>
      <c r="G35" s="346" t="s">
        <v>28</v>
      </c>
      <c r="H35" s="343" t="s">
        <v>28</v>
      </c>
      <c r="I35" s="346" t="s">
        <v>28</v>
      </c>
      <c r="J35" s="346" t="s">
        <v>28</v>
      </c>
      <c r="K35" s="346" t="s">
        <v>28</v>
      </c>
      <c r="L35" s="346" t="s">
        <v>28</v>
      </c>
      <c r="M35" s="346" t="s">
        <v>28</v>
      </c>
      <c r="N35" s="346" t="s">
        <v>28</v>
      </c>
      <c r="O35" s="346" t="s">
        <v>28</v>
      </c>
      <c r="P35" s="346" t="s">
        <v>28</v>
      </c>
      <c r="Q35" s="346" t="s">
        <v>28</v>
      </c>
      <c r="R35" s="343" t="s">
        <v>28</v>
      </c>
    </row>
    <row r="36" spans="1:18" ht="11.45" customHeight="1">
      <c r="A36" s="1616" t="s">
        <v>31</v>
      </c>
      <c r="B36" s="294" t="s">
        <v>32</v>
      </c>
      <c r="C36" s="346" t="s">
        <v>28</v>
      </c>
      <c r="D36" s="346" t="s">
        <v>28</v>
      </c>
      <c r="E36" s="346" t="s">
        <v>28</v>
      </c>
      <c r="F36" s="346" t="s">
        <v>28</v>
      </c>
      <c r="G36" s="346" t="s">
        <v>28</v>
      </c>
      <c r="H36" s="343" t="s">
        <v>28</v>
      </c>
      <c r="I36" s="346" t="s">
        <v>28</v>
      </c>
      <c r="J36" s="346" t="s">
        <v>28</v>
      </c>
      <c r="K36" s="346" t="s">
        <v>28</v>
      </c>
      <c r="L36" s="346" t="s">
        <v>28</v>
      </c>
      <c r="M36" s="346" t="s">
        <v>28</v>
      </c>
      <c r="N36" s="346" t="s">
        <v>28</v>
      </c>
      <c r="O36" s="346" t="s">
        <v>28</v>
      </c>
      <c r="P36" s="346" t="s">
        <v>28</v>
      </c>
      <c r="Q36" s="346" t="s">
        <v>28</v>
      </c>
      <c r="R36" s="343" t="s">
        <v>28</v>
      </c>
    </row>
    <row r="37" spans="1:18" ht="11.45" customHeight="1">
      <c r="A37" s="311" t="s">
        <v>963</v>
      </c>
      <c r="B37" s="312" t="s">
        <v>964</v>
      </c>
      <c r="C37" s="345">
        <v>3</v>
      </c>
      <c r="D37" s="345">
        <v>3</v>
      </c>
      <c r="E37" s="345" t="s">
        <v>28</v>
      </c>
      <c r="F37" s="345" t="s">
        <v>28</v>
      </c>
      <c r="G37" s="345" t="s">
        <v>28</v>
      </c>
      <c r="H37" s="322" t="s">
        <v>28</v>
      </c>
      <c r="I37" s="345">
        <v>3</v>
      </c>
      <c r="J37" s="345">
        <v>3</v>
      </c>
      <c r="K37" s="345">
        <v>1</v>
      </c>
      <c r="L37" s="345">
        <v>1</v>
      </c>
      <c r="M37" s="345">
        <v>2</v>
      </c>
      <c r="N37" s="345">
        <v>2</v>
      </c>
      <c r="O37" s="345" t="s">
        <v>28</v>
      </c>
      <c r="P37" s="345" t="s">
        <v>28</v>
      </c>
      <c r="Q37" s="345" t="s">
        <v>28</v>
      </c>
      <c r="R37" s="322" t="s">
        <v>28</v>
      </c>
    </row>
    <row r="38" spans="1:18" ht="11.45" customHeight="1">
      <c r="A38" s="1616" t="s">
        <v>29</v>
      </c>
      <c r="B38" s="294" t="s">
        <v>30</v>
      </c>
      <c r="C38" s="346">
        <v>3</v>
      </c>
      <c r="D38" s="346">
        <v>3</v>
      </c>
      <c r="E38" s="346" t="s">
        <v>28</v>
      </c>
      <c r="F38" s="346" t="s">
        <v>28</v>
      </c>
      <c r="G38" s="346" t="s">
        <v>28</v>
      </c>
      <c r="H38" s="343" t="s">
        <v>28</v>
      </c>
      <c r="I38" s="346">
        <v>3</v>
      </c>
      <c r="J38" s="346">
        <v>3</v>
      </c>
      <c r="K38" s="346">
        <v>1</v>
      </c>
      <c r="L38" s="346">
        <v>1</v>
      </c>
      <c r="M38" s="346">
        <v>2</v>
      </c>
      <c r="N38" s="346">
        <v>2</v>
      </c>
      <c r="O38" s="346" t="s">
        <v>28</v>
      </c>
      <c r="P38" s="346" t="s">
        <v>28</v>
      </c>
      <c r="Q38" s="346" t="s">
        <v>28</v>
      </c>
      <c r="R38" s="343" t="s">
        <v>28</v>
      </c>
    </row>
    <row r="39" spans="1:18" ht="11.45" customHeight="1">
      <c r="A39" s="1616" t="s">
        <v>31</v>
      </c>
      <c r="B39" s="294" t="s">
        <v>32</v>
      </c>
      <c r="C39" s="346" t="s">
        <v>28</v>
      </c>
      <c r="D39" s="346" t="s">
        <v>28</v>
      </c>
      <c r="E39" s="346" t="s">
        <v>28</v>
      </c>
      <c r="F39" s="346" t="s">
        <v>28</v>
      </c>
      <c r="G39" s="346" t="s">
        <v>28</v>
      </c>
      <c r="H39" s="343" t="s">
        <v>28</v>
      </c>
      <c r="I39" s="346" t="s">
        <v>28</v>
      </c>
      <c r="J39" s="346" t="s">
        <v>28</v>
      </c>
      <c r="K39" s="346" t="s">
        <v>28</v>
      </c>
      <c r="L39" s="346" t="s">
        <v>28</v>
      </c>
      <c r="M39" s="346" t="s">
        <v>28</v>
      </c>
      <c r="N39" s="346" t="s">
        <v>28</v>
      </c>
      <c r="O39" s="346" t="s">
        <v>28</v>
      </c>
      <c r="P39" s="346" t="s">
        <v>28</v>
      </c>
      <c r="Q39" s="346" t="s">
        <v>28</v>
      </c>
      <c r="R39" s="343" t="s">
        <v>28</v>
      </c>
    </row>
    <row r="40" spans="1:18" ht="11.45" customHeight="1">
      <c r="A40" s="311" t="s">
        <v>51</v>
      </c>
      <c r="B40" s="312" t="s">
        <v>52</v>
      </c>
      <c r="C40" s="345">
        <v>25</v>
      </c>
      <c r="D40" s="345">
        <v>13</v>
      </c>
      <c r="E40" s="345">
        <v>17</v>
      </c>
      <c r="F40" s="345">
        <v>9</v>
      </c>
      <c r="G40" s="345">
        <v>1</v>
      </c>
      <c r="H40" s="322" t="s">
        <v>28</v>
      </c>
      <c r="I40" s="345">
        <v>7</v>
      </c>
      <c r="J40" s="345">
        <v>4</v>
      </c>
      <c r="K40" s="345">
        <v>11</v>
      </c>
      <c r="L40" s="345">
        <v>5</v>
      </c>
      <c r="M40" s="345">
        <v>10</v>
      </c>
      <c r="N40" s="345">
        <v>5</v>
      </c>
      <c r="O40" s="345">
        <v>3</v>
      </c>
      <c r="P40" s="345">
        <v>2</v>
      </c>
      <c r="Q40" s="345">
        <v>1</v>
      </c>
      <c r="R40" s="322">
        <v>1</v>
      </c>
    </row>
    <row r="41" spans="1:18" ht="11.45" customHeight="1">
      <c r="A41" s="1616" t="s">
        <v>29</v>
      </c>
      <c r="B41" s="294" t="s">
        <v>30</v>
      </c>
      <c r="C41" s="346">
        <v>25</v>
      </c>
      <c r="D41" s="346">
        <v>13</v>
      </c>
      <c r="E41" s="346">
        <v>17</v>
      </c>
      <c r="F41" s="346">
        <v>9</v>
      </c>
      <c r="G41" s="346">
        <v>1</v>
      </c>
      <c r="H41" s="343" t="s">
        <v>28</v>
      </c>
      <c r="I41" s="346">
        <v>7</v>
      </c>
      <c r="J41" s="346">
        <v>4</v>
      </c>
      <c r="K41" s="346">
        <v>11</v>
      </c>
      <c r="L41" s="346">
        <v>5</v>
      </c>
      <c r="M41" s="346">
        <v>10</v>
      </c>
      <c r="N41" s="346">
        <v>5</v>
      </c>
      <c r="O41" s="346">
        <v>3</v>
      </c>
      <c r="P41" s="346">
        <v>2</v>
      </c>
      <c r="Q41" s="346">
        <v>1</v>
      </c>
      <c r="R41" s="343">
        <v>1</v>
      </c>
    </row>
    <row r="42" spans="1:18" ht="11.45" customHeight="1">
      <c r="A42" s="1616" t="s">
        <v>31</v>
      </c>
      <c r="B42" s="294" t="s">
        <v>32</v>
      </c>
      <c r="C42" s="346" t="s">
        <v>28</v>
      </c>
      <c r="D42" s="346" t="s">
        <v>28</v>
      </c>
      <c r="E42" s="346" t="s">
        <v>28</v>
      </c>
      <c r="F42" s="346" t="s">
        <v>28</v>
      </c>
      <c r="G42" s="346" t="s">
        <v>28</v>
      </c>
      <c r="H42" s="343" t="s">
        <v>28</v>
      </c>
      <c r="I42" s="346" t="s">
        <v>28</v>
      </c>
      <c r="J42" s="346" t="s">
        <v>28</v>
      </c>
      <c r="K42" s="346" t="s">
        <v>28</v>
      </c>
      <c r="L42" s="346" t="s">
        <v>28</v>
      </c>
      <c r="M42" s="346" t="s">
        <v>28</v>
      </c>
      <c r="N42" s="346" t="s">
        <v>28</v>
      </c>
      <c r="O42" s="346" t="s">
        <v>28</v>
      </c>
      <c r="P42" s="346" t="s">
        <v>28</v>
      </c>
      <c r="Q42" s="346" t="s">
        <v>28</v>
      </c>
      <c r="R42" s="343" t="s">
        <v>28</v>
      </c>
    </row>
    <row r="43" spans="1:18" ht="11.45" customHeight="1">
      <c r="A43" s="311" t="s">
        <v>53</v>
      </c>
      <c r="B43" s="312" t="s">
        <v>54</v>
      </c>
      <c r="C43" s="345">
        <v>5</v>
      </c>
      <c r="D43" s="345">
        <v>3</v>
      </c>
      <c r="E43" s="345">
        <v>2</v>
      </c>
      <c r="F43" s="345">
        <v>2</v>
      </c>
      <c r="G43" s="345">
        <v>1</v>
      </c>
      <c r="H43" s="322" t="s">
        <v>28</v>
      </c>
      <c r="I43" s="345">
        <v>2</v>
      </c>
      <c r="J43" s="345">
        <v>1</v>
      </c>
      <c r="K43" s="345">
        <v>3</v>
      </c>
      <c r="L43" s="345">
        <v>2</v>
      </c>
      <c r="M43" s="345">
        <v>2</v>
      </c>
      <c r="N43" s="345">
        <v>1</v>
      </c>
      <c r="O43" s="345" t="s">
        <v>28</v>
      </c>
      <c r="P43" s="345" t="s">
        <v>28</v>
      </c>
      <c r="Q43" s="345" t="s">
        <v>28</v>
      </c>
      <c r="R43" s="322" t="s">
        <v>28</v>
      </c>
    </row>
    <row r="44" spans="1:18" ht="11.45" customHeight="1">
      <c r="A44" s="1616" t="s">
        <v>29</v>
      </c>
      <c r="B44" s="294" t="s">
        <v>30</v>
      </c>
      <c r="C44" s="346">
        <v>5</v>
      </c>
      <c r="D44" s="346">
        <v>3</v>
      </c>
      <c r="E44" s="346">
        <v>2</v>
      </c>
      <c r="F44" s="346">
        <v>2</v>
      </c>
      <c r="G44" s="346">
        <v>1</v>
      </c>
      <c r="H44" s="343" t="s">
        <v>28</v>
      </c>
      <c r="I44" s="346">
        <v>2</v>
      </c>
      <c r="J44" s="346">
        <v>1</v>
      </c>
      <c r="K44" s="346">
        <v>3</v>
      </c>
      <c r="L44" s="346">
        <v>2</v>
      </c>
      <c r="M44" s="346">
        <v>2</v>
      </c>
      <c r="N44" s="346">
        <v>1</v>
      </c>
      <c r="O44" s="346" t="s">
        <v>28</v>
      </c>
      <c r="P44" s="346" t="s">
        <v>28</v>
      </c>
      <c r="Q44" s="346" t="s">
        <v>28</v>
      </c>
      <c r="R44" s="343" t="s">
        <v>28</v>
      </c>
    </row>
    <row r="45" spans="1:18" ht="11.45" customHeight="1">
      <c r="A45" s="1616" t="s">
        <v>31</v>
      </c>
      <c r="B45" s="294" t="s">
        <v>32</v>
      </c>
      <c r="C45" s="346" t="s">
        <v>28</v>
      </c>
      <c r="D45" s="346" t="s">
        <v>28</v>
      </c>
      <c r="E45" s="346" t="s">
        <v>28</v>
      </c>
      <c r="F45" s="346" t="s">
        <v>28</v>
      </c>
      <c r="G45" s="346" t="s">
        <v>28</v>
      </c>
      <c r="H45" s="343" t="s">
        <v>28</v>
      </c>
      <c r="I45" s="346" t="s">
        <v>28</v>
      </c>
      <c r="J45" s="346" t="s">
        <v>28</v>
      </c>
      <c r="K45" s="346" t="s">
        <v>28</v>
      </c>
      <c r="L45" s="346" t="s">
        <v>28</v>
      </c>
      <c r="M45" s="346" t="s">
        <v>28</v>
      </c>
      <c r="N45" s="346" t="s">
        <v>28</v>
      </c>
      <c r="O45" s="346" t="s">
        <v>28</v>
      </c>
      <c r="P45" s="346" t="s">
        <v>28</v>
      </c>
      <c r="Q45" s="346" t="s">
        <v>28</v>
      </c>
      <c r="R45" s="343" t="s">
        <v>28</v>
      </c>
    </row>
    <row r="46" spans="1:18" ht="11.45" customHeight="1">
      <c r="A46" s="311" t="s">
        <v>55</v>
      </c>
      <c r="B46" s="312" t="s">
        <v>56</v>
      </c>
      <c r="C46" s="345">
        <v>5</v>
      </c>
      <c r="D46" s="345">
        <v>2</v>
      </c>
      <c r="E46" s="345">
        <v>2</v>
      </c>
      <c r="F46" s="345" t="s">
        <v>28</v>
      </c>
      <c r="G46" s="345" t="s">
        <v>28</v>
      </c>
      <c r="H46" s="322" t="s">
        <v>28</v>
      </c>
      <c r="I46" s="345">
        <v>3</v>
      </c>
      <c r="J46" s="345">
        <v>2</v>
      </c>
      <c r="K46" s="345">
        <v>1</v>
      </c>
      <c r="L46" s="345" t="s">
        <v>28</v>
      </c>
      <c r="M46" s="345">
        <v>2</v>
      </c>
      <c r="N46" s="345" t="s">
        <v>28</v>
      </c>
      <c r="O46" s="345">
        <v>1</v>
      </c>
      <c r="P46" s="345">
        <v>1</v>
      </c>
      <c r="Q46" s="345">
        <v>1</v>
      </c>
      <c r="R46" s="322">
        <v>1</v>
      </c>
    </row>
    <row r="47" spans="1:18" ht="11.45" customHeight="1">
      <c r="A47" s="1616" t="s">
        <v>29</v>
      </c>
      <c r="B47" s="294" t="s">
        <v>30</v>
      </c>
      <c r="C47" s="346">
        <v>5</v>
      </c>
      <c r="D47" s="346">
        <v>2</v>
      </c>
      <c r="E47" s="346">
        <v>2</v>
      </c>
      <c r="F47" s="346" t="s">
        <v>28</v>
      </c>
      <c r="G47" s="346" t="s">
        <v>28</v>
      </c>
      <c r="H47" s="343" t="s">
        <v>28</v>
      </c>
      <c r="I47" s="346">
        <v>3</v>
      </c>
      <c r="J47" s="346">
        <v>2</v>
      </c>
      <c r="K47" s="346">
        <v>1</v>
      </c>
      <c r="L47" s="346" t="s">
        <v>28</v>
      </c>
      <c r="M47" s="346">
        <v>2</v>
      </c>
      <c r="N47" s="346" t="s">
        <v>28</v>
      </c>
      <c r="O47" s="346">
        <v>1</v>
      </c>
      <c r="P47" s="346">
        <v>1</v>
      </c>
      <c r="Q47" s="346">
        <v>1</v>
      </c>
      <c r="R47" s="343">
        <v>1</v>
      </c>
    </row>
    <row r="48" spans="1:18" ht="11.45" customHeight="1">
      <c r="A48" s="1616" t="s">
        <v>31</v>
      </c>
      <c r="B48" s="294" t="s">
        <v>32</v>
      </c>
      <c r="C48" s="346" t="s">
        <v>28</v>
      </c>
      <c r="D48" s="346" t="s">
        <v>28</v>
      </c>
      <c r="E48" s="346" t="s">
        <v>28</v>
      </c>
      <c r="F48" s="346" t="s">
        <v>28</v>
      </c>
      <c r="G48" s="346" t="s">
        <v>28</v>
      </c>
      <c r="H48" s="343" t="s">
        <v>28</v>
      </c>
      <c r="I48" s="346" t="s">
        <v>28</v>
      </c>
      <c r="J48" s="346" t="s">
        <v>28</v>
      </c>
      <c r="K48" s="346" t="s">
        <v>28</v>
      </c>
      <c r="L48" s="346" t="s">
        <v>28</v>
      </c>
      <c r="M48" s="346" t="s">
        <v>28</v>
      </c>
      <c r="N48" s="346" t="s">
        <v>28</v>
      </c>
      <c r="O48" s="346" t="s">
        <v>28</v>
      </c>
      <c r="P48" s="346" t="s">
        <v>28</v>
      </c>
      <c r="Q48" s="346" t="s">
        <v>28</v>
      </c>
      <c r="R48" s="343" t="s">
        <v>28</v>
      </c>
    </row>
    <row r="49" spans="1:18" ht="11.45" customHeight="1">
      <c r="A49" s="311" t="s">
        <v>57</v>
      </c>
      <c r="B49" s="312" t="s">
        <v>58</v>
      </c>
      <c r="C49" s="345">
        <v>2</v>
      </c>
      <c r="D49" s="345" t="s">
        <v>28</v>
      </c>
      <c r="E49" s="345" t="s">
        <v>28</v>
      </c>
      <c r="F49" s="345" t="s">
        <v>28</v>
      </c>
      <c r="G49" s="345" t="s">
        <v>28</v>
      </c>
      <c r="H49" s="322" t="s">
        <v>28</v>
      </c>
      <c r="I49" s="345">
        <v>2</v>
      </c>
      <c r="J49" s="345" t="s">
        <v>28</v>
      </c>
      <c r="K49" s="345">
        <v>2</v>
      </c>
      <c r="L49" s="345" t="s">
        <v>28</v>
      </c>
      <c r="M49" s="345" t="s">
        <v>28</v>
      </c>
      <c r="N49" s="345" t="s">
        <v>28</v>
      </c>
      <c r="O49" s="345" t="s">
        <v>28</v>
      </c>
      <c r="P49" s="345" t="s">
        <v>28</v>
      </c>
      <c r="Q49" s="345" t="s">
        <v>28</v>
      </c>
      <c r="R49" s="322" t="s">
        <v>28</v>
      </c>
    </row>
    <row r="50" spans="1:18" ht="11.45" customHeight="1">
      <c r="A50" s="1616" t="s">
        <v>29</v>
      </c>
      <c r="B50" s="294" t="s">
        <v>30</v>
      </c>
      <c r="C50" s="346">
        <v>2</v>
      </c>
      <c r="D50" s="346" t="s">
        <v>28</v>
      </c>
      <c r="E50" s="346" t="s">
        <v>28</v>
      </c>
      <c r="F50" s="346" t="s">
        <v>28</v>
      </c>
      <c r="G50" s="346" t="s">
        <v>28</v>
      </c>
      <c r="H50" s="343" t="s">
        <v>28</v>
      </c>
      <c r="I50" s="346">
        <v>2</v>
      </c>
      <c r="J50" s="346" t="s">
        <v>28</v>
      </c>
      <c r="K50" s="346">
        <v>2</v>
      </c>
      <c r="L50" s="346" t="s">
        <v>28</v>
      </c>
      <c r="M50" s="346" t="s">
        <v>28</v>
      </c>
      <c r="N50" s="346" t="s">
        <v>28</v>
      </c>
      <c r="O50" s="346" t="s">
        <v>28</v>
      </c>
      <c r="P50" s="346" t="s">
        <v>28</v>
      </c>
      <c r="Q50" s="346" t="s">
        <v>28</v>
      </c>
      <c r="R50" s="343" t="s">
        <v>28</v>
      </c>
    </row>
    <row r="51" spans="1:18" ht="11.45" customHeight="1">
      <c r="A51" s="1616" t="s">
        <v>31</v>
      </c>
      <c r="B51" s="294" t="s">
        <v>32</v>
      </c>
      <c r="C51" s="346" t="s">
        <v>28</v>
      </c>
      <c r="D51" s="346" t="s">
        <v>28</v>
      </c>
      <c r="E51" s="346" t="s">
        <v>28</v>
      </c>
      <c r="F51" s="346" t="s">
        <v>28</v>
      </c>
      <c r="G51" s="346" t="s">
        <v>28</v>
      </c>
      <c r="H51" s="343" t="s">
        <v>28</v>
      </c>
      <c r="I51" s="346" t="s">
        <v>28</v>
      </c>
      <c r="J51" s="346" t="s">
        <v>28</v>
      </c>
      <c r="K51" s="346" t="s">
        <v>28</v>
      </c>
      <c r="L51" s="346" t="s">
        <v>28</v>
      </c>
      <c r="M51" s="346" t="s">
        <v>28</v>
      </c>
      <c r="N51" s="346" t="s">
        <v>28</v>
      </c>
      <c r="O51" s="346" t="s">
        <v>28</v>
      </c>
      <c r="P51" s="346" t="s">
        <v>28</v>
      </c>
      <c r="Q51" s="346" t="s">
        <v>28</v>
      </c>
      <c r="R51" s="343" t="s">
        <v>28</v>
      </c>
    </row>
    <row r="52" spans="1:18" ht="11.45" customHeight="1">
      <c r="A52" s="311" t="s">
        <v>59</v>
      </c>
      <c r="B52" s="312" t="s">
        <v>60</v>
      </c>
      <c r="C52" s="345">
        <v>9</v>
      </c>
      <c r="D52" s="345">
        <v>6</v>
      </c>
      <c r="E52" s="345">
        <v>5</v>
      </c>
      <c r="F52" s="345">
        <v>3</v>
      </c>
      <c r="G52" s="345">
        <v>1</v>
      </c>
      <c r="H52" s="322">
        <v>1</v>
      </c>
      <c r="I52" s="345">
        <v>3</v>
      </c>
      <c r="J52" s="345">
        <v>2</v>
      </c>
      <c r="K52" s="345">
        <v>5</v>
      </c>
      <c r="L52" s="345">
        <v>4</v>
      </c>
      <c r="M52" s="345" t="s">
        <v>28</v>
      </c>
      <c r="N52" s="345" t="s">
        <v>28</v>
      </c>
      <c r="O52" s="345">
        <v>2</v>
      </c>
      <c r="P52" s="345" t="s">
        <v>28</v>
      </c>
      <c r="Q52" s="345">
        <v>2</v>
      </c>
      <c r="R52" s="322">
        <v>2</v>
      </c>
    </row>
    <row r="53" spans="1:18" ht="11.45" customHeight="1">
      <c r="A53" s="1616" t="s">
        <v>29</v>
      </c>
      <c r="B53" s="294" t="s">
        <v>30</v>
      </c>
      <c r="C53" s="346">
        <v>9</v>
      </c>
      <c r="D53" s="346">
        <v>6</v>
      </c>
      <c r="E53" s="346">
        <v>5</v>
      </c>
      <c r="F53" s="346">
        <v>3</v>
      </c>
      <c r="G53" s="346">
        <v>1</v>
      </c>
      <c r="H53" s="343">
        <v>1</v>
      </c>
      <c r="I53" s="346">
        <v>3</v>
      </c>
      <c r="J53" s="346">
        <v>2</v>
      </c>
      <c r="K53" s="346">
        <v>5</v>
      </c>
      <c r="L53" s="346">
        <v>4</v>
      </c>
      <c r="M53" s="346" t="s">
        <v>28</v>
      </c>
      <c r="N53" s="346" t="s">
        <v>28</v>
      </c>
      <c r="O53" s="346">
        <v>2</v>
      </c>
      <c r="P53" s="346" t="s">
        <v>28</v>
      </c>
      <c r="Q53" s="346">
        <v>2</v>
      </c>
      <c r="R53" s="343">
        <v>2</v>
      </c>
    </row>
    <row r="54" spans="1:18" ht="11.45" customHeight="1">
      <c r="A54" s="1616" t="s">
        <v>31</v>
      </c>
      <c r="B54" s="294" t="s">
        <v>32</v>
      </c>
      <c r="C54" s="346" t="s">
        <v>28</v>
      </c>
      <c r="D54" s="346" t="s">
        <v>28</v>
      </c>
      <c r="E54" s="346" t="s">
        <v>28</v>
      </c>
      <c r="F54" s="346" t="s">
        <v>28</v>
      </c>
      <c r="G54" s="346" t="s">
        <v>28</v>
      </c>
      <c r="H54" s="343" t="s">
        <v>28</v>
      </c>
      <c r="I54" s="346" t="s">
        <v>28</v>
      </c>
      <c r="J54" s="346" t="s">
        <v>28</v>
      </c>
      <c r="K54" s="346" t="s">
        <v>28</v>
      </c>
      <c r="L54" s="346" t="s">
        <v>28</v>
      </c>
      <c r="M54" s="346" t="s">
        <v>28</v>
      </c>
      <c r="N54" s="346" t="s">
        <v>28</v>
      </c>
      <c r="O54" s="346" t="s">
        <v>28</v>
      </c>
      <c r="P54" s="346" t="s">
        <v>28</v>
      </c>
      <c r="Q54" s="346" t="s">
        <v>28</v>
      </c>
      <c r="R54" s="343" t="s">
        <v>28</v>
      </c>
    </row>
    <row r="55" spans="1:18" ht="11.45" customHeight="1">
      <c r="A55" s="311" t="s">
        <v>61</v>
      </c>
      <c r="B55" s="312" t="s">
        <v>62</v>
      </c>
      <c r="C55" s="345" t="s">
        <v>28</v>
      </c>
      <c r="D55" s="345" t="s">
        <v>28</v>
      </c>
      <c r="E55" s="345" t="s">
        <v>28</v>
      </c>
      <c r="F55" s="345" t="s">
        <v>28</v>
      </c>
      <c r="G55" s="345" t="s">
        <v>28</v>
      </c>
      <c r="H55" s="322" t="s">
        <v>28</v>
      </c>
      <c r="I55" s="345" t="s">
        <v>28</v>
      </c>
      <c r="J55" s="345" t="s">
        <v>28</v>
      </c>
      <c r="K55" s="345" t="s">
        <v>28</v>
      </c>
      <c r="L55" s="345" t="s">
        <v>28</v>
      </c>
      <c r="M55" s="345" t="s">
        <v>28</v>
      </c>
      <c r="N55" s="345" t="s">
        <v>28</v>
      </c>
      <c r="O55" s="345" t="s">
        <v>28</v>
      </c>
      <c r="P55" s="345" t="s">
        <v>28</v>
      </c>
      <c r="Q55" s="345" t="s">
        <v>28</v>
      </c>
      <c r="R55" s="322" t="s">
        <v>28</v>
      </c>
    </row>
    <row r="56" spans="1:18" ht="11.45" customHeight="1">
      <c r="A56" s="1616" t="s">
        <v>29</v>
      </c>
      <c r="B56" s="294" t="s">
        <v>30</v>
      </c>
      <c r="C56" s="346" t="s">
        <v>28</v>
      </c>
      <c r="D56" s="346" t="s">
        <v>28</v>
      </c>
      <c r="E56" s="346" t="s">
        <v>28</v>
      </c>
      <c r="F56" s="346" t="s">
        <v>28</v>
      </c>
      <c r="G56" s="346" t="s">
        <v>28</v>
      </c>
      <c r="H56" s="343" t="s">
        <v>28</v>
      </c>
      <c r="I56" s="346" t="s">
        <v>28</v>
      </c>
      <c r="J56" s="346" t="s">
        <v>28</v>
      </c>
      <c r="K56" s="346" t="s">
        <v>28</v>
      </c>
      <c r="L56" s="346" t="s">
        <v>28</v>
      </c>
      <c r="M56" s="346" t="s">
        <v>28</v>
      </c>
      <c r="N56" s="346" t="s">
        <v>28</v>
      </c>
      <c r="O56" s="346" t="s">
        <v>28</v>
      </c>
      <c r="P56" s="346" t="s">
        <v>28</v>
      </c>
      <c r="Q56" s="346" t="s">
        <v>28</v>
      </c>
      <c r="R56" s="343" t="s">
        <v>28</v>
      </c>
    </row>
    <row r="57" spans="1:18" ht="11.45" customHeight="1">
      <c r="A57" s="1616" t="s">
        <v>31</v>
      </c>
      <c r="B57" s="294" t="s">
        <v>32</v>
      </c>
      <c r="C57" s="346" t="s">
        <v>28</v>
      </c>
      <c r="D57" s="346" t="s">
        <v>28</v>
      </c>
      <c r="E57" s="346" t="s">
        <v>28</v>
      </c>
      <c r="F57" s="346" t="s">
        <v>28</v>
      </c>
      <c r="G57" s="346" t="s">
        <v>28</v>
      </c>
      <c r="H57" s="343" t="s">
        <v>28</v>
      </c>
      <c r="I57" s="346" t="s">
        <v>28</v>
      </c>
      <c r="J57" s="346" t="s">
        <v>28</v>
      </c>
      <c r="K57" s="346" t="s">
        <v>28</v>
      </c>
      <c r="L57" s="346" t="s">
        <v>28</v>
      </c>
      <c r="M57" s="346" t="s">
        <v>28</v>
      </c>
      <c r="N57" s="346" t="s">
        <v>28</v>
      </c>
      <c r="O57" s="346" t="s">
        <v>28</v>
      </c>
      <c r="P57" s="346" t="s">
        <v>28</v>
      </c>
      <c r="Q57" s="346" t="s">
        <v>28</v>
      </c>
      <c r="R57" s="343" t="s">
        <v>28</v>
      </c>
    </row>
    <row r="58" spans="1:18" ht="11.45" customHeight="1">
      <c r="A58" s="311" t="s">
        <v>63</v>
      </c>
      <c r="B58" s="312" t="s">
        <v>64</v>
      </c>
      <c r="C58" s="345" t="s">
        <v>28</v>
      </c>
      <c r="D58" s="345" t="s">
        <v>28</v>
      </c>
      <c r="E58" s="345" t="s">
        <v>28</v>
      </c>
      <c r="F58" s="345" t="s">
        <v>28</v>
      </c>
      <c r="G58" s="345" t="s">
        <v>28</v>
      </c>
      <c r="H58" s="322" t="s">
        <v>28</v>
      </c>
      <c r="I58" s="345" t="s">
        <v>28</v>
      </c>
      <c r="J58" s="345" t="s">
        <v>28</v>
      </c>
      <c r="K58" s="345" t="s">
        <v>28</v>
      </c>
      <c r="L58" s="345" t="s">
        <v>28</v>
      </c>
      <c r="M58" s="345" t="s">
        <v>28</v>
      </c>
      <c r="N58" s="345" t="s">
        <v>28</v>
      </c>
      <c r="O58" s="345" t="s">
        <v>28</v>
      </c>
      <c r="P58" s="345" t="s">
        <v>28</v>
      </c>
      <c r="Q58" s="345" t="s">
        <v>28</v>
      </c>
      <c r="R58" s="322" t="s">
        <v>28</v>
      </c>
    </row>
    <row r="59" spans="1:18" ht="11.45" customHeight="1">
      <c r="A59" s="1616" t="s">
        <v>29</v>
      </c>
      <c r="B59" s="294" t="s">
        <v>30</v>
      </c>
      <c r="C59" s="346" t="s">
        <v>28</v>
      </c>
      <c r="D59" s="346" t="s">
        <v>28</v>
      </c>
      <c r="E59" s="346" t="s">
        <v>28</v>
      </c>
      <c r="F59" s="346" t="s">
        <v>28</v>
      </c>
      <c r="G59" s="346" t="s">
        <v>28</v>
      </c>
      <c r="H59" s="343" t="s">
        <v>28</v>
      </c>
      <c r="I59" s="346" t="s">
        <v>28</v>
      </c>
      <c r="J59" s="346" t="s">
        <v>28</v>
      </c>
      <c r="K59" s="346" t="s">
        <v>28</v>
      </c>
      <c r="L59" s="346" t="s">
        <v>28</v>
      </c>
      <c r="M59" s="346" t="s">
        <v>28</v>
      </c>
      <c r="N59" s="346" t="s">
        <v>28</v>
      </c>
      <c r="O59" s="346" t="s">
        <v>28</v>
      </c>
      <c r="P59" s="346" t="s">
        <v>28</v>
      </c>
      <c r="Q59" s="346" t="s">
        <v>28</v>
      </c>
      <c r="R59" s="343" t="s">
        <v>28</v>
      </c>
    </row>
    <row r="60" spans="1:18" ht="11.45" customHeight="1" thickBot="1">
      <c r="A60" s="1620" t="s">
        <v>31</v>
      </c>
      <c r="B60" s="303" t="s">
        <v>32</v>
      </c>
      <c r="C60" s="329" t="s">
        <v>28</v>
      </c>
      <c r="D60" s="329" t="s">
        <v>28</v>
      </c>
      <c r="E60" s="329" t="s">
        <v>28</v>
      </c>
      <c r="F60" s="329" t="s">
        <v>28</v>
      </c>
      <c r="G60" s="329" t="s">
        <v>28</v>
      </c>
      <c r="H60" s="330" t="s">
        <v>28</v>
      </c>
      <c r="I60" s="329" t="s">
        <v>28</v>
      </c>
      <c r="J60" s="329" t="s">
        <v>28</v>
      </c>
      <c r="K60" s="329" t="s">
        <v>28</v>
      </c>
      <c r="L60" s="329" t="s">
        <v>28</v>
      </c>
      <c r="M60" s="329" t="s">
        <v>28</v>
      </c>
      <c r="N60" s="329" t="s">
        <v>28</v>
      </c>
      <c r="O60" s="329" t="s">
        <v>28</v>
      </c>
      <c r="P60" s="329" t="s">
        <v>28</v>
      </c>
      <c r="Q60" s="329" t="s">
        <v>28</v>
      </c>
      <c r="R60" s="330" t="s">
        <v>28</v>
      </c>
    </row>
    <row r="61" spans="1:18" s="11" customFormat="1" ht="10.5" customHeight="1">
      <c r="A61" s="1174" t="s">
        <v>1217</v>
      </c>
      <c r="B61" s="1640"/>
      <c r="C61" s="1640"/>
      <c r="D61" s="1640"/>
      <c r="E61" s="1640"/>
      <c r="F61" s="1640"/>
      <c r="G61" s="1640"/>
      <c r="H61" s="1640"/>
      <c r="I61" s="1640"/>
      <c r="J61" s="1640"/>
      <c r="K61" s="1641" t="s">
        <v>1216</v>
      </c>
      <c r="L61" s="1641"/>
      <c r="M61" s="1641"/>
      <c r="N61" s="1641"/>
      <c r="O61" s="1641"/>
      <c r="P61" s="1641"/>
      <c r="Q61" s="1641"/>
      <c r="R61" s="1641"/>
    </row>
    <row r="62" spans="1:18" ht="13.5" customHeight="1">
      <c r="A62" s="1174" t="s">
        <v>1344</v>
      </c>
      <c r="B62" s="1640"/>
      <c r="C62" s="1640"/>
      <c r="D62" s="1640"/>
      <c r="E62" s="1640"/>
      <c r="F62" s="1640"/>
      <c r="G62" s="1640"/>
      <c r="H62" s="1640"/>
      <c r="I62" s="1640"/>
      <c r="J62" s="1640"/>
      <c r="K62" s="1641" t="s">
        <v>1345</v>
      </c>
      <c r="L62" s="1641"/>
      <c r="M62" s="1641"/>
      <c r="N62" s="1641"/>
      <c r="O62" s="1641"/>
      <c r="P62" s="1641"/>
      <c r="Q62" s="1641"/>
      <c r="R62" s="1641"/>
    </row>
    <row r="66" spans="1:1">
      <c r="A66" s="339"/>
    </row>
  </sheetData>
  <mergeCells count="36">
    <mergeCell ref="A62:J62"/>
    <mergeCell ref="K62:R62"/>
    <mergeCell ref="A3:J3"/>
    <mergeCell ref="K3:R3"/>
    <mergeCell ref="A2:J2"/>
    <mergeCell ref="A4:J4"/>
    <mergeCell ref="K2:R2"/>
    <mergeCell ref="K4:R4"/>
    <mergeCell ref="A5:B5"/>
    <mergeCell ref="C5:D5"/>
    <mergeCell ref="E5:J5"/>
    <mergeCell ref="K5:R5"/>
    <mergeCell ref="A6:B6"/>
    <mergeCell ref="C6:D6"/>
    <mergeCell ref="E6:J6"/>
    <mergeCell ref="K6:R6"/>
    <mergeCell ref="Q7:R7"/>
    <mergeCell ref="C8:D8"/>
    <mergeCell ref="E8:F8"/>
    <mergeCell ref="G8:H8"/>
    <mergeCell ref="I8:J8"/>
    <mergeCell ref="K8:L8"/>
    <mergeCell ref="Q8:R8"/>
    <mergeCell ref="C7:D7"/>
    <mergeCell ref="E7:F7"/>
    <mergeCell ref="G7:H7"/>
    <mergeCell ref="I7:J7"/>
    <mergeCell ref="K7:L7"/>
    <mergeCell ref="O7:P8"/>
    <mergeCell ref="M7:N8"/>
    <mergeCell ref="A14:J14"/>
    <mergeCell ref="K14:R14"/>
    <mergeCell ref="A30:J30"/>
    <mergeCell ref="K30:R30"/>
    <mergeCell ref="A61:J61"/>
    <mergeCell ref="K61:R61"/>
  </mergeCells>
  <phoneticPr fontId="4" type="noConversion"/>
  <hyperlinks>
    <hyperlink ref="A1" location="목록!A1" display="목록!A1" xr:uid="{67A40E12-AE38-44A3-80DB-0F606E204C9E}"/>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62" max="17" man="1"/>
  </rowBreaks>
  <colBreaks count="1" manualBreakCount="1">
    <brk id="10" min="1" max="61"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G67"/>
  <sheetViews>
    <sheetView showGridLines="0" showWhiteSpace="0" view="pageBreakPreview" zoomScaleNormal="100" zoomScaleSheetLayoutView="100" zoomScalePageLayoutView="115" workbookViewId="0">
      <selection activeCell="A2" sqref="A2:Z62"/>
    </sheetView>
  </sheetViews>
  <sheetFormatPr defaultColWidth="8.88671875" defaultRowHeight="13.5"/>
  <cols>
    <col min="1" max="1" width="7.77734375" style="16" customWidth="1"/>
    <col min="2" max="2" width="11.88671875" style="16" customWidth="1"/>
    <col min="3" max="9" width="5.88671875" style="16" customWidth="1"/>
    <col min="10" max="10" width="5.88671875" style="19" customWidth="1"/>
    <col min="11" max="12" width="5.88671875" style="16" customWidth="1"/>
    <col min="13" max="20" width="5.5546875" style="16" customWidth="1"/>
    <col min="21" max="25" width="5.6640625" style="16" customWidth="1"/>
    <col min="26" max="26" width="5.6640625" style="20" customWidth="1"/>
    <col min="27" max="16384" width="8.88671875" style="16"/>
  </cols>
  <sheetData>
    <row r="1" spans="1:26" ht="22.5">
      <c r="A1" s="901" t="s">
        <v>1332</v>
      </c>
    </row>
    <row r="2" spans="1:26" s="14" customFormat="1" ht="13.5" customHeight="1">
      <c r="A2" s="1220" t="s">
        <v>1183</v>
      </c>
      <c r="B2" s="1220"/>
      <c r="C2" s="1220"/>
      <c r="D2" s="1220"/>
      <c r="E2" s="1220"/>
      <c r="F2" s="1220"/>
      <c r="G2" s="1220"/>
      <c r="H2" s="1220"/>
      <c r="I2" s="1220"/>
      <c r="J2" s="1220"/>
      <c r="K2" s="1220"/>
      <c r="L2" s="1220"/>
      <c r="M2" s="1221" t="s">
        <v>1182</v>
      </c>
      <c r="N2" s="1221"/>
      <c r="O2" s="1221"/>
      <c r="P2" s="1221"/>
      <c r="Q2" s="1221"/>
      <c r="R2" s="1221"/>
      <c r="S2" s="1221"/>
      <c r="T2" s="1221"/>
      <c r="U2" s="1221"/>
      <c r="V2" s="1221"/>
      <c r="W2" s="1221"/>
      <c r="X2" s="1221"/>
      <c r="Y2" s="1221"/>
      <c r="Z2" s="1221"/>
    </row>
    <row r="3" spans="1:26" s="15" customFormat="1" ht="22.5" customHeight="1">
      <c r="A3" s="1218" t="s">
        <v>938</v>
      </c>
      <c r="B3" s="1218"/>
      <c r="C3" s="1218"/>
      <c r="D3" s="1218"/>
      <c r="E3" s="1218"/>
      <c r="F3" s="1218"/>
      <c r="G3" s="1218"/>
      <c r="H3" s="1218"/>
      <c r="I3" s="1218"/>
      <c r="J3" s="1218"/>
      <c r="K3" s="1218"/>
      <c r="L3" s="1218"/>
      <c r="M3" s="1219" t="s">
        <v>937</v>
      </c>
      <c r="N3" s="1219"/>
      <c r="O3" s="1219"/>
      <c r="P3" s="1219"/>
      <c r="Q3" s="1219"/>
      <c r="R3" s="1219"/>
      <c r="S3" s="1219"/>
      <c r="T3" s="1219"/>
      <c r="U3" s="1219"/>
      <c r="V3" s="1219"/>
      <c r="W3" s="1219"/>
      <c r="X3" s="1219"/>
      <c r="Y3" s="1219"/>
      <c r="Z3" s="1219"/>
    </row>
    <row r="4" spans="1:26" ht="13.5" customHeight="1" thickBot="1">
      <c r="A4" s="1642" t="s">
        <v>1340</v>
      </c>
      <c r="B4" s="1642"/>
      <c r="C4" s="1642"/>
      <c r="D4" s="1642"/>
      <c r="E4" s="1642"/>
      <c r="F4" s="1642"/>
      <c r="G4" s="1642"/>
      <c r="H4" s="1642"/>
      <c r="I4" s="1642"/>
      <c r="J4" s="1642"/>
      <c r="K4" s="1642"/>
      <c r="L4" s="1642"/>
      <c r="M4" s="1643"/>
      <c r="N4" s="1643"/>
      <c r="O4" s="1643"/>
      <c r="P4" s="1643"/>
      <c r="Q4" s="1643"/>
      <c r="R4" s="1643"/>
      <c r="S4" s="1643"/>
      <c r="T4" s="1643"/>
      <c r="U4" s="1643"/>
      <c r="V4" s="1643"/>
      <c r="W4" s="1643"/>
      <c r="X4" s="1643"/>
      <c r="Y4" s="1643"/>
      <c r="Z4" s="1643"/>
    </row>
    <row r="5" spans="1:26" ht="12" customHeight="1">
      <c r="A5" s="1212" t="s">
        <v>668</v>
      </c>
      <c r="B5" s="1213"/>
      <c r="C5" s="1214" t="s">
        <v>436</v>
      </c>
      <c r="D5" s="1212"/>
      <c r="E5" s="1212"/>
      <c r="F5" s="1212"/>
      <c r="G5" s="1212"/>
      <c r="H5" s="1212"/>
      <c r="I5" s="1212"/>
      <c r="J5" s="1212"/>
      <c r="K5" s="1212"/>
      <c r="L5" s="1212"/>
      <c r="M5" s="1212" t="s">
        <v>436</v>
      </c>
      <c r="N5" s="1212"/>
      <c r="O5" s="1212"/>
      <c r="P5" s="1212"/>
      <c r="Q5" s="1212"/>
      <c r="R5" s="1212"/>
      <c r="S5" s="1212"/>
      <c r="T5" s="1212"/>
      <c r="U5" s="1212"/>
      <c r="V5" s="1212"/>
      <c r="W5" s="1212"/>
      <c r="X5" s="1212"/>
      <c r="Y5" s="1212"/>
      <c r="Z5" s="1212"/>
    </row>
    <row r="6" spans="1:26" ht="11.25" customHeight="1">
      <c r="A6" s="1644" t="s">
        <v>7</v>
      </c>
      <c r="B6" s="1215"/>
      <c r="C6" s="1216" t="s">
        <v>510</v>
      </c>
      <c r="D6" s="1217"/>
      <c r="E6" s="1217"/>
      <c r="F6" s="1217"/>
      <c r="G6" s="1217"/>
      <c r="H6" s="1217"/>
      <c r="I6" s="1217"/>
      <c r="J6" s="1217"/>
      <c r="K6" s="1217"/>
      <c r="L6" s="1217"/>
      <c r="M6" s="1217" t="s">
        <v>510</v>
      </c>
      <c r="N6" s="1217"/>
      <c r="O6" s="1217"/>
      <c r="P6" s="1217"/>
      <c r="Q6" s="1217"/>
      <c r="R6" s="1217"/>
      <c r="S6" s="1217"/>
      <c r="T6" s="1217"/>
      <c r="U6" s="1217"/>
      <c r="V6" s="1217"/>
      <c r="W6" s="1217"/>
      <c r="X6" s="1217"/>
      <c r="Y6" s="1217"/>
      <c r="Z6" s="1217"/>
    </row>
    <row r="7" spans="1:26" s="17" customFormat="1" ht="12" customHeight="1">
      <c r="A7" s="1645" t="s">
        <v>397</v>
      </c>
      <c r="B7" s="616"/>
      <c r="C7" s="1646" t="s">
        <v>524</v>
      </c>
      <c r="D7" s="1647"/>
      <c r="E7" s="1646" t="s">
        <v>525</v>
      </c>
      <c r="F7" s="1647"/>
      <c r="G7" s="1646" t="s">
        <v>526</v>
      </c>
      <c r="H7" s="1647"/>
      <c r="I7" s="1646" t="s">
        <v>527</v>
      </c>
      <c r="J7" s="1647"/>
      <c r="K7" s="1646" t="s">
        <v>528</v>
      </c>
      <c r="L7" s="1647"/>
      <c r="M7" s="1646" t="s">
        <v>529</v>
      </c>
      <c r="N7" s="1647"/>
      <c r="O7" s="1646" t="s">
        <v>530</v>
      </c>
      <c r="P7" s="1647"/>
      <c r="Q7" s="1646" t="s">
        <v>531</v>
      </c>
      <c r="R7" s="1647"/>
      <c r="S7" s="1646" t="s">
        <v>532</v>
      </c>
      <c r="T7" s="1647"/>
      <c r="U7" s="1646" t="s">
        <v>533</v>
      </c>
      <c r="V7" s="1647"/>
      <c r="W7" s="1646" t="s">
        <v>534</v>
      </c>
      <c r="X7" s="1647"/>
      <c r="Y7" s="1646" t="s">
        <v>535</v>
      </c>
      <c r="Z7" s="1211"/>
    </row>
    <row r="8" spans="1:26" ht="11.25" customHeight="1">
      <c r="A8" s="1648"/>
      <c r="B8" s="617"/>
      <c r="C8" s="1208" t="s">
        <v>536</v>
      </c>
      <c r="D8" s="1209"/>
      <c r="E8" s="1206" t="s">
        <v>537</v>
      </c>
      <c r="F8" s="1210"/>
      <c r="G8" s="1206" t="s">
        <v>538</v>
      </c>
      <c r="H8" s="1210"/>
      <c r="I8" s="1206" t="s">
        <v>539</v>
      </c>
      <c r="J8" s="1210"/>
      <c r="K8" s="1206" t="s">
        <v>540</v>
      </c>
      <c r="L8" s="1210"/>
      <c r="M8" s="1206" t="s">
        <v>541</v>
      </c>
      <c r="N8" s="1210"/>
      <c r="O8" s="1206" t="s">
        <v>508</v>
      </c>
      <c r="P8" s="1210"/>
      <c r="Q8" s="1206" t="s">
        <v>1214</v>
      </c>
      <c r="R8" s="1210"/>
      <c r="S8" s="1206" t="s">
        <v>542</v>
      </c>
      <c r="T8" s="1210"/>
      <c r="U8" s="1206" t="s">
        <v>543</v>
      </c>
      <c r="V8" s="1210"/>
      <c r="W8" s="1206" t="s">
        <v>450</v>
      </c>
      <c r="X8" s="1210"/>
      <c r="Y8" s="1206" t="s">
        <v>544</v>
      </c>
      <c r="Z8" s="1207"/>
    </row>
    <row r="9" spans="1:26" ht="12" customHeight="1">
      <c r="A9" s="1648"/>
      <c r="B9" s="617"/>
      <c r="C9" s="952" t="s">
        <v>13</v>
      </c>
      <c r="D9" s="952" t="s">
        <v>23</v>
      </c>
      <c r="E9" s="952" t="s">
        <v>13</v>
      </c>
      <c r="F9" s="952" t="s">
        <v>23</v>
      </c>
      <c r="G9" s="952" t="s">
        <v>13</v>
      </c>
      <c r="H9" s="952" t="s">
        <v>23</v>
      </c>
      <c r="I9" s="952" t="s">
        <v>13</v>
      </c>
      <c r="J9" s="952" t="s">
        <v>23</v>
      </c>
      <c r="K9" s="952" t="s">
        <v>13</v>
      </c>
      <c r="L9" s="952" t="s">
        <v>23</v>
      </c>
      <c r="M9" s="618" t="s">
        <v>13</v>
      </c>
      <c r="N9" s="952" t="s">
        <v>23</v>
      </c>
      <c r="O9" s="952" t="s">
        <v>13</v>
      </c>
      <c r="P9" s="952" t="s">
        <v>23</v>
      </c>
      <c r="Q9" s="952" t="s">
        <v>13</v>
      </c>
      <c r="R9" s="952" t="s">
        <v>23</v>
      </c>
      <c r="S9" s="952" t="s">
        <v>13</v>
      </c>
      <c r="T9" s="952" t="s">
        <v>23</v>
      </c>
      <c r="U9" s="952" t="s">
        <v>13</v>
      </c>
      <c r="V9" s="952" t="s">
        <v>23</v>
      </c>
      <c r="W9" s="952" t="s">
        <v>13</v>
      </c>
      <c r="X9" s="952" t="s">
        <v>23</v>
      </c>
      <c r="Y9" s="952" t="s">
        <v>13</v>
      </c>
      <c r="Z9" s="951" t="s">
        <v>23</v>
      </c>
    </row>
    <row r="10" spans="1:26" ht="11.25" customHeight="1">
      <c r="A10" s="619"/>
      <c r="B10" s="620"/>
      <c r="C10" s="942" t="s">
        <v>25</v>
      </c>
      <c r="D10" s="942" t="s">
        <v>26</v>
      </c>
      <c r="E10" s="942" t="s">
        <v>25</v>
      </c>
      <c r="F10" s="942" t="s">
        <v>26</v>
      </c>
      <c r="G10" s="942" t="s">
        <v>25</v>
      </c>
      <c r="H10" s="942" t="s">
        <v>26</v>
      </c>
      <c r="I10" s="942" t="s">
        <v>25</v>
      </c>
      <c r="J10" s="942" t="s">
        <v>26</v>
      </c>
      <c r="K10" s="942" t="s">
        <v>25</v>
      </c>
      <c r="L10" s="621" t="s">
        <v>26</v>
      </c>
      <c r="M10" s="622" t="s">
        <v>25</v>
      </c>
      <c r="N10" s="942" t="s">
        <v>26</v>
      </c>
      <c r="O10" s="942" t="s">
        <v>25</v>
      </c>
      <c r="P10" s="942" t="s">
        <v>26</v>
      </c>
      <c r="Q10" s="942" t="s">
        <v>25</v>
      </c>
      <c r="R10" s="942" t="s">
        <v>26</v>
      </c>
      <c r="S10" s="942" t="s">
        <v>25</v>
      </c>
      <c r="T10" s="942" t="s">
        <v>26</v>
      </c>
      <c r="U10" s="942" t="s">
        <v>25</v>
      </c>
      <c r="V10" s="942" t="s">
        <v>26</v>
      </c>
      <c r="W10" s="942" t="s">
        <v>25</v>
      </c>
      <c r="X10" s="942" t="s">
        <v>26</v>
      </c>
      <c r="Y10" s="942" t="s">
        <v>25</v>
      </c>
      <c r="Z10" s="938" t="s">
        <v>26</v>
      </c>
    </row>
    <row r="11" spans="1:26" ht="12" customHeight="1">
      <c r="A11" s="623" t="s">
        <v>27</v>
      </c>
      <c r="B11" s="1649" t="s">
        <v>16</v>
      </c>
      <c r="C11" s="1650">
        <v>17</v>
      </c>
      <c r="D11" s="1650">
        <v>10</v>
      </c>
      <c r="E11" s="1650">
        <v>8</v>
      </c>
      <c r="F11" s="1650">
        <v>4</v>
      </c>
      <c r="G11" s="1650">
        <v>2</v>
      </c>
      <c r="H11" s="1650" t="s">
        <v>28</v>
      </c>
      <c r="I11" s="1650">
        <v>1</v>
      </c>
      <c r="J11" s="1651">
        <v>1</v>
      </c>
      <c r="K11" s="1650">
        <v>2</v>
      </c>
      <c r="L11" s="1650">
        <v>2</v>
      </c>
      <c r="M11" s="1650">
        <v>3</v>
      </c>
      <c r="N11" s="1650">
        <v>1</v>
      </c>
      <c r="O11" s="1650">
        <v>1</v>
      </c>
      <c r="P11" s="1650">
        <v>1</v>
      </c>
      <c r="Q11" s="1650">
        <v>3</v>
      </c>
      <c r="R11" s="1650">
        <v>3</v>
      </c>
      <c r="S11" s="1650">
        <v>4</v>
      </c>
      <c r="T11" s="1650">
        <v>1</v>
      </c>
      <c r="U11" s="1650">
        <v>11</v>
      </c>
      <c r="V11" s="1650">
        <v>5</v>
      </c>
      <c r="W11" s="1650">
        <v>4</v>
      </c>
      <c r="X11" s="1650">
        <v>3</v>
      </c>
      <c r="Y11" s="1650" t="s">
        <v>28</v>
      </c>
      <c r="Z11" s="1651" t="s">
        <v>28</v>
      </c>
    </row>
    <row r="12" spans="1:26" ht="12" customHeight="1">
      <c r="A12" s="1652" t="s">
        <v>29</v>
      </c>
      <c r="B12" s="624" t="s">
        <v>30</v>
      </c>
      <c r="C12" s="1653">
        <v>17</v>
      </c>
      <c r="D12" s="1653">
        <v>10</v>
      </c>
      <c r="E12" s="1653">
        <v>8</v>
      </c>
      <c r="F12" s="1653">
        <v>4</v>
      </c>
      <c r="G12" s="1653">
        <v>2</v>
      </c>
      <c r="H12" s="1653" t="s">
        <v>28</v>
      </c>
      <c r="I12" s="1653">
        <v>1</v>
      </c>
      <c r="J12" s="1654">
        <v>1</v>
      </c>
      <c r="K12" s="1653">
        <v>2</v>
      </c>
      <c r="L12" s="1653">
        <v>2</v>
      </c>
      <c r="M12" s="1653">
        <v>3</v>
      </c>
      <c r="N12" s="1653">
        <v>1</v>
      </c>
      <c r="O12" s="1653">
        <v>1</v>
      </c>
      <c r="P12" s="1653">
        <v>1</v>
      </c>
      <c r="Q12" s="1653">
        <v>3</v>
      </c>
      <c r="R12" s="1653">
        <v>3</v>
      </c>
      <c r="S12" s="1653">
        <v>4</v>
      </c>
      <c r="T12" s="1653">
        <v>1</v>
      </c>
      <c r="U12" s="1653">
        <v>11</v>
      </c>
      <c r="V12" s="1653">
        <v>5</v>
      </c>
      <c r="W12" s="1653">
        <v>4</v>
      </c>
      <c r="X12" s="1653">
        <v>3</v>
      </c>
      <c r="Y12" s="1653" t="s">
        <v>28</v>
      </c>
      <c r="Z12" s="1654" t="s">
        <v>28</v>
      </c>
    </row>
    <row r="13" spans="1:26" ht="12" customHeight="1" thickBot="1">
      <c r="A13" s="1655" t="s">
        <v>31</v>
      </c>
      <c r="B13" s="625" t="s">
        <v>32</v>
      </c>
      <c r="C13" s="626" t="s">
        <v>28</v>
      </c>
      <c r="D13" s="626" t="s">
        <v>28</v>
      </c>
      <c r="E13" s="626" t="s">
        <v>28</v>
      </c>
      <c r="F13" s="626" t="s">
        <v>28</v>
      </c>
      <c r="G13" s="626" t="s">
        <v>28</v>
      </c>
      <c r="H13" s="626" t="s">
        <v>28</v>
      </c>
      <c r="I13" s="626" t="s">
        <v>28</v>
      </c>
      <c r="J13" s="627" t="s">
        <v>28</v>
      </c>
      <c r="K13" s="626" t="s">
        <v>28</v>
      </c>
      <c r="L13" s="626" t="s">
        <v>28</v>
      </c>
      <c r="M13" s="626" t="s">
        <v>28</v>
      </c>
      <c r="N13" s="626" t="s">
        <v>28</v>
      </c>
      <c r="O13" s="626" t="s">
        <v>28</v>
      </c>
      <c r="P13" s="626" t="s">
        <v>28</v>
      </c>
      <c r="Q13" s="626" t="s">
        <v>28</v>
      </c>
      <c r="R13" s="626" t="s">
        <v>28</v>
      </c>
      <c r="S13" s="626" t="s">
        <v>28</v>
      </c>
      <c r="T13" s="626" t="s">
        <v>28</v>
      </c>
      <c r="U13" s="626" t="s">
        <v>28</v>
      </c>
      <c r="V13" s="626" t="s">
        <v>28</v>
      </c>
      <c r="W13" s="626" t="s">
        <v>28</v>
      </c>
      <c r="X13" s="626" t="s">
        <v>28</v>
      </c>
      <c r="Y13" s="626" t="s">
        <v>28</v>
      </c>
      <c r="Z13" s="627" t="s">
        <v>28</v>
      </c>
    </row>
    <row r="14" spans="1:26" s="18" customFormat="1" ht="13.5" customHeight="1" thickBot="1">
      <c r="A14" s="1656" t="s">
        <v>363</v>
      </c>
      <c r="B14" s="1656"/>
      <c r="C14" s="1656"/>
      <c r="D14" s="1656"/>
      <c r="E14" s="1656"/>
      <c r="F14" s="1656"/>
      <c r="G14" s="1656"/>
      <c r="H14" s="1656"/>
      <c r="I14" s="1656"/>
      <c r="J14" s="1656"/>
      <c r="K14" s="1656"/>
      <c r="L14" s="1656"/>
      <c r="M14" s="1656" t="s">
        <v>393</v>
      </c>
      <c r="N14" s="1656"/>
      <c r="O14" s="1656"/>
      <c r="P14" s="1656"/>
      <c r="Q14" s="1656"/>
      <c r="R14" s="1656"/>
      <c r="S14" s="1656"/>
      <c r="T14" s="1656"/>
      <c r="U14" s="1656"/>
      <c r="V14" s="1656"/>
      <c r="W14" s="1656"/>
      <c r="X14" s="1656"/>
      <c r="Y14" s="1656"/>
      <c r="Z14" s="1656"/>
    </row>
    <row r="15" spans="1:26" ht="11.45" customHeight="1">
      <c r="A15" s="1657" t="s">
        <v>35</v>
      </c>
      <c r="B15" s="628" t="s">
        <v>36</v>
      </c>
      <c r="C15" s="629">
        <v>3</v>
      </c>
      <c r="D15" s="629">
        <v>3</v>
      </c>
      <c r="E15" s="629">
        <v>1</v>
      </c>
      <c r="F15" s="629" t="s">
        <v>28</v>
      </c>
      <c r="G15" s="629">
        <v>1</v>
      </c>
      <c r="H15" s="629" t="s">
        <v>28</v>
      </c>
      <c r="I15" s="629" t="s">
        <v>28</v>
      </c>
      <c r="J15" s="629" t="s">
        <v>28</v>
      </c>
      <c r="K15" s="629" t="s">
        <v>28</v>
      </c>
      <c r="L15" s="874" t="s">
        <v>28</v>
      </c>
      <c r="M15" s="870" t="s">
        <v>28</v>
      </c>
      <c r="N15" s="629" t="s">
        <v>28</v>
      </c>
      <c r="O15" s="629" t="s">
        <v>28</v>
      </c>
      <c r="P15" s="629" t="s">
        <v>28</v>
      </c>
      <c r="Q15" s="629">
        <v>2</v>
      </c>
      <c r="R15" s="629">
        <v>2</v>
      </c>
      <c r="S15" s="629" t="s">
        <v>28</v>
      </c>
      <c r="T15" s="629" t="s">
        <v>28</v>
      </c>
      <c r="U15" s="629">
        <v>2</v>
      </c>
      <c r="V15" s="629">
        <v>1</v>
      </c>
      <c r="W15" s="629">
        <v>1</v>
      </c>
      <c r="X15" s="629">
        <v>1</v>
      </c>
      <c r="Y15" s="629" t="s">
        <v>28</v>
      </c>
      <c r="Z15" s="868" t="s">
        <v>28</v>
      </c>
    </row>
    <row r="16" spans="1:26" ht="11.45" customHeight="1">
      <c r="A16" s="1652" t="s">
        <v>29</v>
      </c>
      <c r="B16" s="624" t="s">
        <v>30</v>
      </c>
      <c r="C16" s="630">
        <v>3</v>
      </c>
      <c r="D16" s="630">
        <v>3</v>
      </c>
      <c r="E16" s="1658">
        <v>1</v>
      </c>
      <c r="F16" s="631" t="s">
        <v>28</v>
      </c>
      <c r="G16" s="631">
        <v>1</v>
      </c>
      <c r="H16" s="631" t="s">
        <v>28</v>
      </c>
      <c r="I16" s="631" t="s">
        <v>28</v>
      </c>
      <c r="J16" s="630" t="s">
        <v>28</v>
      </c>
      <c r="K16" s="630" t="s">
        <v>28</v>
      </c>
      <c r="L16" s="875" t="s">
        <v>28</v>
      </c>
      <c r="M16" s="631" t="s">
        <v>28</v>
      </c>
      <c r="N16" s="631" t="s">
        <v>28</v>
      </c>
      <c r="O16" s="631" t="s">
        <v>28</v>
      </c>
      <c r="P16" s="631" t="s">
        <v>28</v>
      </c>
      <c r="Q16" s="631">
        <v>2</v>
      </c>
      <c r="R16" s="631">
        <v>2</v>
      </c>
      <c r="S16" s="631" t="s">
        <v>28</v>
      </c>
      <c r="T16" s="631" t="s">
        <v>28</v>
      </c>
      <c r="U16" s="631">
        <v>2</v>
      </c>
      <c r="V16" s="631">
        <v>1</v>
      </c>
      <c r="W16" s="631">
        <v>1</v>
      </c>
      <c r="X16" s="631">
        <v>1</v>
      </c>
      <c r="Y16" s="631" t="s">
        <v>28</v>
      </c>
      <c r="Z16" s="632" t="s">
        <v>28</v>
      </c>
    </row>
    <row r="17" spans="1:33" ht="11.45" customHeight="1">
      <c r="A17" s="1652" t="s">
        <v>31</v>
      </c>
      <c r="B17" s="624" t="s">
        <v>32</v>
      </c>
      <c r="C17" s="630" t="s">
        <v>28</v>
      </c>
      <c r="D17" s="630" t="s">
        <v>28</v>
      </c>
      <c r="E17" s="1658" t="s">
        <v>28</v>
      </c>
      <c r="F17" s="631" t="s">
        <v>28</v>
      </c>
      <c r="G17" s="631" t="s">
        <v>28</v>
      </c>
      <c r="H17" s="631" t="s">
        <v>28</v>
      </c>
      <c r="I17" s="631" t="s">
        <v>28</v>
      </c>
      <c r="J17" s="630" t="s">
        <v>28</v>
      </c>
      <c r="K17" s="630" t="s">
        <v>28</v>
      </c>
      <c r="L17" s="875" t="s">
        <v>28</v>
      </c>
      <c r="M17" s="631" t="s">
        <v>28</v>
      </c>
      <c r="N17" s="631" t="s">
        <v>28</v>
      </c>
      <c r="O17" s="631" t="s">
        <v>28</v>
      </c>
      <c r="P17" s="631" t="s">
        <v>28</v>
      </c>
      <c r="Q17" s="631" t="s">
        <v>28</v>
      </c>
      <c r="R17" s="631" t="s">
        <v>28</v>
      </c>
      <c r="S17" s="631" t="s">
        <v>28</v>
      </c>
      <c r="T17" s="631" t="s">
        <v>28</v>
      </c>
      <c r="U17" s="631" t="s">
        <v>28</v>
      </c>
      <c r="V17" s="631" t="s">
        <v>28</v>
      </c>
      <c r="W17" s="631" t="s">
        <v>28</v>
      </c>
      <c r="X17" s="631" t="s">
        <v>28</v>
      </c>
      <c r="Y17" s="631" t="s">
        <v>28</v>
      </c>
      <c r="Z17" s="632" t="s">
        <v>28</v>
      </c>
    </row>
    <row r="18" spans="1:33" ht="11.45" customHeight="1">
      <c r="A18" s="1659" t="s">
        <v>37</v>
      </c>
      <c r="B18" s="633" t="s">
        <v>38</v>
      </c>
      <c r="C18" s="1660">
        <v>2</v>
      </c>
      <c r="D18" s="1660" t="s">
        <v>28</v>
      </c>
      <c r="E18" s="1660">
        <v>2</v>
      </c>
      <c r="F18" s="1660">
        <v>1</v>
      </c>
      <c r="G18" s="1660" t="s">
        <v>28</v>
      </c>
      <c r="H18" s="1660" t="s">
        <v>28</v>
      </c>
      <c r="I18" s="1660" t="s">
        <v>28</v>
      </c>
      <c r="J18" s="1660" t="s">
        <v>28</v>
      </c>
      <c r="K18" s="1660" t="s">
        <v>28</v>
      </c>
      <c r="L18" s="876" t="s">
        <v>28</v>
      </c>
      <c r="M18" s="871" t="s">
        <v>28</v>
      </c>
      <c r="N18" s="1660" t="s">
        <v>28</v>
      </c>
      <c r="O18" s="1660" t="s">
        <v>28</v>
      </c>
      <c r="P18" s="1660" t="s">
        <v>28</v>
      </c>
      <c r="Q18" s="1660" t="s">
        <v>28</v>
      </c>
      <c r="R18" s="1660" t="s">
        <v>28</v>
      </c>
      <c r="S18" s="1660" t="s">
        <v>28</v>
      </c>
      <c r="T18" s="1660" t="s">
        <v>28</v>
      </c>
      <c r="U18" s="1660">
        <v>2</v>
      </c>
      <c r="V18" s="1660" t="s">
        <v>28</v>
      </c>
      <c r="W18" s="1660">
        <v>1</v>
      </c>
      <c r="X18" s="1660">
        <v>1</v>
      </c>
      <c r="Y18" s="1660" t="s">
        <v>28</v>
      </c>
      <c r="Z18" s="869" t="s">
        <v>28</v>
      </c>
    </row>
    <row r="19" spans="1:33" ht="11.45" customHeight="1">
      <c r="A19" s="1652" t="s">
        <v>29</v>
      </c>
      <c r="B19" s="624" t="s">
        <v>30</v>
      </c>
      <c r="C19" s="1653">
        <v>2</v>
      </c>
      <c r="D19" s="1653" t="s">
        <v>28</v>
      </c>
      <c r="E19" s="1654">
        <v>2</v>
      </c>
      <c r="F19" s="634">
        <v>1</v>
      </c>
      <c r="G19" s="634" t="s">
        <v>28</v>
      </c>
      <c r="H19" s="634" t="s">
        <v>28</v>
      </c>
      <c r="I19" s="634" t="s">
        <v>28</v>
      </c>
      <c r="J19" s="1661" t="s">
        <v>28</v>
      </c>
      <c r="K19" s="1653" t="s">
        <v>28</v>
      </c>
      <c r="L19" s="877" t="s">
        <v>28</v>
      </c>
      <c r="M19" s="634" t="s">
        <v>28</v>
      </c>
      <c r="N19" s="634" t="s">
        <v>28</v>
      </c>
      <c r="O19" s="634" t="s">
        <v>28</v>
      </c>
      <c r="P19" s="634" t="s">
        <v>28</v>
      </c>
      <c r="Q19" s="634" t="s">
        <v>28</v>
      </c>
      <c r="R19" s="634" t="s">
        <v>28</v>
      </c>
      <c r="S19" s="634" t="s">
        <v>28</v>
      </c>
      <c r="T19" s="634" t="s">
        <v>28</v>
      </c>
      <c r="U19" s="634">
        <v>2</v>
      </c>
      <c r="V19" s="634" t="s">
        <v>28</v>
      </c>
      <c r="W19" s="634">
        <v>1</v>
      </c>
      <c r="X19" s="634">
        <v>1</v>
      </c>
      <c r="Y19" s="634" t="s">
        <v>28</v>
      </c>
      <c r="Z19" s="635" t="s">
        <v>28</v>
      </c>
    </row>
    <row r="20" spans="1:33" ht="11.45" customHeight="1">
      <c r="A20" s="1652" t="s">
        <v>31</v>
      </c>
      <c r="B20" s="624" t="s">
        <v>32</v>
      </c>
      <c r="C20" s="1653" t="s">
        <v>28</v>
      </c>
      <c r="D20" s="1653" t="s">
        <v>28</v>
      </c>
      <c r="E20" s="1654" t="s">
        <v>28</v>
      </c>
      <c r="F20" s="634" t="s">
        <v>28</v>
      </c>
      <c r="G20" s="634" t="s">
        <v>28</v>
      </c>
      <c r="H20" s="634" t="s">
        <v>28</v>
      </c>
      <c r="I20" s="634" t="s">
        <v>28</v>
      </c>
      <c r="J20" s="1661" t="s">
        <v>28</v>
      </c>
      <c r="K20" s="1653" t="s">
        <v>28</v>
      </c>
      <c r="L20" s="877" t="s">
        <v>28</v>
      </c>
      <c r="M20" s="634" t="s">
        <v>28</v>
      </c>
      <c r="N20" s="634" t="s">
        <v>28</v>
      </c>
      <c r="O20" s="634" t="s">
        <v>28</v>
      </c>
      <c r="P20" s="634" t="s">
        <v>28</v>
      </c>
      <c r="Q20" s="634" t="s">
        <v>28</v>
      </c>
      <c r="R20" s="634" t="s">
        <v>28</v>
      </c>
      <c r="S20" s="634" t="s">
        <v>28</v>
      </c>
      <c r="T20" s="634" t="s">
        <v>28</v>
      </c>
      <c r="U20" s="634" t="s">
        <v>28</v>
      </c>
      <c r="V20" s="634" t="s">
        <v>28</v>
      </c>
      <c r="W20" s="634" t="s">
        <v>28</v>
      </c>
      <c r="X20" s="634" t="s">
        <v>28</v>
      </c>
      <c r="Y20" s="634" t="s">
        <v>28</v>
      </c>
      <c r="Z20" s="635" t="s">
        <v>28</v>
      </c>
    </row>
    <row r="21" spans="1:33" ht="11.45" customHeight="1">
      <c r="A21" s="1659" t="s">
        <v>39</v>
      </c>
      <c r="B21" s="633" t="s">
        <v>40</v>
      </c>
      <c r="C21" s="636">
        <v>12</v>
      </c>
      <c r="D21" s="636">
        <v>7</v>
      </c>
      <c r="E21" s="636">
        <v>5</v>
      </c>
      <c r="F21" s="636">
        <v>3</v>
      </c>
      <c r="G21" s="636">
        <v>1</v>
      </c>
      <c r="H21" s="636" t="s">
        <v>28</v>
      </c>
      <c r="I21" s="636" t="s">
        <v>28</v>
      </c>
      <c r="J21" s="636" t="s">
        <v>28</v>
      </c>
      <c r="K21" s="636">
        <v>1</v>
      </c>
      <c r="L21" s="878">
        <v>1</v>
      </c>
      <c r="M21" s="872" t="s">
        <v>28</v>
      </c>
      <c r="N21" s="636" t="s">
        <v>28</v>
      </c>
      <c r="O21" s="636" t="s">
        <v>28</v>
      </c>
      <c r="P21" s="636" t="s">
        <v>28</v>
      </c>
      <c r="Q21" s="636" t="s">
        <v>28</v>
      </c>
      <c r="R21" s="636" t="s">
        <v>28</v>
      </c>
      <c r="S21" s="636">
        <v>4</v>
      </c>
      <c r="T21" s="636">
        <v>1</v>
      </c>
      <c r="U21" s="636">
        <v>5</v>
      </c>
      <c r="V21" s="636">
        <v>3</v>
      </c>
      <c r="W21" s="636">
        <v>2</v>
      </c>
      <c r="X21" s="636">
        <v>1</v>
      </c>
      <c r="Y21" s="636" t="s">
        <v>28</v>
      </c>
      <c r="Z21" s="1662" t="s">
        <v>28</v>
      </c>
    </row>
    <row r="22" spans="1:33" ht="11.45" customHeight="1">
      <c r="A22" s="1652" t="s">
        <v>29</v>
      </c>
      <c r="B22" s="624" t="s">
        <v>30</v>
      </c>
      <c r="C22" s="630">
        <v>12</v>
      </c>
      <c r="D22" s="630">
        <v>7</v>
      </c>
      <c r="E22" s="1658">
        <v>5</v>
      </c>
      <c r="F22" s="631">
        <v>3</v>
      </c>
      <c r="G22" s="631">
        <v>1</v>
      </c>
      <c r="H22" s="631" t="s">
        <v>28</v>
      </c>
      <c r="I22" s="631" t="s">
        <v>28</v>
      </c>
      <c r="J22" s="630" t="s">
        <v>28</v>
      </c>
      <c r="K22" s="630">
        <v>1</v>
      </c>
      <c r="L22" s="875">
        <v>1</v>
      </c>
      <c r="M22" s="631" t="s">
        <v>28</v>
      </c>
      <c r="N22" s="631" t="s">
        <v>28</v>
      </c>
      <c r="O22" s="631" t="s">
        <v>28</v>
      </c>
      <c r="P22" s="631" t="s">
        <v>28</v>
      </c>
      <c r="Q22" s="631" t="s">
        <v>28</v>
      </c>
      <c r="R22" s="631" t="s">
        <v>28</v>
      </c>
      <c r="S22" s="631">
        <v>4</v>
      </c>
      <c r="T22" s="631">
        <v>1</v>
      </c>
      <c r="U22" s="631">
        <v>5</v>
      </c>
      <c r="V22" s="631">
        <v>3</v>
      </c>
      <c r="W22" s="631">
        <v>2</v>
      </c>
      <c r="X22" s="631">
        <v>1</v>
      </c>
      <c r="Y22" s="631" t="s">
        <v>28</v>
      </c>
      <c r="Z22" s="632" t="s">
        <v>28</v>
      </c>
    </row>
    <row r="23" spans="1:33" ht="11.45" customHeight="1">
      <c r="A23" s="1652" t="s">
        <v>31</v>
      </c>
      <c r="B23" s="624" t="s">
        <v>32</v>
      </c>
      <c r="C23" s="1653" t="s">
        <v>28</v>
      </c>
      <c r="D23" s="1653" t="s">
        <v>28</v>
      </c>
      <c r="E23" s="1654" t="s">
        <v>28</v>
      </c>
      <c r="F23" s="634" t="s">
        <v>28</v>
      </c>
      <c r="G23" s="634" t="s">
        <v>28</v>
      </c>
      <c r="H23" s="634" t="s">
        <v>28</v>
      </c>
      <c r="I23" s="634" t="s">
        <v>28</v>
      </c>
      <c r="J23" s="1661" t="s">
        <v>28</v>
      </c>
      <c r="K23" s="1653" t="s">
        <v>28</v>
      </c>
      <c r="L23" s="877" t="s">
        <v>28</v>
      </c>
      <c r="M23" s="634" t="s">
        <v>28</v>
      </c>
      <c r="N23" s="634" t="s">
        <v>28</v>
      </c>
      <c r="O23" s="634" t="s">
        <v>28</v>
      </c>
      <c r="P23" s="634" t="s">
        <v>28</v>
      </c>
      <c r="Q23" s="634" t="s">
        <v>28</v>
      </c>
      <c r="R23" s="634" t="s">
        <v>28</v>
      </c>
      <c r="S23" s="634" t="s">
        <v>28</v>
      </c>
      <c r="T23" s="634" t="s">
        <v>28</v>
      </c>
      <c r="U23" s="634" t="s">
        <v>28</v>
      </c>
      <c r="V23" s="634" t="s">
        <v>28</v>
      </c>
      <c r="W23" s="634" t="s">
        <v>28</v>
      </c>
      <c r="X23" s="634" t="s">
        <v>28</v>
      </c>
      <c r="Y23" s="634" t="s">
        <v>28</v>
      </c>
      <c r="Z23" s="635" t="s">
        <v>28</v>
      </c>
    </row>
    <row r="24" spans="1:33" ht="11.45" customHeight="1">
      <c r="A24" s="1659" t="s">
        <v>41</v>
      </c>
      <c r="B24" s="633" t="s">
        <v>42</v>
      </c>
      <c r="C24" s="636" t="s">
        <v>28</v>
      </c>
      <c r="D24" s="636" t="s">
        <v>28</v>
      </c>
      <c r="E24" s="636" t="s">
        <v>28</v>
      </c>
      <c r="F24" s="636" t="s">
        <v>28</v>
      </c>
      <c r="G24" s="636" t="s">
        <v>28</v>
      </c>
      <c r="H24" s="636" t="s">
        <v>28</v>
      </c>
      <c r="I24" s="636">
        <v>1</v>
      </c>
      <c r="J24" s="636">
        <v>1</v>
      </c>
      <c r="K24" s="636">
        <v>1</v>
      </c>
      <c r="L24" s="878">
        <v>1</v>
      </c>
      <c r="M24" s="872">
        <v>3</v>
      </c>
      <c r="N24" s="636">
        <v>1</v>
      </c>
      <c r="O24" s="636">
        <v>1</v>
      </c>
      <c r="P24" s="636">
        <v>1</v>
      </c>
      <c r="Q24" s="636">
        <v>1</v>
      </c>
      <c r="R24" s="636">
        <v>1</v>
      </c>
      <c r="S24" s="636" t="s">
        <v>28</v>
      </c>
      <c r="T24" s="636" t="s">
        <v>28</v>
      </c>
      <c r="U24" s="636">
        <v>2</v>
      </c>
      <c r="V24" s="636">
        <v>1</v>
      </c>
      <c r="W24" s="636" t="s">
        <v>28</v>
      </c>
      <c r="X24" s="636" t="s">
        <v>28</v>
      </c>
      <c r="Y24" s="636" t="s">
        <v>28</v>
      </c>
      <c r="Z24" s="1662" t="s">
        <v>28</v>
      </c>
    </row>
    <row r="25" spans="1:33" ht="11.45" customHeight="1">
      <c r="A25" s="1652" t="s">
        <v>29</v>
      </c>
      <c r="B25" s="624" t="s">
        <v>30</v>
      </c>
      <c r="C25" s="630" t="s">
        <v>28</v>
      </c>
      <c r="D25" s="630" t="s">
        <v>28</v>
      </c>
      <c r="E25" s="1658" t="s">
        <v>28</v>
      </c>
      <c r="F25" s="631" t="s">
        <v>28</v>
      </c>
      <c r="G25" s="631" t="s">
        <v>28</v>
      </c>
      <c r="H25" s="631" t="s">
        <v>28</v>
      </c>
      <c r="I25" s="631">
        <v>1</v>
      </c>
      <c r="J25" s="630">
        <v>1</v>
      </c>
      <c r="K25" s="630">
        <v>1</v>
      </c>
      <c r="L25" s="875">
        <v>1</v>
      </c>
      <c r="M25" s="631">
        <v>3</v>
      </c>
      <c r="N25" s="631">
        <v>1</v>
      </c>
      <c r="O25" s="631">
        <v>1</v>
      </c>
      <c r="P25" s="631">
        <v>1</v>
      </c>
      <c r="Q25" s="631">
        <v>1</v>
      </c>
      <c r="R25" s="631">
        <v>1</v>
      </c>
      <c r="S25" s="631" t="s">
        <v>28</v>
      </c>
      <c r="T25" s="631" t="s">
        <v>28</v>
      </c>
      <c r="U25" s="631">
        <v>2</v>
      </c>
      <c r="V25" s="631">
        <v>1</v>
      </c>
      <c r="W25" s="631" t="s">
        <v>28</v>
      </c>
      <c r="X25" s="631" t="s">
        <v>28</v>
      </c>
      <c r="Y25" s="631" t="s">
        <v>28</v>
      </c>
      <c r="Z25" s="632" t="s">
        <v>28</v>
      </c>
    </row>
    <row r="26" spans="1:33" ht="11.45" customHeight="1">
      <c r="A26" s="1652" t="s">
        <v>31</v>
      </c>
      <c r="B26" s="624" t="s">
        <v>32</v>
      </c>
      <c r="C26" s="630" t="s">
        <v>28</v>
      </c>
      <c r="D26" s="630" t="s">
        <v>28</v>
      </c>
      <c r="E26" s="1658" t="s">
        <v>28</v>
      </c>
      <c r="F26" s="631" t="s">
        <v>28</v>
      </c>
      <c r="G26" s="631" t="s">
        <v>28</v>
      </c>
      <c r="H26" s="631" t="s">
        <v>28</v>
      </c>
      <c r="I26" s="631" t="s">
        <v>28</v>
      </c>
      <c r="J26" s="630" t="s">
        <v>28</v>
      </c>
      <c r="K26" s="630" t="s">
        <v>28</v>
      </c>
      <c r="L26" s="875" t="s">
        <v>28</v>
      </c>
      <c r="M26" s="631" t="s">
        <v>28</v>
      </c>
      <c r="N26" s="631" t="s">
        <v>28</v>
      </c>
      <c r="O26" s="631" t="s">
        <v>28</v>
      </c>
      <c r="P26" s="631" t="s">
        <v>28</v>
      </c>
      <c r="Q26" s="631" t="s">
        <v>28</v>
      </c>
      <c r="R26" s="631" t="s">
        <v>28</v>
      </c>
      <c r="S26" s="631" t="s">
        <v>28</v>
      </c>
      <c r="T26" s="631" t="s">
        <v>28</v>
      </c>
      <c r="U26" s="631" t="s">
        <v>28</v>
      </c>
      <c r="V26" s="631" t="s">
        <v>28</v>
      </c>
      <c r="W26" s="631" t="s">
        <v>28</v>
      </c>
      <c r="X26" s="631" t="s">
        <v>28</v>
      </c>
      <c r="Y26" s="631" t="s">
        <v>28</v>
      </c>
      <c r="Z26" s="632" t="s">
        <v>28</v>
      </c>
    </row>
    <row r="27" spans="1:33" ht="11.45" customHeight="1">
      <c r="A27" s="1659" t="s">
        <v>43</v>
      </c>
      <c r="B27" s="633" t="s">
        <v>44</v>
      </c>
      <c r="C27" s="636" t="s">
        <v>28</v>
      </c>
      <c r="D27" s="636" t="s">
        <v>28</v>
      </c>
      <c r="E27" s="636" t="s">
        <v>28</v>
      </c>
      <c r="F27" s="636" t="s">
        <v>28</v>
      </c>
      <c r="G27" s="636" t="s">
        <v>28</v>
      </c>
      <c r="H27" s="636" t="s">
        <v>28</v>
      </c>
      <c r="I27" s="636" t="s">
        <v>28</v>
      </c>
      <c r="J27" s="636" t="s">
        <v>28</v>
      </c>
      <c r="K27" s="636" t="s">
        <v>28</v>
      </c>
      <c r="L27" s="878" t="s">
        <v>28</v>
      </c>
      <c r="M27" s="872" t="s">
        <v>28</v>
      </c>
      <c r="N27" s="636" t="s">
        <v>28</v>
      </c>
      <c r="O27" s="636" t="s">
        <v>28</v>
      </c>
      <c r="P27" s="636" t="s">
        <v>28</v>
      </c>
      <c r="Q27" s="636" t="s">
        <v>28</v>
      </c>
      <c r="R27" s="636" t="s">
        <v>28</v>
      </c>
      <c r="S27" s="636" t="s">
        <v>28</v>
      </c>
      <c r="T27" s="636" t="s">
        <v>28</v>
      </c>
      <c r="U27" s="636" t="s">
        <v>28</v>
      </c>
      <c r="V27" s="636" t="s">
        <v>28</v>
      </c>
      <c r="W27" s="636" t="s">
        <v>28</v>
      </c>
      <c r="X27" s="636" t="s">
        <v>28</v>
      </c>
      <c r="Y27" s="636" t="s">
        <v>28</v>
      </c>
      <c r="Z27" s="1662" t="s">
        <v>28</v>
      </c>
    </row>
    <row r="28" spans="1:33" ht="11.45" customHeight="1">
      <c r="A28" s="1652" t="s">
        <v>29</v>
      </c>
      <c r="B28" s="624" t="s">
        <v>30</v>
      </c>
      <c r="C28" s="630" t="s">
        <v>28</v>
      </c>
      <c r="D28" s="630" t="s">
        <v>28</v>
      </c>
      <c r="E28" s="1658" t="s">
        <v>28</v>
      </c>
      <c r="F28" s="631" t="s">
        <v>28</v>
      </c>
      <c r="G28" s="631" t="s">
        <v>28</v>
      </c>
      <c r="H28" s="631" t="s">
        <v>28</v>
      </c>
      <c r="I28" s="631" t="s">
        <v>28</v>
      </c>
      <c r="J28" s="630" t="s">
        <v>28</v>
      </c>
      <c r="K28" s="630" t="s">
        <v>28</v>
      </c>
      <c r="L28" s="875" t="s">
        <v>28</v>
      </c>
      <c r="M28" s="631" t="s">
        <v>28</v>
      </c>
      <c r="N28" s="631" t="s">
        <v>28</v>
      </c>
      <c r="O28" s="631" t="s">
        <v>28</v>
      </c>
      <c r="P28" s="631" t="s">
        <v>28</v>
      </c>
      <c r="Q28" s="631" t="s">
        <v>28</v>
      </c>
      <c r="R28" s="631" t="s">
        <v>28</v>
      </c>
      <c r="S28" s="631" t="s">
        <v>28</v>
      </c>
      <c r="T28" s="631" t="s">
        <v>28</v>
      </c>
      <c r="U28" s="631" t="s">
        <v>28</v>
      </c>
      <c r="V28" s="631" t="s">
        <v>28</v>
      </c>
      <c r="W28" s="631" t="s">
        <v>28</v>
      </c>
      <c r="X28" s="631" t="s">
        <v>28</v>
      </c>
      <c r="Y28" s="631" t="s">
        <v>28</v>
      </c>
      <c r="Z28" s="632" t="s">
        <v>28</v>
      </c>
    </row>
    <row r="29" spans="1:33" ht="11.45" customHeight="1" thickBot="1">
      <c r="A29" s="1655" t="s">
        <v>31</v>
      </c>
      <c r="B29" s="625" t="s">
        <v>32</v>
      </c>
      <c r="C29" s="637" t="s">
        <v>28</v>
      </c>
      <c r="D29" s="637" t="s">
        <v>28</v>
      </c>
      <c r="E29" s="1663" t="s">
        <v>28</v>
      </c>
      <c r="F29" s="638" t="s">
        <v>28</v>
      </c>
      <c r="G29" s="638" t="s">
        <v>28</v>
      </c>
      <c r="H29" s="638" t="s">
        <v>28</v>
      </c>
      <c r="I29" s="638" t="s">
        <v>28</v>
      </c>
      <c r="J29" s="637" t="s">
        <v>28</v>
      </c>
      <c r="K29" s="637" t="s">
        <v>28</v>
      </c>
      <c r="L29" s="1664" t="s">
        <v>28</v>
      </c>
      <c r="M29" s="638" t="s">
        <v>28</v>
      </c>
      <c r="N29" s="638" t="s">
        <v>28</v>
      </c>
      <c r="O29" s="638" t="s">
        <v>28</v>
      </c>
      <c r="P29" s="638" t="s">
        <v>28</v>
      </c>
      <c r="Q29" s="638" t="s">
        <v>28</v>
      </c>
      <c r="R29" s="638" t="s">
        <v>28</v>
      </c>
      <c r="S29" s="638" t="s">
        <v>28</v>
      </c>
      <c r="T29" s="638" t="s">
        <v>28</v>
      </c>
      <c r="U29" s="638" t="s">
        <v>28</v>
      </c>
      <c r="V29" s="638" t="s">
        <v>28</v>
      </c>
      <c r="W29" s="638" t="s">
        <v>28</v>
      </c>
      <c r="X29" s="638" t="s">
        <v>28</v>
      </c>
      <c r="Y29" s="638" t="s">
        <v>28</v>
      </c>
      <c r="Z29" s="1665" t="s">
        <v>28</v>
      </c>
    </row>
    <row r="30" spans="1:33" ht="13.5" customHeight="1" thickBot="1">
      <c r="A30" s="1199" t="s">
        <v>364</v>
      </c>
      <c r="B30" s="1199"/>
      <c r="C30" s="1199"/>
      <c r="D30" s="1199"/>
      <c r="E30" s="1199"/>
      <c r="F30" s="1199"/>
      <c r="G30" s="1199"/>
      <c r="H30" s="1199"/>
      <c r="I30" s="1199"/>
      <c r="J30" s="1199"/>
      <c r="K30" s="1199"/>
      <c r="L30" s="1199"/>
      <c r="M30" s="1200" t="s">
        <v>394</v>
      </c>
      <c r="N30" s="1200"/>
      <c r="O30" s="1200"/>
      <c r="P30" s="1200"/>
      <c r="Q30" s="1200"/>
      <c r="R30" s="1200"/>
      <c r="S30" s="1200"/>
      <c r="T30" s="1200"/>
      <c r="U30" s="1200"/>
      <c r="V30" s="1200"/>
      <c r="W30" s="1200"/>
      <c r="X30" s="1200"/>
      <c r="Y30" s="1200"/>
      <c r="Z30" s="1200"/>
      <c r="AG30" s="18"/>
    </row>
    <row r="31" spans="1:33" ht="11.45" customHeight="1">
      <c r="A31" s="1666" t="s">
        <v>47</v>
      </c>
      <c r="B31" s="639" t="s">
        <v>48</v>
      </c>
      <c r="C31" s="640">
        <v>3</v>
      </c>
      <c r="D31" s="640">
        <v>3</v>
      </c>
      <c r="E31" s="640">
        <v>1</v>
      </c>
      <c r="F31" s="640" t="s">
        <v>28</v>
      </c>
      <c r="G31" s="640">
        <v>1</v>
      </c>
      <c r="H31" s="640" t="s">
        <v>28</v>
      </c>
      <c r="I31" s="640" t="s">
        <v>28</v>
      </c>
      <c r="J31" s="641" t="s">
        <v>28</v>
      </c>
      <c r="K31" s="640" t="s">
        <v>28</v>
      </c>
      <c r="L31" s="640" t="s">
        <v>28</v>
      </c>
      <c r="M31" s="640" t="s">
        <v>28</v>
      </c>
      <c r="N31" s="640" t="s">
        <v>28</v>
      </c>
      <c r="O31" s="640" t="s">
        <v>28</v>
      </c>
      <c r="P31" s="640" t="s">
        <v>28</v>
      </c>
      <c r="Q31" s="640" t="s">
        <v>28</v>
      </c>
      <c r="R31" s="640" t="s">
        <v>28</v>
      </c>
      <c r="S31" s="640" t="s">
        <v>28</v>
      </c>
      <c r="T31" s="640" t="s">
        <v>28</v>
      </c>
      <c r="U31" s="640">
        <v>1</v>
      </c>
      <c r="V31" s="640" t="s">
        <v>28</v>
      </c>
      <c r="W31" s="640">
        <v>1</v>
      </c>
      <c r="X31" s="640">
        <v>1</v>
      </c>
      <c r="Y31" s="640" t="s">
        <v>28</v>
      </c>
      <c r="Z31" s="641" t="s">
        <v>28</v>
      </c>
    </row>
    <row r="32" spans="1:33" ht="11.45" customHeight="1">
      <c r="A32" s="1652" t="s">
        <v>29</v>
      </c>
      <c r="B32" s="624" t="s">
        <v>30</v>
      </c>
      <c r="C32" s="1653">
        <v>3</v>
      </c>
      <c r="D32" s="1653">
        <v>3</v>
      </c>
      <c r="E32" s="1653">
        <v>1</v>
      </c>
      <c r="F32" s="1653" t="s">
        <v>28</v>
      </c>
      <c r="G32" s="1653">
        <v>1</v>
      </c>
      <c r="H32" s="1653" t="s">
        <v>28</v>
      </c>
      <c r="I32" s="1653" t="s">
        <v>28</v>
      </c>
      <c r="J32" s="1654" t="s">
        <v>28</v>
      </c>
      <c r="K32" s="1653" t="s">
        <v>28</v>
      </c>
      <c r="L32" s="1653" t="s">
        <v>28</v>
      </c>
      <c r="M32" s="1653" t="s">
        <v>28</v>
      </c>
      <c r="N32" s="1653" t="s">
        <v>28</v>
      </c>
      <c r="O32" s="1653" t="s">
        <v>28</v>
      </c>
      <c r="P32" s="1653" t="s">
        <v>28</v>
      </c>
      <c r="Q32" s="1653" t="s">
        <v>28</v>
      </c>
      <c r="R32" s="1653" t="s">
        <v>28</v>
      </c>
      <c r="S32" s="1653" t="s">
        <v>28</v>
      </c>
      <c r="T32" s="1653" t="s">
        <v>28</v>
      </c>
      <c r="U32" s="1653">
        <v>1</v>
      </c>
      <c r="V32" s="1653" t="s">
        <v>28</v>
      </c>
      <c r="W32" s="1653">
        <v>1</v>
      </c>
      <c r="X32" s="1653">
        <v>1</v>
      </c>
      <c r="Y32" s="1653" t="s">
        <v>28</v>
      </c>
      <c r="Z32" s="1654" t="s">
        <v>28</v>
      </c>
    </row>
    <row r="33" spans="1:26" ht="11.45" customHeight="1">
      <c r="A33" s="1652" t="s">
        <v>31</v>
      </c>
      <c r="B33" s="624" t="s">
        <v>32</v>
      </c>
      <c r="C33" s="1653" t="s">
        <v>28</v>
      </c>
      <c r="D33" s="1653" t="s">
        <v>28</v>
      </c>
      <c r="E33" s="1653" t="s">
        <v>28</v>
      </c>
      <c r="F33" s="1653" t="s">
        <v>28</v>
      </c>
      <c r="G33" s="1653" t="s">
        <v>28</v>
      </c>
      <c r="H33" s="1653" t="s">
        <v>28</v>
      </c>
      <c r="I33" s="1653" t="s">
        <v>28</v>
      </c>
      <c r="J33" s="1654" t="s">
        <v>28</v>
      </c>
      <c r="K33" s="1653" t="s">
        <v>28</v>
      </c>
      <c r="L33" s="1653" t="s">
        <v>28</v>
      </c>
      <c r="M33" s="1653" t="s">
        <v>28</v>
      </c>
      <c r="N33" s="1653" t="s">
        <v>28</v>
      </c>
      <c r="O33" s="1653" t="s">
        <v>28</v>
      </c>
      <c r="P33" s="1653" t="s">
        <v>28</v>
      </c>
      <c r="Q33" s="1653" t="s">
        <v>28</v>
      </c>
      <c r="R33" s="1653" t="s">
        <v>28</v>
      </c>
      <c r="S33" s="1653" t="s">
        <v>28</v>
      </c>
      <c r="T33" s="1653" t="s">
        <v>28</v>
      </c>
      <c r="U33" s="1653" t="s">
        <v>28</v>
      </c>
      <c r="V33" s="1653" t="s">
        <v>28</v>
      </c>
      <c r="W33" s="1653" t="s">
        <v>28</v>
      </c>
      <c r="X33" s="1653" t="s">
        <v>28</v>
      </c>
      <c r="Y33" s="1653" t="s">
        <v>28</v>
      </c>
      <c r="Z33" s="1654" t="s">
        <v>28</v>
      </c>
    </row>
    <row r="34" spans="1:26" ht="11.45" customHeight="1">
      <c r="A34" s="642" t="s">
        <v>49</v>
      </c>
      <c r="B34" s="643" t="s">
        <v>50</v>
      </c>
      <c r="C34" s="1660" t="s">
        <v>28</v>
      </c>
      <c r="D34" s="1660" t="s">
        <v>28</v>
      </c>
      <c r="E34" s="1660" t="s">
        <v>28</v>
      </c>
      <c r="F34" s="1660" t="s">
        <v>28</v>
      </c>
      <c r="G34" s="1660" t="s">
        <v>28</v>
      </c>
      <c r="H34" s="1660" t="s">
        <v>28</v>
      </c>
      <c r="I34" s="1660" t="s">
        <v>28</v>
      </c>
      <c r="J34" s="869" t="s">
        <v>28</v>
      </c>
      <c r="K34" s="1660" t="s">
        <v>28</v>
      </c>
      <c r="L34" s="1660" t="s">
        <v>28</v>
      </c>
      <c r="M34" s="1660" t="s">
        <v>28</v>
      </c>
      <c r="N34" s="1660" t="s">
        <v>28</v>
      </c>
      <c r="O34" s="1660" t="s">
        <v>28</v>
      </c>
      <c r="P34" s="1660" t="s">
        <v>28</v>
      </c>
      <c r="Q34" s="1660" t="s">
        <v>28</v>
      </c>
      <c r="R34" s="1660" t="s">
        <v>28</v>
      </c>
      <c r="S34" s="1660" t="s">
        <v>28</v>
      </c>
      <c r="T34" s="1660" t="s">
        <v>28</v>
      </c>
      <c r="U34" s="1660" t="s">
        <v>28</v>
      </c>
      <c r="V34" s="1660" t="s">
        <v>28</v>
      </c>
      <c r="W34" s="1660" t="s">
        <v>28</v>
      </c>
      <c r="X34" s="1660" t="s">
        <v>28</v>
      </c>
      <c r="Y34" s="1660" t="s">
        <v>28</v>
      </c>
      <c r="Z34" s="869" t="s">
        <v>28</v>
      </c>
    </row>
    <row r="35" spans="1:26" ht="11.45" customHeight="1">
      <c r="A35" s="1652" t="s">
        <v>29</v>
      </c>
      <c r="B35" s="624" t="s">
        <v>30</v>
      </c>
      <c r="C35" s="1653" t="s">
        <v>28</v>
      </c>
      <c r="D35" s="1653" t="s">
        <v>28</v>
      </c>
      <c r="E35" s="1653" t="s">
        <v>28</v>
      </c>
      <c r="F35" s="1653" t="s">
        <v>28</v>
      </c>
      <c r="G35" s="1653" t="s">
        <v>28</v>
      </c>
      <c r="H35" s="1653" t="s">
        <v>28</v>
      </c>
      <c r="I35" s="1653" t="s">
        <v>28</v>
      </c>
      <c r="J35" s="1654" t="s">
        <v>28</v>
      </c>
      <c r="K35" s="1653" t="s">
        <v>28</v>
      </c>
      <c r="L35" s="1653" t="s">
        <v>28</v>
      </c>
      <c r="M35" s="1653" t="s">
        <v>28</v>
      </c>
      <c r="N35" s="1653" t="s">
        <v>28</v>
      </c>
      <c r="O35" s="1653" t="s">
        <v>28</v>
      </c>
      <c r="P35" s="1653" t="s">
        <v>28</v>
      </c>
      <c r="Q35" s="1653" t="s">
        <v>28</v>
      </c>
      <c r="R35" s="1653" t="s">
        <v>28</v>
      </c>
      <c r="S35" s="1653" t="s">
        <v>28</v>
      </c>
      <c r="T35" s="1653" t="s">
        <v>28</v>
      </c>
      <c r="U35" s="1653" t="s">
        <v>28</v>
      </c>
      <c r="V35" s="1653" t="s">
        <v>28</v>
      </c>
      <c r="W35" s="1653" t="s">
        <v>28</v>
      </c>
      <c r="X35" s="1653" t="s">
        <v>28</v>
      </c>
      <c r="Y35" s="1653" t="s">
        <v>28</v>
      </c>
      <c r="Z35" s="1654" t="s">
        <v>28</v>
      </c>
    </row>
    <row r="36" spans="1:26" ht="11.45" customHeight="1">
      <c r="A36" s="1652" t="s">
        <v>31</v>
      </c>
      <c r="B36" s="624" t="s">
        <v>32</v>
      </c>
      <c r="C36" s="1653" t="s">
        <v>28</v>
      </c>
      <c r="D36" s="1653" t="s">
        <v>28</v>
      </c>
      <c r="E36" s="1653" t="s">
        <v>28</v>
      </c>
      <c r="F36" s="1653" t="s">
        <v>28</v>
      </c>
      <c r="G36" s="1653" t="s">
        <v>28</v>
      </c>
      <c r="H36" s="1653" t="s">
        <v>28</v>
      </c>
      <c r="I36" s="1653" t="s">
        <v>28</v>
      </c>
      <c r="J36" s="1654" t="s">
        <v>28</v>
      </c>
      <c r="K36" s="1653" t="s">
        <v>28</v>
      </c>
      <c r="L36" s="1653" t="s">
        <v>28</v>
      </c>
      <c r="M36" s="1653" t="s">
        <v>28</v>
      </c>
      <c r="N36" s="1653" t="s">
        <v>28</v>
      </c>
      <c r="O36" s="1653" t="s">
        <v>28</v>
      </c>
      <c r="P36" s="1653" t="s">
        <v>28</v>
      </c>
      <c r="Q36" s="1653" t="s">
        <v>28</v>
      </c>
      <c r="R36" s="1653" t="s">
        <v>28</v>
      </c>
      <c r="S36" s="1653" t="s">
        <v>28</v>
      </c>
      <c r="T36" s="1653" t="s">
        <v>28</v>
      </c>
      <c r="U36" s="1653" t="s">
        <v>28</v>
      </c>
      <c r="V36" s="1653" t="s">
        <v>28</v>
      </c>
      <c r="W36" s="1653" t="s">
        <v>28</v>
      </c>
      <c r="X36" s="1653" t="s">
        <v>28</v>
      </c>
      <c r="Y36" s="1653" t="s">
        <v>28</v>
      </c>
      <c r="Z36" s="1654" t="s">
        <v>28</v>
      </c>
    </row>
    <row r="37" spans="1:26" ht="11.45" customHeight="1">
      <c r="A37" s="642" t="s">
        <v>963</v>
      </c>
      <c r="B37" s="643" t="s">
        <v>964</v>
      </c>
      <c r="C37" s="1660" t="s">
        <v>28</v>
      </c>
      <c r="D37" s="1660" t="s">
        <v>28</v>
      </c>
      <c r="E37" s="1660" t="s">
        <v>28</v>
      </c>
      <c r="F37" s="1660" t="s">
        <v>28</v>
      </c>
      <c r="G37" s="1660" t="s">
        <v>28</v>
      </c>
      <c r="H37" s="1660" t="s">
        <v>28</v>
      </c>
      <c r="I37" s="1660" t="s">
        <v>28</v>
      </c>
      <c r="J37" s="869" t="s">
        <v>28</v>
      </c>
      <c r="K37" s="1660" t="s">
        <v>28</v>
      </c>
      <c r="L37" s="1660" t="s">
        <v>28</v>
      </c>
      <c r="M37" s="1660" t="s">
        <v>28</v>
      </c>
      <c r="N37" s="1660" t="s">
        <v>28</v>
      </c>
      <c r="O37" s="1660" t="s">
        <v>28</v>
      </c>
      <c r="P37" s="1660" t="s">
        <v>28</v>
      </c>
      <c r="Q37" s="1660">
        <v>2</v>
      </c>
      <c r="R37" s="1660">
        <v>2</v>
      </c>
      <c r="S37" s="1660" t="s">
        <v>28</v>
      </c>
      <c r="T37" s="1660" t="s">
        <v>28</v>
      </c>
      <c r="U37" s="1660">
        <v>1</v>
      </c>
      <c r="V37" s="1660">
        <v>1</v>
      </c>
      <c r="W37" s="1660" t="s">
        <v>28</v>
      </c>
      <c r="X37" s="1660" t="s">
        <v>28</v>
      </c>
      <c r="Y37" s="1660" t="s">
        <v>28</v>
      </c>
      <c r="Z37" s="869" t="s">
        <v>28</v>
      </c>
    </row>
    <row r="38" spans="1:26" ht="11.45" customHeight="1">
      <c r="A38" s="1652" t="s">
        <v>29</v>
      </c>
      <c r="B38" s="624" t="s">
        <v>30</v>
      </c>
      <c r="C38" s="1653" t="s">
        <v>28</v>
      </c>
      <c r="D38" s="1653" t="s">
        <v>28</v>
      </c>
      <c r="E38" s="1653" t="s">
        <v>28</v>
      </c>
      <c r="F38" s="1653" t="s">
        <v>28</v>
      </c>
      <c r="G38" s="1653" t="s">
        <v>28</v>
      </c>
      <c r="H38" s="1653" t="s">
        <v>28</v>
      </c>
      <c r="I38" s="1653" t="s">
        <v>28</v>
      </c>
      <c r="J38" s="1654" t="s">
        <v>28</v>
      </c>
      <c r="K38" s="1653" t="s">
        <v>28</v>
      </c>
      <c r="L38" s="1653" t="s">
        <v>28</v>
      </c>
      <c r="M38" s="1653" t="s">
        <v>28</v>
      </c>
      <c r="N38" s="1653" t="s">
        <v>28</v>
      </c>
      <c r="O38" s="1653" t="s">
        <v>28</v>
      </c>
      <c r="P38" s="1653" t="s">
        <v>28</v>
      </c>
      <c r="Q38" s="1653">
        <v>2</v>
      </c>
      <c r="R38" s="1653">
        <v>2</v>
      </c>
      <c r="S38" s="1653" t="s">
        <v>28</v>
      </c>
      <c r="T38" s="1653" t="s">
        <v>28</v>
      </c>
      <c r="U38" s="1653">
        <v>1</v>
      </c>
      <c r="V38" s="1653">
        <v>1</v>
      </c>
      <c r="W38" s="1653" t="s">
        <v>28</v>
      </c>
      <c r="X38" s="1653" t="s">
        <v>28</v>
      </c>
      <c r="Y38" s="1653" t="s">
        <v>28</v>
      </c>
      <c r="Z38" s="1654" t="s">
        <v>28</v>
      </c>
    </row>
    <row r="39" spans="1:26" ht="11.45" customHeight="1">
      <c r="A39" s="1652" t="s">
        <v>31</v>
      </c>
      <c r="B39" s="624" t="s">
        <v>32</v>
      </c>
      <c r="C39" s="1653" t="s">
        <v>28</v>
      </c>
      <c r="D39" s="1653" t="s">
        <v>28</v>
      </c>
      <c r="E39" s="1653" t="s">
        <v>28</v>
      </c>
      <c r="F39" s="1653" t="s">
        <v>28</v>
      </c>
      <c r="G39" s="1653" t="s">
        <v>28</v>
      </c>
      <c r="H39" s="1653" t="s">
        <v>28</v>
      </c>
      <c r="I39" s="1653" t="s">
        <v>28</v>
      </c>
      <c r="J39" s="1654" t="s">
        <v>28</v>
      </c>
      <c r="K39" s="1653" t="s">
        <v>28</v>
      </c>
      <c r="L39" s="1653" t="s">
        <v>28</v>
      </c>
      <c r="M39" s="1653" t="s">
        <v>28</v>
      </c>
      <c r="N39" s="1653" t="s">
        <v>28</v>
      </c>
      <c r="O39" s="1653" t="s">
        <v>28</v>
      </c>
      <c r="P39" s="1653" t="s">
        <v>28</v>
      </c>
      <c r="Q39" s="1653" t="s">
        <v>28</v>
      </c>
      <c r="R39" s="1653" t="s">
        <v>28</v>
      </c>
      <c r="S39" s="1653" t="s">
        <v>28</v>
      </c>
      <c r="T39" s="1653" t="s">
        <v>28</v>
      </c>
      <c r="U39" s="1653" t="s">
        <v>28</v>
      </c>
      <c r="V39" s="1653" t="s">
        <v>28</v>
      </c>
      <c r="W39" s="1653" t="s">
        <v>28</v>
      </c>
      <c r="X39" s="1653" t="s">
        <v>28</v>
      </c>
      <c r="Y39" s="1653" t="s">
        <v>28</v>
      </c>
      <c r="Z39" s="1654" t="s">
        <v>28</v>
      </c>
    </row>
    <row r="40" spans="1:26" ht="11.45" customHeight="1">
      <c r="A40" s="642" t="s">
        <v>51</v>
      </c>
      <c r="B40" s="643" t="s">
        <v>52</v>
      </c>
      <c r="C40" s="1660">
        <v>8</v>
      </c>
      <c r="D40" s="1660">
        <v>5</v>
      </c>
      <c r="E40" s="1660">
        <v>4</v>
      </c>
      <c r="F40" s="1660">
        <v>2</v>
      </c>
      <c r="G40" s="1660">
        <v>1</v>
      </c>
      <c r="H40" s="1660" t="s">
        <v>28</v>
      </c>
      <c r="I40" s="1660" t="s">
        <v>28</v>
      </c>
      <c r="J40" s="869" t="s">
        <v>28</v>
      </c>
      <c r="K40" s="1660">
        <v>1</v>
      </c>
      <c r="L40" s="1660">
        <v>1</v>
      </c>
      <c r="M40" s="1660" t="s">
        <v>28</v>
      </c>
      <c r="N40" s="1660" t="s">
        <v>28</v>
      </c>
      <c r="O40" s="1660" t="s">
        <v>28</v>
      </c>
      <c r="P40" s="1660" t="s">
        <v>28</v>
      </c>
      <c r="Q40" s="1660" t="s">
        <v>28</v>
      </c>
      <c r="R40" s="1660" t="s">
        <v>28</v>
      </c>
      <c r="S40" s="1660">
        <v>4</v>
      </c>
      <c r="T40" s="1660">
        <v>1</v>
      </c>
      <c r="U40" s="1660">
        <v>5</v>
      </c>
      <c r="V40" s="1660">
        <v>3</v>
      </c>
      <c r="W40" s="1660">
        <v>2</v>
      </c>
      <c r="X40" s="1660">
        <v>1</v>
      </c>
      <c r="Y40" s="1660" t="s">
        <v>28</v>
      </c>
      <c r="Z40" s="869" t="s">
        <v>28</v>
      </c>
    </row>
    <row r="41" spans="1:26" ht="11.45" customHeight="1">
      <c r="A41" s="1652" t="s">
        <v>29</v>
      </c>
      <c r="B41" s="624" t="s">
        <v>30</v>
      </c>
      <c r="C41" s="1653">
        <v>8</v>
      </c>
      <c r="D41" s="1653">
        <v>5</v>
      </c>
      <c r="E41" s="1653">
        <v>4</v>
      </c>
      <c r="F41" s="1653">
        <v>2</v>
      </c>
      <c r="G41" s="1653">
        <v>1</v>
      </c>
      <c r="H41" s="1653" t="s">
        <v>28</v>
      </c>
      <c r="I41" s="1653" t="s">
        <v>28</v>
      </c>
      <c r="J41" s="1654" t="s">
        <v>28</v>
      </c>
      <c r="K41" s="1653">
        <v>1</v>
      </c>
      <c r="L41" s="1653">
        <v>1</v>
      </c>
      <c r="M41" s="1653" t="s">
        <v>28</v>
      </c>
      <c r="N41" s="1653" t="s">
        <v>28</v>
      </c>
      <c r="O41" s="1653" t="s">
        <v>28</v>
      </c>
      <c r="P41" s="1653" t="s">
        <v>28</v>
      </c>
      <c r="Q41" s="1653" t="s">
        <v>28</v>
      </c>
      <c r="R41" s="1653" t="s">
        <v>28</v>
      </c>
      <c r="S41" s="1653">
        <v>4</v>
      </c>
      <c r="T41" s="1653">
        <v>1</v>
      </c>
      <c r="U41" s="1653">
        <v>5</v>
      </c>
      <c r="V41" s="1653">
        <v>3</v>
      </c>
      <c r="W41" s="1653">
        <v>2</v>
      </c>
      <c r="X41" s="1653">
        <v>1</v>
      </c>
      <c r="Y41" s="1653" t="s">
        <v>28</v>
      </c>
      <c r="Z41" s="1654" t="s">
        <v>28</v>
      </c>
    </row>
    <row r="42" spans="1:26" ht="11.45" customHeight="1">
      <c r="A42" s="1652" t="s">
        <v>31</v>
      </c>
      <c r="B42" s="624" t="s">
        <v>32</v>
      </c>
      <c r="C42" s="1653" t="s">
        <v>28</v>
      </c>
      <c r="D42" s="1653" t="s">
        <v>28</v>
      </c>
      <c r="E42" s="1653" t="s">
        <v>28</v>
      </c>
      <c r="F42" s="1653" t="s">
        <v>28</v>
      </c>
      <c r="G42" s="1653" t="s">
        <v>28</v>
      </c>
      <c r="H42" s="1653" t="s">
        <v>28</v>
      </c>
      <c r="I42" s="1653" t="s">
        <v>28</v>
      </c>
      <c r="J42" s="1654" t="s">
        <v>28</v>
      </c>
      <c r="K42" s="1653" t="s">
        <v>28</v>
      </c>
      <c r="L42" s="1653" t="s">
        <v>28</v>
      </c>
      <c r="M42" s="1653" t="s">
        <v>28</v>
      </c>
      <c r="N42" s="1653" t="s">
        <v>28</v>
      </c>
      <c r="O42" s="1653" t="s">
        <v>28</v>
      </c>
      <c r="P42" s="1653" t="s">
        <v>28</v>
      </c>
      <c r="Q42" s="1653" t="s">
        <v>28</v>
      </c>
      <c r="R42" s="1653" t="s">
        <v>28</v>
      </c>
      <c r="S42" s="1653" t="s">
        <v>28</v>
      </c>
      <c r="T42" s="1653" t="s">
        <v>28</v>
      </c>
      <c r="U42" s="1653" t="s">
        <v>28</v>
      </c>
      <c r="V42" s="1653" t="s">
        <v>28</v>
      </c>
      <c r="W42" s="1653" t="s">
        <v>28</v>
      </c>
      <c r="X42" s="1653" t="s">
        <v>28</v>
      </c>
      <c r="Y42" s="1653" t="s">
        <v>28</v>
      </c>
      <c r="Z42" s="1654" t="s">
        <v>28</v>
      </c>
    </row>
    <row r="43" spans="1:26" ht="11.45" customHeight="1">
      <c r="A43" s="642" t="s">
        <v>53</v>
      </c>
      <c r="B43" s="643" t="s">
        <v>54</v>
      </c>
      <c r="C43" s="1660">
        <v>4</v>
      </c>
      <c r="D43" s="1660">
        <v>2</v>
      </c>
      <c r="E43" s="1660">
        <v>1</v>
      </c>
      <c r="F43" s="1660">
        <v>1</v>
      </c>
      <c r="G43" s="1660" t="s">
        <v>28</v>
      </c>
      <c r="H43" s="1660" t="s">
        <v>28</v>
      </c>
      <c r="I43" s="1660" t="s">
        <v>28</v>
      </c>
      <c r="J43" s="869" t="s">
        <v>28</v>
      </c>
      <c r="K43" s="1660" t="s">
        <v>28</v>
      </c>
      <c r="L43" s="1660" t="s">
        <v>28</v>
      </c>
      <c r="M43" s="1660" t="s">
        <v>28</v>
      </c>
      <c r="N43" s="1660" t="s">
        <v>28</v>
      </c>
      <c r="O43" s="1660" t="s">
        <v>28</v>
      </c>
      <c r="P43" s="1660" t="s">
        <v>28</v>
      </c>
      <c r="Q43" s="1660" t="s">
        <v>28</v>
      </c>
      <c r="R43" s="1660" t="s">
        <v>28</v>
      </c>
      <c r="S43" s="1660" t="s">
        <v>28</v>
      </c>
      <c r="T43" s="1660" t="s">
        <v>28</v>
      </c>
      <c r="U43" s="1660" t="s">
        <v>28</v>
      </c>
      <c r="V43" s="1660" t="s">
        <v>28</v>
      </c>
      <c r="W43" s="1660" t="s">
        <v>28</v>
      </c>
      <c r="X43" s="1660" t="s">
        <v>28</v>
      </c>
      <c r="Y43" s="1660" t="s">
        <v>28</v>
      </c>
      <c r="Z43" s="869" t="s">
        <v>28</v>
      </c>
    </row>
    <row r="44" spans="1:26" ht="11.45" customHeight="1">
      <c r="A44" s="1652" t="s">
        <v>29</v>
      </c>
      <c r="B44" s="624" t="s">
        <v>30</v>
      </c>
      <c r="C44" s="1653">
        <v>4</v>
      </c>
      <c r="D44" s="1653">
        <v>2</v>
      </c>
      <c r="E44" s="1653">
        <v>1</v>
      </c>
      <c r="F44" s="1653">
        <v>1</v>
      </c>
      <c r="G44" s="1653" t="s">
        <v>28</v>
      </c>
      <c r="H44" s="1653" t="s">
        <v>28</v>
      </c>
      <c r="I44" s="1653" t="s">
        <v>28</v>
      </c>
      <c r="J44" s="1654" t="s">
        <v>28</v>
      </c>
      <c r="K44" s="1653" t="s">
        <v>28</v>
      </c>
      <c r="L44" s="1653" t="s">
        <v>28</v>
      </c>
      <c r="M44" s="1653" t="s">
        <v>28</v>
      </c>
      <c r="N44" s="1653" t="s">
        <v>28</v>
      </c>
      <c r="O44" s="1653" t="s">
        <v>28</v>
      </c>
      <c r="P44" s="1653" t="s">
        <v>28</v>
      </c>
      <c r="Q44" s="1653" t="s">
        <v>28</v>
      </c>
      <c r="R44" s="1653" t="s">
        <v>28</v>
      </c>
      <c r="S44" s="1653" t="s">
        <v>28</v>
      </c>
      <c r="T44" s="1653" t="s">
        <v>28</v>
      </c>
      <c r="U44" s="1653" t="s">
        <v>28</v>
      </c>
      <c r="V44" s="1653" t="s">
        <v>28</v>
      </c>
      <c r="W44" s="1653" t="s">
        <v>28</v>
      </c>
      <c r="X44" s="1653" t="s">
        <v>28</v>
      </c>
      <c r="Y44" s="1653" t="s">
        <v>28</v>
      </c>
      <c r="Z44" s="1654" t="s">
        <v>28</v>
      </c>
    </row>
    <row r="45" spans="1:26" ht="11.45" customHeight="1">
      <c r="A45" s="1652" t="s">
        <v>31</v>
      </c>
      <c r="B45" s="624" t="s">
        <v>32</v>
      </c>
      <c r="C45" s="1653" t="s">
        <v>28</v>
      </c>
      <c r="D45" s="1653" t="s">
        <v>28</v>
      </c>
      <c r="E45" s="1653" t="s">
        <v>28</v>
      </c>
      <c r="F45" s="1653" t="s">
        <v>28</v>
      </c>
      <c r="G45" s="1653" t="s">
        <v>28</v>
      </c>
      <c r="H45" s="1653" t="s">
        <v>28</v>
      </c>
      <c r="I45" s="1653" t="s">
        <v>28</v>
      </c>
      <c r="J45" s="1654" t="s">
        <v>28</v>
      </c>
      <c r="K45" s="1653" t="s">
        <v>28</v>
      </c>
      <c r="L45" s="1653" t="s">
        <v>28</v>
      </c>
      <c r="M45" s="1653" t="s">
        <v>28</v>
      </c>
      <c r="N45" s="1653" t="s">
        <v>28</v>
      </c>
      <c r="O45" s="1653" t="s">
        <v>28</v>
      </c>
      <c r="P45" s="1653" t="s">
        <v>28</v>
      </c>
      <c r="Q45" s="1653" t="s">
        <v>28</v>
      </c>
      <c r="R45" s="1653" t="s">
        <v>28</v>
      </c>
      <c r="S45" s="1653" t="s">
        <v>28</v>
      </c>
      <c r="T45" s="1653" t="s">
        <v>28</v>
      </c>
      <c r="U45" s="1653" t="s">
        <v>28</v>
      </c>
      <c r="V45" s="1653" t="s">
        <v>28</v>
      </c>
      <c r="W45" s="1653" t="s">
        <v>28</v>
      </c>
      <c r="X45" s="1653" t="s">
        <v>28</v>
      </c>
      <c r="Y45" s="1653" t="s">
        <v>28</v>
      </c>
      <c r="Z45" s="1654" t="s">
        <v>28</v>
      </c>
    </row>
    <row r="46" spans="1:26" ht="11.45" customHeight="1">
      <c r="A46" s="642" t="s">
        <v>55</v>
      </c>
      <c r="B46" s="643" t="s">
        <v>56</v>
      </c>
      <c r="C46" s="1660">
        <v>1</v>
      </c>
      <c r="D46" s="1660" t="s">
        <v>28</v>
      </c>
      <c r="E46" s="1660">
        <v>2</v>
      </c>
      <c r="F46" s="1660">
        <v>1</v>
      </c>
      <c r="G46" s="1660" t="s">
        <v>28</v>
      </c>
      <c r="H46" s="1660" t="s">
        <v>28</v>
      </c>
      <c r="I46" s="1660" t="s">
        <v>28</v>
      </c>
      <c r="J46" s="869" t="s">
        <v>28</v>
      </c>
      <c r="K46" s="1660" t="s">
        <v>28</v>
      </c>
      <c r="L46" s="1660" t="s">
        <v>28</v>
      </c>
      <c r="M46" s="1660" t="s">
        <v>28</v>
      </c>
      <c r="N46" s="1660" t="s">
        <v>28</v>
      </c>
      <c r="O46" s="1660" t="s">
        <v>28</v>
      </c>
      <c r="P46" s="1660" t="s">
        <v>28</v>
      </c>
      <c r="Q46" s="1660" t="s">
        <v>28</v>
      </c>
      <c r="R46" s="1660" t="s">
        <v>28</v>
      </c>
      <c r="S46" s="1660" t="s">
        <v>28</v>
      </c>
      <c r="T46" s="1660" t="s">
        <v>28</v>
      </c>
      <c r="U46" s="1660">
        <v>1</v>
      </c>
      <c r="V46" s="1660" t="s">
        <v>28</v>
      </c>
      <c r="W46" s="1660">
        <v>1</v>
      </c>
      <c r="X46" s="1660">
        <v>1</v>
      </c>
      <c r="Y46" s="1660" t="s">
        <v>28</v>
      </c>
      <c r="Z46" s="869" t="s">
        <v>28</v>
      </c>
    </row>
    <row r="47" spans="1:26" ht="11.45" customHeight="1">
      <c r="A47" s="1652" t="s">
        <v>29</v>
      </c>
      <c r="B47" s="624" t="s">
        <v>30</v>
      </c>
      <c r="C47" s="1653">
        <v>1</v>
      </c>
      <c r="D47" s="1653" t="s">
        <v>28</v>
      </c>
      <c r="E47" s="1653">
        <v>2</v>
      </c>
      <c r="F47" s="1653">
        <v>1</v>
      </c>
      <c r="G47" s="1653" t="s">
        <v>28</v>
      </c>
      <c r="H47" s="1653" t="s">
        <v>28</v>
      </c>
      <c r="I47" s="1653" t="s">
        <v>28</v>
      </c>
      <c r="J47" s="1654" t="s">
        <v>28</v>
      </c>
      <c r="K47" s="1653" t="s">
        <v>28</v>
      </c>
      <c r="L47" s="1653" t="s">
        <v>28</v>
      </c>
      <c r="M47" s="1653" t="s">
        <v>28</v>
      </c>
      <c r="N47" s="1653" t="s">
        <v>28</v>
      </c>
      <c r="O47" s="1653" t="s">
        <v>28</v>
      </c>
      <c r="P47" s="1653" t="s">
        <v>28</v>
      </c>
      <c r="Q47" s="1653" t="s">
        <v>28</v>
      </c>
      <c r="R47" s="1653" t="s">
        <v>28</v>
      </c>
      <c r="S47" s="1653" t="s">
        <v>28</v>
      </c>
      <c r="T47" s="1653" t="s">
        <v>28</v>
      </c>
      <c r="U47" s="1653">
        <v>1</v>
      </c>
      <c r="V47" s="1653" t="s">
        <v>28</v>
      </c>
      <c r="W47" s="1653">
        <v>1</v>
      </c>
      <c r="X47" s="1653">
        <v>1</v>
      </c>
      <c r="Y47" s="1653" t="s">
        <v>28</v>
      </c>
      <c r="Z47" s="1654" t="s">
        <v>28</v>
      </c>
    </row>
    <row r="48" spans="1:26" ht="11.45" customHeight="1">
      <c r="A48" s="1652" t="s">
        <v>31</v>
      </c>
      <c r="B48" s="624" t="s">
        <v>32</v>
      </c>
      <c r="C48" s="1653" t="s">
        <v>28</v>
      </c>
      <c r="D48" s="1653" t="s">
        <v>28</v>
      </c>
      <c r="E48" s="1653" t="s">
        <v>28</v>
      </c>
      <c r="F48" s="1653" t="s">
        <v>28</v>
      </c>
      <c r="G48" s="1653" t="s">
        <v>28</v>
      </c>
      <c r="H48" s="1653" t="s">
        <v>28</v>
      </c>
      <c r="I48" s="1653" t="s">
        <v>28</v>
      </c>
      <c r="J48" s="1654" t="s">
        <v>28</v>
      </c>
      <c r="K48" s="1653" t="s">
        <v>28</v>
      </c>
      <c r="L48" s="1653" t="s">
        <v>28</v>
      </c>
      <c r="M48" s="1653" t="s">
        <v>28</v>
      </c>
      <c r="N48" s="1653" t="s">
        <v>28</v>
      </c>
      <c r="O48" s="1653" t="s">
        <v>28</v>
      </c>
      <c r="P48" s="1653" t="s">
        <v>28</v>
      </c>
      <c r="Q48" s="1653" t="s">
        <v>28</v>
      </c>
      <c r="R48" s="1653" t="s">
        <v>28</v>
      </c>
      <c r="S48" s="1653" t="s">
        <v>28</v>
      </c>
      <c r="T48" s="1653" t="s">
        <v>28</v>
      </c>
      <c r="U48" s="1653" t="s">
        <v>28</v>
      </c>
      <c r="V48" s="1653" t="s">
        <v>28</v>
      </c>
      <c r="W48" s="1653" t="s">
        <v>28</v>
      </c>
      <c r="X48" s="1653" t="s">
        <v>28</v>
      </c>
      <c r="Y48" s="1653" t="s">
        <v>28</v>
      </c>
      <c r="Z48" s="1654" t="s">
        <v>28</v>
      </c>
    </row>
    <row r="49" spans="1:26" ht="11.45" customHeight="1">
      <c r="A49" s="642" t="s">
        <v>57</v>
      </c>
      <c r="B49" s="643" t="s">
        <v>58</v>
      </c>
      <c r="C49" s="1660">
        <v>1</v>
      </c>
      <c r="D49" s="1660" t="s">
        <v>28</v>
      </c>
      <c r="E49" s="1660" t="s">
        <v>28</v>
      </c>
      <c r="F49" s="1660" t="s">
        <v>28</v>
      </c>
      <c r="G49" s="1660" t="s">
        <v>28</v>
      </c>
      <c r="H49" s="1660" t="s">
        <v>28</v>
      </c>
      <c r="I49" s="1660" t="s">
        <v>28</v>
      </c>
      <c r="J49" s="869" t="s">
        <v>28</v>
      </c>
      <c r="K49" s="1660" t="s">
        <v>28</v>
      </c>
      <c r="L49" s="1660" t="s">
        <v>28</v>
      </c>
      <c r="M49" s="1660" t="s">
        <v>28</v>
      </c>
      <c r="N49" s="1660" t="s">
        <v>28</v>
      </c>
      <c r="O49" s="1660" t="s">
        <v>28</v>
      </c>
      <c r="P49" s="1660" t="s">
        <v>28</v>
      </c>
      <c r="Q49" s="1660" t="s">
        <v>28</v>
      </c>
      <c r="R49" s="1660" t="s">
        <v>28</v>
      </c>
      <c r="S49" s="1660" t="s">
        <v>28</v>
      </c>
      <c r="T49" s="1660" t="s">
        <v>28</v>
      </c>
      <c r="U49" s="1660">
        <v>1</v>
      </c>
      <c r="V49" s="1660" t="s">
        <v>28</v>
      </c>
      <c r="W49" s="1660" t="s">
        <v>28</v>
      </c>
      <c r="X49" s="1660" t="s">
        <v>28</v>
      </c>
      <c r="Y49" s="1660" t="s">
        <v>28</v>
      </c>
      <c r="Z49" s="869" t="s">
        <v>28</v>
      </c>
    </row>
    <row r="50" spans="1:26" ht="11.45" customHeight="1">
      <c r="A50" s="1652" t="s">
        <v>29</v>
      </c>
      <c r="B50" s="624" t="s">
        <v>30</v>
      </c>
      <c r="C50" s="1653">
        <v>1</v>
      </c>
      <c r="D50" s="1653" t="s">
        <v>28</v>
      </c>
      <c r="E50" s="1653" t="s">
        <v>28</v>
      </c>
      <c r="F50" s="1653" t="s">
        <v>28</v>
      </c>
      <c r="G50" s="1653" t="s">
        <v>28</v>
      </c>
      <c r="H50" s="1653" t="s">
        <v>28</v>
      </c>
      <c r="I50" s="1653" t="s">
        <v>28</v>
      </c>
      <c r="J50" s="1654" t="s">
        <v>28</v>
      </c>
      <c r="K50" s="1653" t="s">
        <v>28</v>
      </c>
      <c r="L50" s="1653" t="s">
        <v>28</v>
      </c>
      <c r="M50" s="1653" t="s">
        <v>28</v>
      </c>
      <c r="N50" s="1653" t="s">
        <v>28</v>
      </c>
      <c r="O50" s="1653" t="s">
        <v>28</v>
      </c>
      <c r="P50" s="1653" t="s">
        <v>28</v>
      </c>
      <c r="Q50" s="1653" t="s">
        <v>28</v>
      </c>
      <c r="R50" s="1653" t="s">
        <v>28</v>
      </c>
      <c r="S50" s="1653" t="s">
        <v>28</v>
      </c>
      <c r="T50" s="1653" t="s">
        <v>28</v>
      </c>
      <c r="U50" s="1653">
        <v>1</v>
      </c>
      <c r="V50" s="1653" t="s">
        <v>28</v>
      </c>
      <c r="W50" s="1653" t="s">
        <v>28</v>
      </c>
      <c r="X50" s="1653" t="s">
        <v>28</v>
      </c>
      <c r="Y50" s="1653" t="s">
        <v>28</v>
      </c>
      <c r="Z50" s="1654" t="s">
        <v>28</v>
      </c>
    </row>
    <row r="51" spans="1:26" ht="11.45" customHeight="1">
      <c r="A51" s="1652" t="s">
        <v>31</v>
      </c>
      <c r="B51" s="624" t="s">
        <v>32</v>
      </c>
      <c r="C51" s="1653" t="s">
        <v>28</v>
      </c>
      <c r="D51" s="1653" t="s">
        <v>28</v>
      </c>
      <c r="E51" s="1653" t="s">
        <v>28</v>
      </c>
      <c r="F51" s="1653" t="s">
        <v>28</v>
      </c>
      <c r="G51" s="1653" t="s">
        <v>28</v>
      </c>
      <c r="H51" s="1653" t="s">
        <v>28</v>
      </c>
      <c r="I51" s="1653" t="s">
        <v>28</v>
      </c>
      <c r="J51" s="1654" t="s">
        <v>28</v>
      </c>
      <c r="K51" s="1653" t="s">
        <v>28</v>
      </c>
      <c r="L51" s="1653" t="s">
        <v>28</v>
      </c>
      <c r="M51" s="1653" t="s">
        <v>28</v>
      </c>
      <c r="N51" s="1653" t="s">
        <v>28</v>
      </c>
      <c r="O51" s="1653" t="s">
        <v>28</v>
      </c>
      <c r="P51" s="1653" t="s">
        <v>28</v>
      </c>
      <c r="Q51" s="1653" t="s">
        <v>28</v>
      </c>
      <c r="R51" s="1653" t="s">
        <v>28</v>
      </c>
      <c r="S51" s="1653" t="s">
        <v>28</v>
      </c>
      <c r="T51" s="1653" t="s">
        <v>28</v>
      </c>
      <c r="U51" s="1653" t="s">
        <v>28</v>
      </c>
      <c r="V51" s="1653" t="s">
        <v>28</v>
      </c>
      <c r="W51" s="1653" t="s">
        <v>28</v>
      </c>
      <c r="X51" s="1653" t="s">
        <v>28</v>
      </c>
      <c r="Y51" s="1653" t="s">
        <v>28</v>
      </c>
      <c r="Z51" s="1654" t="s">
        <v>28</v>
      </c>
    </row>
    <row r="52" spans="1:26" ht="11.45" customHeight="1">
      <c r="A52" s="642" t="s">
        <v>59</v>
      </c>
      <c r="B52" s="643" t="s">
        <v>60</v>
      </c>
      <c r="C52" s="1660" t="s">
        <v>28</v>
      </c>
      <c r="D52" s="1660" t="s">
        <v>28</v>
      </c>
      <c r="E52" s="1660" t="s">
        <v>28</v>
      </c>
      <c r="F52" s="1660" t="s">
        <v>28</v>
      </c>
      <c r="G52" s="1660" t="s">
        <v>28</v>
      </c>
      <c r="H52" s="1660" t="s">
        <v>28</v>
      </c>
      <c r="I52" s="1660">
        <v>1</v>
      </c>
      <c r="J52" s="869">
        <v>1</v>
      </c>
      <c r="K52" s="1660">
        <v>1</v>
      </c>
      <c r="L52" s="1660">
        <v>1</v>
      </c>
      <c r="M52" s="1660">
        <v>3</v>
      </c>
      <c r="N52" s="1660">
        <v>1</v>
      </c>
      <c r="O52" s="1660">
        <v>1</v>
      </c>
      <c r="P52" s="1660">
        <v>1</v>
      </c>
      <c r="Q52" s="1660">
        <v>1</v>
      </c>
      <c r="R52" s="1660">
        <v>1</v>
      </c>
      <c r="S52" s="1660" t="s">
        <v>28</v>
      </c>
      <c r="T52" s="1660" t="s">
        <v>28</v>
      </c>
      <c r="U52" s="1660">
        <v>2</v>
      </c>
      <c r="V52" s="1660">
        <v>1</v>
      </c>
      <c r="W52" s="1660" t="s">
        <v>28</v>
      </c>
      <c r="X52" s="1660" t="s">
        <v>28</v>
      </c>
      <c r="Y52" s="1660" t="s">
        <v>28</v>
      </c>
      <c r="Z52" s="869" t="s">
        <v>28</v>
      </c>
    </row>
    <row r="53" spans="1:26" ht="11.45" customHeight="1">
      <c r="A53" s="1652" t="s">
        <v>29</v>
      </c>
      <c r="B53" s="624" t="s">
        <v>30</v>
      </c>
      <c r="C53" s="1653" t="s">
        <v>28</v>
      </c>
      <c r="D53" s="1653" t="s">
        <v>28</v>
      </c>
      <c r="E53" s="1653" t="s">
        <v>28</v>
      </c>
      <c r="F53" s="1653" t="s">
        <v>28</v>
      </c>
      <c r="G53" s="1653" t="s">
        <v>28</v>
      </c>
      <c r="H53" s="1653" t="s">
        <v>28</v>
      </c>
      <c r="I53" s="1653">
        <v>1</v>
      </c>
      <c r="J53" s="1654">
        <v>1</v>
      </c>
      <c r="K53" s="1653">
        <v>1</v>
      </c>
      <c r="L53" s="1653">
        <v>1</v>
      </c>
      <c r="M53" s="1653">
        <v>3</v>
      </c>
      <c r="N53" s="1653">
        <v>1</v>
      </c>
      <c r="O53" s="1653">
        <v>1</v>
      </c>
      <c r="P53" s="1653">
        <v>1</v>
      </c>
      <c r="Q53" s="1653">
        <v>1</v>
      </c>
      <c r="R53" s="1653">
        <v>1</v>
      </c>
      <c r="S53" s="1653" t="s">
        <v>28</v>
      </c>
      <c r="T53" s="1653" t="s">
        <v>28</v>
      </c>
      <c r="U53" s="1653">
        <v>2</v>
      </c>
      <c r="V53" s="1653">
        <v>1</v>
      </c>
      <c r="W53" s="1653" t="s">
        <v>28</v>
      </c>
      <c r="X53" s="1653" t="s">
        <v>28</v>
      </c>
      <c r="Y53" s="1653" t="s">
        <v>28</v>
      </c>
      <c r="Z53" s="1654" t="s">
        <v>28</v>
      </c>
    </row>
    <row r="54" spans="1:26" ht="11.45" customHeight="1">
      <c r="A54" s="1652" t="s">
        <v>31</v>
      </c>
      <c r="B54" s="624" t="s">
        <v>32</v>
      </c>
      <c r="C54" s="1653" t="s">
        <v>28</v>
      </c>
      <c r="D54" s="1653" t="s">
        <v>28</v>
      </c>
      <c r="E54" s="1653" t="s">
        <v>28</v>
      </c>
      <c r="F54" s="1653" t="s">
        <v>28</v>
      </c>
      <c r="G54" s="1653" t="s">
        <v>28</v>
      </c>
      <c r="H54" s="1653" t="s">
        <v>28</v>
      </c>
      <c r="I54" s="1653" t="s">
        <v>28</v>
      </c>
      <c r="J54" s="1654" t="s">
        <v>28</v>
      </c>
      <c r="K54" s="1653" t="s">
        <v>28</v>
      </c>
      <c r="L54" s="1653" t="s">
        <v>28</v>
      </c>
      <c r="M54" s="1653" t="s">
        <v>28</v>
      </c>
      <c r="N54" s="1653" t="s">
        <v>28</v>
      </c>
      <c r="O54" s="1653" t="s">
        <v>28</v>
      </c>
      <c r="P54" s="1653" t="s">
        <v>28</v>
      </c>
      <c r="Q54" s="1653" t="s">
        <v>28</v>
      </c>
      <c r="R54" s="1653" t="s">
        <v>28</v>
      </c>
      <c r="S54" s="1653" t="s">
        <v>28</v>
      </c>
      <c r="T54" s="1653" t="s">
        <v>28</v>
      </c>
      <c r="U54" s="1653" t="s">
        <v>28</v>
      </c>
      <c r="V54" s="1653" t="s">
        <v>28</v>
      </c>
      <c r="W54" s="1653" t="s">
        <v>28</v>
      </c>
      <c r="X54" s="1653" t="s">
        <v>28</v>
      </c>
      <c r="Y54" s="1653" t="s">
        <v>28</v>
      </c>
      <c r="Z54" s="1654" t="s">
        <v>28</v>
      </c>
    </row>
    <row r="55" spans="1:26" ht="11.45" customHeight="1">
      <c r="A55" s="642" t="s">
        <v>61</v>
      </c>
      <c r="B55" s="643" t="s">
        <v>62</v>
      </c>
      <c r="C55" s="1660" t="s">
        <v>28</v>
      </c>
      <c r="D55" s="1660" t="s">
        <v>28</v>
      </c>
      <c r="E55" s="1660" t="s">
        <v>28</v>
      </c>
      <c r="F55" s="1660" t="s">
        <v>28</v>
      </c>
      <c r="G55" s="1660" t="s">
        <v>28</v>
      </c>
      <c r="H55" s="1660" t="s">
        <v>28</v>
      </c>
      <c r="I55" s="1660" t="s">
        <v>28</v>
      </c>
      <c r="J55" s="869" t="s">
        <v>28</v>
      </c>
      <c r="K55" s="1660" t="s">
        <v>28</v>
      </c>
      <c r="L55" s="1660" t="s">
        <v>28</v>
      </c>
      <c r="M55" s="1660" t="s">
        <v>28</v>
      </c>
      <c r="N55" s="1660" t="s">
        <v>28</v>
      </c>
      <c r="O55" s="1660" t="s">
        <v>28</v>
      </c>
      <c r="P55" s="1660" t="s">
        <v>28</v>
      </c>
      <c r="Q55" s="1660" t="s">
        <v>28</v>
      </c>
      <c r="R55" s="1660" t="s">
        <v>28</v>
      </c>
      <c r="S55" s="1660" t="s">
        <v>28</v>
      </c>
      <c r="T55" s="1660" t="s">
        <v>28</v>
      </c>
      <c r="U55" s="1660" t="s">
        <v>28</v>
      </c>
      <c r="V55" s="1660" t="s">
        <v>28</v>
      </c>
      <c r="W55" s="1660" t="s">
        <v>28</v>
      </c>
      <c r="X55" s="1660" t="s">
        <v>28</v>
      </c>
      <c r="Y55" s="1660" t="s">
        <v>28</v>
      </c>
      <c r="Z55" s="869" t="s">
        <v>28</v>
      </c>
    </row>
    <row r="56" spans="1:26" ht="11.45" customHeight="1">
      <c r="A56" s="1652" t="s">
        <v>29</v>
      </c>
      <c r="B56" s="624" t="s">
        <v>30</v>
      </c>
      <c r="C56" s="1653" t="s">
        <v>28</v>
      </c>
      <c r="D56" s="1653" t="s">
        <v>28</v>
      </c>
      <c r="E56" s="1653" t="s">
        <v>28</v>
      </c>
      <c r="F56" s="1653" t="s">
        <v>28</v>
      </c>
      <c r="G56" s="1653" t="s">
        <v>28</v>
      </c>
      <c r="H56" s="1653" t="s">
        <v>28</v>
      </c>
      <c r="I56" s="1653" t="s">
        <v>28</v>
      </c>
      <c r="J56" s="1654" t="s">
        <v>28</v>
      </c>
      <c r="K56" s="1653" t="s">
        <v>28</v>
      </c>
      <c r="L56" s="1653" t="s">
        <v>28</v>
      </c>
      <c r="M56" s="1653" t="s">
        <v>28</v>
      </c>
      <c r="N56" s="1653" t="s">
        <v>28</v>
      </c>
      <c r="O56" s="1653" t="s">
        <v>28</v>
      </c>
      <c r="P56" s="1653" t="s">
        <v>28</v>
      </c>
      <c r="Q56" s="1653" t="s">
        <v>28</v>
      </c>
      <c r="R56" s="1653" t="s">
        <v>28</v>
      </c>
      <c r="S56" s="1653" t="s">
        <v>28</v>
      </c>
      <c r="T56" s="1653" t="s">
        <v>28</v>
      </c>
      <c r="U56" s="1653" t="s">
        <v>28</v>
      </c>
      <c r="V56" s="1653" t="s">
        <v>28</v>
      </c>
      <c r="W56" s="1653" t="s">
        <v>28</v>
      </c>
      <c r="X56" s="1653" t="s">
        <v>28</v>
      </c>
      <c r="Y56" s="1653" t="s">
        <v>28</v>
      </c>
      <c r="Z56" s="1654" t="s">
        <v>28</v>
      </c>
    </row>
    <row r="57" spans="1:26" ht="11.45" customHeight="1">
      <c r="A57" s="1652" t="s">
        <v>31</v>
      </c>
      <c r="B57" s="624" t="s">
        <v>32</v>
      </c>
      <c r="C57" s="1653" t="s">
        <v>28</v>
      </c>
      <c r="D57" s="1653" t="s">
        <v>28</v>
      </c>
      <c r="E57" s="1653" t="s">
        <v>28</v>
      </c>
      <c r="F57" s="1653" t="s">
        <v>28</v>
      </c>
      <c r="G57" s="1653" t="s">
        <v>28</v>
      </c>
      <c r="H57" s="1653" t="s">
        <v>28</v>
      </c>
      <c r="I57" s="1653" t="s">
        <v>28</v>
      </c>
      <c r="J57" s="1654" t="s">
        <v>28</v>
      </c>
      <c r="K57" s="1653" t="s">
        <v>28</v>
      </c>
      <c r="L57" s="1653" t="s">
        <v>28</v>
      </c>
      <c r="M57" s="1653" t="s">
        <v>28</v>
      </c>
      <c r="N57" s="1653" t="s">
        <v>28</v>
      </c>
      <c r="O57" s="1653" t="s">
        <v>28</v>
      </c>
      <c r="P57" s="1653" t="s">
        <v>28</v>
      </c>
      <c r="Q57" s="1653" t="s">
        <v>28</v>
      </c>
      <c r="R57" s="1653" t="s">
        <v>28</v>
      </c>
      <c r="S57" s="1653" t="s">
        <v>28</v>
      </c>
      <c r="T57" s="1653" t="s">
        <v>28</v>
      </c>
      <c r="U57" s="1653" t="s">
        <v>28</v>
      </c>
      <c r="V57" s="1653" t="s">
        <v>28</v>
      </c>
      <c r="W57" s="1653" t="s">
        <v>28</v>
      </c>
      <c r="X57" s="1653" t="s">
        <v>28</v>
      </c>
      <c r="Y57" s="1653" t="s">
        <v>28</v>
      </c>
      <c r="Z57" s="1654" t="s">
        <v>28</v>
      </c>
    </row>
    <row r="58" spans="1:26" ht="11.45" customHeight="1">
      <c r="A58" s="642" t="s">
        <v>63</v>
      </c>
      <c r="B58" s="643" t="s">
        <v>64</v>
      </c>
      <c r="C58" s="1660" t="s">
        <v>28</v>
      </c>
      <c r="D58" s="1660" t="s">
        <v>28</v>
      </c>
      <c r="E58" s="1660" t="s">
        <v>28</v>
      </c>
      <c r="F58" s="1660" t="s">
        <v>28</v>
      </c>
      <c r="G58" s="1660" t="s">
        <v>28</v>
      </c>
      <c r="H58" s="1660" t="s">
        <v>28</v>
      </c>
      <c r="I58" s="1660" t="s">
        <v>28</v>
      </c>
      <c r="J58" s="869" t="s">
        <v>28</v>
      </c>
      <c r="K58" s="1660" t="s">
        <v>28</v>
      </c>
      <c r="L58" s="1660" t="s">
        <v>28</v>
      </c>
      <c r="M58" s="1660" t="s">
        <v>28</v>
      </c>
      <c r="N58" s="1660" t="s">
        <v>28</v>
      </c>
      <c r="O58" s="1660" t="s">
        <v>28</v>
      </c>
      <c r="P58" s="1660" t="s">
        <v>28</v>
      </c>
      <c r="Q58" s="1660" t="s">
        <v>28</v>
      </c>
      <c r="R58" s="1660" t="s">
        <v>28</v>
      </c>
      <c r="S58" s="1660" t="s">
        <v>28</v>
      </c>
      <c r="T58" s="1660" t="s">
        <v>28</v>
      </c>
      <c r="U58" s="1660" t="s">
        <v>28</v>
      </c>
      <c r="V58" s="1660" t="s">
        <v>28</v>
      </c>
      <c r="W58" s="1660" t="s">
        <v>28</v>
      </c>
      <c r="X58" s="1660" t="s">
        <v>28</v>
      </c>
      <c r="Y58" s="1660" t="s">
        <v>28</v>
      </c>
      <c r="Z58" s="869" t="s">
        <v>28</v>
      </c>
    </row>
    <row r="59" spans="1:26" ht="11.45" customHeight="1">
      <c r="A59" s="1652" t="s">
        <v>29</v>
      </c>
      <c r="B59" s="624" t="s">
        <v>30</v>
      </c>
      <c r="C59" s="1653" t="s">
        <v>28</v>
      </c>
      <c r="D59" s="1653" t="s">
        <v>28</v>
      </c>
      <c r="E59" s="1653" t="s">
        <v>28</v>
      </c>
      <c r="F59" s="1653" t="s">
        <v>28</v>
      </c>
      <c r="G59" s="1653" t="s">
        <v>28</v>
      </c>
      <c r="H59" s="1653" t="s">
        <v>28</v>
      </c>
      <c r="I59" s="1653" t="s">
        <v>28</v>
      </c>
      <c r="J59" s="1654" t="s">
        <v>28</v>
      </c>
      <c r="K59" s="1653" t="s">
        <v>28</v>
      </c>
      <c r="L59" s="1653" t="s">
        <v>28</v>
      </c>
      <c r="M59" s="1653" t="s">
        <v>28</v>
      </c>
      <c r="N59" s="1653" t="s">
        <v>28</v>
      </c>
      <c r="O59" s="1653" t="s">
        <v>28</v>
      </c>
      <c r="P59" s="1653" t="s">
        <v>28</v>
      </c>
      <c r="Q59" s="1653" t="s">
        <v>28</v>
      </c>
      <c r="R59" s="1653" t="s">
        <v>28</v>
      </c>
      <c r="S59" s="1653" t="s">
        <v>28</v>
      </c>
      <c r="T59" s="1653" t="s">
        <v>28</v>
      </c>
      <c r="U59" s="1653" t="s">
        <v>28</v>
      </c>
      <c r="V59" s="1653" t="s">
        <v>28</v>
      </c>
      <c r="W59" s="1653" t="s">
        <v>28</v>
      </c>
      <c r="X59" s="1653" t="s">
        <v>28</v>
      </c>
      <c r="Y59" s="1653" t="s">
        <v>28</v>
      </c>
      <c r="Z59" s="1654" t="s">
        <v>28</v>
      </c>
    </row>
    <row r="60" spans="1:26" ht="11.45" customHeight="1" thickBot="1">
      <c r="A60" s="1655" t="s">
        <v>31</v>
      </c>
      <c r="B60" s="625" t="s">
        <v>32</v>
      </c>
      <c r="C60" s="626" t="s">
        <v>28</v>
      </c>
      <c r="D60" s="626" t="s">
        <v>28</v>
      </c>
      <c r="E60" s="626" t="s">
        <v>28</v>
      </c>
      <c r="F60" s="626" t="s">
        <v>28</v>
      </c>
      <c r="G60" s="626" t="s">
        <v>28</v>
      </c>
      <c r="H60" s="626" t="s">
        <v>28</v>
      </c>
      <c r="I60" s="626" t="s">
        <v>28</v>
      </c>
      <c r="J60" s="627" t="s">
        <v>28</v>
      </c>
      <c r="K60" s="626" t="s">
        <v>28</v>
      </c>
      <c r="L60" s="626" t="s">
        <v>28</v>
      </c>
      <c r="M60" s="626" t="s">
        <v>28</v>
      </c>
      <c r="N60" s="626" t="s">
        <v>28</v>
      </c>
      <c r="O60" s="626" t="s">
        <v>28</v>
      </c>
      <c r="P60" s="626" t="s">
        <v>28</v>
      </c>
      <c r="Q60" s="626" t="s">
        <v>28</v>
      </c>
      <c r="R60" s="626" t="s">
        <v>28</v>
      </c>
      <c r="S60" s="626" t="s">
        <v>28</v>
      </c>
      <c r="T60" s="626" t="s">
        <v>28</v>
      </c>
      <c r="U60" s="626" t="s">
        <v>28</v>
      </c>
      <c r="V60" s="626" t="s">
        <v>28</v>
      </c>
      <c r="W60" s="626" t="s">
        <v>28</v>
      </c>
      <c r="X60" s="626" t="s">
        <v>28</v>
      </c>
      <c r="Y60" s="626" t="s">
        <v>28</v>
      </c>
      <c r="Z60" s="627" t="s">
        <v>28</v>
      </c>
    </row>
    <row r="61" spans="1:26" s="11" customFormat="1" ht="10.5" customHeight="1">
      <c r="A61" s="1201" t="s">
        <v>1219</v>
      </c>
      <c r="B61" s="1201"/>
      <c r="C61" s="1201"/>
      <c r="D61" s="1201"/>
      <c r="E61" s="1201"/>
      <c r="F61" s="1201"/>
      <c r="G61" s="1201"/>
      <c r="H61" s="1201"/>
      <c r="I61" s="1201"/>
      <c r="J61" s="1201"/>
      <c r="K61" s="1201"/>
      <c r="L61" s="1201"/>
      <c r="M61" s="1203" t="s">
        <v>1218</v>
      </c>
      <c r="N61" s="1204"/>
      <c r="O61" s="1204"/>
      <c r="P61" s="1204"/>
      <c r="Q61" s="1204"/>
      <c r="R61" s="1204"/>
      <c r="S61" s="1204"/>
      <c r="T61" s="1204"/>
      <c r="U61" s="1204"/>
      <c r="V61" s="1204"/>
      <c r="W61" s="1204"/>
      <c r="X61" s="1204"/>
      <c r="Y61" s="1204"/>
      <c r="Z61" s="1204"/>
    </row>
    <row r="62" spans="1:26">
      <c r="A62" s="1202"/>
      <c r="B62" s="1202"/>
      <c r="C62" s="1202"/>
      <c r="D62" s="1202"/>
      <c r="E62" s="1202"/>
      <c r="F62" s="1202"/>
      <c r="G62" s="1202"/>
      <c r="H62" s="1202"/>
      <c r="I62" s="1202"/>
      <c r="J62" s="1202"/>
      <c r="K62" s="1202"/>
      <c r="L62" s="1202"/>
      <c r="M62" s="1205"/>
      <c r="N62" s="1205"/>
      <c r="O62" s="1205"/>
      <c r="P62" s="1205"/>
      <c r="Q62" s="1205"/>
      <c r="R62" s="1205"/>
      <c r="S62" s="1205"/>
      <c r="T62" s="1205"/>
      <c r="U62" s="1205"/>
      <c r="V62" s="1205"/>
      <c r="W62" s="1205"/>
      <c r="X62" s="1205"/>
      <c r="Y62" s="1205"/>
      <c r="Z62" s="1205"/>
    </row>
    <row r="67" spans="1:1">
      <c r="A67" s="18"/>
    </row>
  </sheetData>
  <mergeCells count="42">
    <mergeCell ref="A3:L3"/>
    <mergeCell ref="M3:Z3"/>
    <mergeCell ref="A2:L2"/>
    <mergeCell ref="A4:L4"/>
    <mergeCell ref="M2:Z2"/>
    <mergeCell ref="M4:Z4"/>
    <mergeCell ref="A5:B5"/>
    <mergeCell ref="C5:L5"/>
    <mergeCell ref="M5:Z5"/>
    <mergeCell ref="A6:B6"/>
    <mergeCell ref="C6:L6"/>
    <mergeCell ref="M6:Z6"/>
    <mergeCell ref="Y7:Z7"/>
    <mergeCell ref="C7:D7"/>
    <mergeCell ref="E7:F7"/>
    <mergeCell ref="G7:H7"/>
    <mergeCell ref="I7:J7"/>
    <mergeCell ref="K7:L7"/>
    <mergeCell ref="M7:N7"/>
    <mergeCell ref="O7:P7"/>
    <mergeCell ref="Q7:R7"/>
    <mergeCell ref="S7:T7"/>
    <mergeCell ref="U7:V7"/>
    <mergeCell ref="W7:X7"/>
    <mergeCell ref="Y8:Z8"/>
    <mergeCell ref="C8:D8"/>
    <mergeCell ref="E8:F8"/>
    <mergeCell ref="G8:H8"/>
    <mergeCell ref="I8:J8"/>
    <mergeCell ref="K8:L8"/>
    <mergeCell ref="M8:N8"/>
    <mergeCell ref="O8:P8"/>
    <mergeCell ref="Q8:R8"/>
    <mergeCell ref="S8:T8"/>
    <mergeCell ref="U8:V8"/>
    <mergeCell ref="W8:X8"/>
    <mergeCell ref="A14:L14"/>
    <mergeCell ref="M14:Z14"/>
    <mergeCell ref="A30:L30"/>
    <mergeCell ref="M30:Z30"/>
    <mergeCell ref="A61:L62"/>
    <mergeCell ref="M61:Z62"/>
  </mergeCells>
  <phoneticPr fontId="4" type="noConversion"/>
  <hyperlinks>
    <hyperlink ref="A1" location="목록!A1" display="목록!A1" xr:uid="{F3B6AABE-7D5C-44B5-A710-362D217E9CA2}"/>
  </hyperlinks>
  <pageMargins left="0.59055118110236227" right="0.59055118110236227" top="0.78740157480314965" bottom="0.59055118110236227" header="0.62992125984251968" footer="0.39370078740157483"/>
  <pageSetup paperSize="9" orientation="portrait" r:id="rId1"/>
  <rowBreaks count="1" manualBreakCount="1">
    <brk id="62" max="25" man="1"/>
  </rowBreaks>
  <colBreaks count="1" manualBreakCount="1">
    <brk id="12" min="1" max="61"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DA68"/>
  <sheetViews>
    <sheetView showGridLines="0" showWhiteSpace="0" view="pageBreakPreview" zoomScaleNormal="100" zoomScaleSheetLayoutView="100" workbookViewId="0">
      <selection activeCell="AE10" sqref="AE10:AF10"/>
    </sheetView>
  </sheetViews>
  <sheetFormatPr defaultColWidth="0.21875" defaultRowHeight="16.5"/>
  <cols>
    <col min="1" max="2" width="7.44140625" style="710" customWidth="1"/>
    <col min="3" max="3" width="5.21875" style="710" bestFit="1" customWidth="1"/>
    <col min="4" max="5" width="4.88671875" style="710" customWidth="1"/>
    <col min="6" max="6" width="4.33203125" style="710" customWidth="1"/>
    <col min="7" max="7" width="4" style="710" customWidth="1"/>
    <col min="8" max="8" width="3.5546875" style="710" customWidth="1"/>
    <col min="9" max="13" width="4.33203125" style="710" customWidth="1"/>
    <col min="14" max="14" width="4" style="710" customWidth="1"/>
    <col min="15" max="15" width="4.33203125" style="710" customWidth="1"/>
    <col min="16" max="16" width="3.77734375" style="710" customWidth="1"/>
    <col min="17" max="18" width="4.33203125" style="710" customWidth="1"/>
    <col min="19" max="20" width="3.88671875" style="710" customWidth="1"/>
    <col min="21" max="22" width="3.21875" style="710" customWidth="1"/>
    <col min="23" max="24" width="3.44140625" style="710" customWidth="1"/>
    <col min="25" max="26" width="3.88671875" style="710" customWidth="1"/>
    <col min="27" max="28" width="4.21875" style="710" customWidth="1"/>
    <col min="29" max="32" width="3.21875" style="710" customWidth="1"/>
    <col min="33" max="34" width="3.77734375" style="710" customWidth="1"/>
    <col min="35" max="38" width="3.21875" style="710" customWidth="1"/>
    <col min="39" max="40" width="3.44140625" style="710" customWidth="1"/>
    <col min="41" max="42" width="3.21875" style="710" customWidth="1"/>
    <col min="43" max="44" width="3" style="703" bestFit="1" customWidth="1"/>
    <col min="45" max="16384" width="0.21875" style="703"/>
  </cols>
  <sheetData>
    <row r="1" spans="1:42" ht="22.5">
      <c r="A1" s="901" t="s">
        <v>1332</v>
      </c>
    </row>
    <row r="2" spans="1:42" ht="13.5" customHeight="1">
      <c r="A2" s="1667" t="s">
        <v>1026</v>
      </c>
      <c r="B2" s="1247"/>
      <c r="C2" s="1247"/>
      <c r="D2" s="1247"/>
      <c r="E2" s="1247"/>
      <c r="F2" s="1247"/>
      <c r="G2" s="1247"/>
      <c r="H2" s="1247"/>
      <c r="I2" s="1247"/>
      <c r="J2" s="1247"/>
      <c r="K2" s="1247"/>
      <c r="L2" s="1247"/>
      <c r="M2" s="1247"/>
      <c r="N2" s="1247"/>
      <c r="O2" s="1247"/>
      <c r="P2" s="1247"/>
      <c r="Q2" s="1247"/>
      <c r="R2" s="1247"/>
      <c r="S2" s="1253" t="s">
        <v>956</v>
      </c>
      <c r="T2" s="1247"/>
      <c r="U2" s="1247"/>
      <c r="V2" s="1247"/>
      <c r="W2" s="1247"/>
      <c r="X2" s="1247"/>
      <c r="Y2" s="1247"/>
      <c r="Z2" s="1247"/>
      <c r="AA2" s="1247"/>
      <c r="AB2" s="1247"/>
      <c r="AC2" s="1247"/>
      <c r="AD2" s="1247"/>
      <c r="AE2" s="1247"/>
      <c r="AF2" s="1247"/>
      <c r="AG2" s="1247"/>
      <c r="AH2" s="1247"/>
      <c r="AI2" s="1247"/>
      <c r="AJ2" s="1247"/>
      <c r="AK2" s="1247"/>
      <c r="AL2" s="1247"/>
      <c r="AM2" s="1247"/>
      <c r="AN2" s="1247"/>
      <c r="AO2" s="1247"/>
      <c r="AP2" s="1247"/>
    </row>
    <row r="3" spans="1:42" ht="24" customHeight="1">
      <c r="A3" s="1252" t="s">
        <v>936</v>
      </c>
      <c r="B3" s="1252"/>
      <c r="C3" s="1252"/>
      <c r="D3" s="1252"/>
      <c r="E3" s="1252"/>
      <c r="F3" s="1252"/>
      <c r="G3" s="1252"/>
      <c r="H3" s="1252"/>
      <c r="I3" s="1252"/>
      <c r="J3" s="1252"/>
      <c r="K3" s="1252"/>
      <c r="L3" s="1252"/>
      <c r="M3" s="1252"/>
      <c r="N3" s="1252"/>
      <c r="O3" s="1252"/>
      <c r="P3" s="1252"/>
      <c r="Q3" s="1252"/>
      <c r="R3" s="1252"/>
      <c r="S3" s="1252" t="s">
        <v>935</v>
      </c>
      <c r="T3" s="1252"/>
      <c r="U3" s="1252"/>
      <c r="V3" s="1252"/>
      <c r="W3" s="1252"/>
      <c r="X3" s="1252"/>
      <c r="Y3" s="1252"/>
      <c r="Z3" s="1252"/>
      <c r="AA3" s="1252"/>
      <c r="AB3" s="1252"/>
      <c r="AC3" s="1252"/>
      <c r="AD3" s="1252"/>
      <c r="AE3" s="1252"/>
      <c r="AF3" s="1252"/>
      <c r="AG3" s="1252"/>
      <c r="AH3" s="1252"/>
      <c r="AI3" s="1252"/>
      <c r="AJ3" s="1252"/>
      <c r="AK3" s="1252"/>
      <c r="AL3" s="1252"/>
      <c r="AM3" s="1252"/>
      <c r="AN3" s="1252"/>
      <c r="AO3" s="1252"/>
      <c r="AP3" s="1252"/>
    </row>
    <row r="4" spans="1:42" ht="13.5" customHeight="1" thickBot="1">
      <c r="A4" s="709"/>
      <c r="B4" s="709"/>
      <c r="C4" s="709"/>
      <c r="D4" s="709"/>
      <c r="E4" s="709"/>
      <c r="F4" s="709"/>
      <c r="G4" s="709"/>
      <c r="H4" s="709"/>
      <c r="I4" s="709"/>
      <c r="J4" s="709"/>
      <c r="K4" s="709"/>
      <c r="L4" s="709"/>
      <c r="M4" s="709"/>
      <c r="N4" s="709"/>
      <c r="O4" s="709"/>
      <c r="P4" s="709"/>
      <c r="Q4" s="709"/>
      <c r="R4" s="709"/>
      <c r="S4" s="709"/>
      <c r="T4" s="709"/>
      <c r="U4" s="709"/>
      <c r="V4" s="1674"/>
      <c r="W4" s="1674"/>
      <c r="X4" s="1674"/>
      <c r="Y4" s="1674"/>
      <c r="Z4" s="709"/>
      <c r="AA4" s="709"/>
      <c r="AB4" s="709"/>
      <c r="AC4" s="709"/>
      <c r="AD4" s="709"/>
      <c r="AE4" s="709"/>
      <c r="AF4" s="709"/>
      <c r="AG4" s="709"/>
      <c r="AH4" s="709"/>
      <c r="AI4" s="709"/>
      <c r="AJ4" s="709"/>
      <c r="AK4" s="709"/>
      <c r="AL4" s="709"/>
      <c r="AM4" s="709"/>
      <c r="AN4" s="709"/>
      <c r="AO4" s="709"/>
      <c r="AP4" s="709"/>
    </row>
    <row r="5" spans="1:42" ht="11.25" customHeight="1">
      <c r="A5" s="1222" t="s">
        <v>668</v>
      </c>
      <c r="B5" s="1223"/>
      <c r="C5" s="1224" t="s">
        <v>676</v>
      </c>
      <c r="D5" s="1223"/>
      <c r="E5" s="1224" t="s">
        <v>794</v>
      </c>
      <c r="F5" s="1222"/>
      <c r="G5" s="1222"/>
      <c r="H5" s="1222"/>
      <c r="I5" s="1222"/>
      <c r="J5" s="1222"/>
      <c r="K5" s="1222"/>
      <c r="L5" s="1222"/>
      <c r="M5" s="1222"/>
      <c r="N5" s="1222"/>
      <c r="O5" s="1222"/>
      <c r="P5" s="1222"/>
      <c r="Q5" s="1222"/>
      <c r="R5" s="1222"/>
      <c r="S5" s="1222" t="s">
        <v>794</v>
      </c>
      <c r="T5" s="1222"/>
      <c r="U5" s="1222"/>
      <c r="V5" s="1222"/>
      <c r="W5" s="1222"/>
      <c r="X5" s="1222"/>
      <c r="Y5" s="1222"/>
      <c r="Z5" s="1222"/>
      <c r="AA5" s="1222"/>
      <c r="AB5" s="1222"/>
      <c r="AC5" s="1222"/>
      <c r="AD5" s="1222"/>
      <c r="AE5" s="1222"/>
      <c r="AF5" s="1222"/>
      <c r="AG5" s="1222"/>
      <c r="AH5" s="1222"/>
      <c r="AI5" s="1222"/>
      <c r="AJ5" s="1222"/>
      <c r="AK5" s="1222"/>
      <c r="AL5" s="1222"/>
      <c r="AM5" s="1222"/>
      <c r="AN5" s="1222"/>
      <c r="AO5" s="1222"/>
      <c r="AP5" s="1222"/>
    </row>
    <row r="6" spans="1:42" ht="9.75" customHeight="1">
      <c r="A6" s="1257" t="s">
        <v>7</v>
      </c>
      <c r="B6" s="1225"/>
      <c r="C6" s="1232" t="s">
        <v>16</v>
      </c>
      <c r="D6" s="1225"/>
      <c r="E6" s="1233" t="s">
        <v>795</v>
      </c>
      <c r="F6" s="1234"/>
      <c r="G6" s="1234"/>
      <c r="H6" s="1234"/>
      <c r="I6" s="1234"/>
      <c r="J6" s="1234"/>
      <c r="K6" s="1234"/>
      <c r="L6" s="1234"/>
      <c r="M6" s="1234"/>
      <c r="N6" s="1234"/>
      <c r="O6" s="1234"/>
      <c r="P6" s="1234"/>
      <c r="Q6" s="1234"/>
      <c r="R6" s="1234"/>
      <c r="S6" s="1234" t="s">
        <v>795</v>
      </c>
      <c r="T6" s="1234"/>
      <c r="U6" s="1234"/>
      <c r="V6" s="1234"/>
      <c r="W6" s="1234"/>
      <c r="X6" s="1234"/>
      <c r="Y6" s="1234"/>
      <c r="Z6" s="1234"/>
      <c r="AA6" s="1234"/>
      <c r="AB6" s="1234"/>
      <c r="AC6" s="1234"/>
      <c r="AD6" s="1234"/>
      <c r="AE6" s="1234"/>
      <c r="AF6" s="1234"/>
      <c r="AG6" s="1234"/>
      <c r="AH6" s="1234"/>
      <c r="AI6" s="1234"/>
      <c r="AJ6" s="1234"/>
      <c r="AK6" s="1234"/>
      <c r="AL6" s="1234"/>
      <c r="AM6" s="1234"/>
      <c r="AN6" s="1234"/>
      <c r="AO6" s="1234"/>
      <c r="AP6" s="1234"/>
    </row>
    <row r="7" spans="1:42" ht="11.25" customHeight="1">
      <c r="A7" s="1668"/>
      <c r="B7" s="1226"/>
      <c r="C7" s="644"/>
      <c r="D7" s="1669"/>
      <c r="E7" s="1235" t="s">
        <v>797</v>
      </c>
      <c r="F7" s="1236"/>
      <c r="G7" s="1236"/>
      <c r="H7" s="1236"/>
      <c r="I7" s="1236"/>
      <c r="J7" s="1236"/>
      <c r="K7" s="1236"/>
      <c r="L7" s="1236"/>
      <c r="M7" s="1236"/>
      <c r="N7" s="1236"/>
      <c r="O7" s="1236"/>
      <c r="P7" s="1236"/>
      <c r="Q7" s="1236"/>
      <c r="R7" s="1236"/>
      <c r="S7" s="1236" t="s">
        <v>797</v>
      </c>
      <c r="T7" s="1236"/>
      <c r="U7" s="1236"/>
      <c r="V7" s="1236"/>
      <c r="W7" s="1236"/>
      <c r="X7" s="1236"/>
      <c r="Y7" s="1236"/>
      <c r="Z7" s="1236"/>
      <c r="AA7" s="1236"/>
      <c r="AB7" s="1236"/>
      <c r="AC7" s="1236"/>
      <c r="AD7" s="1236"/>
      <c r="AE7" s="1236"/>
      <c r="AF7" s="1236"/>
      <c r="AG7" s="1236"/>
      <c r="AH7" s="1236"/>
      <c r="AI7" s="1236"/>
      <c r="AJ7" s="1236"/>
      <c r="AK7" s="1236"/>
      <c r="AL7" s="1236"/>
      <c r="AM7" s="1236"/>
      <c r="AN7" s="1236"/>
      <c r="AO7" s="1236"/>
      <c r="AP7" s="1236"/>
    </row>
    <row r="8" spans="1:42" ht="9.75" customHeight="1">
      <c r="A8" s="1668"/>
      <c r="B8" s="1226"/>
      <c r="C8" s="644"/>
      <c r="D8" s="943"/>
      <c r="E8" s="1233" t="s">
        <v>677</v>
      </c>
      <c r="F8" s="1234"/>
      <c r="G8" s="1234"/>
      <c r="H8" s="1234"/>
      <c r="I8" s="1234"/>
      <c r="J8" s="1234"/>
      <c r="K8" s="1234"/>
      <c r="L8" s="1234"/>
      <c r="M8" s="1234"/>
      <c r="N8" s="1234"/>
      <c r="O8" s="1234"/>
      <c r="P8" s="1234"/>
      <c r="Q8" s="1234"/>
      <c r="R8" s="1234"/>
      <c r="S8" s="1234" t="s">
        <v>677</v>
      </c>
      <c r="T8" s="1234"/>
      <c r="U8" s="1234"/>
      <c r="V8" s="1234"/>
      <c r="W8" s="1234"/>
      <c r="X8" s="1234"/>
      <c r="Y8" s="1234"/>
      <c r="Z8" s="1234"/>
      <c r="AA8" s="1234"/>
      <c r="AB8" s="1234"/>
      <c r="AC8" s="1234"/>
      <c r="AD8" s="1234"/>
      <c r="AE8" s="1234"/>
      <c r="AF8" s="1234"/>
      <c r="AG8" s="1234"/>
      <c r="AH8" s="1234"/>
      <c r="AI8" s="1234"/>
      <c r="AJ8" s="1234"/>
      <c r="AK8" s="1234"/>
      <c r="AL8" s="1234"/>
      <c r="AM8" s="1234"/>
      <c r="AN8" s="1234"/>
      <c r="AO8" s="1234"/>
      <c r="AP8" s="1234"/>
    </row>
    <row r="9" spans="1:42" ht="44.25" customHeight="1">
      <c r="A9" s="1670"/>
      <c r="B9" s="1229"/>
      <c r="C9" s="645"/>
      <c r="D9" s="944"/>
      <c r="E9" s="1227" t="s">
        <v>796</v>
      </c>
      <c r="F9" s="1228"/>
      <c r="G9" s="1227" t="s">
        <v>403</v>
      </c>
      <c r="H9" s="1228"/>
      <c r="I9" s="1227" t="s">
        <v>404</v>
      </c>
      <c r="J9" s="1228"/>
      <c r="K9" s="1230" t="s">
        <v>683</v>
      </c>
      <c r="L9" s="1231"/>
      <c r="M9" s="1227" t="s">
        <v>469</v>
      </c>
      <c r="N9" s="1228"/>
      <c r="O9" s="1227" t="s">
        <v>470</v>
      </c>
      <c r="P9" s="1228"/>
      <c r="Q9" s="1227" t="s">
        <v>455</v>
      </c>
      <c r="R9" s="1228"/>
      <c r="S9" s="1227" t="s">
        <v>456</v>
      </c>
      <c r="T9" s="1228"/>
      <c r="U9" s="1227" t="s">
        <v>457</v>
      </c>
      <c r="V9" s="1228"/>
      <c r="W9" s="1227" t="s">
        <v>1056</v>
      </c>
      <c r="X9" s="1228"/>
      <c r="Y9" s="1227" t="s">
        <v>458</v>
      </c>
      <c r="Z9" s="1228"/>
      <c r="AA9" s="1227" t="s">
        <v>459</v>
      </c>
      <c r="AB9" s="1228"/>
      <c r="AC9" s="1227" t="s">
        <v>400</v>
      </c>
      <c r="AD9" s="1228"/>
      <c r="AE9" s="1227" t="s">
        <v>460</v>
      </c>
      <c r="AF9" s="1228"/>
      <c r="AG9" s="1227" t="s">
        <v>1058</v>
      </c>
      <c r="AH9" s="1228"/>
      <c r="AI9" s="1227" t="s">
        <v>407</v>
      </c>
      <c r="AJ9" s="1228"/>
      <c r="AK9" s="1227" t="s">
        <v>402</v>
      </c>
      <c r="AL9" s="1228"/>
      <c r="AM9" s="1227" t="s">
        <v>461</v>
      </c>
      <c r="AN9" s="1228"/>
      <c r="AO9" s="1227" t="s">
        <v>298</v>
      </c>
      <c r="AP9" s="1237"/>
    </row>
    <row r="10" spans="1:42" ht="39.75" customHeight="1">
      <c r="A10" s="1257"/>
      <c r="B10" s="1225"/>
      <c r="C10" s="945"/>
      <c r="D10" s="941"/>
      <c r="E10" s="1233" t="s">
        <v>196</v>
      </c>
      <c r="F10" s="1238"/>
      <c r="G10" s="1233" t="s">
        <v>423</v>
      </c>
      <c r="H10" s="1238"/>
      <c r="I10" s="1233" t="s">
        <v>424</v>
      </c>
      <c r="J10" s="1238"/>
      <c r="K10" s="1248" t="s">
        <v>678</v>
      </c>
      <c r="L10" s="1249"/>
      <c r="M10" s="1233" t="s">
        <v>471</v>
      </c>
      <c r="N10" s="1238"/>
      <c r="O10" s="1233" t="s">
        <v>472</v>
      </c>
      <c r="P10" s="1238"/>
      <c r="Q10" s="1233" t="s">
        <v>462</v>
      </c>
      <c r="R10" s="1238"/>
      <c r="S10" s="1233" t="s">
        <v>463</v>
      </c>
      <c r="T10" s="1238"/>
      <c r="U10" s="1233" t="s">
        <v>464</v>
      </c>
      <c r="V10" s="1238"/>
      <c r="W10" s="1233" t="s">
        <v>1057</v>
      </c>
      <c r="X10" s="1238"/>
      <c r="Y10" s="1233" t="s">
        <v>465</v>
      </c>
      <c r="Z10" s="1238"/>
      <c r="AA10" s="1233" t="s">
        <v>466</v>
      </c>
      <c r="AB10" s="1238"/>
      <c r="AC10" s="1233" t="s">
        <v>473</v>
      </c>
      <c r="AD10" s="1238"/>
      <c r="AE10" s="1233" t="s">
        <v>467</v>
      </c>
      <c r="AF10" s="1238"/>
      <c r="AG10" s="1233" t="s">
        <v>1059</v>
      </c>
      <c r="AH10" s="1238"/>
      <c r="AI10" s="1233" t="s">
        <v>1060</v>
      </c>
      <c r="AJ10" s="1238"/>
      <c r="AK10" s="1233" t="s">
        <v>422</v>
      </c>
      <c r="AL10" s="1238"/>
      <c r="AM10" s="1233" t="s">
        <v>468</v>
      </c>
      <c r="AN10" s="1238"/>
      <c r="AO10" s="1233" t="s">
        <v>150</v>
      </c>
      <c r="AP10" s="1234"/>
    </row>
    <row r="11" spans="1:42" ht="11.25" customHeight="1">
      <c r="A11" s="946"/>
      <c r="B11" s="941"/>
      <c r="C11" s="940" t="s">
        <v>354</v>
      </c>
      <c r="D11" s="940" t="s">
        <v>640</v>
      </c>
      <c r="E11" s="646" t="s">
        <v>354</v>
      </c>
      <c r="F11" s="646" t="s">
        <v>640</v>
      </c>
      <c r="G11" s="646" t="s">
        <v>354</v>
      </c>
      <c r="H11" s="646" t="s">
        <v>640</v>
      </c>
      <c r="I11" s="646" t="s">
        <v>354</v>
      </c>
      <c r="J11" s="646" t="s">
        <v>640</v>
      </c>
      <c r="K11" s="646" t="s">
        <v>354</v>
      </c>
      <c r="L11" s="646" t="s">
        <v>640</v>
      </c>
      <c r="M11" s="646" t="s">
        <v>354</v>
      </c>
      <c r="N11" s="646" t="s">
        <v>640</v>
      </c>
      <c r="O11" s="646" t="s">
        <v>354</v>
      </c>
      <c r="P11" s="646" t="s">
        <v>640</v>
      </c>
      <c r="Q11" s="646" t="s">
        <v>354</v>
      </c>
      <c r="R11" s="646" t="s">
        <v>640</v>
      </c>
      <c r="S11" s="646" t="s">
        <v>354</v>
      </c>
      <c r="T11" s="646" t="s">
        <v>640</v>
      </c>
      <c r="U11" s="646" t="s">
        <v>354</v>
      </c>
      <c r="V11" s="646" t="s">
        <v>640</v>
      </c>
      <c r="W11" s="646" t="s">
        <v>354</v>
      </c>
      <c r="X11" s="646" t="s">
        <v>640</v>
      </c>
      <c r="Y11" s="646" t="s">
        <v>354</v>
      </c>
      <c r="Z11" s="646" t="s">
        <v>640</v>
      </c>
      <c r="AA11" s="646" t="s">
        <v>354</v>
      </c>
      <c r="AB11" s="646" t="s">
        <v>640</v>
      </c>
      <c r="AC11" s="646" t="s">
        <v>354</v>
      </c>
      <c r="AD11" s="646" t="s">
        <v>640</v>
      </c>
      <c r="AE11" s="646" t="s">
        <v>354</v>
      </c>
      <c r="AF11" s="646" t="s">
        <v>640</v>
      </c>
      <c r="AG11" s="646" t="s">
        <v>354</v>
      </c>
      <c r="AH11" s="646" t="s">
        <v>640</v>
      </c>
      <c r="AI11" s="646" t="s">
        <v>354</v>
      </c>
      <c r="AJ11" s="646" t="s">
        <v>640</v>
      </c>
      <c r="AK11" s="646" t="s">
        <v>354</v>
      </c>
      <c r="AL11" s="646" t="s">
        <v>640</v>
      </c>
      <c r="AM11" s="646" t="s">
        <v>354</v>
      </c>
      <c r="AN11" s="646" t="s">
        <v>640</v>
      </c>
      <c r="AO11" s="646" t="s">
        <v>354</v>
      </c>
      <c r="AP11" s="940" t="s">
        <v>640</v>
      </c>
    </row>
    <row r="12" spans="1:42" ht="9.75" customHeight="1">
      <c r="A12" s="647"/>
      <c r="B12" s="648"/>
      <c r="C12" s="939" t="s">
        <v>367</v>
      </c>
      <c r="D12" s="939" t="s">
        <v>368</v>
      </c>
      <c r="E12" s="947" t="s">
        <v>367</v>
      </c>
      <c r="F12" s="947" t="s">
        <v>368</v>
      </c>
      <c r="G12" s="947" t="s">
        <v>367</v>
      </c>
      <c r="H12" s="947" t="s">
        <v>368</v>
      </c>
      <c r="I12" s="947" t="s">
        <v>367</v>
      </c>
      <c r="J12" s="947" t="s">
        <v>368</v>
      </c>
      <c r="K12" s="947" t="s">
        <v>367</v>
      </c>
      <c r="L12" s="947" t="s">
        <v>368</v>
      </c>
      <c r="M12" s="947" t="s">
        <v>367</v>
      </c>
      <c r="N12" s="947" t="s">
        <v>368</v>
      </c>
      <c r="O12" s="947" t="s">
        <v>367</v>
      </c>
      <c r="P12" s="947" t="s">
        <v>368</v>
      </c>
      <c r="Q12" s="947" t="s">
        <v>367</v>
      </c>
      <c r="R12" s="947" t="s">
        <v>368</v>
      </c>
      <c r="S12" s="947" t="s">
        <v>367</v>
      </c>
      <c r="T12" s="947" t="s">
        <v>368</v>
      </c>
      <c r="U12" s="947" t="s">
        <v>367</v>
      </c>
      <c r="V12" s="947" t="s">
        <v>368</v>
      </c>
      <c r="W12" s="947" t="s">
        <v>367</v>
      </c>
      <c r="X12" s="947" t="s">
        <v>368</v>
      </c>
      <c r="Y12" s="947" t="s">
        <v>367</v>
      </c>
      <c r="Z12" s="947" t="s">
        <v>368</v>
      </c>
      <c r="AA12" s="947" t="s">
        <v>367</v>
      </c>
      <c r="AB12" s="947" t="s">
        <v>368</v>
      </c>
      <c r="AC12" s="947" t="s">
        <v>367</v>
      </c>
      <c r="AD12" s="947" t="s">
        <v>368</v>
      </c>
      <c r="AE12" s="947" t="s">
        <v>367</v>
      </c>
      <c r="AF12" s="947" t="s">
        <v>368</v>
      </c>
      <c r="AG12" s="947" t="s">
        <v>367</v>
      </c>
      <c r="AH12" s="947" t="s">
        <v>368</v>
      </c>
      <c r="AI12" s="947" t="s">
        <v>367</v>
      </c>
      <c r="AJ12" s="947" t="s">
        <v>368</v>
      </c>
      <c r="AK12" s="947" t="s">
        <v>367</v>
      </c>
      <c r="AL12" s="947" t="s">
        <v>368</v>
      </c>
      <c r="AM12" s="947" t="s">
        <v>367</v>
      </c>
      <c r="AN12" s="947" t="s">
        <v>368</v>
      </c>
      <c r="AO12" s="947" t="s">
        <v>367</v>
      </c>
      <c r="AP12" s="649" t="s">
        <v>368</v>
      </c>
    </row>
    <row r="13" spans="1:42" ht="12.6" customHeight="1">
      <c r="A13" s="650" t="s">
        <v>27</v>
      </c>
      <c r="B13" s="651" t="s">
        <v>16</v>
      </c>
      <c r="C13" s="1671">
        <v>3513</v>
      </c>
      <c r="D13" s="1671">
        <v>1738</v>
      </c>
      <c r="E13" s="1671">
        <v>1847</v>
      </c>
      <c r="F13" s="1671">
        <v>928</v>
      </c>
      <c r="G13" s="1671">
        <v>71</v>
      </c>
      <c r="H13" s="1671">
        <v>36</v>
      </c>
      <c r="I13" s="1671">
        <v>582</v>
      </c>
      <c r="J13" s="1671">
        <v>272</v>
      </c>
      <c r="K13" s="1671">
        <v>52</v>
      </c>
      <c r="L13" s="1671">
        <v>29</v>
      </c>
      <c r="M13" s="1671">
        <v>20</v>
      </c>
      <c r="N13" s="1671">
        <v>13</v>
      </c>
      <c r="O13" s="1671">
        <v>35</v>
      </c>
      <c r="P13" s="1671">
        <v>19</v>
      </c>
      <c r="Q13" s="1671">
        <v>167</v>
      </c>
      <c r="R13" s="1671">
        <v>89</v>
      </c>
      <c r="S13" s="1671">
        <v>615</v>
      </c>
      <c r="T13" s="1671">
        <v>315</v>
      </c>
      <c r="U13" s="1671">
        <v>35</v>
      </c>
      <c r="V13" s="1671">
        <v>17</v>
      </c>
      <c r="W13" s="1671">
        <v>59</v>
      </c>
      <c r="X13" s="1671">
        <v>33</v>
      </c>
      <c r="Y13" s="1671">
        <v>6</v>
      </c>
      <c r="Z13" s="1671">
        <v>1</v>
      </c>
      <c r="AA13" s="1671">
        <v>53</v>
      </c>
      <c r="AB13" s="1671">
        <v>29</v>
      </c>
      <c r="AC13" s="1671">
        <v>22</v>
      </c>
      <c r="AD13" s="1671">
        <v>10</v>
      </c>
      <c r="AE13" s="1671">
        <v>25</v>
      </c>
      <c r="AF13" s="1671">
        <v>13</v>
      </c>
      <c r="AG13" s="1671">
        <v>14</v>
      </c>
      <c r="AH13" s="1671">
        <v>7</v>
      </c>
      <c r="AI13" s="1671">
        <v>6</v>
      </c>
      <c r="AJ13" s="1671">
        <v>2</v>
      </c>
      <c r="AK13" s="1671">
        <v>22</v>
      </c>
      <c r="AL13" s="1671">
        <v>10</v>
      </c>
      <c r="AM13" s="1671">
        <v>9</v>
      </c>
      <c r="AN13" s="1671">
        <v>3</v>
      </c>
      <c r="AO13" s="1675">
        <v>54</v>
      </c>
      <c r="AP13" s="1675">
        <v>30</v>
      </c>
    </row>
    <row r="14" spans="1:42" ht="12.6" customHeight="1">
      <c r="A14" s="700" t="s">
        <v>29</v>
      </c>
      <c r="B14" s="652" t="s">
        <v>30</v>
      </c>
      <c r="C14" s="653">
        <v>3344</v>
      </c>
      <c r="D14" s="653">
        <v>1697</v>
      </c>
      <c r="E14" s="653">
        <v>1753</v>
      </c>
      <c r="F14" s="653">
        <v>906</v>
      </c>
      <c r="G14" s="653">
        <v>71</v>
      </c>
      <c r="H14" s="653">
        <v>36</v>
      </c>
      <c r="I14" s="653">
        <v>549</v>
      </c>
      <c r="J14" s="653">
        <v>267</v>
      </c>
      <c r="K14" s="653">
        <v>47</v>
      </c>
      <c r="L14" s="653">
        <v>29</v>
      </c>
      <c r="M14" s="653">
        <v>16</v>
      </c>
      <c r="N14" s="653">
        <v>9</v>
      </c>
      <c r="O14" s="653">
        <v>35</v>
      </c>
      <c r="P14" s="653">
        <v>19</v>
      </c>
      <c r="Q14" s="653">
        <v>162</v>
      </c>
      <c r="R14" s="653">
        <v>87</v>
      </c>
      <c r="S14" s="653">
        <v>575</v>
      </c>
      <c r="T14" s="653">
        <v>306</v>
      </c>
      <c r="U14" s="653">
        <v>35</v>
      </c>
      <c r="V14" s="653">
        <v>17</v>
      </c>
      <c r="W14" s="653">
        <v>58</v>
      </c>
      <c r="X14" s="653">
        <v>33</v>
      </c>
      <c r="Y14" s="653">
        <v>6</v>
      </c>
      <c r="Z14" s="653">
        <v>1</v>
      </c>
      <c r="AA14" s="653">
        <v>53</v>
      </c>
      <c r="AB14" s="653">
        <v>29</v>
      </c>
      <c r="AC14" s="653">
        <v>22</v>
      </c>
      <c r="AD14" s="653">
        <v>10</v>
      </c>
      <c r="AE14" s="653">
        <v>24</v>
      </c>
      <c r="AF14" s="653">
        <v>13</v>
      </c>
      <c r="AG14" s="653">
        <v>14</v>
      </c>
      <c r="AH14" s="653">
        <v>7</v>
      </c>
      <c r="AI14" s="653">
        <v>6</v>
      </c>
      <c r="AJ14" s="653">
        <v>2</v>
      </c>
      <c r="AK14" s="653">
        <v>21</v>
      </c>
      <c r="AL14" s="653">
        <v>9</v>
      </c>
      <c r="AM14" s="653">
        <v>8</v>
      </c>
      <c r="AN14" s="653">
        <v>3</v>
      </c>
      <c r="AO14" s="654">
        <v>51</v>
      </c>
      <c r="AP14" s="654">
        <v>29</v>
      </c>
    </row>
    <row r="15" spans="1:42" ht="12.6" customHeight="1" thickBot="1">
      <c r="A15" s="655" t="s">
        <v>31</v>
      </c>
      <c r="B15" s="656" t="s">
        <v>32</v>
      </c>
      <c r="C15" s="657">
        <v>169</v>
      </c>
      <c r="D15" s="657">
        <v>41</v>
      </c>
      <c r="E15" s="657">
        <v>94</v>
      </c>
      <c r="F15" s="657">
        <v>22</v>
      </c>
      <c r="G15" s="657" t="s">
        <v>28</v>
      </c>
      <c r="H15" s="657" t="s">
        <v>28</v>
      </c>
      <c r="I15" s="657">
        <v>33</v>
      </c>
      <c r="J15" s="657">
        <v>5</v>
      </c>
      <c r="K15" s="657">
        <v>5</v>
      </c>
      <c r="L15" s="657" t="s">
        <v>28</v>
      </c>
      <c r="M15" s="657">
        <v>4</v>
      </c>
      <c r="N15" s="657">
        <v>4</v>
      </c>
      <c r="O15" s="657" t="s">
        <v>28</v>
      </c>
      <c r="P15" s="657" t="s">
        <v>28</v>
      </c>
      <c r="Q15" s="657">
        <v>5</v>
      </c>
      <c r="R15" s="657">
        <v>2</v>
      </c>
      <c r="S15" s="657">
        <v>40</v>
      </c>
      <c r="T15" s="657">
        <v>9</v>
      </c>
      <c r="U15" s="657" t="s">
        <v>28</v>
      </c>
      <c r="V15" s="657" t="s">
        <v>28</v>
      </c>
      <c r="W15" s="657">
        <v>1</v>
      </c>
      <c r="X15" s="657" t="s">
        <v>28</v>
      </c>
      <c r="Y15" s="657" t="s">
        <v>28</v>
      </c>
      <c r="Z15" s="657" t="s">
        <v>28</v>
      </c>
      <c r="AA15" s="657" t="s">
        <v>28</v>
      </c>
      <c r="AB15" s="657" t="s">
        <v>28</v>
      </c>
      <c r="AC15" s="657" t="s">
        <v>28</v>
      </c>
      <c r="AD15" s="657" t="s">
        <v>28</v>
      </c>
      <c r="AE15" s="657">
        <v>1</v>
      </c>
      <c r="AF15" s="657" t="s">
        <v>28</v>
      </c>
      <c r="AG15" s="657" t="s">
        <v>28</v>
      </c>
      <c r="AH15" s="657" t="s">
        <v>28</v>
      </c>
      <c r="AI15" s="657" t="s">
        <v>28</v>
      </c>
      <c r="AJ15" s="657" t="s">
        <v>28</v>
      </c>
      <c r="AK15" s="657">
        <v>1</v>
      </c>
      <c r="AL15" s="657">
        <v>1</v>
      </c>
      <c r="AM15" s="657">
        <v>1</v>
      </c>
      <c r="AN15" s="657" t="s">
        <v>28</v>
      </c>
      <c r="AO15" s="658">
        <v>3</v>
      </c>
      <c r="AP15" s="658">
        <v>1</v>
      </c>
    </row>
    <row r="16" spans="1:42" s="701" customFormat="1" ht="10.5" customHeight="1" thickBot="1">
      <c r="A16" s="1672" t="s">
        <v>363</v>
      </c>
      <c r="B16" s="1672"/>
      <c r="C16" s="1672"/>
      <c r="D16" s="1672"/>
      <c r="E16" s="1672"/>
      <c r="F16" s="1672"/>
      <c r="G16" s="1672"/>
      <c r="H16" s="1672"/>
      <c r="I16" s="1672"/>
      <c r="J16" s="1672"/>
      <c r="K16" s="1672"/>
      <c r="L16" s="1672"/>
      <c r="M16" s="1672"/>
      <c r="N16" s="1672"/>
      <c r="O16" s="1672"/>
      <c r="P16" s="1672"/>
      <c r="Q16" s="1672"/>
      <c r="R16" s="1672"/>
      <c r="S16" s="1672" t="s">
        <v>34</v>
      </c>
      <c r="T16" s="1672"/>
      <c r="U16" s="1672"/>
      <c r="V16" s="1672"/>
      <c r="W16" s="1672"/>
      <c r="X16" s="1672"/>
      <c r="Y16" s="1672"/>
      <c r="Z16" s="1672"/>
      <c r="AA16" s="1672"/>
      <c r="AB16" s="1672"/>
      <c r="AC16" s="1672"/>
      <c r="AD16" s="1672"/>
      <c r="AE16" s="1672"/>
      <c r="AF16" s="1672"/>
      <c r="AG16" s="1672"/>
      <c r="AH16" s="1672"/>
      <c r="AI16" s="1672"/>
      <c r="AJ16" s="1672"/>
      <c r="AK16" s="1672"/>
      <c r="AL16" s="1672"/>
      <c r="AM16" s="1672"/>
      <c r="AN16" s="1672"/>
      <c r="AO16" s="1672"/>
      <c r="AP16" s="1672"/>
    </row>
    <row r="17" spans="1:105" ht="12.2" customHeight="1">
      <c r="A17" s="659" t="s">
        <v>35</v>
      </c>
      <c r="B17" s="660" t="s">
        <v>36</v>
      </c>
      <c r="C17" s="661">
        <v>719</v>
      </c>
      <c r="D17" s="661">
        <v>360</v>
      </c>
      <c r="E17" s="661">
        <v>460</v>
      </c>
      <c r="F17" s="661">
        <v>226</v>
      </c>
      <c r="G17" s="661">
        <v>14</v>
      </c>
      <c r="H17" s="661">
        <v>7</v>
      </c>
      <c r="I17" s="661">
        <v>178</v>
      </c>
      <c r="J17" s="661">
        <v>76</v>
      </c>
      <c r="K17" s="661">
        <v>8</v>
      </c>
      <c r="L17" s="661">
        <v>1</v>
      </c>
      <c r="M17" s="661">
        <v>7</v>
      </c>
      <c r="N17" s="661">
        <v>5</v>
      </c>
      <c r="O17" s="661">
        <v>7</v>
      </c>
      <c r="P17" s="661">
        <v>2</v>
      </c>
      <c r="Q17" s="661">
        <v>33</v>
      </c>
      <c r="R17" s="662">
        <v>23</v>
      </c>
      <c r="S17" s="663">
        <v>154</v>
      </c>
      <c r="T17" s="661">
        <v>79</v>
      </c>
      <c r="U17" s="661">
        <v>2</v>
      </c>
      <c r="V17" s="661">
        <v>2</v>
      </c>
      <c r="W17" s="661">
        <v>13</v>
      </c>
      <c r="X17" s="661">
        <v>7</v>
      </c>
      <c r="Y17" s="661">
        <v>3</v>
      </c>
      <c r="Z17" s="661" t="s">
        <v>28</v>
      </c>
      <c r="AA17" s="661">
        <v>12</v>
      </c>
      <c r="AB17" s="661">
        <v>8</v>
      </c>
      <c r="AC17" s="661">
        <v>3</v>
      </c>
      <c r="AD17" s="661">
        <v>2</v>
      </c>
      <c r="AE17" s="661">
        <v>6</v>
      </c>
      <c r="AF17" s="661">
        <v>4</v>
      </c>
      <c r="AG17" s="661">
        <v>1</v>
      </c>
      <c r="AH17" s="661">
        <v>1</v>
      </c>
      <c r="AI17" s="661" t="s">
        <v>28</v>
      </c>
      <c r="AJ17" s="661" t="s">
        <v>28</v>
      </c>
      <c r="AK17" s="661">
        <v>3</v>
      </c>
      <c r="AL17" s="661">
        <v>1</v>
      </c>
      <c r="AM17" s="661">
        <v>1</v>
      </c>
      <c r="AN17" s="661" t="s">
        <v>28</v>
      </c>
      <c r="AO17" s="661">
        <v>15</v>
      </c>
      <c r="AP17" s="680">
        <v>8</v>
      </c>
      <c r="AQ17" s="710"/>
      <c r="AR17" s="710"/>
      <c r="AS17" s="710"/>
      <c r="AT17" s="710"/>
      <c r="AU17" s="710"/>
      <c r="AV17" s="710"/>
      <c r="AW17" s="710"/>
      <c r="AX17" s="710"/>
      <c r="AY17" s="710"/>
      <c r="AZ17" s="710"/>
      <c r="BA17" s="710"/>
      <c r="BB17" s="710"/>
      <c r="BC17" s="710"/>
      <c r="BD17" s="710"/>
      <c r="BE17" s="710"/>
      <c r="BF17" s="710"/>
      <c r="BG17" s="710"/>
      <c r="BH17" s="710"/>
      <c r="BI17" s="710"/>
      <c r="BJ17" s="710"/>
      <c r="BK17" s="710"/>
      <c r="BL17" s="710"/>
      <c r="BM17" s="710"/>
      <c r="BN17" s="710"/>
      <c r="BO17" s="710"/>
      <c r="BP17" s="710"/>
      <c r="BQ17" s="710"/>
      <c r="BR17" s="710"/>
      <c r="BS17" s="710"/>
      <c r="BT17" s="710"/>
      <c r="BU17" s="710"/>
      <c r="BV17" s="710"/>
      <c r="BW17" s="710"/>
      <c r="BX17" s="710"/>
      <c r="BY17" s="710"/>
      <c r="BZ17" s="710"/>
      <c r="CA17" s="710"/>
      <c r="CB17" s="710"/>
      <c r="CC17" s="710"/>
      <c r="CD17" s="710"/>
      <c r="CE17" s="710"/>
      <c r="CF17" s="710"/>
      <c r="CG17" s="710"/>
      <c r="CH17" s="710"/>
      <c r="CI17" s="710"/>
      <c r="CJ17" s="710"/>
      <c r="CK17" s="710"/>
      <c r="CL17" s="710"/>
      <c r="CM17" s="710"/>
      <c r="CN17" s="710"/>
      <c r="CO17" s="710"/>
      <c r="CP17" s="710"/>
      <c r="CQ17" s="710"/>
      <c r="CR17" s="710"/>
      <c r="CS17" s="710"/>
      <c r="CT17" s="710"/>
      <c r="CU17" s="710"/>
      <c r="CV17" s="710"/>
      <c r="CW17" s="710"/>
      <c r="CX17" s="710"/>
      <c r="CY17" s="710"/>
      <c r="CZ17" s="710"/>
      <c r="DA17" s="710"/>
    </row>
    <row r="18" spans="1:105" ht="12.2" customHeight="1">
      <c r="A18" s="700" t="s">
        <v>29</v>
      </c>
      <c r="B18" s="652" t="s">
        <v>30</v>
      </c>
      <c r="C18" s="665">
        <v>577</v>
      </c>
      <c r="D18" s="665">
        <v>338</v>
      </c>
      <c r="E18" s="665">
        <v>384</v>
      </c>
      <c r="F18" s="665">
        <v>216</v>
      </c>
      <c r="G18" s="665">
        <v>14</v>
      </c>
      <c r="H18" s="665">
        <v>7</v>
      </c>
      <c r="I18" s="665">
        <v>148</v>
      </c>
      <c r="J18" s="665">
        <v>73</v>
      </c>
      <c r="K18" s="665">
        <v>3</v>
      </c>
      <c r="L18" s="665">
        <v>1</v>
      </c>
      <c r="M18" s="653">
        <v>4</v>
      </c>
      <c r="N18" s="653">
        <v>2</v>
      </c>
      <c r="O18" s="653">
        <v>7</v>
      </c>
      <c r="P18" s="653">
        <v>2</v>
      </c>
      <c r="Q18" s="653">
        <v>30</v>
      </c>
      <c r="R18" s="666">
        <v>23</v>
      </c>
      <c r="S18" s="667">
        <v>124</v>
      </c>
      <c r="T18" s="653">
        <v>75</v>
      </c>
      <c r="U18" s="653">
        <v>2</v>
      </c>
      <c r="V18" s="653">
        <v>2</v>
      </c>
      <c r="W18" s="653">
        <v>12</v>
      </c>
      <c r="X18" s="653">
        <v>7</v>
      </c>
      <c r="Y18" s="653">
        <v>3</v>
      </c>
      <c r="Z18" s="653" t="s">
        <v>28</v>
      </c>
      <c r="AA18" s="665">
        <v>12</v>
      </c>
      <c r="AB18" s="665">
        <v>8</v>
      </c>
      <c r="AC18" s="665">
        <v>3</v>
      </c>
      <c r="AD18" s="665">
        <v>2</v>
      </c>
      <c r="AE18" s="665">
        <v>5</v>
      </c>
      <c r="AF18" s="665">
        <v>4</v>
      </c>
      <c r="AG18" s="665">
        <v>1</v>
      </c>
      <c r="AH18" s="665">
        <v>1</v>
      </c>
      <c r="AI18" s="665" t="s">
        <v>28</v>
      </c>
      <c r="AJ18" s="665" t="s">
        <v>28</v>
      </c>
      <c r="AK18" s="665">
        <v>3</v>
      </c>
      <c r="AL18" s="665">
        <v>1</v>
      </c>
      <c r="AM18" s="665" t="s">
        <v>28</v>
      </c>
      <c r="AN18" s="665" t="s">
        <v>28</v>
      </c>
      <c r="AO18" s="653">
        <v>13</v>
      </c>
      <c r="AP18" s="654">
        <v>8</v>
      </c>
      <c r="AQ18" s="711"/>
      <c r="AR18" s="711"/>
      <c r="AS18" s="711"/>
      <c r="AT18" s="711"/>
      <c r="AU18" s="711"/>
      <c r="AV18" s="711"/>
      <c r="AW18" s="711"/>
      <c r="AX18" s="711"/>
      <c r="AY18" s="711"/>
      <c r="AZ18" s="711"/>
      <c r="BA18" s="711"/>
      <c r="BB18" s="711"/>
      <c r="BC18" s="711"/>
      <c r="BD18" s="711"/>
      <c r="BE18" s="711"/>
      <c r="BF18" s="711"/>
      <c r="BG18" s="711"/>
      <c r="BH18" s="711"/>
      <c r="BI18" s="711"/>
      <c r="BJ18" s="711"/>
      <c r="BK18" s="711"/>
      <c r="BL18" s="711"/>
      <c r="BM18" s="711"/>
      <c r="BN18" s="711"/>
      <c r="BO18" s="711"/>
      <c r="BP18" s="711"/>
      <c r="BQ18" s="711"/>
      <c r="BR18" s="711"/>
      <c r="BS18" s="711"/>
      <c r="BT18" s="711"/>
      <c r="BU18" s="711"/>
      <c r="BV18" s="711"/>
      <c r="BW18" s="711"/>
      <c r="BX18" s="711"/>
      <c r="BY18" s="711"/>
      <c r="BZ18" s="711"/>
      <c r="CA18" s="711"/>
      <c r="CB18" s="711"/>
      <c r="CC18" s="711"/>
      <c r="CD18" s="711"/>
      <c r="CE18" s="711"/>
      <c r="CF18" s="711"/>
      <c r="CG18" s="710"/>
      <c r="CH18" s="710"/>
      <c r="CI18" s="710"/>
      <c r="CJ18" s="710"/>
      <c r="CK18" s="710"/>
      <c r="CL18" s="710"/>
      <c r="CM18" s="710"/>
      <c r="CN18" s="710"/>
      <c r="CO18" s="710"/>
      <c r="CP18" s="710"/>
      <c r="CQ18" s="710"/>
      <c r="CR18" s="710"/>
      <c r="CS18" s="710"/>
      <c r="CT18" s="710"/>
      <c r="CU18" s="710"/>
      <c r="CV18" s="710"/>
      <c r="CW18" s="710"/>
      <c r="CX18" s="710"/>
      <c r="CY18" s="710"/>
      <c r="CZ18" s="710"/>
      <c r="DA18" s="710"/>
    </row>
    <row r="19" spans="1:105" ht="12.2" customHeight="1">
      <c r="A19" s="700" t="s">
        <v>31</v>
      </c>
      <c r="B19" s="652" t="s">
        <v>32</v>
      </c>
      <c r="C19" s="665">
        <v>142</v>
      </c>
      <c r="D19" s="665">
        <v>22</v>
      </c>
      <c r="E19" s="665">
        <v>76</v>
      </c>
      <c r="F19" s="665">
        <v>10</v>
      </c>
      <c r="G19" s="665" t="s">
        <v>28</v>
      </c>
      <c r="H19" s="665" t="s">
        <v>28</v>
      </c>
      <c r="I19" s="665">
        <v>30</v>
      </c>
      <c r="J19" s="665">
        <v>3</v>
      </c>
      <c r="K19" s="665">
        <v>5</v>
      </c>
      <c r="L19" s="665" t="s">
        <v>28</v>
      </c>
      <c r="M19" s="653">
        <v>3</v>
      </c>
      <c r="N19" s="653">
        <v>3</v>
      </c>
      <c r="O19" s="653" t="s">
        <v>28</v>
      </c>
      <c r="P19" s="653" t="s">
        <v>28</v>
      </c>
      <c r="Q19" s="653">
        <v>3</v>
      </c>
      <c r="R19" s="666" t="s">
        <v>28</v>
      </c>
      <c r="S19" s="667">
        <v>30</v>
      </c>
      <c r="T19" s="653">
        <v>4</v>
      </c>
      <c r="U19" s="653" t="s">
        <v>28</v>
      </c>
      <c r="V19" s="653" t="s">
        <v>28</v>
      </c>
      <c r="W19" s="653">
        <v>1</v>
      </c>
      <c r="X19" s="653" t="s">
        <v>28</v>
      </c>
      <c r="Y19" s="653" t="s">
        <v>28</v>
      </c>
      <c r="Z19" s="653" t="s">
        <v>28</v>
      </c>
      <c r="AA19" s="665" t="s">
        <v>28</v>
      </c>
      <c r="AB19" s="665" t="s">
        <v>28</v>
      </c>
      <c r="AC19" s="665" t="s">
        <v>28</v>
      </c>
      <c r="AD19" s="665" t="s">
        <v>28</v>
      </c>
      <c r="AE19" s="665">
        <v>1</v>
      </c>
      <c r="AF19" s="665" t="s">
        <v>28</v>
      </c>
      <c r="AG19" s="665" t="s">
        <v>28</v>
      </c>
      <c r="AH19" s="665" t="s">
        <v>28</v>
      </c>
      <c r="AI19" s="665" t="s">
        <v>28</v>
      </c>
      <c r="AJ19" s="665" t="s">
        <v>28</v>
      </c>
      <c r="AK19" s="665" t="s">
        <v>28</v>
      </c>
      <c r="AL19" s="665" t="s">
        <v>28</v>
      </c>
      <c r="AM19" s="665">
        <v>1</v>
      </c>
      <c r="AN19" s="665" t="s">
        <v>28</v>
      </c>
      <c r="AO19" s="653">
        <v>2</v>
      </c>
      <c r="AP19" s="654" t="s">
        <v>28</v>
      </c>
      <c r="AQ19" s="711"/>
      <c r="AR19" s="711"/>
      <c r="AS19" s="711"/>
      <c r="AT19" s="711"/>
      <c r="AU19" s="711"/>
      <c r="AV19" s="711"/>
      <c r="AW19" s="711"/>
      <c r="AX19" s="711"/>
      <c r="AY19" s="711"/>
      <c r="AZ19" s="711"/>
      <c r="BA19" s="711"/>
      <c r="BB19" s="711"/>
      <c r="BC19" s="711"/>
      <c r="BD19" s="711"/>
      <c r="BE19" s="711"/>
      <c r="BF19" s="711"/>
      <c r="BG19" s="711"/>
      <c r="BH19" s="711"/>
      <c r="BI19" s="711"/>
      <c r="BJ19" s="711"/>
      <c r="BK19" s="711"/>
      <c r="BL19" s="711"/>
      <c r="BM19" s="711"/>
      <c r="BN19" s="711"/>
      <c r="BO19" s="711"/>
      <c r="BP19" s="711"/>
      <c r="BQ19" s="711"/>
      <c r="BR19" s="711"/>
      <c r="BS19" s="711"/>
      <c r="BT19" s="711"/>
      <c r="BU19" s="711"/>
      <c r="BV19" s="711"/>
      <c r="BW19" s="711"/>
      <c r="BX19" s="711"/>
      <c r="BY19" s="711"/>
      <c r="BZ19" s="711"/>
      <c r="CA19" s="711"/>
      <c r="CB19" s="711"/>
      <c r="CC19" s="711"/>
      <c r="CD19" s="711"/>
      <c r="CE19" s="711"/>
      <c r="CF19" s="711"/>
      <c r="CG19" s="710"/>
      <c r="CH19" s="710"/>
      <c r="CI19" s="710"/>
      <c r="CJ19" s="710"/>
      <c r="CK19" s="710"/>
      <c r="CL19" s="710"/>
      <c r="CM19" s="710"/>
      <c r="CN19" s="710"/>
      <c r="CO19" s="710"/>
      <c r="CP19" s="710"/>
      <c r="CQ19" s="710"/>
      <c r="CR19" s="710"/>
      <c r="CS19" s="710"/>
      <c r="CT19" s="710"/>
      <c r="CU19" s="710"/>
      <c r="CV19" s="710"/>
      <c r="CW19" s="710"/>
      <c r="CX19" s="710"/>
      <c r="CY19" s="710"/>
      <c r="CZ19" s="710"/>
      <c r="DA19" s="710"/>
    </row>
    <row r="20" spans="1:105" ht="12.2" customHeight="1">
      <c r="A20" s="699" t="s">
        <v>37</v>
      </c>
      <c r="B20" s="669" t="s">
        <v>38</v>
      </c>
      <c r="C20" s="670">
        <v>914</v>
      </c>
      <c r="D20" s="670">
        <v>454</v>
      </c>
      <c r="E20" s="670">
        <v>480</v>
      </c>
      <c r="F20" s="670">
        <v>244</v>
      </c>
      <c r="G20" s="670">
        <v>15</v>
      </c>
      <c r="H20" s="670">
        <v>9</v>
      </c>
      <c r="I20" s="670">
        <v>148</v>
      </c>
      <c r="J20" s="670">
        <v>73</v>
      </c>
      <c r="K20" s="670">
        <v>23</v>
      </c>
      <c r="L20" s="670">
        <v>15</v>
      </c>
      <c r="M20" s="670">
        <v>5</v>
      </c>
      <c r="N20" s="670">
        <v>3</v>
      </c>
      <c r="O20" s="670">
        <v>14</v>
      </c>
      <c r="P20" s="670">
        <v>6</v>
      </c>
      <c r="Q20" s="670">
        <v>43</v>
      </c>
      <c r="R20" s="671">
        <v>19</v>
      </c>
      <c r="S20" s="672">
        <v>170</v>
      </c>
      <c r="T20" s="670">
        <v>90</v>
      </c>
      <c r="U20" s="670">
        <v>5</v>
      </c>
      <c r="V20" s="670">
        <v>2</v>
      </c>
      <c r="W20" s="670">
        <v>17</v>
      </c>
      <c r="X20" s="670">
        <v>12</v>
      </c>
      <c r="Y20" s="670">
        <v>1</v>
      </c>
      <c r="Z20" s="670" t="s">
        <v>28</v>
      </c>
      <c r="AA20" s="670">
        <v>10</v>
      </c>
      <c r="AB20" s="670">
        <v>4</v>
      </c>
      <c r="AC20" s="670">
        <v>5</v>
      </c>
      <c r="AD20" s="670">
        <v>1</v>
      </c>
      <c r="AE20" s="670">
        <v>4</v>
      </c>
      <c r="AF20" s="670">
        <v>1</v>
      </c>
      <c r="AG20" s="670">
        <v>5</v>
      </c>
      <c r="AH20" s="670">
        <v>2</v>
      </c>
      <c r="AI20" s="670" t="s">
        <v>28</v>
      </c>
      <c r="AJ20" s="670" t="s">
        <v>28</v>
      </c>
      <c r="AK20" s="670">
        <v>2</v>
      </c>
      <c r="AL20" s="670">
        <v>1</v>
      </c>
      <c r="AM20" s="670">
        <v>2</v>
      </c>
      <c r="AN20" s="670" t="s">
        <v>28</v>
      </c>
      <c r="AO20" s="670">
        <v>11</v>
      </c>
      <c r="AP20" s="681">
        <v>6</v>
      </c>
      <c r="AQ20" s="712"/>
      <c r="AR20" s="712"/>
      <c r="AS20" s="711"/>
      <c r="AT20" s="711"/>
      <c r="AU20" s="711"/>
      <c r="AV20" s="711"/>
      <c r="AW20" s="711"/>
      <c r="AX20" s="711"/>
      <c r="AY20" s="711"/>
      <c r="AZ20" s="711"/>
      <c r="BA20" s="711"/>
      <c r="BB20" s="711"/>
      <c r="BC20" s="711"/>
      <c r="BD20" s="711"/>
      <c r="BE20" s="711"/>
      <c r="BF20" s="711"/>
      <c r="BG20" s="711"/>
      <c r="BH20" s="711"/>
      <c r="BI20" s="711"/>
      <c r="BJ20" s="711"/>
      <c r="BK20" s="711"/>
      <c r="BL20" s="711"/>
      <c r="BM20" s="711"/>
      <c r="BN20" s="711"/>
      <c r="BO20" s="711"/>
      <c r="BP20" s="711"/>
      <c r="BQ20" s="711"/>
      <c r="BR20" s="711"/>
      <c r="BS20" s="711"/>
      <c r="BT20" s="711"/>
      <c r="BU20" s="711"/>
      <c r="BV20" s="711"/>
      <c r="BW20" s="711"/>
      <c r="BX20" s="711"/>
      <c r="BY20" s="711"/>
      <c r="BZ20" s="711"/>
      <c r="CA20" s="711"/>
      <c r="CB20" s="711"/>
      <c r="CC20" s="711"/>
      <c r="CD20" s="711"/>
      <c r="CE20" s="711"/>
      <c r="CF20" s="711"/>
      <c r="CG20" s="710"/>
      <c r="CH20" s="710"/>
      <c r="CI20" s="710"/>
      <c r="CJ20" s="710"/>
      <c r="CK20" s="710"/>
      <c r="CL20" s="710"/>
      <c r="CM20" s="710"/>
      <c r="CN20" s="710"/>
      <c r="CO20" s="710"/>
      <c r="CP20" s="710"/>
      <c r="CQ20" s="710"/>
      <c r="CR20" s="710"/>
      <c r="CS20" s="710"/>
      <c r="CT20" s="710"/>
      <c r="CU20" s="710"/>
      <c r="CV20" s="710"/>
      <c r="CW20" s="710"/>
      <c r="CX20" s="710"/>
      <c r="CY20" s="710"/>
      <c r="CZ20" s="710"/>
      <c r="DA20" s="710"/>
    </row>
    <row r="21" spans="1:105" ht="12.2" customHeight="1">
      <c r="A21" s="700" t="s">
        <v>29</v>
      </c>
      <c r="B21" s="652" t="s">
        <v>30</v>
      </c>
      <c r="C21" s="665">
        <v>914</v>
      </c>
      <c r="D21" s="665">
        <v>454</v>
      </c>
      <c r="E21" s="665">
        <v>480</v>
      </c>
      <c r="F21" s="665">
        <v>244</v>
      </c>
      <c r="G21" s="665">
        <v>15</v>
      </c>
      <c r="H21" s="665">
        <v>9</v>
      </c>
      <c r="I21" s="665">
        <v>148</v>
      </c>
      <c r="J21" s="665">
        <v>73</v>
      </c>
      <c r="K21" s="665">
        <v>23</v>
      </c>
      <c r="L21" s="665">
        <v>15</v>
      </c>
      <c r="M21" s="653">
        <v>5</v>
      </c>
      <c r="N21" s="653">
        <v>3</v>
      </c>
      <c r="O21" s="653">
        <v>14</v>
      </c>
      <c r="P21" s="653">
        <v>6</v>
      </c>
      <c r="Q21" s="653">
        <v>43</v>
      </c>
      <c r="R21" s="666">
        <v>19</v>
      </c>
      <c r="S21" s="667">
        <v>170</v>
      </c>
      <c r="T21" s="653">
        <v>90</v>
      </c>
      <c r="U21" s="653">
        <v>5</v>
      </c>
      <c r="V21" s="653">
        <v>2</v>
      </c>
      <c r="W21" s="653">
        <v>17</v>
      </c>
      <c r="X21" s="653">
        <v>12</v>
      </c>
      <c r="Y21" s="653">
        <v>1</v>
      </c>
      <c r="Z21" s="653" t="s">
        <v>28</v>
      </c>
      <c r="AA21" s="665">
        <v>10</v>
      </c>
      <c r="AB21" s="665">
        <v>4</v>
      </c>
      <c r="AC21" s="665">
        <v>5</v>
      </c>
      <c r="AD21" s="665">
        <v>1</v>
      </c>
      <c r="AE21" s="665">
        <v>4</v>
      </c>
      <c r="AF21" s="665">
        <v>1</v>
      </c>
      <c r="AG21" s="665">
        <v>5</v>
      </c>
      <c r="AH21" s="665">
        <v>2</v>
      </c>
      <c r="AI21" s="665" t="s">
        <v>28</v>
      </c>
      <c r="AJ21" s="665" t="s">
        <v>28</v>
      </c>
      <c r="AK21" s="665">
        <v>2</v>
      </c>
      <c r="AL21" s="665">
        <v>1</v>
      </c>
      <c r="AM21" s="665">
        <v>2</v>
      </c>
      <c r="AN21" s="665" t="s">
        <v>28</v>
      </c>
      <c r="AO21" s="653">
        <v>11</v>
      </c>
      <c r="AP21" s="654">
        <v>6</v>
      </c>
      <c r="AQ21" s="711"/>
      <c r="AR21" s="711"/>
      <c r="AS21" s="711"/>
      <c r="AT21" s="711"/>
      <c r="AU21" s="711"/>
      <c r="AV21" s="711"/>
      <c r="AW21" s="711"/>
      <c r="AX21" s="711"/>
      <c r="AY21" s="711"/>
      <c r="AZ21" s="711"/>
      <c r="BA21" s="711"/>
      <c r="BB21" s="711"/>
      <c r="BC21" s="711"/>
      <c r="BD21" s="711"/>
      <c r="BE21" s="711"/>
      <c r="BF21" s="711"/>
      <c r="BG21" s="711"/>
      <c r="BH21" s="711"/>
      <c r="BI21" s="711"/>
      <c r="BJ21" s="711"/>
      <c r="BK21" s="711"/>
      <c r="BL21" s="711"/>
      <c r="BM21" s="711"/>
      <c r="BN21" s="711"/>
      <c r="BO21" s="711"/>
      <c r="BP21" s="711"/>
      <c r="BQ21" s="711"/>
      <c r="BR21" s="711"/>
      <c r="BS21" s="711"/>
      <c r="BT21" s="711"/>
      <c r="BU21" s="711"/>
      <c r="BV21" s="711"/>
      <c r="BW21" s="711"/>
      <c r="BX21" s="711"/>
      <c r="BY21" s="711"/>
      <c r="BZ21" s="711"/>
      <c r="CA21" s="711"/>
      <c r="CB21" s="711"/>
      <c r="CC21" s="711"/>
      <c r="CD21" s="711"/>
      <c r="CE21" s="711"/>
      <c r="CF21" s="711"/>
      <c r="CG21" s="710"/>
      <c r="CH21" s="710"/>
      <c r="CI21" s="710"/>
      <c r="CJ21" s="710"/>
      <c r="CK21" s="710"/>
      <c r="CL21" s="710"/>
      <c r="CM21" s="710"/>
      <c r="CN21" s="710"/>
      <c r="CO21" s="710"/>
      <c r="CP21" s="710"/>
      <c r="CQ21" s="710"/>
      <c r="CR21" s="710"/>
      <c r="CS21" s="710"/>
      <c r="CT21" s="710"/>
      <c r="CU21" s="710"/>
      <c r="CV21" s="710"/>
      <c r="CW21" s="710"/>
      <c r="CX21" s="710"/>
      <c r="CY21" s="710"/>
      <c r="CZ21" s="710"/>
      <c r="DA21" s="710"/>
    </row>
    <row r="22" spans="1:105" ht="12.2" customHeight="1">
      <c r="A22" s="700" t="s">
        <v>31</v>
      </c>
      <c r="B22" s="652" t="s">
        <v>32</v>
      </c>
      <c r="C22" s="665" t="s">
        <v>28</v>
      </c>
      <c r="D22" s="665" t="s">
        <v>28</v>
      </c>
      <c r="E22" s="665" t="s">
        <v>28</v>
      </c>
      <c r="F22" s="665" t="s">
        <v>28</v>
      </c>
      <c r="G22" s="665" t="s">
        <v>28</v>
      </c>
      <c r="H22" s="665" t="s">
        <v>28</v>
      </c>
      <c r="I22" s="665" t="s">
        <v>28</v>
      </c>
      <c r="J22" s="665" t="s">
        <v>28</v>
      </c>
      <c r="K22" s="665" t="s">
        <v>28</v>
      </c>
      <c r="L22" s="665" t="s">
        <v>28</v>
      </c>
      <c r="M22" s="653" t="s">
        <v>28</v>
      </c>
      <c r="N22" s="653" t="s">
        <v>28</v>
      </c>
      <c r="O22" s="653" t="s">
        <v>28</v>
      </c>
      <c r="P22" s="653" t="s">
        <v>28</v>
      </c>
      <c r="Q22" s="653" t="s">
        <v>28</v>
      </c>
      <c r="R22" s="666" t="s">
        <v>28</v>
      </c>
      <c r="S22" s="667" t="s">
        <v>28</v>
      </c>
      <c r="T22" s="653" t="s">
        <v>28</v>
      </c>
      <c r="U22" s="653" t="s">
        <v>28</v>
      </c>
      <c r="V22" s="653" t="s">
        <v>28</v>
      </c>
      <c r="W22" s="653" t="s">
        <v>28</v>
      </c>
      <c r="X22" s="653" t="s">
        <v>28</v>
      </c>
      <c r="Y22" s="653" t="s">
        <v>28</v>
      </c>
      <c r="Z22" s="653" t="s">
        <v>28</v>
      </c>
      <c r="AA22" s="665" t="s">
        <v>28</v>
      </c>
      <c r="AB22" s="665" t="s">
        <v>28</v>
      </c>
      <c r="AC22" s="665" t="s">
        <v>28</v>
      </c>
      <c r="AD22" s="665" t="s">
        <v>28</v>
      </c>
      <c r="AE22" s="665" t="s">
        <v>28</v>
      </c>
      <c r="AF22" s="665" t="s">
        <v>28</v>
      </c>
      <c r="AG22" s="665" t="s">
        <v>28</v>
      </c>
      <c r="AH22" s="665" t="s">
        <v>28</v>
      </c>
      <c r="AI22" s="665" t="s">
        <v>28</v>
      </c>
      <c r="AJ22" s="665" t="s">
        <v>28</v>
      </c>
      <c r="AK22" s="665" t="s">
        <v>28</v>
      </c>
      <c r="AL22" s="665" t="s">
        <v>28</v>
      </c>
      <c r="AM22" s="665" t="s">
        <v>28</v>
      </c>
      <c r="AN22" s="665" t="s">
        <v>28</v>
      </c>
      <c r="AO22" s="653" t="s">
        <v>28</v>
      </c>
      <c r="AP22" s="654" t="s">
        <v>28</v>
      </c>
      <c r="AQ22" s="711"/>
      <c r="AR22" s="711"/>
      <c r="AS22" s="711"/>
      <c r="AT22" s="711"/>
      <c r="AU22" s="711"/>
      <c r="AV22" s="711"/>
      <c r="AW22" s="711"/>
      <c r="AX22" s="711"/>
      <c r="AY22" s="711"/>
      <c r="AZ22" s="711"/>
      <c r="BA22" s="711"/>
      <c r="BB22" s="711"/>
      <c r="BC22" s="711"/>
      <c r="BD22" s="711"/>
      <c r="BE22" s="711"/>
      <c r="BF22" s="711"/>
      <c r="BG22" s="711"/>
      <c r="BH22" s="711"/>
      <c r="BI22" s="711"/>
      <c r="BJ22" s="711"/>
      <c r="BK22" s="711"/>
      <c r="BL22" s="711"/>
      <c r="BM22" s="711"/>
      <c r="BN22" s="711"/>
      <c r="BO22" s="711"/>
      <c r="BP22" s="711"/>
      <c r="BQ22" s="711"/>
      <c r="BR22" s="711"/>
      <c r="BS22" s="711"/>
      <c r="BT22" s="711"/>
      <c r="BU22" s="711"/>
      <c r="BV22" s="711"/>
      <c r="BW22" s="711"/>
      <c r="BX22" s="711"/>
      <c r="BY22" s="711"/>
      <c r="BZ22" s="711"/>
      <c r="CA22" s="711"/>
      <c r="CB22" s="711"/>
      <c r="CC22" s="711"/>
      <c r="CD22" s="711"/>
      <c r="CE22" s="711"/>
      <c r="CF22" s="711"/>
      <c r="CG22" s="710"/>
      <c r="CH22" s="710"/>
      <c r="CI22" s="710"/>
      <c r="CJ22" s="710"/>
      <c r="CK22" s="710"/>
      <c r="CL22" s="710"/>
      <c r="CM22" s="710"/>
      <c r="CN22" s="710"/>
      <c r="CO22" s="710"/>
      <c r="CP22" s="710"/>
      <c r="CQ22" s="710"/>
      <c r="CR22" s="710"/>
      <c r="CS22" s="710"/>
      <c r="CT22" s="710"/>
      <c r="CU22" s="710"/>
      <c r="CV22" s="710"/>
      <c r="CW22" s="710"/>
      <c r="CX22" s="710"/>
      <c r="CY22" s="710"/>
      <c r="CZ22" s="710"/>
      <c r="DA22" s="710"/>
    </row>
    <row r="23" spans="1:105" ht="12.2" customHeight="1">
      <c r="A23" s="699" t="s">
        <v>39</v>
      </c>
      <c r="B23" s="669" t="s">
        <v>40</v>
      </c>
      <c r="C23" s="670">
        <v>1217</v>
      </c>
      <c r="D23" s="670">
        <v>598</v>
      </c>
      <c r="E23" s="670">
        <v>446</v>
      </c>
      <c r="F23" s="670">
        <v>228</v>
      </c>
      <c r="G23" s="670">
        <v>21</v>
      </c>
      <c r="H23" s="670">
        <v>8</v>
      </c>
      <c r="I23" s="670">
        <v>139</v>
      </c>
      <c r="J23" s="670">
        <v>66</v>
      </c>
      <c r="K23" s="670">
        <v>14</v>
      </c>
      <c r="L23" s="670">
        <v>8</v>
      </c>
      <c r="M23" s="670">
        <v>3</v>
      </c>
      <c r="N23" s="670">
        <v>2</v>
      </c>
      <c r="O23" s="670">
        <v>9</v>
      </c>
      <c r="P23" s="670">
        <v>8</v>
      </c>
      <c r="Q23" s="670">
        <v>42</v>
      </c>
      <c r="R23" s="671">
        <v>22</v>
      </c>
      <c r="S23" s="672">
        <v>117</v>
      </c>
      <c r="T23" s="670">
        <v>60</v>
      </c>
      <c r="U23" s="670">
        <v>11</v>
      </c>
      <c r="V23" s="670">
        <v>7</v>
      </c>
      <c r="W23" s="670">
        <v>13</v>
      </c>
      <c r="X23" s="670">
        <v>7</v>
      </c>
      <c r="Y23" s="670" t="s">
        <v>28</v>
      </c>
      <c r="Z23" s="670" t="s">
        <v>28</v>
      </c>
      <c r="AA23" s="670">
        <v>20</v>
      </c>
      <c r="AB23" s="670">
        <v>9</v>
      </c>
      <c r="AC23" s="670">
        <v>8</v>
      </c>
      <c r="AD23" s="670">
        <v>3</v>
      </c>
      <c r="AE23" s="670">
        <v>13</v>
      </c>
      <c r="AF23" s="670">
        <v>7</v>
      </c>
      <c r="AG23" s="670">
        <v>5</v>
      </c>
      <c r="AH23" s="670">
        <v>2</v>
      </c>
      <c r="AI23" s="670">
        <v>2</v>
      </c>
      <c r="AJ23" s="670">
        <v>1</v>
      </c>
      <c r="AK23" s="670">
        <v>13</v>
      </c>
      <c r="AL23" s="670">
        <v>7</v>
      </c>
      <c r="AM23" s="670">
        <v>2</v>
      </c>
      <c r="AN23" s="670">
        <v>1</v>
      </c>
      <c r="AO23" s="670">
        <v>14</v>
      </c>
      <c r="AP23" s="681">
        <v>10</v>
      </c>
      <c r="AQ23" s="711"/>
      <c r="AR23" s="711"/>
      <c r="AS23" s="711"/>
      <c r="AT23" s="711"/>
      <c r="AU23" s="711"/>
      <c r="AV23" s="711"/>
      <c r="AW23" s="711"/>
      <c r="AX23" s="711"/>
      <c r="AY23" s="711"/>
      <c r="AZ23" s="711"/>
      <c r="BA23" s="711"/>
      <c r="BB23" s="711"/>
      <c r="BC23" s="711"/>
      <c r="BD23" s="711"/>
      <c r="BE23" s="711"/>
      <c r="BF23" s="711"/>
      <c r="BG23" s="711"/>
      <c r="BH23" s="711"/>
      <c r="BI23" s="711"/>
      <c r="BJ23" s="711"/>
      <c r="BK23" s="711"/>
      <c r="BL23" s="711"/>
      <c r="BM23" s="711"/>
      <c r="BN23" s="711"/>
      <c r="BO23" s="711"/>
      <c r="BP23" s="711"/>
      <c r="BQ23" s="711"/>
      <c r="BR23" s="711"/>
      <c r="BS23" s="711"/>
      <c r="BT23" s="711"/>
      <c r="BU23" s="711"/>
      <c r="BV23" s="711"/>
      <c r="BW23" s="711"/>
      <c r="BX23" s="711"/>
      <c r="BY23" s="711"/>
      <c r="BZ23" s="711"/>
      <c r="CA23" s="711"/>
      <c r="CB23" s="711"/>
      <c r="CC23" s="711"/>
      <c r="CD23" s="711"/>
      <c r="CE23" s="711"/>
      <c r="CF23" s="711"/>
      <c r="CG23" s="710"/>
      <c r="CH23" s="710"/>
      <c r="CI23" s="710"/>
      <c r="CJ23" s="710"/>
      <c r="CK23" s="710"/>
      <c r="CL23" s="710"/>
      <c r="CM23" s="710"/>
      <c r="CN23" s="710"/>
      <c r="CO23" s="710"/>
      <c r="CP23" s="710"/>
      <c r="CQ23" s="710"/>
      <c r="CR23" s="710"/>
      <c r="CS23" s="710"/>
      <c r="CT23" s="710"/>
      <c r="CU23" s="710"/>
      <c r="CV23" s="710"/>
      <c r="CW23" s="710"/>
      <c r="CX23" s="710"/>
      <c r="CY23" s="710"/>
      <c r="CZ23" s="710"/>
      <c r="DA23" s="710"/>
    </row>
    <row r="24" spans="1:105" ht="12.2" customHeight="1">
      <c r="A24" s="700" t="s">
        <v>29</v>
      </c>
      <c r="B24" s="652" t="s">
        <v>30</v>
      </c>
      <c r="C24" s="665">
        <v>1196</v>
      </c>
      <c r="D24" s="665">
        <v>581</v>
      </c>
      <c r="E24" s="665">
        <v>434</v>
      </c>
      <c r="F24" s="665">
        <v>218</v>
      </c>
      <c r="G24" s="665">
        <v>21</v>
      </c>
      <c r="H24" s="665">
        <v>8</v>
      </c>
      <c r="I24" s="665">
        <v>136</v>
      </c>
      <c r="J24" s="665">
        <v>64</v>
      </c>
      <c r="K24" s="665">
        <v>14</v>
      </c>
      <c r="L24" s="665">
        <v>8</v>
      </c>
      <c r="M24" s="653">
        <v>2</v>
      </c>
      <c r="N24" s="653">
        <v>1</v>
      </c>
      <c r="O24" s="653">
        <v>9</v>
      </c>
      <c r="P24" s="653">
        <v>8</v>
      </c>
      <c r="Q24" s="653">
        <v>40</v>
      </c>
      <c r="R24" s="666">
        <v>20</v>
      </c>
      <c r="S24" s="667">
        <v>113</v>
      </c>
      <c r="T24" s="653">
        <v>57</v>
      </c>
      <c r="U24" s="653">
        <v>11</v>
      </c>
      <c r="V24" s="653">
        <v>7</v>
      </c>
      <c r="W24" s="653">
        <v>13</v>
      </c>
      <c r="X24" s="653">
        <v>7</v>
      </c>
      <c r="Y24" s="653" t="s">
        <v>28</v>
      </c>
      <c r="Z24" s="653" t="s">
        <v>28</v>
      </c>
      <c r="AA24" s="665">
        <v>20</v>
      </c>
      <c r="AB24" s="665">
        <v>9</v>
      </c>
      <c r="AC24" s="665">
        <v>8</v>
      </c>
      <c r="AD24" s="665">
        <v>3</v>
      </c>
      <c r="AE24" s="665">
        <v>13</v>
      </c>
      <c r="AF24" s="665">
        <v>7</v>
      </c>
      <c r="AG24" s="665">
        <v>5</v>
      </c>
      <c r="AH24" s="665">
        <v>2</v>
      </c>
      <c r="AI24" s="665">
        <v>2</v>
      </c>
      <c r="AJ24" s="665">
        <v>1</v>
      </c>
      <c r="AK24" s="665">
        <v>12</v>
      </c>
      <c r="AL24" s="665">
        <v>6</v>
      </c>
      <c r="AM24" s="665">
        <v>2</v>
      </c>
      <c r="AN24" s="665">
        <v>1</v>
      </c>
      <c r="AO24" s="653">
        <v>13</v>
      </c>
      <c r="AP24" s="654">
        <v>9</v>
      </c>
      <c r="AQ24" s="711"/>
      <c r="AR24" s="711"/>
      <c r="AS24" s="711"/>
      <c r="AT24" s="711"/>
      <c r="AU24" s="711"/>
      <c r="AV24" s="711"/>
      <c r="AW24" s="711"/>
      <c r="AX24" s="711"/>
      <c r="AY24" s="711"/>
      <c r="AZ24" s="711"/>
      <c r="BA24" s="711"/>
      <c r="BB24" s="711"/>
      <c r="BC24" s="711"/>
      <c r="BD24" s="711"/>
      <c r="BE24" s="711"/>
      <c r="BF24" s="711"/>
      <c r="BG24" s="711"/>
      <c r="BH24" s="711"/>
      <c r="BI24" s="711"/>
      <c r="BJ24" s="711"/>
      <c r="BK24" s="711"/>
      <c r="BL24" s="711"/>
      <c r="BM24" s="711"/>
      <c r="BN24" s="711"/>
      <c r="BO24" s="711"/>
      <c r="BP24" s="711"/>
      <c r="BQ24" s="711"/>
      <c r="BR24" s="711"/>
      <c r="BS24" s="711"/>
      <c r="BT24" s="711"/>
      <c r="BU24" s="711"/>
      <c r="BV24" s="711"/>
      <c r="BW24" s="711"/>
      <c r="BX24" s="711"/>
      <c r="BY24" s="711"/>
      <c r="BZ24" s="711"/>
      <c r="CA24" s="711"/>
      <c r="CB24" s="711"/>
      <c r="CC24" s="711"/>
      <c r="CD24" s="711"/>
      <c r="CE24" s="711"/>
      <c r="CF24" s="711"/>
      <c r="CG24" s="710"/>
      <c r="CH24" s="710"/>
      <c r="CI24" s="710"/>
      <c r="CJ24" s="710"/>
      <c r="CK24" s="710"/>
      <c r="CL24" s="710"/>
      <c r="CM24" s="710"/>
      <c r="CN24" s="710"/>
      <c r="CO24" s="710"/>
      <c r="CP24" s="710"/>
      <c r="CQ24" s="710"/>
      <c r="CR24" s="710"/>
      <c r="CS24" s="710"/>
      <c r="CT24" s="710"/>
      <c r="CU24" s="710"/>
      <c r="CV24" s="710"/>
      <c r="CW24" s="710"/>
      <c r="CX24" s="710"/>
      <c r="CY24" s="710"/>
      <c r="CZ24" s="710"/>
      <c r="DA24" s="710"/>
    </row>
    <row r="25" spans="1:105" ht="12.2" customHeight="1">
      <c r="A25" s="700" t="s">
        <v>31</v>
      </c>
      <c r="B25" s="652" t="s">
        <v>32</v>
      </c>
      <c r="C25" s="665">
        <v>21</v>
      </c>
      <c r="D25" s="665">
        <v>17</v>
      </c>
      <c r="E25" s="665">
        <v>12</v>
      </c>
      <c r="F25" s="665">
        <v>10</v>
      </c>
      <c r="G25" s="665" t="s">
        <v>28</v>
      </c>
      <c r="H25" s="665" t="s">
        <v>28</v>
      </c>
      <c r="I25" s="665">
        <v>3</v>
      </c>
      <c r="J25" s="665">
        <v>2</v>
      </c>
      <c r="K25" s="665" t="s">
        <v>28</v>
      </c>
      <c r="L25" s="665" t="s">
        <v>28</v>
      </c>
      <c r="M25" s="653">
        <v>1</v>
      </c>
      <c r="N25" s="653">
        <v>1</v>
      </c>
      <c r="O25" s="653" t="s">
        <v>28</v>
      </c>
      <c r="P25" s="653" t="s">
        <v>28</v>
      </c>
      <c r="Q25" s="653">
        <v>2</v>
      </c>
      <c r="R25" s="666">
        <v>2</v>
      </c>
      <c r="S25" s="667">
        <v>4</v>
      </c>
      <c r="T25" s="653">
        <v>3</v>
      </c>
      <c r="U25" s="653" t="s">
        <v>28</v>
      </c>
      <c r="V25" s="653" t="s">
        <v>28</v>
      </c>
      <c r="W25" s="653" t="s">
        <v>28</v>
      </c>
      <c r="X25" s="653" t="s">
        <v>28</v>
      </c>
      <c r="Y25" s="653" t="s">
        <v>28</v>
      </c>
      <c r="Z25" s="653" t="s">
        <v>28</v>
      </c>
      <c r="AA25" s="665" t="s">
        <v>28</v>
      </c>
      <c r="AB25" s="665" t="s">
        <v>28</v>
      </c>
      <c r="AC25" s="665" t="s">
        <v>28</v>
      </c>
      <c r="AD25" s="665" t="s">
        <v>28</v>
      </c>
      <c r="AE25" s="665" t="s">
        <v>28</v>
      </c>
      <c r="AF25" s="665" t="s">
        <v>28</v>
      </c>
      <c r="AG25" s="665" t="s">
        <v>28</v>
      </c>
      <c r="AH25" s="665" t="s">
        <v>28</v>
      </c>
      <c r="AI25" s="665" t="s">
        <v>28</v>
      </c>
      <c r="AJ25" s="665" t="s">
        <v>28</v>
      </c>
      <c r="AK25" s="665">
        <v>1</v>
      </c>
      <c r="AL25" s="665">
        <v>1</v>
      </c>
      <c r="AM25" s="665" t="s">
        <v>28</v>
      </c>
      <c r="AN25" s="665" t="s">
        <v>28</v>
      </c>
      <c r="AO25" s="653">
        <v>1</v>
      </c>
      <c r="AP25" s="654">
        <v>1</v>
      </c>
      <c r="AQ25" s="710"/>
      <c r="AR25" s="710"/>
      <c r="AS25" s="710"/>
      <c r="AT25" s="710"/>
      <c r="AU25" s="710"/>
      <c r="AV25" s="710"/>
      <c r="AW25" s="710"/>
      <c r="AX25" s="710"/>
      <c r="AY25" s="710"/>
      <c r="AZ25" s="710"/>
      <c r="BA25" s="710"/>
      <c r="BB25" s="710"/>
      <c r="BC25" s="710"/>
      <c r="BD25" s="710"/>
      <c r="BE25" s="710"/>
      <c r="BF25" s="710"/>
      <c r="BG25" s="710"/>
      <c r="BH25" s="710"/>
      <c r="BI25" s="710"/>
      <c r="BJ25" s="710"/>
      <c r="BK25" s="710"/>
      <c r="BL25" s="710"/>
      <c r="BM25" s="710"/>
      <c r="BN25" s="710"/>
      <c r="BO25" s="710"/>
      <c r="BP25" s="710"/>
      <c r="BQ25" s="710"/>
      <c r="BR25" s="710"/>
      <c r="BS25" s="710"/>
      <c r="BT25" s="710"/>
      <c r="BU25" s="710"/>
      <c r="BV25" s="710"/>
      <c r="BW25" s="710"/>
      <c r="BX25" s="710"/>
      <c r="BY25" s="710"/>
      <c r="BZ25" s="710"/>
      <c r="CA25" s="710"/>
      <c r="CB25" s="710"/>
      <c r="CC25" s="710"/>
      <c r="CD25" s="710"/>
      <c r="CE25" s="710"/>
      <c r="CF25" s="710"/>
      <c r="CG25" s="710"/>
      <c r="CH25" s="710"/>
      <c r="CI25" s="710"/>
      <c r="CJ25" s="710"/>
      <c r="CK25" s="710"/>
      <c r="CL25" s="710"/>
      <c r="CM25" s="710"/>
      <c r="CN25" s="710"/>
      <c r="CO25" s="710"/>
      <c r="CP25" s="710"/>
      <c r="CQ25" s="710"/>
      <c r="CR25" s="710"/>
      <c r="CS25" s="710"/>
      <c r="CT25" s="710"/>
      <c r="CU25" s="710"/>
      <c r="CV25" s="710"/>
      <c r="CW25" s="710"/>
      <c r="CX25" s="710"/>
      <c r="CY25" s="710"/>
      <c r="CZ25" s="710"/>
      <c r="DA25" s="710"/>
    </row>
    <row r="26" spans="1:105" ht="12.2" customHeight="1">
      <c r="A26" s="699" t="s">
        <v>41</v>
      </c>
      <c r="B26" s="669" t="s">
        <v>42</v>
      </c>
      <c r="C26" s="670">
        <v>598</v>
      </c>
      <c r="D26" s="670">
        <v>294</v>
      </c>
      <c r="E26" s="670">
        <v>406</v>
      </c>
      <c r="F26" s="670">
        <v>205</v>
      </c>
      <c r="G26" s="670">
        <v>21</v>
      </c>
      <c r="H26" s="670">
        <v>12</v>
      </c>
      <c r="I26" s="670">
        <v>109</v>
      </c>
      <c r="J26" s="670">
        <v>51</v>
      </c>
      <c r="K26" s="670">
        <v>7</v>
      </c>
      <c r="L26" s="670">
        <v>5</v>
      </c>
      <c r="M26" s="670">
        <v>5</v>
      </c>
      <c r="N26" s="670">
        <v>3</v>
      </c>
      <c r="O26" s="670">
        <v>5</v>
      </c>
      <c r="P26" s="670">
        <v>3</v>
      </c>
      <c r="Q26" s="670">
        <v>41</v>
      </c>
      <c r="R26" s="671">
        <v>23</v>
      </c>
      <c r="S26" s="672">
        <v>138</v>
      </c>
      <c r="T26" s="670">
        <v>70</v>
      </c>
      <c r="U26" s="670">
        <v>16</v>
      </c>
      <c r="V26" s="670">
        <v>6</v>
      </c>
      <c r="W26" s="670">
        <v>15</v>
      </c>
      <c r="X26" s="670">
        <v>6</v>
      </c>
      <c r="Y26" s="670">
        <v>2</v>
      </c>
      <c r="Z26" s="670">
        <v>1</v>
      </c>
      <c r="AA26" s="670">
        <v>11</v>
      </c>
      <c r="AB26" s="670">
        <v>8</v>
      </c>
      <c r="AC26" s="670">
        <v>6</v>
      </c>
      <c r="AD26" s="670">
        <v>4</v>
      </c>
      <c r="AE26" s="670">
        <v>2</v>
      </c>
      <c r="AF26" s="670">
        <v>1</v>
      </c>
      <c r="AG26" s="670">
        <v>2</v>
      </c>
      <c r="AH26" s="670">
        <v>2</v>
      </c>
      <c r="AI26" s="670">
        <v>4</v>
      </c>
      <c r="AJ26" s="670">
        <v>1</v>
      </c>
      <c r="AK26" s="670">
        <v>4</v>
      </c>
      <c r="AL26" s="670">
        <v>1</v>
      </c>
      <c r="AM26" s="670">
        <v>4</v>
      </c>
      <c r="AN26" s="670">
        <v>2</v>
      </c>
      <c r="AO26" s="670">
        <v>14</v>
      </c>
      <c r="AP26" s="681">
        <v>6</v>
      </c>
      <c r="AQ26" s="710"/>
      <c r="AR26" s="710"/>
      <c r="AS26" s="710"/>
      <c r="AT26" s="710"/>
      <c r="AU26" s="710"/>
      <c r="AV26" s="710"/>
      <c r="AW26" s="710"/>
      <c r="AX26" s="710"/>
      <c r="AY26" s="710"/>
      <c r="AZ26" s="710"/>
      <c r="BA26" s="710"/>
      <c r="BB26" s="710"/>
      <c r="BC26" s="710"/>
      <c r="BD26" s="710"/>
      <c r="BE26" s="710"/>
      <c r="BF26" s="710"/>
      <c r="BG26" s="710"/>
      <c r="BH26" s="710"/>
      <c r="BI26" s="710"/>
      <c r="BJ26" s="710"/>
      <c r="BK26" s="710"/>
      <c r="BL26" s="710"/>
      <c r="BM26" s="710"/>
      <c r="BN26" s="710"/>
      <c r="BO26" s="710"/>
      <c r="BP26" s="710"/>
      <c r="BQ26" s="710"/>
      <c r="BR26" s="710"/>
      <c r="BS26" s="710"/>
      <c r="BT26" s="710"/>
      <c r="BU26" s="710"/>
      <c r="BV26" s="710"/>
      <c r="BW26" s="710"/>
      <c r="BX26" s="710"/>
      <c r="BY26" s="710"/>
      <c r="BZ26" s="710"/>
      <c r="CA26" s="710"/>
      <c r="CB26" s="710"/>
      <c r="CC26" s="710"/>
      <c r="CD26" s="710"/>
      <c r="CE26" s="710"/>
      <c r="CF26" s="710"/>
      <c r="CG26" s="710"/>
      <c r="CH26" s="710"/>
      <c r="CI26" s="710"/>
      <c r="CJ26" s="710"/>
      <c r="CK26" s="710"/>
      <c r="CL26" s="710"/>
      <c r="CM26" s="710"/>
      <c r="CN26" s="710"/>
      <c r="CO26" s="710"/>
      <c r="CP26" s="710"/>
      <c r="CQ26" s="710"/>
      <c r="CR26" s="710"/>
      <c r="CS26" s="710"/>
      <c r="CT26" s="710"/>
      <c r="CU26" s="710"/>
      <c r="CV26" s="710"/>
      <c r="CW26" s="710"/>
      <c r="CX26" s="710"/>
      <c r="CY26" s="710"/>
      <c r="CZ26" s="710"/>
      <c r="DA26" s="710"/>
    </row>
    <row r="27" spans="1:105" ht="12.2" customHeight="1">
      <c r="A27" s="700" t="s">
        <v>29</v>
      </c>
      <c r="B27" s="652" t="s">
        <v>30</v>
      </c>
      <c r="C27" s="665">
        <v>598</v>
      </c>
      <c r="D27" s="665">
        <v>294</v>
      </c>
      <c r="E27" s="665">
        <v>406</v>
      </c>
      <c r="F27" s="665">
        <v>205</v>
      </c>
      <c r="G27" s="665">
        <v>21</v>
      </c>
      <c r="H27" s="665">
        <v>12</v>
      </c>
      <c r="I27" s="665">
        <v>109</v>
      </c>
      <c r="J27" s="665">
        <v>51</v>
      </c>
      <c r="K27" s="665">
        <v>7</v>
      </c>
      <c r="L27" s="665">
        <v>5</v>
      </c>
      <c r="M27" s="653">
        <v>5</v>
      </c>
      <c r="N27" s="653">
        <v>3</v>
      </c>
      <c r="O27" s="653">
        <v>5</v>
      </c>
      <c r="P27" s="653">
        <v>3</v>
      </c>
      <c r="Q27" s="653">
        <v>41</v>
      </c>
      <c r="R27" s="666">
        <v>23</v>
      </c>
      <c r="S27" s="667">
        <v>138</v>
      </c>
      <c r="T27" s="653">
        <v>70</v>
      </c>
      <c r="U27" s="653">
        <v>16</v>
      </c>
      <c r="V27" s="653">
        <v>6</v>
      </c>
      <c r="W27" s="653">
        <v>15</v>
      </c>
      <c r="X27" s="653">
        <v>6</v>
      </c>
      <c r="Y27" s="653">
        <v>2</v>
      </c>
      <c r="Z27" s="653">
        <v>1</v>
      </c>
      <c r="AA27" s="665">
        <v>11</v>
      </c>
      <c r="AB27" s="665">
        <v>8</v>
      </c>
      <c r="AC27" s="665">
        <v>6</v>
      </c>
      <c r="AD27" s="665">
        <v>4</v>
      </c>
      <c r="AE27" s="665">
        <v>2</v>
      </c>
      <c r="AF27" s="665">
        <v>1</v>
      </c>
      <c r="AG27" s="665">
        <v>2</v>
      </c>
      <c r="AH27" s="665">
        <v>2</v>
      </c>
      <c r="AI27" s="665">
        <v>4</v>
      </c>
      <c r="AJ27" s="665">
        <v>1</v>
      </c>
      <c r="AK27" s="665">
        <v>4</v>
      </c>
      <c r="AL27" s="665">
        <v>1</v>
      </c>
      <c r="AM27" s="665">
        <v>4</v>
      </c>
      <c r="AN27" s="665">
        <v>2</v>
      </c>
      <c r="AO27" s="653">
        <v>14</v>
      </c>
      <c r="AP27" s="654">
        <v>6</v>
      </c>
    </row>
    <row r="28" spans="1:105" ht="12.2" customHeight="1">
      <c r="A28" s="700" t="s">
        <v>31</v>
      </c>
      <c r="B28" s="652" t="s">
        <v>32</v>
      </c>
      <c r="C28" s="665" t="s">
        <v>28</v>
      </c>
      <c r="D28" s="665" t="s">
        <v>28</v>
      </c>
      <c r="E28" s="665" t="s">
        <v>28</v>
      </c>
      <c r="F28" s="665" t="s">
        <v>28</v>
      </c>
      <c r="G28" s="665" t="s">
        <v>28</v>
      </c>
      <c r="H28" s="665" t="s">
        <v>28</v>
      </c>
      <c r="I28" s="665" t="s">
        <v>28</v>
      </c>
      <c r="J28" s="665" t="s">
        <v>28</v>
      </c>
      <c r="K28" s="665" t="s">
        <v>28</v>
      </c>
      <c r="L28" s="665" t="s">
        <v>28</v>
      </c>
      <c r="M28" s="653" t="s">
        <v>28</v>
      </c>
      <c r="N28" s="653" t="s">
        <v>28</v>
      </c>
      <c r="O28" s="653" t="s">
        <v>28</v>
      </c>
      <c r="P28" s="653" t="s">
        <v>28</v>
      </c>
      <c r="Q28" s="653" t="s">
        <v>28</v>
      </c>
      <c r="R28" s="666" t="s">
        <v>28</v>
      </c>
      <c r="S28" s="667" t="s">
        <v>28</v>
      </c>
      <c r="T28" s="653" t="s">
        <v>28</v>
      </c>
      <c r="U28" s="653" t="s">
        <v>28</v>
      </c>
      <c r="V28" s="653" t="s">
        <v>28</v>
      </c>
      <c r="W28" s="653" t="s">
        <v>28</v>
      </c>
      <c r="X28" s="653" t="s">
        <v>28</v>
      </c>
      <c r="Y28" s="653" t="s">
        <v>28</v>
      </c>
      <c r="Z28" s="653" t="s">
        <v>28</v>
      </c>
      <c r="AA28" s="665" t="s">
        <v>28</v>
      </c>
      <c r="AB28" s="665" t="s">
        <v>28</v>
      </c>
      <c r="AC28" s="665" t="s">
        <v>28</v>
      </c>
      <c r="AD28" s="665" t="s">
        <v>28</v>
      </c>
      <c r="AE28" s="665" t="s">
        <v>28</v>
      </c>
      <c r="AF28" s="665" t="s">
        <v>28</v>
      </c>
      <c r="AG28" s="665" t="s">
        <v>28</v>
      </c>
      <c r="AH28" s="665" t="s">
        <v>28</v>
      </c>
      <c r="AI28" s="665" t="s">
        <v>28</v>
      </c>
      <c r="AJ28" s="665" t="s">
        <v>28</v>
      </c>
      <c r="AK28" s="665" t="s">
        <v>28</v>
      </c>
      <c r="AL28" s="665" t="s">
        <v>28</v>
      </c>
      <c r="AM28" s="665" t="s">
        <v>28</v>
      </c>
      <c r="AN28" s="665" t="s">
        <v>28</v>
      </c>
      <c r="AO28" s="653" t="s">
        <v>28</v>
      </c>
      <c r="AP28" s="654" t="s">
        <v>28</v>
      </c>
    </row>
    <row r="29" spans="1:105" ht="12.2" customHeight="1">
      <c r="A29" s="699" t="s">
        <v>43</v>
      </c>
      <c r="B29" s="669" t="s">
        <v>44</v>
      </c>
      <c r="C29" s="670">
        <v>65</v>
      </c>
      <c r="D29" s="670">
        <v>32</v>
      </c>
      <c r="E29" s="670">
        <v>55</v>
      </c>
      <c r="F29" s="670">
        <v>25</v>
      </c>
      <c r="G29" s="670" t="s">
        <v>28</v>
      </c>
      <c r="H29" s="670" t="s">
        <v>28</v>
      </c>
      <c r="I29" s="670">
        <v>8</v>
      </c>
      <c r="J29" s="670">
        <v>6</v>
      </c>
      <c r="K29" s="670" t="s">
        <v>28</v>
      </c>
      <c r="L29" s="670" t="s">
        <v>28</v>
      </c>
      <c r="M29" s="670" t="s">
        <v>28</v>
      </c>
      <c r="N29" s="670" t="s">
        <v>28</v>
      </c>
      <c r="O29" s="670" t="s">
        <v>28</v>
      </c>
      <c r="P29" s="670" t="s">
        <v>28</v>
      </c>
      <c r="Q29" s="670">
        <v>8</v>
      </c>
      <c r="R29" s="671">
        <v>2</v>
      </c>
      <c r="S29" s="672">
        <v>36</v>
      </c>
      <c r="T29" s="670">
        <v>16</v>
      </c>
      <c r="U29" s="670">
        <v>1</v>
      </c>
      <c r="V29" s="670" t="s">
        <v>28</v>
      </c>
      <c r="W29" s="670">
        <v>1</v>
      </c>
      <c r="X29" s="670">
        <v>1</v>
      </c>
      <c r="Y29" s="670" t="s">
        <v>28</v>
      </c>
      <c r="Z29" s="670" t="s">
        <v>28</v>
      </c>
      <c r="AA29" s="670" t="s">
        <v>28</v>
      </c>
      <c r="AB29" s="670" t="s">
        <v>28</v>
      </c>
      <c r="AC29" s="670" t="s">
        <v>28</v>
      </c>
      <c r="AD29" s="670" t="s">
        <v>28</v>
      </c>
      <c r="AE29" s="670" t="s">
        <v>28</v>
      </c>
      <c r="AF29" s="670" t="s">
        <v>28</v>
      </c>
      <c r="AG29" s="670">
        <v>1</v>
      </c>
      <c r="AH29" s="670" t="s">
        <v>28</v>
      </c>
      <c r="AI29" s="670" t="s">
        <v>28</v>
      </c>
      <c r="AJ29" s="670" t="s">
        <v>28</v>
      </c>
      <c r="AK29" s="670" t="s">
        <v>28</v>
      </c>
      <c r="AL29" s="670" t="s">
        <v>28</v>
      </c>
      <c r="AM29" s="670" t="s">
        <v>28</v>
      </c>
      <c r="AN29" s="670" t="s">
        <v>28</v>
      </c>
      <c r="AO29" s="670" t="s">
        <v>28</v>
      </c>
      <c r="AP29" s="681" t="s">
        <v>28</v>
      </c>
    </row>
    <row r="30" spans="1:105" ht="12.2" customHeight="1">
      <c r="A30" s="700" t="s">
        <v>29</v>
      </c>
      <c r="B30" s="652" t="s">
        <v>30</v>
      </c>
      <c r="C30" s="665">
        <v>59</v>
      </c>
      <c r="D30" s="665">
        <v>30</v>
      </c>
      <c r="E30" s="665">
        <v>49</v>
      </c>
      <c r="F30" s="665">
        <v>23</v>
      </c>
      <c r="G30" s="665" t="s">
        <v>28</v>
      </c>
      <c r="H30" s="665" t="s">
        <v>28</v>
      </c>
      <c r="I30" s="665">
        <v>8</v>
      </c>
      <c r="J30" s="665">
        <v>6</v>
      </c>
      <c r="K30" s="665" t="s">
        <v>28</v>
      </c>
      <c r="L30" s="665" t="s">
        <v>28</v>
      </c>
      <c r="M30" s="653" t="s">
        <v>28</v>
      </c>
      <c r="N30" s="653" t="s">
        <v>28</v>
      </c>
      <c r="O30" s="653" t="s">
        <v>28</v>
      </c>
      <c r="P30" s="653" t="s">
        <v>28</v>
      </c>
      <c r="Q30" s="653">
        <v>8</v>
      </c>
      <c r="R30" s="666">
        <v>2</v>
      </c>
      <c r="S30" s="667">
        <v>30</v>
      </c>
      <c r="T30" s="653">
        <v>14</v>
      </c>
      <c r="U30" s="653">
        <v>1</v>
      </c>
      <c r="V30" s="653" t="s">
        <v>28</v>
      </c>
      <c r="W30" s="653">
        <v>1</v>
      </c>
      <c r="X30" s="653">
        <v>1</v>
      </c>
      <c r="Y30" s="653" t="s">
        <v>28</v>
      </c>
      <c r="Z30" s="653" t="s">
        <v>28</v>
      </c>
      <c r="AA30" s="665" t="s">
        <v>28</v>
      </c>
      <c r="AB30" s="665" t="s">
        <v>28</v>
      </c>
      <c r="AC30" s="665" t="s">
        <v>28</v>
      </c>
      <c r="AD30" s="665" t="s">
        <v>28</v>
      </c>
      <c r="AE30" s="665" t="s">
        <v>28</v>
      </c>
      <c r="AF30" s="665" t="s">
        <v>28</v>
      </c>
      <c r="AG30" s="665">
        <v>1</v>
      </c>
      <c r="AH30" s="665" t="s">
        <v>28</v>
      </c>
      <c r="AI30" s="665" t="s">
        <v>28</v>
      </c>
      <c r="AJ30" s="665" t="s">
        <v>28</v>
      </c>
      <c r="AK30" s="665" t="s">
        <v>28</v>
      </c>
      <c r="AL30" s="665" t="s">
        <v>28</v>
      </c>
      <c r="AM30" s="665" t="s">
        <v>28</v>
      </c>
      <c r="AN30" s="665" t="s">
        <v>28</v>
      </c>
      <c r="AO30" s="653" t="s">
        <v>28</v>
      </c>
      <c r="AP30" s="654" t="s">
        <v>28</v>
      </c>
    </row>
    <row r="31" spans="1:105" ht="12.2" customHeight="1" thickBot="1">
      <c r="A31" s="655" t="s">
        <v>31</v>
      </c>
      <c r="B31" s="656" t="s">
        <v>32</v>
      </c>
      <c r="C31" s="674">
        <v>6</v>
      </c>
      <c r="D31" s="674">
        <v>2</v>
      </c>
      <c r="E31" s="674">
        <v>6</v>
      </c>
      <c r="F31" s="674">
        <v>2</v>
      </c>
      <c r="G31" s="674" t="s">
        <v>28</v>
      </c>
      <c r="H31" s="674" t="s">
        <v>28</v>
      </c>
      <c r="I31" s="674" t="s">
        <v>28</v>
      </c>
      <c r="J31" s="674" t="s">
        <v>28</v>
      </c>
      <c r="K31" s="674" t="s">
        <v>28</v>
      </c>
      <c r="L31" s="674" t="s">
        <v>28</v>
      </c>
      <c r="M31" s="657" t="s">
        <v>28</v>
      </c>
      <c r="N31" s="657" t="s">
        <v>28</v>
      </c>
      <c r="O31" s="657" t="s">
        <v>28</v>
      </c>
      <c r="P31" s="657" t="s">
        <v>28</v>
      </c>
      <c r="Q31" s="657" t="s">
        <v>28</v>
      </c>
      <c r="R31" s="675" t="s">
        <v>28</v>
      </c>
      <c r="S31" s="676">
        <v>6</v>
      </c>
      <c r="T31" s="657">
        <v>2</v>
      </c>
      <c r="U31" s="657" t="s">
        <v>28</v>
      </c>
      <c r="V31" s="657" t="s">
        <v>28</v>
      </c>
      <c r="W31" s="657" t="s">
        <v>28</v>
      </c>
      <c r="X31" s="657" t="s">
        <v>28</v>
      </c>
      <c r="Y31" s="657" t="s">
        <v>28</v>
      </c>
      <c r="Z31" s="657" t="s">
        <v>28</v>
      </c>
      <c r="AA31" s="674" t="s">
        <v>28</v>
      </c>
      <c r="AB31" s="674" t="s">
        <v>28</v>
      </c>
      <c r="AC31" s="674" t="s">
        <v>28</v>
      </c>
      <c r="AD31" s="674" t="s">
        <v>28</v>
      </c>
      <c r="AE31" s="674" t="s">
        <v>28</v>
      </c>
      <c r="AF31" s="674" t="s">
        <v>28</v>
      </c>
      <c r="AG31" s="674" t="s">
        <v>28</v>
      </c>
      <c r="AH31" s="674" t="s">
        <v>28</v>
      </c>
      <c r="AI31" s="674" t="s">
        <v>28</v>
      </c>
      <c r="AJ31" s="674" t="s">
        <v>28</v>
      </c>
      <c r="AK31" s="674" t="s">
        <v>28</v>
      </c>
      <c r="AL31" s="674" t="s">
        <v>28</v>
      </c>
      <c r="AM31" s="674" t="s">
        <v>28</v>
      </c>
      <c r="AN31" s="674" t="s">
        <v>28</v>
      </c>
      <c r="AO31" s="657" t="s">
        <v>28</v>
      </c>
      <c r="AP31" s="658" t="s">
        <v>28</v>
      </c>
    </row>
    <row r="32" spans="1:105" s="701" customFormat="1" ht="10.5" customHeight="1" thickBot="1">
      <c r="A32" s="1245" t="s">
        <v>45</v>
      </c>
      <c r="B32" s="1245"/>
      <c r="C32" s="1245"/>
      <c r="D32" s="1245"/>
      <c r="E32" s="1245"/>
      <c r="F32" s="1245"/>
      <c r="G32" s="1245"/>
      <c r="H32" s="1245"/>
      <c r="I32" s="1245"/>
      <c r="J32" s="1245"/>
      <c r="K32" s="1245"/>
      <c r="L32" s="1245"/>
      <c r="M32" s="1245"/>
      <c r="N32" s="1245"/>
      <c r="O32" s="1245"/>
      <c r="P32" s="1245"/>
      <c r="Q32" s="1245"/>
      <c r="R32" s="1245"/>
      <c r="S32" s="1245" t="s">
        <v>46</v>
      </c>
      <c r="T32" s="1245"/>
      <c r="U32" s="1245"/>
      <c r="V32" s="1245"/>
      <c r="W32" s="1245"/>
      <c r="X32" s="1245"/>
      <c r="Y32" s="1245"/>
      <c r="Z32" s="1245"/>
      <c r="AA32" s="1245"/>
      <c r="AB32" s="1245"/>
      <c r="AC32" s="1245"/>
      <c r="AD32" s="1245"/>
      <c r="AE32" s="1245"/>
      <c r="AF32" s="1245"/>
      <c r="AG32" s="1245"/>
      <c r="AH32" s="1245"/>
      <c r="AI32" s="1245"/>
      <c r="AJ32" s="1245"/>
      <c r="AK32" s="1245"/>
      <c r="AL32" s="1245"/>
      <c r="AM32" s="1245"/>
      <c r="AN32" s="1245"/>
      <c r="AO32" s="1245"/>
      <c r="AP32" s="1245"/>
    </row>
    <row r="33" spans="1:42" ht="11.25" customHeight="1">
      <c r="A33" s="659" t="s">
        <v>47</v>
      </c>
      <c r="B33" s="660" t="s">
        <v>48</v>
      </c>
      <c r="C33" s="661">
        <v>258</v>
      </c>
      <c r="D33" s="661">
        <v>115</v>
      </c>
      <c r="E33" s="661">
        <v>153</v>
      </c>
      <c r="F33" s="661">
        <v>66</v>
      </c>
      <c r="G33" s="661">
        <v>7</v>
      </c>
      <c r="H33" s="661">
        <v>4</v>
      </c>
      <c r="I33" s="661">
        <v>65</v>
      </c>
      <c r="J33" s="661">
        <v>26</v>
      </c>
      <c r="K33" s="661">
        <v>6</v>
      </c>
      <c r="L33" s="661" t="s">
        <v>28</v>
      </c>
      <c r="M33" s="661">
        <v>3</v>
      </c>
      <c r="N33" s="661">
        <v>3</v>
      </c>
      <c r="O33" s="661">
        <v>2</v>
      </c>
      <c r="P33" s="678">
        <v>1</v>
      </c>
      <c r="Q33" s="678">
        <v>12</v>
      </c>
      <c r="R33" s="678">
        <v>7</v>
      </c>
      <c r="S33" s="678">
        <v>40</v>
      </c>
      <c r="T33" s="678">
        <v>14</v>
      </c>
      <c r="U33" s="678" t="s">
        <v>28</v>
      </c>
      <c r="V33" s="678" t="s">
        <v>28</v>
      </c>
      <c r="W33" s="678">
        <v>2</v>
      </c>
      <c r="X33" s="678">
        <v>1</v>
      </c>
      <c r="Y33" s="678">
        <v>1</v>
      </c>
      <c r="Z33" s="678" t="s">
        <v>28</v>
      </c>
      <c r="AA33" s="661">
        <v>2</v>
      </c>
      <c r="AB33" s="661">
        <v>2</v>
      </c>
      <c r="AC33" s="661">
        <v>2</v>
      </c>
      <c r="AD33" s="661">
        <v>1</v>
      </c>
      <c r="AE33" s="661">
        <v>5</v>
      </c>
      <c r="AF33" s="661">
        <v>4</v>
      </c>
      <c r="AG33" s="661" t="s">
        <v>28</v>
      </c>
      <c r="AH33" s="661" t="s">
        <v>28</v>
      </c>
      <c r="AI33" s="661" t="s">
        <v>28</v>
      </c>
      <c r="AJ33" s="661" t="s">
        <v>28</v>
      </c>
      <c r="AK33" s="661">
        <v>3</v>
      </c>
      <c r="AL33" s="661">
        <v>1</v>
      </c>
      <c r="AM33" s="661" t="s">
        <v>28</v>
      </c>
      <c r="AN33" s="661" t="s">
        <v>28</v>
      </c>
      <c r="AO33" s="678">
        <v>3</v>
      </c>
      <c r="AP33" s="664">
        <v>2</v>
      </c>
    </row>
    <row r="34" spans="1:42" ht="11.25" customHeight="1">
      <c r="A34" s="700" t="s">
        <v>29</v>
      </c>
      <c r="B34" s="652" t="s">
        <v>30</v>
      </c>
      <c r="C34" s="665">
        <v>174</v>
      </c>
      <c r="D34" s="665">
        <v>93</v>
      </c>
      <c r="E34" s="665">
        <v>109</v>
      </c>
      <c r="F34" s="665">
        <v>56</v>
      </c>
      <c r="G34" s="665">
        <v>7</v>
      </c>
      <c r="H34" s="665">
        <v>4</v>
      </c>
      <c r="I34" s="665">
        <v>49</v>
      </c>
      <c r="J34" s="665">
        <v>23</v>
      </c>
      <c r="K34" s="665">
        <v>1</v>
      </c>
      <c r="L34" s="665" t="s">
        <v>28</v>
      </c>
      <c r="M34" s="665" t="s">
        <v>28</v>
      </c>
      <c r="N34" s="665" t="s">
        <v>28</v>
      </c>
      <c r="O34" s="665">
        <v>2</v>
      </c>
      <c r="P34" s="653">
        <v>1</v>
      </c>
      <c r="Q34" s="653">
        <v>10</v>
      </c>
      <c r="R34" s="653">
        <v>7</v>
      </c>
      <c r="S34" s="653">
        <v>23</v>
      </c>
      <c r="T34" s="653">
        <v>10</v>
      </c>
      <c r="U34" s="653" t="s">
        <v>28</v>
      </c>
      <c r="V34" s="653" t="s">
        <v>28</v>
      </c>
      <c r="W34" s="653">
        <v>2</v>
      </c>
      <c r="X34" s="653">
        <v>1</v>
      </c>
      <c r="Y34" s="653">
        <v>1</v>
      </c>
      <c r="Z34" s="653" t="s">
        <v>28</v>
      </c>
      <c r="AA34" s="665">
        <v>2</v>
      </c>
      <c r="AB34" s="665">
        <v>2</v>
      </c>
      <c r="AC34" s="665">
        <v>2</v>
      </c>
      <c r="AD34" s="665">
        <v>1</v>
      </c>
      <c r="AE34" s="665">
        <v>4</v>
      </c>
      <c r="AF34" s="665">
        <v>4</v>
      </c>
      <c r="AG34" s="665" t="s">
        <v>28</v>
      </c>
      <c r="AH34" s="665" t="s">
        <v>28</v>
      </c>
      <c r="AI34" s="665" t="s">
        <v>28</v>
      </c>
      <c r="AJ34" s="665" t="s">
        <v>28</v>
      </c>
      <c r="AK34" s="665">
        <v>3</v>
      </c>
      <c r="AL34" s="665">
        <v>1</v>
      </c>
      <c r="AM34" s="665" t="s">
        <v>28</v>
      </c>
      <c r="AN34" s="665" t="s">
        <v>28</v>
      </c>
      <c r="AO34" s="653">
        <v>3</v>
      </c>
      <c r="AP34" s="668">
        <v>2</v>
      </c>
    </row>
    <row r="35" spans="1:42" ht="11.25" customHeight="1">
      <c r="A35" s="700" t="s">
        <v>31</v>
      </c>
      <c r="B35" s="652" t="s">
        <v>32</v>
      </c>
      <c r="C35" s="665">
        <v>84</v>
      </c>
      <c r="D35" s="665">
        <v>22</v>
      </c>
      <c r="E35" s="665">
        <v>44</v>
      </c>
      <c r="F35" s="665">
        <v>10</v>
      </c>
      <c r="G35" s="665" t="s">
        <v>28</v>
      </c>
      <c r="H35" s="665" t="s">
        <v>28</v>
      </c>
      <c r="I35" s="665">
        <v>16</v>
      </c>
      <c r="J35" s="665">
        <v>3</v>
      </c>
      <c r="K35" s="665">
        <v>5</v>
      </c>
      <c r="L35" s="665" t="s">
        <v>28</v>
      </c>
      <c r="M35" s="665">
        <v>3</v>
      </c>
      <c r="N35" s="665">
        <v>3</v>
      </c>
      <c r="O35" s="665" t="s">
        <v>28</v>
      </c>
      <c r="P35" s="653" t="s">
        <v>28</v>
      </c>
      <c r="Q35" s="653">
        <v>2</v>
      </c>
      <c r="R35" s="653" t="s">
        <v>28</v>
      </c>
      <c r="S35" s="653">
        <v>17</v>
      </c>
      <c r="T35" s="653">
        <v>4</v>
      </c>
      <c r="U35" s="653" t="s">
        <v>28</v>
      </c>
      <c r="V35" s="653" t="s">
        <v>28</v>
      </c>
      <c r="W35" s="653" t="s">
        <v>28</v>
      </c>
      <c r="X35" s="653" t="s">
        <v>28</v>
      </c>
      <c r="Y35" s="653" t="s">
        <v>28</v>
      </c>
      <c r="Z35" s="653" t="s">
        <v>28</v>
      </c>
      <c r="AA35" s="665" t="s">
        <v>28</v>
      </c>
      <c r="AB35" s="665" t="s">
        <v>28</v>
      </c>
      <c r="AC35" s="665" t="s">
        <v>28</v>
      </c>
      <c r="AD35" s="665" t="s">
        <v>28</v>
      </c>
      <c r="AE35" s="665">
        <v>1</v>
      </c>
      <c r="AF35" s="665" t="s">
        <v>28</v>
      </c>
      <c r="AG35" s="665" t="s">
        <v>28</v>
      </c>
      <c r="AH35" s="665" t="s">
        <v>28</v>
      </c>
      <c r="AI35" s="665" t="s">
        <v>28</v>
      </c>
      <c r="AJ35" s="665" t="s">
        <v>28</v>
      </c>
      <c r="AK35" s="665" t="s">
        <v>28</v>
      </c>
      <c r="AL35" s="665" t="s">
        <v>28</v>
      </c>
      <c r="AM35" s="665" t="s">
        <v>28</v>
      </c>
      <c r="AN35" s="665" t="s">
        <v>28</v>
      </c>
      <c r="AO35" s="653" t="s">
        <v>28</v>
      </c>
      <c r="AP35" s="668" t="s">
        <v>28</v>
      </c>
    </row>
    <row r="36" spans="1:42" ht="11.25" customHeight="1">
      <c r="A36" s="699" t="s">
        <v>49</v>
      </c>
      <c r="B36" s="669" t="s">
        <v>50</v>
      </c>
      <c r="C36" s="670">
        <v>60</v>
      </c>
      <c r="D36" s="670">
        <v>14</v>
      </c>
      <c r="E36" s="670">
        <v>42</v>
      </c>
      <c r="F36" s="670">
        <v>12</v>
      </c>
      <c r="G36" s="670" t="s">
        <v>28</v>
      </c>
      <c r="H36" s="670" t="s">
        <v>28</v>
      </c>
      <c r="I36" s="670">
        <v>16</v>
      </c>
      <c r="J36" s="670">
        <v>2</v>
      </c>
      <c r="K36" s="670" t="s">
        <v>28</v>
      </c>
      <c r="L36" s="670" t="s">
        <v>28</v>
      </c>
      <c r="M36" s="670" t="s">
        <v>28</v>
      </c>
      <c r="N36" s="670" t="s">
        <v>28</v>
      </c>
      <c r="O36" s="670" t="s">
        <v>28</v>
      </c>
      <c r="P36" s="679" t="s">
        <v>28</v>
      </c>
      <c r="Q36" s="679">
        <v>1</v>
      </c>
      <c r="R36" s="679" t="s">
        <v>28</v>
      </c>
      <c r="S36" s="679">
        <v>16</v>
      </c>
      <c r="T36" s="679">
        <v>6</v>
      </c>
      <c r="U36" s="679">
        <v>1</v>
      </c>
      <c r="V36" s="679">
        <v>1</v>
      </c>
      <c r="W36" s="679">
        <v>2</v>
      </c>
      <c r="X36" s="679" t="s">
        <v>28</v>
      </c>
      <c r="Y36" s="679" t="s">
        <v>28</v>
      </c>
      <c r="Z36" s="679" t="s">
        <v>28</v>
      </c>
      <c r="AA36" s="670" t="s">
        <v>28</v>
      </c>
      <c r="AB36" s="670" t="s">
        <v>28</v>
      </c>
      <c r="AC36" s="670">
        <v>1</v>
      </c>
      <c r="AD36" s="670">
        <v>1</v>
      </c>
      <c r="AE36" s="670" t="s">
        <v>28</v>
      </c>
      <c r="AF36" s="670" t="s">
        <v>28</v>
      </c>
      <c r="AG36" s="670" t="s">
        <v>28</v>
      </c>
      <c r="AH36" s="670" t="s">
        <v>28</v>
      </c>
      <c r="AI36" s="670" t="s">
        <v>28</v>
      </c>
      <c r="AJ36" s="670" t="s">
        <v>28</v>
      </c>
      <c r="AK36" s="670" t="s">
        <v>28</v>
      </c>
      <c r="AL36" s="670" t="s">
        <v>28</v>
      </c>
      <c r="AM36" s="670">
        <v>1</v>
      </c>
      <c r="AN36" s="670" t="s">
        <v>28</v>
      </c>
      <c r="AO36" s="679">
        <v>4</v>
      </c>
      <c r="AP36" s="673">
        <v>2</v>
      </c>
    </row>
    <row r="37" spans="1:42" ht="11.25" customHeight="1">
      <c r="A37" s="700" t="s">
        <v>29</v>
      </c>
      <c r="B37" s="652" t="s">
        <v>30</v>
      </c>
      <c r="C37" s="665">
        <v>21</v>
      </c>
      <c r="D37" s="665">
        <v>14</v>
      </c>
      <c r="E37" s="665">
        <v>19</v>
      </c>
      <c r="F37" s="665">
        <v>12</v>
      </c>
      <c r="G37" s="665" t="s">
        <v>28</v>
      </c>
      <c r="H37" s="665" t="s">
        <v>28</v>
      </c>
      <c r="I37" s="665">
        <v>5</v>
      </c>
      <c r="J37" s="665">
        <v>2</v>
      </c>
      <c r="K37" s="665" t="s">
        <v>28</v>
      </c>
      <c r="L37" s="665" t="s">
        <v>28</v>
      </c>
      <c r="M37" s="665" t="s">
        <v>28</v>
      </c>
      <c r="N37" s="665" t="s">
        <v>28</v>
      </c>
      <c r="O37" s="665" t="s">
        <v>28</v>
      </c>
      <c r="P37" s="653" t="s">
        <v>28</v>
      </c>
      <c r="Q37" s="653" t="s">
        <v>28</v>
      </c>
      <c r="R37" s="653" t="s">
        <v>28</v>
      </c>
      <c r="S37" s="653">
        <v>9</v>
      </c>
      <c r="T37" s="653">
        <v>6</v>
      </c>
      <c r="U37" s="653">
        <v>1</v>
      </c>
      <c r="V37" s="653">
        <v>1</v>
      </c>
      <c r="W37" s="653">
        <v>1</v>
      </c>
      <c r="X37" s="653" t="s">
        <v>28</v>
      </c>
      <c r="Y37" s="653" t="s">
        <v>28</v>
      </c>
      <c r="Z37" s="653" t="s">
        <v>28</v>
      </c>
      <c r="AA37" s="665" t="s">
        <v>28</v>
      </c>
      <c r="AB37" s="665" t="s">
        <v>28</v>
      </c>
      <c r="AC37" s="665">
        <v>1</v>
      </c>
      <c r="AD37" s="665">
        <v>1</v>
      </c>
      <c r="AE37" s="665" t="s">
        <v>28</v>
      </c>
      <c r="AF37" s="665" t="s">
        <v>28</v>
      </c>
      <c r="AG37" s="665" t="s">
        <v>28</v>
      </c>
      <c r="AH37" s="665" t="s">
        <v>28</v>
      </c>
      <c r="AI37" s="665" t="s">
        <v>28</v>
      </c>
      <c r="AJ37" s="665" t="s">
        <v>28</v>
      </c>
      <c r="AK37" s="665" t="s">
        <v>28</v>
      </c>
      <c r="AL37" s="665" t="s">
        <v>28</v>
      </c>
      <c r="AM37" s="665" t="s">
        <v>28</v>
      </c>
      <c r="AN37" s="665" t="s">
        <v>28</v>
      </c>
      <c r="AO37" s="653">
        <v>2</v>
      </c>
      <c r="AP37" s="668">
        <v>2</v>
      </c>
    </row>
    <row r="38" spans="1:42" ht="11.25" customHeight="1">
      <c r="A38" s="700" t="s">
        <v>31</v>
      </c>
      <c r="B38" s="652" t="s">
        <v>32</v>
      </c>
      <c r="C38" s="665">
        <v>39</v>
      </c>
      <c r="D38" s="665" t="s">
        <v>28</v>
      </c>
      <c r="E38" s="665">
        <v>23</v>
      </c>
      <c r="F38" s="665" t="s">
        <v>28</v>
      </c>
      <c r="G38" s="665" t="s">
        <v>28</v>
      </c>
      <c r="H38" s="665" t="s">
        <v>28</v>
      </c>
      <c r="I38" s="665">
        <v>11</v>
      </c>
      <c r="J38" s="665" t="s">
        <v>28</v>
      </c>
      <c r="K38" s="665" t="s">
        <v>28</v>
      </c>
      <c r="L38" s="665" t="s">
        <v>28</v>
      </c>
      <c r="M38" s="665" t="s">
        <v>28</v>
      </c>
      <c r="N38" s="665" t="s">
        <v>28</v>
      </c>
      <c r="O38" s="665" t="s">
        <v>28</v>
      </c>
      <c r="P38" s="653" t="s">
        <v>28</v>
      </c>
      <c r="Q38" s="653">
        <v>1</v>
      </c>
      <c r="R38" s="653" t="s">
        <v>28</v>
      </c>
      <c r="S38" s="653">
        <v>7</v>
      </c>
      <c r="T38" s="653" t="s">
        <v>28</v>
      </c>
      <c r="U38" s="653" t="s">
        <v>28</v>
      </c>
      <c r="V38" s="653" t="s">
        <v>28</v>
      </c>
      <c r="W38" s="653">
        <v>1</v>
      </c>
      <c r="X38" s="653" t="s">
        <v>28</v>
      </c>
      <c r="Y38" s="653" t="s">
        <v>28</v>
      </c>
      <c r="Z38" s="653" t="s">
        <v>28</v>
      </c>
      <c r="AA38" s="665" t="s">
        <v>28</v>
      </c>
      <c r="AB38" s="665" t="s">
        <v>28</v>
      </c>
      <c r="AC38" s="665" t="s">
        <v>28</v>
      </c>
      <c r="AD38" s="665" t="s">
        <v>28</v>
      </c>
      <c r="AE38" s="665" t="s">
        <v>28</v>
      </c>
      <c r="AF38" s="665" t="s">
        <v>28</v>
      </c>
      <c r="AG38" s="665" t="s">
        <v>28</v>
      </c>
      <c r="AH38" s="665" t="s">
        <v>28</v>
      </c>
      <c r="AI38" s="665" t="s">
        <v>28</v>
      </c>
      <c r="AJ38" s="665" t="s">
        <v>28</v>
      </c>
      <c r="AK38" s="665" t="s">
        <v>28</v>
      </c>
      <c r="AL38" s="665" t="s">
        <v>28</v>
      </c>
      <c r="AM38" s="665">
        <v>1</v>
      </c>
      <c r="AN38" s="665" t="s">
        <v>28</v>
      </c>
      <c r="AO38" s="653">
        <v>2</v>
      </c>
      <c r="AP38" s="668" t="s">
        <v>28</v>
      </c>
    </row>
    <row r="39" spans="1:42" ht="11.25" customHeight="1">
      <c r="A39" s="699" t="s">
        <v>963</v>
      </c>
      <c r="B39" s="669" t="s">
        <v>964</v>
      </c>
      <c r="C39" s="670">
        <v>386</v>
      </c>
      <c r="D39" s="670">
        <v>222</v>
      </c>
      <c r="E39" s="670">
        <v>255</v>
      </c>
      <c r="F39" s="670">
        <v>143</v>
      </c>
      <c r="G39" s="670">
        <v>7</v>
      </c>
      <c r="H39" s="670">
        <v>3</v>
      </c>
      <c r="I39" s="670">
        <v>97</v>
      </c>
      <c r="J39" s="670">
        <v>48</v>
      </c>
      <c r="K39" s="670">
        <v>2</v>
      </c>
      <c r="L39" s="670">
        <v>1</v>
      </c>
      <c r="M39" s="670">
        <v>4</v>
      </c>
      <c r="N39" s="670">
        <v>2</v>
      </c>
      <c r="O39" s="670">
        <v>5</v>
      </c>
      <c r="P39" s="679">
        <v>1</v>
      </c>
      <c r="Q39" s="679">
        <v>20</v>
      </c>
      <c r="R39" s="679">
        <v>16</v>
      </c>
      <c r="S39" s="679">
        <v>89</v>
      </c>
      <c r="T39" s="679">
        <v>54</v>
      </c>
      <c r="U39" s="679">
        <v>1</v>
      </c>
      <c r="V39" s="679">
        <v>1</v>
      </c>
      <c r="W39" s="679">
        <v>9</v>
      </c>
      <c r="X39" s="679">
        <v>6</v>
      </c>
      <c r="Y39" s="679">
        <v>2</v>
      </c>
      <c r="Z39" s="679" t="s">
        <v>28</v>
      </c>
      <c r="AA39" s="670">
        <v>9</v>
      </c>
      <c r="AB39" s="670">
        <v>6</v>
      </c>
      <c r="AC39" s="670" t="s">
        <v>28</v>
      </c>
      <c r="AD39" s="670" t="s">
        <v>28</v>
      </c>
      <c r="AE39" s="670">
        <v>1</v>
      </c>
      <c r="AF39" s="670" t="s">
        <v>28</v>
      </c>
      <c r="AG39" s="670">
        <v>1</v>
      </c>
      <c r="AH39" s="670">
        <v>1</v>
      </c>
      <c r="AI39" s="670" t="s">
        <v>28</v>
      </c>
      <c r="AJ39" s="670" t="s">
        <v>28</v>
      </c>
      <c r="AK39" s="670" t="s">
        <v>28</v>
      </c>
      <c r="AL39" s="670" t="s">
        <v>28</v>
      </c>
      <c r="AM39" s="670" t="s">
        <v>28</v>
      </c>
      <c r="AN39" s="670" t="s">
        <v>28</v>
      </c>
      <c r="AO39" s="679">
        <v>8</v>
      </c>
      <c r="AP39" s="673">
        <v>4</v>
      </c>
    </row>
    <row r="40" spans="1:42" ht="11.25" customHeight="1">
      <c r="A40" s="700" t="s">
        <v>29</v>
      </c>
      <c r="B40" s="652" t="s">
        <v>30</v>
      </c>
      <c r="C40" s="665">
        <v>367</v>
      </c>
      <c r="D40" s="665">
        <v>222</v>
      </c>
      <c r="E40" s="665">
        <v>246</v>
      </c>
      <c r="F40" s="665">
        <v>143</v>
      </c>
      <c r="G40" s="665">
        <v>7</v>
      </c>
      <c r="H40" s="665">
        <v>3</v>
      </c>
      <c r="I40" s="665">
        <v>94</v>
      </c>
      <c r="J40" s="665">
        <v>48</v>
      </c>
      <c r="K40" s="665">
        <v>2</v>
      </c>
      <c r="L40" s="665">
        <v>1</v>
      </c>
      <c r="M40" s="665">
        <v>4</v>
      </c>
      <c r="N40" s="665">
        <v>2</v>
      </c>
      <c r="O40" s="665">
        <v>5</v>
      </c>
      <c r="P40" s="653">
        <v>1</v>
      </c>
      <c r="Q40" s="653">
        <v>20</v>
      </c>
      <c r="R40" s="653">
        <v>16</v>
      </c>
      <c r="S40" s="653">
        <v>83</v>
      </c>
      <c r="T40" s="653">
        <v>54</v>
      </c>
      <c r="U40" s="653">
        <v>1</v>
      </c>
      <c r="V40" s="653">
        <v>1</v>
      </c>
      <c r="W40" s="653">
        <v>9</v>
      </c>
      <c r="X40" s="653">
        <v>6</v>
      </c>
      <c r="Y40" s="653">
        <v>2</v>
      </c>
      <c r="Z40" s="653" t="s">
        <v>28</v>
      </c>
      <c r="AA40" s="665">
        <v>9</v>
      </c>
      <c r="AB40" s="665">
        <v>6</v>
      </c>
      <c r="AC40" s="665" t="s">
        <v>28</v>
      </c>
      <c r="AD40" s="665" t="s">
        <v>28</v>
      </c>
      <c r="AE40" s="665">
        <v>1</v>
      </c>
      <c r="AF40" s="665" t="s">
        <v>28</v>
      </c>
      <c r="AG40" s="665">
        <v>1</v>
      </c>
      <c r="AH40" s="665">
        <v>1</v>
      </c>
      <c r="AI40" s="665" t="s">
        <v>28</v>
      </c>
      <c r="AJ40" s="665" t="s">
        <v>28</v>
      </c>
      <c r="AK40" s="665" t="s">
        <v>28</v>
      </c>
      <c r="AL40" s="665" t="s">
        <v>28</v>
      </c>
      <c r="AM40" s="665" t="s">
        <v>28</v>
      </c>
      <c r="AN40" s="665" t="s">
        <v>28</v>
      </c>
      <c r="AO40" s="653">
        <v>8</v>
      </c>
      <c r="AP40" s="668">
        <v>4</v>
      </c>
    </row>
    <row r="41" spans="1:42" ht="11.25" customHeight="1">
      <c r="A41" s="700" t="s">
        <v>31</v>
      </c>
      <c r="B41" s="652" t="s">
        <v>32</v>
      </c>
      <c r="C41" s="665">
        <v>19</v>
      </c>
      <c r="D41" s="665" t="s">
        <v>28</v>
      </c>
      <c r="E41" s="665">
        <v>9</v>
      </c>
      <c r="F41" s="665" t="s">
        <v>28</v>
      </c>
      <c r="G41" s="665" t="s">
        <v>28</v>
      </c>
      <c r="H41" s="665" t="s">
        <v>28</v>
      </c>
      <c r="I41" s="665">
        <v>3</v>
      </c>
      <c r="J41" s="665" t="s">
        <v>28</v>
      </c>
      <c r="K41" s="665" t="s">
        <v>28</v>
      </c>
      <c r="L41" s="665" t="s">
        <v>28</v>
      </c>
      <c r="M41" s="665" t="s">
        <v>28</v>
      </c>
      <c r="N41" s="665" t="s">
        <v>28</v>
      </c>
      <c r="O41" s="665" t="s">
        <v>28</v>
      </c>
      <c r="P41" s="653" t="s">
        <v>28</v>
      </c>
      <c r="Q41" s="653" t="s">
        <v>28</v>
      </c>
      <c r="R41" s="653" t="s">
        <v>28</v>
      </c>
      <c r="S41" s="653">
        <v>6</v>
      </c>
      <c r="T41" s="653" t="s">
        <v>28</v>
      </c>
      <c r="U41" s="653" t="s">
        <v>28</v>
      </c>
      <c r="V41" s="653" t="s">
        <v>28</v>
      </c>
      <c r="W41" s="653" t="s">
        <v>28</v>
      </c>
      <c r="X41" s="653" t="s">
        <v>28</v>
      </c>
      <c r="Y41" s="653" t="s">
        <v>28</v>
      </c>
      <c r="Z41" s="653" t="s">
        <v>28</v>
      </c>
      <c r="AA41" s="665" t="s">
        <v>28</v>
      </c>
      <c r="AB41" s="665" t="s">
        <v>28</v>
      </c>
      <c r="AC41" s="665" t="s">
        <v>28</v>
      </c>
      <c r="AD41" s="665" t="s">
        <v>28</v>
      </c>
      <c r="AE41" s="665" t="s">
        <v>28</v>
      </c>
      <c r="AF41" s="665" t="s">
        <v>28</v>
      </c>
      <c r="AG41" s="665" t="s">
        <v>28</v>
      </c>
      <c r="AH41" s="665" t="s">
        <v>28</v>
      </c>
      <c r="AI41" s="665" t="s">
        <v>28</v>
      </c>
      <c r="AJ41" s="665" t="s">
        <v>28</v>
      </c>
      <c r="AK41" s="665" t="s">
        <v>28</v>
      </c>
      <c r="AL41" s="665" t="s">
        <v>28</v>
      </c>
      <c r="AM41" s="665" t="s">
        <v>28</v>
      </c>
      <c r="AN41" s="665" t="s">
        <v>28</v>
      </c>
      <c r="AO41" s="653" t="s">
        <v>28</v>
      </c>
      <c r="AP41" s="668" t="s">
        <v>28</v>
      </c>
    </row>
    <row r="42" spans="1:42" ht="11.25" customHeight="1">
      <c r="A42" s="699" t="s">
        <v>51</v>
      </c>
      <c r="B42" s="669" t="s">
        <v>52</v>
      </c>
      <c r="C42" s="670">
        <v>715</v>
      </c>
      <c r="D42" s="670">
        <v>362</v>
      </c>
      <c r="E42" s="670">
        <v>142</v>
      </c>
      <c r="F42" s="670">
        <v>77</v>
      </c>
      <c r="G42" s="670">
        <v>9</v>
      </c>
      <c r="H42" s="670">
        <v>4</v>
      </c>
      <c r="I42" s="670">
        <v>23</v>
      </c>
      <c r="J42" s="670">
        <v>9</v>
      </c>
      <c r="K42" s="670">
        <v>10</v>
      </c>
      <c r="L42" s="670">
        <v>6</v>
      </c>
      <c r="M42" s="670">
        <v>2</v>
      </c>
      <c r="N42" s="670">
        <v>2</v>
      </c>
      <c r="O42" s="670">
        <v>4</v>
      </c>
      <c r="P42" s="679">
        <v>3</v>
      </c>
      <c r="Q42" s="679">
        <v>17</v>
      </c>
      <c r="R42" s="679">
        <v>9</v>
      </c>
      <c r="S42" s="679">
        <v>24</v>
      </c>
      <c r="T42" s="679">
        <v>15</v>
      </c>
      <c r="U42" s="679" t="s">
        <v>28</v>
      </c>
      <c r="V42" s="679" t="s">
        <v>28</v>
      </c>
      <c r="W42" s="679">
        <v>3</v>
      </c>
      <c r="X42" s="679">
        <v>2</v>
      </c>
      <c r="Y42" s="679" t="s">
        <v>28</v>
      </c>
      <c r="Z42" s="679" t="s">
        <v>28</v>
      </c>
      <c r="AA42" s="670">
        <v>12</v>
      </c>
      <c r="AB42" s="670">
        <v>5</v>
      </c>
      <c r="AC42" s="670">
        <v>5</v>
      </c>
      <c r="AD42" s="670">
        <v>2</v>
      </c>
      <c r="AE42" s="670">
        <v>5</v>
      </c>
      <c r="AF42" s="670">
        <v>2</v>
      </c>
      <c r="AG42" s="670">
        <v>3</v>
      </c>
      <c r="AH42" s="670">
        <v>2</v>
      </c>
      <c r="AI42" s="670">
        <v>2</v>
      </c>
      <c r="AJ42" s="670">
        <v>1</v>
      </c>
      <c r="AK42" s="670">
        <v>11</v>
      </c>
      <c r="AL42" s="670">
        <v>7</v>
      </c>
      <c r="AM42" s="670">
        <v>2</v>
      </c>
      <c r="AN42" s="670">
        <v>1</v>
      </c>
      <c r="AO42" s="679">
        <v>10</v>
      </c>
      <c r="AP42" s="673">
        <v>7</v>
      </c>
    </row>
    <row r="43" spans="1:42" ht="11.25" customHeight="1">
      <c r="A43" s="700" t="s">
        <v>29</v>
      </c>
      <c r="B43" s="652" t="s">
        <v>30</v>
      </c>
      <c r="C43" s="665">
        <v>702</v>
      </c>
      <c r="D43" s="665">
        <v>353</v>
      </c>
      <c r="E43" s="665">
        <v>135</v>
      </c>
      <c r="F43" s="665">
        <v>72</v>
      </c>
      <c r="G43" s="665">
        <v>9</v>
      </c>
      <c r="H43" s="665">
        <v>4</v>
      </c>
      <c r="I43" s="665">
        <v>20</v>
      </c>
      <c r="J43" s="665">
        <v>7</v>
      </c>
      <c r="K43" s="665">
        <v>10</v>
      </c>
      <c r="L43" s="665">
        <v>6</v>
      </c>
      <c r="M43" s="665">
        <v>1</v>
      </c>
      <c r="N43" s="665">
        <v>1</v>
      </c>
      <c r="O43" s="665">
        <v>4</v>
      </c>
      <c r="P43" s="653">
        <v>3</v>
      </c>
      <c r="Q43" s="653">
        <v>17</v>
      </c>
      <c r="R43" s="653">
        <v>9</v>
      </c>
      <c r="S43" s="653">
        <v>23</v>
      </c>
      <c r="T43" s="653">
        <v>15</v>
      </c>
      <c r="U43" s="653" t="s">
        <v>28</v>
      </c>
      <c r="V43" s="653" t="s">
        <v>28</v>
      </c>
      <c r="W43" s="653">
        <v>3</v>
      </c>
      <c r="X43" s="653">
        <v>2</v>
      </c>
      <c r="Y43" s="653" t="s">
        <v>28</v>
      </c>
      <c r="Z43" s="653" t="s">
        <v>28</v>
      </c>
      <c r="AA43" s="665">
        <v>12</v>
      </c>
      <c r="AB43" s="665">
        <v>5</v>
      </c>
      <c r="AC43" s="665">
        <v>5</v>
      </c>
      <c r="AD43" s="665">
        <v>2</v>
      </c>
      <c r="AE43" s="665">
        <v>5</v>
      </c>
      <c r="AF43" s="665">
        <v>2</v>
      </c>
      <c r="AG43" s="665">
        <v>3</v>
      </c>
      <c r="AH43" s="665">
        <v>2</v>
      </c>
      <c r="AI43" s="665">
        <v>2</v>
      </c>
      <c r="AJ43" s="665">
        <v>1</v>
      </c>
      <c r="AK43" s="665">
        <v>10</v>
      </c>
      <c r="AL43" s="665">
        <v>6</v>
      </c>
      <c r="AM43" s="665">
        <v>2</v>
      </c>
      <c r="AN43" s="665">
        <v>1</v>
      </c>
      <c r="AO43" s="653">
        <v>9</v>
      </c>
      <c r="AP43" s="668">
        <v>6</v>
      </c>
    </row>
    <row r="44" spans="1:42" ht="11.25" customHeight="1">
      <c r="A44" s="700" t="s">
        <v>31</v>
      </c>
      <c r="B44" s="652" t="s">
        <v>32</v>
      </c>
      <c r="C44" s="665">
        <v>13</v>
      </c>
      <c r="D44" s="665">
        <v>9</v>
      </c>
      <c r="E44" s="665">
        <v>7</v>
      </c>
      <c r="F44" s="665">
        <v>5</v>
      </c>
      <c r="G44" s="665" t="s">
        <v>28</v>
      </c>
      <c r="H44" s="665" t="s">
        <v>28</v>
      </c>
      <c r="I44" s="665">
        <v>3</v>
      </c>
      <c r="J44" s="665">
        <v>2</v>
      </c>
      <c r="K44" s="665" t="s">
        <v>28</v>
      </c>
      <c r="L44" s="665" t="s">
        <v>28</v>
      </c>
      <c r="M44" s="665">
        <v>1</v>
      </c>
      <c r="N44" s="665">
        <v>1</v>
      </c>
      <c r="O44" s="665" t="s">
        <v>28</v>
      </c>
      <c r="P44" s="653" t="s">
        <v>28</v>
      </c>
      <c r="Q44" s="653" t="s">
        <v>28</v>
      </c>
      <c r="R44" s="653" t="s">
        <v>28</v>
      </c>
      <c r="S44" s="653">
        <v>1</v>
      </c>
      <c r="T44" s="653" t="s">
        <v>28</v>
      </c>
      <c r="U44" s="653" t="s">
        <v>28</v>
      </c>
      <c r="V44" s="653" t="s">
        <v>28</v>
      </c>
      <c r="W44" s="653" t="s">
        <v>28</v>
      </c>
      <c r="X44" s="653" t="s">
        <v>28</v>
      </c>
      <c r="Y44" s="653" t="s">
        <v>28</v>
      </c>
      <c r="Z44" s="653" t="s">
        <v>28</v>
      </c>
      <c r="AA44" s="665" t="s">
        <v>28</v>
      </c>
      <c r="AB44" s="665" t="s">
        <v>28</v>
      </c>
      <c r="AC44" s="665" t="s">
        <v>28</v>
      </c>
      <c r="AD44" s="665" t="s">
        <v>28</v>
      </c>
      <c r="AE44" s="665" t="s">
        <v>28</v>
      </c>
      <c r="AF44" s="665" t="s">
        <v>28</v>
      </c>
      <c r="AG44" s="665" t="s">
        <v>28</v>
      </c>
      <c r="AH44" s="665" t="s">
        <v>28</v>
      </c>
      <c r="AI44" s="665" t="s">
        <v>28</v>
      </c>
      <c r="AJ44" s="665" t="s">
        <v>28</v>
      </c>
      <c r="AK44" s="665">
        <v>1</v>
      </c>
      <c r="AL44" s="665">
        <v>1</v>
      </c>
      <c r="AM44" s="665" t="s">
        <v>28</v>
      </c>
      <c r="AN44" s="665" t="s">
        <v>28</v>
      </c>
      <c r="AO44" s="653">
        <v>1</v>
      </c>
      <c r="AP44" s="668">
        <v>1</v>
      </c>
    </row>
    <row r="45" spans="1:42" ht="11.25" customHeight="1">
      <c r="A45" s="699" t="s">
        <v>53</v>
      </c>
      <c r="B45" s="669" t="s">
        <v>54</v>
      </c>
      <c r="C45" s="670">
        <v>502</v>
      </c>
      <c r="D45" s="670">
        <v>236</v>
      </c>
      <c r="E45" s="670">
        <v>304</v>
      </c>
      <c r="F45" s="670">
        <v>151</v>
      </c>
      <c r="G45" s="670">
        <v>12</v>
      </c>
      <c r="H45" s="670">
        <v>4</v>
      </c>
      <c r="I45" s="670">
        <v>116</v>
      </c>
      <c r="J45" s="670">
        <v>57</v>
      </c>
      <c r="K45" s="670">
        <v>4</v>
      </c>
      <c r="L45" s="670">
        <v>2</v>
      </c>
      <c r="M45" s="670">
        <v>1</v>
      </c>
      <c r="N45" s="670" t="s">
        <v>28</v>
      </c>
      <c r="O45" s="670">
        <v>5</v>
      </c>
      <c r="P45" s="679">
        <v>5</v>
      </c>
      <c r="Q45" s="679">
        <v>25</v>
      </c>
      <c r="R45" s="679">
        <v>13</v>
      </c>
      <c r="S45" s="679">
        <v>93</v>
      </c>
      <c r="T45" s="679">
        <v>45</v>
      </c>
      <c r="U45" s="679">
        <v>11</v>
      </c>
      <c r="V45" s="679">
        <v>7</v>
      </c>
      <c r="W45" s="679">
        <v>10</v>
      </c>
      <c r="X45" s="679">
        <v>5</v>
      </c>
      <c r="Y45" s="679" t="s">
        <v>28</v>
      </c>
      <c r="Z45" s="679" t="s">
        <v>28</v>
      </c>
      <c r="AA45" s="670">
        <v>8</v>
      </c>
      <c r="AB45" s="670">
        <v>4</v>
      </c>
      <c r="AC45" s="670">
        <v>3</v>
      </c>
      <c r="AD45" s="670">
        <v>1</v>
      </c>
      <c r="AE45" s="670">
        <v>8</v>
      </c>
      <c r="AF45" s="670">
        <v>5</v>
      </c>
      <c r="AG45" s="670">
        <v>2</v>
      </c>
      <c r="AH45" s="670" t="s">
        <v>28</v>
      </c>
      <c r="AI45" s="670" t="s">
        <v>28</v>
      </c>
      <c r="AJ45" s="670" t="s">
        <v>28</v>
      </c>
      <c r="AK45" s="670">
        <v>2</v>
      </c>
      <c r="AL45" s="670" t="s">
        <v>28</v>
      </c>
      <c r="AM45" s="670" t="s">
        <v>28</v>
      </c>
      <c r="AN45" s="670" t="s">
        <v>28</v>
      </c>
      <c r="AO45" s="679">
        <v>4</v>
      </c>
      <c r="AP45" s="673">
        <v>3</v>
      </c>
    </row>
    <row r="46" spans="1:42" ht="11.25" customHeight="1">
      <c r="A46" s="700" t="s">
        <v>29</v>
      </c>
      <c r="B46" s="652" t="s">
        <v>30</v>
      </c>
      <c r="C46" s="665">
        <v>494</v>
      </c>
      <c r="D46" s="665">
        <v>228</v>
      </c>
      <c r="E46" s="665">
        <v>299</v>
      </c>
      <c r="F46" s="665">
        <v>146</v>
      </c>
      <c r="G46" s="665">
        <v>12</v>
      </c>
      <c r="H46" s="665">
        <v>4</v>
      </c>
      <c r="I46" s="665">
        <v>116</v>
      </c>
      <c r="J46" s="665">
        <v>57</v>
      </c>
      <c r="K46" s="665">
        <v>4</v>
      </c>
      <c r="L46" s="665">
        <v>2</v>
      </c>
      <c r="M46" s="665">
        <v>1</v>
      </c>
      <c r="N46" s="665" t="s">
        <v>28</v>
      </c>
      <c r="O46" s="665">
        <v>5</v>
      </c>
      <c r="P46" s="653">
        <v>5</v>
      </c>
      <c r="Q46" s="653">
        <v>23</v>
      </c>
      <c r="R46" s="653">
        <v>11</v>
      </c>
      <c r="S46" s="653">
        <v>90</v>
      </c>
      <c r="T46" s="653">
        <v>42</v>
      </c>
      <c r="U46" s="653">
        <v>11</v>
      </c>
      <c r="V46" s="653">
        <v>7</v>
      </c>
      <c r="W46" s="653">
        <v>10</v>
      </c>
      <c r="X46" s="653">
        <v>5</v>
      </c>
      <c r="Y46" s="653" t="s">
        <v>28</v>
      </c>
      <c r="Z46" s="653" t="s">
        <v>28</v>
      </c>
      <c r="AA46" s="665">
        <v>8</v>
      </c>
      <c r="AB46" s="665">
        <v>4</v>
      </c>
      <c r="AC46" s="665">
        <v>3</v>
      </c>
      <c r="AD46" s="665">
        <v>1</v>
      </c>
      <c r="AE46" s="665">
        <v>8</v>
      </c>
      <c r="AF46" s="665">
        <v>5</v>
      </c>
      <c r="AG46" s="665">
        <v>2</v>
      </c>
      <c r="AH46" s="665" t="s">
        <v>28</v>
      </c>
      <c r="AI46" s="665" t="s">
        <v>28</v>
      </c>
      <c r="AJ46" s="665" t="s">
        <v>28</v>
      </c>
      <c r="AK46" s="665">
        <v>2</v>
      </c>
      <c r="AL46" s="665" t="s">
        <v>28</v>
      </c>
      <c r="AM46" s="665" t="s">
        <v>28</v>
      </c>
      <c r="AN46" s="665" t="s">
        <v>28</v>
      </c>
      <c r="AO46" s="653">
        <v>4</v>
      </c>
      <c r="AP46" s="668">
        <v>3</v>
      </c>
    </row>
    <row r="47" spans="1:42" ht="11.25" customHeight="1">
      <c r="A47" s="700" t="s">
        <v>31</v>
      </c>
      <c r="B47" s="652" t="s">
        <v>32</v>
      </c>
      <c r="C47" s="665">
        <v>8</v>
      </c>
      <c r="D47" s="665">
        <v>8</v>
      </c>
      <c r="E47" s="665">
        <v>5</v>
      </c>
      <c r="F47" s="665">
        <v>5</v>
      </c>
      <c r="G47" s="665" t="s">
        <v>28</v>
      </c>
      <c r="H47" s="665" t="s">
        <v>28</v>
      </c>
      <c r="I47" s="665" t="s">
        <v>28</v>
      </c>
      <c r="J47" s="665" t="s">
        <v>28</v>
      </c>
      <c r="K47" s="665" t="s">
        <v>28</v>
      </c>
      <c r="L47" s="665" t="s">
        <v>28</v>
      </c>
      <c r="M47" s="665" t="s">
        <v>28</v>
      </c>
      <c r="N47" s="665" t="s">
        <v>28</v>
      </c>
      <c r="O47" s="665" t="s">
        <v>28</v>
      </c>
      <c r="P47" s="653" t="s">
        <v>28</v>
      </c>
      <c r="Q47" s="653">
        <v>2</v>
      </c>
      <c r="R47" s="653">
        <v>2</v>
      </c>
      <c r="S47" s="653">
        <v>3</v>
      </c>
      <c r="T47" s="653">
        <v>3</v>
      </c>
      <c r="U47" s="653" t="s">
        <v>28</v>
      </c>
      <c r="V47" s="653" t="s">
        <v>28</v>
      </c>
      <c r="W47" s="653" t="s">
        <v>28</v>
      </c>
      <c r="X47" s="653" t="s">
        <v>28</v>
      </c>
      <c r="Y47" s="653" t="s">
        <v>28</v>
      </c>
      <c r="Z47" s="653" t="s">
        <v>28</v>
      </c>
      <c r="AA47" s="665" t="s">
        <v>28</v>
      </c>
      <c r="AB47" s="665" t="s">
        <v>28</v>
      </c>
      <c r="AC47" s="665" t="s">
        <v>28</v>
      </c>
      <c r="AD47" s="665" t="s">
        <v>28</v>
      </c>
      <c r="AE47" s="665" t="s">
        <v>28</v>
      </c>
      <c r="AF47" s="665" t="s">
        <v>28</v>
      </c>
      <c r="AG47" s="665" t="s">
        <v>28</v>
      </c>
      <c r="AH47" s="665" t="s">
        <v>28</v>
      </c>
      <c r="AI47" s="665" t="s">
        <v>28</v>
      </c>
      <c r="AJ47" s="665" t="s">
        <v>28</v>
      </c>
      <c r="AK47" s="665" t="s">
        <v>28</v>
      </c>
      <c r="AL47" s="665" t="s">
        <v>28</v>
      </c>
      <c r="AM47" s="665" t="s">
        <v>28</v>
      </c>
      <c r="AN47" s="665" t="s">
        <v>28</v>
      </c>
      <c r="AO47" s="653" t="s">
        <v>28</v>
      </c>
      <c r="AP47" s="668" t="s">
        <v>28</v>
      </c>
    </row>
    <row r="48" spans="1:42" ht="11.25" customHeight="1">
      <c r="A48" s="699" t="s">
        <v>55</v>
      </c>
      <c r="B48" s="669" t="s">
        <v>56</v>
      </c>
      <c r="C48" s="670">
        <v>690</v>
      </c>
      <c r="D48" s="670">
        <v>339</v>
      </c>
      <c r="E48" s="670">
        <v>302</v>
      </c>
      <c r="F48" s="670">
        <v>157</v>
      </c>
      <c r="G48" s="670">
        <v>9</v>
      </c>
      <c r="H48" s="670">
        <v>6</v>
      </c>
      <c r="I48" s="670">
        <v>100</v>
      </c>
      <c r="J48" s="670">
        <v>55</v>
      </c>
      <c r="K48" s="670">
        <v>15</v>
      </c>
      <c r="L48" s="670">
        <v>9</v>
      </c>
      <c r="M48" s="670">
        <v>5</v>
      </c>
      <c r="N48" s="670">
        <v>3</v>
      </c>
      <c r="O48" s="670">
        <v>11</v>
      </c>
      <c r="P48" s="679">
        <v>4</v>
      </c>
      <c r="Q48" s="679">
        <v>22</v>
      </c>
      <c r="R48" s="679">
        <v>8</v>
      </c>
      <c r="S48" s="679">
        <v>100</v>
      </c>
      <c r="T48" s="679">
        <v>52</v>
      </c>
      <c r="U48" s="679">
        <v>3</v>
      </c>
      <c r="V48" s="679">
        <v>2</v>
      </c>
      <c r="W48" s="679">
        <v>11</v>
      </c>
      <c r="X48" s="679">
        <v>6</v>
      </c>
      <c r="Y48" s="679" t="s">
        <v>28</v>
      </c>
      <c r="Z48" s="679" t="s">
        <v>28</v>
      </c>
      <c r="AA48" s="670">
        <v>4</v>
      </c>
      <c r="AB48" s="670">
        <v>3</v>
      </c>
      <c r="AC48" s="670">
        <v>3</v>
      </c>
      <c r="AD48" s="670" t="s">
        <v>28</v>
      </c>
      <c r="AE48" s="670">
        <v>4</v>
      </c>
      <c r="AF48" s="670">
        <v>1</v>
      </c>
      <c r="AG48" s="670">
        <v>3</v>
      </c>
      <c r="AH48" s="670">
        <v>2</v>
      </c>
      <c r="AI48" s="670" t="s">
        <v>28</v>
      </c>
      <c r="AJ48" s="670" t="s">
        <v>28</v>
      </c>
      <c r="AK48" s="670">
        <v>1</v>
      </c>
      <c r="AL48" s="670">
        <v>1</v>
      </c>
      <c r="AM48" s="670">
        <v>2</v>
      </c>
      <c r="AN48" s="670" t="s">
        <v>28</v>
      </c>
      <c r="AO48" s="679">
        <v>9</v>
      </c>
      <c r="AP48" s="673">
        <v>5</v>
      </c>
    </row>
    <row r="49" spans="1:42" ht="11.25" customHeight="1">
      <c r="A49" s="700" t="s">
        <v>29</v>
      </c>
      <c r="B49" s="652" t="s">
        <v>30</v>
      </c>
      <c r="C49" s="665">
        <v>690</v>
      </c>
      <c r="D49" s="665">
        <v>339</v>
      </c>
      <c r="E49" s="665">
        <v>302</v>
      </c>
      <c r="F49" s="665">
        <v>157</v>
      </c>
      <c r="G49" s="665">
        <v>9</v>
      </c>
      <c r="H49" s="665">
        <v>6</v>
      </c>
      <c r="I49" s="665">
        <v>100</v>
      </c>
      <c r="J49" s="665">
        <v>55</v>
      </c>
      <c r="K49" s="665">
        <v>15</v>
      </c>
      <c r="L49" s="665">
        <v>9</v>
      </c>
      <c r="M49" s="665">
        <v>5</v>
      </c>
      <c r="N49" s="665">
        <v>3</v>
      </c>
      <c r="O49" s="665">
        <v>11</v>
      </c>
      <c r="P49" s="653">
        <v>4</v>
      </c>
      <c r="Q49" s="653">
        <v>22</v>
      </c>
      <c r="R49" s="653">
        <v>8</v>
      </c>
      <c r="S49" s="653">
        <v>100</v>
      </c>
      <c r="T49" s="653">
        <v>52</v>
      </c>
      <c r="U49" s="653">
        <v>3</v>
      </c>
      <c r="V49" s="653">
        <v>2</v>
      </c>
      <c r="W49" s="653">
        <v>11</v>
      </c>
      <c r="X49" s="653">
        <v>6</v>
      </c>
      <c r="Y49" s="653" t="s">
        <v>28</v>
      </c>
      <c r="Z49" s="653" t="s">
        <v>28</v>
      </c>
      <c r="AA49" s="665">
        <v>4</v>
      </c>
      <c r="AB49" s="665">
        <v>3</v>
      </c>
      <c r="AC49" s="665">
        <v>3</v>
      </c>
      <c r="AD49" s="665" t="s">
        <v>28</v>
      </c>
      <c r="AE49" s="665">
        <v>4</v>
      </c>
      <c r="AF49" s="665">
        <v>1</v>
      </c>
      <c r="AG49" s="665">
        <v>3</v>
      </c>
      <c r="AH49" s="665">
        <v>2</v>
      </c>
      <c r="AI49" s="665" t="s">
        <v>28</v>
      </c>
      <c r="AJ49" s="665" t="s">
        <v>28</v>
      </c>
      <c r="AK49" s="665">
        <v>1</v>
      </c>
      <c r="AL49" s="665">
        <v>1</v>
      </c>
      <c r="AM49" s="665">
        <v>2</v>
      </c>
      <c r="AN49" s="665" t="s">
        <v>28</v>
      </c>
      <c r="AO49" s="653">
        <v>9</v>
      </c>
      <c r="AP49" s="668">
        <v>5</v>
      </c>
    </row>
    <row r="50" spans="1:42" ht="11.25" customHeight="1">
      <c r="A50" s="700" t="s">
        <v>31</v>
      </c>
      <c r="B50" s="652" t="s">
        <v>32</v>
      </c>
      <c r="C50" s="665" t="s">
        <v>28</v>
      </c>
      <c r="D50" s="665" t="s">
        <v>28</v>
      </c>
      <c r="E50" s="665" t="s">
        <v>28</v>
      </c>
      <c r="F50" s="665" t="s">
        <v>28</v>
      </c>
      <c r="G50" s="665" t="s">
        <v>28</v>
      </c>
      <c r="H50" s="665" t="s">
        <v>28</v>
      </c>
      <c r="I50" s="665" t="s">
        <v>28</v>
      </c>
      <c r="J50" s="665" t="s">
        <v>28</v>
      </c>
      <c r="K50" s="665" t="s">
        <v>28</v>
      </c>
      <c r="L50" s="665" t="s">
        <v>28</v>
      </c>
      <c r="M50" s="665" t="s">
        <v>28</v>
      </c>
      <c r="N50" s="665" t="s">
        <v>28</v>
      </c>
      <c r="O50" s="665" t="s">
        <v>28</v>
      </c>
      <c r="P50" s="653" t="s">
        <v>28</v>
      </c>
      <c r="Q50" s="653" t="s">
        <v>28</v>
      </c>
      <c r="R50" s="653" t="s">
        <v>28</v>
      </c>
      <c r="S50" s="653" t="s">
        <v>28</v>
      </c>
      <c r="T50" s="653" t="s">
        <v>28</v>
      </c>
      <c r="U50" s="653" t="s">
        <v>28</v>
      </c>
      <c r="V50" s="653" t="s">
        <v>28</v>
      </c>
      <c r="W50" s="653" t="s">
        <v>28</v>
      </c>
      <c r="X50" s="653" t="s">
        <v>28</v>
      </c>
      <c r="Y50" s="653" t="s">
        <v>28</v>
      </c>
      <c r="Z50" s="653" t="s">
        <v>28</v>
      </c>
      <c r="AA50" s="665" t="s">
        <v>28</v>
      </c>
      <c r="AB50" s="665" t="s">
        <v>28</v>
      </c>
      <c r="AC50" s="665" t="s">
        <v>28</v>
      </c>
      <c r="AD50" s="665" t="s">
        <v>28</v>
      </c>
      <c r="AE50" s="665" t="s">
        <v>28</v>
      </c>
      <c r="AF50" s="665" t="s">
        <v>28</v>
      </c>
      <c r="AG50" s="665" t="s">
        <v>28</v>
      </c>
      <c r="AH50" s="665" t="s">
        <v>28</v>
      </c>
      <c r="AI50" s="665" t="s">
        <v>28</v>
      </c>
      <c r="AJ50" s="665" t="s">
        <v>28</v>
      </c>
      <c r="AK50" s="665" t="s">
        <v>28</v>
      </c>
      <c r="AL50" s="665" t="s">
        <v>28</v>
      </c>
      <c r="AM50" s="665" t="s">
        <v>28</v>
      </c>
      <c r="AN50" s="665" t="s">
        <v>28</v>
      </c>
      <c r="AO50" s="653" t="s">
        <v>28</v>
      </c>
      <c r="AP50" s="668" t="s">
        <v>28</v>
      </c>
    </row>
    <row r="51" spans="1:42" ht="11.25" customHeight="1">
      <c r="A51" s="699" t="s">
        <v>57</v>
      </c>
      <c r="B51" s="669" t="s">
        <v>58</v>
      </c>
      <c r="C51" s="670">
        <v>224</v>
      </c>
      <c r="D51" s="670">
        <v>115</v>
      </c>
      <c r="E51" s="670">
        <v>178</v>
      </c>
      <c r="F51" s="670">
        <v>87</v>
      </c>
      <c r="G51" s="670">
        <v>6</v>
      </c>
      <c r="H51" s="670">
        <v>3</v>
      </c>
      <c r="I51" s="670">
        <v>48</v>
      </c>
      <c r="J51" s="670">
        <v>18</v>
      </c>
      <c r="K51" s="670">
        <v>8</v>
      </c>
      <c r="L51" s="670">
        <v>6</v>
      </c>
      <c r="M51" s="670" t="s">
        <v>28</v>
      </c>
      <c r="N51" s="670" t="s">
        <v>28</v>
      </c>
      <c r="O51" s="670">
        <v>3</v>
      </c>
      <c r="P51" s="679">
        <v>2</v>
      </c>
      <c r="Q51" s="679">
        <v>21</v>
      </c>
      <c r="R51" s="679">
        <v>11</v>
      </c>
      <c r="S51" s="679">
        <v>70</v>
      </c>
      <c r="T51" s="679">
        <v>38</v>
      </c>
      <c r="U51" s="679">
        <v>2</v>
      </c>
      <c r="V51" s="679" t="s">
        <v>28</v>
      </c>
      <c r="W51" s="679">
        <v>6</v>
      </c>
      <c r="X51" s="679">
        <v>6</v>
      </c>
      <c r="Y51" s="679">
        <v>1</v>
      </c>
      <c r="Z51" s="679" t="s">
        <v>28</v>
      </c>
      <c r="AA51" s="670">
        <v>6</v>
      </c>
      <c r="AB51" s="670">
        <v>1</v>
      </c>
      <c r="AC51" s="670">
        <v>2</v>
      </c>
      <c r="AD51" s="670">
        <v>1</v>
      </c>
      <c r="AE51" s="670" t="s">
        <v>28</v>
      </c>
      <c r="AF51" s="670" t="s">
        <v>28</v>
      </c>
      <c r="AG51" s="670">
        <v>2</v>
      </c>
      <c r="AH51" s="670" t="s">
        <v>28</v>
      </c>
      <c r="AI51" s="670" t="s">
        <v>28</v>
      </c>
      <c r="AJ51" s="670" t="s">
        <v>28</v>
      </c>
      <c r="AK51" s="670">
        <v>1</v>
      </c>
      <c r="AL51" s="670" t="s">
        <v>28</v>
      </c>
      <c r="AM51" s="670" t="s">
        <v>28</v>
      </c>
      <c r="AN51" s="670" t="s">
        <v>28</v>
      </c>
      <c r="AO51" s="679">
        <v>2</v>
      </c>
      <c r="AP51" s="673">
        <v>1</v>
      </c>
    </row>
    <row r="52" spans="1:42" ht="11.25" customHeight="1">
      <c r="A52" s="700" t="s">
        <v>29</v>
      </c>
      <c r="B52" s="652" t="s">
        <v>30</v>
      </c>
      <c r="C52" s="665">
        <v>224</v>
      </c>
      <c r="D52" s="665">
        <v>115</v>
      </c>
      <c r="E52" s="665">
        <v>178</v>
      </c>
      <c r="F52" s="665">
        <v>87</v>
      </c>
      <c r="G52" s="665">
        <v>6</v>
      </c>
      <c r="H52" s="665">
        <v>3</v>
      </c>
      <c r="I52" s="665">
        <v>48</v>
      </c>
      <c r="J52" s="665">
        <v>18</v>
      </c>
      <c r="K52" s="665">
        <v>8</v>
      </c>
      <c r="L52" s="665">
        <v>6</v>
      </c>
      <c r="M52" s="665" t="s">
        <v>28</v>
      </c>
      <c r="N52" s="665" t="s">
        <v>28</v>
      </c>
      <c r="O52" s="665">
        <v>3</v>
      </c>
      <c r="P52" s="653">
        <v>2</v>
      </c>
      <c r="Q52" s="653">
        <v>21</v>
      </c>
      <c r="R52" s="653">
        <v>11</v>
      </c>
      <c r="S52" s="653">
        <v>70</v>
      </c>
      <c r="T52" s="653">
        <v>38</v>
      </c>
      <c r="U52" s="653">
        <v>2</v>
      </c>
      <c r="V52" s="653" t="s">
        <v>28</v>
      </c>
      <c r="W52" s="653">
        <v>6</v>
      </c>
      <c r="X52" s="653">
        <v>6</v>
      </c>
      <c r="Y52" s="653">
        <v>1</v>
      </c>
      <c r="Z52" s="653" t="s">
        <v>28</v>
      </c>
      <c r="AA52" s="665">
        <v>6</v>
      </c>
      <c r="AB52" s="665">
        <v>1</v>
      </c>
      <c r="AC52" s="665">
        <v>2</v>
      </c>
      <c r="AD52" s="665">
        <v>1</v>
      </c>
      <c r="AE52" s="665" t="s">
        <v>28</v>
      </c>
      <c r="AF52" s="665" t="s">
        <v>28</v>
      </c>
      <c r="AG52" s="665">
        <v>2</v>
      </c>
      <c r="AH52" s="665" t="s">
        <v>28</v>
      </c>
      <c r="AI52" s="665" t="s">
        <v>28</v>
      </c>
      <c r="AJ52" s="665" t="s">
        <v>28</v>
      </c>
      <c r="AK52" s="665">
        <v>1</v>
      </c>
      <c r="AL52" s="665" t="s">
        <v>28</v>
      </c>
      <c r="AM52" s="665" t="s">
        <v>28</v>
      </c>
      <c r="AN52" s="665" t="s">
        <v>28</v>
      </c>
      <c r="AO52" s="653">
        <v>2</v>
      </c>
      <c r="AP52" s="668">
        <v>1</v>
      </c>
    </row>
    <row r="53" spans="1:42" ht="11.25" customHeight="1">
      <c r="A53" s="700" t="s">
        <v>31</v>
      </c>
      <c r="B53" s="652" t="s">
        <v>32</v>
      </c>
      <c r="C53" s="665" t="s">
        <v>28</v>
      </c>
      <c r="D53" s="665" t="s">
        <v>28</v>
      </c>
      <c r="E53" s="665" t="s">
        <v>28</v>
      </c>
      <c r="F53" s="665" t="s">
        <v>28</v>
      </c>
      <c r="G53" s="665" t="s">
        <v>28</v>
      </c>
      <c r="H53" s="665" t="s">
        <v>28</v>
      </c>
      <c r="I53" s="665" t="s">
        <v>28</v>
      </c>
      <c r="J53" s="665" t="s">
        <v>28</v>
      </c>
      <c r="K53" s="665" t="s">
        <v>28</v>
      </c>
      <c r="L53" s="665" t="s">
        <v>28</v>
      </c>
      <c r="M53" s="665" t="s">
        <v>28</v>
      </c>
      <c r="N53" s="665" t="s">
        <v>28</v>
      </c>
      <c r="O53" s="665" t="s">
        <v>28</v>
      </c>
      <c r="P53" s="653" t="s">
        <v>28</v>
      </c>
      <c r="Q53" s="653" t="s">
        <v>28</v>
      </c>
      <c r="R53" s="653" t="s">
        <v>28</v>
      </c>
      <c r="S53" s="653" t="s">
        <v>28</v>
      </c>
      <c r="T53" s="653" t="s">
        <v>28</v>
      </c>
      <c r="U53" s="653" t="s">
        <v>28</v>
      </c>
      <c r="V53" s="653" t="s">
        <v>28</v>
      </c>
      <c r="W53" s="653" t="s">
        <v>28</v>
      </c>
      <c r="X53" s="653" t="s">
        <v>28</v>
      </c>
      <c r="Y53" s="653" t="s">
        <v>28</v>
      </c>
      <c r="Z53" s="653" t="s">
        <v>28</v>
      </c>
      <c r="AA53" s="665" t="s">
        <v>28</v>
      </c>
      <c r="AB53" s="665" t="s">
        <v>28</v>
      </c>
      <c r="AC53" s="665" t="s">
        <v>28</v>
      </c>
      <c r="AD53" s="665" t="s">
        <v>28</v>
      </c>
      <c r="AE53" s="665" t="s">
        <v>28</v>
      </c>
      <c r="AF53" s="665" t="s">
        <v>28</v>
      </c>
      <c r="AG53" s="665" t="s">
        <v>28</v>
      </c>
      <c r="AH53" s="665" t="s">
        <v>28</v>
      </c>
      <c r="AI53" s="665" t="s">
        <v>28</v>
      </c>
      <c r="AJ53" s="665" t="s">
        <v>28</v>
      </c>
      <c r="AK53" s="665" t="s">
        <v>28</v>
      </c>
      <c r="AL53" s="665" t="s">
        <v>28</v>
      </c>
      <c r="AM53" s="665" t="s">
        <v>28</v>
      </c>
      <c r="AN53" s="665" t="s">
        <v>28</v>
      </c>
      <c r="AO53" s="653" t="s">
        <v>28</v>
      </c>
      <c r="AP53" s="668" t="s">
        <v>28</v>
      </c>
    </row>
    <row r="54" spans="1:42" ht="11.25" customHeight="1">
      <c r="A54" s="699" t="s">
        <v>59</v>
      </c>
      <c r="B54" s="669" t="s">
        <v>60</v>
      </c>
      <c r="C54" s="670">
        <v>598</v>
      </c>
      <c r="D54" s="670">
        <v>294</v>
      </c>
      <c r="E54" s="670">
        <v>406</v>
      </c>
      <c r="F54" s="670">
        <v>205</v>
      </c>
      <c r="G54" s="670">
        <v>21</v>
      </c>
      <c r="H54" s="670">
        <v>12</v>
      </c>
      <c r="I54" s="670">
        <v>109</v>
      </c>
      <c r="J54" s="670">
        <v>51</v>
      </c>
      <c r="K54" s="670">
        <v>7</v>
      </c>
      <c r="L54" s="670">
        <v>5</v>
      </c>
      <c r="M54" s="670">
        <v>5</v>
      </c>
      <c r="N54" s="670">
        <v>3</v>
      </c>
      <c r="O54" s="670">
        <v>5</v>
      </c>
      <c r="P54" s="679">
        <v>3</v>
      </c>
      <c r="Q54" s="679">
        <v>41</v>
      </c>
      <c r="R54" s="679">
        <v>23</v>
      </c>
      <c r="S54" s="679">
        <v>138</v>
      </c>
      <c r="T54" s="679">
        <v>70</v>
      </c>
      <c r="U54" s="679">
        <v>16</v>
      </c>
      <c r="V54" s="679">
        <v>6</v>
      </c>
      <c r="W54" s="679">
        <v>15</v>
      </c>
      <c r="X54" s="679">
        <v>6</v>
      </c>
      <c r="Y54" s="679">
        <v>2</v>
      </c>
      <c r="Z54" s="679">
        <v>1</v>
      </c>
      <c r="AA54" s="670">
        <v>11</v>
      </c>
      <c r="AB54" s="670">
        <v>8</v>
      </c>
      <c r="AC54" s="670">
        <v>6</v>
      </c>
      <c r="AD54" s="670">
        <v>4</v>
      </c>
      <c r="AE54" s="670">
        <v>2</v>
      </c>
      <c r="AF54" s="670">
        <v>1</v>
      </c>
      <c r="AG54" s="670">
        <v>2</v>
      </c>
      <c r="AH54" s="670">
        <v>2</v>
      </c>
      <c r="AI54" s="670">
        <v>4</v>
      </c>
      <c r="AJ54" s="670">
        <v>1</v>
      </c>
      <c r="AK54" s="670">
        <v>4</v>
      </c>
      <c r="AL54" s="670">
        <v>1</v>
      </c>
      <c r="AM54" s="670">
        <v>4</v>
      </c>
      <c r="AN54" s="670">
        <v>2</v>
      </c>
      <c r="AO54" s="679">
        <v>14</v>
      </c>
      <c r="AP54" s="673">
        <v>6</v>
      </c>
    </row>
    <row r="55" spans="1:42" ht="11.25" customHeight="1">
      <c r="A55" s="700" t="s">
        <v>29</v>
      </c>
      <c r="B55" s="652" t="s">
        <v>30</v>
      </c>
      <c r="C55" s="665">
        <v>598</v>
      </c>
      <c r="D55" s="665">
        <v>294</v>
      </c>
      <c r="E55" s="665">
        <v>406</v>
      </c>
      <c r="F55" s="665">
        <v>205</v>
      </c>
      <c r="G55" s="665">
        <v>21</v>
      </c>
      <c r="H55" s="665">
        <v>12</v>
      </c>
      <c r="I55" s="665">
        <v>109</v>
      </c>
      <c r="J55" s="665">
        <v>51</v>
      </c>
      <c r="K55" s="665">
        <v>7</v>
      </c>
      <c r="L55" s="665">
        <v>5</v>
      </c>
      <c r="M55" s="665">
        <v>5</v>
      </c>
      <c r="N55" s="665">
        <v>3</v>
      </c>
      <c r="O55" s="665">
        <v>5</v>
      </c>
      <c r="P55" s="653">
        <v>3</v>
      </c>
      <c r="Q55" s="653">
        <v>41</v>
      </c>
      <c r="R55" s="653">
        <v>23</v>
      </c>
      <c r="S55" s="653">
        <v>138</v>
      </c>
      <c r="T55" s="653">
        <v>70</v>
      </c>
      <c r="U55" s="653">
        <v>16</v>
      </c>
      <c r="V55" s="653">
        <v>6</v>
      </c>
      <c r="W55" s="653">
        <v>15</v>
      </c>
      <c r="X55" s="653">
        <v>6</v>
      </c>
      <c r="Y55" s="653">
        <v>2</v>
      </c>
      <c r="Z55" s="653">
        <v>1</v>
      </c>
      <c r="AA55" s="665">
        <v>11</v>
      </c>
      <c r="AB55" s="665">
        <v>8</v>
      </c>
      <c r="AC55" s="665">
        <v>6</v>
      </c>
      <c r="AD55" s="665">
        <v>4</v>
      </c>
      <c r="AE55" s="665">
        <v>2</v>
      </c>
      <c r="AF55" s="665">
        <v>1</v>
      </c>
      <c r="AG55" s="665">
        <v>2</v>
      </c>
      <c r="AH55" s="665">
        <v>2</v>
      </c>
      <c r="AI55" s="665">
        <v>4</v>
      </c>
      <c r="AJ55" s="665">
        <v>1</v>
      </c>
      <c r="AK55" s="665">
        <v>4</v>
      </c>
      <c r="AL55" s="665">
        <v>1</v>
      </c>
      <c r="AM55" s="665">
        <v>4</v>
      </c>
      <c r="AN55" s="665">
        <v>2</v>
      </c>
      <c r="AO55" s="653">
        <v>14</v>
      </c>
      <c r="AP55" s="668">
        <v>6</v>
      </c>
    </row>
    <row r="56" spans="1:42" ht="11.25" customHeight="1">
      <c r="A56" s="700" t="s">
        <v>31</v>
      </c>
      <c r="B56" s="652" t="s">
        <v>32</v>
      </c>
      <c r="C56" s="665" t="s">
        <v>28</v>
      </c>
      <c r="D56" s="665" t="s">
        <v>28</v>
      </c>
      <c r="E56" s="665" t="s">
        <v>28</v>
      </c>
      <c r="F56" s="665" t="s">
        <v>28</v>
      </c>
      <c r="G56" s="665" t="s">
        <v>28</v>
      </c>
      <c r="H56" s="665" t="s">
        <v>28</v>
      </c>
      <c r="I56" s="665" t="s">
        <v>28</v>
      </c>
      <c r="J56" s="665" t="s">
        <v>28</v>
      </c>
      <c r="K56" s="665" t="s">
        <v>28</v>
      </c>
      <c r="L56" s="665" t="s">
        <v>28</v>
      </c>
      <c r="M56" s="665" t="s">
        <v>28</v>
      </c>
      <c r="N56" s="665" t="s">
        <v>28</v>
      </c>
      <c r="O56" s="665" t="s">
        <v>28</v>
      </c>
      <c r="P56" s="653" t="s">
        <v>28</v>
      </c>
      <c r="Q56" s="653" t="s">
        <v>28</v>
      </c>
      <c r="R56" s="653" t="s">
        <v>28</v>
      </c>
      <c r="S56" s="653" t="s">
        <v>28</v>
      </c>
      <c r="T56" s="653" t="s">
        <v>28</v>
      </c>
      <c r="U56" s="653" t="s">
        <v>28</v>
      </c>
      <c r="V56" s="653" t="s">
        <v>28</v>
      </c>
      <c r="W56" s="653" t="s">
        <v>28</v>
      </c>
      <c r="X56" s="653" t="s">
        <v>28</v>
      </c>
      <c r="Y56" s="653" t="s">
        <v>28</v>
      </c>
      <c r="Z56" s="653" t="s">
        <v>28</v>
      </c>
      <c r="AA56" s="665" t="s">
        <v>28</v>
      </c>
      <c r="AB56" s="665" t="s">
        <v>28</v>
      </c>
      <c r="AC56" s="665" t="s">
        <v>28</v>
      </c>
      <c r="AD56" s="665" t="s">
        <v>28</v>
      </c>
      <c r="AE56" s="665" t="s">
        <v>28</v>
      </c>
      <c r="AF56" s="665" t="s">
        <v>28</v>
      </c>
      <c r="AG56" s="665" t="s">
        <v>28</v>
      </c>
      <c r="AH56" s="665" t="s">
        <v>28</v>
      </c>
      <c r="AI56" s="665" t="s">
        <v>28</v>
      </c>
      <c r="AJ56" s="665" t="s">
        <v>28</v>
      </c>
      <c r="AK56" s="665" t="s">
        <v>28</v>
      </c>
      <c r="AL56" s="665" t="s">
        <v>28</v>
      </c>
      <c r="AM56" s="665" t="s">
        <v>28</v>
      </c>
      <c r="AN56" s="665" t="s">
        <v>28</v>
      </c>
      <c r="AO56" s="653" t="s">
        <v>28</v>
      </c>
      <c r="AP56" s="668" t="s">
        <v>28</v>
      </c>
    </row>
    <row r="57" spans="1:42" ht="11.25" customHeight="1">
      <c r="A57" s="699" t="s">
        <v>61</v>
      </c>
      <c r="B57" s="669" t="s">
        <v>62</v>
      </c>
      <c r="C57" s="670">
        <v>65</v>
      </c>
      <c r="D57" s="670">
        <v>32</v>
      </c>
      <c r="E57" s="670">
        <v>55</v>
      </c>
      <c r="F57" s="670">
        <v>25</v>
      </c>
      <c r="G57" s="670" t="s">
        <v>28</v>
      </c>
      <c r="H57" s="670" t="s">
        <v>28</v>
      </c>
      <c r="I57" s="670">
        <v>8</v>
      </c>
      <c r="J57" s="670">
        <v>6</v>
      </c>
      <c r="K57" s="670" t="s">
        <v>28</v>
      </c>
      <c r="L57" s="670" t="s">
        <v>28</v>
      </c>
      <c r="M57" s="670" t="s">
        <v>28</v>
      </c>
      <c r="N57" s="670" t="s">
        <v>28</v>
      </c>
      <c r="O57" s="670" t="s">
        <v>28</v>
      </c>
      <c r="P57" s="679" t="s">
        <v>28</v>
      </c>
      <c r="Q57" s="679">
        <v>8</v>
      </c>
      <c r="R57" s="679">
        <v>2</v>
      </c>
      <c r="S57" s="679">
        <v>36</v>
      </c>
      <c r="T57" s="679">
        <v>16</v>
      </c>
      <c r="U57" s="679">
        <v>1</v>
      </c>
      <c r="V57" s="679" t="s">
        <v>28</v>
      </c>
      <c r="W57" s="679">
        <v>1</v>
      </c>
      <c r="X57" s="679">
        <v>1</v>
      </c>
      <c r="Y57" s="679" t="s">
        <v>28</v>
      </c>
      <c r="Z57" s="679" t="s">
        <v>28</v>
      </c>
      <c r="AA57" s="670" t="s">
        <v>28</v>
      </c>
      <c r="AB57" s="670" t="s">
        <v>28</v>
      </c>
      <c r="AC57" s="670" t="s">
        <v>28</v>
      </c>
      <c r="AD57" s="670" t="s">
        <v>28</v>
      </c>
      <c r="AE57" s="670" t="s">
        <v>28</v>
      </c>
      <c r="AF57" s="670" t="s">
        <v>28</v>
      </c>
      <c r="AG57" s="670">
        <v>1</v>
      </c>
      <c r="AH57" s="670" t="s">
        <v>28</v>
      </c>
      <c r="AI57" s="670" t="s">
        <v>28</v>
      </c>
      <c r="AJ57" s="670" t="s">
        <v>28</v>
      </c>
      <c r="AK57" s="670" t="s">
        <v>28</v>
      </c>
      <c r="AL57" s="670" t="s">
        <v>28</v>
      </c>
      <c r="AM57" s="670" t="s">
        <v>28</v>
      </c>
      <c r="AN57" s="670" t="s">
        <v>28</v>
      </c>
      <c r="AO57" s="679" t="s">
        <v>28</v>
      </c>
      <c r="AP57" s="673" t="s">
        <v>28</v>
      </c>
    </row>
    <row r="58" spans="1:42" ht="11.25" customHeight="1">
      <c r="A58" s="700" t="s">
        <v>29</v>
      </c>
      <c r="B58" s="652" t="s">
        <v>30</v>
      </c>
      <c r="C58" s="665">
        <v>59</v>
      </c>
      <c r="D58" s="665">
        <v>30</v>
      </c>
      <c r="E58" s="665">
        <v>49</v>
      </c>
      <c r="F58" s="665">
        <v>23</v>
      </c>
      <c r="G58" s="665" t="s">
        <v>28</v>
      </c>
      <c r="H58" s="665" t="s">
        <v>28</v>
      </c>
      <c r="I58" s="665">
        <v>8</v>
      </c>
      <c r="J58" s="665">
        <v>6</v>
      </c>
      <c r="K58" s="665" t="s">
        <v>28</v>
      </c>
      <c r="L58" s="665" t="s">
        <v>28</v>
      </c>
      <c r="M58" s="665" t="s">
        <v>28</v>
      </c>
      <c r="N58" s="665" t="s">
        <v>28</v>
      </c>
      <c r="O58" s="665" t="s">
        <v>28</v>
      </c>
      <c r="P58" s="653" t="s">
        <v>28</v>
      </c>
      <c r="Q58" s="653">
        <v>8</v>
      </c>
      <c r="R58" s="653">
        <v>2</v>
      </c>
      <c r="S58" s="653">
        <v>30</v>
      </c>
      <c r="T58" s="653">
        <v>14</v>
      </c>
      <c r="U58" s="653">
        <v>1</v>
      </c>
      <c r="V58" s="653" t="s">
        <v>28</v>
      </c>
      <c r="W58" s="653">
        <v>1</v>
      </c>
      <c r="X58" s="653">
        <v>1</v>
      </c>
      <c r="Y58" s="653" t="s">
        <v>28</v>
      </c>
      <c r="Z58" s="653" t="s">
        <v>28</v>
      </c>
      <c r="AA58" s="665" t="s">
        <v>28</v>
      </c>
      <c r="AB58" s="665" t="s">
        <v>28</v>
      </c>
      <c r="AC58" s="665" t="s">
        <v>28</v>
      </c>
      <c r="AD58" s="665" t="s">
        <v>28</v>
      </c>
      <c r="AE58" s="665" t="s">
        <v>28</v>
      </c>
      <c r="AF58" s="665" t="s">
        <v>28</v>
      </c>
      <c r="AG58" s="665">
        <v>1</v>
      </c>
      <c r="AH58" s="665" t="s">
        <v>28</v>
      </c>
      <c r="AI58" s="665" t="s">
        <v>28</v>
      </c>
      <c r="AJ58" s="665" t="s">
        <v>28</v>
      </c>
      <c r="AK58" s="665" t="s">
        <v>28</v>
      </c>
      <c r="AL58" s="665" t="s">
        <v>28</v>
      </c>
      <c r="AM58" s="665" t="s">
        <v>28</v>
      </c>
      <c r="AN58" s="665" t="s">
        <v>28</v>
      </c>
      <c r="AO58" s="653" t="s">
        <v>28</v>
      </c>
      <c r="AP58" s="668" t="s">
        <v>28</v>
      </c>
    </row>
    <row r="59" spans="1:42" ht="11.25" customHeight="1">
      <c r="A59" s="700" t="s">
        <v>31</v>
      </c>
      <c r="B59" s="652" t="s">
        <v>32</v>
      </c>
      <c r="C59" s="665">
        <v>6</v>
      </c>
      <c r="D59" s="665">
        <v>2</v>
      </c>
      <c r="E59" s="665">
        <v>6</v>
      </c>
      <c r="F59" s="665">
        <v>2</v>
      </c>
      <c r="G59" s="665" t="s">
        <v>28</v>
      </c>
      <c r="H59" s="665" t="s">
        <v>28</v>
      </c>
      <c r="I59" s="665" t="s">
        <v>28</v>
      </c>
      <c r="J59" s="665" t="s">
        <v>28</v>
      </c>
      <c r="K59" s="665" t="s">
        <v>28</v>
      </c>
      <c r="L59" s="665" t="s">
        <v>28</v>
      </c>
      <c r="M59" s="665" t="s">
        <v>28</v>
      </c>
      <c r="N59" s="665" t="s">
        <v>28</v>
      </c>
      <c r="O59" s="665" t="s">
        <v>28</v>
      </c>
      <c r="P59" s="653" t="s">
        <v>28</v>
      </c>
      <c r="Q59" s="653" t="s">
        <v>28</v>
      </c>
      <c r="R59" s="653" t="s">
        <v>28</v>
      </c>
      <c r="S59" s="653">
        <v>6</v>
      </c>
      <c r="T59" s="653">
        <v>2</v>
      </c>
      <c r="U59" s="653" t="s">
        <v>28</v>
      </c>
      <c r="V59" s="653" t="s">
        <v>28</v>
      </c>
      <c r="W59" s="653" t="s">
        <v>28</v>
      </c>
      <c r="X59" s="653" t="s">
        <v>28</v>
      </c>
      <c r="Y59" s="653" t="s">
        <v>28</v>
      </c>
      <c r="Z59" s="653" t="s">
        <v>28</v>
      </c>
      <c r="AA59" s="665" t="s">
        <v>28</v>
      </c>
      <c r="AB59" s="665" t="s">
        <v>28</v>
      </c>
      <c r="AC59" s="665" t="s">
        <v>28</v>
      </c>
      <c r="AD59" s="665" t="s">
        <v>28</v>
      </c>
      <c r="AE59" s="665" t="s">
        <v>28</v>
      </c>
      <c r="AF59" s="665" t="s">
        <v>28</v>
      </c>
      <c r="AG59" s="665" t="s">
        <v>28</v>
      </c>
      <c r="AH59" s="665" t="s">
        <v>28</v>
      </c>
      <c r="AI59" s="665" t="s">
        <v>28</v>
      </c>
      <c r="AJ59" s="665" t="s">
        <v>28</v>
      </c>
      <c r="AK59" s="665" t="s">
        <v>28</v>
      </c>
      <c r="AL59" s="665" t="s">
        <v>28</v>
      </c>
      <c r="AM59" s="665" t="s">
        <v>28</v>
      </c>
      <c r="AN59" s="665" t="s">
        <v>28</v>
      </c>
      <c r="AO59" s="653" t="s">
        <v>28</v>
      </c>
      <c r="AP59" s="668" t="s">
        <v>28</v>
      </c>
    </row>
    <row r="60" spans="1:42" ht="11.25" customHeight="1">
      <c r="A60" s="699" t="s">
        <v>63</v>
      </c>
      <c r="B60" s="669" t="s">
        <v>64</v>
      </c>
      <c r="C60" s="670">
        <v>15</v>
      </c>
      <c r="D60" s="670">
        <v>9</v>
      </c>
      <c r="E60" s="670">
        <v>10</v>
      </c>
      <c r="F60" s="670">
        <v>5</v>
      </c>
      <c r="G60" s="670" t="s">
        <v>28</v>
      </c>
      <c r="H60" s="670" t="s">
        <v>28</v>
      </c>
      <c r="I60" s="670" t="s">
        <v>28</v>
      </c>
      <c r="J60" s="670" t="s">
        <v>28</v>
      </c>
      <c r="K60" s="670" t="s">
        <v>28</v>
      </c>
      <c r="L60" s="670" t="s">
        <v>28</v>
      </c>
      <c r="M60" s="670" t="s">
        <v>28</v>
      </c>
      <c r="N60" s="670" t="s">
        <v>28</v>
      </c>
      <c r="O60" s="670" t="s">
        <v>28</v>
      </c>
      <c r="P60" s="679" t="s">
        <v>28</v>
      </c>
      <c r="Q60" s="679" t="s">
        <v>28</v>
      </c>
      <c r="R60" s="679" t="s">
        <v>28</v>
      </c>
      <c r="S60" s="679">
        <v>9</v>
      </c>
      <c r="T60" s="679">
        <v>5</v>
      </c>
      <c r="U60" s="679" t="s">
        <v>28</v>
      </c>
      <c r="V60" s="679" t="s">
        <v>28</v>
      </c>
      <c r="W60" s="679" t="s">
        <v>28</v>
      </c>
      <c r="X60" s="679" t="s">
        <v>28</v>
      </c>
      <c r="Y60" s="679" t="s">
        <v>28</v>
      </c>
      <c r="Z60" s="679" t="s">
        <v>28</v>
      </c>
      <c r="AA60" s="670">
        <v>1</v>
      </c>
      <c r="AB60" s="670" t="s">
        <v>28</v>
      </c>
      <c r="AC60" s="670" t="s">
        <v>28</v>
      </c>
      <c r="AD60" s="670" t="s">
        <v>28</v>
      </c>
      <c r="AE60" s="670" t="s">
        <v>28</v>
      </c>
      <c r="AF60" s="670" t="s">
        <v>28</v>
      </c>
      <c r="AG60" s="670" t="s">
        <v>28</v>
      </c>
      <c r="AH60" s="670" t="s">
        <v>28</v>
      </c>
      <c r="AI60" s="670" t="s">
        <v>28</v>
      </c>
      <c r="AJ60" s="670" t="s">
        <v>28</v>
      </c>
      <c r="AK60" s="670" t="s">
        <v>28</v>
      </c>
      <c r="AL60" s="670" t="s">
        <v>28</v>
      </c>
      <c r="AM60" s="670" t="s">
        <v>28</v>
      </c>
      <c r="AN60" s="670" t="s">
        <v>28</v>
      </c>
      <c r="AO60" s="679" t="s">
        <v>28</v>
      </c>
      <c r="AP60" s="673" t="s">
        <v>28</v>
      </c>
    </row>
    <row r="61" spans="1:42" ht="11.25" customHeight="1">
      <c r="A61" s="700" t="s">
        <v>29</v>
      </c>
      <c r="B61" s="652" t="s">
        <v>30</v>
      </c>
      <c r="C61" s="665">
        <v>15</v>
      </c>
      <c r="D61" s="665">
        <v>9</v>
      </c>
      <c r="E61" s="665">
        <v>10</v>
      </c>
      <c r="F61" s="665">
        <v>5</v>
      </c>
      <c r="G61" s="665" t="s">
        <v>28</v>
      </c>
      <c r="H61" s="665" t="s">
        <v>28</v>
      </c>
      <c r="I61" s="665" t="s">
        <v>28</v>
      </c>
      <c r="J61" s="665" t="s">
        <v>28</v>
      </c>
      <c r="K61" s="665" t="s">
        <v>28</v>
      </c>
      <c r="L61" s="665" t="s">
        <v>28</v>
      </c>
      <c r="M61" s="665" t="s">
        <v>28</v>
      </c>
      <c r="N61" s="665" t="s">
        <v>28</v>
      </c>
      <c r="O61" s="665" t="s">
        <v>28</v>
      </c>
      <c r="P61" s="653" t="s">
        <v>28</v>
      </c>
      <c r="Q61" s="653" t="s">
        <v>28</v>
      </c>
      <c r="R61" s="653" t="s">
        <v>28</v>
      </c>
      <c r="S61" s="653">
        <v>9</v>
      </c>
      <c r="T61" s="653">
        <v>5</v>
      </c>
      <c r="U61" s="653" t="s">
        <v>28</v>
      </c>
      <c r="V61" s="653" t="s">
        <v>28</v>
      </c>
      <c r="W61" s="653" t="s">
        <v>28</v>
      </c>
      <c r="X61" s="653" t="s">
        <v>28</v>
      </c>
      <c r="Y61" s="653" t="s">
        <v>28</v>
      </c>
      <c r="Z61" s="653" t="s">
        <v>28</v>
      </c>
      <c r="AA61" s="665">
        <v>1</v>
      </c>
      <c r="AB61" s="665" t="s">
        <v>28</v>
      </c>
      <c r="AC61" s="665" t="s">
        <v>28</v>
      </c>
      <c r="AD61" s="665" t="s">
        <v>28</v>
      </c>
      <c r="AE61" s="665" t="s">
        <v>28</v>
      </c>
      <c r="AF61" s="665" t="s">
        <v>28</v>
      </c>
      <c r="AG61" s="665" t="s">
        <v>28</v>
      </c>
      <c r="AH61" s="665" t="s">
        <v>28</v>
      </c>
      <c r="AI61" s="665" t="s">
        <v>28</v>
      </c>
      <c r="AJ61" s="665" t="s">
        <v>28</v>
      </c>
      <c r="AK61" s="665" t="s">
        <v>28</v>
      </c>
      <c r="AL61" s="665" t="s">
        <v>28</v>
      </c>
      <c r="AM61" s="665" t="s">
        <v>28</v>
      </c>
      <c r="AN61" s="665" t="s">
        <v>28</v>
      </c>
      <c r="AO61" s="653" t="s">
        <v>28</v>
      </c>
      <c r="AP61" s="668" t="s">
        <v>28</v>
      </c>
    </row>
    <row r="62" spans="1:42" ht="11.25" customHeight="1" thickBot="1">
      <c r="A62" s="655" t="s">
        <v>31</v>
      </c>
      <c r="B62" s="656" t="s">
        <v>32</v>
      </c>
      <c r="C62" s="674" t="s">
        <v>28</v>
      </c>
      <c r="D62" s="674" t="s">
        <v>28</v>
      </c>
      <c r="E62" s="674" t="s">
        <v>28</v>
      </c>
      <c r="F62" s="674" t="s">
        <v>28</v>
      </c>
      <c r="G62" s="674" t="s">
        <v>28</v>
      </c>
      <c r="H62" s="674" t="s">
        <v>28</v>
      </c>
      <c r="I62" s="674" t="s">
        <v>28</v>
      </c>
      <c r="J62" s="674" t="s">
        <v>28</v>
      </c>
      <c r="K62" s="674" t="s">
        <v>28</v>
      </c>
      <c r="L62" s="674" t="s">
        <v>28</v>
      </c>
      <c r="M62" s="674" t="s">
        <v>28</v>
      </c>
      <c r="N62" s="674" t="s">
        <v>28</v>
      </c>
      <c r="O62" s="674" t="s">
        <v>28</v>
      </c>
      <c r="P62" s="657" t="s">
        <v>28</v>
      </c>
      <c r="Q62" s="657" t="s">
        <v>28</v>
      </c>
      <c r="R62" s="657" t="s">
        <v>28</v>
      </c>
      <c r="S62" s="657" t="s">
        <v>28</v>
      </c>
      <c r="T62" s="657" t="s">
        <v>28</v>
      </c>
      <c r="U62" s="657" t="s">
        <v>28</v>
      </c>
      <c r="V62" s="657" t="s">
        <v>28</v>
      </c>
      <c r="W62" s="657" t="s">
        <v>28</v>
      </c>
      <c r="X62" s="657" t="s">
        <v>28</v>
      </c>
      <c r="Y62" s="657" t="s">
        <v>28</v>
      </c>
      <c r="Z62" s="657" t="s">
        <v>28</v>
      </c>
      <c r="AA62" s="674" t="s">
        <v>28</v>
      </c>
      <c r="AB62" s="674" t="s">
        <v>28</v>
      </c>
      <c r="AC62" s="674" t="s">
        <v>28</v>
      </c>
      <c r="AD62" s="674" t="s">
        <v>28</v>
      </c>
      <c r="AE62" s="674" t="s">
        <v>28</v>
      </c>
      <c r="AF62" s="674" t="s">
        <v>28</v>
      </c>
      <c r="AG62" s="674" t="s">
        <v>28</v>
      </c>
      <c r="AH62" s="674" t="s">
        <v>28</v>
      </c>
      <c r="AI62" s="674" t="s">
        <v>28</v>
      </c>
      <c r="AJ62" s="674" t="s">
        <v>28</v>
      </c>
      <c r="AK62" s="674" t="s">
        <v>28</v>
      </c>
      <c r="AL62" s="674" t="s">
        <v>28</v>
      </c>
      <c r="AM62" s="674" t="s">
        <v>28</v>
      </c>
      <c r="AN62" s="674" t="s">
        <v>28</v>
      </c>
      <c r="AO62" s="657" t="s">
        <v>28</v>
      </c>
      <c r="AP62" s="677" t="s">
        <v>28</v>
      </c>
    </row>
    <row r="63" spans="1:42" ht="11.25" customHeight="1">
      <c r="A63" s="1246" t="s">
        <v>798</v>
      </c>
      <c r="B63" s="1246"/>
      <c r="C63" s="1246"/>
      <c r="D63" s="1246"/>
      <c r="E63" s="1246"/>
      <c r="F63" s="1246"/>
      <c r="G63" s="1246"/>
      <c r="H63" s="1246"/>
      <c r="I63" s="1246"/>
      <c r="J63" s="1246"/>
      <c r="K63" s="1246"/>
      <c r="L63" s="1246"/>
      <c r="M63" s="1246"/>
      <c r="N63" s="1246"/>
      <c r="O63" s="1246"/>
      <c r="P63" s="1246"/>
      <c r="Q63" s="1246"/>
      <c r="R63" s="1246"/>
      <c r="S63" s="1239" t="s">
        <v>801</v>
      </c>
      <c r="T63" s="1240"/>
      <c r="U63" s="1240"/>
      <c r="V63" s="1240"/>
      <c r="W63" s="1240"/>
      <c r="X63" s="1240"/>
      <c r="Y63" s="1240"/>
      <c r="Z63" s="1240"/>
      <c r="AA63" s="1240"/>
      <c r="AB63" s="1240"/>
      <c r="AC63" s="1240"/>
      <c r="AD63" s="1240"/>
      <c r="AE63" s="1240"/>
      <c r="AF63" s="1240"/>
      <c r="AG63" s="1240"/>
      <c r="AH63" s="1240"/>
      <c r="AI63" s="1240"/>
      <c r="AJ63" s="1240"/>
      <c r="AK63" s="1240"/>
      <c r="AL63" s="1240"/>
      <c r="AM63" s="1240"/>
      <c r="AN63" s="1240"/>
      <c r="AO63" s="1240"/>
      <c r="AP63" s="1240"/>
    </row>
    <row r="64" spans="1:42" ht="11.25" customHeight="1">
      <c r="A64" s="1673" t="s">
        <v>679</v>
      </c>
      <c r="B64" s="1673"/>
      <c r="C64" s="1673"/>
      <c r="D64" s="1673"/>
      <c r="E64" s="1673"/>
      <c r="F64" s="1673"/>
      <c r="G64" s="1673"/>
      <c r="H64" s="1673"/>
      <c r="I64" s="1673"/>
      <c r="J64" s="1673"/>
      <c r="K64" s="1673"/>
      <c r="L64" s="1673"/>
      <c r="M64" s="1673"/>
      <c r="N64" s="1673"/>
      <c r="O64" s="1673"/>
      <c r="P64" s="1673"/>
      <c r="Q64" s="1673"/>
      <c r="R64" s="1673"/>
      <c r="S64" s="1241" t="s">
        <v>680</v>
      </c>
      <c r="T64" s="1676"/>
      <c r="U64" s="1676"/>
      <c r="V64" s="1676"/>
      <c r="W64" s="1676"/>
      <c r="X64" s="1676"/>
      <c r="Y64" s="1676"/>
      <c r="Z64" s="1676"/>
      <c r="AA64" s="1676"/>
      <c r="AB64" s="1676"/>
      <c r="AC64" s="1676"/>
      <c r="AD64" s="1676"/>
      <c r="AE64" s="1676"/>
      <c r="AF64" s="1676"/>
      <c r="AG64" s="1676"/>
      <c r="AH64" s="1676"/>
      <c r="AI64" s="1676"/>
      <c r="AJ64" s="1676"/>
      <c r="AK64" s="1676"/>
      <c r="AL64" s="1676"/>
      <c r="AM64" s="1676"/>
      <c r="AN64" s="1676"/>
      <c r="AO64" s="1676"/>
      <c r="AP64" s="1676"/>
    </row>
    <row r="65" spans="1:42" ht="11.25" customHeight="1">
      <c r="A65" s="1202" t="s">
        <v>1061</v>
      </c>
      <c r="B65" s="1202"/>
      <c r="C65" s="1202"/>
      <c r="D65" s="1202"/>
      <c r="E65" s="1202"/>
      <c r="F65" s="1202"/>
      <c r="G65" s="1202"/>
      <c r="H65" s="1202"/>
      <c r="I65" s="1202"/>
      <c r="J65" s="1202"/>
      <c r="K65" s="1202"/>
      <c r="L65" s="1202"/>
      <c r="M65" s="1202"/>
      <c r="N65" s="1202"/>
      <c r="O65" s="1202"/>
      <c r="P65" s="1202"/>
      <c r="Q65" s="1202"/>
      <c r="R65" s="1202"/>
      <c r="S65" s="1202" t="s">
        <v>1220</v>
      </c>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c r="AO65" s="1202"/>
      <c r="AP65" s="1202"/>
    </row>
    <row r="66" spans="1:42" ht="10.5" customHeight="1">
      <c r="A66" s="1243"/>
      <c r="B66" s="1243"/>
      <c r="C66" s="1243"/>
      <c r="D66" s="1243"/>
      <c r="E66" s="1243"/>
      <c r="F66" s="1243"/>
      <c r="G66" s="1243"/>
      <c r="H66" s="1243"/>
      <c r="I66" s="1243"/>
      <c r="J66" s="1243"/>
      <c r="K66" s="1243"/>
      <c r="L66" s="1243"/>
      <c r="M66" s="1243"/>
      <c r="N66" s="1243"/>
      <c r="O66" s="1243"/>
      <c r="P66" s="1243"/>
      <c r="Q66" s="1243"/>
      <c r="R66" s="1243"/>
      <c r="S66" s="1243"/>
      <c r="T66" s="1243"/>
      <c r="U66" s="1244"/>
      <c r="V66" s="1244"/>
      <c r="W66" s="1244"/>
      <c r="X66" s="1244"/>
      <c r="Y66" s="1244"/>
      <c r="Z66" s="1244"/>
      <c r="AA66" s="1244"/>
      <c r="AB66" s="1244"/>
      <c r="AC66" s="1244"/>
      <c r="AD66" s="1244"/>
      <c r="AE66" s="1244"/>
      <c r="AF66" s="1244"/>
      <c r="AG66" s="1244"/>
      <c r="AH66" s="1244"/>
      <c r="AI66" s="1244"/>
      <c r="AJ66" s="1244"/>
      <c r="AK66" s="1244"/>
      <c r="AL66" s="1244"/>
      <c r="AM66" s="1244"/>
      <c r="AN66" s="1244"/>
      <c r="AO66" s="1244"/>
      <c r="AP66" s="1244"/>
    </row>
    <row r="68" spans="1:42">
      <c r="A68" s="713"/>
    </row>
  </sheetData>
  <mergeCells count="70">
    <mergeCell ref="S7:AP7"/>
    <mergeCell ref="S8:AP8"/>
    <mergeCell ref="A2:R2"/>
    <mergeCell ref="S2:AP2"/>
    <mergeCell ref="A16:R16"/>
    <mergeCell ref="S16:AP16"/>
    <mergeCell ref="AO10:AP10"/>
    <mergeCell ref="AK9:AL9"/>
    <mergeCell ref="AM9:AN9"/>
    <mergeCell ref="A10:B10"/>
    <mergeCell ref="E10:F10"/>
    <mergeCell ref="G10:H10"/>
    <mergeCell ref="I10:J10"/>
    <mergeCell ref="K10:L10"/>
    <mergeCell ref="M10:N10"/>
    <mergeCell ref="AC9:AD9"/>
    <mergeCell ref="S63:AP63"/>
    <mergeCell ref="S64:AP64"/>
    <mergeCell ref="A66:T66"/>
    <mergeCell ref="U66:AP66"/>
    <mergeCell ref="A32:R32"/>
    <mergeCell ref="S32:AP32"/>
    <mergeCell ref="A63:R63"/>
    <mergeCell ref="A64:R64"/>
    <mergeCell ref="A65:R65"/>
    <mergeCell ref="S65:AP65"/>
    <mergeCell ref="O10:P10"/>
    <mergeCell ref="Q10:R10"/>
    <mergeCell ref="S10:T10"/>
    <mergeCell ref="U10:V10"/>
    <mergeCell ref="Y10:Z10"/>
    <mergeCell ref="W10:X10"/>
    <mergeCell ref="AA10:AB10"/>
    <mergeCell ref="AC10:AD10"/>
    <mergeCell ref="AE10:AF10"/>
    <mergeCell ref="AK10:AL10"/>
    <mergeCell ref="AM10:AN10"/>
    <mergeCell ref="AG10:AH10"/>
    <mergeCell ref="AI10:AJ10"/>
    <mergeCell ref="AO9:AP9"/>
    <mergeCell ref="Q9:R9"/>
    <mergeCell ref="S9:T9"/>
    <mergeCell ref="U9:V9"/>
    <mergeCell ref="Y9:Z9"/>
    <mergeCell ref="AA9:AB9"/>
    <mergeCell ref="W9:X9"/>
    <mergeCell ref="AG9:AH9"/>
    <mergeCell ref="AI9:AJ9"/>
    <mergeCell ref="A6:B6"/>
    <mergeCell ref="A7:B7"/>
    <mergeCell ref="AE9:AF9"/>
    <mergeCell ref="A8:B8"/>
    <mergeCell ref="A9:B9"/>
    <mergeCell ref="E9:F9"/>
    <mergeCell ref="G9:H9"/>
    <mergeCell ref="I9:J9"/>
    <mergeCell ref="K9:L9"/>
    <mergeCell ref="M9:N9"/>
    <mergeCell ref="O9:P9"/>
    <mergeCell ref="C6:D6"/>
    <mergeCell ref="E6:R6"/>
    <mergeCell ref="E7:R7"/>
    <mergeCell ref="E8:R8"/>
    <mergeCell ref="S6:AP6"/>
    <mergeCell ref="A5:B5"/>
    <mergeCell ref="C5:D5"/>
    <mergeCell ref="A3:R3"/>
    <mergeCell ref="S3:AP3"/>
    <mergeCell ref="E5:R5"/>
    <mergeCell ref="S5:AP5"/>
  </mergeCells>
  <phoneticPr fontId="4" type="noConversion"/>
  <hyperlinks>
    <hyperlink ref="A1" location="목록!A1" display="목록!A1" xr:uid="{C1645C5D-7835-422C-B3BC-A0F3483F9542}"/>
  </hyperlinks>
  <pageMargins left="0.59055118110236227" right="0.59055118110236227" top="0.70718749999999997" bottom="0.40687499999999999" header="0.62992125984251968" footer="0.39370078740157483"/>
  <pageSetup paperSize="9" scale="93"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N69"/>
  <sheetViews>
    <sheetView showGridLines="0" showWhiteSpace="0" view="pageBreakPreview" zoomScaleNormal="100" zoomScaleSheetLayoutView="100" workbookViewId="0">
      <selection activeCell="X13" sqref="X13"/>
    </sheetView>
  </sheetViews>
  <sheetFormatPr defaultColWidth="8.88671875" defaultRowHeight="16.5"/>
  <cols>
    <col min="1" max="1" width="8.88671875" style="710"/>
    <col min="2" max="2" width="9" style="710" customWidth="1"/>
    <col min="3" max="18" width="3.77734375" style="710" customWidth="1"/>
    <col min="19" max="22" width="3.44140625" style="710" customWidth="1"/>
    <col min="23" max="26" width="3.77734375" style="710" customWidth="1"/>
    <col min="27" max="30" width="3.44140625" style="710" customWidth="1"/>
    <col min="31" max="32" width="3.88671875" style="710" customWidth="1"/>
    <col min="33" max="34" width="3.5546875" style="710" customWidth="1"/>
    <col min="35" max="40" width="3.44140625" style="710" customWidth="1"/>
    <col min="41" max="16384" width="8.88671875" style="703"/>
  </cols>
  <sheetData>
    <row r="1" spans="1:40" ht="22.5">
      <c r="A1" s="901" t="s">
        <v>1332</v>
      </c>
    </row>
    <row r="2" spans="1:40" ht="13.5" customHeight="1">
      <c r="A2" s="1254" t="s">
        <v>957</v>
      </c>
      <c r="B2" s="1254"/>
      <c r="C2" s="1254"/>
      <c r="D2" s="1254"/>
      <c r="E2" s="1254"/>
      <c r="F2" s="1254"/>
      <c r="G2" s="1254"/>
      <c r="H2" s="1254"/>
      <c r="I2" s="1254"/>
      <c r="J2" s="1254"/>
      <c r="K2" s="1254"/>
      <c r="L2" s="1254"/>
      <c r="M2" s="1254"/>
      <c r="N2" s="1254"/>
      <c r="O2" s="1254"/>
      <c r="P2" s="1254"/>
      <c r="Q2" s="1254"/>
      <c r="R2" s="1254"/>
      <c r="S2" s="1253" t="s">
        <v>1027</v>
      </c>
      <c r="T2" s="1253"/>
      <c r="U2" s="1253"/>
      <c r="V2" s="1253"/>
      <c r="W2" s="1253"/>
      <c r="X2" s="1253"/>
      <c r="Y2" s="1253"/>
      <c r="Z2" s="1253"/>
      <c r="AA2" s="1253"/>
      <c r="AB2" s="1253"/>
      <c r="AC2" s="1253"/>
      <c r="AD2" s="1253"/>
      <c r="AE2" s="1253"/>
      <c r="AF2" s="1253"/>
      <c r="AG2" s="1253"/>
      <c r="AH2" s="1253"/>
      <c r="AI2" s="1253"/>
      <c r="AJ2" s="1253"/>
      <c r="AK2" s="1253"/>
      <c r="AL2" s="1253"/>
      <c r="AM2" s="1253"/>
      <c r="AN2" s="1253"/>
    </row>
    <row r="3" spans="1:40" ht="26.25" customHeight="1">
      <c r="A3" s="1252" t="s">
        <v>934</v>
      </c>
      <c r="B3" s="1252"/>
      <c r="C3" s="1252"/>
      <c r="D3" s="1252"/>
      <c r="E3" s="1252"/>
      <c r="F3" s="1252"/>
      <c r="G3" s="1252"/>
      <c r="H3" s="1252"/>
      <c r="I3" s="1252"/>
      <c r="J3" s="1252"/>
      <c r="K3" s="1252"/>
      <c r="L3" s="1252"/>
      <c r="M3" s="1252"/>
      <c r="N3" s="1252"/>
      <c r="O3" s="1252"/>
      <c r="P3" s="1252"/>
      <c r="Q3" s="1252"/>
      <c r="R3" s="1252"/>
      <c r="S3" s="1252" t="s">
        <v>933</v>
      </c>
      <c r="T3" s="1252"/>
      <c r="U3" s="1252"/>
      <c r="V3" s="1252"/>
      <c r="W3" s="1252"/>
      <c r="X3" s="1252"/>
      <c r="Y3" s="1252"/>
      <c r="Z3" s="1252"/>
      <c r="AA3" s="1252"/>
      <c r="AB3" s="1252"/>
      <c r="AC3" s="1252"/>
      <c r="AD3" s="1252"/>
      <c r="AE3" s="1252"/>
      <c r="AF3" s="1252"/>
      <c r="AG3" s="1252"/>
      <c r="AH3" s="1252"/>
      <c r="AI3" s="1252"/>
      <c r="AJ3" s="1252"/>
      <c r="AK3" s="1252"/>
      <c r="AL3" s="1252"/>
      <c r="AM3" s="1252"/>
      <c r="AN3" s="1252"/>
    </row>
    <row r="4" spans="1:40" ht="13.5" customHeight="1" thickBot="1">
      <c r="A4" s="709"/>
      <c r="B4" s="709"/>
      <c r="C4" s="709"/>
      <c r="D4" s="709"/>
      <c r="E4" s="709"/>
      <c r="F4" s="709"/>
      <c r="G4" s="709"/>
      <c r="H4" s="709"/>
      <c r="I4" s="709"/>
      <c r="J4" s="709"/>
      <c r="K4" s="709"/>
      <c r="L4" s="709"/>
      <c r="M4" s="709"/>
      <c r="N4" s="709"/>
      <c r="O4" s="709"/>
      <c r="P4" s="709"/>
      <c r="Q4" s="709"/>
      <c r="R4" s="709"/>
      <c r="S4" s="709"/>
      <c r="T4" s="1674"/>
      <c r="U4" s="1674"/>
      <c r="V4" s="1674"/>
      <c r="W4" s="1674"/>
      <c r="X4" s="709"/>
      <c r="Y4" s="709"/>
      <c r="Z4" s="709"/>
      <c r="AA4" s="709"/>
      <c r="AB4" s="709"/>
      <c r="AC4" s="709"/>
      <c r="AD4" s="709"/>
      <c r="AE4" s="709"/>
      <c r="AF4" s="709"/>
      <c r="AG4" s="709"/>
      <c r="AH4" s="709"/>
      <c r="AI4" s="709"/>
      <c r="AJ4" s="709"/>
      <c r="AK4" s="709"/>
      <c r="AL4" s="709"/>
      <c r="AM4" s="709"/>
      <c r="AN4" s="709"/>
    </row>
    <row r="5" spans="1:40" ht="11.25" customHeight="1">
      <c r="A5" s="1222" t="s">
        <v>668</v>
      </c>
      <c r="B5" s="1223"/>
      <c r="C5" s="1224" t="s">
        <v>803</v>
      </c>
      <c r="D5" s="1222"/>
      <c r="E5" s="1222"/>
      <c r="F5" s="1222"/>
      <c r="G5" s="1222"/>
      <c r="H5" s="1222"/>
      <c r="I5" s="1222"/>
      <c r="J5" s="1222"/>
      <c r="K5" s="1222"/>
      <c r="L5" s="1222"/>
      <c r="M5" s="1222"/>
      <c r="N5" s="1222"/>
      <c r="O5" s="1222"/>
      <c r="P5" s="1222"/>
      <c r="Q5" s="1222"/>
      <c r="R5" s="1222"/>
      <c r="S5" s="1222" t="s">
        <v>803</v>
      </c>
      <c r="T5" s="1222"/>
      <c r="U5" s="1222"/>
      <c r="V5" s="1222"/>
      <c r="W5" s="1222"/>
      <c r="X5" s="1222"/>
      <c r="Y5" s="1222"/>
      <c r="Z5" s="1222"/>
      <c r="AA5" s="1222"/>
      <c r="AB5" s="1222"/>
      <c r="AC5" s="1222"/>
      <c r="AD5" s="1222"/>
      <c r="AE5" s="1222"/>
      <c r="AF5" s="1222"/>
      <c r="AG5" s="1222"/>
      <c r="AH5" s="1222"/>
      <c r="AI5" s="1222"/>
      <c r="AJ5" s="1222"/>
      <c r="AK5" s="1222"/>
      <c r="AL5" s="1222"/>
      <c r="AM5" s="1222"/>
      <c r="AN5" s="1222"/>
    </row>
    <row r="6" spans="1:40" ht="9.75" customHeight="1">
      <c r="A6" s="1257" t="s">
        <v>7</v>
      </c>
      <c r="B6" s="1225"/>
      <c r="C6" s="1233" t="s">
        <v>804</v>
      </c>
      <c r="D6" s="1234"/>
      <c r="E6" s="1234"/>
      <c r="F6" s="1234"/>
      <c r="G6" s="1234"/>
      <c r="H6" s="1234"/>
      <c r="I6" s="1234"/>
      <c r="J6" s="1234"/>
      <c r="K6" s="1234"/>
      <c r="L6" s="1234"/>
      <c r="M6" s="1234"/>
      <c r="N6" s="1234"/>
      <c r="O6" s="1234"/>
      <c r="P6" s="1234"/>
      <c r="Q6" s="1234"/>
      <c r="R6" s="1234"/>
      <c r="S6" s="1234" t="s">
        <v>804</v>
      </c>
      <c r="T6" s="1234"/>
      <c r="U6" s="1234"/>
      <c r="V6" s="1234"/>
      <c r="W6" s="1234"/>
      <c r="X6" s="1234"/>
      <c r="Y6" s="1234"/>
      <c r="Z6" s="1234"/>
      <c r="AA6" s="1234"/>
      <c r="AB6" s="1234"/>
      <c r="AC6" s="1234"/>
      <c r="AD6" s="1234"/>
      <c r="AE6" s="1234"/>
      <c r="AF6" s="1234"/>
      <c r="AG6" s="1234"/>
      <c r="AH6" s="1234"/>
      <c r="AI6" s="1234"/>
      <c r="AJ6" s="1234"/>
      <c r="AK6" s="1234"/>
      <c r="AL6" s="1234"/>
      <c r="AM6" s="1234"/>
      <c r="AN6" s="1234"/>
    </row>
    <row r="7" spans="1:40" ht="11.25" customHeight="1">
      <c r="A7" s="1668"/>
      <c r="B7" s="1226"/>
      <c r="C7" s="1235" t="s">
        <v>797</v>
      </c>
      <c r="D7" s="1236"/>
      <c r="E7" s="1236"/>
      <c r="F7" s="1236"/>
      <c r="G7" s="1236"/>
      <c r="H7" s="1236"/>
      <c r="I7" s="1236"/>
      <c r="J7" s="1236"/>
      <c r="K7" s="1236"/>
      <c r="L7" s="1236"/>
      <c r="M7" s="1236"/>
      <c r="N7" s="1236"/>
      <c r="O7" s="1236"/>
      <c r="P7" s="1236"/>
      <c r="Q7" s="1236"/>
      <c r="R7" s="1236"/>
      <c r="S7" s="1236" t="s">
        <v>797</v>
      </c>
      <c r="T7" s="1236"/>
      <c r="U7" s="1236"/>
      <c r="V7" s="1236"/>
      <c r="W7" s="1236"/>
      <c r="X7" s="1236"/>
      <c r="Y7" s="1236"/>
      <c r="Z7" s="1236"/>
      <c r="AA7" s="1236"/>
      <c r="AB7" s="1236"/>
      <c r="AC7" s="1236"/>
      <c r="AD7" s="1236"/>
      <c r="AE7" s="1236"/>
      <c r="AF7" s="1236"/>
      <c r="AG7" s="1236"/>
      <c r="AH7" s="1236"/>
      <c r="AI7" s="1236"/>
      <c r="AJ7" s="1236"/>
      <c r="AK7" s="1236"/>
      <c r="AL7" s="1236"/>
      <c r="AM7" s="1236"/>
      <c r="AN7" s="1236"/>
    </row>
    <row r="8" spans="1:40" ht="9.75" customHeight="1">
      <c r="A8" s="1668"/>
      <c r="B8" s="1226"/>
      <c r="C8" s="1233" t="s">
        <v>677</v>
      </c>
      <c r="D8" s="1234"/>
      <c r="E8" s="1234"/>
      <c r="F8" s="1234"/>
      <c r="G8" s="1234"/>
      <c r="H8" s="1234"/>
      <c r="I8" s="1234"/>
      <c r="J8" s="1234"/>
      <c r="K8" s="1234"/>
      <c r="L8" s="1234"/>
      <c r="M8" s="1234"/>
      <c r="N8" s="1234"/>
      <c r="O8" s="1234"/>
      <c r="P8" s="1234"/>
      <c r="Q8" s="1234"/>
      <c r="R8" s="1234"/>
      <c r="S8" s="1234" t="s">
        <v>677</v>
      </c>
      <c r="T8" s="1234"/>
      <c r="U8" s="1234"/>
      <c r="V8" s="1234"/>
      <c r="W8" s="1234"/>
      <c r="X8" s="1234"/>
      <c r="Y8" s="1234"/>
      <c r="Z8" s="1234"/>
      <c r="AA8" s="1234"/>
      <c r="AB8" s="1234"/>
      <c r="AC8" s="1234"/>
      <c r="AD8" s="1234"/>
      <c r="AE8" s="1234"/>
      <c r="AF8" s="1234"/>
      <c r="AG8" s="1234"/>
      <c r="AH8" s="1234"/>
      <c r="AI8" s="1234"/>
      <c r="AJ8" s="1234"/>
      <c r="AK8" s="1234"/>
      <c r="AL8" s="1234"/>
      <c r="AM8" s="1234"/>
      <c r="AN8" s="1234"/>
    </row>
    <row r="9" spans="1:40" ht="42" customHeight="1">
      <c r="A9" s="1670"/>
      <c r="B9" s="1229"/>
      <c r="C9" s="1227" t="s">
        <v>805</v>
      </c>
      <c r="D9" s="1228"/>
      <c r="E9" s="1227" t="s">
        <v>403</v>
      </c>
      <c r="F9" s="1228"/>
      <c r="G9" s="1227" t="s">
        <v>404</v>
      </c>
      <c r="H9" s="1228"/>
      <c r="I9" s="1230" t="s">
        <v>683</v>
      </c>
      <c r="J9" s="1231"/>
      <c r="K9" s="1227" t="s">
        <v>469</v>
      </c>
      <c r="L9" s="1228"/>
      <c r="M9" s="1227" t="s">
        <v>470</v>
      </c>
      <c r="N9" s="1228"/>
      <c r="O9" s="1227" t="s">
        <v>455</v>
      </c>
      <c r="P9" s="1228"/>
      <c r="Q9" s="1227" t="s">
        <v>456</v>
      </c>
      <c r="R9" s="1228"/>
      <c r="S9" s="1227" t="s">
        <v>457</v>
      </c>
      <c r="T9" s="1228"/>
      <c r="U9" s="1227" t="s">
        <v>1056</v>
      </c>
      <c r="V9" s="1228"/>
      <c r="W9" s="1227" t="s">
        <v>458</v>
      </c>
      <c r="X9" s="1228"/>
      <c r="Y9" s="1227" t="s">
        <v>459</v>
      </c>
      <c r="Z9" s="1228"/>
      <c r="AA9" s="1227" t="s">
        <v>400</v>
      </c>
      <c r="AB9" s="1228"/>
      <c r="AC9" s="1227" t="s">
        <v>460</v>
      </c>
      <c r="AD9" s="1228"/>
      <c r="AE9" s="1227" t="s">
        <v>1058</v>
      </c>
      <c r="AF9" s="1228"/>
      <c r="AG9" s="1227" t="s">
        <v>407</v>
      </c>
      <c r="AH9" s="1228"/>
      <c r="AI9" s="1227" t="s">
        <v>402</v>
      </c>
      <c r="AJ9" s="1228"/>
      <c r="AK9" s="1227" t="s">
        <v>461</v>
      </c>
      <c r="AL9" s="1228"/>
      <c r="AM9" s="1227" t="s">
        <v>298</v>
      </c>
      <c r="AN9" s="1237"/>
    </row>
    <row r="10" spans="1:40" ht="39" customHeight="1">
      <c r="A10" s="1257"/>
      <c r="B10" s="1225"/>
      <c r="C10" s="1233" t="s">
        <v>196</v>
      </c>
      <c r="D10" s="1238"/>
      <c r="E10" s="1233" t="s">
        <v>423</v>
      </c>
      <c r="F10" s="1238"/>
      <c r="G10" s="1233" t="s">
        <v>424</v>
      </c>
      <c r="H10" s="1238"/>
      <c r="I10" s="1248" t="s">
        <v>678</v>
      </c>
      <c r="J10" s="1249"/>
      <c r="K10" s="1233" t="s">
        <v>471</v>
      </c>
      <c r="L10" s="1238"/>
      <c r="M10" s="1233" t="s">
        <v>472</v>
      </c>
      <c r="N10" s="1238"/>
      <c r="O10" s="1233" t="s">
        <v>462</v>
      </c>
      <c r="P10" s="1238"/>
      <c r="Q10" s="1233" t="s">
        <v>463</v>
      </c>
      <c r="R10" s="1238"/>
      <c r="S10" s="1233" t="s">
        <v>464</v>
      </c>
      <c r="T10" s="1238"/>
      <c r="U10" s="1233" t="s">
        <v>1057</v>
      </c>
      <c r="V10" s="1238"/>
      <c r="W10" s="1233" t="s">
        <v>465</v>
      </c>
      <c r="X10" s="1238"/>
      <c r="Y10" s="1233" t="s">
        <v>466</v>
      </c>
      <c r="Z10" s="1238"/>
      <c r="AA10" s="1233" t="s">
        <v>473</v>
      </c>
      <c r="AB10" s="1238"/>
      <c r="AC10" s="1233" t="s">
        <v>467</v>
      </c>
      <c r="AD10" s="1238"/>
      <c r="AE10" s="1233" t="s">
        <v>1059</v>
      </c>
      <c r="AF10" s="1238"/>
      <c r="AG10" s="1233" t="s">
        <v>1060</v>
      </c>
      <c r="AH10" s="1238"/>
      <c r="AI10" s="1233" t="s">
        <v>422</v>
      </c>
      <c r="AJ10" s="1238"/>
      <c r="AK10" s="1233" t="s">
        <v>468</v>
      </c>
      <c r="AL10" s="1238"/>
      <c r="AM10" s="1233" t="s">
        <v>150</v>
      </c>
      <c r="AN10" s="1234"/>
    </row>
    <row r="11" spans="1:40" ht="11.25" customHeight="1">
      <c r="A11" s="946"/>
      <c r="B11" s="941"/>
      <c r="C11" s="646" t="s">
        <v>354</v>
      </c>
      <c r="D11" s="646" t="s">
        <v>640</v>
      </c>
      <c r="E11" s="646" t="s">
        <v>354</v>
      </c>
      <c r="F11" s="646" t="s">
        <v>640</v>
      </c>
      <c r="G11" s="646" t="s">
        <v>354</v>
      </c>
      <c r="H11" s="646" t="s">
        <v>640</v>
      </c>
      <c r="I11" s="646" t="s">
        <v>354</v>
      </c>
      <c r="J11" s="646" t="s">
        <v>640</v>
      </c>
      <c r="K11" s="646" t="s">
        <v>354</v>
      </c>
      <c r="L11" s="646" t="s">
        <v>640</v>
      </c>
      <c r="M11" s="646" t="s">
        <v>354</v>
      </c>
      <c r="N11" s="646" t="s">
        <v>640</v>
      </c>
      <c r="O11" s="646" t="s">
        <v>354</v>
      </c>
      <c r="P11" s="646" t="s">
        <v>640</v>
      </c>
      <c r="Q11" s="646" t="s">
        <v>354</v>
      </c>
      <c r="R11" s="646" t="s">
        <v>640</v>
      </c>
      <c r="S11" s="646" t="s">
        <v>354</v>
      </c>
      <c r="T11" s="646" t="s">
        <v>640</v>
      </c>
      <c r="U11" s="646" t="s">
        <v>354</v>
      </c>
      <c r="V11" s="646" t="s">
        <v>640</v>
      </c>
      <c r="W11" s="646" t="s">
        <v>354</v>
      </c>
      <c r="X11" s="646" t="s">
        <v>640</v>
      </c>
      <c r="Y11" s="646" t="s">
        <v>354</v>
      </c>
      <c r="Z11" s="646" t="s">
        <v>640</v>
      </c>
      <c r="AA11" s="646" t="s">
        <v>354</v>
      </c>
      <c r="AB11" s="646" t="s">
        <v>640</v>
      </c>
      <c r="AC11" s="646" t="s">
        <v>354</v>
      </c>
      <c r="AD11" s="646" t="s">
        <v>640</v>
      </c>
      <c r="AE11" s="646" t="s">
        <v>354</v>
      </c>
      <c r="AF11" s="646" t="s">
        <v>640</v>
      </c>
      <c r="AG11" s="646" t="s">
        <v>354</v>
      </c>
      <c r="AH11" s="646" t="s">
        <v>640</v>
      </c>
      <c r="AI11" s="646" t="s">
        <v>354</v>
      </c>
      <c r="AJ11" s="646" t="s">
        <v>640</v>
      </c>
      <c r="AK11" s="646" t="s">
        <v>354</v>
      </c>
      <c r="AL11" s="646" t="s">
        <v>640</v>
      </c>
      <c r="AM11" s="646" t="s">
        <v>354</v>
      </c>
      <c r="AN11" s="940" t="s">
        <v>640</v>
      </c>
    </row>
    <row r="12" spans="1:40" ht="9.75" customHeight="1">
      <c r="A12" s="647"/>
      <c r="B12" s="648"/>
      <c r="C12" s="947" t="s">
        <v>367</v>
      </c>
      <c r="D12" s="947" t="s">
        <v>368</v>
      </c>
      <c r="E12" s="947" t="s">
        <v>367</v>
      </c>
      <c r="F12" s="947" t="s">
        <v>368</v>
      </c>
      <c r="G12" s="947" t="s">
        <v>367</v>
      </c>
      <c r="H12" s="947" t="s">
        <v>368</v>
      </c>
      <c r="I12" s="947" t="s">
        <v>367</v>
      </c>
      <c r="J12" s="947" t="s">
        <v>368</v>
      </c>
      <c r="K12" s="947" t="s">
        <v>367</v>
      </c>
      <c r="L12" s="947" t="s">
        <v>368</v>
      </c>
      <c r="M12" s="947" t="s">
        <v>367</v>
      </c>
      <c r="N12" s="947" t="s">
        <v>368</v>
      </c>
      <c r="O12" s="947" t="s">
        <v>367</v>
      </c>
      <c r="P12" s="947" t="s">
        <v>368</v>
      </c>
      <c r="Q12" s="947" t="s">
        <v>367</v>
      </c>
      <c r="R12" s="947" t="s">
        <v>368</v>
      </c>
      <c r="S12" s="947" t="s">
        <v>367</v>
      </c>
      <c r="T12" s="947" t="s">
        <v>368</v>
      </c>
      <c r="U12" s="947" t="s">
        <v>367</v>
      </c>
      <c r="V12" s="947" t="s">
        <v>368</v>
      </c>
      <c r="W12" s="947" t="s">
        <v>367</v>
      </c>
      <c r="X12" s="947" t="s">
        <v>368</v>
      </c>
      <c r="Y12" s="947" t="s">
        <v>367</v>
      </c>
      <c r="Z12" s="947" t="s">
        <v>368</v>
      </c>
      <c r="AA12" s="947" t="s">
        <v>367</v>
      </c>
      <c r="AB12" s="947" t="s">
        <v>368</v>
      </c>
      <c r="AC12" s="947" t="s">
        <v>367</v>
      </c>
      <c r="AD12" s="947" t="s">
        <v>368</v>
      </c>
      <c r="AE12" s="947" t="s">
        <v>367</v>
      </c>
      <c r="AF12" s="947" t="s">
        <v>368</v>
      </c>
      <c r="AG12" s="947" t="s">
        <v>367</v>
      </c>
      <c r="AH12" s="947" t="s">
        <v>368</v>
      </c>
      <c r="AI12" s="947" t="s">
        <v>367</v>
      </c>
      <c r="AJ12" s="947" t="s">
        <v>368</v>
      </c>
      <c r="AK12" s="947" t="s">
        <v>367</v>
      </c>
      <c r="AL12" s="947" t="s">
        <v>368</v>
      </c>
      <c r="AM12" s="947" t="s">
        <v>367</v>
      </c>
      <c r="AN12" s="649" t="s">
        <v>368</v>
      </c>
    </row>
    <row r="13" spans="1:40" ht="10.5" customHeight="1">
      <c r="A13" s="650" t="s">
        <v>27</v>
      </c>
      <c r="B13" s="651" t="s">
        <v>16</v>
      </c>
      <c r="C13" s="1671">
        <v>326</v>
      </c>
      <c r="D13" s="1671">
        <v>171</v>
      </c>
      <c r="E13" s="1671">
        <v>21</v>
      </c>
      <c r="F13" s="1671">
        <v>10</v>
      </c>
      <c r="G13" s="1671">
        <v>133</v>
      </c>
      <c r="H13" s="1671">
        <v>68</v>
      </c>
      <c r="I13" s="1671">
        <v>11</v>
      </c>
      <c r="J13" s="1671">
        <v>6</v>
      </c>
      <c r="K13" s="1671">
        <v>3</v>
      </c>
      <c r="L13" s="1671">
        <v>1</v>
      </c>
      <c r="M13" s="1671">
        <v>10</v>
      </c>
      <c r="N13" s="1671">
        <v>6</v>
      </c>
      <c r="O13" s="1671">
        <v>26</v>
      </c>
      <c r="P13" s="1671">
        <v>18</v>
      </c>
      <c r="Q13" s="1671">
        <v>57</v>
      </c>
      <c r="R13" s="1671">
        <v>28</v>
      </c>
      <c r="S13" s="1671">
        <v>10</v>
      </c>
      <c r="T13" s="1671">
        <v>3</v>
      </c>
      <c r="U13" s="1671">
        <v>1</v>
      </c>
      <c r="V13" s="1671">
        <v>1</v>
      </c>
      <c r="W13" s="1671">
        <v>2</v>
      </c>
      <c r="X13" s="1671">
        <v>1</v>
      </c>
      <c r="Y13" s="1671">
        <v>17</v>
      </c>
      <c r="Z13" s="1671">
        <v>9</v>
      </c>
      <c r="AA13" s="1671">
        <v>5</v>
      </c>
      <c r="AB13" s="1671">
        <v>3</v>
      </c>
      <c r="AC13" s="1671">
        <v>9</v>
      </c>
      <c r="AD13" s="1671">
        <v>6</v>
      </c>
      <c r="AE13" s="1671" t="s">
        <v>28</v>
      </c>
      <c r="AF13" s="1671" t="s">
        <v>28</v>
      </c>
      <c r="AG13" s="1671">
        <v>4</v>
      </c>
      <c r="AH13" s="1671">
        <v>3</v>
      </c>
      <c r="AI13" s="1671">
        <v>1</v>
      </c>
      <c r="AJ13" s="1671" t="s">
        <v>28</v>
      </c>
      <c r="AK13" s="1671">
        <v>2</v>
      </c>
      <c r="AL13" s="1671">
        <v>2</v>
      </c>
      <c r="AM13" s="1675">
        <v>14</v>
      </c>
      <c r="AN13" s="1675">
        <v>6</v>
      </c>
    </row>
    <row r="14" spans="1:40" ht="10.5" customHeight="1">
      <c r="A14" s="700" t="s">
        <v>29</v>
      </c>
      <c r="B14" s="652" t="s">
        <v>30</v>
      </c>
      <c r="C14" s="653">
        <v>306</v>
      </c>
      <c r="D14" s="653">
        <v>166</v>
      </c>
      <c r="E14" s="653">
        <v>19</v>
      </c>
      <c r="F14" s="653">
        <v>10</v>
      </c>
      <c r="G14" s="653">
        <v>129</v>
      </c>
      <c r="H14" s="653">
        <v>68</v>
      </c>
      <c r="I14" s="653">
        <v>10</v>
      </c>
      <c r="J14" s="653">
        <v>5</v>
      </c>
      <c r="K14" s="653">
        <v>3</v>
      </c>
      <c r="L14" s="653">
        <v>1</v>
      </c>
      <c r="M14" s="653">
        <v>8</v>
      </c>
      <c r="N14" s="653">
        <v>6</v>
      </c>
      <c r="O14" s="653">
        <v>25</v>
      </c>
      <c r="P14" s="653">
        <v>18</v>
      </c>
      <c r="Q14" s="653">
        <v>51</v>
      </c>
      <c r="R14" s="653">
        <v>25</v>
      </c>
      <c r="S14" s="653">
        <v>9</v>
      </c>
      <c r="T14" s="653">
        <v>3</v>
      </c>
      <c r="U14" s="653">
        <v>1</v>
      </c>
      <c r="V14" s="653">
        <v>1</v>
      </c>
      <c r="W14" s="653">
        <v>2</v>
      </c>
      <c r="X14" s="653">
        <v>1</v>
      </c>
      <c r="Y14" s="653">
        <v>17</v>
      </c>
      <c r="Z14" s="653">
        <v>9</v>
      </c>
      <c r="AA14" s="653">
        <v>5</v>
      </c>
      <c r="AB14" s="653">
        <v>3</v>
      </c>
      <c r="AC14" s="653">
        <v>9</v>
      </c>
      <c r="AD14" s="653">
        <v>6</v>
      </c>
      <c r="AE14" s="653" t="s">
        <v>28</v>
      </c>
      <c r="AF14" s="653" t="s">
        <v>28</v>
      </c>
      <c r="AG14" s="653">
        <v>3</v>
      </c>
      <c r="AH14" s="653">
        <v>3</v>
      </c>
      <c r="AI14" s="653">
        <v>1</v>
      </c>
      <c r="AJ14" s="653" t="s">
        <v>28</v>
      </c>
      <c r="AK14" s="653">
        <v>2</v>
      </c>
      <c r="AL14" s="653">
        <v>2</v>
      </c>
      <c r="AM14" s="654">
        <v>12</v>
      </c>
      <c r="AN14" s="654">
        <v>5</v>
      </c>
    </row>
    <row r="15" spans="1:40" ht="10.5" customHeight="1" thickBot="1">
      <c r="A15" s="655" t="s">
        <v>31</v>
      </c>
      <c r="B15" s="656" t="s">
        <v>32</v>
      </c>
      <c r="C15" s="657">
        <v>20</v>
      </c>
      <c r="D15" s="657">
        <v>5</v>
      </c>
      <c r="E15" s="657">
        <v>2</v>
      </c>
      <c r="F15" s="657" t="s">
        <v>28</v>
      </c>
      <c r="G15" s="657">
        <v>4</v>
      </c>
      <c r="H15" s="657" t="s">
        <v>28</v>
      </c>
      <c r="I15" s="657">
        <v>1</v>
      </c>
      <c r="J15" s="657">
        <v>1</v>
      </c>
      <c r="K15" s="657" t="s">
        <v>28</v>
      </c>
      <c r="L15" s="657" t="s">
        <v>28</v>
      </c>
      <c r="M15" s="657">
        <v>2</v>
      </c>
      <c r="N15" s="657" t="s">
        <v>28</v>
      </c>
      <c r="O15" s="657">
        <v>1</v>
      </c>
      <c r="P15" s="657" t="s">
        <v>28</v>
      </c>
      <c r="Q15" s="657">
        <v>6</v>
      </c>
      <c r="R15" s="657">
        <v>3</v>
      </c>
      <c r="S15" s="657">
        <v>1</v>
      </c>
      <c r="T15" s="657" t="s">
        <v>28</v>
      </c>
      <c r="U15" s="657" t="s">
        <v>28</v>
      </c>
      <c r="V15" s="657" t="s">
        <v>28</v>
      </c>
      <c r="W15" s="657" t="s">
        <v>28</v>
      </c>
      <c r="X15" s="657" t="s">
        <v>28</v>
      </c>
      <c r="Y15" s="657" t="s">
        <v>28</v>
      </c>
      <c r="Z15" s="657" t="s">
        <v>28</v>
      </c>
      <c r="AA15" s="657" t="s">
        <v>28</v>
      </c>
      <c r="AB15" s="657" t="s">
        <v>28</v>
      </c>
      <c r="AC15" s="657" t="s">
        <v>28</v>
      </c>
      <c r="AD15" s="657" t="s">
        <v>28</v>
      </c>
      <c r="AE15" s="657" t="s">
        <v>28</v>
      </c>
      <c r="AF15" s="657" t="s">
        <v>28</v>
      </c>
      <c r="AG15" s="657">
        <v>1</v>
      </c>
      <c r="AH15" s="657" t="s">
        <v>28</v>
      </c>
      <c r="AI15" s="657" t="s">
        <v>28</v>
      </c>
      <c r="AJ15" s="657" t="s">
        <v>28</v>
      </c>
      <c r="AK15" s="657" t="s">
        <v>28</v>
      </c>
      <c r="AL15" s="657" t="s">
        <v>28</v>
      </c>
      <c r="AM15" s="658">
        <v>2</v>
      </c>
      <c r="AN15" s="658">
        <v>1</v>
      </c>
    </row>
    <row r="16" spans="1:40" s="701" customFormat="1" ht="10.5" customHeight="1" thickBot="1">
      <c r="A16" s="1672" t="s">
        <v>363</v>
      </c>
      <c r="B16" s="1672"/>
      <c r="C16" s="1672"/>
      <c r="D16" s="1672"/>
      <c r="E16" s="1672"/>
      <c r="F16" s="1672"/>
      <c r="G16" s="1672"/>
      <c r="H16" s="1672"/>
      <c r="I16" s="1672"/>
      <c r="J16" s="1672"/>
      <c r="K16" s="1672"/>
      <c r="L16" s="1672"/>
      <c r="M16" s="1672"/>
      <c r="N16" s="1672"/>
      <c r="O16" s="1672"/>
      <c r="P16" s="1672"/>
      <c r="Q16" s="1672"/>
      <c r="R16" s="1672"/>
      <c r="S16" s="1672" t="s">
        <v>34</v>
      </c>
      <c r="T16" s="1672"/>
      <c r="U16" s="1672"/>
      <c r="V16" s="1672"/>
      <c r="W16" s="1672"/>
      <c r="X16" s="1672"/>
      <c r="Y16" s="1672"/>
      <c r="Z16" s="1672"/>
      <c r="AA16" s="1672"/>
      <c r="AB16" s="1672"/>
      <c r="AC16" s="1672"/>
      <c r="AD16" s="1672"/>
      <c r="AE16" s="1672"/>
      <c r="AF16" s="1672"/>
      <c r="AG16" s="1672"/>
      <c r="AH16" s="1672"/>
      <c r="AI16" s="1672"/>
      <c r="AJ16" s="1672"/>
      <c r="AK16" s="1672"/>
      <c r="AL16" s="1672"/>
      <c r="AM16" s="1672"/>
      <c r="AN16" s="1672"/>
    </row>
    <row r="17" spans="1:40" ht="10.5" customHeight="1">
      <c r="A17" s="659" t="s">
        <v>35</v>
      </c>
      <c r="B17" s="660" t="s">
        <v>36</v>
      </c>
      <c r="C17" s="661">
        <v>72</v>
      </c>
      <c r="D17" s="661">
        <v>37</v>
      </c>
      <c r="E17" s="661">
        <v>8</v>
      </c>
      <c r="F17" s="661">
        <v>5</v>
      </c>
      <c r="G17" s="661">
        <v>25</v>
      </c>
      <c r="H17" s="661">
        <v>8</v>
      </c>
      <c r="I17" s="661">
        <v>1</v>
      </c>
      <c r="J17" s="661">
        <v>1</v>
      </c>
      <c r="K17" s="661" t="s">
        <v>28</v>
      </c>
      <c r="L17" s="661" t="s">
        <v>28</v>
      </c>
      <c r="M17" s="661">
        <v>2</v>
      </c>
      <c r="N17" s="661">
        <v>1</v>
      </c>
      <c r="O17" s="661">
        <v>7</v>
      </c>
      <c r="P17" s="661">
        <v>4</v>
      </c>
      <c r="Q17" s="661">
        <v>14</v>
      </c>
      <c r="R17" s="662">
        <v>9</v>
      </c>
      <c r="S17" s="663">
        <v>3</v>
      </c>
      <c r="T17" s="661">
        <v>1</v>
      </c>
      <c r="U17" s="661" t="s">
        <v>28</v>
      </c>
      <c r="V17" s="661" t="s">
        <v>28</v>
      </c>
      <c r="W17" s="661">
        <v>1</v>
      </c>
      <c r="X17" s="661">
        <v>1</v>
      </c>
      <c r="Y17" s="661">
        <v>1</v>
      </c>
      <c r="Z17" s="661">
        <v>1</v>
      </c>
      <c r="AA17" s="661">
        <v>1</v>
      </c>
      <c r="AB17" s="661">
        <v>1</v>
      </c>
      <c r="AC17" s="661">
        <v>1</v>
      </c>
      <c r="AD17" s="661" t="s">
        <v>28</v>
      </c>
      <c r="AE17" s="661" t="s">
        <v>28</v>
      </c>
      <c r="AF17" s="661" t="s">
        <v>28</v>
      </c>
      <c r="AG17" s="661">
        <v>2</v>
      </c>
      <c r="AH17" s="661">
        <v>1</v>
      </c>
      <c r="AI17" s="661">
        <v>1</v>
      </c>
      <c r="AJ17" s="661" t="s">
        <v>28</v>
      </c>
      <c r="AK17" s="661">
        <v>1</v>
      </c>
      <c r="AL17" s="661">
        <v>1</v>
      </c>
      <c r="AM17" s="678">
        <v>4</v>
      </c>
      <c r="AN17" s="680">
        <v>3</v>
      </c>
    </row>
    <row r="18" spans="1:40" ht="10.5" customHeight="1">
      <c r="A18" s="700" t="s">
        <v>29</v>
      </c>
      <c r="B18" s="652" t="s">
        <v>30</v>
      </c>
      <c r="C18" s="665">
        <v>53</v>
      </c>
      <c r="D18" s="665">
        <v>32</v>
      </c>
      <c r="E18" s="665">
        <v>6</v>
      </c>
      <c r="F18" s="665">
        <v>5</v>
      </c>
      <c r="G18" s="665">
        <v>21</v>
      </c>
      <c r="H18" s="665">
        <v>8</v>
      </c>
      <c r="I18" s="665" t="s">
        <v>28</v>
      </c>
      <c r="J18" s="665" t="s">
        <v>28</v>
      </c>
      <c r="K18" s="653" t="s">
        <v>28</v>
      </c>
      <c r="L18" s="653" t="s">
        <v>28</v>
      </c>
      <c r="M18" s="653">
        <v>1</v>
      </c>
      <c r="N18" s="653">
        <v>1</v>
      </c>
      <c r="O18" s="653">
        <v>6</v>
      </c>
      <c r="P18" s="653">
        <v>4</v>
      </c>
      <c r="Q18" s="653">
        <v>8</v>
      </c>
      <c r="R18" s="666">
        <v>6</v>
      </c>
      <c r="S18" s="667">
        <v>2</v>
      </c>
      <c r="T18" s="653">
        <v>1</v>
      </c>
      <c r="U18" s="653" t="s">
        <v>28</v>
      </c>
      <c r="V18" s="653" t="s">
        <v>28</v>
      </c>
      <c r="W18" s="653">
        <v>1</v>
      </c>
      <c r="X18" s="653">
        <v>1</v>
      </c>
      <c r="Y18" s="665">
        <v>1</v>
      </c>
      <c r="Z18" s="665">
        <v>1</v>
      </c>
      <c r="AA18" s="665">
        <v>1</v>
      </c>
      <c r="AB18" s="665">
        <v>1</v>
      </c>
      <c r="AC18" s="665">
        <v>1</v>
      </c>
      <c r="AD18" s="665" t="s">
        <v>28</v>
      </c>
      <c r="AE18" s="665" t="s">
        <v>28</v>
      </c>
      <c r="AF18" s="665" t="s">
        <v>28</v>
      </c>
      <c r="AG18" s="665">
        <v>1</v>
      </c>
      <c r="AH18" s="665">
        <v>1</v>
      </c>
      <c r="AI18" s="665">
        <v>1</v>
      </c>
      <c r="AJ18" s="665" t="s">
        <v>28</v>
      </c>
      <c r="AK18" s="665">
        <v>1</v>
      </c>
      <c r="AL18" s="665">
        <v>1</v>
      </c>
      <c r="AM18" s="653">
        <v>2</v>
      </c>
      <c r="AN18" s="654">
        <v>2</v>
      </c>
    </row>
    <row r="19" spans="1:40" ht="10.5" customHeight="1">
      <c r="A19" s="700" t="s">
        <v>31</v>
      </c>
      <c r="B19" s="652" t="s">
        <v>32</v>
      </c>
      <c r="C19" s="665">
        <v>19</v>
      </c>
      <c r="D19" s="665">
        <v>5</v>
      </c>
      <c r="E19" s="665">
        <v>2</v>
      </c>
      <c r="F19" s="665" t="s">
        <v>28</v>
      </c>
      <c r="G19" s="665">
        <v>4</v>
      </c>
      <c r="H19" s="665" t="s">
        <v>28</v>
      </c>
      <c r="I19" s="665">
        <v>1</v>
      </c>
      <c r="J19" s="665">
        <v>1</v>
      </c>
      <c r="K19" s="653" t="s">
        <v>28</v>
      </c>
      <c r="L19" s="653" t="s">
        <v>28</v>
      </c>
      <c r="M19" s="653">
        <v>1</v>
      </c>
      <c r="N19" s="653" t="s">
        <v>28</v>
      </c>
      <c r="O19" s="653">
        <v>1</v>
      </c>
      <c r="P19" s="653" t="s">
        <v>28</v>
      </c>
      <c r="Q19" s="653">
        <v>6</v>
      </c>
      <c r="R19" s="666">
        <v>3</v>
      </c>
      <c r="S19" s="667">
        <v>1</v>
      </c>
      <c r="T19" s="653" t="s">
        <v>28</v>
      </c>
      <c r="U19" s="653" t="s">
        <v>28</v>
      </c>
      <c r="V19" s="653" t="s">
        <v>28</v>
      </c>
      <c r="W19" s="653" t="s">
        <v>28</v>
      </c>
      <c r="X19" s="653" t="s">
        <v>28</v>
      </c>
      <c r="Y19" s="665" t="s">
        <v>28</v>
      </c>
      <c r="Z19" s="665" t="s">
        <v>28</v>
      </c>
      <c r="AA19" s="665" t="s">
        <v>28</v>
      </c>
      <c r="AB19" s="665" t="s">
        <v>28</v>
      </c>
      <c r="AC19" s="665" t="s">
        <v>28</v>
      </c>
      <c r="AD19" s="665" t="s">
        <v>28</v>
      </c>
      <c r="AE19" s="665" t="s">
        <v>28</v>
      </c>
      <c r="AF19" s="665" t="s">
        <v>28</v>
      </c>
      <c r="AG19" s="665">
        <v>1</v>
      </c>
      <c r="AH19" s="665" t="s">
        <v>28</v>
      </c>
      <c r="AI19" s="665" t="s">
        <v>28</v>
      </c>
      <c r="AJ19" s="665" t="s">
        <v>28</v>
      </c>
      <c r="AK19" s="665" t="s">
        <v>28</v>
      </c>
      <c r="AL19" s="665" t="s">
        <v>28</v>
      </c>
      <c r="AM19" s="653">
        <v>2</v>
      </c>
      <c r="AN19" s="654">
        <v>1</v>
      </c>
    </row>
    <row r="20" spans="1:40" ht="10.5" customHeight="1">
      <c r="A20" s="699" t="s">
        <v>37</v>
      </c>
      <c r="B20" s="669" t="s">
        <v>38</v>
      </c>
      <c r="C20" s="670">
        <v>90</v>
      </c>
      <c r="D20" s="670">
        <v>50</v>
      </c>
      <c r="E20" s="670">
        <v>5</v>
      </c>
      <c r="F20" s="670">
        <v>1</v>
      </c>
      <c r="G20" s="670">
        <v>51</v>
      </c>
      <c r="H20" s="670">
        <v>28</v>
      </c>
      <c r="I20" s="670">
        <v>4</v>
      </c>
      <c r="J20" s="670">
        <v>4</v>
      </c>
      <c r="K20" s="670" t="s">
        <v>28</v>
      </c>
      <c r="L20" s="670" t="s">
        <v>28</v>
      </c>
      <c r="M20" s="670">
        <v>2</v>
      </c>
      <c r="N20" s="670">
        <v>1</v>
      </c>
      <c r="O20" s="670">
        <v>5</v>
      </c>
      <c r="P20" s="670">
        <v>4</v>
      </c>
      <c r="Q20" s="670">
        <v>18</v>
      </c>
      <c r="R20" s="671">
        <v>9</v>
      </c>
      <c r="S20" s="672">
        <v>1</v>
      </c>
      <c r="T20" s="670" t="s">
        <v>28</v>
      </c>
      <c r="U20" s="670" t="s">
        <v>28</v>
      </c>
      <c r="V20" s="670" t="s">
        <v>28</v>
      </c>
      <c r="W20" s="670" t="s">
        <v>28</v>
      </c>
      <c r="X20" s="670" t="s">
        <v>28</v>
      </c>
      <c r="Y20" s="670">
        <v>2</v>
      </c>
      <c r="Z20" s="670">
        <v>2</v>
      </c>
      <c r="AA20" s="670">
        <v>1</v>
      </c>
      <c r="AB20" s="670" t="s">
        <v>28</v>
      </c>
      <c r="AC20" s="670" t="s">
        <v>28</v>
      </c>
      <c r="AD20" s="670" t="s">
        <v>28</v>
      </c>
      <c r="AE20" s="670" t="s">
        <v>28</v>
      </c>
      <c r="AF20" s="670" t="s">
        <v>28</v>
      </c>
      <c r="AG20" s="670" t="s">
        <v>28</v>
      </c>
      <c r="AH20" s="670" t="s">
        <v>28</v>
      </c>
      <c r="AI20" s="670" t="s">
        <v>28</v>
      </c>
      <c r="AJ20" s="670" t="s">
        <v>28</v>
      </c>
      <c r="AK20" s="670">
        <v>1</v>
      </c>
      <c r="AL20" s="670">
        <v>1</v>
      </c>
      <c r="AM20" s="679" t="s">
        <v>28</v>
      </c>
      <c r="AN20" s="681" t="s">
        <v>28</v>
      </c>
    </row>
    <row r="21" spans="1:40" ht="10.5" customHeight="1">
      <c r="A21" s="700" t="s">
        <v>29</v>
      </c>
      <c r="B21" s="652" t="s">
        <v>30</v>
      </c>
      <c r="C21" s="665">
        <v>90</v>
      </c>
      <c r="D21" s="665">
        <v>50</v>
      </c>
      <c r="E21" s="665">
        <v>5</v>
      </c>
      <c r="F21" s="665">
        <v>1</v>
      </c>
      <c r="G21" s="665">
        <v>51</v>
      </c>
      <c r="H21" s="665">
        <v>28</v>
      </c>
      <c r="I21" s="665">
        <v>4</v>
      </c>
      <c r="J21" s="665">
        <v>4</v>
      </c>
      <c r="K21" s="653" t="s">
        <v>28</v>
      </c>
      <c r="L21" s="653" t="s">
        <v>28</v>
      </c>
      <c r="M21" s="653">
        <v>2</v>
      </c>
      <c r="N21" s="653">
        <v>1</v>
      </c>
      <c r="O21" s="653">
        <v>5</v>
      </c>
      <c r="P21" s="653">
        <v>4</v>
      </c>
      <c r="Q21" s="653">
        <v>18</v>
      </c>
      <c r="R21" s="666">
        <v>9</v>
      </c>
      <c r="S21" s="667">
        <v>1</v>
      </c>
      <c r="T21" s="653" t="s">
        <v>28</v>
      </c>
      <c r="U21" s="653" t="s">
        <v>28</v>
      </c>
      <c r="V21" s="653" t="s">
        <v>28</v>
      </c>
      <c r="W21" s="653" t="s">
        <v>28</v>
      </c>
      <c r="X21" s="653" t="s">
        <v>28</v>
      </c>
      <c r="Y21" s="665">
        <v>2</v>
      </c>
      <c r="Z21" s="665">
        <v>2</v>
      </c>
      <c r="AA21" s="665">
        <v>1</v>
      </c>
      <c r="AB21" s="665" t="s">
        <v>28</v>
      </c>
      <c r="AC21" s="665" t="s">
        <v>28</v>
      </c>
      <c r="AD21" s="665" t="s">
        <v>28</v>
      </c>
      <c r="AE21" s="665" t="s">
        <v>28</v>
      </c>
      <c r="AF21" s="665" t="s">
        <v>28</v>
      </c>
      <c r="AG21" s="665" t="s">
        <v>28</v>
      </c>
      <c r="AH21" s="665" t="s">
        <v>28</v>
      </c>
      <c r="AI21" s="665" t="s">
        <v>28</v>
      </c>
      <c r="AJ21" s="665" t="s">
        <v>28</v>
      </c>
      <c r="AK21" s="665">
        <v>1</v>
      </c>
      <c r="AL21" s="665">
        <v>1</v>
      </c>
      <c r="AM21" s="653" t="s">
        <v>28</v>
      </c>
      <c r="AN21" s="654" t="s">
        <v>28</v>
      </c>
    </row>
    <row r="22" spans="1:40" ht="10.5" customHeight="1">
      <c r="A22" s="700" t="s">
        <v>31</v>
      </c>
      <c r="B22" s="652" t="s">
        <v>32</v>
      </c>
      <c r="C22" s="665" t="s">
        <v>28</v>
      </c>
      <c r="D22" s="665" t="s">
        <v>28</v>
      </c>
      <c r="E22" s="665" t="s">
        <v>28</v>
      </c>
      <c r="F22" s="665" t="s">
        <v>28</v>
      </c>
      <c r="G22" s="665" t="s">
        <v>28</v>
      </c>
      <c r="H22" s="665" t="s">
        <v>28</v>
      </c>
      <c r="I22" s="665" t="s">
        <v>28</v>
      </c>
      <c r="J22" s="665" t="s">
        <v>28</v>
      </c>
      <c r="K22" s="665" t="s">
        <v>28</v>
      </c>
      <c r="L22" s="665" t="s">
        <v>28</v>
      </c>
      <c r="M22" s="665" t="s">
        <v>28</v>
      </c>
      <c r="N22" s="653" t="s">
        <v>28</v>
      </c>
      <c r="O22" s="653" t="s">
        <v>28</v>
      </c>
      <c r="P22" s="653" t="s">
        <v>28</v>
      </c>
      <c r="Q22" s="653" t="s">
        <v>28</v>
      </c>
      <c r="R22" s="666" t="s">
        <v>28</v>
      </c>
      <c r="S22" s="667" t="s">
        <v>28</v>
      </c>
      <c r="T22" s="653" t="s">
        <v>28</v>
      </c>
      <c r="U22" s="653" t="s">
        <v>28</v>
      </c>
      <c r="V22" s="653" t="s">
        <v>28</v>
      </c>
      <c r="W22" s="653" t="s">
        <v>28</v>
      </c>
      <c r="X22" s="653" t="s">
        <v>28</v>
      </c>
      <c r="Y22" s="665" t="s">
        <v>28</v>
      </c>
      <c r="Z22" s="665" t="s">
        <v>28</v>
      </c>
      <c r="AA22" s="665" t="s">
        <v>28</v>
      </c>
      <c r="AB22" s="665" t="s">
        <v>28</v>
      </c>
      <c r="AC22" s="665" t="s">
        <v>28</v>
      </c>
      <c r="AD22" s="665" t="s">
        <v>28</v>
      </c>
      <c r="AE22" s="665" t="s">
        <v>28</v>
      </c>
      <c r="AF22" s="665" t="s">
        <v>28</v>
      </c>
      <c r="AG22" s="665" t="s">
        <v>28</v>
      </c>
      <c r="AH22" s="665" t="s">
        <v>28</v>
      </c>
      <c r="AI22" s="665" t="s">
        <v>28</v>
      </c>
      <c r="AJ22" s="665" t="s">
        <v>28</v>
      </c>
      <c r="AK22" s="665" t="s">
        <v>28</v>
      </c>
      <c r="AL22" s="665" t="s">
        <v>28</v>
      </c>
      <c r="AM22" s="653" t="s">
        <v>28</v>
      </c>
      <c r="AN22" s="654" t="s">
        <v>28</v>
      </c>
    </row>
    <row r="23" spans="1:40" ht="10.5" customHeight="1">
      <c r="A23" s="699" t="s">
        <v>39</v>
      </c>
      <c r="B23" s="669" t="s">
        <v>40</v>
      </c>
      <c r="C23" s="670">
        <v>81</v>
      </c>
      <c r="D23" s="670">
        <v>38</v>
      </c>
      <c r="E23" s="670">
        <v>2</v>
      </c>
      <c r="F23" s="670">
        <v>1</v>
      </c>
      <c r="G23" s="670">
        <v>29</v>
      </c>
      <c r="H23" s="670">
        <v>15</v>
      </c>
      <c r="I23" s="670">
        <v>2</v>
      </c>
      <c r="J23" s="670">
        <v>1</v>
      </c>
      <c r="K23" s="670">
        <v>1</v>
      </c>
      <c r="L23" s="670" t="s">
        <v>28</v>
      </c>
      <c r="M23" s="670">
        <v>2</v>
      </c>
      <c r="N23" s="670">
        <v>1</v>
      </c>
      <c r="O23" s="670">
        <v>7</v>
      </c>
      <c r="P23" s="670">
        <v>4</v>
      </c>
      <c r="Q23" s="670">
        <v>11</v>
      </c>
      <c r="R23" s="671">
        <v>1</v>
      </c>
      <c r="S23" s="672">
        <v>4</v>
      </c>
      <c r="T23" s="670">
        <v>2</v>
      </c>
      <c r="U23" s="670">
        <v>1</v>
      </c>
      <c r="V23" s="670">
        <v>1</v>
      </c>
      <c r="W23" s="670" t="s">
        <v>28</v>
      </c>
      <c r="X23" s="670" t="s">
        <v>28</v>
      </c>
      <c r="Y23" s="670">
        <v>11</v>
      </c>
      <c r="Z23" s="670">
        <v>5</v>
      </c>
      <c r="AA23" s="670">
        <v>2</v>
      </c>
      <c r="AB23" s="670">
        <v>1</v>
      </c>
      <c r="AC23" s="670">
        <v>6</v>
      </c>
      <c r="AD23" s="670">
        <v>4</v>
      </c>
      <c r="AE23" s="670" t="s">
        <v>28</v>
      </c>
      <c r="AF23" s="670" t="s">
        <v>28</v>
      </c>
      <c r="AG23" s="670">
        <v>1</v>
      </c>
      <c r="AH23" s="670">
        <v>1</v>
      </c>
      <c r="AI23" s="670" t="s">
        <v>28</v>
      </c>
      <c r="AJ23" s="670" t="s">
        <v>28</v>
      </c>
      <c r="AK23" s="670" t="s">
        <v>28</v>
      </c>
      <c r="AL23" s="670" t="s">
        <v>28</v>
      </c>
      <c r="AM23" s="679">
        <v>2</v>
      </c>
      <c r="AN23" s="681">
        <v>1</v>
      </c>
    </row>
    <row r="24" spans="1:40" ht="10.5" customHeight="1">
      <c r="A24" s="700" t="s">
        <v>29</v>
      </c>
      <c r="B24" s="652" t="s">
        <v>30</v>
      </c>
      <c r="C24" s="665">
        <v>80</v>
      </c>
      <c r="D24" s="665">
        <v>38</v>
      </c>
      <c r="E24" s="665">
        <v>2</v>
      </c>
      <c r="F24" s="665">
        <v>1</v>
      </c>
      <c r="G24" s="665">
        <v>29</v>
      </c>
      <c r="H24" s="665">
        <v>15</v>
      </c>
      <c r="I24" s="665">
        <v>2</v>
      </c>
      <c r="J24" s="665">
        <v>1</v>
      </c>
      <c r="K24" s="653">
        <v>1</v>
      </c>
      <c r="L24" s="653" t="s">
        <v>28</v>
      </c>
      <c r="M24" s="653">
        <v>1</v>
      </c>
      <c r="N24" s="653">
        <v>1</v>
      </c>
      <c r="O24" s="653">
        <v>7</v>
      </c>
      <c r="P24" s="653">
        <v>4</v>
      </c>
      <c r="Q24" s="653">
        <v>11</v>
      </c>
      <c r="R24" s="666">
        <v>1</v>
      </c>
      <c r="S24" s="667">
        <v>4</v>
      </c>
      <c r="T24" s="653">
        <v>2</v>
      </c>
      <c r="U24" s="653">
        <v>1</v>
      </c>
      <c r="V24" s="653">
        <v>1</v>
      </c>
      <c r="W24" s="653" t="s">
        <v>28</v>
      </c>
      <c r="X24" s="653" t="s">
        <v>28</v>
      </c>
      <c r="Y24" s="665">
        <v>11</v>
      </c>
      <c r="Z24" s="665">
        <v>5</v>
      </c>
      <c r="AA24" s="665">
        <v>2</v>
      </c>
      <c r="AB24" s="665">
        <v>1</v>
      </c>
      <c r="AC24" s="665">
        <v>6</v>
      </c>
      <c r="AD24" s="665">
        <v>4</v>
      </c>
      <c r="AE24" s="665" t="s">
        <v>28</v>
      </c>
      <c r="AF24" s="665" t="s">
        <v>28</v>
      </c>
      <c r="AG24" s="665">
        <v>1</v>
      </c>
      <c r="AH24" s="665">
        <v>1</v>
      </c>
      <c r="AI24" s="665" t="s">
        <v>28</v>
      </c>
      <c r="AJ24" s="665" t="s">
        <v>28</v>
      </c>
      <c r="AK24" s="665" t="s">
        <v>28</v>
      </c>
      <c r="AL24" s="665" t="s">
        <v>28</v>
      </c>
      <c r="AM24" s="653">
        <v>2</v>
      </c>
      <c r="AN24" s="654">
        <v>1</v>
      </c>
    </row>
    <row r="25" spans="1:40" ht="10.5" customHeight="1">
      <c r="A25" s="700" t="s">
        <v>31</v>
      </c>
      <c r="B25" s="652" t="s">
        <v>32</v>
      </c>
      <c r="C25" s="665">
        <v>1</v>
      </c>
      <c r="D25" s="665" t="s">
        <v>28</v>
      </c>
      <c r="E25" s="665" t="s">
        <v>28</v>
      </c>
      <c r="F25" s="665" t="s">
        <v>28</v>
      </c>
      <c r="G25" s="665" t="s">
        <v>28</v>
      </c>
      <c r="H25" s="665" t="s">
        <v>28</v>
      </c>
      <c r="I25" s="665" t="s">
        <v>28</v>
      </c>
      <c r="J25" s="665" t="s">
        <v>28</v>
      </c>
      <c r="K25" s="665" t="s">
        <v>28</v>
      </c>
      <c r="L25" s="665" t="s">
        <v>28</v>
      </c>
      <c r="M25" s="665">
        <v>1</v>
      </c>
      <c r="N25" s="653" t="s">
        <v>28</v>
      </c>
      <c r="O25" s="653" t="s">
        <v>28</v>
      </c>
      <c r="P25" s="653" t="s">
        <v>28</v>
      </c>
      <c r="Q25" s="653" t="s">
        <v>28</v>
      </c>
      <c r="R25" s="666" t="s">
        <v>28</v>
      </c>
      <c r="S25" s="667" t="s">
        <v>28</v>
      </c>
      <c r="T25" s="653" t="s">
        <v>28</v>
      </c>
      <c r="U25" s="653" t="s">
        <v>28</v>
      </c>
      <c r="V25" s="653" t="s">
        <v>28</v>
      </c>
      <c r="W25" s="653" t="s">
        <v>28</v>
      </c>
      <c r="X25" s="653" t="s">
        <v>28</v>
      </c>
      <c r="Y25" s="665" t="s">
        <v>28</v>
      </c>
      <c r="Z25" s="665" t="s">
        <v>28</v>
      </c>
      <c r="AA25" s="665" t="s">
        <v>28</v>
      </c>
      <c r="AB25" s="665" t="s">
        <v>28</v>
      </c>
      <c r="AC25" s="665" t="s">
        <v>28</v>
      </c>
      <c r="AD25" s="665" t="s">
        <v>28</v>
      </c>
      <c r="AE25" s="665" t="s">
        <v>28</v>
      </c>
      <c r="AF25" s="665" t="s">
        <v>28</v>
      </c>
      <c r="AG25" s="665" t="s">
        <v>28</v>
      </c>
      <c r="AH25" s="665" t="s">
        <v>28</v>
      </c>
      <c r="AI25" s="665" t="s">
        <v>28</v>
      </c>
      <c r="AJ25" s="665" t="s">
        <v>28</v>
      </c>
      <c r="AK25" s="665" t="s">
        <v>28</v>
      </c>
      <c r="AL25" s="665" t="s">
        <v>28</v>
      </c>
      <c r="AM25" s="653" t="s">
        <v>28</v>
      </c>
      <c r="AN25" s="654" t="s">
        <v>28</v>
      </c>
    </row>
    <row r="26" spans="1:40" ht="10.5" customHeight="1">
      <c r="A26" s="699" t="s">
        <v>41</v>
      </c>
      <c r="B26" s="669" t="s">
        <v>42</v>
      </c>
      <c r="C26" s="670">
        <v>78</v>
      </c>
      <c r="D26" s="670">
        <v>43</v>
      </c>
      <c r="E26" s="670">
        <v>6</v>
      </c>
      <c r="F26" s="670">
        <v>3</v>
      </c>
      <c r="G26" s="670">
        <v>27</v>
      </c>
      <c r="H26" s="670">
        <v>16</v>
      </c>
      <c r="I26" s="670">
        <v>2</v>
      </c>
      <c r="J26" s="670" t="s">
        <v>28</v>
      </c>
      <c r="K26" s="670">
        <v>2</v>
      </c>
      <c r="L26" s="670">
        <v>1</v>
      </c>
      <c r="M26" s="670">
        <v>4</v>
      </c>
      <c r="N26" s="670">
        <v>3</v>
      </c>
      <c r="O26" s="670">
        <v>7</v>
      </c>
      <c r="P26" s="670">
        <v>6</v>
      </c>
      <c r="Q26" s="670">
        <v>13</v>
      </c>
      <c r="R26" s="671">
        <v>8</v>
      </c>
      <c r="S26" s="672">
        <v>2</v>
      </c>
      <c r="T26" s="670" t="s">
        <v>28</v>
      </c>
      <c r="U26" s="670" t="s">
        <v>28</v>
      </c>
      <c r="V26" s="670" t="s">
        <v>28</v>
      </c>
      <c r="W26" s="670">
        <v>1</v>
      </c>
      <c r="X26" s="670" t="s">
        <v>28</v>
      </c>
      <c r="Y26" s="670">
        <v>3</v>
      </c>
      <c r="Z26" s="670">
        <v>1</v>
      </c>
      <c r="AA26" s="670">
        <v>1</v>
      </c>
      <c r="AB26" s="670">
        <v>1</v>
      </c>
      <c r="AC26" s="670">
        <v>1</v>
      </c>
      <c r="AD26" s="670">
        <v>1</v>
      </c>
      <c r="AE26" s="670" t="s">
        <v>28</v>
      </c>
      <c r="AF26" s="670" t="s">
        <v>28</v>
      </c>
      <c r="AG26" s="670">
        <v>1</v>
      </c>
      <c r="AH26" s="670">
        <v>1</v>
      </c>
      <c r="AI26" s="670" t="s">
        <v>28</v>
      </c>
      <c r="AJ26" s="670" t="s">
        <v>28</v>
      </c>
      <c r="AK26" s="670" t="s">
        <v>28</v>
      </c>
      <c r="AL26" s="670" t="s">
        <v>28</v>
      </c>
      <c r="AM26" s="679">
        <v>8</v>
      </c>
      <c r="AN26" s="681">
        <v>2</v>
      </c>
    </row>
    <row r="27" spans="1:40" ht="10.5" customHeight="1">
      <c r="A27" s="700" t="s">
        <v>29</v>
      </c>
      <c r="B27" s="652" t="s">
        <v>30</v>
      </c>
      <c r="C27" s="665">
        <v>78</v>
      </c>
      <c r="D27" s="665">
        <v>43</v>
      </c>
      <c r="E27" s="665">
        <v>6</v>
      </c>
      <c r="F27" s="665">
        <v>3</v>
      </c>
      <c r="G27" s="665">
        <v>27</v>
      </c>
      <c r="H27" s="665">
        <v>16</v>
      </c>
      <c r="I27" s="665">
        <v>2</v>
      </c>
      <c r="J27" s="665" t="s">
        <v>28</v>
      </c>
      <c r="K27" s="653">
        <v>2</v>
      </c>
      <c r="L27" s="653">
        <v>1</v>
      </c>
      <c r="M27" s="653">
        <v>4</v>
      </c>
      <c r="N27" s="653">
        <v>3</v>
      </c>
      <c r="O27" s="653">
        <v>7</v>
      </c>
      <c r="P27" s="653">
        <v>6</v>
      </c>
      <c r="Q27" s="653">
        <v>13</v>
      </c>
      <c r="R27" s="666">
        <v>8</v>
      </c>
      <c r="S27" s="667">
        <v>2</v>
      </c>
      <c r="T27" s="653" t="s">
        <v>28</v>
      </c>
      <c r="U27" s="653" t="s">
        <v>28</v>
      </c>
      <c r="V27" s="653" t="s">
        <v>28</v>
      </c>
      <c r="W27" s="653">
        <v>1</v>
      </c>
      <c r="X27" s="653" t="s">
        <v>28</v>
      </c>
      <c r="Y27" s="665">
        <v>3</v>
      </c>
      <c r="Z27" s="665">
        <v>1</v>
      </c>
      <c r="AA27" s="665">
        <v>1</v>
      </c>
      <c r="AB27" s="665">
        <v>1</v>
      </c>
      <c r="AC27" s="665">
        <v>1</v>
      </c>
      <c r="AD27" s="665">
        <v>1</v>
      </c>
      <c r="AE27" s="665" t="s">
        <v>28</v>
      </c>
      <c r="AF27" s="665" t="s">
        <v>28</v>
      </c>
      <c r="AG27" s="665">
        <v>1</v>
      </c>
      <c r="AH27" s="665">
        <v>1</v>
      </c>
      <c r="AI27" s="665" t="s">
        <v>28</v>
      </c>
      <c r="AJ27" s="665" t="s">
        <v>28</v>
      </c>
      <c r="AK27" s="665" t="s">
        <v>28</v>
      </c>
      <c r="AL27" s="665" t="s">
        <v>28</v>
      </c>
      <c r="AM27" s="653">
        <v>8</v>
      </c>
      <c r="AN27" s="654">
        <v>2</v>
      </c>
    </row>
    <row r="28" spans="1:40" ht="10.5" customHeight="1">
      <c r="A28" s="700" t="s">
        <v>31</v>
      </c>
      <c r="B28" s="652" t="s">
        <v>32</v>
      </c>
      <c r="C28" s="665" t="s">
        <v>28</v>
      </c>
      <c r="D28" s="665" t="s">
        <v>28</v>
      </c>
      <c r="E28" s="665" t="s">
        <v>28</v>
      </c>
      <c r="F28" s="665" t="s">
        <v>28</v>
      </c>
      <c r="G28" s="665" t="s">
        <v>28</v>
      </c>
      <c r="H28" s="665" t="s">
        <v>28</v>
      </c>
      <c r="I28" s="665" t="s">
        <v>28</v>
      </c>
      <c r="J28" s="665" t="s">
        <v>28</v>
      </c>
      <c r="K28" s="665" t="s">
        <v>28</v>
      </c>
      <c r="L28" s="665" t="s">
        <v>28</v>
      </c>
      <c r="M28" s="665" t="s">
        <v>28</v>
      </c>
      <c r="N28" s="653" t="s">
        <v>28</v>
      </c>
      <c r="O28" s="653" t="s">
        <v>28</v>
      </c>
      <c r="P28" s="653" t="s">
        <v>28</v>
      </c>
      <c r="Q28" s="653" t="s">
        <v>28</v>
      </c>
      <c r="R28" s="666" t="s">
        <v>28</v>
      </c>
      <c r="S28" s="667" t="s">
        <v>28</v>
      </c>
      <c r="T28" s="653" t="s">
        <v>28</v>
      </c>
      <c r="U28" s="653" t="s">
        <v>28</v>
      </c>
      <c r="V28" s="653" t="s">
        <v>28</v>
      </c>
      <c r="W28" s="653" t="s">
        <v>28</v>
      </c>
      <c r="X28" s="653" t="s">
        <v>28</v>
      </c>
      <c r="Y28" s="665" t="s">
        <v>28</v>
      </c>
      <c r="Z28" s="665" t="s">
        <v>28</v>
      </c>
      <c r="AA28" s="665" t="s">
        <v>28</v>
      </c>
      <c r="AB28" s="665" t="s">
        <v>28</v>
      </c>
      <c r="AC28" s="665" t="s">
        <v>28</v>
      </c>
      <c r="AD28" s="665" t="s">
        <v>28</v>
      </c>
      <c r="AE28" s="665" t="s">
        <v>28</v>
      </c>
      <c r="AF28" s="665" t="s">
        <v>28</v>
      </c>
      <c r="AG28" s="665" t="s">
        <v>28</v>
      </c>
      <c r="AH28" s="665" t="s">
        <v>28</v>
      </c>
      <c r="AI28" s="665" t="s">
        <v>28</v>
      </c>
      <c r="AJ28" s="665" t="s">
        <v>28</v>
      </c>
      <c r="AK28" s="665" t="s">
        <v>28</v>
      </c>
      <c r="AL28" s="665" t="s">
        <v>28</v>
      </c>
      <c r="AM28" s="653" t="s">
        <v>28</v>
      </c>
      <c r="AN28" s="654" t="s">
        <v>28</v>
      </c>
    </row>
    <row r="29" spans="1:40" ht="10.5" customHeight="1">
      <c r="A29" s="699" t="s">
        <v>43</v>
      </c>
      <c r="B29" s="682" t="s">
        <v>44</v>
      </c>
      <c r="C29" s="683">
        <v>5</v>
      </c>
      <c r="D29" s="683">
        <v>3</v>
      </c>
      <c r="E29" s="683" t="s">
        <v>28</v>
      </c>
      <c r="F29" s="683" t="s">
        <v>28</v>
      </c>
      <c r="G29" s="683">
        <v>1</v>
      </c>
      <c r="H29" s="683">
        <v>1</v>
      </c>
      <c r="I29" s="683">
        <v>2</v>
      </c>
      <c r="J29" s="683" t="s">
        <v>28</v>
      </c>
      <c r="K29" s="683" t="s">
        <v>28</v>
      </c>
      <c r="L29" s="683" t="s">
        <v>28</v>
      </c>
      <c r="M29" s="683" t="s">
        <v>28</v>
      </c>
      <c r="N29" s="683" t="s">
        <v>28</v>
      </c>
      <c r="O29" s="683" t="s">
        <v>28</v>
      </c>
      <c r="P29" s="683" t="s">
        <v>28</v>
      </c>
      <c r="Q29" s="683">
        <v>1</v>
      </c>
      <c r="R29" s="684">
        <v>1</v>
      </c>
      <c r="S29" s="685" t="s">
        <v>28</v>
      </c>
      <c r="T29" s="683" t="s">
        <v>28</v>
      </c>
      <c r="U29" s="683" t="s">
        <v>28</v>
      </c>
      <c r="V29" s="683" t="s">
        <v>28</v>
      </c>
      <c r="W29" s="683" t="s">
        <v>28</v>
      </c>
      <c r="X29" s="683" t="s">
        <v>28</v>
      </c>
      <c r="Y29" s="683" t="s">
        <v>28</v>
      </c>
      <c r="Z29" s="683" t="s">
        <v>28</v>
      </c>
      <c r="AA29" s="683" t="s">
        <v>28</v>
      </c>
      <c r="AB29" s="683" t="s">
        <v>28</v>
      </c>
      <c r="AC29" s="683">
        <v>1</v>
      </c>
      <c r="AD29" s="683">
        <v>1</v>
      </c>
      <c r="AE29" s="683" t="s">
        <v>28</v>
      </c>
      <c r="AF29" s="683" t="s">
        <v>28</v>
      </c>
      <c r="AG29" s="683" t="s">
        <v>28</v>
      </c>
      <c r="AH29" s="683" t="s">
        <v>28</v>
      </c>
      <c r="AI29" s="683" t="s">
        <v>28</v>
      </c>
      <c r="AJ29" s="683" t="s">
        <v>28</v>
      </c>
      <c r="AK29" s="683" t="s">
        <v>28</v>
      </c>
      <c r="AL29" s="683" t="s">
        <v>28</v>
      </c>
      <c r="AM29" s="686" t="s">
        <v>28</v>
      </c>
      <c r="AN29" s="687" t="s">
        <v>28</v>
      </c>
    </row>
    <row r="30" spans="1:40" ht="10.5" customHeight="1">
      <c r="A30" s="700" t="s">
        <v>29</v>
      </c>
      <c r="B30" s="652" t="s">
        <v>30</v>
      </c>
      <c r="C30" s="665">
        <v>5</v>
      </c>
      <c r="D30" s="665">
        <v>3</v>
      </c>
      <c r="E30" s="665" t="s">
        <v>28</v>
      </c>
      <c r="F30" s="665" t="s">
        <v>28</v>
      </c>
      <c r="G30" s="665">
        <v>1</v>
      </c>
      <c r="H30" s="665">
        <v>1</v>
      </c>
      <c r="I30" s="665">
        <v>2</v>
      </c>
      <c r="J30" s="665" t="s">
        <v>28</v>
      </c>
      <c r="K30" s="665" t="s">
        <v>28</v>
      </c>
      <c r="L30" s="665" t="s">
        <v>28</v>
      </c>
      <c r="M30" s="665" t="s">
        <v>28</v>
      </c>
      <c r="N30" s="653" t="s">
        <v>28</v>
      </c>
      <c r="O30" s="653" t="s">
        <v>28</v>
      </c>
      <c r="P30" s="653" t="s">
        <v>28</v>
      </c>
      <c r="Q30" s="653">
        <v>1</v>
      </c>
      <c r="R30" s="666">
        <v>1</v>
      </c>
      <c r="S30" s="667" t="s">
        <v>28</v>
      </c>
      <c r="T30" s="653" t="s">
        <v>28</v>
      </c>
      <c r="U30" s="653" t="s">
        <v>28</v>
      </c>
      <c r="V30" s="653" t="s">
        <v>28</v>
      </c>
      <c r="W30" s="653" t="s">
        <v>28</v>
      </c>
      <c r="X30" s="653" t="s">
        <v>28</v>
      </c>
      <c r="Y30" s="665" t="s">
        <v>28</v>
      </c>
      <c r="Z30" s="665" t="s">
        <v>28</v>
      </c>
      <c r="AA30" s="665" t="s">
        <v>28</v>
      </c>
      <c r="AB30" s="665" t="s">
        <v>28</v>
      </c>
      <c r="AC30" s="665">
        <v>1</v>
      </c>
      <c r="AD30" s="665">
        <v>1</v>
      </c>
      <c r="AE30" s="665" t="s">
        <v>28</v>
      </c>
      <c r="AF30" s="665" t="s">
        <v>28</v>
      </c>
      <c r="AG30" s="665" t="s">
        <v>28</v>
      </c>
      <c r="AH30" s="665" t="s">
        <v>28</v>
      </c>
      <c r="AI30" s="665" t="s">
        <v>28</v>
      </c>
      <c r="AJ30" s="665" t="s">
        <v>28</v>
      </c>
      <c r="AK30" s="665" t="s">
        <v>28</v>
      </c>
      <c r="AL30" s="665" t="s">
        <v>28</v>
      </c>
      <c r="AM30" s="653" t="s">
        <v>28</v>
      </c>
      <c r="AN30" s="654" t="s">
        <v>28</v>
      </c>
    </row>
    <row r="31" spans="1:40" ht="10.5" customHeight="1" thickBot="1">
      <c r="A31" s="655" t="s">
        <v>31</v>
      </c>
      <c r="B31" s="656" t="s">
        <v>32</v>
      </c>
      <c r="C31" s="665" t="s">
        <v>28</v>
      </c>
      <c r="D31" s="665" t="s">
        <v>28</v>
      </c>
      <c r="E31" s="665" t="s">
        <v>28</v>
      </c>
      <c r="F31" s="665" t="s">
        <v>28</v>
      </c>
      <c r="G31" s="665" t="s">
        <v>28</v>
      </c>
      <c r="H31" s="665" t="s">
        <v>28</v>
      </c>
      <c r="I31" s="665" t="s">
        <v>28</v>
      </c>
      <c r="J31" s="665" t="s">
        <v>28</v>
      </c>
      <c r="K31" s="665" t="s">
        <v>28</v>
      </c>
      <c r="L31" s="665" t="s">
        <v>28</v>
      </c>
      <c r="M31" s="665" t="s">
        <v>28</v>
      </c>
      <c r="N31" s="653" t="s">
        <v>28</v>
      </c>
      <c r="O31" s="653" t="s">
        <v>28</v>
      </c>
      <c r="P31" s="653" t="s">
        <v>28</v>
      </c>
      <c r="Q31" s="653" t="s">
        <v>28</v>
      </c>
      <c r="R31" s="675" t="s">
        <v>28</v>
      </c>
      <c r="S31" s="676" t="s">
        <v>28</v>
      </c>
      <c r="T31" s="657" t="s">
        <v>28</v>
      </c>
      <c r="U31" s="653" t="s">
        <v>28</v>
      </c>
      <c r="V31" s="653" t="s">
        <v>28</v>
      </c>
      <c r="W31" s="653" t="s">
        <v>28</v>
      </c>
      <c r="X31" s="653" t="s">
        <v>28</v>
      </c>
      <c r="Y31" s="665" t="s">
        <v>28</v>
      </c>
      <c r="Z31" s="665" t="s">
        <v>28</v>
      </c>
      <c r="AA31" s="665" t="s">
        <v>28</v>
      </c>
      <c r="AB31" s="665" t="s">
        <v>28</v>
      </c>
      <c r="AC31" s="665" t="s">
        <v>28</v>
      </c>
      <c r="AD31" s="665" t="s">
        <v>28</v>
      </c>
      <c r="AE31" s="665" t="s">
        <v>28</v>
      </c>
      <c r="AF31" s="665" t="s">
        <v>28</v>
      </c>
      <c r="AG31" s="665" t="s">
        <v>28</v>
      </c>
      <c r="AH31" s="665" t="s">
        <v>28</v>
      </c>
      <c r="AI31" s="665" t="s">
        <v>28</v>
      </c>
      <c r="AJ31" s="665" t="s">
        <v>28</v>
      </c>
      <c r="AK31" s="665" t="s">
        <v>28</v>
      </c>
      <c r="AL31" s="665" t="s">
        <v>28</v>
      </c>
      <c r="AM31" s="657" t="s">
        <v>28</v>
      </c>
      <c r="AN31" s="658" t="s">
        <v>28</v>
      </c>
    </row>
    <row r="32" spans="1:40" s="701" customFormat="1" ht="10.5" customHeight="1" thickBot="1">
      <c r="A32" s="1245" t="s">
        <v>45</v>
      </c>
      <c r="B32" s="1245"/>
      <c r="C32" s="1245"/>
      <c r="D32" s="1245"/>
      <c r="E32" s="1245"/>
      <c r="F32" s="1245"/>
      <c r="G32" s="1245"/>
      <c r="H32" s="1245"/>
      <c r="I32" s="1245"/>
      <c r="J32" s="1245"/>
      <c r="K32" s="1245"/>
      <c r="L32" s="1245"/>
      <c r="M32" s="1245"/>
      <c r="N32" s="1245"/>
      <c r="O32" s="1245"/>
      <c r="P32" s="1245"/>
      <c r="Q32" s="1245"/>
      <c r="R32" s="1245"/>
      <c r="S32" s="1245" t="s">
        <v>46</v>
      </c>
      <c r="T32" s="1245"/>
      <c r="U32" s="1245"/>
      <c r="V32" s="1245"/>
      <c r="W32" s="1245"/>
      <c r="X32" s="1245"/>
      <c r="Y32" s="1245"/>
      <c r="Z32" s="1245"/>
      <c r="AA32" s="1245"/>
      <c r="AB32" s="1245"/>
      <c r="AC32" s="1245"/>
      <c r="AD32" s="1245"/>
      <c r="AE32" s="1245"/>
      <c r="AF32" s="1245"/>
      <c r="AG32" s="1245"/>
      <c r="AH32" s="1245"/>
      <c r="AI32" s="1245"/>
      <c r="AJ32" s="1245"/>
      <c r="AK32" s="1245"/>
      <c r="AL32" s="1245"/>
      <c r="AM32" s="1245"/>
      <c r="AN32" s="1245"/>
    </row>
    <row r="33" spans="1:40" ht="10.5" customHeight="1">
      <c r="A33" s="659" t="s">
        <v>47</v>
      </c>
      <c r="B33" s="660" t="s">
        <v>48</v>
      </c>
      <c r="C33" s="661">
        <v>41</v>
      </c>
      <c r="D33" s="661">
        <v>17</v>
      </c>
      <c r="E33" s="661">
        <v>6</v>
      </c>
      <c r="F33" s="661">
        <v>3</v>
      </c>
      <c r="G33" s="661">
        <v>12</v>
      </c>
      <c r="H33" s="661">
        <v>2</v>
      </c>
      <c r="I33" s="661">
        <v>1</v>
      </c>
      <c r="J33" s="661">
        <v>1</v>
      </c>
      <c r="K33" s="661" t="s">
        <v>28</v>
      </c>
      <c r="L33" s="661" t="s">
        <v>28</v>
      </c>
      <c r="M33" s="661">
        <v>1</v>
      </c>
      <c r="N33" s="678" t="s">
        <v>28</v>
      </c>
      <c r="O33" s="678">
        <v>3</v>
      </c>
      <c r="P33" s="678" t="s">
        <v>28</v>
      </c>
      <c r="Q33" s="678">
        <v>7</v>
      </c>
      <c r="R33" s="678">
        <v>4</v>
      </c>
      <c r="S33" s="678">
        <v>1</v>
      </c>
      <c r="T33" s="678" t="s">
        <v>28</v>
      </c>
      <c r="U33" s="678" t="s">
        <v>28</v>
      </c>
      <c r="V33" s="678" t="s">
        <v>28</v>
      </c>
      <c r="W33" s="678">
        <v>1</v>
      </c>
      <c r="X33" s="678">
        <v>1</v>
      </c>
      <c r="Y33" s="661">
        <v>1</v>
      </c>
      <c r="Z33" s="661">
        <v>1</v>
      </c>
      <c r="AA33" s="661" t="s">
        <v>28</v>
      </c>
      <c r="AB33" s="661" t="s">
        <v>28</v>
      </c>
      <c r="AC33" s="661">
        <v>1</v>
      </c>
      <c r="AD33" s="661" t="s">
        <v>28</v>
      </c>
      <c r="AE33" s="661" t="s">
        <v>28</v>
      </c>
      <c r="AF33" s="661" t="s">
        <v>28</v>
      </c>
      <c r="AG33" s="661">
        <v>2</v>
      </c>
      <c r="AH33" s="661">
        <v>1</v>
      </c>
      <c r="AI33" s="661">
        <v>1</v>
      </c>
      <c r="AJ33" s="661" t="s">
        <v>28</v>
      </c>
      <c r="AK33" s="661">
        <v>1</v>
      </c>
      <c r="AL33" s="661">
        <v>1</v>
      </c>
      <c r="AM33" s="678">
        <v>3</v>
      </c>
      <c r="AN33" s="664">
        <v>3</v>
      </c>
    </row>
    <row r="34" spans="1:40" ht="10.5" customHeight="1">
      <c r="A34" s="700" t="s">
        <v>29</v>
      </c>
      <c r="B34" s="652" t="s">
        <v>30</v>
      </c>
      <c r="C34" s="665">
        <v>25</v>
      </c>
      <c r="D34" s="665">
        <v>12</v>
      </c>
      <c r="E34" s="665">
        <v>4</v>
      </c>
      <c r="F34" s="665">
        <v>3</v>
      </c>
      <c r="G34" s="665">
        <v>8</v>
      </c>
      <c r="H34" s="665">
        <v>2</v>
      </c>
      <c r="I34" s="665" t="s">
        <v>28</v>
      </c>
      <c r="J34" s="665" t="s">
        <v>28</v>
      </c>
      <c r="K34" s="665" t="s">
        <v>28</v>
      </c>
      <c r="L34" s="665" t="s">
        <v>28</v>
      </c>
      <c r="M34" s="665" t="s">
        <v>28</v>
      </c>
      <c r="N34" s="653" t="s">
        <v>28</v>
      </c>
      <c r="O34" s="653">
        <v>2</v>
      </c>
      <c r="P34" s="653" t="s">
        <v>28</v>
      </c>
      <c r="Q34" s="653">
        <v>3</v>
      </c>
      <c r="R34" s="653">
        <v>1</v>
      </c>
      <c r="S34" s="653" t="s">
        <v>28</v>
      </c>
      <c r="T34" s="653" t="s">
        <v>28</v>
      </c>
      <c r="U34" s="653" t="s">
        <v>28</v>
      </c>
      <c r="V34" s="653" t="s">
        <v>28</v>
      </c>
      <c r="W34" s="653">
        <v>1</v>
      </c>
      <c r="X34" s="653">
        <v>1</v>
      </c>
      <c r="Y34" s="665">
        <v>1</v>
      </c>
      <c r="Z34" s="665">
        <v>1</v>
      </c>
      <c r="AA34" s="665" t="s">
        <v>28</v>
      </c>
      <c r="AB34" s="665" t="s">
        <v>28</v>
      </c>
      <c r="AC34" s="665">
        <v>1</v>
      </c>
      <c r="AD34" s="665" t="s">
        <v>28</v>
      </c>
      <c r="AE34" s="665" t="s">
        <v>28</v>
      </c>
      <c r="AF34" s="665" t="s">
        <v>28</v>
      </c>
      <c r="AG34" s="665">
        <v>1</v>
      </c>
      <c r="AH34" s="665">
        <v>1</v>
      </c>
      <c r="AI34" s="665">
        <v>1</v>
      </c>
      <c r="AJ34" s="665" t="s">
        <v>28</v>
      </c>
      <c r="AK34" s="665">
        <v>1</v>
      </c>
      <c r="AL34" s="665">
        <v>1</v>
      </c>
      <c r="AM34" s="653">
        <v>2</v>
      </c>
      <c r="AN34" s="668">
        <v>2</v>
      </c>
    </row>
    <row r="35" spans="1:40" ht="10.5" customHeight="1">
      <c r="A35" s="700" t="s">
        <v>31</v>
      </c>
      <c r="B35" s="652" t="s">
        <v>32</v>
      </c>
      <c r="C35" s="665">
        <v>16</v>
      </c>
      <c r="D35" s="665">
        <v>5</v>
      </c>
      <c r="E35" s="665">
        <v>2</v>
      </c>
      <c r="F35" s="665" t="s">
        <v>28</v>
      </c>
      <c r="G35" s="665">
        <v>4</v>
      </c>
      <c r="H35" s="665" t="s">
        <v>28</v>
      </c>
      <c r="I35" s="665">
        <v>1</v>
      </c>
      <c r="J35" s="665">
        <v>1</v>
      </c>
      <c r="K35" s="665" t="s">
        <v>28</v>
      </c>
      <c r="L35" s="665" t="s">
        <v>28</v>
      </c>
      <c r="M35" s="665">
        <v>1</v>
      </c>
      <c r="N35" s="653" t="s">
        <v>28</v>
      </c>
      <c r="O35" s="653">
        <v>1</v>
      </c>
      <c r="P35" s="653" t="s">
        <v>28</v>
      </c>
      <c r="Q35" s="653">
        <v>4</v>
      </c>
      <c r="R35" s="653">
        <v>3</v>
      </c>
      <c r="S35" s="653">
        <v>1</v>
      </c>
      <c r="T35" s="653" t="s">
        <v>28</v>
      </c>
      <c r="U35" s="653" t="s">
        <v>28</v>
      </c>
      <c r="V35" s="653" t="s">
        <v>28</v>
      </c>
      <c r="W35" s="653" t="s">
        <v>28</v>
      </c>
      <c r="X35" s="653" t="s">
        <v>28</v>
      </c>
      <c r="Y35" s="665" t="s">
        <v>28</v>
      </c>
      <c r="Z35" s="665" t="s">
        <v>28</v>
      </c>
      <c r="AA35" s="665" t="s">
        <v>28</v>
      </c>
      <c r="AB35" s="665" t="s">
        <v>28</v>
      </c>
      <c r="AC35" s="665" t="s">
        <v>28</v>
      </c>
      <c r="AD35" s="665" t="s">
        <v>28</v>
      </c>
      <c r="AE35" s="665" t="s">
        <v>28</v>
      </c>
      <c r="AF35" s="665" t="s">
        <v>28</v>
      </c>
      <c r="AG35" s="665">
        <v>1</v>
      </c>
      <c r="AH35" s="665" t="s">
        <v>28</v>
      </c>
      <c r="AI35" s="665" t="s">
        <v>28</v>
      </c>
      <c r="AJ35" s="665" t="s">
        <v>28</v>
      </c>
      <c r="AK35" s="665" t="s">
        <v>28</v>
      </c>
      <c r="AL35" s="665" t="s">
        <v>28</v>
      </c>
      <c r="AM35" s="653">
        <v>1</v>
      </c>
      <c r="AN35" s="668">
        <v>1</v>
      </c>
    </row>
    <row r="36" spans="1:40" ht="10.5" customHeight="1">
      <c r="A36" s="699" t="s">
        <v>49</v>
      </c>
      <c r="B36" s="669" t="s">
        <v>50</v>
      </c>
      <c r="C36" s="670">
        <v>2</v>
      </c>
      <c r="D36" s="670" t="s">
        <v>28</v>
      </c>
      <c r="E36" s="670" t="s">
        <v>28</v>
      </c>
      <c r="F36" s="670" t="s">
        <v>28</v>
      </c>
      <c r="G36" s="670" t="s">
        <v>28</v>
      </c>
      <c r="H36" s="670" t="s">
        <v>28</v>
      </c>
      <c r="I36" s="670" t="s">
        <v>28</v>
      </c>
      <c r="J36" s="670" t="s">
        <v>28</v>
      </c>
      <c r="K36" s="670" t="s">
        <v>28</v>
      </c>
      <c r="L36" s="670" t="s">
        <v>28</v>
      </c>
      <c r="M36" s="670" t="s">
        <v>28</v>
      </c>
      <c r="N36" s="679" t="s">
        <v>28</v>
      </c>
      <c r="O36" s="679" t="s">
        <v>28</v>
      </c>
      <c r="P36" s="679" t="s">
        <v>28</v>
      </c>
      <c r="Q36" s="679">
        <v>1</v>
      </c>
      <c r="R36" s="679" t="s">
        <v>28</v>
      </c>
      <c r="S36" s="679" t="s">
        <v>28</v>
      </c>
      <c r="T36" s="679" t="s">
        <v>28</v>
      </c>
      <c r="U36" s="679" t="s">
        <v>28</v>
      </c>
      <c r="V36" s="679" t="s">
        <v>28</v>
      </c>
      <c r="W36" s="679" t="s">
        <v>28</v>
      </c>
      <c r="X36" s="679" t="s">
        <v>28</v>
      </c>
      <c r="Y36" s="670" t="s">
        <v>28</v>
      </c>
      <c r="Z36" s="670" t="s">
        <v>28</v>
      </c>
      <c r="AA36" s="670" t="s">
        <v>28</v>
      </c>
      <c r="AB36" s="670" t="s">
        <v>28</v>
      </c>
      <c r="AC36" s="670" t="s">
        <v>28</v>
      </c>
      <c r="AD36" s="670" t="s">
        <v>28</v>
      </c>
      <c r="AE36" s="670" t="s">
        <v>28</v>
      </c>
      <c r="AF36" s="670" t="s">
        <v>28</v>
      </c>
      <c r="AG36" s="670" t="s">
        <v>28</v>
      </c>
      <c r="AH36" s="670" t="s">
        <v>28</v>
      </c>
      <c r="AI36" s="670" t="s">
        <v>28</v>
      </c>
      <c r="AJ36" s="670" t="s">
        <v>28</v>
      </c>
      <c r="AK36" s="670" t="s">
        <v>28</v>
      </c>
      <c r="AL36" s="670" t="s">
        <v>28</v>
      </c>
      <c r="AM36" s="679">
        <v>1</v>
      </c>
      <c r="AN36" s="673" t="s">
        <v>28</v>
      </c>
    </row>
    <row r="37" spans="1:40" ht="10.5" customHeight="1">
      <c r="A37" s="700" t="s">
        <v>29</v>
      </c>
      <c r="B37" s="652" t="s">
        <v>30</v>
      </c>
      <c r="C37" s="665" t="s">
        <v>28</v>
      </c>
      <c r="D37" s="665" t="s">
        <v>28</v>
      </c>
      <c r="E37" s="665" t="s">
        <v>28</v>
      </c>
      <c r="F37" s="665" t="s">
        <v>28</v>
      </c>
      <c r="G37" s="665" t="s">
        <v>28</v>
      </c>
      <c r="H37" s="665" t="s">
        <v>28</v>
      </c>
      <c r="I37" s="665" t="s">
        <v>28</v>
      </c>
      <c r="J37" s="665" t="s">
        <v>28</v>
      </c>
      <c r="K37" s="665" t="s">
        <v>28</v>
      </c>
      <c r="L37" s="665" t="s">
        <v>28</v>
      </c>
      <c r="M37" s="665" t="s">
        <v>28</v>
      </c>
      <c r="N37" s="653" t="s">
        <v>28</v>
      </c>
      <c r="O37" s="653" t="s">
        <v>28</v>
      </c>
      <c r="P37" s="653" t="s">
        <v>28</v>
      </c>
      <c r="Q37" s="653" t="s">
        <v>28</v>
      </c>
      <c r="R37" s="653" t="s">
        <v>28</v>
      </c>
      <c r="S37" s="653" t="s">
        <v>28</v>
      </c>
      <c r="T37" s="653" t="s">
        <v>28</v>
      </c>
      <c r="U37" s="653" t="s">
        <v>28</v>
      </c>
      <c r="V37" s="653" t="s">
        <v>28</v>
      </c>
      <c r="W37" s="653" t="s">
        <v>28</v>
      </c>
      <c r="X37" s="653" t="s">
        <v>28</v>
      </c>
      <c r="Y37" s="665" t="s">
        <v>28</v>
      </c>
      <c r="Z37" s="665" t="s">
        <v>28</v>
      </c>
      <c r="AA37" s="665" t="s">
        <v>28</v>
      </c>
      <c r="AB37" s="665" t="s">
        <v>28</v>
      </c>
      <c r="AC37" s="665" t="s">
        <v>28</v>
      </c>
      <c r="AD37" s="665" t="s">
        <v>28</v>
      </c>
      <c r="AE37" s="665" t="s">
        <v>28</v>
      </c>
      <c r="AF37" s="665" t="s">
        <v>28</v>
      </c>
      <c r="AG37" s="665" t="s">
        <v>28</v>
      </c>
      <c r="AH37" s="665" t="s">
        <v>28</v>
      </c>
      <c r="AI37" s="665" t="s">
        <v>28</v>
      </c>
      <c r="AJ37" s="665" t="s">
        <v>28</v>
      </c>
      <c r="AK37" s="665" t="s">
        <v>28</v>
      </c>
      <c r="AL37" s="665" t="s">
        <v>28</v>
      </c>
      <c r="AM37" s="653" t="s">
        <v>28</v>
      </c>
      <c r="AN37" s="668" t="s">
        <v>28</v>
      </c>
    </row>
    <row r="38" spans="1:40" ht="10.5" customHeight="1">
      <c r="A38" s="700" t="s">
        <v>31</v>
      </c>
      <c r="B38" s="652" t="s">
        <v>32</v>
      </c>
      <c r="C38" s="665">
        <v>2</v>
      </c>
      <c r="D38" s="665" t="s">
        <v>28</v>
      </c>
      <c r="E38" s="665" t="s">
        <v>28</v>
      </c>
      <c r="F38" s="665" t="s">
        <v>28</v>
      </c>
      <c r="G38" s="665" t="s">
        <v>28</v>
      </c>
      <c r="H38" s="665" t="s">
        <v>28</v>
      </c>
      <c r="I38" s="665" t="s">
        <v>28</v>
      </c>
      <c r="J38" s="665" t="s">
        <v>28</v>
      </c>
      <c r="K38" s="665" t="s">
        <v>28</v>
      </c>
      <c r="L38" s="665" t="s">
        <v>28</v>
      </c>
      <c r="M38" s="665" t="s">
        <v>28</v>
      </c>
      <c r="N38" s="653" t="s">
        <v>28</v>
      </c>
      <c r="O38" s="653" t="s">
        <v>28</v>
      </c>
      <c r="P38" s="653" t="s">
        <v>28</v>
      </c>
      <c r="Q38" s="653">
        <v>1</v>
      </c>
      <c r="R38" s="653" t="s">
        <v>28</v>
      </c>
      <c r="S38" s="653" t="s">
        <v>28</v>
      </c>
      <c r="T38" s="653" t="s">
        <v>28</v>
      </c>
      <c r="U38" s="653" t="s">
        <v>28</v>
      </c>
      <c r="V38" s="653" t="s">
        <v>28</v>
      </c>
      <c r="W38" s="653" t="s">
        <v>28</v>
      </c>
      <c r="X38" s="653" t="s">
        <v>28</v>
      </c>
      <c r="Y38" s="665" t="s">
        <v>28</v>
      </c>
      <c r="Z38" s="665" t="s">
        <v>28</v>
      </c>
      <c r="AA38" s="665" t="s">
        <v>28</v>
      </c>
      <c r="AB38" s="665" t="s">
        <v>28</v>
      </c>
      <c r="AC38" s="665" t="s">
        <v>28</v>
      </c>
      <c r="AD38" s="665" t="s">
        <v>28</v>
      </c>
      <c r="AE38" s="665" t="s">
        <v>28</v>
      </c>
      <c r="AF38" s="665" t="s">
        <v>28</v>
      </c>
      <c r="AG38" s="665" t="s">
        <v>28</v>
      </c>
      <c r="AH38" s="665" t="s">
        <v>28</v>
      </c>
      <c r="AI38" s="665" t="s">
        <v>28</v>
      </c>
      <c r="AJ38" s="665" t="s">
        <v>28</v>
      </c>
      <c r="AK38" s="665" t="s">
        <v>28</v>
      </c>
      <c r="AL38" s="665" t="s">
        <v>28</v>
      </c>
      <c r="AM38" s="653">
        <v>1</v>
      </c>
      <c r="AN38" s="668" t="s">
        <v>28</v>
      </c>
    </row>
    <row r="39" spans="1:40" ht="10.5" customHeight="1">
      <c r="A39" s="699" t="s">
        <v>963</v>
      </c>
      <c r="B39" s="669" t="s">
        <v>964</v>
      </c>
      <c r="C39" s="670">
        <v>24</v>
      </c>
      <c r="D39" s="670">
        <v>16</v>
      </c>
      <c r="E39" s="670">
        <v>2</v>
      </c>
      <c r="F39" s="670">
        <v>2</v>
      </c>
      <c r="G39" s="670">
        <v>11</v>
      </c>
      <c r="H39" s="670">
        <v>5</v>
      </c>
      <c r="I39" s="670" t="s">
        <v>28</v>
      </c>
      <c r="J39" s="670" t="s">
        <v>28</v>
      </c>
      <c r="K39" s="670" t="s">
        <v>28</v>
      </c>
      <c r="L39" s="670" t="s">
        <v>28</v>
      </c>
      <c r="M39" s="670" t="s">
        <v>28</v>
      </c>
      <c r="N39" s="679" t="s">
        <v>28</v>
      </c>
      <c r="O39" s="679">
        <v>3</v>
      </c>
      <c r="P39" s="679">
        <v>3</v>
      </c>
      <c r="Q39" s="679">
        <v>6</v>
      </c>
      <c r="R39" s="679">
        <v>5</v>
      </c>
      <c r="S39" s="679">
        <v>2</v>
      </c>
      <c r="T39" s="679">
        <v>1</v>
      </c>
      <c r="U39" s="679" t="s">
        <v>28</v>
      </c>
      <c r="V39" s="679" t="s">
        <v>28</v>
      </c>
      <c r="W39" s="679" t="s">
        <v>28</v>
      </c>
      <c r="X39" s="679" t="s">
        <v>28</v>
      </c>
      <c r="Y39" s="670" t="s">
        <v>28</v>
      </c>
      <c r="Z39" s="670" t="s">
        <v>28</v>
      </c>
      <c r="AA39" s="670" t="s">
        <v>28</v>
      </c>
      <c r="AB39" s="670" t="s">
        <v>28</v>
      </c>
      <c r="AC39" s="670" t="s">
        <v>28</v>
      </c>
      <c r="AD39" s="670" t="s">
        <v>28</v>
      </c>
      <c r="AE39" s="670" t="s">
        <v>28</v>
      </c>
      <c r="AF39" s="670" t="s">
        <v>28</v>
      </c>
      <c r="AG39" s="670" t="s">
        <v>28</v>
      </c>
      <c r="AH39" s="670" t="s">
        <v>28</v>
      </c>
      <c r="AI39" s="670" t="s">
        <v>28</v>
      </c>
      <c r="AJ39" s="670" t="s">
        <v>28</v>
      </c>
      <c r="AK39" s="670" t="s">
        <v>28</v>
      </c>
      <c r="AL39" s="670" t="s">
        <v>28</v>
      </c>
      <c r="AM39" s="679" t="s">
        <v>28</v>
      </c>
      <c r="AN39" s="673" t="s">
        <v>28</v>
      </c>
    </row>
    <row r="40" spans="1:40" ht="10.5" customHeight="1">
      <c r="A40" s="700" t="s">
        <v>29</v>
      </c>
      <c r="B40" s="652" t="s">
        <v>30</v>
      </c>
      <c r="C40" s="665">
        <v>23</v>
      </c>
      <c r="D40" s="665">
        <v>16</v>
      </c>
      <c r="E40" s="665">
        <v>2</v>
      </c>
      <c r="F40" s="665">
        <v>2</v>
      </c>
      <c r="G40" s="665">
        <v>11</v>
      </c>
      <c r="H40" s="665">
        <v>5</v>
      </c>
      <c r="I40" s="665" t="s">
        <v>28</v>
      </c>
      <c r="J40" s="665" t="s">
        <v>28</v>
      </c>
      <c r="K40" s="665" t="s">
        <v>28</v>
      </c>
      <c r="L40" s="665" t="s">
        <v>28</v>
      </c>
      <c r="M40" s="665" t="s">
        <v>28</v>
      </c>
      <c r="N40" s="653" t="s">
        <v>28</v>
      </c>
      <c r="O40" s="653">
        <v>3</v>
      </c>
      <c r="P40" s="653">
        <v>3</v>
      </c>
      <c r="Q40" s="653">
        <v>5</v>
      </c>
      <c r="R40" s="653">
        <v>5</v>
      </c>
      <c r="S40" s="653">
        <v>2</v>
      </c>
      <c r="T40" s="653">
        <v>1</v>
      </c>
      <c r="U40" s="653" t="s">
        <v>28</v>
      </c>
      <c r="V40" s="653" t="s">
        <v>28</v>
      </c>
      <c r="W40" s="653" t="s">
        <v>28</v>
      </c>
      <c r="X40" s="653" t="s">
        <v>28</v>
      </c>
      <c r="Y40" s="665" t="s">
        <v>28</v>
      </c>
      <c r="Z40" s="665" t="s">
        <v>28</v>
      </c>
      <c r="AA40" s="665" t="s">
        <v>28</v>
      </c>
      <c r="AB40" s="665" t="s">
        <v>28</v>
      </c>
      <c r="AC40" s="665" t="s">
        <v>28</v>
      </c>
      <c r="AD40" s="665" t="s">
        <v>28</v>
      </c>
      <c r="AE40" s="665" t="s">
        <v>28</v>
      </c>
      <c r="AF40" s="665" t="s">
        <v>28</v>
      </c>
      <c r="AG40" s="665" t="s">
        <v>28</v>
      </c>
      <c r="AH40" s="665" t="s">
        <v>28</v>
      </c>
      <c r="AI40" s="665" t="s">
        <v>28</v>
      </c>
      <c r="AJ40" s="665" t="s">
        <v>28</v>
      </c>
      <c r="AK40" s="665" t="s">
        <v>28</v>
      </c>
      <c r="AL40" s="665" t="s">
        <v>28</v>
      </c>
      <c r="AM40" s="653" t="s">
        <v>28</v>
      </c>
      <c r="AN40" s="668" t="s">
        <v>28</v>
      </c>
    </row>
    <row r="41" spans="1:40" ht="10.5" customHeight="1">
      <c r="A41" s="700" t="s">
        <v>31</v>
      </c>
      <c r="B41" s="652" t="s">
        <v>32</v>
      </c>
      <c r="C41" s="665">
        <v>1</v>
      </c>
      <c r="D41" s="665" t="s">
        <v>28</v>
      </c>
      <c r="E41" s="665" t="s">
        <v>28</v>
      </c>
      <c r="F41" s="665" t="s">
        <v>28</v>
      </c>
      <c r="G41" s="665" t="s">
        <v>28</v>
      </c>
      <c r="H41" s="665" t="s">
        <v>28</v>
      </c>
      <c r="I41" s="665" t="s">
        <v>28</v>
      </c>
      <c r="J41" s="665" t="s">
        <v>28</v>
      </c>
      <c r="K41" s="665" t="s">
        <v>28</v>
      </c>
      <c r="L41" s="665" t="s">
        <v>28</v>
      </c>
      <c r="M41" s="665" t="s">
        <v>28</v>
      </c>
      <c r="N41" s="653" t="s">
        <v>28</v>
      </c>
      <c r="O41" s="653" t="s">
        <v>28</v>
      </c>
      <c r="P41" s="653" t="s">
        <v>28</v>
      </c>
      <c r="Q41" s="653">
        <v>1</v>
      </c>
      <c r="R41" s="653" t="s">
        <v>28</v>
      </c>
      <c r="S41" s="653" t="s">
        <v>28</v>
      </c>
      <c r="T41" s="653" t="s">
        <v>28</v>
      </c>
      <c r="U41" s="653" t="s">
        <v>28</v>
      </c>
      <c r="V41" s="653" t="s">
        <v>28</v>
      </c>
      <c r="W41" s="653" t="s">
        <v>28</v>
      </c>
      <c r="X41" s="653" t="s">
        <v>28</v>
      </c>
      <c r="Y41" s="665" t="s">
        <v>28</v>
      </c>
      <c r="Z41" s="665" t="s">
        <v>28</v>
      </c>
      <c r="AA41" s="665" t="s">
        <v>28</v>
      </c>
      <c r="AB41" s="665" t="s">
        <v>28</v>
      </c>
      <c r="AC41" s="665" t="s">
        <v>28</v>
      </c>
      <c r="AD41" s="665" t="s">
        <v>28</v>
      </c>
      <c r="AE41" s="665" t="s">
        <v>28</v>
      </c>
      <c r="AF41" s="665" t="s">
        <v>28</v>
      </c>
      <c r="AG41" s="665" t="s">
        <v>28</v>
      </c>
      <c r="AH41" s="665" t="s">
        <v>28</v>
      </c>
      <c r="AI41" s="665" t="s">
        <v>28</v>
      </c>
      <c r="AJ41" s="665" t="s">
        <v>28</v>
      </c>
      <c r="AK41" s="665" t="s">
        <v>28</v>
      </c>
      <c r="AL41" s="665" t="s">
        <v>28</v>
      </c>
      <c r="AM41" s="653" t="s">
        <v>28</v>
      </c>
      <c r="AN41" s="668" t="s">
        <v>28</v>
      </c>
    </row>
    <row r="42" spans="1:40" ht="10.5" customHeight="1">
      <c r="A42" s="699" t="s">
        <v>51</v>
      </c>
      <c r="B42" s="669" t="s">
        <v>52</v>
      </c>
      <c r="C42" s="670">
        <v>41</v>
      </c>
      <c r="D42" s="670">
        <v>20</v>
      </c>
      <c r="E42" s="670" t="s">
        <v>28</v>
      </c>
      <c r="F42" s="670" t="s">
        <v>28</v>
      </c>
      <c r="G42" s="670">
        <v>9</v>
      </c>
      <c r="H42" s="670">
        <v>5</v>
      </c>
      <c r="I42" s="670">
        <v>2</v>
      </c>
      <c r="J42" s="670">
        <v>1</v>
      </c>
      <c r="K42" s="670" t="s">
        <v>28</v>
      </c>
      <c r="L42" s="670" t="s">
        <v>28</v>
      </c>
      <c r="M42" s="670">
        <v>2</v>
      </c>
      <c r="N42" s="679">
        <v>1</v>
      </c>
      <c r="O42" s="679">
        <v>4</v>
      </c>
      <c r="P42" s="679">
        <v>2</v>
      </c>
      <c r="Q42" s="679">
        <v>5</v>
      </c>
      <c r="R42" s="679" t="s">
        <v>28</v>
      </c>
      <c r="S42" s="679">
        <v>2</v>
      </c>
      <c r="T42" s="679">
        <v>1</v>
      </c>
      <c r="U42" s="679" t="s">
        <v>28</v>
      </c>
      <c r="V42" s="679" t="s">
        <v>28</v>
      </c>
      <c r="W42" s="679" t="s">
        <v>28</v>
      </c>
      <c r="X42" s="679" t="s">
        <v>28</v>
      </c>
      <c r="Y42" s="670">
        <v>8</v>
      </c>
      <c r="Z42" s="670">
        <v>5</v>
      </c>
      <c r="AA42" s="670">
        <v>1</v>
      </c>
      <c r="AB42" s="670" t="s">
        <v>28</v>
      </c>
      <c r="AC42" s="670">
        <v>6</v>
      </c>
      <c r="AD42" s="670">
        <v>4</v>
      </c>
      <c r="AE42" s="670" t="s">
        <v>28</v>
      </c>
      <c r="AF42" s="670" t="s">
        <v>28</v>
      </c>
      <c r="AG42" s="670" t="s">
        <v>28</v>
      </c>
      <c r="AH42" s="670" t="s">
        <v>28</v>
      </c>
      <c r="AI42" s="670" t="s">
        <v>28</v>
      </c>
      <c r="AJ42" s="670" t="s">
        <v>28</v>
      </c>
      <c r="AK42" s="670" t="s">
        <v>28</v>
      </c>
      <c r="AL42" s="670" t="s">
        <v>28</v>
      </c>
      <c r="AM42" s="679">
        <v>2</v>
      </c>
      <c r="AN42" s="673">
        <v>1</v>
      </c>
    </row>
    <row r="43" spans="1:40" ht="10.5" customHeight="1">
      <c r="A43" s="700" t="s">
        <v>29</v>
      </c>
      <c r="B43" s="652" t="s">
        <v>30</v>
      </c>
      <c r="C43" s="665">
        <v>40</v>
      </c>
      <c r="D43" s="665">
        <v>20</v>
      </c>
      <c r="E43" s="665" t="s">
        <v>28</v>
      </c>
      <c r="F43" s="665" t="s">
        <v>28</v>
      </c>
      <c r="G43" s="665">
        <v>9</v>
      </c>
      <c r="H43" s="665">
        <v>5</v>
      </c>
      <c r="I43" s="665">
        <v>2</v>
      </c>
      <c r="J43" s="665">
        <v>1</v>
      </c>
      <c r="K43" s="665" t="s">
        <v>28</v>
      </c>
      <c r="L43" s="665" t="s">
        <v>28</v>
      </c>
      <c r="M43" s="665">
        <v>1</v>
      </c>
      <c r="N43" s="653">
        <v>1</v>
      </c>
      <c r="O43" s="653">
        <v>4</v>
      </c>
      <c r="P43" s="653">
        <v>2</v>
      </c>
      <c r="Q43" s="653">
        <v>5</v>
      </c>
      <c r="R43" s="653" t="s">
        <v>28</v>
      </c>
      <c r="S43" s="653">
        <v>2</v>
      </c>
      <c r="T43" s="653">
        <v>1</v>
      </c>
      <c r="U43" s="653" t="s">
        <v>28</v>
      </c>
      <c r="V43" s="653" t="s">
        <v>28</v>
      </c>
      <c r="W43" s="653" t="s">
        <v>28</v>
      </c>
      <c r="X43" s="653" t="s">
        <v>28</v>
      </c>
      <c r="Y43" s="665">
        <v>8</v>
      </c>
      <c r="Z43" s="665">
        <v>5</v>
      </c>
      <c r="AA43" s="665">
        <v>1</v>
      </c>
      <c r="AB43" s="665" t="s">
        <v>28</v>
      </c>
      <c r="AC43" s="665">
        <v>6</v>
      </c>
      <c r="AD43" s="665">
        <v>4</v>
      </c>
      <c r="AE43" s="665" t="s">
        <v>28</v>
      </c>
      <c r="AF43" s="665" t="s">
        <v>28</v>
      </c>
      <c r="AG43" s="665" t="s">
        <v>28</v>
      </c>
      <c r="AH43" s="665" t="s">
        <v>28</v>
      </c>
      <c r="AI43" s="665" t="s">
        <v>28</v>
      </c>
      <c r="AJ43" s="665" t="s">
        <v>28</v>
      </c>
      <c r="AK43" s="665" t="s">
        <v>28</v>
      </c>
      <c r="AL43" s="665" t="s">
        <v>28</v>
      </c>
      <c r="AM43" s="653">
        <v>2</v>
      </c>
      <c r="AN43" s="668">
        <v>1</v>
      </c>
    </row>
    <row r="44" spans="1:40" ht="10.5" customHeight="1">
      <c r="A44" s="700" t="s">
        <v>31</v>
      </c>
      <c r="B44" s="652" t="s">
        <v>32</v>
      </c>
      <c r="C44" s="665">
        <v>1</v>
      </c>
      <c r="D44" s="665" t="s">
        <v>28</v>
      </c>
      <c r="E44" s="665" t="s">
        <v>28</v>
      </c>
      <c r="F44" s="665" t="s">
        <v>28</v>
      </c>
      <c r="G44" s="665" t="s">
        <v>28</v>
      </c>
      <c r="H44" s="665" t="s">
        <v>28</v>
      </c>
      <c r="I44" s="665" t="s">
        <v>28</v>
      </c>
      <c r="J44" s="665" t="s">
        <v>28</v>
      </c>
      <c r="K44" s="665" t="s">
        <v>28</v>
      </c>
      <c r="L44" s="665" t="s">
        <v>28</v>
      </c>
      <c r="M44" s="665">
        <v>1</v>
      </c>
      <c r="N44" s="653" t="s">
        <v>28</v>
      </c>
      <c r="O44" s="653" t="s">
        <v>28</v>
      </c>
      <c r="P44" s="653" t="s">
        <v>28</v>
      </c>
      <c r="Q44" s="653" t="s">
        <v>28</v>
      </c>
      <c r="R44" s="653" t="s">
        <v>28</v>
      </c>
      <c r="S44" s="653" t="s">
        <v>28</v>
      </c>
      <c r="T44" s="653" t="s">
        <v>28</v>
      </c>
      <c r="U44" s="653" t="s">
        <v>28</v>
      </c>
      <c r="V44" s="653" t="s">
        <v>28</v>
      </c>
      <c r="W44" s="653" t="s">
        <v>28</v>
      </c>
      <c r="X44" s="653" t="s">
        <v>28</v>
      </c>
      <c r="Y44" s="665" t="s">
        <v>28</v>
      </c>
      <c r="Z44" s="665" t="s">
        <v>28</v>
      </c>
      <c r="AA44" s="665" t="s">
        <v>28</v>
      </c>
      <c r="AB44" s="665" t="s">
        <v>28</v>
      </c>
      <c r="AC44" s="665" t="s">
        <v>28</v>
      </c>
      <c r="AD44" s="665" t="s">
        <v>28</v>
      </c>
      <c r="AE44" s="665" t="s">
        <v>28</v>
      </c>
      <c r="AF44" s="665" t="s">
        <v>28</v>
      </c>
      <c r="AG44" s="665" t="s">
        <v>28</v>
      </c>
      <c r="AH44" s="665" t="s">
        <v>28</v>
      </c>
      <c r="AI44" s="665" t="s">
        <v>28</v>
      </c>
      <c r="AJ44" s="665" t="s">
        <v>28</v>
      </c>
      <c r="AK44" s="665" t="s">
        <v>28</v>
      </c>
      <c r="AL44" s="665" t="s">
        <v>28</v>
      </c>
      <c r="AM44" s="653" t="s">
        <v>28</v>
      </c>
      <c r="AN44" s="668" t="s">
        <v>28</v>
      </c>
    </row>
    <row r="45" spans="1:40" ht="10.5" customHeight="1">
      <c r="A45" s="699" t="s">
        <v>53</v>
      </c>
      <c r="B45" s="669" t="s">
        <v>54</v>
      </c>
      <c r="C45" s="670">
        <v>40</v>
      </c>
      <c r="D45" s="670">
        <v>18</v>
      </c>
      <c r="E45" s="670">
        <v>2</v>
      </c>
      <c r="F45" s="670">
        <v>1</v>
      </c>
      <c r="G45" s="670">
        <v>20</v>
      </c>
      <c r="H45" s="670">
        <v>10</v>
      </c>
      <c r="I45" s="670" t="s">
        <v>28</v>
      </c>
      <c r="J45" s="670" t="s">
        <v>28</v>
      </c>
      <c r="K45" s="670">
        <v>1</v>
      </c>
      <c r="L45" s="670" t="s">
        <v>28</v>
      </c>
      <c r="M45" s="670" t="s">
        <v>28</v>
      </c>
      <c r="N45" s="679" t="s">
        <v>28</v>
      </c>
      <c r="O45" s="679">
        <v>3</v>
      </c>
      <c r="P45" s="679">
        <v>2</v>
      </c>
      <c r="Q45" s="679">
        <v>6</v>
      </c>
      <c r="R45" s="679">
        <v>1</v>
      </c>
      <c r="S45" s="679">
        <v>2</v>
      </c>
      <c r="T45" s="679">
        <v>1</v>
      </c>
      <c r="U45" s="679">
        <v>1</v>
      </c>
      <c r="V45" s="679">
        <v>1</v>
      </c>
      <c r="W45" s="679" t="s">
        <v>28</v>
      </c>
      <c r="X45" s="679" t="s">
        <v>28</v>
      </c>
      <c r="Y45" s="670">
        <v>3</v>
      </c>
      <c r="Z45" s="670" t="s">
        <v>28</v>
      </c>
      <c r="AA45" s="670">
        <v>1</v>
      </c>
      <c r="AB45" s="670">
        <v>1</v>
      </c>
      <c r="AC45" s="670" t="s">
        <v>28</v>
      </c>
      <c r="AD45" s="670" t="s">
        <v>28</v>
      </c>
      <c r="AE45" s="670" t="s">
        <v>28</v>
      </c>
      <c r="AF45" s="670" t="s">
        <v>28</v>
      </c>
      <c r="AG45" s="670">
        <v>1</v>
      </c>
      <c r="AH45" s="670">
        <v>1</v>
      </c>
      <c r="AI45" s="670" t="s">
        <v>28</v>
      </c>
      <c r="AJ45" s="670" t="s">
        <v>28</v>
      </c>
      <c r="AK45" s="670" t="s">
        <v>28</v>
      </c>
      <c r="AL45" s="670" t="s">
        <v>28</v>
      </c>
      <c r="AM45" s="679" t="s">
        <v>28</v>
      </c>
      <c r="AN45" s="673" t="s">
        <v>28</v>
      </c>
    </row>
    <row r="46" spans="1:40" ht="10.5" customHeight="1">
      <c r="A46" s="700" t="s">
        <v>29</v>
      </c>
      <c r="B46" s="652" t="s">
        <v>30</v>
      </c>
      <c r="C46" s="665">
        <v>40</v>
      </c>
      <c r="D46" s="665">
        <v>18</v>
      </c>
      <c r="E46" s="665">
        <v>2</v>
      </c>
      <c r="F46" s="665">
        <v>1</v>
      </c>
      <c r="G46" s="665">
        <v>20</v>
      </c>
      <c r="H46" s="665">
        <v>10</v>
      </c>
      <c r="I46" s="665" t="s">
        <v>28</v>
      </c>
      <c r="J46" s="665" t="s">
        <v>28</v>
      </c>
      <c r="K46" s="665">
        <v>1</v>
      </c>
      <c r="L46" s="665" t="s">
        <v>28</v>
      </c>
      <c r="M46" s="665" t="s">
        <v>28</v>
      </c>
      <c r="N46" s="653" t="s">
        <v>28</v>
      </c>
      <c r="O46" s="653">
        <v>3</v>
      </c>
      <c r="P46" s="653">
        <v>2</v>
      </c>
      <c r="Q46" s="653">
        <v>6</v>
      </c>
      <c r="R46" s="653">
        <v>1</v>
      </c>
      <c r="S46" s="653">
        <v>2</v>
      </c>
      <c r="T46" s="653">
        <v>1</v>
      </c>
      <c r="U46" s="653">
        <v>1</v>
      </c>
      <c r="V46" s="653">
        <v>1</v>
      </c>
      <c r="W46" s="653" t="s">
        <v>28</v>
      </c>
      <c r="X46" s="653" t="s">
        <v>28</v>
      </c>
      <c r="Y46" s="665">
        <v>3</v>
      </c>
      <c r="Z46" s="665" t="s">
        <v>28</v>
      </c>
      <c r="AA46" s="665">
        <v>1</v>
      </c>
      <c r="AB46" s="665">
        <v>1</v>
      </c>
      <c r="AC46" s="665" t="s">
        <v>28</v>
      </c>
      <c r="AD46" s="665" t="s">
        <v>28</v>
      </c>
      <c r="AE46" s="665" t="s">
        <v>28</v>
      </c>
      <c r="AF46" s="665" t="s">
        <v>28</v>
      </c>
      <c r="AG46" s="665">
        <v>1</v>
      </c>
      <c r="AH46" s="665">
        <v>1</v>
      </c>
      <c r="AI46" s="665" t="s">
        <v>28</v>
      </c>
      <c r="AJ46" s="665" t="s">
        <v>28</v>
      </c>
      <c r="AK46" s="665" t="s">
        <v>28</v>
      </c>
      <c r="AL46" s="665" t="s">
        <v>28</v>
      </c>
      <c r="AM46" s="653" t="s">
        <v>28</v>
      </c>
      <c r="AN46" s="668" t="s">
        <v>28</v>
      </c>
    </row>
    <row r="47" spans="1:40" ht="10.5" customHeight="1">
      <c r="A47" s="700" t="s">
        <v>31</v>
      </c>
      <c r="B47" s="652" t="s">
        <v>32</v>
      </c>
      <c r="C47" s="665" t="s">
        <v>28</v>
      </c>
      <c r="D47" s="665" t="s">
        <v>28</v>
      </c>
      <c r="E47" s="665" t="s">
        <v>28</v>
      </c>
      <c r="F47" s="665" t="s">
        <v>28</v>
      </c>
      <c r="G47" s="665" t="s">
        <v>28</v>
      </c>
      <c r="H47" s="665" t="s">
        <v>28</v>
      </c>
      <c r="I47" s="665" t="s">
        <v>28</v>
      </c>
      <c r="J47" s="665" t="s">
        <v>28</v>
      </c>
      <c r="K47" s="665" t="s">
        <v>28</v>
      </c>
      <c r="L47" s="665" t="s">
        <v>28</v>
      </c>
      <c r="M47" s="665" t="s">
        <v>28</v>
      </c>
      <c r="N47" s="653" t="s">
        <v>28</v>
      </c>
      <c r="O47" s="653" t="s">
        <v>28</v>
      </c>
      <c r="P47" s="653" t="s">
        <v>28</v>
      </c>
      <c r="Q47" s="653" t="s">
        <v>28</v>
      </c>
      <c r="R47" s="653" t="s">
        <v>28</v>
      </c>
      <c r="S47" s="653" t="s">
        <v>28</v>
      </c>
      <c r="T47" s="653" t="s">
        <v>28</v>
      </c>
      <c r="U47" s="653" t="s">
        <v>28</v>
      </c>
      <c r="V47" s="653" t="s">
        <v>28</v>
      </c>
      <c r="W47" s="653" t="s">
        <v>28</v>
      </c>
      <c r="X47" s="653" t="s">
        <v>28</v>
      </c>
      <c r="Y47" s="665" t="s">
        <v>28</v>
      </c>
      <c r="Z47" s="665" t="s">
        <v>28</v>
      </c>
      <c r="AA47" s="665" t="s">
        <v>28</v>
      </c>
      <c r="AB47" s="665" t="s">
        <v>28</v>
      </c>
      <c r="AC47" s="665" t="s">
        <v>28</v>
      </c>
      <c r="AD47" s="665" t="s">
        <v>28</v>
      </c>
      <c r="AE47" s="665" t="s">
        <v>28</v>
      </c>
      <c r="AF47" s="665" t="s">
        <v>28</v>
      </c>
      <c r="AG47" s="665" t="s">
        <v>28</v>
      </c>
      <c r="AH47" s="665" t="s">
        <v>28</v>
      </c>
      <c r="AI47" s="665" t="s">
        <v>28</v>
      </c>
      <c r="AJ47" s="665" t="s">
        <v>28</v>
      </c>
      <c r="AK47" s="665" t="s">
        <v>28</v>
      </c>
      <c r="AL47" s="665" t="s">
        <v>28</v>
      </c>
      <c r="AM47" s="653" t="s">
        <v>28</v>
      </c>
      <c r="AN47" s="668" t="s">
        <v>28</v>
      </c>
    </row>
    <row r="48" spans="1:40" ht="10.5" customHeight="1">
      <c r="A48" s="699" t="s">
        <v>55</v>
      </c>
      <c r="B48" s="669" t="s">
        <v>56</v>
      </c>
      <c r="C48" s="670">
        <v>66</v>
      </c>
      <c r="D48" s="670">
        <v>34</v>
      </c>
      <c r="E48" s="670">
        <v>4</v>
      </c>
      <c r="F48" s="670" t="s">
        <v>28</v>
      </c>
      <c r="G48" s="670">
        <v>44</v>
      </c>
      <c r="H48" s="670">
        <v>26</v>
      </c>
      <c r="I48" s="670">
        <v>1</v>
      </c>
      <c r="J48" s="670">
        <v>1</v>
      </c>
      <c r="K48" s="670" t="s">
        <v>28</v>
      </c>
      <c r="L48" s="670" t="s">
        <v>28</v>
      </c>
      <c r="M48" s="670">
        <v>1</v>
      </c>
      <c r="N48" s="679" t="s">
        <v>28</v>
      </c>
      <c r="O48" s="679">
        <v>4</v>
      </c>
      <c r="P48" s="679">
        <v>3</v>
      </c>
      <c r="Q48" s="679">
        <v>9</v>
      </c>
      <c r="R48" s="679">
        <v>3</v>
      </c>
      <c r="S48" s="679">
        <v>1</v>
      </c>
      <c r="T48" s="679" t="s">
        <v>28</v>
      </c>
      <c r="U48" s="679" t="s">
        <v>28</v>
      </c>
      <c r="V48" s="679" t="s">
        <v>28</v>
      </c>
      <c r="W48" s="679" t="s">
        <v>28</v>
      </c>
      <c r="X48" s="679" t="s">
        <v>28</v>
      </c>
      <c r="Y48" s="670" t="s">
        <v>28</v>
      </c>
      <c r="Z48" s="670" t="s">
        <v>28</v>
      </c>
      <c r="AA48" s="670">
        <v>1</v>
      </c>
      <c r="AB48" s="670" t="s">
        <v>28</v>
      </c>
      <c r="AC48" s="670" t="s">
        <v>28</v>
      </c>
      <c r="AD48" s="670" t="s">
        <v>28</v>
      </c>
      <c r="AE48" s="670" t="s">
        <v>28</v>
      </c>
      <c r="AF48" s="670" t="s">
        <v>28</v>
      </c>
      <c r="AG48" s="670" t="s">
        <v>28</v>
      </c>
      <c r="AH48" s="670" t="s">
        <v>28</v>
      </c>
      <c r="AI48" s="670" t="s">
        <v>28</v>
      </c>
      <c r="AJ48" s="670" t="s">
        <v>28</v>
      </c>
      <c r="AK48" s="670">
        <v>1</v>
      </c>
      <c r="AL48" s="670">
        <v>1</v>
      </c>
      <c r="AM48" s="679" t="s">
        <v>28</v>
      </c>
      <c r="AN48" s="673" t="s">
        <v>28</v>
      </c>
    </row>
    <row r="49" spans="1:40" ht="10.5" customHeight="1">
      <c r="A49" s="700" t="s">
        <v>29</v>
      </c>
      <c r="B49" s="652" t="s">
        <v>30</v>
      </c>
      <c r="C49" s="665">
        <v>66</v>
      </c>
      <c r="D49" s="665">
        <v>34</v>
      </c>
      <c r="E49" s="665">
        <v>4</v>
      </c>
      <c r="F49" s="665" t="s">
        <v>28</v>
      </c>
      <c r="G49" s="665">
        <v>44</v>
      </c>
      <c r="H49" s="665">
        <v>26</v>
      </c>
      <c r="I49" s="665">
        <v>1</v>
      </c>
      <c r="J49" s="665">
        <v>1</v>
      </c>
      <c r="K49" s="665" t="s">
        <v>28</v>
      </c>
      <c r="L49" s="665" t="s">
        <v>28</v>
      </c>
      <c r="M49" s="665">
        <v>1</v>
      </c>
      <c r="N49" s="653" t="s">
        <v>28</v>
      </c>
      <c r="O49" s="653">
        <v>4</v>
      </c>
      <c r="P49" s="653">
        <v>3</v>
      </c>
      <c r="Q49" s="653">
        <v>9</v>
      </c>
      <c r="R49" s="653">
        <v>3</v>
      </c>
      <c r="S49" s="653">
        <v>1</v>
      </c>
      <c r="T49" s="653" t="s">
        <v>28</v>
      </c>
      <c r="U49" s="653" t="s">
        <v>28</v>
      </c>
      <c r="V49" s="653" t="s">
        <v>28</v>
      </c>
      <c r="W49" s="653" t="s">
        <v>28</v>
      </c>
      <c r="X49" s="653" t="s">
        <v>28</v>
      </c>
      <c r="Y49" s="665" t="s">
        <v>28</v>
      </c>
      <c r="Z49" s="665" t="s">
        <v>28</v>
      </c>
      <c r="AA49" s="665">
        <v>1</v>
      </c>
      <c r="AB49" s="665" t="s">
        <v>28</v>
      </c>
      <c r="AC49" s="665" t="s">
        <v>28</v>
      </c>
      <c r="AD49" s="665" t="s">
        <v>28</v>
      </c>
      <c r="AE49" s="665" t="s">
        <v>28</v>
      </c>
      <c r="AF49" s="665" t="s">
        <v>28</v>
      </c>
      <c r="AG49" s="665" t="s">
        <v>28</v>
      </c>
      <c r="AH49" s="665" t="s">
        <v>28</v>
      </c>
      <c r="AI49" s="665" t="s">
        <v>28</v>
      </c>
      <c r="AJ49" s="665" t="s">
        <v>28</v>
      </c>
      <c r="AK49" s="665">
        <v>1</v>
      </c>
      <c r="AL49" s="665">
        <v>1</v>
      </c>
      <c r="AM49" s="653" t="s">
        <v>28</v>
      </c>
      <c r="AN49" s="668" t="s">
        <v>28</v>
      </c>
    </row>
    <row r="50" spans="1:40" ht="10.5" customHeight="1">
      <c r="A50" s="700" t="s">
        <v>31</v>
      </c>
      <c r="B50" s="652" t="s">
        <v>32</v>
      </c>
      <c r="C50" s="665" t="s">
        <v>28</v>
      </c>
      <c r="D50" s="665" t="s">
        <v>28</v>
      </c>
      <c r="E50" s="665" t="s">
        <v>28</v>
      </c>
      <c r="F50" s="665" t="s">
        <v>28</v>
      </c>
      <c r="G50" s="665" t="s">
        <v>28</v>
      </c>
      <c r="H50" s="665" t="s">
        <v>28</v>
      </c>
      <c r="I50" s="665" t="s">
        <v>28</v>
      </c>
      <c r="J50" s="665" t="s">
        <v>28</v>
      </c>
      <c r="K50" s="665" t="s">
        <v>28</v>
      </c>
      <c r="L50" s="665" t="s">
        <v>28</v>
      </c>
      <c r="M50" s="665" t="s">
        <v>28</v>
      </c>
      <c r="N50" s="653" t="s">
        <v>28</v>
      </c>
      <c r="O50" s="653" t="s">
        <v>28</v>
      </c>
      <c r="P50" s="653" t="s">
        <v>28</v>
      </c>
      <c r="Q50" s="653" t="s">
        <v>28</v>
      </c>
      <c r="R50" s="653" t="s">
        <v>28</v>
      </c>
      <c r="S50" s="653" t="s">
        <v>28</v>
      </c>
      <c r="T50" s="653" t="s">
        <v>28</v>
      </c>
      <c r="U50" s="653" t="s">
        <v>28</v>
      </c>
      <c r="V50" s="653" t="s">
        <v>28</v>
      </c>
      <c r="W50" s="653" t="s">
        <v>28</v>
      </c>
      <c r="X50" s="653" t="s">
        <v>28</v>
      </c>
      <c r="Y50" s="665" t="s">
        <v>28</v>
      </c>
      <c r="Z50" s="665" t="s">
        <v>28</v>
      </c>
      <c r="AA50" s="665" t="s">
        <v>28</v>
      </c>
      <c r="AB50" s="665" t="s">
        <v>28</v>
      </c>
      <c r="AC50" s="665" t="s">
        <v>28</v>
      </c>
      <c r="AD50" s="665" t="s">
        <v>28</v>
      </c>
      <c r="AE50" s="665" t="s">
        <v>28</v>
      </c>
      <c r="AF50" s="665" t="s">
        <v>28</v>
      </c>
      <c r="AG50" s="665" t="s">
        <v>28</v>
      </c>
      <c r="AH50" s="665" t="s">
        <v>28</v>
      </c>
      <c r="AI50" s="665" t="s">
        <v>28</v>
      </c>
      <c r="AJ50" s="665" t="s">
        <v>28</v>
      </c>
      <c r="AK50" s="665" t="s">
        <v>28</v>
      </c>
      <c r="AL50" s="665" t="s">
        <v>28</v>
      </c>
      <c r="AM50" s="653" t="s">
        <v>28</v>
      </c>
      <c r="AN50" s="668" t="s">
        <v>28</v>
      </c>
    </row>
    <row r="51" spans="1:40" ht="10.5" customHeight="1">
      <c r="A51" s="699" t="s">
        <v>57</v>
      </c>
      <c r="B51" s="669" t="s">
        <v>58</v>
      </c>
      <c r="C51" s="670">
        <v>24</v>
      </c>
      <c r="D51" s="670">
        <v>16</v>
      </c>
      <c r="E51" s="670">
        <v>1</v>
      </c>
      <c r="F51" s="670">
        <v>1</v>
      </c>
      <c r="G51" s="670">
        <v>7</v>
      </c>
      <c r="H51" s="670">
        <v>2</v>
      </c>
      <c r="I51" s="670">
        <v>3</v>
      </c>
      <c r="J51" s="670">
        <v>3</v>
      </c>
      <c r="K51" s="670" t="s">
        <v>28</v>
      </c>
      <c r="L51" s="670" t="s">
        <v>28</v>
      </c>
      <c r="M51" s="670">
        <v>1</v>
      </c>
      <c r="N51" s="679">
        <v>1</v>
      </c>
      <c r="O51" s="679">
        <v>1</v>
      </c>
      <c r="P51" s="679">
        <v>1</v>
      </c>
      <c r="Q51" s="679">
        <v>9</v>
      </c>
      <c r="R51" s="679">
        <v>6</v>
      </c>
      <c r="S51" s="679" t="s">
        <v>28</v>
      </c>
      <c r="T51" s="679" t="s">
        <v>28</v>
      </c>
      <c r="U51" s="679" t="s">
        <v>28</v>
      </c>
      <c r="V51" s="679" t="s">
        <v>28</v>
      </c>
      <c r="W51" s="679" t="s">
        <v>28</v>
      </c>
      <c r="X51" s="679" t="s">
        <v>28</v>
      </c>
      <c r="Y51" s="670">
        <v>2</v>
      </c>
      <c r="Z51" s="670">
        <v>2</v>
      </c>
      <c r="AA51" s="670" t="s">
        <v>28</v>
      </c>
      <c r="AB51" s="670" t="s">
        <v>28</v>
      </c>
      <c r="AC51" s="670" t="s">
        <v>28</v>
      </c>
      <c r="AD51" s="670" t="s">
        <v>28</v>
      </c>
      <c r="AE51" s="670" t="s">
        <v>28</v>
      </c>
      <c r="AF51" s="670" t="s">
        <v>28</v>
      </c>
      <c r="AG51" s="670" t="s">
        <v>28</v>
      </c>
      <c r="AH51" s="670" t="s">
        <v>28</v>
      </c>
      <c r="AI51" s="670" t="s">
        <v>28</v>
      </c>
      <c r="AJ51" s="670" t="s">
        <v>28</v>
      </c>
      <c r="AK51" s="670" t="s">
        <v>28</v>
      </c>
      <c r="AL51" s="670" t="s">
        <v>28</v>
      </c>
      <c r="AM51" s="679" t="s">
        <v>28</v>
      </c>
      <c r="AN51" s="673" t="s">
        <v>28</v>
      </c>
    </row>
    <row r="52" spans="1:40" ht="10.5" customHeight="1">
      <c r="A52" s="700" t="s">
        <v>29</v>
      </c>
      <c r="B52" s="652" t="s">
        <v>30</v>
      </c>
      <c r="C52" s="665">
        <v>24</v>
      </c>
      <c r="D52" s="665">
        <v>16</v>
      </c>
      <c r="E52" s="665">
        <v>1</v>
      </c>
      <c r="F52" s="665">
        <v>1</v>
      </c>
      <c r="G52" s="665">
        <v>7</v>
      </c>
      <c r="H52" s="665">
        <v>2</v>
      </c>
      <c r="I52" s="665">
        <v>3</v>
      </c>
      <c r="J52" s="665">
        <v>3</v>
      </c>
      <c r="K52" s="665" t="s">
        <v>28</v>
      </c>
      <c r="L52" s="665" t="s">
        <v>28</v>
      </c>
      <c r="M52" s="665">
        <v>1</v>
      </c>
      <c r="N52" s="653">
        <v>1</v>
      </c>
      <c r="O52" s="653">
        <v>1</v>
      </c>
      <c r="P52" s="653">
        <v>1</v>
      </c>
      <c r="Q52" s="653">
        <v>9</v>
      </c>
      <c r="R52" s="653">
        <v>6</v>
      </c>
      <c r="S52" s="653" t="s">
        <v>28</v>
      </c>
      <c r="T52" s="653" t="s">
        <v>28</v>
      </c>
      <c r="U52" s="653" t="s">
        <v>28</v>
      </c>
      <c r="V52" s="653" t="s">
        <v>28</v>
      </c>
      <c r="W52" s="653" t="s">
        <v>28</v>
      </c>
      <c r="X52" s="653" t="s">
        <v>28</v>
      </c>
      <c r="Y52" s="665">
        <v>2</v>
      </c>
      <c r="Z52" s="665">
        <v>2</v>
      </c>
      <c r="AA52" s="665" t="s">
        <v>28</v>
      </c>
      <c r="AB52" s="665" t="s">
        <v>28</v>
      </c>
      <c r="AC52" s="665" t="s">
        <v>28</v>
      </c>
      <c r="AD52" s="665" t="s">
        <v>28</v>
      </c>
      <c r="AE52" s="665" t="s">
        <v>28</v>
      </c>
      <c r="AF52" s="665" t="s">
        <v>28</v>
      </c>
      <c r="AG52" s="665" t="s">
        <v>28</v>
      </c>
      <c r="AH52" s="665" t="s">
        <v>28</v>
      </c>
      <c r="AI52" s="665" t="s">
        <v>28</v>
      </c>
      <c r="AJ52" s="665" t="s">
        <v>28</v>
      </c>
      <c r="AK52" s="665" t="s">
        <v>28</v>
      </c>
      <c r="AL52" s="665" t="s">
        <v>28</v>
      </c>
      <c r="AM52" s="653" t="s">
        <v>28</v>
      </c>
      <c r="AN52" s="668" t="s">
        <v>28</v>
      </c>
    </row>
    <row r="53" spans="1:40" ht="10.5" customHeight="1">
      <c r="A53" s="700" t="s">
        <v>31</v>
      </c>
      <c r="B53" s="652" t="s">
        <v>32</v>
      </c>
      <c r="C53" s="665" t="s">
        <v>28</v>
      </c>
      <c r="D53" s="665" t="s">
        <v>28</v>
      </c>
      <c r="E53" s="665" t="s">
        <v>28</v>
      </c>
      <c r="F53" s="665" t="s">
        <v>28</v>
      </c>
      <c r="G53" s="665" t="s">
        <v>28</v>
      </c>
      <c r="H53" s="665" t="s">
        <v>28</v>
      </c>
      <c r="I53" s="665" t="s">
        <v>28</v>
      </c>
      <c r="J53" s="665" t="s">
        <v>28</v>
      </c>
      <c r="K53" s="665" t="s">
        <v>28</v>
      </c>
      <c r="L53" s="665" t="s">
        <v>28</v>
      </c>
      <c r="M53" s="665" t="s">
        <v>28</v>
      </c>
      <c r="N53" s="653" t="s">
        <v>28</v>
      </c>
      <c r="O53" s="653" t="s">
        <v>28</v>
      </c>
      <c r="P53" s="653" t="s">
        <v>28</v>
      </c>
      <c r="Q53" s="653" t="s">
        <v>28</v>
      </c>
      <c r="R53" s="653" t="s">
        <v>28</v>
      </c>
      <c r="S53" s="653" t="s">
        <v>28</v>
      </c>
      <c r="T53" s="653" t="s">
        <v>28</v>
      </c>
      <c r="U53" s="653" t="s">
        <v>28</v>
      </c>
      <c r="V53" s="653" t="s">
        <v>28</v>
      </c>
      <c r="W53" s="653" t="s">
        <v>28</v>
      </c>
      <c r="X53" s="653" t="s">
        <v>28</v>
      </c>
      <c r="Y53" s="665" t="s">
        <v>28</v>
      </c>
      <c r="Z53" s="665" t="s">
        <v>28</v>
      </c>
      <c r="AA53" s="665" t="s">
        <v>28</v>
      </c>
      <c r="AB53" s="665" t="s">
        <v>28</v>
      </c>
      <c r="AC53" s="665" t="s">
        <v>28</v>
      </c>
      <c r="AD53" s="665" t="s">
        <v>28</v>
      </c>
      <c r="AE53" s="665" t="s">
        <v>28</v>
      </c>
      <c r="AF53" s="665" t="s">
        <v>28</v>
      </c>
      <c r="AG53" s="665" t="s">
        <v>28</v>
      </c>
      <c r="AH53" s="665" t="s">
        <v>28</v>
      </c>
      <c r="AI53" s="665" t="s">
        <v>28</v>
      </c>
      <c r="AJ53" s="665" t="s">
        <v>28</v>
      </c>
      <c r="AK53" s="665" t="s">
        <v>28</v>
      </c>
      <c r="AL53" s="665" t="s">
        <v>28</v>
      </c>
      <c r="AM53" s="653" t="s">
        <v>28</v>
      </c>
      <c r="AN53" s="668" t="s">
        <v>28</v>
      </c>
    </row>
    <row r="54" spans="1:40" ht="10.5" customHeight="1">
      <c r="A54" s="699" t="s">
        <v>59</v>
      </c>
      <c r="B54" s="669" t="s">
        <v>60</v>
      </c>
      <c r="C54" s="670">
        <v>78</v>
      </c>
      <c r="D54" s="670">
        <v>43</v>
      </c>
      <c r="E54" s="670">
        <v>6</v>
      </c>
      <c r="F54" s="670">
        <v>3</v>
      </c>
      <c r="G54" s="670">
        <v>27</v>
      </c>
      <c r="H54" s="670">
        <v>16</v>
      </c>
      <c r="I54" s="670">
        <v>2</v>
      </c>
      <c r="J54" s="670" t="s">
        <v>28</v>
      </c>
      <c r="K54" s="670">
        <v>2</v>
      </c>
      <c r="L54" s="670">
        <v>1</v>
      </c>
      <c r="M54" s="670">
        <v>4</v>
      </c>
      <c r="N54" s="679">
        <v>3</v>
      </c>
      <c r="O54" s="679">
        <v>7</v>
      </c>
      <c r="P54" s="679">
        <v>6</v>
      </c>
      <c r="Q54" s="679">
        <v>13</v>
      </c>
      <c r="R54" s="679">
        <v>8</v>
      </c>
      <c r="S54" s="679">
        <v>2</v>
      </c>
      <c r="T54" s="679" t="s">
        <v>28</v>
      </c>
      <c r="U54" s="679" t="s">
        <v>28</v>
      </c>
      <c r="V54" s="679" t="s">
        <v>28</v>
      </c>
      <c r="W54" s="679">
        <v>1</v>
      </c>
      <c r="X54" s="679" t="s">
        <v>28</v>
      </c>
      <c r="Y54" s="670">
        <v>3</v>
      </c>
      <c r="Z54" s="670">
        <v>1</v>
      </c>
      <c r="AA54" s="670">
        <v>1</v>
      </c>
      <c r="AB54" s="670">
        <v>1</v>
      </c>
      <c r="AC54" s="670">
        <v>1</v>
      </c>
      <c r="AD54" s="670">
        <v>1</v>
      </c>
      <c r="AE54" s="670" t="s">
        <v>28</v>
      </c>
      <c r="AF54" s="670" t="s">
        <v>28</v>
      </c>
      <c r="AG54" s="670">
        <v>1</v>
      </c>
      <c r="AH54" s="670">
        <v>1</v>
      </c>
      <c r="AI54" s="670" t="s">
        <v>28</v>
      </c>
      <c r="AJ54" s="670" t="s">
        <v>28</v>
      </c>
      <c r="AK54" s="670" t="s">
        <v>28</v>
      </c>
      <c r="AL54" s="670" t="s">
        <v>28</v>
      </c>
      <c r="AM54" s="679">
        <v>8</v>
      </c>
      <c r="AN54" s="673">
        <v>2</v>
      </c>
    </row>
    <row r="55" spans="1:40" ht="10.5" customHeight="1">
      <c r="A55" s="700" t="s">
        <v>29</v>
      </c>
      <c r="B55" s="652" t="s">
        <v>30</v>
      </c>
      <c r="C55" s="665">
        <v>78</v>
      </c>
      <c r="D55" s="665">
        <v>43</v>
      </c>
      <c r="E55" s="665">
        <v>6</v>
      </c>
      <c r="F55" s="665">
        <v>3</v>
      </c>
      <c r="G55" s="665">
        <v>27</v>
      </c>
      <c r="H55" s="665">
        <v>16</v>
      </c>
      <c r="I55" s="665">
        <v>2</v>
      </c>
      <c r="J55" s="665" t="s">
        <v>28</v>
      </c>
      <c r="K55" s="665">
        <v>2</v>
      </c>
      <c r="L55" s="665">
        <v>1</v>
      </c>
      <c r="M55" s="665">
        <v>4</v>
      </c>
      <c r="N55" s="653">
        <v>3</v>
      </c>
      <c r="O55" s="653">
        <v>7</v>
      </c>
      <c r="P55" s="653">
        <v>6</v>
      </c>
      <c r="Q55" s="653">
        <v>13</v>
      </c>
      <c r="R55" s="653">
        <v>8</v>
      </c>
      <c r="S55" s="653">
        <v>2</v>
      </c>
      <c r="T55" s="653" t="s">
        <v>28</v>
      </c>
      <c r="U55" s="653" t="s">
        <v>28</v>
      </c>
      <c r="V55" s="653" t="s">
        <v>28</v>
      </c>
      <c r="W55" s="653">
        <v>1</v>
      </c>
      <c r="X55" s="653" t="s">
        <v>28</v>
      </c>
      <c r="Y55" s="665">
        <v>3</v>
      </c>
      <c r="Z55" s="665">
        <v>1</v>
      </c>
      <c r="AA55" s="665">
        <v>1</v>
      </c>
      <c r="AB55" s="665">
        <v>1</v>
      </c>
      <c r="AC55" s="665">
        <v>1</v>
      </c>
      <c r="AD55" s="665">
        <v>1</v>
      </c>
      <c r="AE55" s="665" t="s">
        <v>28</v>
      </c>
      <c r="AF55" s="665" t="s">
        <v>28</v>
      </c>
      <c r="AG55" s="665">
        <v>1</v>
      </c>
      <c r="AH55" s="665">
        <v>1</v>
      </c>
      <c r="AI55" s="665" t="s">
        <v>28</v>
      </c>
      <c r="AJ55" s="665" t="s">
        <v>28</v>
      </c>
      <c r="AK55" s="665" t="s">
        <v>28</v>
      </c>
      <c r="AL55" s="665" t="s">
        <v>28</v>
      </c>
      <c r="AM55" s="653">
        <v>8</v>
      </c>
      <c r="AN55" s="668">
        <v>2</v>
      </c>
    </row>
    <row r="56" spans="1:40" ht="10.5" customHeight="1">
      <c r="A56" s="700" t="s">
        <v>31</v>
      </c>
      <c r="B56" s="652" t="s">
        <v>32</v>
      </c>
      <c r="C56" s="665" t="s">
        <v>28</v>
      </c>
      <c r="D56" s="665" t="s">
        <v>28</v>
      </c>
      <c r="E56" s="665" t="s">
        <v>28</v>
      </c>
      <c r="F56" s="665" t="s">
        <v>28</v>
      </c>
      <c r="G56" s="665" t="s">
        <v>28</v>
      </c>
      <c r="H56" s="665" t="s">
        <v>28</v>
      </c>
      <c r="I56" s="665" t="s">
        <v>28</v>
      </c>
      <c r="J56" s="665" t="s">
        <v>28</v>
      </c>
      <c r="K56" s="665" t="s">
        <v>28</v>
      </c>
      <c r="L56" s="665" t="s">
        <v>28</v>
      </c>
      <c r="M56" s="665" t="s">
        <v>28</v>
      </c>
      <c r="N56" s="653" t="s">
        <v>28</v>
      </c>
      <c r="O56" s="653" t="s">
        <v>28</v>
      </c>
      <c r="P56" s="653" t="s">
        <v>28</v>
      </c>
      <c r="Q56" s="653" t="s">
        <v>28</v>
      </c>
      <c r="R56" s="653" t="s">
        <v>28</v>
      </c>
      <c r="S56" s="653" t="s">
        <v>28</v>
      </c>
      <c r="T56" s="653" t="s">
        <v>28</v>
      </c>
      <c r="U56" s="653" t="s">
        <v>28</v>
      </c>
      <c r="V56" s="653" t="s">
        <v>28</v>
      </c>
      <c r="W56" s="653" t="s">
        <v>28</v>
      </c>
      <c r="X56" s="653" t="s">
        <v>28</v>
      </c>
      <c r="Y56" s="665" t="s">
        <v>28</v>
      </c>
      <c r="Z56" s="665" t="s">
        <v>28</v>
      </c>
      <c r="AA56" s="665" t="s">
        <v>28</v>
      </c>
      <c r="AB56" s="665" t="s">
        <v>28</v>
      </c>
      <c r="AC56" s="665" t="s">
        <v>28</v>
      </c>
      <c r="AD56" s="665" t="s">
        <v>28</v>
      </c>
      <c r="AE56" s="665" t="s">
        <v>28</v>
      </c>
      <c r="AF56" s="665" t="s">
        <v>28</v>
      </c>
      <c r="AG56" s="665" t="s">
        <v>28</v>
      </c>
      <c r="AH56" s="665" t="s">
        <v>28</v>
      </c>
      <c r="AI56" s="665" t="s">
        <v>28</v>
      </c>
      <c r="AJ56" s="665" t="s">
        <v>28</v>
      </c>
      <c r="AK56" s="665" t="s">
        <v>28</v>
      </c>
      <c r="AL56" s="665" t="s">
        <v>28</v>
      </c>
      <c r="AM56" s="653" t="s">
        <v>28</v>
      </c>
      <c r="AN56" s="668" t="s">
        <v>28</v>
      </c>
    </row>
    <row r="57" spans="1:40" ht="10.5" customHeight="1">
      <c r="A57" s="699" t="s">
        <v>61</v>
      </c>
      <c r="B57" s="669" t="s">
        <v>62</v>
      </c>
      <c r="C57" s="670">
        <v>5</v>
      </c>
      <c r="D57" s="670">
        <v>3</v>
      </c>
      <c r="E57" s="670" t="s">
        <v>28</v>
      </c>
      <c r="F57" s="670" t="s">
        <v>28</v>
      </c>
      <c r="G57" s="670">
        <v>1</v>
      </c>
      <c r="H57" s="670">
        <v>1</v>
      </c>
      <c r="I57" s="670">
        <v>2</v>
      </c>
      <c r="J57" s="670" t="s">
        <v>28</v>
      </c>
      <c r="K57" s="670" t="s">
        <v>28</v>
      </c>
      <c r="L57" s="670" t="s">
        <v>28</v>
      </c>
      <c r="M57" s="670" t="s">
        <v>28</v>
      </c>
      <c r="N57" s="679" t="s">
        <v>28</v>
      </c>
      <c r="O57" s="679" t="s">
        <v>28</v>
      </c>
      <c r="P57" s="679" t="s">
        <v>28</v>
      </c>
      <c r="Q57" s="679">
        <v>1</v>
      </c>
      <c r="R57" s="679">
        <v>1</v>
      </c>
      <c r="S57" s="679" t="s">
        <v>28</v>
      </c>
      <c r="T57" s="679" t="s">
        <v>28</v>
      </c>
      <c r="U57" s="679" t="s">
        <v>28</v>
      </c>
      <c r="V57" s="679" t="s">
        <v>28</v>
      </c>
      <c r="W57" s="679" t="s">
        <v>28</v>
      </c>
      <c r="X57" s="679" t="s">
        <v>28</v>
      </c>
      <c r="Y57" s="670" t="s">
        <v>28</v>
      </c>
      <c r="Z57" s="670" t="s">
        <v>28</v>
      </c>
      <c r="AA57" s="670" t="s">
        <v>28</v>
      </c>
      <c r="AB57" s="670" t="s">
        <v>28</v>
      </c>
      <c r="AC57" s="670">
        <v>1</v>
      </c>
      <c r="AD57" s="670">
        <v>1</v>
      </c>
      <c r="AE57" s="670" t="s">
        <v>28</v>
      </c>
      <c r="AF57" s="670" t="s">
        <v>28</v>
      </c>
      <c r="AG57" s="670" t="s">
        <v>28</v>
      </c>
      <c r="AH57" s="670" t="s">
        <v>28</v>
      </c>
      <c r="AI57" s="670" t="s">
        <v>28</v>
      </c>
      <c r="AJ57" s="670" t="s">
        <v>28</v>
      </c>
      <c r="AK57" s="670" t="s">
        <v>28</v>
      </c>
      <c r="AL57" s="670" t="s">
        <v>28</v>
      </c>
      <c r="AM57" s="679" t="s">
        <v>28</v>
      </c>
      <c r="AN57" s="673" t="s">
        <v>28</v>
      </c>
    </row>
    <row r="58" spans="1:40" ht="10.5" customHeight="1">
      <c r="A58" s="700" t="s">
        <v>29</v>
      </c>
      <c r="B58" s="652" t="s">
        <v>30</v>
      </c>
      <c r="C58" s="665">
        <v>5</v>
      </c>
      <c r="D58" s="665">
        <v>3</v>
      </c>
      <c r="E58" s="665" t="s">
        <v>28</v>
      </c>
      <c r="F58" s="665" t="s">
        <v>28</v>
      </c>
      <c r="G58" s="665">
        <v>1</v>
      </c>
      <c r="H58" s="665">
        <v>1</v>
      </c>
      <c r="I58" s="665">
        <v>2</v>
      </c>
      <c r="J58" s="665" t="s">
        <v>28</v>
      </c>
      <c r="K58" s="665" t="s">
        <v>28</v>
      </c>
      <c r="L58" s="665" t="s">
        <v>28</v>
      </c>
      <c r="M58" s="665" t="s">
        <v>28</v>
      </c>
      <c r="N58" s="653" t="s">
        <v>28</v>
      </c>
      <c r="O58" s="653" t="s">
        <v>28</v>
      </c>
      <c r="P58" s="653" t="s">
        <v>28</v>
      </c>
      <c r="Q58" s="653">
        <v>1</v>
      </c>
      <c r="R58" s="653">
        <v>1</v>
      </c>
      <c r="S58" s="653" t="s">
        <v>28</v>
      </c>
      <c r="T58" s="653" t="s">
        <v>28</v>
      </c>
      <c r="U58" s="653" t="s">
        <v>28</v>
      </c>
      <c r="V58" s="653" t="s">
        <v>28</v>
      </c>
      <c r="W58" s="653" t="s">
        <v>28</v>
      </c>
      <c r="X58" s="653" t="s">
        <v>28</v>
      </c>
      <c r="Y58" s="665" t="s">
        <v>28</v>
      </c>
      <c r="Z58" s="665" t="s">
        <v>28</v>
      </c>
      <c r="AA58" s="665" t="s">
        <v>28</v>
      </c>
      <c r="AB58" s="665" t="s">
        <v>28</v>
      </c>
      <c r="AC58" s="665">
        <v>1</v>
      </c>
      <c r="AD58" s="665">
        <v>1</v>
      </c>
      <c r="AE58" s="665" t="s">
        <v>28</v>
      </c>
      <c r="AF58" s="665" t="s">
        <v>28</v>
      </c>
      <c r="AG58" s="665" t="s">
        <v>28</v>
      </c>
      <c r="AH58" s="665" t="s">
        <v>28</v>
      </c>
      <c r="AI58" s="665" t="s">
        <v>28</v>
      </c>
      <c r="AJ58" s="665" t="s">
        <v>28</v>
      </c>
      <c r="AK58" s="665" t="s">
        <v>28</v>
      </c>
      <c r="AL58" s="665" t="s">
        <v>28</v>
      </c>
      <c r="AM58" s="653" t="s">
        <v>28</v>
      </c>
      <c r="AN58" s="668" t="s">
        <v>28</v>
      </c>
    </row>
    <row r="59" spans="1:40" ht="10.5" customHeight="1">
      <c r="A59" s="700" t="s">
        <v>31</v>
      </c>
      <c r="B59" s="652" t="s">
        <v>32</v>
      </c>
      <c r="C59" s="665" t="s">
        <v>28</v>
      </c>
      <c r="D59" s="665" t="s">
        <v>28</v>
      </c>
      <c r="E59" s="665" t="s">
        <v>28</v>
      </c>
      <c r="F59" s="665" t="s">
        <v>28</v>
      </c>
      <c r="G59" s="665" t="s">
        <v>28</v>
      </c>
      <c r="H59" s="665" t="s">
        <v>28</v>
      </c>
      <c r="I59" s="665" t="s">
        <v>28</v>
      </c>
      <c r="J59" s="665" t="s">
        <v>28</v>
      </c>
      <c r="K59" s="665" t="s">
        <v>28</v>
      </c>
      <c r="L59" s="665" t="s">
        <v>28</v>
      </c>
      <c r="M59" s="665" t="s">
        <v>28</v>
      </c>
      <c r="N59" s="653" t="s">
        <v>28</v>
      </c>
      <c r="O59" s="653" t="s">
        <v>28</v>
      </c>
      <c r="P59" s="653" t="s">
        <v>28</v>
      </c>
      <c r="Q59" s="653" t="s">
        <v>28</v>
      </c>
      <c r="R59" s="653" t="s">
        <v>28</v>
      </c>
      <c r="S59" s="653" t="s">
        <v>28</v>
      </c>
      <c r="T59" s="653" t="s">
        <v>28</v>
      </c>
      <c r="U59" s="653" t="s">
        <v>28</v>
      </c>
      <c r="V59" s="653" t="s">
        <v>28</v>
      </c>
      <c r="W59" s="653" t="s">
        <v>28</v>
      </c>
      <c r="X59" s="653" t="s">
        <v>28</v>
      </c>
      <c r="Y59" s="665" t="s">
        <v>28</v>
      </c>
      <c r="Z59" s="665" t="s">
        <v>28</v>
      </c>
      <c r="AA59" s="665" t="s">
        <v>28</v>
      </c>
      <c r="AB59" s="665" t="s">
        <v>28</v>
      </c>
      <c r="AC59" s="665" t="s">
        <v>28</v>
      </c>
      <c r="AD59" s="665" t="s">
        <v>28</v>
      </c>
      <c r="AE59" s="665" t="s">
        <v>28</v>
      </c>
      <c r="AF59" s="665" t="s">
        <v>28</v>
      </c>
      <c r="AG59" s="665" t="s">
        <v>28</v>
      </c>
      <c r="AH59" s="665" t="s">
        <v>28</v>
      </c>
      <c r="AI59" s="665" t="s">
        <v>28</v>
      </c>
      <c r="AJ59" s="665" t="s">
        <v>28</v>
      </c>
      <c r="AK59" s="665" t="s">
        <v>28</v>
      </c>
      <c r="AL59" s="665" t="s">
        <v>28</v>
      </c>
      <c r="AM59" s="653" t="s">
        <v>28</v>
      </c>
      <c r="AN59" s="668" t="s">
        <v>28</v>
      </c>
    </row>
    <row r="60" spans="1:40" ht="10.5" customHeight="1">
      <c r="A60" s="699" t="s">
        <v>63</v>
      </c>
      <c r="B60" s="669" t="s">
        <v>64</v>
      </c>
      <c r="C60" s="670">
        <v>5</v>
      </c>
      <c r="D60" s="670">
        <v>4</v>
      </c>
      <c r="E60" s="670" t="s">
        <v>28</v>
      </c>
      <c r="F60" s="670" t="s">
        <v>28</v>
      </c>
      <c r="G60" s="670">
        <v>2</v>
      </c>
      <c r="H60" s="670">
        <v>1</v>
      </c>
      <c r="I60" s="670" t="s">
        <v>28</v>
      </c>
      <c r="J60" s="670" t="s">
        <v>28</v>
      </c>
      <c r="K60" s="670" t="s">
        <v>28</v>
      </c>
      <c r="L60" s="670" t="s">
        <v>28</v>
      </c>
      <c r="M60" s="670">
        <v>1</v>
      </c>
      <c r="N60" s="679">
        <v>1</v>
      </c>
      <c r="O60" s="679">
        <v>1</v>
      </c>
      <c r="P60" s="679">
        <v>1</v>
      </c>
      <c r="Q60" s="679" t="s">
        <v>28</v>
      </c>
      <c r="R60" s="679" t="s">
        <v>28</v>
      </c>
      <c r="S60" s="679" t="s">
        <v>28</v>
      </c>
      <c r="T60" s="679" t="s">
        <v>28</v>
      </c>
      <c r="U60" s="679" t="s">
        <v>28</v>
      </c>
      <c r="V60" s="679" t="s">
        <v>28</v>
      </c>
      <c r="W60" s="679" t="s">
        <v>28</v>
      </c>
      <c r="X60" s="679" t="s">
        <v>28</v>
      </c>
      <c r="Y60" s="670" t="s">
        <v>28</v>
      </c>
      <c r="Z60" s="670" t="s">
        <v>28</v>
      </c>
      <c r="AA60" s="670">
        <v>1</v>
      </c>
      <c r="AB60" s="670">
        <v>1</v>
      </c>
      <c r="AC60" s="670" t="s">
        <v>28</v>
      </c>
      <c r="AD60" s="670" t="s">
        <v>28</v>
      </c>
      <c r="AE60" s="670" t="s">
        <v>28</v>
      </c>
      <c r="AF60" s="670" t="s">
        <v>28</v>
      </c>
      <c r="AG60" s="670" t="s">
        <v>28</v>
      </c>
      <c r="AH60" s="670" t="s">
        <v>28</v>
      </c>
      <c r="AI60" s="670" t="s">
        <v>28</v>
      </c>
      <c r="AJ60" s="670" t="s">
        <v>28</v>
      </c>
      <c r="AK60" s="670" t="s">
        <v>28</v>
      </c>
      <c r="AL60" s="670" t="s">
        <v>28</v>
      </c>
      <c r="AM60" s="679" t="s">
        <v>28</v>
      </c>
      <c r="AN60" s="673" t="s">
        <v>28</v>
      </c>
    </row>
    <row r="61" spans="1:40" ht="10.5" customHeight="1">
      <c r="A61" s="700" t="s">
        <v>29</v>
      </c>
      <c r="B61" s="652" t="s">
        <v>30</v>
      </c>
      <c r="C61" s="665">
        <v>5</v>
      </c>
      <c r="D61" s="665">
        <v>4</v>
      </c>
      <c r="E61" s="665" t="s">
        <v>28</v>
      </c>
      <c r="F61" s="665" t="s">
        <v>28</v>
      </c>
      <c r="G61" s="665">
        <v>2</v>
      </c>
      <c r="H61" s="665">
        <v>1</v>
      </c>
      <c r="I61" s="665" t="s">
        <v>28</v>
      </c>
      <c r="J61" s="665" t="s">
        <v>28</v>
      </c>
      <c r="K61" s="665" t="s">
        <v>28</v>
      </c>
      <c r="L61" s="665" t="s">
        <v>28</v>
      </c>
      <c r="M61" s="665">
        <v>1</v>
      </c>
      <c r="N61" s="653">
        <v>1</v>
      </c>
      <c r="O61" s="653">
        <v>1</v>
      </c>
      <c r="P61" s="653">
        <v>1</v>
      </c>
      <c r="Q61" s="653" t="s">
        <v>28</v>
      </c>
      <c r="R61" s="653" t="s">
        <v>28</v>
      </c>
      <c r="S61" s="653" t="s">
        <v>28</v>
      </c>
      <c r="T61" s="653" t="s">
        <v>28</v>
      </c>
      <c r="U61" s="653" t="s">
        <v>28</v>
      </c>
      <c r="V61" s="653" t="s">
        <v>28</v>
      </c>
      <c r="W61" s="653" t="s">
        <v>28</v>
      </c>
      <c r="X61" s="653" t="s">
        <v>28</v>
      </c>
      <c r="Y61" s="665" t="s">
        <v>28</v>
      </c>
      <c r="Z61" s="665" t="s">
        <v>28</v>
      </c>
      <c r="AA61" s="665">
        <v>1</v>
      </c>
      <c r="AB61" s="665">
        <v>1</v>
      </c>
      <c r="AC61" s="665" t="s">
        <v>28</v>
      </c>
      <c r="AD61" s="665" t="s">
        <v>28</v>
      </c>
      <c r="AE61" s="665" t="s">
        <v>28</v>
      </c>
      <c r="AF61" s="665" t="s">
        <v>28</v>
      </c>
      <c r="AG61" s="665" t="s">
        <v>28</v>
      </c>
      <c r="AH61" s="665" t="s">
        <v>28</v>
      </c>
      <c r="AI61" s="665" t="s">
        <v>28</v>
      </c>
      <c r="AJ61" s="665" t="s">
        <v>28</v>
      </c>
      <c r="AK61" s="665" t="s">
        <v>28</v>
      </c>
      <c r="AL61" s="665" t="s">
        <v>28</v>
      </c>
      <c r="AM61" s="653" t="s">
        <v>28</v>
      </c>
      <c r="AN61" s="668" t="s">
        <v>28</v>
      </c>
    </row>
    <row r="62" spans="1:40" ht="10.5" customHeight="1" thickBot="1">
      <c r="A62" s="655" t="s">
        <v>31</v>
      </c>
      <c r="B62" s="656" t="s">
        <v>32</v>
      </c>
      <c r="C62" s="674" t="s">
        <v>28</v>
      </c>
      <c r="D62" s="674" t="s">
        <v>28</v>
      </c>
      <c r="E62" s="674" t="s">
        <v>28</v>
      </c>
      <c r="F62" s="674" t="s">
        <v>28</v>
      </c>
      <c r="G62" s="674" t="s">
        <v>28</v>
      </c>
      <c r="H62" s="674" t="s">
        <v>28</v>
      </c>
      <c r="I62" s="674" t="s">
        <v>28</v>
      </c>
      <c r="J62" s="674" t="s">
        <v>28</v>
      </c>
      <c r="K62" s="674" t="s">
        <v>28</v>
      </c>
      <c r="L62" s="674" t="s">
        <v>28</v>
      </c>
      <c r="M62" s="674" t="s">
        <v>28</v>
      </c>
      <c r="N62" s="657" t="s">
        <v>28</v>
      </c>
      <c r="O62" s="657" t="s">
        <v>28</v>
      </c>
      <c r="P62" s="657" t="s">
        <v>28</v>
      </c>
      <c r="Q62" s="657" t="s">
        <v>28</v>
      </c>
      <c r="R62" s="657" t="s">
        <v>28</v>
      </c>
      <c r="S62" s="657" t="s">
        <v>28</v>
      </c>
      <c r="T62" s="657" t="s">
        <v>28</v>
      </c>
      <c r="U62" s="657" t="s">
        <v>28</v>
      </c>
      <c r="V62" s="657" t="s">
        <v>28</v>
      </c>
      <c r="W62" s="657" t="s">
        <v>28</v>
      </c>
      <c r="X62" s="657" t="s">
        <v>28</v>
      </c>
      <c r="Y62" s="674" t="s">
        <v>28</v>
      </c>
      <c r="Z62" s="674" t="s">
        <v>28</v>
      </c>
      <c r="AA62" s="674" t="s">
        <v>28</v>
      </c>
      <c r="AB62" s="674" t="s">
        <v>28</v>
      </c>
      <c r="AC62" s="674" t="s">
        <v>28</v>
      </c>
      <c r="AD62" s="674" t="s">
        <v>28</v>
      </c>
      <c r="AE62" s="674" t="s">
        <v>28</v>
      </c>
      <c r="AF62" s="674" t="s">
        <v>28</v>
      </c>
      <c r="AG62" s="674" t="s">
        <v>28</v>
      </c>
      <c r="AH62" s="674" t="s">
        <v>28</v>
      </c>
      <c r="AI62" s="674" t="s">
        <v>28</v>
      </c>
      <c r="AJ62" s="674" t="s">
        <v>28</v>
      </c>
      <c r="AK62" s="674" t="s">
        <v>28</v>
      </c>
      <c r="AL62" s="674" t="s">
        <v>28</v>
      </c>
      <c r="AM62" s="657" t="s">
        <v>28</v>
      </c>
      <c r="AN62" s="677" t="s">
        <v>28</v>
      </c>
    </row>
    <row r="63" spans="1:40" ht="10.5" customHeight="1">
      <c r="A63" s="1250" t="s">
        <v>798</v>
      </c>
      <c r="B63" s="1250"/>
      <c r="C63" s="1250"/>
      <c r="D63" s="1250"/>
      <c r="E63" s="1250"/>
      <c r="F63" s="1250"/>
      <c r="G63" s="1250"/>
      <c r="H63" s="1250"/>
      <c r="I63" s="1250"/>
      <c r="J63" s="1250"/>
      <c r="K63" s="1250"/>
      <c r="L63" s="1250"/>
      <c r="M63" s="1250"/>
      <c r="N63" s="1250"/>
      <c r="O63" s="1250"/>
      <c r="P63" s="1250"/>
      <c r="Q63" s="1250"/>
      <c r="R63" s="1250"/>
      <c r="S63" s="1251" t="s">
        <v>801</v>
      </c>
      <c r="T63" s="1251"/>
      <c r="U63" s="1251"/>
      <c r="V63" s="1251"/>
      <c r="W63" s="1251"/>
      <c r="X63" s="1251"/>
      <c r="Y63" s="1251"/>
      <c r="Z63" s="1251"/>
      <c r="AA63" s="1251"/>
      <c r="AB63" s="1251"/>
      <c r="AC63" s="1251"/>
      <c r="AD63" s="1251"/>
      <c r="AE63" s="1251"/>
      <c r="AF63" s="1251"/>
      <c r="AG63" s="1251"/>
      <c r="AH63" s="1251"/>
      <c r="AI63" s="1251"/>
      <c r="AJ63" s="1251"/>
      <c r="AK63" s="1251"/>
      <c r="AL63" s="1251"/>
      <c r="AM63" s="1251"/>
      <c r="AN63" s="1251"/>
    </row>
    <row r="64" spans="1:40" ht="10.5" customHeight="1">
      <c r="A64" s="1202" t="s">
        <v>679</v>
      </c>
      <c r="B64" s="1202"/>
      <c r="C64" s="1202"/>
      <c r="D64" s="1202"/>
      <c r="E64" s="1202"/>
      <c r="F64" s="1202"/>
      <c r="G64" s="1202"/>
      <c r="H64" s="1202"/>
      <c r="I64" s="1202"/>
      <c r="J64" s="1202"/>
      <c r="K64" s="1202"/>
      <c r="L64" s="1202"/>
      <c r="M64" s="1202"/>
      <c r="N64" s="1202"/>
      <c r="O64" s="1202"/>
      <c r="P64" s="1202"/>
      <c r="Q64" s="1202"/>
      <c r="R64" s="1202"/>
      <c r="S64" s="1677" t="s">
        <v>680</v>
      </c>
      <c r="T64" s="1677"/>
      <c r="U64" s="1677"/>
      <c r="V64" s="1677"/>
      <c r="W64" s="1677"/>
      <c r="X64" s="1677"/>
      <c r="Y64" s="1677"/>
      <c r="Z64" s="1677"/>
      <c r="AA64" s="1677"/>
      <c r="AB64" s="1677"/>
      <c r="AC64" s="1677"/>
      <c r="AD64" s="1677"/>
      <c r="AE64" s="1677"/>
      <c r="AF64" s="1677"/>
      <c r="AG64" s="1677"/>
      <c r="AH64" s="1677"/>
      <c r="AI64" s="1677"/>
      <c r="AJ64" s="1677"/>
      <c r="AK64" s="1677"/>
      <c r="AL64" s="1677"/>
      <c r="AM64" s="1677"/>
      <c r="AN64" s="1677"/>
    </row>
    <row r="65" spans="1:40" ht="10.5" customHeight="1">
      <c r="A65" s="1202" t="s">
        <v>1061</v>
      </c>
      <c r="B65" s="1202"/>
      <c r="C65" s="1202"/>
      <c r="D65" s="1202"/>
      <c r="E65" s="1202"/>
      <c r="F65" s="1202"/>
      <c r="G65" s="1202"/>
      <c r="H65" s="1202"/>
      <c r="I65" s="1202"/>
      <c r="J65" s="1202"/>
      <c r="K65" s="1202"/>
      <c r="L65" s="1202"/>
      <c r="M65" s="1202"/>
      <c r="N65" s="1202"/>
      <c r="O65" s="1202"/>
      <c r="P65" s="1202"/>
      <c r="Q65" s="1202"/>
      <c r="R65" s="1202"/>
      <c r="S65" s="1202" t="s">
        <v>1062</v>
      </c>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row>
    <row r="69" spans="1:40">
      <c r="A69" s="714"/>
    </row>
  </sheetData>
  <mergeCells count="66">
    <mergeCell ref="U9:V9"/>
    <mergeCell ref="U10:V10"/>
    <mergeCell ref="A65:R65"/>
    <mergeCell ref="S65:AN65"/>
    <mergeCell ref="A10:B10"/>
    <mergeCell ref="C10:D10"/>
    <mergeCell ref="E10:F10"/>
    <mergeCell ref="G10:H10"/>
    <mergeCell ref="I10:J10"/>
    <mergeCell ref="AA9:AB9"/>
    <mergeCell ref="AC9:AD9"/>
    <mergeCell ref="AI9:AJ9"/>
    <mergeCell ref="AK9:AL9"/>
    <mergeCell ref="AE9:AF9"/>
    <mergeCell ref="AG9:AH9"/>
    <mergeCell ref="AI10:AJ10"/>
    <mergeCell ref="A3:R3"/>
    <mergeCell ref="S3:AN3"/>
    <mergeCell ref="A2:R2"/>
    <mergeCell ref="S2:AN2"/>
    <mergeCell ref="A5:B5"/>
    <mergeCell ref="C5:R5"/>
    <mergeCell ref="S5:AN5"/>
    <mergeCell ref="A6:B6"/>
    <mergeCell ref="C6:R6"/>
    <mergeCell ref="S6:AN6"/>
    <mergeCell ref="A7:B7"/>
    <mergeCell ref="C7:R7"/>
    <mergeCell ref="S7:AN7"/>
    <mergeCell ref="A8:B8"/>
    <mergeCell ref="C8:R8"/>
    <mergeCell ref="S8:AN8"/>
    <mergeCell ref="A9:B9"/>
    <mergeCell ref="C9:D9"/>
    <mergeCell ref="E9:F9"/>
    <mergeCell ref="G9:H9"/>
    <mergeCell ref="I9:J9"/>
    <mergeCell ref="K9:L9"/>
    <mergeCell ref="M9:N9"/>
    <mergeCell ref="O9:P9"/>
    <mergeCell ref="Q9:R9"/>
    <mergeCell ref="S9:T9"/>
    <mergeCell ref="W9:X9"/>
    <mergeCell ref="AM9:AN9"/>
    <mergeCell ref="Y9:Z9"/>
    <mergeCell ref="AK10:AL10"/>
    <mergeCell ref="AM10:AN10"/>
    <mergeCell ref="A16:R16"/>
    <mergeCell ref="S16:AN16"/>
    <mergeCell ref="S10:T10"/>
    <mergeCell ref="W10:X10"/>
    <mergeCell ref="Y10:Z10"/>
    <mergeCell ref="AA10:AB10"/>
    <mergeCell ref="AC10:AD10"/>
    <mergeCell ref="K10:L10"/>
    <mergeCell ref="M10:N10"/>
    <mergeCell ref="O10:P10"/>
    <mergeCell ref="Q10:R10"/>
    <mergeCell ref="AE10:AF10"/>
    <mergeCell ref="AG10:AH10"/>
    <mergeCell ref="A32:R32"/>
    <mergeCell ref="S32:AN32"/>
    <mergeCell ref="A63:R63"/>
    <mergeCell ref="S63:AN63"/>
    <mergeCell ref="A64:R64"/>
    <mergeCell ref="S64:AN64"/>
  </mergeCells>
  <phoneticPr fontId="4" type="noConversion"/>
  <hyperlinks>
    <hyperlink ref="A1" location="목록!A1" display="목록!A1" xr:uid="{04E30E70-63F4-4710-9C3B-976CE6943854}"/>
  </hyperlinks>
  <printOptions horizontalCentered="1"/>
  <pageMargins left="0.59055118110236227" right="0.59055118110236227" top="0.59055118110236227" bottom="0.35433070866141736" header="0.62992125984251968" footer="0.39370078740157483"/>
  <pageSetup paperSize="9" orientation="portrait" r:id="rId1"/>
  <colBreaks count="1" manualBreakCount="1">
    <brk id="18"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N69"/>
  <sheetViews>
    <sheetView showGridLines="0" showWhiteSpace="0" view="pageBreakPreview" zoomScaleNormal="100" zoomScaleSheetLayoutView="100" workbookViewId="0">
      <selection activeCell="A2" sqref="A2:AN65"/>
    </sheetView>
  </sheetViews>
  <sheetFormatPr defaultColWidth="8.88671875" defaultRowHeight="16.5"/>
  <cols>
    <col min="1" max="1" width="8.88671875" style="710"/>
    <col min="2" max="2" width="8.33203125" style="710" customWidth="1"/>
    <col min="3" max="3" width="4.88671875" style="710" customWidth="1"/>
    <col min="4" max="18" width="3.77734375" style="710" customWidth="1"/>
    <col min="19" max="20" width="3.21875" style="710" customWidth="1"/>
    <col min="21" max="22" width="3.5546875" style="710" customWidth="1"/>
    <col min="23" max="26" width="4" style="710" customWidth="1"/>
    <col min="27" max="28" width="3.21875" style="710" customWidth="1"/>
    <col min="29" max="30" width="3.5546875" style="710" customWidth="1"/>
    <col min="31" max="32" width="4.33203125" style="710" customWidth="1"/>
    <col min="33" max="36" width="3.21875" style="710" customWidth="1"/>
    <col min="37" max="38" width="3.5546875" style="710" customWidth="1"/>
    <col min="39" max="40" width="3.21875" style="710" customWidth="1"/>
    <col min="41" max="16384" width="8.88671875" style="703"/>
  </cols>
  <sheetData>
    <row r="1" spans="1:40" ht="22.5">
      <c r="A1" s="901" t="s">
        <v>1332</v>
      </c>
    </row>
    <row r="2" spans="1:40" ht="13.5" customHeight="1">
      <c r="A2" s="1254" t="s">
        <v>1028</v>
      </c>
      <c r="B2" s="1254"/>
      <c r="C2" s="1254"/>
      <c r="D2" s="1254"/>
      <c r="E2" s="1254"/>
      <c r="F2" s="1254"/>
      <c r="G2" s="1254"/>
      <c r="H2" s="1254"/>
      <c r="I2" s="1254"/>
      <c r="J2" s="1254"/>
      <c r="K2" s="1254"/>
      <c r="L2" s="1254"/>
      <c r="M2" s="1254"/>
      <c r="N2" s="1254"/>
      <c r="O2" s="1254"/>
      <c r="P2" s="1254"/>
      <c r="Q2" s="1254"/>
      <c r="R2" s="1254"/>
      <c r="S2" s="1253" t="s">
        <v>958</v>
      </c>
      <c r="T2" s="1253"/>
      <c r="U2" s="1253"/>
      <c r="V2" s="1253"/>
      <c r="W2" s="1253"/>
      <c r="X2" s="1253"/>
      <c r="Y2" s="1253"/>
      <c r="Z2" s="1253"/>
      <c r="AA2" s="1253"/>
      <c r="AB2" s="1253"/>
      <c r="AC2" s="1253"/>
      <c r="AD2" s="1253"/>
      <c r="AE2" s="1253"/>
      <c r="AF2" s="1253"/>
      <c r="AG2" s="1253"/>
      <c r="AH2" s="1253"/>
      <c r="AI2" s="1253"/>
      <c r="AJ2" s="1253"/>
      <c r="AK2" s="1253"/>
      <c r="AL2" s="1253"/>
      <c r="AM2" s="1253"/>
      <c r="AN2" s="1253"/>
    </row>
    <row r="3" spans="1:40" ht="26.25" customHeight="1">
      <c r="A3" s="1252" t="s">
        <v>932</v>
      </c>
      <c r="B3" s="1252"/>
      <c r="C3" s="1252"/>
      <c r="D3" s="1252"/>
      <c r="E3" s="1252"/>
      <c r="F3" s="1252"/>
      <c r="G3" s="1252"/>
      <c r="H3" s="1252"/>
      <c r="I3" s="1252"/>
      <c r="J3" s="1252"/>
      <c r="K3" s="1252"/>
      <c r="L3" s="1252"/>
      <c r="M3" s="1252"/>
      <c r="N3" s="1252"/>
      <c r="O3" s="1252"/>
      <c r="P3" s="1252"/>
      <c r="Q3" s="1252"/>
      <c r="R3" s="1252"/>
      <c r="S3" s="1252" t="s">
        <v>931</v>
      </c>
      <c r="T3" s="1252"/>
      <c r="U3" s="1252"/>
      <c r="V3" s="1252"/>
      <c r="W3" s="1252"/>
      <c r="X3" s="1252"/>
      <c r="Y3" s="1252"/>
      <c r="Z3" s="1252"/>
      <c r="AA3" s="1252"/>
      <c r="AB3" s="1252"/>
      <c r="AC3" s="1252"/>
      <c r="AD3" s="1252"/>
      <c r="AE3" s="1252"/>
      <c r="AF3" s="1252"/>
      <c r="AG3" s="1252"/>
      <c r="AH3" s="1252"/>
      <c r="AI3" s="1252"/>
      <c r="AJ3" s="1252"/>
      <c r="AK3" s="1252"/>
      <c r="AL3" s="1252"/>
      <c r="AM3" s="1252"/>
      <c r="AN3" s="1252"/>
    </row>
    <row r="4" spans="1:40" ht="13.5" customHeight="1" thickBot="1">
      <c r="A4" s="709"/>
      <c r="B4" s="709"/>
      <c r="C4" s="709"/>
      <c r="D4" s="709"/>
      <c r="E4" s="709"/>
      <c r="F4" s="709"/>
      <c r="G4" s="709"/>
      <c r="H4" s="709"/>
      <c r="I4" s="709"/>
      <c r="J4" s="709"/>
      <c r="K4" s="709"/>
      <c r="L4" s="709"/>
      <c r="M4" s="709"/>
      <c r="N4" s="709"/>
      <c r="O4" s="709"/>
      <c r="P4" s="709"/>
      <c r="Q4" s="709"/>
      <c r="R4" s="709"/>
      <c r="S4" s="709"/>
      <c r="T4" s="1674"/>
      <c r="U4" s="1674"/>
      <c r="V4" s="1674"/>
      <c r="W4" s="1674"/>
      <c r="X4" s="709"/>
      <c r="Y4" s="709"/>
      <c r="Z4" s="709"/>
      <c r="AA4" s="709"/>
      <c r="AB4" s="709"/>
      <c r="AC4" s="709"/>
      <c r="AD4" s="709"/>
      <c r="AE4" s="709"/>
      <c r="AF4" s="709"/>
      <c r="AG4" s="709"/>
      <c r="AH4" s="709"/>
      <c r="AI4" s="709"/>
      <c r="AJ4" s="709"/>
      <c r="AK4" s="709"/>
      <c r="AL4" s="709"/>
      <c r="AM4" s="709"/>
      <c r="AN4" s="709"/>
    </row>
    <row r="5" spans="1:40" ht="11.25" customHeight="1">
      <c r="A5" s="1222" t="s">
        <v>668</v>
      </c>
      <c r="B5" s="1223"/>
      <c r="C5" s="1224" t="s">
        <v>681</v>
      </c>
      <c r="D5" s="1222"/>
      <c r="E5" s="1222"/>
      <c r="F5" s="1222"/>
      <c r="G5" s="1222"/>
      <c r="H5" s="1222"/>
      <c r="I5" s="1222"/>
      <c r="J5" s="1222"/>
      <c r="K5" s="1222"/>
      <c r="L5" s="1222"/>
      <c r="M5" s="1222"/>
      <c r="N5" s="1222"/>
      <c r="O5" s="1222"/>
      <c r="P5" s="1222"/>
      <c r="Q5" s="1222"/>
      <c r="R5" s="1222"/>
      <c r="S5" s="1222" t="s">
        <v>681</v>
      </c>
      <c r="T5" s="1222"/>
      <c r="U5" s="1222"/>
      <c r="V5" s="1222"/>
      <c r="W5" s="1222"/>
      <c r="X5" s="1222"/>
      <c r="Y5" s="1222"/>
      <c r="Z5" s="1222"/>
      <c r="AA5" s="1222"/>
      <c r="AB5" s="1222"/>
      <c r="AC5" s="1222"/>
      <c r="AD5" s="1222"/>
      <c r="AE5" s="1222"/>
      <c r="AF5" s="1222"/>
      <c r="AG5" s="1222"/>
      <c r="AH5" s="1222"/>
      <c r="AI5" s="1222"/>
      <c r="AJ5" s="1222"/>
      <c r="AK5" s="1222"/>
      <c r="AL5" s="1222"/>
      <c r="AM5" s="1222"/>
      <c r="AN5" s="1222"/>
    </row>
    <row r="6" spans="1:40" ht="9.75" customHeight="1">
      <c r="A6" s="1257" t="s">
        <v>7</v>
      </c>
      <c r="B6" s="1225"/>
      <c r="C6" s="1233" t="s">
        <v>682</v>
      </c>
      <c r="D6" s="1234"/>
      <c r="E6" s="1234"/>
      <c r="F6" s="1234"/>
      <c r="G6" s="1234"/>
      <c r="H6" s="1234"/>
      <c r="I6" s="1234"/>
      <c r="J6" s="1234"/>
      <c r="K6" s="1234"/>
      <c r="L6" s="1234"/>
      <c r="M6" s="1234"/>
      <c r="N6" s="1234"/>
      <c r="O6" s="1234"/>
      <c r="P6" s="1234"/>
      <c r="Q6" s="1234"/>
      <c r="R6" s="1234"/>
      <c r="S6" s="1234" t="s">
        <v>682</v>
      </c>
      <c r="T6" s="1234"/>
      <c r="U6" s="1234"/>
      <c r="V6" s="1234"/>
      <c r="W6" s="1234"/>
      <c r="X6" s="1234"/>
      <c r="Y6" s="1234"/>
      <c r="Z6" s="1234"/>
      <c r="AA6" s="1234"/>
      <c r="AB6" s="1234"/>
      <c r="AC6" s="1234"/>
      <c r="AD6" s="1234"/>
      <c r="AE6" s="1234"/>
      <c r="AF6" s="1234"/>
      <c r="AG6" s="1234"/>
      <c r="AH6" s="1234"/>
      <c r="AI6" s="1234"/>
      <c r="AJ6" s="1234"/>
      <c r="AK6" s="1234"/>
      <c r="AL6" s="1234"/>
      <c r="AM6" s="1234"/>
      <c r="AN6" s="1234"/>
    </row>
    <row r="7" spans="1:40" ht="11.25" customHeight="1">
      <c r="A7" s="1668"/>
      <c r="B7" s="1226"/>
      <c r="C7" s="1235" t="s">
        <v>806</v>
      </c>
      <c r="D7" s="1236"/>
      <c r="E7" s="1236"/>
      <c r="F7" s="1236"/>
      <c r="G7" s="1236"/>
      <c r="H7" s="1236"/>
      <c r="I7" s="1236"/>
      <c r="J7" s="1236"/>
      <c r="K7" s="1236"/>
      <c r="L7" s="1236"/>
      <c r="M7" s="1236"/>
      <c r="N7" s="1236"/>
      <c r="O7" s="1236"/>
      <c r="P7" s="1236"/>
      <c r="Q7" s="1236"/>
      <c r="R7" s="1236"/>
      <c r="S7" s="1236" t="s">
        <v>797</v>
      </c>
      <c r="T7" s="1236"/>
      <c r="U7" s="1236"/>
      <c r="V7" s="1236"/>
      <c r="W7" s="1236"/>
      <c r="X7" s="1236"/>
      <c r="Y7" s="1236"/>
      <c r="Z7" s="1236"/>
      <c r="AA7" s="1236"/>
      <c r="AB7" s="1236"/>
      <c r="AC7" s="1236"/>
      <c r="AD7" s="1236"/>
      <c r="AE7" s="1236"/>
      <c r="AF7" s="1236"/>
      <c r="AG7" s="1236"/>
      <c r="AH7" s="1236"/>
      <c r="AI7" s="1236"/>
      <c r="AJ7" s="1236"/>
      <c r="AK7" s="1236"/>
      <c r="AL7" s="1236"/>
      <c r="AM7" s="1236"/>
      <c r="AN7" s="1236"/>
    </row>
    <row r="8" spans="1:40" ht="9.75" customHeight="1">
      <c r="A8" s="1668"/>
      <c r="B8" s="1226"/>
      <c r="C8" s="1233" t="s">
        <v>677</v>
      </c>
      <c r="D8" s="1234"/>
      <c r="E8" s="1234"/>
      <c r="F8" s="1234"/>
      <c r="G8" s="1234"/>
      <c r="H8" s="1234"/>
      <c r="I8" s="1234"/>
      <c r="J8" s="1234"/>
      <c r="K8" s="1234"/>
      <c r="L8" s="1234"/>
      <c r="M8" s="1234"/>
      <c r="N8" s="1234"/>
      <c r="O8" s="1234"/>
      <c r="P8" s="1234"/>
      <c r="Q8" s="1234"/>
      <c r="R8" s="1234"/>
      <c r="S8" s="1234" t="s">
        <v>677</v>
      </c>
      <c r="T8" s="1234"/>
      <c r="U8" s="1234"/>
      <c r="V8" s="1234"/>
      <c r="W8" s="1234"/>
      <c r="X8" s="1234"/>
      <c r="Y8" s="1234"/>
      <c r="Z8" s="1234"/>
      <c r="AA8" s="1234"/>
      <c r="AB8" s="1234"/>
      <c r="AC8" s="1234"/>
      <c r="AD8" s="1234"/>
      <c r="AE8" s="1234"/>
      <c r="AF8" s="1234"/>
      <c r="AG8" s="1234"/>
      <c r="AH8" s="1234"/>
      <c r="AI8" s="1234"/>
      <c r="AJ8" s="1234"/>
      <c r="AK8" s="1234"/>
      <c r="AL8" s="1234"/>
      <c r="AM8" s="1234"/>
      <c r="AN8" s="1234"/>
    </row>
    <row r="9" spans="1:40" ht="42" customHeight="1">
      <c r="A9" s="1670"/>
      <c r="B9" s="1229"/>
      <c r="C9" s="1227" t="s">
        <v>807</v>
      </c>
      <c r="D9" s="1228"/>
      <c r="E9" s="1227" t="s">
        <v>403</v>
      </c>
      <c r="F9" s="1228"/>
      <c r="G9" s="1227" t="s">
        <v>404</v>
      </c>
      <c r="H9" s="1228"/>
      <c r="I9" s="1230" t="s">
        <v>683</v>
      </c>
      <c r="J9" s="1231"/>
      <c r="K9" s="1227" t="s">
        <v>469</v>
      </c>
      <c r="L9" s="1228"/>
      <c r="M9" s="1227" t="s">
        <v>470</v>
      </c>
      <c r="N9" s="1228"/>
      <c r="O9" s="1227" t="s">
        <v>455</v>
      </c>
      <c r="P9" s="1228"/>
      <c r="Q9" s="1227" t="s">
        <v>456</v>
      </c>
      <c r="R9" s="1228"/>
      <c r="S9" s="1227" t="s">
        <v>457</v>
      </c>
      <c r="T9" s="1228"/>
      <c r="U9" s="1227" t="s">
        <v>1056</v>
      </c>
      <c r="V9" s="1228"/>
      <c r="W9" s="1227" t="s">
        <v>458</v>
      </c>
      <c r="X9" s="1228"/>
      <c r="Y9" s="1227" t="s">
        <v>459</v>
      </c>
      <c r="Z9" s="1228"/>
      <c r="AA9" s="1227" t="s">
        <v>400</v>
      </c>
      <c r="AB9" s="1228"/>
      <c r="AC9" s="1227" t="s">
        <v>460</v>
      </c>
      <c r="AD9" s="1228"/>
      <c r="AE9" s="1227" t="s">
        <v>1058</v>
      </c>
      <c r="AF9" s="1228"/>
      <c r="AG9" s="1227" t="s">
        <v>407</v>
      </c>
      <c r="AH9" s="1228"/>
      <c r="AI9" s="1227" t="s">
        <v>402</v>
      </c>
      <c r="AJ9" s="1228"/>
      <c r="AK9" s="1227" t="s">
        <v>461</v>
      </c>
      <c r="AL9" s="1228"/>
      <c r="AM9" s="1227" t="s">
        <v>298</v>
      </c>
      <c r="AN9" s="1237"/>
    </row>
    <row r="10" spans="1:40" ht="39" customHeight="1">
      <c r="A10" s="1257"/>
      <c r="B10" s="1225"/>
      <c r="C10" s="1233" t="s">
        <v>196</v>
      </c>
      <c r="D10" s="1238"/>
      <c r="E10" s="1233" t="s">
        <v>423</v>
      </c>
      <c r="F10" s="1238"/>
      <c r="G10" s="1233" t="s">
        <v>424</v>
      </c>
      <c r="H10" s="1238"/>
      <c r="I10" s="1248" t="s">
        <v>678</v>
      </c>
      <c r="J10" s="1249"/>
      <c r="K10" s="1233" t="s">
        <v>471</v>
      </c>
      <c r="L10" s="1238"/>
      <c r="M10" s="1233" t="s">
        <v>472</v>
      </c>
      <c r="N10" s="1238"/>
      <c r="O10" s="1233" t="s">
        <v>462</v>
      </c>
      <c r="P10" s="1238"/>
      <c r="Q10" s="1233" t="s">
        <v>463</v>
      </c>
      <c r="R10" s="1238"/>
      <c r="S10" s="1233" t="s">
        <v>464</v>
      </c>
      <c r="T10" s="1238"/>
      <c r="U10" s="1233" t="s">
        <v>1057</v>
      </c>
      <c r="V10" s="1238"/>
      <c r="W10" s="1233" t="s">
        <v>465</v>
      </c>
      <c r="X10" s="1238"/>
      <c r="Y10" s="1233" t="s">
        <v>466</v>
      </c>
      <c r="Z10" s="1238"/>
      <c r="AA10" s="1233" t="s">
        <v>473</v>
      </c>
      <c r="AB10" s="1238"/>
      <c r="AC10" s="1233" t="s">
        <v>467</v>
      </c>
      <c r="AD10" s="1238"/>
      <c r="AE10" s="1233" t="s">
        <v>1059</v>
      </c>
      <c r="AF10" s="1238"/>
      <c r="AG10" s="1233" t="s">
        <v>1060</v>
      </c>
      <c r="AH10" s="1238"/>
      <c r="AI10" s="1233" t="s">
        <v>422</v>
      </c>
      <c r="AJ10" s="1238"/>
      <c r="AK10" s="1233" t="s">
        <v>468</v>
      </c>
      <c r="AL10" s="1238"/>
      <c r="AM10" s="1233" t="s">
        <v>150</v>
      </c>
      <c r="AN10" s="1234"/>
    </row>
    <row r="11" spans="1:40" ht="11.25" customHeight="1">
      <c r="A11" s="946"/>
      <c r="B11" s="941"/>
      <c r="C11" s="646" t="s">
        <v>354</v>
      </c>
      <c r="D11" s="646" t="s">
        <v>640</v>
      </c>
      <c r="E11" s="646" t="s">
        <v>354</v>
      </c>
      <c r="F11" s="646" t="s">
        <v>640</v>
      </c>
      <c r="G11" s="646" t="s">
        <v>354</v>
      </c>
      <c r="H11" s="646" t="s">
        <v>640</v>
      </c>
      <c r="I11" s="646" t="s">
        <v>354</v>
      </c>
      <c r="J11" s="646" t="s">
        <v>640</v>
      </c>
      <c r="K11" s="646" t="s">
        <v>354</v>
      </c>
      <c r="L11" s="646" t="s">
        <v>640</v>
      </c>
      <c r="M11" s="646" t="s">
        <v>354</v>
      </c>
      <c r="N11" s="646" t="s">
        <v>640</v>
      </c>
      <c r="O11" s="646" t="s">
        <v>354</v>
      </c>
      <c r="P11" s="646" t="s">
        <v>640</v>
      </c>
      <c r="Q11" s="646" t="s">
        <v>354</v>
      </c>
      <c r="R11" s="646" t="s">
        <v>640</v>
      </c>
      <c r="S11" s="646" t="s">
        <v>354</v>
      </c>
      <c r="T11" s="646" t="s">
        <v>640</v>
      </c>
      <c r="U11" s="646" t="s">
        <v>354</v>
      </c>
      <c r="V11" s="646" t="s">
        <v>640</v>
      </c>
      <c r="W11" s="646" t="s">
        <v>354</v>
      </c>
      <c r="X11" s="646" t="s">
        <v>640</v>
      </c>
      <c r="Y11" s="646" t="s">
        <v>354</v>
      </c>
      <c r="Z11" s="646" t="s">
        <v>640</v>
      </c>
      <c r="AA11" s="646" t="s">
        <v>354</v>
      </c>
      <c r="AB11" s="646" t="s">
        <v>640</v>
      </c>
      <c r="AC11" s="646" t="s">
        <v>354</v>
      </c>
      <c r="AD11" s="646" t="s">
        <v>640</v>
      </c>
      <c r="AE11" s="646" t="s">
        <v>354</v>
      </c>
      <c r="AF11" s="646" t="s">
        <v>640</v>
      </c>
      <c r="AG11" s="646" t="s">
        <v>354</v>
      </c>
      <c r="AH11" s="646" t="s">
        <v>640</v>
      </c>
      <c r="AI11" s="646" t="s">
        <v>354</v>
      </c>
      <c r="AJ11" s="646" t="s">
        <v>640</v>
      </c>
      <c r="AK11" s="646" t="s">
        <v>354</v>
      </c>
      <c r="AL11" s="646" t="s">
        <v>640</v>
      </c>
      <c r="AM11" s="646" t="s">
        <v>354</v>
      </c>
      <c r="AN11" s="940" t="s">
        <v>640</v>
      </c>
    </row>
    <row r="12" spans="1:40" ht="9.75" customHeight="1">
      <c r="A12" s="647"/>
      <c r="B12" s="648"/>
      <c r="C12" s="947" t="s">
        <v>367</v>
      </c>
      <c r="D12" s="947" t="s">
        <v>368</v>
      </c>
      <c r="E12" s="947" t="s">
        <v>367</v>
      </c>
      <c r="F12" s="947" t="s">
        <v>368</v>
      </c>
      <c r="G12" s="947" t="s">
        <v>367</v>
      </c>
      <c r="H12" s="947" t="s">
        <v>368</v>
      </c>
      <c r="I12" s="947" t="s">
        <v>367</v>
      </c>
      <c r="J12" s="947" t="s">
        <v>368</v>
      </c>
      <c r="K12" s="947" t="s">
        <v>367</v>
      </c>
      <c r="L12" s="947" t="s">
        <v>368</v>
      </c>
      <c r="M12" s="947" t="s">
        <v>367</v>
      </c>
      <c r="N12" s="947" t="s">
        <v>368</v>
      </c>
      <c r="O12" s="947" t="s">
        <v>367</v>
      </c>
      <c r="P12" s="947" t="s">
        <v>368</v>
      </c>
      <c r="Q12" s="947" t="s">
        <v>367</v>
      </c>
      <c r="R12" s="947" t="s">
        <v>368</v>
      </c>
      <c r="S12" s="947" t="s">
        <v>367</v>
      </c>
      <c r="T12" s="947" t="s">
        <v>368</v>
      </c>
      <c r="U12" s="947" t="s">
        <v>367</v>
      </c>
      <c r="V12" s="947" t="s">
        <v>368</v>
      </c>
      <c r="W12" s="947" t="s">
        <v>367</v>
      </c>
      <c r="X12" s="947" t="s">
        <v>368</v>
      </c>
      <c r="Y12" s="947" t="s">
        <v>367</v>
      </c>
      <c r="Z12" s="947" t="s">
        <v>368</v>
      </c>
      <c r="AA12" s="947" t="s">
        <v>367</v>
      </c>
      <c r="AB12" s="947" t="s">
        <v>368</v>
      </c>
      <c r="AC12" s="947" t="s">
        <v>367</v>
      </c>
      <c r="AD12" s="947" t="s">
        <v>368</v>
      </c>
      <c r="AE12" s="947" t="s">
        <v>367</v>
      </c>
      <c r="AF12" s="947" t="s">
        <v>368</v>
      </c>
      <c r="AG12" s="947" t="s">
        <v>367</v>
      </c>
      <c r="AH12" s="947" t="s">
        <v>368</v>
      </c>
      <c r="AI12" s="947" t="s">
        <v>367</v>
      </c>
      <c r="AJ12" s="947" t="s">
        <v>368</v>
      </c>
      <c r="AK12" s="947" t="s">
        <v>367</v>
      </c>
      <c r="AL12" s="947" t="s">
        <v>368</v>
      </c>
      <c r="AM12" s="947" t="s">
        <v>367</v>
      </c>
      <c r="AN12" s="649" t="s">
        <v>368</v>
      </c>
    </row>
    <row r="13" spans="1:40" ht="10.5" customHeight="1">
      <c r="A13" s="650" t="s">
        <v>27</v>
      </c>
      <c r="B13" s="651" t="s">
        <v>16</v>
      </c>
      <c r="C13" s="1671">
        <v>1340</v>
      </c>
      <c r="D13" s="1671">
        <v>639</v>
      </c>
      <c r="E13" s="1671" t="s">
        <v>28</v>
      </c>
      <c r="F13" s="1671" t="s">
        <v>28</v>
      </c>
      <c r="G13" s="1671">
        <v>554</v>
      </c>
      <c r="H13" s="1671">
        <v>252</v>
      </c>
      <c r="I13" s="1671">
        <v>54</v>
      </c>
      <c r="J13" s="1671">
        <v>27</v>
      </c>
      <c r="K13" s="1671">
        <v>5</v>
      </c>
      <c r="L13" s="1671">
        <v>3</v>
      </c>
      <c r="M13" s="1671">
        <v>40</v>
      </c>
      <c r="N13" s="1671">
        <v>26</v>
      </c>
      <c r="O13" s="1671">
        <v>7</v>
      </c>
      <c r="P13" s="1671">
        <v>5</v>
      </c>
      <c r="Q13" s="1671">
        <v>34</v>
      </c>
      <c r="R13" s="1671">
        <v>16</v>
      </c>
      <c r="S13" s="1671">
        <v>1</v>
      </c>
      <c r="T13" s="1671">
        <v>1</v>
      </c>
      <c r="U13" s="1671">
        <v>2</v>
      </c>
      <c r="V13" s="1671">
        <v>2</v>
      </c>
      <c r="W13" s="1671">
        <v>1</v>
      </c>
      <c r="X13" s="1671" t="s">
        <v>28</v>
      </c>
      <c r="Y13" s="1671">
        <v>233</v>
      </c>
      <c r="Z13" s="1671">
        <v>106</v>
      </c>
      <c r="AA13" s="1671">
        <v>2</v>
      </c>
      <c r="AB13" s="1671">
        <v>2</v>
      </c>
      <c r="AC13" s="1671">
        <v>103</v>
      </c>
      <c r="AD13" s="1671">
        <v>47</v>
      </c>
      <c r="AE13" s="1671">
        <v>163</v>
      </c>
      <c r="AF13" s="1671">
        <v>86</v>
      </c>
      <c r="AG13" s="1671">
        <v>86</v>
      </c>
      <c r="AH13" s="1671">
        <v>36</v>
      </c>
      <c r="AI13" s="1671">
        <v>4</v>
      </c>
      <c r="AJ13" s="1671">
        <v>3</v>
      </c>
      <c r="AK13" s="1671">
        <v>11</v>
      </c>
      <c r="AL13" s="1671">
        <v>5</v>
      </c>
      <c r="AM13" s="1675">
        <v>40</v>
      </c>
      <c r="AN13" s="1675">
        <v>22</v>
      </c>
    </row>
    <row r="14" spans="1:40" ht="10.5" customHeight="1">
      <c r="A14" s="700" t="s">
        <v>29</v>
      </c>
      <c r="B14" s="652" t="s">
        <v>30</v>
      </c>
      <c r="C14" s="653">
        <v>1285</v>
      </c>
      <c r="D14" s="653">
        <v>625</v>
      </c>
      <c r="E14" s="653" t="s">
        <v>28</v>
      </c>
      <c r="F14" s="653" t="s">
        <v>28</v>
      </c>
      <c r="G14" s="653">
        <v>519</v>
      </c>
      <c r="H14" s="653">
        <v>244</v>
      </c>
      <c r="I14" s="653">
        <v>52</v>
      </c>
      <c r="J14" s="653">
        <v>27</v>
      </c>
      <c r="K14" s="653">
        <v>4</v>
      </c>
      <c r="L14" s="653">
        <v>2</v>
      </c>
      <c r="M14" s="653">
        <v>37</v>
      </c>
      <c r="N14" s="653">
        <v>26</v>
      </c>
      <c r="O14" s="653">
        <v>7</v>
      </c>
      <c r="P14" s="653">
        <v>5</v>
      </c>
      <c r="Q14" s="653">
        <v>33</v>
      </c>
      <c r="R14" s="653">
        <v>15</v>
      </c>
      <c r="S14" s="653">
        <v>1</v>
      </c>
      <c r="T14" s="653">
        <v>1</v>
      </c>
      <c r="U14" s="653">
        <v>2</v>
      </c>
      <c r="V14" s="653">
        <v>2</v>
      </c>
      <c r="W14" s="653">
        <v>1</v>
      </c>
      <c r="X14" s="653" t="s">
        <v>28</v>
      </c>
      <c r="Y14" s="653">
        <v>229</v>
      </c>
      <c r="Z14" s="653">
        <v>106</v>
      </c>
      <c r="AA14" s="653">
        <v>1</v>
      </c>
      <c r="AB14" s="653">
        <v>1</v>
      </c>
      <c r="AC14" s="653">
        <v>102</v>
      </c>
      <c r="AD14" s="653">
        <v>47</v>
      </c>
      <c r="AE14" s="653">
        <v>161</v>
      </c>
      <c r="AF14" s="653">
        <v>85</v>
      </c>
      <c r="AG14" s="653">
        <v>84</v>
      </c>
      <c r="AH14" s="653">
        <v>35</v>
      </c>
      <c r="AI14" s="653">
        <v>4</v>
      </c>
      <c r="AJ14" s="653">
        <v>3</v>
      </c>
      <c r="AK14" s="653">
        <v>11</v>
      </c>
      <c r="AL14" s="653">
        <v>5</v>
      </c>
      <c r="AM14" s="654">
        <v>37</v>
      </c>
      <c r="AN14" s="654">
        <v>21</v>
      </c>
    </row>
    <row r="15" spans="1:40" ht="10.5" customHeight="1" thickBot="1">
      <c r="A15" s="655" t="s">
        <v>31</v>
      </c>
      <c r="B15" s="656" t="s">
        <v>32</v>
      </c>
      <c r="C15" s="657">
        <v>55</v>
      </c>
      <c r="D15" s="657">
        <v>14</v>
      </c>
      <c r="E15" s="657" t="s">
        <v>28</v>
      </c>
      <c r="F15" s="657" t="s">
        <v>28</v>
      </c>
      <c r="G15" s="657">
        <v>35</v>
      </c>
      <c r="H15" s="657">
        <v>8</v>
      </c>
      <c r="I15" s="657">
        <v>2</v>
      </c>
      <c r="J15" s="657" t="s">
        <v>28</v>
      </c>
      <c r="K15" s="657">
        <v>1</v>
      </c>
      <c r="L15" s="657">
        <v>1</v>
      </c>
      <c r="M15" s="657">
        <v>3</v>
      </c>
      <c r="N15" s="657" t="s">
        <v>28</v>
      </c>
      <c r="O15" s="657" t="s">
        <v>28</v>
      </c>
      <c r="P15" s="657" t="s">
        <v>28</v>
      </c>
      <c r="Q15" s="657">
        <v>1</v>
      </c>
      <c r="R15" s="657">
        <v>1</v>
      </c>
      <c r="S15" s="657" t="s">
        <v>28</v>
      </c>
      <c r="T15" s="657" t="s">
        <v>28</v>
      </c>
      <c r="U15" s="657" t="s">
        <v>28</v>
      </c>
      <c r="V15" s="657" t="s">
        <v>28</v>
      </c>
      <c r="W15" s="657" t="s">
        <v>28</v>
      </c>
      <c r="X15" s="657" t="s">
        <v>28</v>
      </c>
      <c r="Y15" s="657">
        <v>4</v>
      </c>
      <c r="Z15" s="657" t="s">
        <v>28</v>
      </c>
      <c r="AA15" s="657">
        <v>1</v>
      </c>
      <c r="AB15" s="657">
        <v>1</v>
      </c>
      <c r="AC15" s="657">
        <v>1</v>
      </c>
      <c r="AD15" s="657" t="s">
        <v>28</v>
      </c>
      <c r="AE15" s="657">
        <v>2</v>
      </c>
      <c r="AF15" s="657">
        <v>1</v>
      </c>
      <c r="AG15" s="657">
        <v>2</v>
      </c>
      <c r="AH15" s="657">
        <v>1</v>
      </c>
      <c r="AI15" s="657" t="s">
        <v>28</v>
      </c>
      <c r="AJ15" s="657" t="s">
        <v>28</v>
      </c>
      <c r="AK15" s="657" t="s">
        <v>28</v>
      </c>
      <c r="AL15" s="657" t="s">
        <v>28</v>
      </c>
      <c r="AM15" s="658">
        <v>3</v>
      </c>
      <c r="AN15" s="658">
        <v>1</v>
      </c>
    </row>
    <row r="16" spans="1:40" s="701" customFormat="1" ht="10.5" customHeight="1" thickBot="1">
      <c r="A16" s="1672" t="s">
        <v>363</v>
      </c>
      <c r="B16" s="1672"/>
      <c r="C16" s="1672"/>
      <c r="D16" s="1672"/>
      <c r="E16" s="1672"/>
      <c r="F16" s="1672"/>
      <c r="G16" s="1672"/>
      <c r="H16" s="1672"/>
      <c r="I16" s="1672"/>
      <c r="J16" s="1672"/>
      <c r="K16" s="1672"/>
      <c r="L16" s="1672"/>
      <c r="M16" s="1672"/>
      <c r="N16" s="1672"/>
      <c r="O16" s="1672"/>
      <c r="P16" s="1672"/>
      <c r="Q16" s="1672"/>
      <c r="R16" s="1672"/>
      <c r="S16" s="1672" t="s">
        <v>34</v>
      </c>
      <c r="T16" s="1672"/>
      <c r="U16" s="1672"/>
      <c r="V16" s="1672"/>
      <c r="W16" s="1672"/>
      <c r="X16" s="1672"/>
      <c r="Y16" s="1672"/>
      <c r="Z16" s="1672"/>
      <c r="AA16" s="1672"/>
      <c r="AB16" s="1672"/>
      <c r="AC16" s="1672"/>
      <c r="AD16" s="1672"/>
      <c r="AE16" s="1672"/>
      <c r="AF16" s="1672"/>
      <c r="AG16" s="1672"/>
      <c r="AH16" s="1672"/>
      <c r="AI16" s="1672"/>
      <c r="AJ16" s="1672"/>
      <c r="AK16" s="1672"/>
      <c r="AL16" s="1672"/>
      <c r="AM16" s="1672"/>
      <c r="AN16" s="1672"/>
    </row>
    <row r="17" spans="1:40" ht="10.5" customHeight="1">
      <c r="A17" s="659" t="s">
        <v>35</v>
      </c>
      <c r="B17" s="660" t="s">
        <v>36</v>
      </c>
      <c r="C17" s="661">
        <v>187</v>
      </c>
      <c r="D17" s="661">
        <v>97</v>
      </c>
      <c r="E17" s="661" t="s">
        <v>28</v>
      </c>
      <c r="F17" s="661" t="s">
        <v>28</v>
      </c>
      <c r="G17" s="661">
        <v>121</v>
      </c>
      <c r="H17" s="661">
        <v>54</v>
      </c>
      <c r="I17" s="661">
        <v>4</v>
      </c>
      <c r="J17" s="661">
        <v>1</v>
      </c>
      <c r="K17" s="661">
        <v>2</v>
      </c>
      <c r="L17" s="661">
        <v>2</v>
      </c>
      <c r="M17" s="661">
        <v>8</v>
      </c>
      <c r="N17" s="661">
        <v>4</v>
      </c>
      <c r="O17" s="661">
        <v>1</v>
      </c>
      <c r="P17" s="661">
        <v>1</v>
      </c>
      <c r="Q17" s="661">
        <v>8</v>
      </c>
      <c r="R17" s="688">
        <v>8</v>
      </c>
      <c r="S17" s="1678" t="s">
        <v>28</v>
      </c>
      <c r="T17" s="661" t="s">
        <v>28</v>
      </c>
      <c r="U17" s="661" t="s">
        <v>28</v>
      </c>
      <c r="V17" s="661" t="s">
        <v>28</v>
      </c>
      <c r="W17" s="661" t="s">
        <v>28</v>
      </c>
      <c r="X17" s="661" t="s">
        <v>28</v>
      </c>
      <c r="Y17" s="661">
        <v>18</v>
      </c>
      <c r="Z17" s="661">
        <v>9</v>
      </c>
      <c r="AA17" s="661">
        <v>1</v>
      </c>
      <c r="AB17" s="661">
        <v>1</v>
      </c>
      <c r="AC17" s="661">
        <v>3</v>
      </c>
      <c r="AD17" s="661">
        <v>2</v>
      </c>
      <c r="AE17" s="661">
        <v>5</v>
      </c>
      <c r="AF17" s="661">
        <v>3</v>
      </c>
      <c r="AG17" s="661">
        <v>8</v>
      </c>
      <c r="AH17" s="661">
        <v>7</v>
      </c>
      <c r="AI17" s="661" t="s">
        <v>28</v>
      </c>
      <c r="AJ17" s="661" t="s">
        <v>28</v>
      </c>
      <c r="AK17" s="661">
        <v>2</v>
      </c>
      <c r="AL17" s="661">
        <v>2</v>
      </c>
      <c r="AM17" s="678">
        <v>6</v>
      </c>
      <c r="AN17" s="680">
        <v>3</v>
      </c>
    </row>
    <row r="18" spans="1:40" ht="10.5" customHeight="1">
      <c r="A18" s="700" t="s">
        <v>29</v>
      </c>
      <c r="B18" s="652" t="s">
        <v>30</v>
      </c>
      <c r="C18" s="665">
        <v>140</v>
      </c>
      <c r="D18" s="665">
        <v>90</v>
      </c>
      <c r="E18" s="665" t="s">
        <v>28</v>
      </c>
      <c r="F18" s="665" t="s">
        <v>28</v>
      </c>
      <c r="G18" s="665">
        <v>91</v>
      </c>
      <c r="H18" s="665">
        <v>51</v>
      </c>
      <c r="I18" s="665">
        <v>2</v>
      </c>
      <c r="J18" s="665">
        <v>1</v>
      </c>
      <c r="K18" s="653">
        <v>1</v>
      </c>
      <c r="L18" s="653">
        <v>1</v>
      </c>
      <c r="M18" s="653">
        <v>5</v>
      </c>
      <c r="N18" s="653">
        <v>4</v>
      </c>
      <c r="O18" s="653">
        <v>1</v>
      </c>
      <c r="P18" s="653">
        <v>1</v>
      </c>
      <c r="Q18" s="653">
        <v>7</v>
      </c>
      <c r="R18" s="689">
        <v>7</v>
      </c>
      <c r="S18" s="690" t="s">
        <v>28</v>
      </c>
      <c r="T18" s="653" t="s">
        <v>28</v>
      </c>
      <c r="U18" s="653" t="s">
        <v>28</v>
      </c>
      <c r="V18" s="653" t="s">
        <v>28</v>
      </c>
      <c r="W18" s="653" t="s">
        <v>28</v>
      </c>
      <c r="X18" s="653" t="s">
        <v>28</v>
      </c>
      <c r="Y18" s="665">
        <v>14</v>
      </c>
      <c r="Z18" s="665">
        <v>9</v>
      </c>
      <c r="AA18" s="665" t="s">
        <v>28</v>
      </c>
      <c r="AB18" s="665" t="s">
        <v>28</v>
      </c>
      <c r="AC18" s="665">
        <v>2</v>
      </c>
      <c r="AD18" s="665">
        <v>2</v>
      </c>
      <c r="AE18" s="665">
        <v>3</v>
      </c>
      <c r="AF18" s="665">
        <v>2</v>
      </c>
      <c r="AG18" s="665">
        <v>8</v>
      </c>
      <c r="AH18" s="665">
        <v>7</v>
      </c>
      <c r="AI18" s="665" t="s">
        <v>28</v>
      </c>
      <c r="AJ18" s="665" t="s">
        <v>28</v>
      </c>
      <c r="AK18" s="665">
        <v>2</v>
      </c>
      <c r="AL18" s="665">
        <v>2</v>
      </c>
      <c r="AM18" s="653">
        <v>4</v>
      </c>
      <c r="AN18" s="654">
        <v>3</v>
      </c>
    </row>
    <row r="19" spans="1:40" ht="10.5" customHeight="1">
      <c r="A19" s="700" t="s">
        <v>31</v>
      </c>
      <c r="B19" s="652" t="s">
        <v>32</v>
      </c>
      <c r="C19" s="665">
        <v>47</v>
      </c>
      <c r="D19" s="665">
        <v>7</v>
      </c>
      <c r="E19" s="665" t="s">
        <v>28</v>
      </c>
      <c r="F19" s="665" t="s">
        <v>28</v>
      </c>
      <c r="G19" s="665">
        <v>30</v>
      </c>
      <c r="H19" s="665">
        <v>3</v>
      </c>
      <c r="I19" s="665">
        <v>2</v>
      </c>
      <c r="J19" s="665" t="s">
        <v>28</v>
      </c>
      <c r="K19" s="653">
        <v>1</v>
      </c>
      <c r="L19" s="653">
        <v>1</v>
      </c>
      <c r="M19" s="653">
        <v>3</v>
      </c>
      <c r="N19" s="653" t="s">
        <v>28</v>
      </c>
      <c r="O19" s="653" t="s">
        <v>28</v>
      </c>
      <c r="P19" s="653" t="s">
        <v>28</v>
      </c>
      <c r="Q19" s="653">
        <v>1</v>
      </c>
      <c r="R19" s="689">
        <v>1</v>
      </c>
      <c r="S19" s="690" t="s">
        <v>28</v>
      </c>
      <c r="T19" s="653" t="s">
        <v>28</v>
      </c>
      <c r="U19" s="653" t="s">
        <v>28</v>
      </c>
      <c r="V19" s="653" t="s">
        <v>28</v>
      </c>
      <c r="W19" s="653" t="s">
        <v>28</v>
      </c>
      <c r="X19" s="653" t="s">
        <v>28</v>
      </c>
      <c r="Y19" s="665">
        <v>4</v>
      </c>
      <c r="Z19" s="665" t="s">
        <v>28</v>
      </c>
      <c r="AA19" s="665">
        <v>1</v>
      </c>
      <c r="AB19" s="665">
        <v>1</v>
      </c>
      <c r="AC19" s="665">
        <v>1</v>
      </c>
      <c r="AD19" s="665" t="s">
        <v>28</v>
      </c>
      <c r="AE19" s="665">
        <v>2</v>
      </c>
      <c r="AF19" s="665">
        <v>1</v>
      </c>
      <c r="AG19" s="665" t="s">
        <v>28</v>
      </c>
      <c r="AH19" s="665" t="s">
        <v>28</v>
      </c>
      <c r="AI19" s="665" t="s">
        <v>28</v>
      </c>
      <c r="AJ19" s="665" t="s">
        <v>28</v>
      </c>
      <c r="AK19" s="665" t="s">
        <v>28</v>
      </c>
      <c r="AL19" s="665" t="s">
        <v>28</v>
      </c>
      <c r="AM19" s="653">
        <v>2</v>
      </c>
      <c r="AN19" s="654" t="s">
        <v>28</v>
      </c>
    </row>
    <row r="20" spans="1:40" ht="10.5" customHeight="1">
      <c r="A20" s="699" t="s">
        <v>37</v>
      </c>
      <c r="B20" s="669" t="s">
        <v>38</v>
      </c>
      <c r="C20" s="670">
        <v>344</v>
      </c>
      <c r="D20" s="670">
        <v>160</v>
      </c>
      <c r="E20" s="670" t="s">
        <v>28</v>
      </c>
      <c r="F20" s="670" t="s">
        <v>28</v>
      </c>
      <c r="G20" s="670">
        <v>267</v>
      </c>
      <c r="H20" s="670">
        <v>123</v>
      </c>
      <c r="I20" s="670">
        <v>34</v>
      </c>
      <c r="J20" s="670">
        <v>16</v>
      </c>
      <c r="K20" s="670" t="s">
        <v>28</v>
      </c>
      <c r="L20" s="670" t="s">
        <v>28</v>
      </c>
      <c r="M20" s="670">
        <v>13</v>
      </c>
      <c r="N20" s="670">
        <v>8</v>
      </c>
      <c r="O20" s="670">
        <v>2</v>
      </c>
      <c r="P20" s="670">
        <v>2</v>
      </c>
      <c r="Q20" s="670">
        <v>10</v>
      </c>
      <c r="R20" s="691">
        <v>3</v>
      </c>
      <c r="S20" s="692" t="s">
        <v>28</v>
      </c>
      <c r="T20" s="670" t="s">
        <v>28</v>
      </c>
      <c r="U20" s="670">
        <v>1</v>
      </c>
      <c r="V20" s="670">
        <v>1</v>
      </c>
      <c r="W20" s="670" t="s">
        <v>28</v>
      </c>
      <c r="X20" s="670" t="s">
        <v>28</v>
      </c>
      <c r="Y20" s="670">
        <v>1</v>
      </c>
      <c r="Z20" s="670" t="s">
        <v>28</v>
      </c>
      <c r="AA20" s="670" t="s">
        <v>28</v>
      </c>
      <c r="AB20" s="670" t="s">
        <v>28</v>
      </c>
      <c r="AC20" s="670">
        <v>1</v>
      </c>
      <c r="AD20" s="670">
        <v>1</v>
      </c>
      <c r="AE20" s="670" t="s">
        <v>28</v>
      </c>
      <c r="AF20" s="670" t="s">
        <v>28</v>
      </c>
      <c r="AG20" s="670" t="s">
        <v>28</v>
      </c>
      <c r="AH20" s="670" t="s">
        <v>28</v>
      </c>
      <c r="AI20" s="670" t="s">
        <v>28</v>
      </c>
      <c r="AJ20" s="670" t="s">
        <v>28</v>
      </c>
      <c r="AK20" s="670" t="s">
        <v>28</v>
      </c>
      <c r="AL20" s="670" t="s">
        <v>28</v>
      </c>
      <c r="AM20" s="679">
        <v>15</v>
      </c>
      <c r="AN20" s="681">
        <v>6</v>
      </c>
    </row>
    <row r="21" spans="1:40" ht="10.5" customHeight="1">
      <c r="A21" s="700" t="s">
        <v>29</v>
      </c>
      <c r="B21" s="652" t="s">
        <v>30</v>
      </c>
      <c r="C21" s="665">
        <v>344</v>
      </c>
      <c r="D21" s="665">
        <v>160</v>
      </c>
      <c r="E21" s="665" t="s">
        <v>28</v>
      </c>
      <c r="F21" s="665" t="s">
        <v>28</v>
      </c>
      <c r="G21" s="665">
        <v>267</v>
      </c>
      <c r="H21" s="665">
        <v>123</v>
      </c>
      <c r="I21" s="665">
        <v>34</v>
      </c>
      <c r="J21" s="665">
        <v>16</v>
      </c>
      <c r="K21" s="653" t="s">
        <v>28</v>
      </c>
      <c r="L21" s="653" t="s">
        <v>28</v>
      </c>
      <c r="M21" s="653">
        <v>13</v>
      </c>
      <c r="N21" s="653">
        <v>8</v>
      </c>
      <c r="O21" s="653">
        <v>2</v>
      </c>
      <c r="P21" s="653">
        <v>2</v>
      </c>
      <c r="Q21" s="653">
        <v>10</v>
      </c>
      <c r="R21" s="689">
        <v>3</v>
      </c>
      <c r="S21" s="690" t="s">
        <v>28</v>
      </c>
      <c r="T21" s="653" t="s">
        <v>28</v>
      </c>
      <c r="U21" s="653">
        <v>1</v>
      </c>
      <c r="V21" s="653">
        <v>1</v>
      </c>
      <c r="W21" s="653" t="s">
        <v>28</v>
      </c>
      <c r="X21" s="653" t="s">
        <v>28</v>
      </c>
      <c r="Y21" s="665">
        <v>1</v>
      </c>
      <c r="Z21" s="665" t="s">
        <v>28</v>
      </c>
      <c r="AA21" s="665" t="s">
        <v>28</v>
      </c>
      <c r="AB21" s="665" t="s">
        <v>28</v>
      </c>
      <c r="AC21" s="665">
        <v>1</v>
      </c>
      <c r="AD21" s="665">
        <v>1</v>
      </c>
      <c r="AE21" s="665" t="s">
        <v>28</v>
      </c>
      <c r="AF21" s="665" t="s">
        <v>28</v>
      </c>
      <c r="AG21" s="665" t="s">
        <v>28</v>
      </c>
      <c r="AH21" s="665" t="s">
        <v>28</v>
      </c>
      <c r="AI21" s="665" t="s">
        <v>28</v>
      </c>
      <c r="AJ21" s="665" t="s">
        <v>28</v>
      </c>
      <c r="AK21" s="665" t="s">
        <v>28</v>
      </c>
      <c r="AL21" s="665" t="s">
        <v>28</v>
      </c>
      <c r="AM21" s="653">
        <v>15</v>
      </c>
      <c r="AN21" s="654">
        <v>6</v>
      </c>
    </row>
    <row r="22" spans="1:40" ht="10.5" customHeight="1">
      <c r="A22" s="700" t="s">
        <v>31</v>
      </c>
      <c r="B22" s="652" t="s">
        <v>32</v>
      </c>
      <c r="C22" s="665" t="s">
        <v>28</v>
      </c>
      <c r="D22" s="665" t="s">
        <v>28</v>
      </c>
      <c r="E22" s="665" t="s">
        <v>28</v>
      </c>
      <c r="F22" s="665" t="s">
        <v>28</v>
      </c>
      <c r="G22" s="665" t="s">
        <v>28</v>
      </c>
      <c r="H22" s="665" t="s">
        <v>28</v>
      </c>
      <c r="I22" s="665" t="s">
        <v>28</v>
      </c>
      <c r="J22" s="665" t="s">
        <v>28</v>
      </c>
      <c r="K22" s="653" t="s">
        <v>28</v>
      </c>
      <c r="L22" s="653" t="s">
        <v>28</v>
      </c>
      <c r="M22" s="653" t="s">
        <v>28</v>
      </c>
      <c r="N22" s="653" t="s">
        <v>28</v>
      </c>
      <c r="O22" s="653" t="s">
        <v>28</v>
      </c>
      <c r="P22" s="653" t="s">
        <v>28</v>
      </c>
      <c r="Q22" s="653" t="s">
        <v>28</v>
      </c>
      <c r="R22" s="689" t="s">
        <v>28</v>
      </c>
      <c r="S22" s="690" t="s">
        <v>28</v>
      </c>
      <c r="T22" s="653" t="s">
        <v>28</v>
      </c>
      <c r="U22" s="653" t="s">
        <v>28</v>
      </c>
      <c r="V22" s="653" t="s">
        <v>28</v>
      </c>
      <c r="W22" s="653" t="s">
        <v>28</v>
      </c>
      <c r="X22" s="653" t="s">
        <v>28</v>
      </c>
      <c r="Y22" s="665" t="s">
        <v>28</v>
      </c>
      <c r="Z22" s="665" t="s">
        <v>28</v>
      </c>
      <c r="AA22" s="665" t="s">
        <v>28</v>
      </c>
      <c r="AB22" s="665" t="s">
        <v>28</v>
      </c>
      <c r="AC22" s="665" t="s">
        <v>28</v>
      </c>
      <c r="AD22" s="665" t="s">
        <v>28</v>
      </c>
      <c r="AE22" s="665" t="s">
        <v>28</v>
      </c>
      <c r="AF22" s="665" t="s">
        <v>28</v>
      </c>
      <c r="AG22" s="665" t="s">
        <v>28</v>
      </c>
      <c r="AH22" s="665" t="s">
        <v>28</v>
      </c>
      <c r="AI22" s="665" t="s">
        <v>28</v>
      </c>
      <c r="AJ22" s="665" t="s">
        <v>28</v>
      </c>
      <c r="AK22" s="665" t="s">
        <v>28</v>
      </c>
      <c r="AL22" s="665" t="s">
        <v>28</v>
      </c>
      <c r="AM22" s="653" t="s">
        <v>28</v>
      </c>
      <c r="AN22" s="654" t="s">
        <v>28</v>
      </c>
    </row>
    <row r="23" spans="1:40" ht="10.5" customHeight="1">
      <c r="A23" s="699" t="s">
        <v>39</v>
      </c>
      <c r="B23" s="669" t="s">
        <v>40</v>
      </c>
      <c r="C23" s="670">
        <v>690</v>
      </c>
      <c r="D23" s="670">
        <v>332</v>
      </c>
      <c r="E23" s="670" t="s">
        <v>28</v>
      </c>
      <c r="F23" s="670" t="s">
        <v>28</v>
      </c>
      <c r="G23" s="670">
        <v>109</v>
      </c>
      <c r="H23" s="670">
        <v>52</v>
      </c>
      <c r="I23" s="670">
        <v>12</v>
      </c>
      <c r="J23" s="670">
        <v>9</v>
      </c>
      <c r="K23" s="670">
        <v>1</v>
      </c>
      <c r="L23" s="670" t="s">
        <v>28</v>
      </c>
      <c r="M23" s="670">
        <v>14</v>
      </c>
      <c r="N23" s="670">
        <v>9</v>
      </c>
      <c r="O23" s="670" t="s">
        <v>28</v>
      </c>
      <c r="P23" s="670" t="s">
        <v>28</v>
      </c>
      <c r="Q23" s="670">
        <v>10</v>
      </c>
      <c r="R23" s="691">
        <v>3</v>
      </c>
      <c r="S23" s="692">
        <v>1</v>
      </c>
      <c r="T23" s="670">
        <v>1</v>
      </c>
      <c r="U23" s="670">
        <v>1</v>
      </c>
      <c r="V23" s="670">
        <v>1</v>
      </c>
      <c r="W23" s="670">
        <v>1</v>
      </c>
      <c r="X23" s="670" t="s">
        <v>28</v>
      </c>
      <c r="Y23" s="670">
        <v>197</v>
      </c>
      <c r="Z23" s="670">
        <v>89</v>
      </c>
      <c r="AA23" s="670">
        <v>1</v>
      </c>
      <c r="AB23" s="670">
        <v>1</v>
      </c>
      <c r="AC23" s="670">
        <v>93</v>
      </c>
      <c r="AD23" s="670">
        <v>44</v>
      </c>
      <c r="AE23" s="670">
        <v>157</v>
      </c>
      <c r="AF23" s="670">
        <v>82</v>
      </c>
      <c r="AG23" s="670">
        <v>66</v>
      </c>
      <c r="AH23" s="670">
        <v>25</v>
      </c>
      <c r="AI23" s="670">
        <v>4</v>
      </c>
      <c r="AJ23" s="670">
        <v>3</v>
      </c>
      <c r="AK23" s="670">
        <v>9</v>
      </c>
      <c r="AL23" s="670">
        <v>3</v>
      </c>
      <c r="AM23" s="679">
        <v>14</v>
      </c>
      <c r="AN23" s="681">
        <v>10</v>
      </c>
    </row>
    <row r="24" spans="1:40" ht="10.5" customHeight="1">
      <c r="A24" s="700" t="s">
        <v>29</v>
      </c>
      <c r="B24" s="652" t="s">
        <v>30</v>
      </c>
      <c r="C24" s="665">
        <v>682</v>
      </c>
      <c r="D24" s="665">
        <v>325</v>
      </c>
      <c r="E24" s="665" t="s">
        <v>28</v>
      </c>
      <c r="F24" s="665" t="s">
        <v>28</v>
      </c>
      <c r="G24" s="665">
        <v>104</v>
      </c>
      <c r="H24" s="665">
        <v>47</v>
      </c>
      <c r="I24" s="665">
        <v>12</v>
      </c>
      <c r="J24" s="665">
        <v>9</v>
      </c>
      <c r="K24" s="653">
        <v>1</v>
      </c>
      <c r="L24" s="653" t="s">
        <v>28</v>
      </c>
      <c r="M24" s="653">
        <v>14</v>
      </c>
      <c r="N24" s="653">
        <v>9</v>
      </c>
      <c r="O24" s="653" t="s">
        <v>28</v>
      </c>
      <c r="P24" s="653" t="s">
        <v>28</v>
      </c>
      <c r="Q24" s="653">
        <v>10</v>
      </c>
      <c r="R24" s="689">
        <v>3</v>
      </c>
      <c r="S24" s="690">
        <v>1</v>
      </c>
      <c r="T24" s="653">
        <v>1</v>
      </c>
      <c r="U24" s="653">
        <v>1</v>
      </c>
      <c r="V24" s="653">
        <v>1</v>
      </c>
      <c r="W24" s="653">
        <v>1</v>
      </c>
      <c r="X24" s="653" t="s">
        <v>28</v>
      </c>
      <c r="Y24" s="665">
        <v>197</v>
      </c>
      <c r="Z24" s="665">
        <v>89</v>
      </c>
      <c r="AA24" s="665">
        <v>1</v>
      </c>
      <c r="AB24" s="665">
        <v>1</v>
      </c>
      <c r="AC24" s="665">
        <v>93</v>
      </c>
      <c r="AD24" s="665">
        <v>44</v>
      </c>
      <c r="AE24" s="665">
        <v>157</v>
      </c>
      <c r="AF24" s="665">
        <v>82</v>
      </c>
      <c r="AG24" s="665">
        <v>64</v>
      </c>
      <c r="AH24" s="665">
        <v>24</v>
      </c>
      <c r="AI24" s="665">
        <v>4</v>
      </c>
      <c r="AJ24" s="665">
        <v>3</v>
      </c>
      <c r="AK24" s="665">
        <v>9</v>
      </c>
      <c r="AL24" s="665">
        <v>3</v>
      </c>
      <c r="AM24" s="653">
        <v>13</v>
      </c>
      <c r="AN24" s="654">
        <v>9</v>
      </c>
    </row>
    <row r="25" spans="1:40" ht="10.5" customHeight="1">
      <c r="A25" s="700" t="s">
        <v>31</v>
      </c>
      <c r="B25" s="652" t="s">
        <v>32</v>
      </c>
      <c r="C25" s="665">
        <v>8</v>
      </c>
      <c r="D25" s="665">
        <v>7</v>
      </c>
      <c r="E25" s="665" t="s">
        <v>28</v>
      </c>
      <c r="F25" s="665" t="s">
        <v>28</v>
      </c>
      <c r="G25" s="665">
        <v>5</v>
      </c>
      <c r="H25" s="665">
        <v>5</v>
      </c>
      <c r="I25" s="665" t="s">
        <v>28</v>
      </c>
      <c r="J25" s="665" t="s">
        <v>28</v>
      </c>
      <c r="K25" s="653" t="s">
        <v>28</v>
      </c>
      <c r="L25" s="653" t="s">
        <v>28</v>
      </c>
      <c r="M25" s="653" t="s">
        <v>28</v>
      </c>
      <c r="N25" s="653" t="s">
        <v>28</v>
      </c>
      <c r="O25" s="653" t="s">
        <v>28</v>
      </c>
      <c r="P25" s="653" t="s">
        <v>28</v>
      </c>
      <c r="Q25" s="653" t="s">
        <v>28</v>
      </c>
      <c r="R25" s="689" t="s">
        <v>28</v>
      </c>
      <c r="S25" s="690" t="s">
        <v>28</v>
      </c>
      <c r="T25" s="653" t="s">
        <v>28</v>
      </c>
      <c r="U25" s="653" t="s">
        <v>28</v>
      </c>
      <c r="V25" s="653" t="s">
        <v>28</v>
      </c>
      <c r="W25" s="653" t="s">
        <v>28</v>
      </c>
      <c r="X25" s="653" t="s">
        <v>28</v>
      </c>
      <c r="Y25" s="665" t="s">
        <v>28</v>
      </c>
      <c r="Z25" s="665" t="s">
        <v>28</v>
      </c>
      <c r="AA25" s="665" t="s">
        <v>28</v>
      </c>
      <c r="AB25" s="665" t="s">
        <v>28</v>
      </c>
      <c r="AC25" s="665" t="s">
        <v>28</v>
      </c>
      <c r="AD25" s="665" t="s">
        <v>28</v>
      </c>
      <c r="AE25" s="665" t="s">
        <v>28</v>
      </c>
      <c r="AF25" s="665" t="s">
        <v>28</v>
      </c>
      <c r="AG25" s="665">
        <v>2</v>
      </c>
      <c r="AH25" s="665">
        <v>1</v>
      </c>
      <c r="AI25" s="665" t="s">
        <v>28</v>
      </c>
      <c r="AJ25" s="665" t="s">
        <v>28</v>
      </c>
      <c r="AK25" s="665" t="s">
        <v>28</v>
      </c>
      <c r="AL25" s="665" t="s">
        <v>28</v>
      </c>
      <c r="AM25" s="653">
        <v>1</v>
      </c>
      <c r="AN25" s="654">
        <v>1</v>
      </c>
    </row>
    <row r="26" spans="1:40" ht="10.5" customHeight="1">
      <c r="A26" s="699" t="s">
        <v>41</v>
      </c>
      <c r="B26" s="669" t="s">
        <v>42</v>
      </c>
      <c r="C26" s="670">
        <v>114</v>
      </c>
      <c r="D26" s="670">
        <v>46</v>
      </c>
      <c r="E26" s="670" t="s">
        <v>28</v>
      </c>
      <c r="F26" s="670" t="s">
        <v>28</v>
      </c>
      <c r="G26" s="670">
        <v>54</v>
      </c>
      <c r="H26" s="670">
        <v>20</v>
      </c>
      <c r="I26" s="670">
        <v>4</v>
      </c>
      <c r="J26" s="670">
        <v>1</v>
      </c>
      <c r="K26" s="670">
        <v>2</v>
      </c>
      <c r="L26" s="670">
        <v>1</v>
      </c>
      <c r="M26" s="670">
        <v>4</v>
      </c>
      <c r="N26" s="670">
        <v>4</v>
      </c>
      <c r="O26" s="670">
        <v>4</v>
      </c>
      <c r="P26" s="670">
        <v>2</v>
      </c>
      <c r="Q26" s="670">
        <v>6</v>
      </c>
      <c r="R26" s="691">
        <v>2</v>
      </c>
      <c r="S26" s="692" t="s">
        <v>28</v>
      </c>
      <c r="T26" s="670" t="s">
        <v>28</v>
      </c>
      <c r="U26" s="670" t="s">
        <v>28</v>
      </c>
      <c r="V26" s="670" t="s">
        <v>28</v>
      </c>
      <c r="W26" s="670" t="s">
        <v>28</v>
      </c>
      <c r="X26" s="670" t="s">
        <v>28</v>
      </c>
      <c r="Y26" s="670">
        <v>16</v>
      </c>
      <c r="Z26" s="670">
        <v>8</v>
      </c>
      <c r="AA26" s="670" t="s">
        <v>28</v>
      </c>
      <c r="AB26" s="670" t="s">
        <v>28</v>
      </c>
      <c r="AC26" s="670">
        <v>6</v>
      </c>
      <c r="AD26" s="670" t="s">
        <v>28</v>
      </c>
      <c r="AE26" s="670">
        <v>1</v>
      </c>
      <c r="AF26" s="670">
        <v>1</v>
      </c>
      <c r="AG26" s="670">
        <v>12</v>
      </c>
      <c r="AH26" s="670">
        <v>4</v>
      </c>
      <c r="AI26" s="670" t="s">
        <v>28</v>
      </c>
      <c r="AJ26" s="670" t="s">
        <v>28</v>
      </c>
      <c r="AK26" s="670" t="s">
        <v>28</v>
      </c>
      <c r="AL26" s="670" t="s">
        <v>28</v>
      </c>
      <c r="AM26" s="679">
        <v>5</v>
      </c>
      <c r="AN26" s="681">
        <v>3</v>
      </c>
    </row>
    <row r="27" spans="1:40" ht="10.5" customHeight="1">
      <c r="A27" s="700" t="s">
        <v>29</v>
      </c>
      <c r="B27" s="652" t="s">
        <v>30</v>
      </c>
      <c r="C27" s="665">
        <v>114</v>
      </c>
      <c r="D27" s="665">
        <v>46</v>
      </c>
      <c r="E27" s="665" t="s">
        <v>28</v>
      </c>
      <c r="F27" s="665" t="s">
        <v>28</v>
      </c>
      <c r="G27" s="665">
        <v>54</v>
      </c>
      <c r="H27" s="665">
        <v>20</v>
      </c>
      <c r="I27" s="665">
        <v>4</v>
      </c>
      <c r="J27" s="665">
        <v>1</v>
      </c>
      <c r="K27" s="653">
        <v>2</v>
      </c>
      <c r="L27" s="653">
        <v>1</v>
      </c>
      <c r="M27" s="653">
        <v>4</v>
      </c>
      <c r="N27" s="653">
        <v>4</v>
      </c>
      <c r="O27" s="653">
        <v>4</v>
      </c>
      <c r="P27" s="653">
        <v>2</v>
      </c>
      <c r="Q27" s="653">
        <v>6</v>
      </c>
      <c r="R27" s="689">
        <v>2</v>
      </c>
      <c r="S27" s="690" t="s">
        <v>28</v>
      </c>
      <c r="T27" s="653" t="s">
        <v>28</v>
      </c>
      <c r="U27" s="653" t="s">
        <v>28</v>
      </c>
      <c r="V27" s="653" t="s">
        <v>28</v>
      </c>
      <c r="W27" s="653" t="s">
        <v>28</v>
      </c>
      <c r="X27" s="653" t="s">
        <v>28</v>
      </c>
      <c r="Y27" s="665">
        <v>16</v>
      </c>
      <c r="Z27" s="665">
        <v>8</v>
      </c>
      <c r="AA27" s="665" t="s">
        <v>28</v>
      </c>
      <c r="AB27" s="665" t="s">
        <v>28</v>
      </c>
      <c r="AC27" s="665">
        <v>6</v>
      </c>
      <c r="AD27" s="665" t="s">
        <v>28</v>
      </c>
      <c r="AE27" s="665">
        <v>1</v>
      </c>
      <c r="AF27" s="665">
        <v>1</v>
      </c>
      <c r="AG27" s="665">
        <v>12</v>
      </c>
      <c r="AH27" s="665">
        <v>4</v>
      </c>
      <c r="AI27" s="665" t="s">
        <v>28</v>
      </c>
      <c r="AJ27" s="665" t="s">
        <v>28</v>
      </c>
      <c r="AK27" s="665" t="s">
        <v>28</v>
      </c>
      <c r="AL27" s="665" t="s">
        <v>28</v>
      </c>
      <c r="AM27" s="653">
        <v>5</v>
      </c>
      <c r="AN27" s="654">
        <v>3</v>
      </c>
    </row>
    <row r="28" spans="1:40" ht="10.5" customHeight="1">
      <c r="A28" s="700" t="s">
        <v>31</v>
      </c>
      <c r="B28" s="652" t="s">
        <v>32</v>
      </c>
      <c r="C28" s="665" t="s">
        <v>28</v>
      </c>
      <c r="D28" s="665" t="s">
        <v>28</v>
      </c>
      <c r="E28" s="665" t="s">
        <v>28</v>
      </c>
      <c r="F28" s="665" t="s">
        <v>28</v>
      </c>
      <c r="G28" s="665" t="s">
        <v>28</v>
      </c>
      <c r="H28" s="665" t="s">
        <v>28</v>
      </c>
      <c r="I28" s="665" t="s">
        <v>28</v>
      </c>
      <c r="J28" s="665" t="s">
        <v>28</v>
      </c>
      <c r="K28" s="653" t="s">
        <v>28</v>
      </c>
      <c r="L28" s="653" t="s">
        <v>28</v>
      </c>
      <c r="M28" s="653" t="s">
        <v>28</v>
      </c>
      <c r="N28" s="653" t="s">
        <v>28</v>
      </c>
      <c r="O28" s="653" t="s">
        <v>28</v>
      </c>
      <c r="P28" s="653" t="s">
        <v>28</v>
      </c>
      <c r="Q28" s="653" t="s">
        <v>28</v>
      </c>
      <c r="R28" s="689" t="s">
        <v>28</v>
      </c>
      <c r="S28" s="690" t="s">
        <v>28</v>
      </c>
      <c r="T28" s="653" t="s">
        <v>28</v>
      </c>
      <c r="U28" s="653" t="s">
        <v>28</v>
      </c>
      <c r="V28" s="653" t="s">
        <v>28</v>
      </c>
      <c r="W28" s="653" t="s">
        <v>28</v>
      </c>
      <c r="X28" s="653" t="s">
        <v>28</v>
      </c>
      <c r="Y28" s="665" t="s">
        <v>28</v>
      </c>
      <c r="Z28" s="665" t="s">
        <v>28</v>
      </c>
      <c r="AA28" s="665" t="s">
        <v>28</v>
      </c>
      <c r="AB28" s="665" t="s">
        <v>28</v>
      </c>
      <c r="AC28" s="665" t="s">
        <v>28</v>
      </c>
      <c r="AD28" s="665" t="s">
        <v>28</v>
      </c>
      <c r="AE28" s="665" t="s">
        <v>28</v>
      </c>
      <c r="AF28" s="665" t="s">
        <v>28</v>
      </c>
      <c r="AG28" s="665" t="s">
        <v>28</v>
      </c>
      <c r="AH28" s="665" t="s">
        <v>28</v>
      </c>
      <c r="AI28" s="665" t="s">
        <v>28</v>
      </c>
      <c r="AJ28" s="665" t="s">
        <v>28</v>
      </c>
      <c r="AK28" s="665" t="s">
        <v>28</v>
      </c>
      <c r="AL28" s="665" t="s">
        <v>28</v>
      </c>
      <c r="AM28" s="653" t="s">
        <v>28</v>
      </c>
      <c r="AN28" s="654" t="s">
        <v>28</v>
      </c>
    </row>
    <row r="29" spans="1:40" ht="10.5" customHeight="1">
      <c r="A29" s="699" t="s">
        <v>43</v>
      </c>
      <c r="B29" s="669" t="s">
        <v>44</v>
      </c>
      <c r="C29" s="670">
        <v>5</v>
      </c>
      <c r="D29" s="670">
        <v>4</v>
      </c>
      <c r="E29" s="670" t="s">
        <v>28</v>
      </c>
      <c r="F29" s="670" t="s">
        <v>28</v>
      </c>
      <c r="G29" s="670">
        <v>3</v>
      </c>
      <c r="H29" s="670">
        <v>3</v>
      </c>
      <c r="I29" s="670" t="s">
        <v>28</v>
      </c>
      <c r="J29" s="670" t="s">
        <v>28</v>
      </c>
      <c r="K29" s="670" t="s">
        <v>28</v>
      </c>
      <c r="L29" s="670" t="s">
        <v>28</v>
      </c>
      <c r="M29" s="670">
        <v>1</v>
      </c>
      <c r="N29" s="670">
        <v>1</v>
      </c>
      <c r="O29" s="670" t="s">
        <v>28</v>
      </c>
      <c r="P29" s="670" t="s">
        <v>28</v>
      </c>
      <c r="Q29" s="670" t="s">
        <v>28</v>
      </c>
      <c r="R29" s="691" t="s">
        <v>28</v>
      </c>
      <c r="S29" s="692" t="s">
        <v>28</v>
      </c>
      <c r="T29" s="670" t="s">
        <v>28</v>
      </c>
      <c r="U29" s="670" t="s">
        <v>28</v>
      </c>
      <c r="V29" s="670" t="s">
        <v>28</v>
      </c>
      <c r="W29" s="670" t="s">
        <v>28</v>
      </c>
      <c r="X29" s="670" t="s">
        <v>28</v>
      </c>
      <c r="Y29" s="670">
        <v>1</v>
      </c>
      <c r="Z29" s="670" t="s">
        <v>28</v>
      </c>
      <c r="AA29" s="670" t="s">
        <v>28</v>
      </c>
      <c r="AB29" s="670" t="s">
        <v>28</v>
      </c>
      <c r="AC29" s="670" t="s">
        <v>28</v>
      </c>
      <c r="AD29" s="670" t="s">
        <v>28</v>
      </c>
      <c r="AE29" s="670" t="s">
        <v>28</v>
      </c>
      <c r="AF29" s="670" t="s">
        <v>28</v>
      </c>
      <c r="AG29" s="670" t="s">
        <v>28</v>
      </c>
      <c r="AH29" s="670" t="s">
        <v>28</v>
      </c>
      <c r="AI29" s="670" t="s">
        <v>28</v>
      </c>
      <c r="AJ29" s="670" t="s">
        <v>28</v>
      </c>
      <c r="AK29" s="670" t="s">
        <v>28</v>
      </c>
      <c r="AL29" s="670" t="s">
        <v>28</v>
      </c>
      <c r="AM29" s="679" t="s">
        <v>28</v>
      </c>
      <c r="AN29" s="681" t="s">
        <v>28</v>
      </c>
    </row>
    <row r="30" spans="1:40" ht="10.5" customHeight="1">
      <c r="A30" s="700" t="s">
        <v>29</v>
      </c>
      <c r="B30" s="652" t="s">
        <v>30</v>
      </c>
      <c r="C30" s="665">
        <v>5</v>
      </c>
      <c r="D30" s="665">
        <v>4</v>
      </c>
      <c r="E30" s="665" t="s">
        <v>28</v>
      </c>
      <c r="F30" s="665" t="s">
        <v>28</v>
      </c>
      <c r="G30" s="665">
        <v>3</v>
      </c>
      <c r="H30" s="665">
        <v>3</v>
      </c>
      <c r="I30" s="665" t="s">
        <v>28</v>
      </c>
      <c r="J30" s="665" t="s">
        <v>28</v>
      </c>
      <c r="K30" s="653" t="s">
        <v>28</v>
      </c>
      <c r="L30" s="653" t="s">
        <v>28</v>
      </c>
      <c r="M30" s="653">
        <v>1</v>
      </c>
      <c r="N30" s="653">
        <v>1</v>
      </c>
      <c r="O30" s="653" t="s">
        <v>28</v>
      </c>
      <c r="P30" s="653" t="s">
        <v>28</v>
      </c>
      <c r="Q30" s="653" t="s">
        <v>28</v>
      </c>
      <c r="R30" s="689" t="s">
        <v>28</v>
      </c>
      <c r="S30" s="690" t="s">
        <v>28</v>
      </c>
      <c r="T30" s="653" t="s">
        <v>28</v>
      </c>
      <c r="U30" s="653" t="s">
        <v>28</v>
      </c>
      <c r="V30" s="653" t="s">
        <v>28</v>
      </c>
      <c r="W30" s="653" t="s">
        <v>28</v>
      </c>
      <c r="X30" s="653" t="s">
        <v>28</v>
      </c>
      <c r="Y30" s="665">
        <v>1</v>
      </c>
      <c r="Z30" s="665" t="s">
        <v>28</v>
      </c>
      <c r="AA30" s="665" t="s">
        <v>28</v>
      </c>
      <c r="AB30" s="665" t="s">
        <v>28</v>
      </c>
      <c r="AC30" s="665" t="s">
        <v>28</v>
      </c>
      <c r="AD30" s="665" t="s">
        <v>28</v>
      </c>
      <c r="AE30" s="665" t="s">
        <v>28</v>
      </c>
      <c r="AF30" s="665" t="s">
        <v>28</v>
      </c>
      <c r="AG30" s="665" t="s">
        <v>28</v>
      </c>
      <c r="AH30" s="665" t="s">
        <v>28</v>
      </c>
      <c r="AI30" s="665" t="s">
        <v>28</v>
      </c>
      <c r="AJ30" s="665" t="s">
        <v>28</v>
      </c>
      <c r="AK30" s="665" t="s">
        <v>28</v>
      </c>
      <c r="AL30" s="665" t="s">
        <v>28</v>
      </c>
      <c r="AM30" s="653" t="s">
        <v>28</v>
      </c>
      <c r="AN30" s="654" t="s">
        <v>28</v>
      </c>
    </row>
    <row r="31" spans="1:40" ht="10.5" customHeight="1" thickBot="1">
      <c r="A31" s="655" t="s">
        <v>31</v>
      </c>
      <c r="B31" s="656" t="s">
        <v>32</v>
      </c>
      <c r="C31" s="674" t="s">
        <v>28</v>
      </c>
      <c r="D31" s="674" t="s">
        <v>28</v>
      </c>
      <c r="E31" s="674" t="s">
        <v>28</v>
      </c>
      <c r="F31" s="674" t="s">
        <v>28</v>
      </c>
      <c r="G31" s="674" t="s">
        <v>28</v>
      </c>
      <c r="H31" s="674" t="s">
        <v>28</v>
      </c>
      <c r="I31" s="674" t="s">
        <v>28</v>
      </c>
      <c r="J31" s="674" t="s">
        <v>28</v>
      </c>
      <c r="K31" s="657" t="s">
        <v>28</v>
      </c>
      <c r="L31" s="657" t="s">
        <v>28</v>
      </c>
      <c r="M31" s="657" t="s">
        <v>28</v>
      </c>
      <c r="N31" s="657" t="s">
        <v>28</v>
      </c>
      <c r="O31" s="657" t="s">
        <v>28</v>
      </c>
      <c r="P31" s="657" t="s">
        <v>28</v>
      </c>
      <c r="Q31" s="657" t="s">
        <v>28</v>
      </c>
      <c r="R31" s="693" t="s">
        <v>28</v>
      </c>
      <c r="S31" s="694" t="s">
        <v>28</v>
      </c>
      <c r="T31" s="657" t="s">
        <v>28</v>
      </c>
      <c r="U31" s="657" t="s">
        <v>28</v>
      </c>
      <c r="V31" s="657" t="s">
        <v>28</v>
      </c>
      <c r="W31" s="657" t="s">
        <v>28</v>
      </c>
      <c r="X31" s="657" t="s">
        <v>28</v>
      </c>
      <c r="Y31" s="674" t="s">
        <v>28</v>
      </c>
      <c r="Z31" s="674" t="s">
        <v>28</v>
      </c>
      <c r="AA31" s="674" t="s">
        <v>28</v>
      </c>
      <c r="AB31" s="674" t="s">
        <v>28</v>
      </c>
      <c r="AC31" s="674" t="s">
        <v>28</v>
      </c>
      <c r="AD31" s="674" t="s">
        <v>28</v>
      </c>
      <c r="AE31" s="674" t="s">
        <v>28</v>
      </c>
      <c r="AF31" s="674" t="s">
        <v>28</v>
      </c>
      <c r="AG31" s="674" t="s">
        <v>28</v>
      </c>
      <c r="AH31" s="674" t="s">
        <v>28</v>
      </c>
      <c r="AI31" s="674" t="s">
        <v>28</v>
      </c>
      <c r="AJ31" s="674" t="s">
        <v>28</v>
      </c>
      <c r="AK31" s="674" t="s">
        <v>28</v>
      </c>
      <c r="AL31" s="674" t="s">
        <v>28</v>
      </c>
      <c r="AM31" s="657" t="s">
        <v>28</v>
      </c>
      <c r="AN31" s="658" t="s">
        <v>28</v>
      </c>
    </row>
    <row r="32" spans="1:40" s="701" customFormat="1" ht="10.5" customHeight="1" thickBot="1">
      <c r="A32" s="1245" t="s">
        <v>364</v>
      </c>
      <c r="B32" s="1245"/>
      <c r="C32" s="1245"/>
      <c r="D32" s="1245"/>
      <c r="E32" s="1245"/>
      <c r="F32" s="1245"/>
      <c r="G32" s="1245"/>
      <c r="H32" s="1245"/>
      <c r="I32" s="1245"/>
      <c r="J32" s="1245"/>
      <c r="K32" s="1245"/>
      <c r="L32" s="1245"/>
      <c r="M32" s="1245"/>
      <c r="N32" s="1245"/>
      <c r="O32" s="1245"/>
      <c r="P32" s="1245"/>
      <c r="Q32" s="1245"/>
      <c r="R32" s="1245"/>
      <c r="S32" s="1245" t="s">
        <v>46</v>
      </c>
      <c r="T32" s="1245"/>
      <c r="U32" s="1245"/>
      <c r="V32" s="1245"/>
      <c r="W32" s="1245"/>
      <c r="X32" s="1245"/>
      <c r="Y32" s="1245"/>
      <c r="Z32" s="1245"/>
      <c r="AA32" s="1245"/>
      <c r="AB32" s="1245"/>
      <c r="AC32" s="1245"/>
      <c r="AD32" s="1245"/>
      <c r="AE32" s="1245"/>
      <c r="AF32" s="1245"/>
      <c r="AG32" s="1245"/>
      <c r="AH32" s="1245"/>
      <c r="AI32" s="1245"/>
      <c r="AJ32" s="1245"/>
      <c r="AK32" s="1245"/>
      <c r="AL32" s="1245"/>
      <c r="AM32" s="1245"/>
      <c r="AN32" s="1245"/>
    </row>
    <row r="33" spans="1:40" ht="10.5" customHeight="1">
      <c r="A33" s="659" t="s">
        <v>47</v>
      </c>
      <c r="B33" s="660" t="s">
        <v>48</v>
      </c>
      <c r="C33" s="661">
        <v>64</v>
      </c>
      <c r="D33" s="661">
        <v>32</v>
      </c>
      <c r="E33" s="661" t="s">
        <v>28</v>
      </c>
      <c r="F33" s="661" t="s">
        <v>28</v>
      </c>
      <c r="G33" s="661">
        <v>44</v>
      </c>
      <c r="H33" s="661">
        <v>20</v>
      </c>
      <c r="I33" s="661" t="s">
        <v>28</v>
      </c>
      <c r="J33" s="661" t="s">
        <v>28</v>
      </c>
      <c r="K33" s="661">
        <v>1</v>
      </c>
      <c r="L33" s="661">
        <v>1</v>
      </c>
      <c r="M33" s="661">
        <v>2</v>
      </c>
      <c r="N33" s="678">
        <v>2</v>
      </c>
      <c r="O33" s="678" t="s">
        <v>28</v>
      </c>
      <c r="P33" s="678" t="s">
        <v>28</v>
      </c>
      <c r="Q33" s="678">
        <v>2</v>
      </c>
      <c r="R33" s="678">
        <v>2</v>
      </c>
      <c r="S33" s="678" t="s">
        <v>28</v>
      </c>
      <c r="T33" s="678" t="s">
        <v>28</v>
      </c>
      <c r="U33" s="678" t="s">
        <v>28</v>
      </c>
      <c r="V33" s="678" t="s">
        <v>28</v>
      </c>
      <c r="W33" s="678" t="s">
        <v>28</v>
      </c>
      <c r="X33" s="678" t="s">
        <v>28</v>
      </c>
      <c r="Y33" s="661">
        <v>8</v>
      </c>
      <c r="Z33" s="661">
        <v>3</v>
      </c>
      <c r="AA33" s="661">
        <v>1</v>
      </c>
      <c r="AB33" s="661">
        <v>1</v>
      </c>
      <c r="AC33" s="661">
        <v>2</v>
      </c>
      <c r="AD33" s="661">
        <v>1</v>
      </c>
      <c r="AE33" s="661">
        <v>2</v>
      </c>
      <c r="AF33" s="661">
        <v>2</v>
      </c>
      <c r="AG33" s="661" t="s">
        <v>28</v>
      </c>
      <c r="AH33" s="661" t="s">
        <v>28</v>
      </c>
      <c r="AI33" s="661" t="s">
        <v>28</v>
      </c>
      <c r="AJ33" s="661" t="s">
        <v>28</v>
      </c>
      <c r="AK33" s="661" t="s">
        <v>28</v>
      </c>
      <c r="AL33" s="661" t="s">
        <v>28</v>
      </c>
      <c r="AM33" s="678">
        <v>2</v>
      </c>
      <c r="AN33" s="664" t="s">
        <v>28</v>
      </c>
    </row>
    <row r="34" spans="1:40" ht="10.5" customHeight="1">
      <c r="A34" s="700" t="s">
        <v>29</v>
      </c>
      <c r="B34" s="652" t="s">
        <v>30</v>
      </c>
      <c r="C34" s="665">
        <v>40</v>
      </c>
      <c r="D34" s="665">
        <v>25</v>
      </c>
      <c r="E34" s="665" t="s">
        <v>28</v>
      </c>
      <c r="F34" s="665" t="s">
        <v>28</v>
      </c>
      <c r="G34" s="665">
        <v>28</v>
      </c>
      <c r="H34" s="665">
        <v>17</v>
      </c>
      <c r="I34" s="665" t="s">
        <v>28</v>
      </c>
      <c r="J34" s="665" t="s">
        <v>28</v>
      </c>
      <c r="K34" s="665" t="s">
        <v>28</v>
      </c>
      <c r="L34" s="665" t="s">
        <v>28</v>
      </c>
      <c r="M34" s="665">
        <v>2</v>
      </c>
      <c r="N34" s="653">
        <v>2</v>
      </c>
      <c r="O34" s="653" t="s">
        <v>28</v>
      </c>
      <c r="P34" s="653" t="s">
        <v>28</v>
      </c>
      <c r="Q34" s="653">
        <v>1</v>
      </c>
      <c r="R34" s="653">
        <v>1</v>
      </c>
      <c r="S34" s="653" t="s">
        <v>28</v>
      </c>
      <c r="T34" s="653" t="s">
        <v>28</v>
      </c>
      <c r="U34" s="653" t="s">
        <v>28</v>
      </c>
      <c r="V34" s="653" t="s">
        <v>28</v>
      </c>
      <c r="W34" s="653" t="s">
        <v>28</v>
      </c>
      <c r="X34" s="653" t="s">
        <v>28</v>
      </c>
      <c r="Y34" s="665">
        <v>6</v>
      </c>
      <c r="Z34" s="665">
        <v>3</v>
      </c>
      <c r="AA34" s="665" t="s">
        <v>28</v>
      </c>
      <c r="AB34" s="665" t="s">
        <v>28</v>
      </c>
      <c r="AC34" s="665">
        <v>1</v>
      </c>
      <c r="AD34" s="665">
        <v>1</v>
      </c>
      <c r="AE34" s="665">
        <v>1</v>
      </c>
      <c r="AF34" s="665">
        <v>1</v>
      </c>
      <c r="AG34" s="665" t="s">
        <v>28</v>
      </c>
      <c r="AH34" s="665" t="s">
        <v>28</v>
      </c>
      <c r="AI34" s="665" t="s">
        <v>28</v>
      </c>
      <c r="AJ34" s="665" t="s">
        <v>28</v>
      </c>
      <c r="AK34" s="665" t="s">
        <v>28</v>
      </c>
      <c r="AL34" s="665" t="s">
        <v>28</v>
      </c>
      <c r="AM34" s="653">
        <v>1</v>
      </c>
      <c r="AN34" s="668" t="s">
        <v>28</v>
      </c>
    </row>
    <row r="35" spans="1:40" ht="10.5" customHeight="1">
      <c r="A35" s="700" t="s">
        <v>31</v>
      </c>
      <c r="B35" s="652" t="s">
        <v>32</v>
      </c>
      <c r="C35" s="665">
        <v>24</v>
      </c>
      <c r="D35" s="665">
        <v>7</v>
      </c>
      <c r="E35" s="665" t="s">
        <v>28</v>
      </c>
      <c r="F35" s="665" t="s">
        <v>28</v>
      </c>
      <c r="G35" s="665">
        <v>16</v>
      </c>
      <c r="H35" s="665">
        <v>3</v>
      </c>
      <c r="I35" s="665" t="s">
        <v>28</v>
      </c>
      <c r="J35" s="665" t="s">
        <v>28</v>
      </c>
      <c r="K35" s="665">
        <v>1</v>
      </c>
      <c r="L35" s="665">
        <v>1</v>
      </c>
      <c r="M35" s="665" t="s">
        <v>28</v>
      </c>
      <c r="N35" s="653" t="s">
        <v>28</v>
      </c>
      <c r="O35" s="653" t="s">
        <v>28</v>
      </c>
      <c r="P35" s="653" t="s">
        <v>28</v>
      </c>
      <c r="Q35" s="653">
        <v>1</v>
      </c>
      <c r="R35" s="653">
        <v>1</v>
      </c>
      <c r="S35" s="653" t="s">
        <v>28</v>
      </c>
      <c r="T35" s="653" t="s">
        <v>28</v>
      </c>
      <c r="U35" s="653" t="s">
        <v>28</v>
      </c>
      <c r="V35" s="653" t="s">
        <v>28</v>
      </c>
      <c r="W35" s="653" t="s">
        <v>28</v>
      </c>
      <c r="X35" s="653" t="s">
        <v>28</v>
      </c>
      <c r="Y35" s="665">
        <v>2</v>
      </c>
      <c r="Z35" s="665" t="s">
        <v>28</v>
      </c>
      <c r="AA35" s="665">
        <v>1</v>
      </c>
      <c r="AB35" s="665">
        <v>1</v>
      </c>
      <c r="AC35" s="665">
        <v>1</v>
      </c>
      <c r="AD35" s="665" t="s">
        <v>28</v>
      </c>
      <c r="AE35" s="665">
        <v>1</v>
      </c>
      <c r="AF35" s="665">
        <v>1</v>
      </c>
      <c r="AG35" s="665" t="s">
        <v>28</v>
      </c>
      <c r="AH35" s="665" t="s">
        <v>28</v>
      </c>
      <c r="AI35" s="665" t="s">
        <v>28</v>
      </c>
      <c r="AJ35" s="665" t="s">
        <v>28</v>
      </c>
      <c r="AK35" s="665" t="s">
        <v>28</v>
      </c>
      <c r="AL35" s="665" t="s">
        <v>28</v>
      </c>
      <c r="AM35" s="653">
        <v>1</v>
      </c>
      <c r="AN35" s="668" t="s">
        <v>28</v>
      </c>
    </row>
    <row r="36" spans="1:40" ht="10.5" customHeight="1">
      <c r="A36" s="699" t="s">
        <v>49</v>
      </c>
      <c r="B36" s="669" t="s">
        <v>50</v>
      </c>
      <c r="C36" s="670">
        <v>16</v>
      </c>
      <c r="D36" s="670">
        <v>2</v>
      </c>
      <c r="E36" s="670" t="s">
        <v>28</v>
      </c>
      <c r="F36" s="670" t="s">
        <v>28</v>
      </c>
      <c r="G36" s="670">
        <v>12</v>
      </c>
      <c r="H36" s="670">
        <v>2</v>
      </c>
      <c r="I36" s="670">
        <v>2</v>
      </c>
      <c r="J36" s="670" t="s">
        <v>28</v>
      </c>
      <c r="K36" s="670" t="s">
        <v>28</v>
      </c>
      <c r="L36" s="670" t="s">
        <v>28</v>
      </c>
      <c r="M36" s="670" t="s">
        <v>28</v>
      </c>
      <c r="N36" s="679" t="s">
        <v>28</v>
      </c>
      <c r="O36" s="679" t="s">
        <v>28</v>
      </c>
      <c r="P36" s="679" t="s">
        <v>28</v>
      </c>
      <c r="Q36" s="679" t="s">
        <v>28</v>
      </c>
      <c r="R36" s="679" t="s">
        <v>28</v>
      </c>
      <c r="S36" s="679" t="s">
        <v>28</v>
      </c>
      <c r="T36" s="679" t="s">
        <v>28</v>
      </c>
      <c r="U36" s="679" t="s">
        <v>28</v>
      </c>
      <c r="V36" s="679" t="s">
        <v>28</v>
      </c>
      <c r="W36" s="679" t="s">
        <v>28</v>
      </c>
      <c r="X36" s="679" t="s">
        <v>28</v>
      </c>
      <c r="Y36" s="670">
        <v>2</v>
      </c>
      <c r="Z36" s="670" t="s">
        <v>28</v>
      </c>
      <c r="AA36" s="670" t="s">
        <v>28</v>
      </c>
      <c r="AB36" s="670" t="s">
        <v>28</v>
      </c>
      <c r="AC36" s="670" t="s">
        <v>28</v>
      </c>
      <c r="AD36" s="670" t="s">
        <v>28</v>
      </c>
      <c r="AE36" s="670" t="s">
        <v>28</v>
      </c>
      <c r="AF36" s="670" t="s">
        <v>28</v>
      </c>
      <c r="AG36" s="670" t="s">
        <v>28</v>
      </c>
      <c r="AH36" s="670" t="s">
        <v>28</v>
      </c>
      <c r="AI36" s="670" t="s">
        <v>28</v>
      </c>
      <c r="AJ36" s="670" t="s">
        <v>28</v>
      </c>
      <c r="AK36" s="670" t="s">
        <v>28</v>
      </c>
      <c r="AL36" s="670" t="s">
        <v>28</v>
      </c>
      <c r="AM36" s="679" t="s">
        <v>28</v>
      </c>
      <c r="AN36" s="673" t="s">
        <v>28</v>
      </c>
    </row>
    <row r="37" spans="1:40" ht="10.5" customHeight="1">
      <c r="A37" s="700" t="s">
        <v>29</v>
      </c>
      <c r="B37" s="652" t="s">
        <v>30</v>
      </c>
      <c r="C37" s="665">
        <v>2</v>
      </c>
      <c r="D37" s="665">
        <v>2</v>
      </c>
      <c r="E37" s="665" t="s">
        <v>28</v>
      </c>
      <c r="F37" s="665" t="s">
        <v>28</v>
      </c>
      <c r="G37" s="665">
        <v>2</v>
      </c>
      <c r="H37" s="665">
        <v>2</v>
      </c>
      <c r="I37" s="665" t="s">
        <v>28</v>
      </c>
      <c r="J37" s="665" t="s">
        <v>28</v>
      </c>
      <c r="K37" s="665" t="s">
        <v>28</v>
      </c>
      <c r="L37" s="665" t="s">
        <v>28</v>
      </c>
      <c r="M37" s="665" t="s">
        <v>28</v>
      </c>
      <c r="N37" s="653" t="s">
        <v>28</v>
      </c>
      <c r="O37" s="653" t="s">
        <v>28</v>
      </c>
      <c r="P37" s="653" t="s">
        <v>28</v>
      </c>
      <c r="Q37" s="653" t="s">
        <v>28</v>
      </c>
      <c r="R37" s="653" t="s">
        <v>28</v>
      </c>
      <c r="S37" s="653" t="s">
        <v>28</v>
      </c>
      <c r="T37" s="653" t="s">
        <v>28</v>
      </c>
      <c r="U37" s="653" t="s">
        <v>28</v>
      </c>
      <c r="V37" s="653" t="s">
        <v>28</v>
      </c>
      <c r="W37" s="653" t="s">
        <v>28</v>
      </c>
      <c r="X37" s="653" t="s">
        <v>28</v>
      </c>
      <c r="Y37" s="665" t="s">
        <v>28</v>
      </c>
      <c r="Z37" s="665" t="s">
        <v>28</v>
      </c>
      <c r="AA37" s="665" t="s">
        <v>28</v>
      </c>
      <c r="AB37" s="665" t="s">
        <v>28</v>
      </c>
      <c r="AC37" s="665" t="s">
        <v>28</v>
      </c>
      <c r="AD37" s="665" t="s">
        <v>28</v>
      </c>
      <c r="AE37" s="665" t="s">
        <v>28</v>
      </c>
      <c r="AF37" s="665" t="s">
        <v>28</v>
      </c>
      <c r="AG37" s="665" t="s">
        <v>28</v>
      </c>
      <c r="AH37" s="665" t="s">
        <v>28</v>
      </c>
      <c r="AI37" s="665" t="s">
        <v>28</v>
      </c>
      <c r="AJ37" s="665" t="s">
        <v>28</v>
      </c>
      <c r="AK37" s="665" t="s">
        <v>28</v>
      </c>
      <c r="AL37" s="665" t="s">
        <v>28</v>
      </c>
      <c r="AM37" s="653" t="s">
        <v>28</v>
      </c>
      <c r="AN37" s="668" t="s">
        <v>28</v>
      </c>
    </row>
    <row r="38" spans="1:40" ht="10.5" customHeight="1">
      <c r="A38" s="700" t="s">
        <v>31</v>
      </c>
      <c r="B38" s="652" t="s">
        <v>32</v>
      </c>
      <c r="C38" s="665">
        <v>14</v>
      </c>
      <c r="D38" s="665" t="s">
        <v>28</v>
      </c>
      <c r="E38" s="665" t="s">
        <v>28</v>
      </c>
      <c r="F38" s="665" t="s">
        <v>28</v>
      </c>
      <c r="G38" s="665">
        <v>10</v>
      </c>
      <c r="H38" s="665" t="s">
        <v>28</v>
      </c>
      <c r="I38" s="665">
        <v>2</v>
      </c>
      <c r="J38" s="665" t="s">
        <v>28</v>
      </c>
      <c r="K38" s="665" t="s">
        <v>28</v>
      </c>
      <c r="L38" s="665" t="s">
        <v>28</v>
      </c>
      <c r="M38" s="665" t="s">
        <v>28</v>
      </c>
      <c r="N38" s="653" t="s">
        <v>28</v>
      </c>
      <c r="O38" s="653" t="s">
        <v>28</v>
      </c>
      <c r="P38" s="653" t="s">
        <v>28</v>
      </c>
      <c r="Q38" s="653" t="s">
        <v>28</v>
      </c>
      <c r="R38" s="653" t="s">
        <v>28</v>
      </c>
      <c r="S38" s="653" t="s">
        <v>28</v>
      </c>
      <c r="T38" s="653" t="s">
        <v>28</v>
      </c>
      <c r="U38" s="653" t="s">
        <v>28</v>
      </c>
      <c r="V38" s="653" t="s">
        <v>28</v>
      </c>
      <c r="W38" s="653" t="s">
        <v>28</v>
      </c>
      <c r="X38" s="653" t="s">
        <v>28</v>
      </c>
      <c r="Y38" s="665">
        <v>2</v>
      </c>
      <c r="Z38" s="665" t="s">
        <v>28</v>
      </c>
      <c r="AA38" s="665" t="s">
        <v>28</v>
      </c>
      <c r="AB38" s="665" t="s">
        <v>28</v>
      </c>
      <c r="AC38" s="665" t="s">
        <v>28</v>
      </c>
      <c r="AD38" s="665" t="s">
        <v>28</v>
      </c>
      <c r="AE38" s="665" t="s">
        <v>28</v>
      </c>
      <c r="AF38" s="665" t="s">
        <v>28</v>
      </c>
      <c r="AG38" s="665" t="s">
        <v>28</v>
      </c>
      <c r="AH38" s="665" t="s">
        <v>28</v>
      </c>
      <c r="AI38" s="665" t="s">
        <v>28</v>
      </c>
      <c r="AJ38" s="665" t="s">
        <v>28</v>
      </c>
      <c r="AK38" s="665" t="s">
        <v>28</v>
      </c>
      <c r="AL38" s="665" t="s">
        <v>28</v>
      </c>
      <c r="AM38" s="653" t="s">
        <v>28</v>
      </c>
      <c r="AN38" s="668" t="s">
        <v>28</v>
      </c>
    </row>
    <row r="39" spans="1:40" ht="10.5" customHeight="1">
      <c r="A39" s="699" t="s">
        <v>963</v>
      </c>
      <c r="B39" s="669" t="s">
        <v>964</v>
      </c>
      <c r="C39" s="670">
        <v>107</v>
      </c>
      <c r="D39" s="670">
        <v>63</v>
      </c>
      <c r="E39" s="670" t="s">
        <v>28</v>
      </c>
      <c r="F39" s="670" t="s">
        <v>28</v>
      </c>
      <c r="G39" s="670">
        <v>65</v>
      </c>
      <c r="H39" s="670">
        <v>32</v>
      </c>
      <c r="I39" s="670">
        <v>2</v>
      </c>
      <c r="J39" s="670">
        <v>1</v>
      </c>
      <c r="K39" s="670">
        <v>1</v>
      </c>
      <c r="L39" s="670">
        <v>1</v>
      </c>
      <c r="M39" s="670">
        <v>6</v>
      </c>
      <c r="N39" s="679">
        <v>2</v>
      </c>
      <c r="O39" s="679">
        <v>1</v>
      </c>
      <c r="P39" s="679">
        <v>1</v>
      </c>
      <c r="Q39" s="679">
        <v>6</v>
      </c>
      <c r="R39" s="679">
        <v>6</v>
      </c>
      <c r="S39" s="679" t="s">
        <v>28</v>
      </c>
      <c r="T39" s="679" t="s">
        <v>28</v>
      </c>
      <c r="U39" s="679" t="s">
        <v>28</v>
      </c>
      <c r="V39" s="679" t="s">
        <v>28</v>
      </c>
      <c r="W39" s="679" t="s">
        <v>28</v>
      </c>
      <c r="X39" s="679" t="s">
        <v>28</v>
      </c>
      <c r="Y39" s="670">
        <v>8</v>
      </c>
      <c r="Z39" s="670">
        <v>6</v>
      </c>
      <c r="AA39" s="670" t="s">
        <v>28</v>
      </c>
      <c r="AB39" s="670" t="s">
        <v>28</v>
      </c>
      <c r="AC39" s="670">
        <v>1</v>
      </c>
      <c r="AD39" s="670">
        <v>1</v>
      </c>
      <c r="AE39" s="670">
        <v>3</v>
      </c>
      <c r="AF39" s="670">
        <v>1</v>
      </c>
      <c r="AG39" s="670">
        <v>8</v>
      </c>
      <c r="AH39" s="670">
        <v>7</v>
      </c>
      <c r="AI39" s="670" t="s">
        <v>28</v>
      </c>
      <c r="AJ39" s="670" t="s">
        <v>28</v>
      </c>
      <c r="AK39" s="670">
        <v>2</v>
      </c>
      <c r="AL39" s="670">
        <v>2</v>
      </c>
      <c r="AM39" s="679">
        <v>4</v>
      </c>
      <c r="AN39" s="673">
        <v>3</v>
      </c>
    </row>
    <row r="40" spans="1:40" ht="10.5" customHeight="1">
      <c r="A40" s="700" t="s">
        <v>29</v>
      </c>
      <c r="B40" s="652" t="s">
        <v>30</v>
      </c>
      <c r="C40" s="665">
        <v>98</v>
      </c>
      <c r="D40" s="665">
        <v>63</v>
      </c>
      <c r="E40" s="665" t="s">
        <v>28</v>
      </c>
      <c r="F40" s="665" t="s">
        <v>28</v>
      </c>
      <c r="G40" s="665">
        <v>61</v>
      </c>
      <c r="H40" s="665">
        <v>32</v>
      </c>
      <c r="I40" s="665">
        <v>2</v>
      </c>
      <c r="J40" s="665">
        <v>1</v>
      </c>
      <c r="K40" s="665">
        <v>1</v>
      </c>
      <c r="L40" s="665">
        <v>1</v>
      </c>
      <c r="M40" s="665">
        <v>3</v>
      </c>
      <c r="N40" s="653">
        <v>2</v>
      </c>
      <c r="O40" s="653">
        <v>1</v>
      </c>
      <c r="P40" s="653">
        <v>1</v>
      </c>
      <c r="Q40" s="653">
        <v>6</v>
      </c>
      <c r="R40" s="653">
        <v>6</v>
      </c>
      <c r="S40" s="653" t="s">
        <v>28</v>
      </c>
      <c r="T40" s="653" t="s">
        <v>28</v>
      </c>
      <c r="U40" s="653" t="s">
        <v>28</v>
      </c>
      <c r="V40" s="653" t="s">
        <v>28</v>
      </c>
      <c r="W40" s="653" t="s">
        <v>28</v>
      </c>
      <c r="X40" s="653" t="s">
        <v>28</v>
      </c>
      <c r="Y40" s="665">
        <v>8</v>
      </c>
      <c r="Z40" s="665">
        <v>6</v>
      </c>
      <c r="AA40" s="665" t="s">
        <v>28</v>
      </c>
      <c r="AB40" s="665" t="s">
        <v>28</v>
      </c>
      <c r="AC40" s="665">
        <v>1</v>
      </c>
      <c r="AD40" s="665">
        <v>1</v>
      </c>
      <c r="AE40" s="665">
        <v>2</v>
      </c>
      <c r="AF40" s="665">
        <v>1</v>
      </c>
      <c r="AG40" s="665">
        <v>8</v>
      </c>
      <c r="AH40" s="665">
        <v>7</v>
      </c>
      <c r="AI40" s="665" t="s">
        <v>28</v>
      </c>
      <c r="AJ40" s="665" t="s">
        <v>28</v>
      </c>
      <c r="AK40" s="665">
        <v>2</v>
      </c>
      <c r="AL40" s="665">
        <v>2</v>
      </c>
      <c r="AM40" s="653">
        <v>3</v>
      </c>
      <c r="AN40" s="668">
        <v>3</v>
      </c>
    </row>
    <row r="41" spans="1:40" ht="10.5" customHeight="1">
      <c r="A41" s="700" t="s">
        <v>31</v>
      </c>
      <c r="B41" s="652" t="s">
        <v>32</v>
      </c>
      <c r="C41" s="665">
        <v>9</v>
      </c>
      <c r="D41" s="665" t="s">
        <v>28</v>
      </c>
      <c r="E41" s="665" t="s">
        <v>28</v>
      </c>
      <c r="F41" s="665" t="s">
        <v>28</v>
      </c>
      <c r="G41" s="665">
        <v>4</v>
      </c>
      <c r="H41" s="665" t="s">
        <v>28</v>
      </c>
      <c r="I41" s="665" t="s">
        <v>28</v>
      </c>
      <c r="J41" s="665" t="s">
        <v>28</v>
      </c>
      <c r="K41" s="665" t="s">
        <v>28</v>
      </c>
      <c r="L41" s="665" t="s">
        <v>28</v>
      </c>
      <c r="M41" s="665">
        <v>3</v>
      </c>
      <c r="N41" s="653" t="s">
        <v>28</v>
      </c>
      <c r="O41" s="653" t="s">
        <v>28</v>
      </c>
      <c r="P41" s="653" t="s">
        <v>28</v>
      </c>
      <c r="Q41" s="653" t="s">
        <v>28</v>
      </c>
      <c r="R41" s="653" t="s">
        <v>28</v>
      </c>
      <c r="S41" s="653" t="s">
        <v>28</v>
      </c>
      <c r="T41" s="653" t="s">
        <v>28</v>
      </c>
      <c r="U41" s="653" t="s">
        <v>28</v>
      </c>
      <c r="V41" s="653" t="s">
        <v>28</v>
      </c>
      <c r="W41" s="653" t="s">
        <v>28</v>
      </c>
      <c r="X41" s="653" t="s">
        <v>28</v>
      </c>
      <c r="Y41" s="665" t="s">
        <v>28</v>
      </c>
      <c r="Z41" s="665" t="s">
        <v>28</v>
      </c>
      <c r="AA41" s="665" t="s">
        <v>28</v>
      </c>
      <c r="AB41" s="665" t="s">
        <v>28</v>
      </c>
      <c r="AC41" s="665" t="s">
        <v>28</v>
      </c>
      <c r="AD41" s="665" t="s">
        <v>28</v>
      </c>
      <c r="AE41" s="665">
        <v>1</v>
      </c>
      <c r="AF41" s="665" t="s">
        <v>28</v>
      </c>
      <c r="AG41" s="665" t="s">
        <v>28</v>
      </c>
      <c r="AH41" s="665" t="s">
        <v>28</v>
      </c>
      <c r="AI41" s="665" t="s">
        <v>28</v>
      </c>
      <c r="AJ41" s="665" t="s">
        <v>28</v>
      </c>
      <c r="AK41" s="665" t="s">
        <v>28</v>
      </c>
      <c r="AL41" s="665" t="s">
        <v>28</v>
      </c>
      <c r="AM41" s="653">
        <v>1</v>
      </c>
      <c r="AN41" s="668" t="s">
        <v>28</v>
      </c>
    </row>
    <row r="42" spans="1:40" ht="10.5" customHeight="1">
      <c r="A42" s="699" t="s">
        <v>51</v>
      </c>
      <c r="B42" s="669" t="s">
        <v>52</v>
      </c>
      <c r="C42" s="670">
        <v>532</v>
      </c>
      <c r="D42" s="670">
        <v>265</v>
      </c>
      <c r="E42" s="670" t="s">
        <v>28</v>
      </c>
      <c r="F42" s="670" t="s">
        <v>28</v>
      </c>
      <c r="G42" s="670">
        <v>29</v>
      </c>
      <c r="H42" s="670">
        <v>18</v>
      </c>
      <c r="I42" s="670">
        <v>2</v>
      </c>
      <c r="J42" s="670">
        <v>2</v>
      </c>
      <c r="K42" s="670" t="s">
        <v>28</v>
      </c>
      <c r="L42" s="670" t="s">
        <v>28</v>
      </c>
      <c r="M42" s="670">
        <v>6</v>
      </c>
      <c r="N42" s="679">
        <v>3</v>
      </c>
      <c r="O42" s="679" t="s">
        <v>28</v>
      </c>
      <c r="P42" s="679" t="s">
        <v>28</v>
      </c>
      <c r="Q42" s="679">
        <v>2</v>
      </c>
      <c r="R42" s="679" t="s">
        <v>28</v>
      </c>
      <c r="S42" s="679">
        <v>1</v>
      </c>
      <c r="T42" s="679">
        <v>1</v>
      </c>
      <c r="U42" s="679">
        <v>1</v>
      </c>
      <c r="V42" s="679">
        <v>1</v>
      </c>
      <c r="W42" s="679">
        <v>1</v>
      </c>
      <c r="X42" s="679" t="s">
        <v>28</v>
      </c>
      <c r="Y42" s="670">
        <v>185</v>
      </c>
      <c r="Z42" s="670">
        <v>86</v>
      </c>
      <c r="AA42" s="670" t="s">
        <v>28</v>
      </c>
      <c r="AB42" s="670" t="s">
        <v>28</v>
      </c>
      <c r="AC42" s="670">
        <v>87</v>
      </c>
      <c r="AD42" s="670">
        <v>42</v>
      </c>
      <c r="AE42" s="670">
        <v>131</v>
      </c>
      <c r="AF42" s="670">
        <v>74</v>
      </c>
      <c r="AG42" s="670">
        <v>62</v>
      </c>
      <c r="AH42" s="670">
        <v>23</v>
      </c>
      <c r="AI42" s="670">
        <v>4</v>
      </c>
      <c r="AJ42" s="670">
        <v>3</v>
      </c>
      <c r="AK42" s="670">
        <v>9</v>
      </c>
      <c r="AL42" s="670">
        <v>3</v>
      </c>
      <c r="AM42" s="679">
        <v>12</v>
      </c>
      <c r="AN42" s="673">
        <v>9</v>
      </c>
    </row>
    <row r="43" spans="1:40" ht="10.5" customHeight="1">
      <c r="A43" s="700" t="s">
        <v>29</v>
      </c>
      <c r="B43" s="652" t="s">
        <v>30</v>
      </c>
      <c r="C43" s="665">
        <v>527</v>
      </c>
      <c r="D43" s="665">
        <v>261</v>
      </c>
      <c r="E43" s="665" t="s">
        <v>28</v>
      </c>
      <c r="F43" s="665" t="s">
        <v>28</v>
      </c>
      <c r="G43" s="665">
        <v>26</v>
      </c>
      <c r="H43" s="665">
        <v>15</v>
      </c>
      <c r="I43" s="665">
        <v>2</v>
      </c>
      <c r="J43" s="665">
        <v>2</v>
      </c>
      <c r="K43" s="665" t="s">
        <v>28</v>
      </c>
      <c r="L43" s="665" t="s">
        <v>28</v>
      </c>
      <c r="M43" s="665">
        <v>6</v>
      </c>
      <c r="N43" s="653">
        <v>3</v>
      </c>
      <c r="O43" s="653" t="s">
        <v>28</v>
      </c>
      <c r="P43" s="653" t="s">
        <v>28</v>
      </c>
      <c r="Q43" s="653">
        <v>2</v>
      </c>
      <c r="R43" s="653" t="s">
        <v>28</v>
      </c>
      <c r="S43" s="653">
        <v>1</v>
      </c>
      <c r="T43" s="653">
        <v>1</v>
      </c>
      <c r="U43" s="653">
        <v>1</v>
      </c>
      <c r="V43" s="653">
        <v>1</v>
      </c>
      <c r="W43" s="653">
        <v>1</v>
      </c>
      <c r="X43" s="653" t="s">
        <v>28</v>
      </c>
      <c r="Y43" s="665">
        <v>185</v>
      </c>
      <c r="Z43" s="665">
        <v>86</v>
      </c>
      <c r="AA43" s="665" t="s">
        <v>28</v>
      </c>
      <c r="AB43" s="665" t="s">
        <v>28</v>
      </c>
      <c r="AC43" s="665">
        <v>87</v>
      </c>
      <c r="AD43" s="665">
        <v>42</v>
      </c>
      <c r="AE43" s="665">
        <v>131</v>
      </c>
      <c r="AF43" s="665">
        <v>74</v>
      </c>
      <c r="AG43" s="665">
        <v>61</v>
      </c>
      <c r="AH43" s="665">
        <v>23</v>
      </c>
      <c r="AI43" s="665">
        <v>4</v>
      </c>
      <c r="AJ43" s="665">
        <v>3</v>
      </c>
      <c r="AK43" s="665">
        <v>9</v>
      </c>
      <c r="AL43" s="665">
        <v>3</v>
      </c>
      <c r="AM43" s="653">
        <v>11</v>
      </c>
      <c r="AN43" s="668">
        <v>8</v>
      </c>
    </row>
    <row r="44" spans="1:40" ht="10.5" customHeight="1">
      <c r="A44" s="700" t="s">
        <v>31</v>
      </c>
      <c r="B44" s="652" t="s">
        <v>32</v>
      </c>
      <c r="C44" s="665">
        <v>5</v>
      </c>
      <c r="D44" s="665">
        <v>4</v>
      </c>
      <c r="E44" s="665" t="s">
        <v>28</v>
      </c>
      <c r="F44" s="665" t="s">
        <v>28</v>
      </c>
      <c r="G44" s="665">
        <v>3</v>
      </c>
      <c r="H44" s="665">
        <v>3</v>
      </c>
      <c r="I44" s="665" t="s">
        <v>28</v>
      </c>
      <c r="J44" s="665" t="s">
        <v>28</v>
      </c>
      <c r="K44" s="665" t="s">
        <v>28</v>
      </c>
      <c r="L44" s="665" t="s">
        <v>28</v>
      </c>
      <c r="M44" s="665" t="s">
        <v>28</v>
      </c>
      <c r="N44" s="653" t="s">
        <v>28</v>
      </c>
      <c r="O44" s="653" t="s">
        <v>28</v>
      </c>
      <c r="P44" s="653" t="s">
        <v>28</v>
      </c>
      <c r="Q44" s="653" t="s">
        <v>28</v>
      </c>
      <c r="R44" s="653" t="s">
        <v>28</v>
      </c>
      <c r="S44" s="653" t="s">
        <v>28</v>
      </c>
      <c r="T44" s="653" t="s">
        <v>28</v>
      </c>
      <c r="U44" s="653" t="s">
        <v>28</v>
      </c>
      <c r="V44" s="653" t="s">
        <v>28</v>
      </c>
      <c r="W44" s="653" t="s">
        <v>28</v>
      </c>
      <c r="X44" s="653" t="s">
        <v>28</v>
      </c>
      <c r="Y44" s="665" t="s">
        <v>28</v>
      </c>
      <c r="Z44" s="665" t="s">
        <v>28</v>
      </c>
      <c r="AA44" s="665" t="s">
        <v>28</v>
      </c>
      <c r="AB44" s="665" t="s">
        <v>28</v>
      </c>
      <c r="AC44" s="665" t="s">
        <v>28</v>
      </c>
      <c r="AD44" s="665" t="s">
        <v>28</v>
      </c>
      <c r="AE44" s="665" t="s">
        <v>28</v>
      </c>
      <c r="AF44" s="665" t="s">
        <v>28</v>
      </c>
      <c r="AG44" s="665">
        <v>1</v>
      </c>
      <c r="AH44" s="665" t="s">
        <v>28</v>
      </c>
      <c r="AI44" s="665" t="s">
        <v>28</v>
      </c>
      <c r="AJ44" s="665" t="s">
        <v>28</v>
      </c>
      <c r="AK44" s="665" t="s">
        <v>28</v>
      </c>
      <c r="AL44" s="665" t="s">
        <v>28</v>
      </c>
      <c r="AM44" s="653">
        <v>1</v>
      </c>
      <c r="AN44" s="668">
        <v>1</v>
      </c>
    </row>
    <row r="45" spans="1:40" ht="10.5" customHeight="1">
      <c r="A45" s="699" t="s">
        <v>53</v>
      </c>
      <c r="B45" s="669" t="s">
        <v>54</v>
      </c>
      <c r="C45" s="670">
        <v>158</v>
      </c>
      <c r="D45" s="670">
        <v>67</v>
      </c>
      <c r="E45" s="670" t="s">
        <v>28</v>
      </c>
      <c r="F45" s="670" t="s">
        <v>28</v>
      </c>
      <c r="G45" s="670">
        <v>80</v>
      </c>
      <c r="H45" s="670">
        <v>34</v>
      </c>
      <c r="I45" s="670">
        <v>10</v>
      </c>
      <c r="J45" s="670">
        <v>7</v>
      </c>
      <c r="K45" s="670">
        <v>1</v>
      </c>
      <c r="L45" s="670" t="s">
        <v>28</v>
      </c>
      <c r="M45" s="670">
        <v>8</v>
      </c>
      <c r="N45" s="679">
        <v>6</v>
      </c>
      <c r="O45" s="679" t="s">
        <v>28</v>
      </c>
      <c r="P45" s="679" t="s">
        <v>28</v>
      </c>
      <c r="Q45" s="679">
        <v>8</v>
      </c>
      <c r="R45" s="679">
        <v>3</v>
      </c>
      <c r="S45" s="679" t="s">
        <v>28</v>
      </c>
      <c r="T45" s="679" t="s">
        <v>28</v>
      </c>
      <c r="U45" s="679" t="s">
        <v>28</v>
      </c>
      <c r="V45" s="679" t="s">
        <v>28</v>
      </c>
      <c r="W45" s="679" t="s">
        <v>28</v>
      </c>
      <c r="X45" s="679" t="s">
        <v>28</v>
      </c>
      <c r="Y45" s="670">
        <v>12</v>
      </c>
      <c r="Z45" s="670">
        <v>3</v>
      </c>
      <c r="AA45" s="670">
        <v>1</v>
      </c>
      <c r="AB45" s="670">
        <v>1</v>
      </c>
      <c r="AC45" s="670">
        <v>6</v>
      </c>
      <c r="AD45" s="670">
        <v>2</v>
      </c>
      <c r="AE45" s="670">
        <v>26</v>
      </c>
      <c r="AF45" s="670">
        <v>8</v>
      </c>
      <c r="AG45" s="670">
        <v>4</v>
      </c>
      <c r="AH45" s="670">
        <v>2</v>
      </c>
      <c r="AI45" s="670" t="s">
        <v>28</v>
      </c>
      <c r="AJ45" s="670" t="s">
        <v>28</v>
      </c>
      <c r="AK45" s="670" t="s">
        <v>28</v>
      </c>
      <c r="AL45" s="670" t="s">
        <v>28</v>
      </c>
      <c r="AM45" s="679">
        <v>2</v>
      </c>
      <c r="AN45" s="673">
        <v>1</v>
      </c>
    </row>
    <row r="46" spans="1:40" ht="10.5" customHeight="1">
      <c r="A46" s="700" t="s">
        <v>29</v>
      </c>
      <c r="B46" s="652" t="s">
        <v>30</v>
      </c>
      <c r="C46" s="665">
        <v>155</v>
      </c>
      <c r="D46" s="665">
        <v>64</v>
      </c>
      <c r="E46" s="665" t="s">
        <v>28</v>
      </c>
      <c r="F46" s="665" t="s">
        <v>28</v>
      </c>
      <c r="G46" s="665">
        <v>78</v>
      </c>
      <c r="H46" s="665">
        <v>32</v>
      </c>
      <c r="I46" s="665">
        <v>10</v>
      </c>
      <c r="J46" s="665">
        <v>7</v>
      </c>
      <c r="K46" s="665">
        <v>1</v>
      </c>
      <c r="L46" s="665" t="s">
        <v>28</v>
      </c>
      <c r="M46" s="665">
        <v>8</v>
      </c>
      <c r="N46" s="653">
        <v>6</v>
      </c>
      <c r="O46" s="653" t="s">
        <v>28</v>
      </c>
      <c r="P46" s="653" t="s">
        <v>28</v>
      </c>
      <c r="Q46" s="653">
        <v>8</v>
      </c>
      <c r="R46" s="653">
        <v>3</v>
      </c>
      <c r="S46" s="653" t="s">
        <v>28</v>
      </c>
      <c r="T46" s="653" t="s">
        <v>28</v>
      </c>
      <c r="U46" s="653" t="s">
        <v>28</v>
      </c>
      <c r="V46" s="653" t="s">
        <v>28</v>
      </c>
      <c r="W46" s="653" t="s">
        <v>28</v>
      </c>
      <c r="X46" s="653" t="s">
        <v>28</v>
      </c>
      <c r="Y46" s="665">
        <v>12</v>
      </c>
      <c r="Z46" s="665">
        <v>3</v>
      </c>
      <c r="AA46" s="665">
        <v>1</v>
      </c>
      <c r="AB46" s="665">
        <v>1</v>
      </c>
      <c r="AC46" s="665">
        <v>6</v>
      </c>
      <c r="AD46" s="665">
        <v>2</v>
      </c>
      <c r="AE46" s="665">
        <v>26</v>
      </c>
      <c r="AF46" s="665">
        <v>8</v>
      </c>
      <c r="AG46" s="665">
        <v>3</v>
      </c>
      <c r="AH46" s="665">
        <v>1</v>
      </c>
      <c r="AI46" s="665" t="s">
        <v>28</v>
      </c>
      <c r="AJ46" s="665" t="s">
        <v>28</v>
      </c>
      <c r="AK46" s="665" t="s">
        <v>28</v>
      </c>
      <c r="AL46" s="665" t="s">
        <v>28</v>
      </c>
      <c r="AM46" s="653">
        <v>2</v>
      </c>
      <c r="AN46" s="668">
        <v>1</v>
      </c>
    </row>
    <row r="47" spans="1:40" ht="10.5" customHeight="1">
      <c r="A47" s="700" t="s">
        <v>31</v>
      </c>
      <c r="B47" s="652" t="s">
        <v>32</v>
      </c>
      <c r="C47" s="665">
        <v>3</v>
      </c>
      <c r="D47" s="665">
        <v>3</v>
      </c>
      <c r="E47" s="665" t="s">
        <v>28</v>
      </c>
      <c r="F47" s="665" t="s">
        <v>28</v>
      </c>
      <c r="G47" s="665">
        <v>2</v>
      </c>
      <c r="H47" s="665">
        <v>2</v>
      </c>
      <c r="I47" s="665" t="s">
        <v>28</v>
      </c>
      <c r="J47" s="665" t="s">
        <v>28</v>
      </c>
      <c r="K47" s="665" t="s">
        <v>28</v>
      </c>
      <c r="L47" s="665" t="s">
        <v>28</v>
      </c>
      <c r="M47" s="665" t="s">
        <v>28</v>
      </c>
      <c r="N47" s="653" t="s">
        <v>28</v>
      </c>
      <c r="O47" s="653" t="s">
        <v>28</v>
      </c>
      <c r="P47" s="653" t="s">
        <v>28</v>
      </c>
      <c r="Q47" s="653" t="s">
        <v>28</v>
      </c>
      <c r="R47" s="653" t="s">
        <v>28</v>
      </c>
      <c r="S47" s="653" t="s">
        <v>28</v>
      </c>
      <c r="T47" s="653" t="s">
        <v>28</v>
      </c>
      <c r="U47" s="653" t="s">
        <v>28</v>
      </c>
      <c r="V47" s="653" t="s">
        <v>28</v>
      </c>
      <c r="W47" s="653" t="s">
        <v>28</v>
      </c>
      <c r="X47" s="653" t="s">
        <v>28</v>
      </c>
      <c r="Y47" s="665" t="s">
        <v>28</v>
      </c>
      <c r="Z47" s="665" t="s">
        <v>28</v>
      </c>
      <c r="AA47" s="665" t="s">
        <v>28</v>
      </c>
      <c r="AB47" s="665" t="s">
        <v>28</v>
      </c>
      <c r="AC47" s="665" t="s">
        <v>28</v>
      </c>
      <c r="AD47" s="665" t="s">
        <v>28</v>
      </c>
      <c r="AE47" s="665" t="s">
        <v>28</v>
      </c>
      <c r="AF47" s="665" t="s">
        <v>28</v>
      </c>
      <c r="AG47" s="665">
        <v>1</v>
      </c>
      <c r="AH47" s="665">
        <v>1</v>
      </c>
      <c r="AI47" s="665" t="s">
        <v>28</v>
      </c>
      <c r="AJ47" s="665" t="s">
        <v>28</v>
      </c>
      <c r="AK47" s="665" t="s">
        <v>28</v>
      </c>
      <c r="AL47" s="665" t="s">
        <v>28</v>
      </c>
      <c r="AM47" s="653" t="s">
        <v>28</v>
      </c>
      <c r="AN47" s="668" t="s">
        <v>28</v>
      </c>
    </row>
    <row r="48" spans="1:40" ht="10.5" customHeight="1">
      <c r="A48" s="699" t="s">
        <v>55</v>
      </c>
      <c r="B48" s="669" t="s">
        <v>56</v>
      </c>
      <c r="C48" s="670">
        <v>322</v>
      </c>
      <c r="D48" s="670">
        <v>148</v>
      </c>
      <c r="E48" s="670" t="s">
        <v>28</v>
      </c>
      <c r="F48" s="670" t="s">
        <v>28</v>
      </c>
      <c r="G48" s="670">
        <v>258</v>
      </c>
      <c r="H48" s="670">
        <v>120</v>
      </c>
      <c r="I48" s="670">
        <v>32</v>
      </c>
      <c r="J48" s="670">
        <v>15</v>
      </c>
      <c r="K48" s="670" t="s">
        <v>28</v>
      </c>
      <c r="L48" s="670" t="s">
        <v>28</v>
      </c>
      <c r="M48" s="670">
        <v>6</v>
      </c>
      <c r="N48" s="679">
        <v>3</v>
      </c>
      <c r="O48" s="679">
        <v>2</v>
      </c>
      <c r="P48" s="679">
        <v>2</v>
      </c>
      <c r="Q48" s="679">
        <v>8</v>
      </c>
      <c r="R48" s="679">
        <v>2</v>
      </c>
      <c r="S48" s="679" t="s">
        <v>28</v>
      </c>
      <c r="T48" s="679" t="s">
        <v>28</v>
      </c>
      <c r="U48" s="679">
        <v>1</v>
      </c>
      <c r="V48" s="679">
        <v>1</v>
      </c>
      <c r="W48" s="679" t="s">
        <v>28</v>
      </c>
      <c r="X48" s="679" t="s">
        <v>28</v>
      </c>
      <c r="Y48" s="670">
        <v>1</v>
      </c>
      <c r="Z48" s="670" t="s">
        <v>28</v>
      </c>
      <c r="AA48" s="670" t="s">
        <v>28</v>
      </c>
      <c r="AB48" s="670" t="s">
        <v>28</v>
      </c>
      <c r="AC48" s="670">
        <v>1</v>
      </c>
      <c r="AD48" s="670">
        <v>1</v>
      </c>
      <c r="AE48" s="670" t="s">
        <v>28</v>
      </c>
      <c r="AF48" s="670" t="s">
        <v>28</v>
      </c>
      <c r="AG48" s="670" t="s">
        <v>28</v>
      </c>
      <c r="AH48" s="670" t="s">
        <v>28</v>
      </c>
      <c r="AI48" s="670" t="s">
        <v>28</v>
      </c>
      <c r="AJ48" s="670" t="s">
        <v>28</v>
      </c>
      <c r="AK48" s="670" t="s">
        <v>28</v>
      </c>
      <c r="AL48" s="670" t="s">
        <v>28</v>
      </c>
      <c r="AM48" s="679">
        <v>13</v>
      </c>
      <c r="AN48" s="673">
        <v>4</v>
      </c>
    </row>
    <row r="49" spans="1:40" ht="10.5" customHeight="1">
      <c r="A49" s="700" t="s">
        <v>29</v>
      </c>
      <c r="B49" s="652" t="s">
        <v>30</v>
      </c>
      <c r="C49" s="665">
        <v>322</v>
      </c>
      <c r="D49" s="665">
        <v>148</v>
      </c>
      <c r="E49" s="665" t="s">
        <v>28</v>
      </c>
      <c r="F49" s="665" t="s">
        <v>28</v>
      </c>
      <c r="G49" s="665">
        <v>258</v>
      </c>
      <c r="H49" s="665">
        <v>120</v>
      </c>
      <c r="I49" s="665">
        <v>32</v>
      </c>
      <c r="J49" s="665">
        <v>15</v>
      </c>
      <c r="K49" s="665" t="s">
        <v>28</v>
      </c>
      <c r="L49" s="665" t="s">
        <v>28</v>
      </c>
      <c r="M49" s="665">
        <v>6</v>
      </c>
      <c r="N49" s="653">
        <v>3</v>
      </c>
      <c r="O49" s="653">
        <v>2</v>
      </c>
      <c r="P49" s="653">
        <v>2</v>
      </c>
      <c r="Q49" s="653">
        <v>8</v>
      </c>
      <c r="R49" s="653">
        <v>2</v>
      </c>
      <c r="S49" s="653" t="s">
        <v>28</v>
      </c>
      <c r="T49" s="653" t="s">
        <v>28</v>
      </c>
      <c r="U49" s="653">
        <v>1</v>
      </c>
      <c r="V49" s="653">
        <v>1</v>
      </c>
      <c r="W49" s="653" t="s">
        <v>28</v>
      </c>
      <c r="X49" s="653" t="s">
        <v>28</v>
      </c>
      <c r="Y49" s="665">
        <v>1</v>
      </c>
      <c r="Z49" s="665" t="s">
        <v>28</v>
      </c>
      <c r="AA49" s="665" t="s">
        <v>28</v>
      </c>
      <c r="AB49" s="665" t="s">
        <v>28</v>
      </c>
      <c r="AC49" s="665">
        <v>1</v>
      </c>
      <c r="AD49" s="665">
        <v>1</v>
      </c>
      <c r="AE49" s="665" t="s">
        <v>28</v>
      </c>
      <c r="AF49" s="665" t="s">
        <v>28</v>
      </c>
      <c r="AG49" s="665" t="s">
        <v>28</v>
      </c>
      <c r="AH49" s="665" t="s">
        <v>28</v>
      </c>
      <c r="AI49" s="665" t="s">
        <v>28</v>
      </c>
      <c r="AJ49" s="665" t="s">
        <v>28</v>
      </c>
      <c r="AK49" s="665" t="s">
        <v>28</v>
      </c>
      <c r="AL49" s="665" t="s">
        <v>28</v>
      </c>
      <c r="AM49" s="653">
        <v>13</v>
      </c>
      <c r="AN49" s="668">
        <v>4</v>
      </c>
    </row>
    <row r="50" spans="1:40" ht="10.5" customHeight="1">
      <c r="A50" s="700" t="s">
        <v>31</v>
      </c>
      <c r="B50" s="652" t="s">
        <v>32</v>
      </c>
      <c r="C50" s="665" t="s">
        <v>28</v>
      </c>
      <c r="D50" s="665" t="s">
        <v>28</v>
      </c>
      <c r="E50" s="665" t="s">
        <v>28</v>
      </c>
      <c r="F50" s="665" t="s">
        <v>28</v>
      </c>
      <c r="G50" s="665" t="s">
        <v>28</v>
      </c>
      <c r="H50" s="665" t="s">
        <v>28</v>
      </c>
      <c r="I50" s="665" t="s">
        <v>28</v>
      </c>
      <c r="J50" s="665" t="s">
        <v>28</v>
      </c>
      <c r="K50" s="665" t="s">
        <v>28</v>
      </c>
      <c r="L50" s="665" t="s">
        <v>28</v>
      </c>
      <c r="M50" s="665" t="s">
        <v>28</v>
      </c>
      <c r="N50" s="653" t="s">
        <v>28</v>
      </c>
      <c r="O50" s="653" t="s">
        <v>28</v>
      </c>
      <c r="P50" s="653" t="s">
        <v>28</v>
      </c>
      <c r="Q50" s="653" t="s">
        <v>28</v>
      </c>
      <c r="R50" s="653" t="s">
        <v>28</v>
      </c>
      <c r="S50" s="653" t="s">
        <v>28</v>
      </c>
      <c r="T50" s="653" t="s">
        <v>28</v>
      </c>
      <c r="U50" s="653" t="s">
        <v>28</v>
      </c>
      <c r="V50" s="653" t="s">
        <v>28</v>
      </c>
      <c r="W50" s="653" t="s">
        <v>28</v>
      </c>
      <c r="X50" s="653" t="s">
        <v>28</v>
      </c>
      <c r="Y50" s="665" t="s">
        <v>28</v>
      </c>
      <c r="Z50" s="665" t="s">
        <v>28</v>
      </c>
      <c r="AA50" s="665" t="s">
        <v>28</v>
      </c>
      <c r="AB50" s="665" t="s">
        <v>28</v>
      </c>
      <c r="AC50" s="665" t="s">
        <v>28</v>
      </c>
      <c r="AD50" s="665" t="s">
        <v>28</v>
      </c>
      <c r="AE50" s="665" t="s">
        <v>28</v>
      </c>
      <c r="AF50" s="665" t="s">
        <v>28</v>
      </c>
      <c r="AG50" s="665" t="s">
        <v>28</v>
      </c>
      <c r="AH50" s="665" t="s">
        <v>28</v>
      </c>
      <c r="AI50" s="665" t="s">
        <v>28</v>
      </c>
      <c r="AJ50" s="665" t="s">
        <v>28</v>
      </c>
      <c r="AK50" s="665" t="s">
        <v>28</v>
      </c>
      <c r="AL50" s="665" t="s">
        <v>28</v>
      </c>
      <c r="AM50" s="653" t="s">
        <v>28</v>
      </c>
      <c r="AN50" s="668" t="s">
        <v>28</v>
      </c>
    </row>
    <row r="51" spans="1:40" ht="10.5" customHeight="1">
      <c r="A51" s="699" t="s">
        <v>57</v>
      </c>
      <c r="B51" s="669" t="s">
        <v>58</v>
      </c>
      <c r="C51" s="670">
        <v>22</v>
      </c>
      <c r="D51" s="670">
        <v>12</v>
      </c>
      <c r="E51" s="670" t="s">
        <v>28</v>
      </c>
      <c r="F51" s="670" t="s">
        <v>28</v>
      </c>
      <c r="G51" s="670">
        <v>9</v>
      </c>
      <c r="H51" s="670">
        <v>3</v>
      </c>
      <c r="I51" s="670">
        <v>2</v>
      </c>
      <c r="J51" s="670">
        <v>1</v>
      </c>
      <c r="K51" s="670" t="s">
        <v>28</v>
      </c>
      <c r="L51" s="670" t="s">
        <v>28</v>
      </c>
      <c r="M51" s="670">
        <v>7</v>
      </c>
      <c r="N51" s="679">
        <v>5</v>
      </c>
      <c r="O51" s="679" t="s">
        <v>28</v>
      </c>
      <c r="P51" s="679" t="s">
        <v>28</v>
      </c>
      <c r="Q51" s="679">
        <v>2</v>
      </c>
      <c r="R51" s="679">
        <v>1</v>
      </c>
      <c r="S51" s="679" t="s">
        <v>28</v>
      </c>
      <c r="T51" s="679" t="s">
        <v>28</v>
      </c>
      <c r="U51" s="679" t="s">
        <v>28</v>
      </c>
      <c r="V51" s="679" t="s">
        <v>28</v>
      </c>
      <c r="W51" s="679" t="s">
        <v>28</v>
      </c>
      <c r="X51" s="679" t="s">
        <v>28</v>
      </c>
      <c r="Y51" s="670" t="s">
        <v>28</v>
      </c>
      <c r="Z51" s="670" t="s">
        <v>28</v>
      </c>
      <c r="AA51" s="670" t="s">
        <v>28</v>
      </c>
      <c r="AB51" s="670" t="s">
        <v>28</v>
      </c>
      <c r="AC51" s="670" t="s">
        <v>28</v>
      </c>
      <c r="AD51" s="670" t="s">
        <v>28</v>
      </c>
      <c r="AE51" s="670" t="s">
        <v>28</v>
      </c>
      <c r="AF51" s="670" t="s">
        <v>28</v>
      </c>
      <c r="AG51" s="670" t="s">
        <v>28</v>
      </c>
      <c r="AH51" s="670" t="s">
        <v>28</v>
      </c>
      <c r="AI51" s="670" t="s">
        <v>28</v>
      </c>
      <c r="AJ51" s="670" t="s">
        <v>28</v>
      </c>
      <c r="AK51" s="670" t="s">
        <v>28</v>
      </c>
      <c r="AL51" s="670" t="s">
        <v>28</v>
      </c>
      <c r="AM51" s="679">
        <v>2</v>
      </c>
      <c r="AN51" s="673">
        <v>2</v>
      </c>
    </row>
    <row r="52" spans="1:40" ht="10.5" customHeight="1">
      <c r="A52" s="700" t="s">
        <v>29</v>
      </c>
      <c r="B52" s="652" t="s">
        <v>30</v>
      </c>
      <c r="C52" s="665">
        <v>22</v>
      </c>
      <c r="D52" s="665">
        <v>12</v>
      </c>
      <c r="E52" s="665" t="s">
        <v>28</v>
      </c>
      <c r="F52" s="665" t="s">
        <v>28</v>
      </c>
      <c r="G52" s="665">
        <v>9</v>
      </c>
      <c r="H52" s="665">
        <v>3</v>
      </c>
      <c r="I52" s="665">
        <v>2</v>
      </c>
      <c r="J52" s="665">
        <v>1</v>
      </c>
      <c r="K52" s="665" t="s">
        <v>28</v>
      </c>
      <c r="L52" s="665" t="s">
        <v>28</v>
      </c>
      <c r="M52" s="665">
        <v>7</v>
      </c>
      <c r="N52" s="653">
        <v>5</v>
      </c>
      <c r="O52" s="653" t="s">
        <v>28</v>
      </c>
      <c r="P52" s="653" t="s">
        <v>28</v>
      </c>
      <c r="Q52" s="653">
        <v>2</v>
      </c>
      <c r="R52" s="653">
        <v>1</v>
      </c>
      <c r="S52" s="653" t="s">
        <v>28</v>
      </c>
      <c r="T52" s="653" t="s">
        <v>28</v>
      </c>
      <c r="U52" s="653" t="s">
        <v>28</v>
      </c>
      <c r="V52" s="653" t="s">
        <v>28</v>
      </c>
      <c r="W52" s="653" t="s">
        <v>28</v>
      </c>
      <c r="X52" s="653" t="s">
        <v>28</v>
      </c>
      <c r="Y52" s="665" t="s">
        <v>28</v>
      </c>
      <c r="Z52" s="665" t="s">
        <v>28</v>
      </c>
      <c r="AA52" s="665" t="s">
        <v>28</v>
      </c>
      <c r="AB52" s="665" t="s">
        <v>28</v>
      </c>
      <c r="AC52" s="665" t="s">
        <v>28</v>
      </c>
      <c r="AD52" s="665" t="s">
        <v>28</v>
      </c>
      <c r="AE52" s="665" t="s">
        <v>28</v>
      </c>
      <c r="AF52" s="665" t="s">
        <v>28</v>
      </c>
      <c r="AG52" s="665" t="s">
        <v>28</v>
      </c>
      <c r="AH52" s="665" t="s">
        <v>28</v>
      </c>
      <c r="AI52" s="665" t="s">
        <v>28</v>
      </c>
      <c r="AJ52" s="665" t="s">
        <v>28</v>
      </c>
      <c r="AK52" s="665" t="s">
        <v>28</v>
      </c>
      <c r="AL52" s="665" t="s">
        <v>28</v>
      </c>
      <c r="AM52" s="653">
        <v>2</v>
      </c>
      <c r="AN52" s="668">
        <v>2</v>
      </c>
    </row>
    <row r="53" spans="1:40" ht="10.5" customHeight="1">
      <c r="A53" s="700" t="s">
        <v>31</v>
      </c>
      <c r="B53" s="652" t="s">
        <v>32</v>
      </c>
      <c r="C53" s="665" t="s">
        <v>28</v>
      </c>
      <c r="D53" s="665" t="s">
        <v>28</v>
      </c>
      <c r="E53" s="665" t="s">
        <v>28</v>
      </c>
      <c r="F53" s="665" t="s">
        <v>28</v>
      </c>
      <c r="G53" s="665" t="s">
        <v>28</v>
      </c>
      <c r="H53" s="665" t="s">
        <v>28</v>
      </c>
      <c r="I53" s="665" t="s">
        <v>28</v>
      </c>
      <c r="J53" s="665" t="s">
        <v>28</v>
      </c>
      <c r="K53" s="665" t="s">
        <v>28</v>
      </c>
      <c r="L53" s="665" t="s">
        <v>28</v>
      </c>
      <c r="M53" s="665" t="s">
        <v>28</v>
      </c>
      <c r="N53" s="653" t="s">
        <v>28</v>
      </c>
      <c r="O53" s="653" t="s">
        <v>28</v>
      </c>
      <c r="P53" s="653" t="s">
        <v>28</v>
      </c>
      <c r="Q53" s="653" t="s">
        <v>28</v>
      </c>
      <c r="R53" s="653" t="s">
        <v>28</v>
      </c>
      <c r="S53" s="653" t="s">
        <v>28</v>
      </c>
      <c r="T53" s="653" t="s">
        <v>28</v>
      </c>
      <c r="U53" s="653" t="s">
        <v>28</v>
      </c>
      <c r="V53" s="653" t="s">
        <v>28</v>
      </c>
      <c r="W53" s="653" t="s">
        <v>28</v>
      </c>
      <c r="X53" s="653" t="s">
        <v>28</v>
      </c>
      <c r="Y53" s="665" t="s">
        <v>28</v>
      </c>
      <c r="Z53" s="665" t="s">
        <v>28</v>
      </c>
      <c r="AA53" s="665" t="s">
        <v>28</v>
      </c>
      <c r="AB53" s="665" t="s">
        <v>28</v>
      </c>
      <c r="AC53" s="665" t="s">
        <v>28</v>
      </c>
      <c r="AD53" s="665" t="s">
        <v>28</v>
      </c>
      <c r="AE53" s="665" t="s">
        <v>28</v>
      </c>
      <c r="AF53" s="665" t="s">
        <v>28</v>
      </c>
      <c r="AG53" s="665" t="s">
        <v>28</v>
      </c>
      <c r="AH53" s="665" t="s">
        <v>28</v>
      </c>
      <c r="AI53" s="665" t="s">
        <v>28</v>
      </c>
      <c r="AJ53" s="665" t="s">
        <v>28</v>
      </c>
      <c r="AK53" s="665" t="s">
        <v>28</v>
      </c>
      <c r="AL53" s="665" t="s">
        <v>28</v>
      </c>
      <c r="AM53" s="653" t="s">
        <v>28</v>
      </c>
      <c r="AN53" s="668" t="s">
        <v>28</v>
      </c>
    </row>
    <row r="54" spans="1:40" ht="10.5" customHeight="1">
      <c r="A54" s="699" t="s">
        <v>59</v>
      </c>
      <c r="B54" s="669" t="s">
        <v>60</v>
      </c>
      <c r="C54" s="670">
        <v>114</v>
      </c>
      <c r="D54" s="670">
        <v>46</v>
      </c>
      <c r="E54" s="670" t="s">
        <v>28</v>
      </c>
      <c r="F54" s="670" t="s">
        <v>28</v>
      </c>
      <c r="G54" s="670">
        <v>54</v>
      </c>
      <c r="H54" s="670">
        <v>20</v>
      </c>
      <c r="I54" s="670">
        <v>4</v>
      </c>
      <c r="J54" s="670">
        <v>1</v>
      </c>
      <c r="K54" s="670">
        <v>2</v>
      </c>
      <c r="L54" s="670">
        <v>1</v>
      </c>
      <c r="M54" s="670">
        <v>4</v>
      </c>
      <c r="N54" s="679">
        <v>4</v>
      </c>
      <c r="O54" s="679">
        <v>4</v>
      </c>
      <c r="P54" s="679">
        <v>2</v>
      </c>
      <c r="Q54" s="679">
        <v>6</v>
      </c>
      <c r="R54" s="679">
        <v>2</v>
      </c>
      <c r="S54" s="679" t="s">
        <v>28</v>
      </c>
      <c r="T54" s="679" t="s">
        <v>28</v>
      </c>
      <c r="U54" s="679" t="s">
        <v>28</v>
      </c>
      <c r="V54" s="679" t="s">
        <v>28</v>
      </c>
      <c r="W54" s="679" t="s">
        <v>28</v>
      </c>
      <c r="X54" s="679" t="s">
        <v>28</v>
      </c>
      <c r="Y54" s="670">
        <v>16</v>
      </c>
      <c r="Z54" s="670">
        <v>8</v>
      </c>
      <c r="AA54" s="670" t="s">
        <v>28</v>
      </c>
      <c r="AB54" s="670" t="s">
        <v>28</v>
      </c>
      <c r="AC54" s="670">
        <v>6</v>
      </c>
      <c r="AD54" s="670" t="s">
        <v>28</v>
      </c>
      <c r="AE54" s="670">
        <v>1</v>
      </c>
      <c r="AF54" s="670">
        <v>1</v>
      </c>
      <c r="AG54" s="670">
        <v>12</v>
      </c>
      <c r="AH54" s="670">
        <v>4</v>
      </c>
      <c r="AI54" s="670" t="s">
        <v>28</v>
      </c>
      <c r="AJ54" s="670" t="s">
        <v>28</v>
      </c>
      <c r="AK54" s="670" t="s">
        <v>28</v>
      </c>
      <c r="AL54" s="670" t="s">
        <v>28</v>
      </c>
      <c r="AM54" s="679">
        <v>5</v>
      </c>
      <c r="AN54" s="673">
        <v>3</v>
      </c>
    </row>
    <row r="55" spans="1:40" ht="10.5" customHeight="1">
      <c r="A55" s="700" t="s">
        <v>29</v>
      </c>
      <c r="B55" s="652" t="s">
        <v>30</v>
      </c>
      <c r="C55" s="665">
        <v>114</v>
      </c>
      <c r="D55" s="665">
        <v>46</v>
      </c>
      <c r="E55" s="665" t="s">
        <v>28</v>
      </c>
      <c r="F55" s="665" t="s">
        <v>28</v>
      </c>
      <c r="G55" s="665">
        <v>54</v>
      </c>
      <c r="H55" s="665">
        <v>20</v>
      </c>
      <c r="I55" s="665">
        <v>4</v>
      </c>
      <c r="J55" s="665">
        <v>1</v>
      </c>
      <c r="K55" s="665">
        <v>2</v>
      </c>
      <c r="L55" s="665">
        <v>1</v>
      </c>
      <c r="M55" s="665">
        <v>4</v>
      </c>
      <c r="N55" s="653">
        <v>4</v>
      </c>
      <c r="O55" s="653">
        <v>4</v>
      </c>
      <c r="P55" s="653">
        <v>2</v>
      </c>
      <c r="Q55" s="653">
        <v>6</v>
      </c>
      <c r="R55" s="653">
        <v>2</v>
      </c>
      <c r="S55" s="653" t="s">
        <v>28</v>
      </c>
      <c r="T55" s="653" t="s">
        <v>28</v>
      </c>
      <c r="U55" s="653" t="s">
        <v>28</v>
      </c>
      <c r="V55" s="653" t="s">
        <v>28</v>
      </c>
      <c r="W55" s="653" t="s">
        <v>28</v>
      </c>
      <c r="X55" s="653" t="s">
        <v>28</v>
      </c>
      <c r="Y55" s="665">
        <v>16</v>
      </c>
      <c r="Z55" s="665">
        <v>8</v>
      </c>
      <c r="AA55" s="665" t="s">
        <v>28</v>
      </c>
      <c r="AB55" s="665" t="s">
        <v>28</v>
      </c>
      <c r="AC55" s="665">
        <v>6</v>
      </c>
      <c r="AD55" s="665" t="s">
        <v>28</v>
      </c>
      <c r="AE55" s="665">
        <v>1</v>
      </c>
      <c r="AF55" s="665">
        <v>1</v>
      </c>
      <c r="AG55" s="665">
        <v>12</v>
      </c>
      <c r="AH55" s="665">
        <v>4</v>
      </c>
      <c r="AI55" s="665" t="s">
        <v>28</v>
      </c>
      <c r="AJ55" s="665" t="s">
        <v>28</v>
      </c>
      <c r="AK55" s="665" t="s">
        <v>28</v>
      </c>
      <c r="AL55" s="665" t="s">
        <v>28</v>
      </c>
      <c r="AM55" s="653">
        <v>5</v>
      </c>
      <c r="AN55" s="668">
        <v>3</v>
      </c>
    </row>
    <row r="56" spans="1:40" ht="10.5" customHeight="1">
      <c r="A56" s="700" t="s">
        <v>31</v>
      </c>
      <c r="B56" s="652" t="s">
        <v>32</v>
      </c>
      <c r="C56" s="665" t="s">
        <v>28</v>
      </c>
      <c r="D56" s="665" t="s">
        <v>28</v>
      </c>
      <c r="E56" s="665" t="s">
        <v>28</v>
      </c>
      <c r="F56" s="665" t="s">
        <v>28</v>
      </c>
      <c r="G56" s="665" t="s">
        <v>28</v>
      </c>
      <c r="H56" s="665" t="s">
        <v>28</v>
      </c>
      <c r="I56" s="665" t="s">
        <v>28</v>
      </c>
      <c r="J56" s="665" t="s">
        <v>28</v>
      </c>
      <c r="K56" s="665" t="s">
        <v>28</v>
      </c>
      <c r="L56" s="665" t="s">
        <v>28</v>
      </c>
      <c r="M56" s="665" t="s">
        <v>28</v>
      </c>
      <c r="N56" s="653" t="s">
        <v>28</v>
      </c>
      <c r="O56" s="653" t="s">
        <v>28</v>
      </c>
      <c r="P56" s="653" t="s">
        <v>28</v>
      </c>
      <c r="Q56" s="653" t="s">
        <v>28</v>
      </c>
      <c r="R56" s="653" t="s">
        <v>28</v>
      </c>
      <c r="S56" s="653" t="s">
        <v>28</v>
      </c>
      <c r="T56" s="653" t="s">
        <v>28</v>
      </c>
      <c r="U56" s="653" t="s">
        <v>28</v>
      </c>
      <c r="V56" s="653" t="s">
        <v>28</v>
      </c>
      <c r="W56" s="653" t="s">
        <v>28</v>
      </c>
      <c r="X56" s="653" t="s">
        <v>28</v>
      </c>
      <c r="Y56" s="665" t="s">
        <v>28</v>
      </c>
      <c r="Z56" s="665" t="s">
        <v>28</v>
      </c>
      <c r="AA56" s="665" t="s">
        <v>28</v>
      </c>
      <c r="AB56" s="665" t="s">
        <v>28</v>
      </c>
      <c r="AC56" s="665" t="s">
        <v>28</v>
      </c>
      <c r="AD56" s="665" t="s">
        <v>28</v>
      </c>
      <c r="AE56" s="665" t="s">
        <v>28</v>
      </c>
      <c r="AF56" s="665" t="s">
        <v>28</v>
      </c>
      <c r="AG56" s="665" t="s">
        <v>28</v>
      </c>
      <c r="AH56" s="665" t="s">
        <v>28</v>
      </c>
      <c r="AI56" s="665" t="s">
        <v>28</v>
      </c>
      <c r="AJ56" s="665" t="s">
        <v>28</v>
      </c>
      <c r="AK56" s="665" t="s">
        <v>28</v>
      </c>
      <c r="AL56" s="665" t="s">
        <v>28</v>
      </c>
      <c r="AM56" s="653" t="s">
        <v>28</v>
      </c>
      <c r="AN56" s="668" t="s">
        <v>28</v>
      </c>
    </row>
    <row r="57" spans="1:40" ht="10.5" customHeight="1">
      <c r="A57" s="699" t="s">
        <v>61</v>
      </c>
      <c r="B57" s="669" t="s">
        <v>62</v>
      </c>
      <c r="C57" s="670">
        <v>5</v>
      </c>
      <c r="D57" s="670">
        <v>4</v>
      </c>
      <c r="E57" s="670" t="s">
        <v>28</v>
      </c>
      <c r="F57" s="670" t="s">
        <v>28</v>
      </c>
      <c r="G57" s="670">
        <v>3</v>
      </c>
      <c r="H57" s="670">
        <v>3</v>
      </c>
      <c r="I57" s="670" t="s">
        <v>28</v>
      </c>
      <c r="J57" s="670" t="s">
        <v>28</v>
      </c>
      <c r="K57" s="670" t="s">
        <v>28</v>
      </c>
      <c r="L57" s="670" t="s">
        <v>28</v>
      </c>
      <c r="M57" s="670">
        <v>1</v>
      </c>
      <c r="N57" s="679">
        <v>1</v>
      </c>
      <c r="O57" s="679" t="s">
        <v>28</v>
      </c>
      <c r="P57" s="679" t="s">
        <v>28</v>
      </c>
      <c r="Q57" s="679" t="s">
        <v>28</v>
      </c>
      <c r="R57" s="679" t="s">
        <v>28</v>
      </c>
      <c r="S57" s="679" t="s">
        <v>28</v>
      </c>
      <c r="T57" s="679" t="s">
        <v>28</v>
      </c>
      <c r="U57" s="679" t="s">
        <v>28</v>
      </c>
      <c r="V57" s="679" t="s">
        <v>28</v>
      </c>
      <c r="W57" s="679" t="s">
        <v>28</v>
      </c>
      <c r="X57" s="679" t="s">
        <v>28</v>
      </c>
      <c r="Y57" s="670">
        <v>1</v>
      </c>
      <c r="Z57" s="670" t="s">
        <v>28</v>
      </c>
      <c r="AA57" s="670" t="s">
        <v>28</v>
      </c>
      <c r="AB57" s="670" t="s">
        <v>28</v>
      </c>
      <c r="AC57" s="670" t="s">
        <v>28</v>
      </c>
      <c r="AD57" s="670" t="s">
        <v>28</v>
      </c>
      <c r="AE57" s="670" t="s">
        <v>28</v>
      </c>
      <c r="AF57" s="670" t="s">
        <v>28</v>
      </c>
      <c r="AG57" s="670" t="s">
        <v>28</v>
      </c>
      <c r="AH57" s="670" t="s">
        <v>28</v>
      </c>
      <c r="AI57" s="670" t="s">
        <v>28</v>
      </c>
      <c r="AJ57" s="670" t="s">
        <v>28</v>
      </c>
      <c r="AK57" s="670" t="s">
        <v>28</v>
      </c>
      <c r="AL57" s="670" t="s">
        <v>28</v>
      </c>
      <c r="AM57" s="679" t="s">
        <v>28</v>
      </c>
      <c r="AN57" s="673" t="s">
        <v>28</v>
      </c>
    </row>
    <row r="58" spans="1:40" ht="10.5" customHeight="1">
      <c r="A58" s="700" t="s">
        <v>29</v>
      </c>
      <c r="B58" s="652" t="s">
        <v>30</v>
      </c>
      <c r="C58" s="665">
        <v>5</v>
      </c>
      <c r="D58" s="665">
        <v>4</v>
      </c>
      <c r="E58" s="665" t="s">
        <v>28</v>
      </c>
      <c r="F58" s="665" t="s">
        <v>28</v>
      </c>
      <c r="G58" s="665">
        <v>3</v>
      </c>
      <c r="H58" s="665">
        <v>3</v>
      </c>
      <c r="I58" s="665" t="s">
        <v>28</v>
      </c>
      <c r="J58" s="665" t="s">
        <v>28</v>
      </c>
      <c r="K58" s="665" t="s">
        <v>28</v>
      </c>
      <c r="L58" s="665" t="s">
        <v>28</v>
      </c>
      <c r="M58" s="665">
        <v>1</v>
      </c>
      <c r="N58" s="653">
        <v>1</v>
      </c>
      <c r="O58" s="653" t="s">
        <v>28</v>
      </c>
      <c r="P58" s="653" t="s">
        <v>28</v>
      </c>
      <c r="Q58" s="653" t="s">
        <v>28</v>
      </c>
      <c r="R58" s="653" t="s">
        <v>28</v>
      </c>
      <c r="S58" s="653" t="s">
        <v>28</v>
      </c>
      <c r="T58" s="653" t="s">
        <v>28</v>
      </c>
      <c r="U58" s="653" t="s">
        <v>28</v>
      </c>
      <c r="V58" s="653" t="s">
        <v>28</v>
      </c>
      <c r="W58" s="653" t="s">
        <v>28</v>
      </c>
      <c r="X58" s="653" t="s">
        <v>28</v>
      </c>
      <c r="Y58" s="665">
        <v>1</v>
      </c>
      <c r="Z58" s="665" t="s">
        <v>28</v>
      </c>
      <c r="AA58" s="665" t="s">
        <v>28</v>
      </c>
      <c r="AB58" s="665" t="s">
        <v>28</v>
      </c>
      <c r="AC58" s="665" t="s">
        <v>28</v>
      </c>
      <c r="AD58" s="665" t="s">
        <v>28</v>
      </c>
      <c r="AE58" s="665" t="s">
        <v>28</v>
      </c>
      <c r="AF58" s="665" t="s">
        <v>28</v>
      </c>
      <c r="AG58" s="665" t="s">
        <v>28</v>
      </c>
      <c r="AH58" s="665" t="s">
        <v>28</v>
      </c>
      <c r="AI58" s="665" t="s">
        <v>28</v>
      </c>
      <c r="AJ58" s="665" t="s">
        <v>28</v>
      </c>
      <c r="AK58" s="665" t="s">
        <v>28</v>
      </c>
      <c r="AL58" s="665" t="s">
        <v>28</v>
      </c>
      <c r="AM58" s="653" t="s">
        <v>28</v>
      </c>
      <c r="AN58" s="668" t="s">
        <v>28</v>
      </c>
    </row>
    <row r="59" spans="1:40" ht="10.5" customHeight="1">
      <c r="A59" s="700" t="s">
        <v>31</v>
      </c>
      <c r="B59" s="652" t="s">
        <v>32</v>
      </c>
      <c r="C59" s="665" t="s">
        <v>28</v>
      </c>
      <c r="D59" s="665" t="s">
        <v>28</v>
      </c>
      <c r="E59" s="665" t="s">
        <v>28</v>
      </c>
      <c r="F59" s="665" t="s">
        <v>28</v>
      </c>
      <c r="G59" s="665" t="s">
        <v>28</v>
      </c>
      <c r="H59" s="665" t="s">
        <v>28</v>
      </c>
      <c r="I59" s="665" t="s">
        <v>28</v>
      </c>
      <c r="J59" s="665" t="s">
        <v>28</v>
      </c>
      <c r="K59" s="665" t="s">
        <v>28</v>
      </c>
      <c r="L59" s="665" t="s">
        <v>28</v>
      </c>
      <c r="M59" s="665" t="s">
        <v>28</v>
      </c>
      <c r="N59" s="653" t="s">
        <v>28</v>
      </c>
      <c r="O59" s="653" t="s">
        <v>28</v>
      </c>
      <c r="P59" s="653" t="s">
        <v>28</v>
      </c>
      <c r="Q59" s="653" t="s">
        <v>28</v>
      </c>
      <c r="R59" s="653" t="s">
        <v>28</v>
      </c>
      <c r="S59" s="653" t="s">
        <v>28</v>
      </c>
      <c r="T59" s="653" t="s">
        <v>28</v>
      </c>
      <c r="U59" s="653" t="s">
        <v>28</v>
      </c>
      <c r="V59" s="653" t="s">
        <v>28</v>
      </c>
      <c r="W59" s="653" t="s">
        <v>28</v>
      </c>
      <c r="X59" s="653" t="s">
        <v>28</v>
      </c>
      <c r="Y59" s="665" t="s">
        <v>28</v>
      </c>
      <c r="Z59" s="665" t="s">
        <v>28</v>
      </c>
      <c r="AA59" s="665" t="s">
        <v>28</v>
      </c>
      <c r="AB59" s="665" t="s">
        <v>28</v>
      </c>
      <c r="AC59" s="665" t="s">
        <v>28</v>
      </c>
      <c r="AD59" s="665" t="s">
        <v>28</v>
      </c>
      <c r="AE59" s="665" t="s">
        <v>28</v>
      </c>
      <c r="AF59" s="665" t="s">
        <v>28</v>
      </c>
      <c r="AG59" s="665" t="s">
        <v>28</v>
      </c>
      <c r="AH59" s="665" t="s">
        <v>28</v>
      </c>
      <c r="AI59" s="665" t="s">
        <v>28</v>
      </c>
      <c r="AJ59" s="665" t="s">
        <v>28</v>
      </c>
      <c r="AK59" s="665" t="s">
        <v>28</v>
      </c>
      <c r="AL59" s="665" t="s">
        <v>28</v>
      </c>
      <c r="AM59" s="653" t="s">
        <v>28</v>
      </c>
      <c r="AN59" s="668" t="s">
        <v>28</v>
      </c>
    </row>
    <row r="60" spans="1:40" ht="10.5" customHeight="1">
      <c r="A60" s="699" t="s">
        <v>63</v>
      </c>
      <c r="B60" s="669" t="s">
        <v>64</v>
      </c>
      <c r="C60" s="670" t="s">
        <v>28</v>
      </c>
      <c r="D60" s="670" t="s">
        <v>28</v>
      </c>
      <c r="E60" s="670" t="s">
        <v>28</v>
      </c>
      <c r="F60" s="670" t="s">
        <v>28</v>
      </c>
      <c r="G60" s="670" t="s">
        <v>28</v>
      </c>
      <c r="H60" s="670" t="s">
        <v>28</v>
      </c>
      <c r="I60" s="670" t="s">
        <v>28</v>
      </c>
      <c r="J60" s="670" t="s">
        <v>28</v>
      </c>
      <c r="K60" s="670" t="s">
        <v>28</v>
      </c>
      <c r="L60" s="670" t="s">
        <v>28</v>
      </c>
      <c r="M60" s="670" t="s">
        <v>28</v>
      </c>
      <c r="N60" s="679" t="s">
        <v>28</v>
      </c>
      <c r="O60" s="679" t="s">
        <v>28</v>
      </c>
      <c r="P60" s="679" t="s">
        <v>28</v>
      </c>
      <c r="Q60" s="679" t="s">
        <v>28</v>
      </c>
      <c r="R60" s="679" t="s">
        <v>28</v>
      </c>
      <c r="S60" s="679" t="s">
        <v>28</v>
      </c>
      <c r="T60" s="679" t="s">
        <v>28</v>
      </c>
      <c r="U60" s="679" t="s">
        <v>28</v>
      </c>
      <c r="V60" s="679" t="s">
        <v>28</v>
      </c>
      <c r="W60" s="679" t="s">
        <v>28</v>
      </c>
      <c r="X60" s="679" t="s">
        <v>28</v>
      </c>
      <c r="Y60" s="670" t="s">
        <v>28</v>
      </c>
      <c r="Z60" s="670" t="s">
        <v>28</v>
      </c>
      <c r="AA60" s="670" t="s">
        <v>28</v>
      </c>
      <c r="AB60" s="670" t="s">
        <v>28</v>
      </c>
      <c r="AC60" s="670" t="s">
        <v>28</v>
      </c>
      <c r="AD60" s="670" t="s">
        <v>28</v>
      </c>
      <c r="AE60" s="670" t="s">
        <v>28</v>
      </c>
      <c r="AF60" s="670" t="s">
        <v>28</v>
      </c>
      <c r="AG60" s="670" t="s">
        <v>28</v>
      </c>
      <c r="AH60" s="670" t="s">
        <v>28</v>
      </c>
      <c r="AI60" s="670" t="s">
        <v>28</v>
      </c>
      <c r="AJ60" s="670" t="s">
        <v>28</v>
      </c>
      <c r="AK60" s="670" t="s">
        <v>28</v>
      </c>
      <c r="AL60" s="670" t="s">
        <v>28</v>
      </c>
      <c r="AM60" s="679" t="s">
        <v>28</v>
      </c>
      <c r="AN60" s="673" t="s">
        <v>28</v>
      </c>
    </row>
    <row r="61" spans="1:40" ht="10.5" customHeight="1">
      <c r="A61" s="700" t="s">
        <v>29</v>
      </c>
      <c r="B61" s="652" t="s">
        <v>30</v>
      </c>
      <c r="C61" s="665" t="s">
        <v>28</v>
      </c>
      <c r="D61" s="665" t="s">
        <v>28</v>
      </c>
      <c r="E61" s="665" t="s">
        <v>28</v>
      </c>
      <c r="F61" s="665" t="s">
        <v>28</v>
      </c>
      <c r="G61" s="665" t="s">
        <v>28</v>
      </c>
      <c r="H61" s="665" t="s">
        <v>28</v>
      </c>
      <c r="I61" s="665" t="s">
        <v>28</v>
      </c>
      <c r="J61" s="665" t="s">
        <v>28</v>
      </c>
      <c r="K61" s="665" t="s">
        <v>28</v>
      </c>
      <c r="L61" s="665" t="s">
        <v>28</v>
      </c>
      <c r="M61" s="665" t="s">
        <v>28</v>
      </c>
      <c r="N61" s="653" t="s">
        <v>28</v>
      </c>
      <c r="O61" s="653" t="s">
        <v>28</v>
      </c>
      <c r="P61" s="653" t="s">
        <v>28</v>
      </c>
      <c r="Q61" s="653" t="s">
        <v>28</v>
      </c>
      <c r="R61" s="653" t="s">
        <v>28</v>
      </c>
      <c r="S61" s="653" t="s">
        <v>28</v>
      </c>
      <c r="T61" s="653" t="s">
        <v>28</v>
      </c>
      <c r="U61" s="653" t="s">
        <v>28</v>
      </c>
      <c r="V61" s="653" t="s">
        <v>28</v>
      </c>
      <c r="W61" s="653" t="s">
        <v>28</v>
      </c>
      <c r="X61" s="653" t="s">
        <v>28</v>
      </c>
      <c r="Y61" s="665" t="s">
        <v>28</v>
      </c>
      <c r="Z61" s="665" t="s">
        <v>28</v>
      </c>
      <c r="AA61" s="665" t="s">
        <v>28</v>
      </c>
      <c r="AB61" s="665" t="s">
        <v>28</v>
      </c>
      <c r="AC61" s="665" t="s">
        <v>28</v>
      </c>
      <c r="AD61" s="665" t="s">
        <v>28</v>
      </c>
      <c r="AE61" s="665" t="s">
        <v>28</v>
      </c>
      <c r="AF61" s="665" t="s">
        <v>28</v>
      </c>
      <c r="AG61" s="665" t="s">
        <v>28</v>
      </c>
      <c r="AH61" s="665" t="s">
        <v>28</v>
      </c>
      <c r="AI61" s="665" t="s">
        <v>28</v>
      </c>
      <c r="AJ61" s="665" t="s">
        <v>28</v>
      </c>
      <c r="AK61" s="665" t="s">
        <v>28</v>
      </c>
      <c r="AL61" s="665" t="s">
        <v>28</v>
      </c>
      <c r="AM61" s="653" t="s">
        <v>28</v>
      </c>
      <c r="AN61" s="668" t="s">
        <v>28</v>
      </c>
    </row>
    <row r="62" spans="1:40" ht="10.5" customHeight="1" thickBot="1">
      <c r="A62" s="655" t="s">
        <v>31</v>
      </c>
      <c r="B62" s="656" t="s">
        <v>32</v>
      </c>
      <c r="C62" s="674" t="s">
        <v>28</v>
      </c>
      <c r="D62" s="674" t="s">
        <v>28</v>
      </c>
      <c r="E62" s="674" t="s">
        <v>28</v>
      </c>
      <c r="F62" s="674" t="s">
        <v>28</v>
      </c>
      <c r="G62" s="674" t="s">
        <v>28</v>
      </c>
      <c r="H62" s="674" t="s">
        <v>28</v>
      </c>
      <c r="I62" s="674" t="s">
        <v>28</v>
      </c>
      <c r="J62" s="674" t="s">
        <v>28</v>
      </c>
      <c r="K62" s="674" t="s">
        <v>28</v>
      </c>
      <c r="L62" s="674" t="s">
        <v>28</v>
      </c>
      <c r="M62" s="674" t="s">
        <v>28</v>
      </c>
      <c r="N62" s="657" t="s">
        <v>28</v>
      </c>
      <c r="O62" s="657" t="s">
        <v>28</v>
      </c>
      <c r="P62" s="657" t="s">
        <v>28</v>
      </c>
      <c r="Q62" s="657" t="s">
        <v>28</v>
      </c>
      <c r="R62" s="657" t="s">
        <v>28</v>
      </c>
      <c r="S62" s="657" t="s">
        <v>28</v>
      </c>
      <c r="T62" s="657" t="s">
        <v>28</v>
      </c>
      <c r="U62" s="657" t="s">
        <v>28</v>
      </c>
      <c r="V62" s="657" t="s">
        <v>28</v>
      </c>
      <c r="W62" s="657" t="s">
        <v>28</v>
      </c>
      <c r="X62" s="657" t="s">
        <v>28</v>
      </c>
      <c r="Y62" s="674" t="s">
        <v>28</v>
      </c>
      <c r="Z62" s="674" t="s">
        <v>28</v>
      </c>
      <c r="AA62" s="674" t="s">
        <v>28</v>
      </c>
      <c r="AB62" s="674" t="s">
        <v>28</v>
      </c>
      <c r="AC62" s="674" t="s">
        <v>28</v>
      </c>
      <c r="AD62" s="674" t="s">
        <v>28</v>
      </c>
      <c r="AE62" s="674" t="s">
        <v>28</v>
      </c>
      <c r="AF62" s="674" t="s">
        <v>28</v>
      </c>
      <c r="AG62" s="674" t="s">
        <v>28</v>
      </c>
      <c r="AH62" s="674" t="s">
        <v>28</v>
      </c>
      <c r="AI62" s="674" t="s">
        <v>28</v>
      </c>
      <c r="AJ62" s="674" t="s">
        <v>28</v>
      </c>
      <c r="AK62" s="674" t="s">
        <v>28</v>
      </c>
      <c r="AL62" s="674" t="s">
        <v>28</v>
      </c>
      <c r="AM62" s="657" t="s">
        <v>28</v>
      </c>
      <c r="AN62" s="677" t="s">
        <v>28</v>
      </c>
    </row>
    <row r="63" spans="1:40" ht="10.5" customHeight="1">
      <c r="A63" s="1250" t="s">
        <v>799</v>
      </c>
      <c r="B63" s="1250"/>
      <c r="C63" s="1250"/>
      <c r="D63" s="1250"/>
      <c r="E63" s="1250"/>
      <c r="F63" s="1250"/>
      <c r="G63" s="1250"/>
      <c r="H63" s="1250"/>
      <c r="I63" s="1250"/>
      <c r="J63" s="1250"/>
      <c r="K63" s="1250"/>
      <c r="L63" s="1250"/>
      <c r="M63" s="1250"/>
      <c r="N63" s="1250"/>
      <c r="O63" s="1250"/>
      <c r="P63" s="1250"/>
      <c r="Q63" s="1250"/>
      <c r="R63" s="1250"/>
      <c r="S63" s="1251" t="s">
        <v>802</v>
      </c>
      <c r="T63" s="1251"/>
      <c r="U63" s="1251"/>
      <c r="V63" s="1251"/>
      <c r="W63" s="1251"/>
      <c r="X63" s="1251"/>
      <c r="Y63" s="1251"/>
      <c r="Z63" s="1251"/>
      <c r="AA63" s="1251"/>
      <c r="AB63" s="1251"/>
      <c r="AC63" s="1251"/>
      <c r="AD63" s="1251"/>
      <c r="AE63" s="1251"/>
      <c r="AF63" s="1251"/>
      <c r="AG63" s="1251"/>
      <c r="AH63" s="1251"/>
      <c r="AI63" s="1251"/>
      <c r="AJ63" s="1251"/>
      <c r="AK63" s="1251"/>
      <c r="AL63" s="1251"/>
      <c r="AM63" s="1251"/>
      <c r="AN63" s="1251"/>
    </row>
    <row r="64" spans="1:40" ht="10.5" customHeight="1">
      <c r="A64" s="1202" t="s">
        <v>800</v>
      </c>
      <c r="B64" s="1202"/>
      <c r="C64" s="1202"/>
      <c r="D64" s="1202"/>
      <c r="E64" s="1202"/>
      <c r="F64" s="1202"/>
      <c r="G64" s="1202"/>
      <c r="H64" s="1202"/>
      <c r="I64" s="1202"/>
      <c r="J64" s="1202"/>
      <c r="K64" s="1202"/>
      <c r="L64" s="1202"/>
      <c r="M64" s="1202"/>
      <c r="N64" s="1202"/>
      <c r="O64" s="1202"/>
      <c r="P64" s="1202"/>
      <c r="Q64" s="1202"/>
      <c r="R64" s="1202"/>
      <c r="S64" s="1677" t="s">
        <v>680</v>
      </c>
      <c r="T64" s="1677"/>
      <c r="U64" s="1677"/>
      <c r="V64" s="1677"/>
      <c r="W64" s="1677"/>
      <c r="X64" s="1677"/>
      <c r="Y64" s="1677"/>
      <c r="Z64" s="1677"/>
      <c r="AA64" s="1677"/>
      <c r="AB64" s="1677"/>
      <c r="AC64" s="1677"/>
      <c r="AD64" s="1677"/>
      <c r="AE64" s="1677"/>
      <c r="AF64" s="1677"/>
      <c r="AG64" s="1677"/>
      <c r="AH64" s="1677"/>
      <c r="AI64" s="1677"/>
      <c r="AJ64" s="1677"/>
      <c r="AK64" s="1677"/>
      <c r="AL64" s="1677"/>
      <c r="AM64" s="1677"/>
      <c r="AN64" s="1677"/>
    </row>
    <row r="65" spans="1:40" ht="10.5" customHeight="1">
      <c r="A65" s="1202" t="s">
        <v>1061</v>
      </c>
      <c r="B65" s="1202"/>
      <c r="C65" s="1202"/>
      <c r="D65" s="1202"/>
      <c r="E65" s="1202"/>
      <c r="F65" s="1202"/>
      <c r="G65" s="1202"/>
      <c r="H65" s="1202"/>
      <c r="I65" s="1202"/>
      <c r="J65" s="1202"/>
      <c r="K65" s="1202"/>
      <c r="L65" s="1202"/>
      <c r="M65" s="1202"/>
      <c r="N65" s="1202"/>
      <c r="O65" s="1202"/>
      <c r="P65" s="1202"/>
      <c r="Q65" s="1202"/>
      <c r="R65" s="1202"/>
      <c r="S65" s="1202" t="s">
        <v>1062</v>
      </c>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row>
    <row r="69" spans="1:40">
      <c r="A69" s="713"/>
    </row>
  </sheetData>
  <mergeCells count="67">
    <mergeCell ref="U9:V9"/>
    <mergeCell ref="U10:V10"/>
    <mergeCell ref="A65:R65"/>
    <mergeCell ref="S65:AJ65"/>
    <mergeCell ref="AK65:AN65"/>
    <mergeCell ref="M10:N10"/>
    <mergeCell ref="K10:L10"/>
    <mergeCell ref="AA9:AB9"/>
    <mergeCell ref="A64:R64"/>
    <mergeCell ref="S64:AN64"/>
    <mergeCell ref="AM10:AN10"/>
    <mergeCell ref="A16:R16"/>
    <mergeCell ref="S16:AN16"/>
    <mergeCell ref="A32:R32"/>
    <mergeCell ref="S32:AN32"/>
    <mergeCell ref="A63:R63"/>
    <mergeCell ref="S63:AN63"/>
    <mergeCell ref="Y10:Z10"/>
    <mergeCell ref="AA10:AB10"/>
    <mergeCell ref="AC10:AD10"/>
    <mergeCell ref="AI10:AJ10"/>
    <mergeCell ref="AK10:AL10"/>
    <mergeCell ref="AG10:AH10"/>
    <mergeCell ref="O10:P10"/>
    <mergeCell ref="Q10:R10"/>
    <mergeCell ref="S10:T10"/>
    <mergeCell ref="W10:X10"/>
    <mergeCell ref="AE10:AF10"/>
    <mergeCell ref="A10:B10"/>
    <mergeCell ref="C10:D10"/>
    <mergeCell ref="E10:F10"/>
    <mergeCell ref="G10:H10"/>
    <mergeCell ref="I10:J10"/>
    <mergeCell ref="Y9:Z9"/>
    <mergeCell ref="W9:X9"/>
    <mergeCell ref="AC9:AD9"/>
    <mergeCell ref="AE9:AF9"/>
    <mergeCell ref="AG9:AH9"/>
    <mergeCell ref="A6:B6"/>
    <mergeCell ref="C6:R6"/>
    <mergeCell ref="S6:AN6"/>
    <mergeCell ref="A7:B7"/>
    <mergeCell ref="C7:R7"/>
    <mergeCell ref="S7:AN7"/>
    <mergeCell ref="A8:B8"/>
    <mergeCell ref="C8:R8"/>
    <mergeCell ref="S8:AN8"/>
    <mergeCell ref="A9:B9"/>
    <mergeCell ref="C9:D9"/>
    <mergeCell ref="E9:F9"/>
    <mergeCell ref="G9:H9"/>
    <mergeCell ref="I9:J9"/>
    <mergeCell ref="K9:L9"/>
    <mergeCell ref="M9:N9"/>
    <mergeCell ref="AM9:AN9"/>
    <mergeCell ref="O9:P9"/>
    <mergeCell ref="Q9:R9"/>
    <mergeCell ref="S9:T9"/>
    <mergeCell ref="AI9:AJ9"/>
    <mergeCell ref="AK9:AL9"/>
    <mergeCell ref="A2:R2"/>
    <mergeCell ref="S2:AN2"/>
    <mergeCell ref="A3:R3"/>
    <mergeCell ref="S3:AN3"/>
    <mergeCell ref="A5:B5"/>
    <mergeCell ref="C5:R5"/>
    <mergeCell ref="S5:AN5"/>
  </mergeCells>
  <phoneticPr fontId="4" type="noConversion"/>
  <hyperlinks>
    <hyperlink ref="A1" location="목록!A1" display="목록!A1" xr:uid="{28D7B437-2296-44AE-8E18-19DCCC979F39}"/>
  </hyperlinks>
  <pageMargins left="0.59055118110236227" right="0.54166666666666663" top="0.61458333333333337" bottom="0.29166666666666669" header="0.62992125984251968" footer="0.39370078740157483"/>
  <pageSetup paperSize="9" orientation="portrait" r:id="rId1"/>
  <rowBreaks count="1" manualBreakCount="1">
    <brk id="65" max="39" man="1"/>
  </rowBreaks>
  <colBreaks count="1" manualBreakCount="1">
    <brk id="18"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T62"/>
  <sheetViews>
    <sheetView showGridLines="0" showWhiteSpace="0" view="pageBreakPreview" zoomScaleNormal="100" zoomScaleSheetLayoutView="100" workbookViewId="0">
      <selection activeCell="A2" sqref="A2:F58"/>
    </sheetView>
  </sheetViews>
  <sheetFormatPr defaultRowHeight="16.5"/>
  <cols>
    <col min="1" max="1" width="8.6640625" style="701" customWidth="1"/>
    <col min="2" max="2" width="13.21875" style="705" customWidth="1"/>
    <col min="3" max="4" width="28.33203125" style="703" customWidth="1"/>
    <col min="5" max="6" width="39.21875" style="703" customWidth="1"/>
    <col min="7" max="16384" width="8.88671875" style="703"/>
  </cols>
  <sheetData>
    <row r="1" spans="1:20" ht="22.5">
      <c r="A1" s="901" t="s">
        <v>1332</v>
      </c>
    </row>
    <row r="2" spans="1:20" s="701" customFormat="1" ht="13.5" customHeight="1">
      <c r="A2" s="1254" t="s">
        <v>1029</v>
      </c>
      <c r="B2" s="1254"/>
      <c r="C2" s="1254"/>
      <c r="D2" s="1254"/>
      <c r="E2" s="1253" t="s">
        <v>1184</v>
      </c>
      <c r="F2" s="1253"/>
    </row>
    <row r="3" spans="1:20" ht="22.5" customHeight="1">
      <c r="A3" s="1252" t="s">
        <v>930</v>
      </c>
      <c r="B3" s="1252"/>
      <c r="C3" s="1252"/>
      <c r="D3" s="1252"/>
      <c r="E3" s="1252" t="s">
        <v>929</v>
      </c>
      <c r="F3" s="1252"/>
      <c r="G3" s="702"/>
      <c r="H3" s="702"/>
      <c r="I3" s="702"/>
      <c r="J3" s="702"/>
      <c r="K3" s="702"/>
      <c r="L3" s="702"/>
      <c r="M3" s="702"/>
      <c r="N3" s="702"/>
      <c r="O3" s="702"/>
      <c r="P3" s="702"/>
      <c r="Q3" s="702"/>
      <c r="R3" s="702"/>
      <c r="S3" s="702"/>
      <c r="T3" s="702"/>
    </row>
    <row r="4" spans="1:20" s="710" customFormat="1" ht="13.5" customHeight="1" thickBot="1">
      <c r="A4" s="1679"/>
      <c r="B4" s="1679"/>
      <c r="C4" s="1679"/>
      <c r="D4" s="1679"/>
      <c r="E4" s="1679"/>
      <c r="F4" s="1679"/>
    </row>
    <row r="5" spans="1:20" s="704" customFormat="1" ht="12">
      <c r="A5" s="1680" t="s">
        <v>2</v>
      </c>
      <c r="B5" s="1281"/>
      <c r="C5" s="1681" t="s">
        <v>545</v>
      </c>
      <c r="D5" s="1682"/>
      <c r="E5" s="1683" t="s">
        <v>546</v>
      </c>
      <c r="F5" s="1684"/>
    </row>
    <row r="6" spans="1:20" s="705" customFormat="1" ht="9.75">
      <c r="A6" s="1257" t="s">
        <v>7</v>
      </c>
      <c r="B6" s="1225"/>
      <c r="C6" s="1258" t="s">
        <v>547</v>
      </c>
      <c r="D6" s="1259"/>
      <c r="E6" s="1260" t="s">
        <v>10</v>
      </c>
      <c r="F6" s="1261"/>
    </row>
    <row r="7" spans="1:20" s="704" customFormat="1" ht="12">
      <c r="A7" s="1262"/>
      <c r="B7" s="1255"/>
      <c r="C7" s="695" t="s">
        <v>13</v>
      </c>
      <c r="D7" s="696" t="s">
        <v>23</v>
      </c>
      <c r="E7" s="697" t="s">
        <v>13</v>
      </c>
      <c r="F7" s="698" t="s">
        <v>23</v>
      </c>
    </row>
    <row r="8" spans="1:20" s="705" customFormat="1" ht="9.75">
      <c r="A8" s="1234"/>
      <c r="B8" s="1238"/>
      <c r="C8" s="947" t="s">
        <v>25</v>
      </c>
      <c r="D8" s="948" t="s">
        <v>26</v>
      </c>
      <c r="E8" s="949" t="s">
        <v>25</v>
      </c>
      <c r="F8" s="950" t="s">
        <v>26</v>
      </c>
    </row>
    <row r="9" spans="1:20" s="706" customFormat="1" ht="13.5" customHeight="1">
      <c r="A9" s="1685" t="s">
        <v>27</v>
      </c>
      <c r="B9" s="1686" t="s">
        <v>16</v>
      </c>
      <c r="C9" s="1687">
        <v>28112</v>
      </c>
      <c r="D9" s="1688">
        <v>13647</v>
      </c>
      <c r="E9" s="1689">
        <v>28108</v>
      </c>
      <c r="F9" s="1690">
        <v>13645</v>
      </c>
    </row>
    <row r="10" spans="1:20" s="707" customFormat="1" ht="12" customHeight="1">
      <c r="A10" s="954" t="s">
        <v>136</v>
      </c>
      <c r="B10" s="1691" t="s">
        <v>30</v>
      </c>
      <c r="C10" s="1692">
        <v>26812</v>
      </c>
      <c r="D10" s="1693">
        <v>13260</v>
      </c>
      <c r="E10" s="1694">
        <v>26808</v>
      </c>
      <c r="F10" s="1695">
        <v>13258</v>
      </c>
    </row>
    <row r="11" spans="1:20" s="881" customFormat="1" ht="12" customHeight="1" thickBot="1">
      <c r="A11" s="1696" t="s">
        <v>137</v>
      </c>
      <c r="B11" s="1697" t="s">
        <v>32</v>
      </c>
      <c r="C11" s="1698">
        <v>1300</v>
      </c>
      <c r="D11" s="1699">
        <v>387</v>
      </c>
      <c r="E11" s="1700">
        <v>1300</v>
      </c>
      <c r="F11" s="1701">
        <v>387</v>
      </c>
    </row>
    <row r="12" spans="1:20" s="882" customFormat="1" ht="13.5" customHeight="1" thickBot="1">
      <c r="A12" s="1262" t="s">
        <v>78</v>
      </c>
      <c r="B12" s="1262"/>
      <c r="C12" s="1262"/>
      <c r="D12" s="1262"/>
      <c r="E12" s="1262" t="s">
        <v>79</v>
      </c>
      <c r="F12" s="1262"/>
    </row>
    <row r="13" spans="1:20" s="706" customFormat="1" ht="12" customHeight="1">
      <c r="A13" s="1702" t="s">
        <v>35</v>
      </c>
      <c r="B13" s="1703" t="s">
        <v>36</v>
      </c>
      <c r="C13" s="1704">
        <v>5186</v>
      </c>
      <c r="D13" s="1705">
        <v>2555</v>
      </c>
      <c r="E13" s="1706">
        <v>5184</v>
      </c>
      <c r="F13" s="1707">
        <v>2553</v>
      </c>
    </row>
    <row r="14" spans="1:20" s="707" customFormat="1" ht="12" customHeight="1">
      <c r="A14" s="954" t="s">
        <v>136</v>
      </c>
      <c r="B14" s="1691" t="s">
        <v>30</v>
      </c>
      <c r="C14" s="1708">
        <v>4340</v>
      </c>
      <c r="D14" s="1693">
        <v>2440</v>
      </c>
      <c r="E14" s="1709">
        <v>4338</v>
      </c>
      <c r="F14" s="1710">
        <v>2438</v>
      </c>
    </row>
    <row r="15" spans="1:20" s="707" customFormat="1" ht="12" customHeight="1">
      <c r="A15" s="954" t="s">
        <v>137</v>
      </c>
      <c r="B15" s="1691" t="s">
        <v>32</v>
      </c>
      <c r="C15" s="1708">
        <v>846</v>
      </c>
      <c r="D15" s="1693">
        <v>115</v>
      </c>
      <c r="E15" s="1709">
        <v>846</v>
      </c>
      <c r="F15" s="1710">
        <v>115</v>
      </c>
    </row>
    <row r="16" spans="1:20" s="706" customFormat="1" ht="12" customHeight="1">
      <c r="A16" s="1685" t="s">
        <v>37</v>
      </c>
      <c r="B16" s="1686" t="s">
        <v>38</v>
      </c>
      <c r="C16" s="1711">
        <v>5877</v>
      </c>
      <c r="D16" s="1688">
        <v>2873</v>
      </c>
      <c r="E16" s="1712">
        <v>5875</v>
      </c>
      <c r="F16" s="1713">
        <v>2873</v>
      </c>
    </row>
    <row r="17" spans="1:6" s="707" customFormat="1" ht="12" customHeight="1">
      <c r="A17" s="954" t="s">
        <v>136</v>
      </c>
      <c r="B17" s="1691" t="s">
        <v>30</v>
      </c>
      <c r="C17" s="1708">
        <v>5877</v>
      </c>
      <c r="D17" s="1693">
        <v>2873</v>
      </c>
      <c r="E17" s="1709">
        <v>5875</v>
      </c>
      <c r="F17" s="1710">
        <v>2873</v>
      </c>
    </row>
    <row r="18" spans="1:6" s="707" customFormat="1" ht="12" customHeight="1">
      <c r="A18" s="954" t="s">
        <v>137</v>
      </c>
      <c r="B18" s="1691" t="s">
        <v>32</v>
      </c>
      <c r="C18" s="1708" t="s">
        <v>28</v>
      </c>
      <c r="D18" s="1693" t="s">
        <v>28</v>
      </c>
      <c r="E18" s="1709" t="s">
        <v>28</v>
      </c>
      <c r="F18" s="1710" t="s">
        <v>28</v>
      </c>
    </row>
    <row r="19" spans="1:6" s="706" customFormat="1" ht="12" customHeight="1">
      <c r="A19" s="1685" t="s">
        <v>39</v>
      </c>
      <c r="B19" s="1686" t="s">
        <v>40</v>
      </c>
      <c r="C19" s="1711">
        <v>9752</v>
      </c>
      <c r="D19" s="1688">
        <v>4734</v>
      </c>
      <c r="E19" s="1712">
        <v>9752</v>
      </c>
      <c r="F19" s="1713">
        <v>4734</v>
      </c>
    </row>
    <row r="20" spans="1:6" s="707" customFormat="1" ht="12" customHeight="1">
      <c r="A20" s="954" t="s">
        <v>136</v>
      </c>
      <c r="B20" s="1691" t="s">
        <v>30</v>
      </c>
      <c r="C20" s="1708">
        <v>9346</v>
      </c>
      <c r="D20" s="1693">
        <v>4474</v>
      </c>
      <c r="E20" s="1709">
        <v>9346</v>
      </c>
      <c r="F20" s="1710">
        <v>4474</v>
      </c>
    </row>
    <row r="21" spans="1:6" s="707" customFormat="1" ht="12" customHeight="1">
      <c r="A21" s="954" t="s">
        <v>137</v>
      </c>
      <c r="B21" s="1691" t="s">
        <v>32</v>
      </c>
      <c r="C21" s="1708">
        <v>406</v>
      </c>
      <c r="D21" s="1693">
        <v>260</v>
      </c>
      <c r="E21" s="1709">
        <v>406</v>
      </c>
      <c r="F21" s="1710">
        <v>260</v>
      </c>
    </row>
    <row r="22" spans="1:6" s="706" customFormat="1" ht="12" customHeight="1">
      <c r="A22" s="1685" t="s">
        <v>41</v>
      </c>
      <c r="B22" s="1686" t="s">
        <v>42</v>
      </c>
      <c r="C22" s="1711">
        <v>6868</v>
      </c>
      <c r="D22" s="1688">
        <v>3286</v>
      </c>
      <c r="E22" s="1712">
        <v>6868</v>
      </c>
      <c r="F22" s="1713">
        <v>3286</v>
      </c>
    </row>
    <row r="23" spans="1:6" s="707" customFormat="1" ht="12" customHeight="1">
      <c r="A23" s="954" t="s">
        <v>136</v>
      </c>
      <c r="B23" s="1691" t="s">
        <v>30</v>
      </c>
      <c r="C23" s="1708">
        <v>6868</v>
      </c>
      <c r="D23" s="1693">
        <v>3286</v>
      </c>
      <c r="E23" s="1709">
        <v>6868</v>
      </c>
      <c r="F23" s="1710">
        <v>3286</v>
      </c>
    </row>
    <row r="24" spans="1:6" s="707" customFormat="1" ht="12" customHeight="1">
      <c r="A24" s="954" t="s">
        <v>137</v>
      </c>
      <c r="B24" s="1691" t="s">
        <v>32</v>
      </c>
      <c r="C24" s="1708" t="s">
        <v>28</v>
      </c>
      <c r="D24" s="1693" t="s">
        <v>28</v>
      </c>
      <c r="E24" s="1709" t="s">
        <v>28</v>
      </c>
      <c r="F24" s="1710" t="s">
        <v>28</v>
      </c>
    </row>
    <row r="25" spans="1:6" s="706" customFormat="1" ht="12" customHeight="1">
      <c r="A25" s="1685" t="s">
        <v>43</v>
      </c>
      <c r="B25" s="1686" t="s">
        <v>44</v>
      </c>
      <c r="C25" s="1711">
        <v>429</v>
      </c>
      <c r="D25" s="1688">
        <v>199</v>
      </c>
      <c r="E25" s="1712">
        <v>429</v>
      </c>
      <c r="F25" s="1713">
        <v>199</v>
      </c>
    </row>
    <row r="26" spans="1:6" s="707" customFormat="1" ht="12" customHeight="1">
      <c r="A26" s="954" t="s">
        <v>136</v>
      </c>
      <c r="B26" s="1691" t="s">
        <v>30</v>
      </c>
      <c r="C26" s="1708">
        <v>381</v>
      </c>
      <c r="D26" s="1693">
        <v>187</v>
      </c>
      <c r="E26" s="1709">
        <v>381</v>
      </c>
      <c r="F26" s="1710">
        <v>187</v>
      </c>
    </row>
    <row r="27" spans="1:6" s="881" customFormat="1" ht="12" customHeight="1" thickBot="1">
      <c r="A27" s="1696" t="s">
        <v>137</v>
      </c>
      <c r="B27" s="1697" t="s">
        <v>32</v>
      </c>
      <c r="C27" s="1714">
        <v>48</v>
      </c>
      <c r="D27" s="1699">
        <v>12</v>
      </c>
      <c r="E27" s="1715">
        <v>48</v>
      </c>
      <c r="F27" s="1716">
        <v>12</v>
      </c>
    </row>
    <row r="28" spans="1:6" s="882" customFormat="1" ht="13.5" customHeight="1" thickBot="1">
      <c r="A28" s="1262" t="s">
        <v>364</v>
      </c>
      <c r="B28" s="1262"/>
      <c r="C28" s="1262"/>
      <c r="D28" s="1262"/>
      <c r="E28" s="1262" t="s">
        <v>46</v>
      </c>
      <c r="F28" s="1262"/>
    </row>
    <row r="29" spans="1:6" s="706" customFormat="1" ht="12" customHeight="1">
      <c r="A29" s="1702" t="s">
        <v>47</v>
      </c>
      <c r="B29" s="1703" t="s">
        <v>48</v>
      </c>
      <c r="C29" s="1704">
        <v>1988</v>
      </c>
      <c r="D29" s="1705">
        <v>980</v>
      </c>
      <c r="E29" s="1706">
        <v>1988</v>
      </c>
      <c r="F29" s="1717">
        <v>980</v>
      </c>
    </row>
    <row r="30" spans="1:6" s="707" customFormat="1" ht="12" customHeight="1">
      <c r="A30" s="954" t="s">
        <v>136</v>
      </c>
      <c r="B30" s="1691" t="s">
        <v>30</v>
      </c>
      <c r="C30" s="1708">
        <v>1705</v>
      </c>
      <c r="D30" s="1693">
        <v>865</v>
      </c>
      <c r="E30" s="1709">
        <v>1705</v>
      </c>
      <c r="F30" s="1718">
        <v>865</v>
      </c>
    </row>
    <row r="31" spans="1:6" s="707" customFormat="1" ht="12" customHeight="1">
      <c r="A31" s="954" t="s">
        <v>137</v>
      </c>
      <c r="B31" s="1691" t="s">
        <v>32</v>
      </c>
      <c r="C31" s="1708">
        <v>283</v>
      </c>
      <c r="D31" s="1693">
        <v>115</v>
      </c>
      <c r="E31" s="1709">
        <v>283</v>
      </c>
      <c r="F31" s="1718">
        <v>115</v>
      </c>
    </row>
    <row r="32" spans="1:6" s="706" customFormat="1" ht="12" customHeight="1">
      <c r="A32" s="1685" t="s">
        <v>49</v>
      </c>
      <c r="B32" s="1686" t="s">
        <v>50</v>
      </c>
      <c r="C32" s="1711">
        <v>419</v>
      </c>
      <c r="D32" s="1688">
        <v>53</v>
      </c>
      <c r="E32" s="1712">
        <v>419</v>
      </c>
      <c r="F32" s="1719">
        <v>53</v>
      </c>
    </row>
    <row r="33" spans="1:6" s="707" customFormat="1" ht="12" customHeight="1">
      <c r="A33" s="954" t="s">
        <v>136</v>
      </c>
      <c r="B33" s="1691" t="s">
        <v>30</v>
      </c>
      <c r="C33" s="1708">
        <v>117</v>
      </c>
      <c r="D33" s="1693">
        <v>53</v>
      </c>
      <c r="E33" s="1709">
        <v>117</v>
      </c>
      <c r="F33" s="1718">
        <v>53</v>
      </c>
    </row>
    <row r="34" spans="1:6" s="707" customFormat="1" ht="12" customHeight="1">
      <c r="A34" s="954" t="s">
        <v>137</v>
      </c>
      <c r="B34" s="1691" t="s">
        <v>32</v>
      </c>
      <c r="C34" s="1708">
        <v>302</v>
      </c>
      <c r="D34" s="1693" t="s">
        <v>28</v>
      </c>
      <c r="E34" s="1709">
        <v>302</v>
      </c>
      <c r="F34" s="1718" t="s">
        <v>28</v>
      </c>
    </row>
    <row r="35" spans="1:6" s="706" customFormat="1" ht="12" customHeight="1">
      <c r="A35" s="1685" t="s">
        <v>963</v>
      </c>
      <c r="B35" s="1686" t="s">
        <v>964</v>
      </c>
      <c r="C35" s="1711">
        <v>2705</v>
      </c>
      <c r="D35" s="1688">
        <v>1483</v>
      </c>
      <c r="E35" s="1712">
        <v>2704</v>
      </c>
      <c r="F35" s="1719">
        <v>1482</v>
      </c>
    </row>
    <row r="36" spans="1:6" s="707" customFormat="1" ht="12" customHeight="1">
      <c r="A36" s="954" t="s">
        <v>136</v>
      </c>
      <c r="B36" s="1691" t="s">
        <v>30</v>
      </c>
      <c r="C36" s="1708">
        <v>2444</v>
      </c>
      <c r="D36" s="1693">
        <v>1483</v>
      </c>
      <c r="E36" s="1709">
        <v>2443</v>
      </c>
      <c r="F36" s="1718">
        <v>1482</v>
      </c>
    </row>
    <row r="37" spans="1:6" s="707" customFormat="1" ht="12" customHeight="1">
      <c r="A37" s="954" t="s">
        <v>137</v>
      </c>
      <c r="B37" s="1691" t="s">
        <v>32</v>
      </c>
      <c r="C37" s="1708">
        <v>261</v>
      </c>
      <c r="D37" s="1693" t="s">
        <v>28</v>
      </c>
      <c r="E37" s="1709">
        <v>261</v>
      </c>
      <c r="F37" s="1718" t="s">
        <v>28</v>
      </c>
    </row>
    <row r="38" spans="1:6" s="706" customFormat="1" ht="12" customHeight="1">
      <c r="A38" s="1685" t="s">
        <v>51</v>
      </c>
      <c r="B38" s="1686" t="s">
        <v>52</v>
      </c>
      <c r="C38" s="1711">
        <v>4944</v>
      </c>
      <c r="D38" s="1688">
        <v>2435</v>
      </c>
      <c r="E38" s="1712">
        <v>4944</v>
      </c>
      <c r="F38" s="1719">
        <v>2435</v>
      </c>
    </row>
    <row r="39" spans="1:6" s="707" customFormat="1" ht="12" customHeight="1">
      <c r="A39" s="954" t="s">
        <v>136</v>
      </c>
      <c r="B39" s="1691" t="s">
        <v>30</v>
      </c>
      <c r="C39" s="1708">
        <v>4665</v>
      </c>
      <c r="D39" s="1693">
        <v>2302</v>
      </c>
      <c r="E39" s="1709">
        <v>4665</v>
      </c>
      <c r="F39" s="1718">
        <v>2302</v>
      </c>
    </row>
    <row r="40" spans="1:6" s="707" customFormat="1" ht="12" customHeight="1">
      <c r="A40" s="954" t="s">
        <v>137</v>
      </c>
      <c r="B40" s="1691" t="s">
        <v>32</v>
      </c>
      <c r="C40" s="1708">
        <v>279</v>
      </c>
      <c r="D40" s="1693">
        <v>133</v>
      </c>
      <c r="E40" s="1709">
        <v>279</v>
      </c>
      <c r="F40" s="1718">
        <v>133</v>
      </c>
    </row>
    <row r="41" spans="1:6" s="706" customFormat="1" ht="12" customHeight="1">
      <c r="A41" s="1685" t="s">
        <v>53</v>
      </c>
      <c r="B41" s="1686" t="s">
        <v>54</v>
      </c>
      <c r="C41" s="1711">
        <v>4808</v>
      </c>
      <c r="D41" s="1688">
        <v>2299</v>
      </c>
      <c r="E41" s="1712">
        <v>4808</v>
      </c>
      <c r="F41" s="1719">
        <v>2299</v>
      </c>
    </row>
    <row r="42" spans="1:6" s="707" customFormat="1" ht="12" customHeight="1">
      <c r="A42" s="954" t="s">
        <v>136</v>
      </c>
      <c r="B42" s="1691" t="s">
        <v>30</v>
      </c>
      <c r="C42" s="1708">
        <v>4681</v>
      </c>
      <c r="D42" s="1693">
        <v>2172</v>
      </c>
      <c r="E42" s="1709">
        <v>4681</v>
      </c>
      <c r="F42" s="1718">
        <v>2172</v>
      </c>
    </row>
    <row r="43" spans="1:6" s="707" customFormat="1" ht="12" customHeight="1">
      <c r="A43" s="954" t="s">
        <v>137</v>
      </c>
      <c r="B43" s="1691" t="s">
        <v>32</v>
      </c>
      <c r="C43" s="1708">
        <v>127</v>
      </c>
      <c r="D43" s="1693">
        <v>127</v>
      </c>
      <c r="E43" s="1709">
        <v>127</v>
      </c>
      <c r="F43" s="1718">
        <v>127</v>
      </c>
    </row>
    <row r="44" spans="1:6" s="706" customFormat="1" ht="12" customHeight="1">
      <c r="A44" s="1685" t="s">
        <v>55</v>
      </c>
      <c r="B44" s="1686" t="s">
        <v>56</v>
      </c>
      <c r="C44" s="1711">
        <v>3873</v>
      </c>
      <c r="D44" s="1688">
        <v>1879</v>
      </c>
      <c r="E44" s="1712">
        <v>3871</v>
      </c>
      <c r="F44" s="1719">
        <v>1879</v>
      </c>
    </row>
    <row r="45" spans="1:6" s="707" customFormat="1" ht="12" customHeight="1">
      <c r="A45" s="954" t="s">
        <v>136</v>
      </c>
      <c r="B45" s="1691" t="s">
        <v>30</v>
      </c>
      <c r="C45" s="1708">
        <v>3873</v>
      </c>
      <c r="D45" s="1693">
        <v>1879</v>
      </c>
      <c r="E45" s="1709">
        <v>3871</v>
      </c>
      <c r="F45" s="1718">
        <v>1879</v>
      </c>
    </row>
    <row r="46" spans="1:6" s="707" customFormat="1" ht="12" customHeight="1">
      <c r="A46" s="954" t="s">
        <v>137</v>
      </c>
      <c r="B46" s="1691" t="s">
        <v>32</v>
      </c>
      <c r="C46" s="1708" t="s">
        <v>28</v>
      </c>
      <c r="D46" s="1693" t="s">
        <v>28</v>
      </c>
      <c r="E46" s="1709" t="s">
        <v>28</v>
      </c>
      <c r="F46" s="1718" t="s">
        <v>28</v>
      </c>
    </row>
    <row r="47" spans="1:6" s="706" customFormat="1" ht="12" customHeight="1">
      <c r="A47" s="1685" t="s">
        <v>57</v>
      </c>
      <c r="B47" s="1686" t="s">
        <v>58</v>
      </c>
      <c r="C47" s="1711">
        <v>2004</v>
      </c>
      <c r="D47" s="1688">
        <v>994</v>
      </c>
      <c r="E47" s="1712">
        <v>2004</v>
      </c>
      <c r="F47" s="1719">
        <v>994</v>
      </c>
    </row>
    <row r="48" spans="1:6" s="707" customFormat="1" ht="12" customHeight="1">
      <c r="A48" s="954" t="s">
        <v>136</v>
      </c>
      <c r="B48" s="1691" t="s">
        <v>30</v>
      </c>
      <c r="C48" s="1708">
        <v>2004</v>
      </c>
      <c r="D48" s="1693">
        <v>994</v>
      </c>
      <c r="E48" s="1709">
        <v>2004</v>
      </c>
      <c r="F48" s="1718">
        <v>994</v>
      </c>
    </row>
    <row r="49" spans="1:6" s="707" customFormat="1" ht="12" customHeight="1">
      <c r="A49" s="954" t="s">
        <v>137</v>
      </c>
      <c r="B49" s="1691" t="s">
        <v>32</v>
      </c>
      <c r="C49" s="1708" t="s">
        <v>28</v>
      </c>
      <c r="D49" s="1693" t="s">
        <v>28</v>
      </c>
      <c r="E49" s="1709" t="s">
        <v>28</v>
      </c>
      <c r="F49" s="1718" t="s">
        <v>28</v>
      </c>
    </row>
    <row r="50" spans="1:6" s="706" customFormat="1" ht="12" customHeight="1">
      <c r="A50" s="1685" t="s">
        <v>59</v>
      </c>
      <c r="B50" s="1686" t="s">
        <v>60</v>
      </c>
      <c r="C50" s="1711">
        <v>6868</v>
      </c>
      <c r="D50" s="1688">
        <v>3286</v>
      </c>
      <c r="E50" s="1712">
        <v>6868</v>
      </c>
      <c r="F50" s="1719">
        <v>3286</v>
      </c>
    </row>
    <row r="51" spans="1:6" s="707" customFormat="1" ht="12" customHeight="1">
      <c r="A51" s="954" t="s">
        <v>136</v>
      </c>
      <c r="B51" s="1691" t="s">
        <v>30</v>
      </c>
      <c r="C51" s="1708">
        <v>6868</v>
      </c>
      <c r="D51" s="1693">
        <v>3286</v>
      </c>
      <c r="E51" s="1709">
        <v>6868</v>
      </c>
      <c r="F51" s="1718">
        <v>3286</v>
      </c>
    </row>
    <row r="52" spans="1:6" s="707" customFormat="1" ht="12" customHeight="1">
      <c r="A52" s="954" t="s">
        <v>137</v>
      </c>
      <c r="B52" s="1691" t="s">
        <v>32</v>
      </c>
      <c r="C52" s="1708" t="s">
        <v>28</v>
      </c>
      <c r="D52" s="1693" t="s">
        <v>28</v>
      </c>
      <c r="E52" s="1709" t="s">
        <v>28</v>
      </c>
      <c r="F52" s="1718" t="s">
        <v>28</v>
      </c>
    </row>
    <row r="53" spans="1:6" s="706" customFormat="1" ht="12" customHeight="1">
      <c r="A53" s="1685" t="s">
        <v>61</v>
      </c>
      <c r="B53" s="1686" t="s">
        <v>62</v>
      </c>
      <c r="C53" s="1711">
        <v>429</v>
      </c>
      <c r="D53" s="1688">
        <v>199</v>
      </c>
      <c r="E53" s="1712">
        <v>429</v>
      </c>
      <c r="F53" s="1719">
        <v>199</v>
      </c>
    </row>
    <row r="54" spans="1:6" s="707" customFormat="1" ht="12" customHeight="1">
      <c r="A54" s="954" t="s">
        <v>136</v>
      </c>
      <c r="B54" s="1691" t="s">
        <v>30</v>
      </c>
      <c r="C54" s="1708">
        <v>381</v>
      </c>
      <c r="D54" s="1693">
        <v>187</v>
      </c>
      <c r="E54" s="1709">
        <v>381</v>
      </c>
      <c r="F54" s="1718">
        <v>187</v>
      </c>
    </row>
    <row r="55" spans="1:6" s="707" customFormat="1" ht="12" customHeight="1">
      <c r="A55" s="954" t="s">
        <v>137</v>
      </c>
      <c r="B55" s="1691" t="s">
        <v>32</v>
      </c>
      <c r="C55" s="1708">
        <v>48</v>
      </c>
      <c r="D55" s="1693">
        <v>12</v>
      </c>
      <c r="E55" s="1709">
        <v>48</v>
      </c>
      <c r="F55" s="1718">
        <v>12</v>
      </c>
    </row>
    <row r="56" spans="1:6" s="706" customFormat="1" ht="12" customHeight="1">
      <c r="A56" s="1685" t="s">
        <v>63</v>
      </c>
      <c r="B56" s="1686" t="s">
        <v>64</v>
      </c>
      <c r="C56" s="1711">
        <v>74</v>
      </c>
      <c r="D56" s="1688">
        <v>39</v>
      </c>
      <c r="E56" s="1712">
        <v>73</v>
      </c>
      <c r="F56" s="1719">
        <v>38</v>
      </c>
    </row>
    <row r="57" spans="1:6" s="707" customFormat="1" ht="12" customHeight="1">
      <c r="A57" s="954" t="s">
        <v>136</v>
      </c>
      <c r="B57" s="1691" t="s">
        <v>30</v>
      </c>
      <c r="C57" s="1708">
        <v>74</v>
      </c>
      <c r="D57" s="1693">
        <v>39</v>
      </c>
      <c r="E57" s="1709">
        <v>73</v>
      </c>
      <c r="F57" s="1718">
        <v>38</v>
      </c>
    </row>
    <row r="58" spans="1:6" s="881" customFormat="1" ht="12" customHeight="1" thickBot="1">
      <c r="A58" s="1696" t="s">
        <v>137</v>
      </c>
      <c r="B58" s="1697" t="s">
        <v>32</v>
      </c>
      <c r="C58" s="1714" t="s">
        <v>28</v>
      </c>
      <c r="D58" s="1699" t="s">
        <v>28</v>
      </c>
      <c r="E58" s="1715" t="s">
        <v>28</v>
      </c>
      <c r="F58" s="1720" t="s">
        <v>28</v>
      </c>
    </row>
    <row r="59" spans="1:6">
      <c r="A59" s="1242" t="s">
        <v>82</v>
      </c>
      <c r="B59" s="1242"/>
      <c r="C59" s="1242"/>
      <c r="D59" s="1242" t="s">
        <v>82</v>
      </c>
      <c r="E59" s="1242"/>
      <c r="F59" s="1242"/>
    </row>
    <row r="62" spans="1:6">
      <c r="A62" s="708"/>
    </row>
  </sheetData>
  <mergeCells count="18">
    <mergeCell ref="A6:B6"/>
    <mergeCell ref="C6:D6"/>
    <mergeCell ref="E6:F6"/>
    <mergeCell ref="A59:C59"/>
    <mergeCell ref="D59:F59"/>
    <mergeCell ref="A7:B7"/>
    <mergeCell ref="A8:B8"/>
    <mergeCell ref="A12:D12"/>
    <mergeCell ref="E12:F12"/>
    <mergeCell ref="A28:D28"/>
    <mergeCell ref="E28:F28"/>
    <mergeCell ref="A3:D3"/>
    <mergeCell ref="E3:F3"/>
    <mergeCell ref="E2:F2"/>
    <mergeCell ref="A2:D2"/>
    <mergeCell ref="A5:B5"/>
    <mergeCell ref="C5:D5"/>
    <mergeCell ref="E5:F5"/>
  </mergeCells>
  <phoneticPr fontId="4" type="noConversion"/>
  <hyperlinks>
    <hyperlink ref="A1" location="목록!A1" display="목록!A1" xr:uid="{8903A893-60D0-4F2B-9C34-ABB00288C739}"/>
  </hyperlinks>
  <pageMargins left="0.59055118110236227" right="0.59055118110236227" top="0.78740157480314965" bottom="0.59055118110236227" header="0.62992125984251968" footer="0.39370078740157483"/>
  <pageSetup paperSize="9" orientation="portrait" r:id="rId1"/>
  <rowBreaks count="1" manualBreakCount="1">
    <brk id="58" max="5" man="1"/>
  </row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U70"/>
  <sheetViews>
    <sheetView showGridLines="0" showWhiteSpace="0" view="pageBreakPreview" zoomScaleNormal="100" zoomScaleSheetLayoutView="100" workbookViewId="0">
      <selection activeCell="A2" sqref="A2:U67"/>
    </sheetView>
  </sheetViews>
  <sheetFormatPr defaultColWidth="8.88671875" defaultRowHeight="16.5"/>
  <cols>
    <col min="1" max="1" width="5" style="703" customWidth="1"/>
    <col min="2" max="2" width="11.44140625" style="726" customWidth="1"/>
    <col min="3" max="9" width="8.77734375" style="703" customWidth="1"/>
    <col min="10" max="13" width="6.5546875" style="703" customWidth="1"/>
    <col min="14" max="21" width="6.44140625" style="703" customWidth="1"/>
    <col min="22" max="16384" width="8.88671875" style="703"/>
  </cols>
  <sheetData>
    <row r="1" spans="1:21" ht="22.5">
      <c r="A1" s="901" t="s">
        <v>1332</v>
      </c>
    </row>
    <row r="2" spans="1:21" s="701" customFormat="1" ht="13.5" customHeight="1">
      <c r="A2" s="1254" t="s">
        <v>959</v>
      </c>
      <c r="B2" s="1254"/>
      <c r="C2" s="1254"/>
      <c r="D2" s="1254"/>
      <c r="E2" s="1254"/>
      <c r="F2" s="1254"/>
      <c r="G2" s="1254"/>
      <c r="H2" s="1254"/>
      <c r="I2" s="1254"/>
      <c r="J2" s="1279" t="s">
        <v>1185</v>
      </c>
      <c r="K2" s="1279"/>
      <c r="L2" s="1279"/>
      <c r="M2" s="1279"/>
      <c r="N2" s="1279"/>
      <c r="O2" s="1279"/>
      <c r="P2" s="1279"/>
      <c r="Q2" s="1279"/>
      <c r="R2" s="1279"/>
      <c r="S2" s="1279"/>
      <c r="T2" s="1279"/>
      <c r="U2" s="1279"/>
    </row>
    <row r="3" spans="1:21" ht="22.5" customHeight="1">
      <c r="A3" s="1252" t="s">
        <v>928</v>
      </c>
      <c r="B3" s="1252"/>
      <c r="C3" s="1252"/>
      <c r="D3" s="1252"/>
      <c r="E3" s="1252"/>
      <c r="F3" s="1252"/>
      <c r="G3" s="1252"/>
      <c r="H3" s="1252"/>
      <c r="I3" s="1252"/>
      <c r="J3" s="1219" t="s">
        <v>927</v>
      </c>
      <c r="K3" s="1219"/>
      <c r="L3" s="1219"/>
      <c r="M3" s="1219"/>
      <c r="N3" s="1219"/>
      <c r="O3" s="1219"/>
      <c r="P3" s="1219"/>
      <c r="Q3" s="1219"/>
      <c r="R3" s="1219"/>
      <c r="S3" s="1219"/>
      <c r="T3" s="1219"/>
      <c r="U3" s="1219"/>
    </row>
    <row r="4" spans="1:21" s="710" customFormat="1" ht="13.5" customHeight="1" thickBot="1">
      <c r="A4" s="1679"/>
      <c r="B4" s="1679"/>
      <c r="C4" s="1679"/>
      <c r="D4" s="1679"/>
      <c r="E4" s="1679"/>
      <c r="F4" s="1679"/>
      <c r="G4" s="1679"/>
      <c r="H4" s="1679"/>
      <c r="I4" s="1679"/>
      <c r="J4" s="1679"/>
      <c r="K4" s="1679"/>
      <c r="L4" s="703"/>
      <c r="M4" s="703"/>
      <c r="N4" s="703"/>
      <c r="O4" s="703"/>
      <c r="P4" s="703"/>
      <c r="Q4" s="703"/>
      <c r="R4" s="703"/>
      <c r="S4" s="703"/>
      <c r="T4" s="703"/>
      <c r="U4" s="703"/>
    </row>
    <row r="5" spans="1:21" s="883" customFormat="1" ht="20.25" customHeight="1">
      <c r="A5" s="1680" t="s">
        <v>2</v>
      </c>
      <c r="B5" s="1281"/>
      <c r="C5" s="1280" t="s">
        <v>1221</v>
      </c>
      <c r="D5" s="1281"/>
      <c r="E5" s="1280" t="s">
        <v>1223</v>
      </c>
      <c r="F5" s="1680"/>
      <c r="G5" s="1680"/>
      <c r="H5" s="1680"/>
      <c r="I5" s="1680"/>
      <c r="J5" s="1680" t="s">
        <v>1223</v>
      </c>
      <c r="K5" s="1680"/>
      <c r="L5" s="1680"/>
      <c r="M5" s="1680"/>
      <c r="N5" s="1680"/>
      <c r="O5" s="1680"/>
      <c r="P5" s="1680"/>
      <c r="Q5" s="1281"/>
      <c r="R5" s="1280" t="s">
        <v>684</v>
      </c>
      <c r="S5" s="1281"/>
      <c r="T5" s="1280" t="s">
        <v>685</v>
      </c>
      <c r="U5" s="1680"/>
    </row>
    <row r="6" spans="1:21" s="705" customFormat="1" ht="10.5" customHeight="1">
      <c r="A6" s="1257" t="s">
        <v>366</v>
      </c>
      <c r="B6" s="1225"/>
      <c r="C6" s="1232" t="s">
        <v>1222</v>
      </c>
      <c r="D6" s="1225"/>
      <c r="E6" s="1232" t="s">
        <v>1224</v>
      </c>
      <c r="F6" s="1257"/>
      <c r="G6" s="1257"/>
      <c r="H6" s="1257"/>
      <c r="I6" s="1257"/>
      <c r="J6" s="1257" t="s">
        <v>1224</v>
      </c>
      <c r="K6" s="1257"/>
      <c r="L6" s="1257"/>
      <c r="M6" s="1257"/>
      <c r="N6" s="1257"/>
      <c r="O6" s="1257"/>
      <c r="P6" s="1257"/>
      <c r="Q6" s="1225"/>
      <c r="R6" s="1232" t="s">
        <v>365</v>
      </c>
      <c r="S6" s="1225"/>
      <c r="T6" s="1263"/>
      <c r="U6" s="1262"/>
    </row>
    <row r="7" spans="1:21" s="704" customFormat="1" ht="12" customHeight="1">
      <c r="A7" s="1262"/>
      <c r="B7" s="1255"/>
      <c r="C7" s="1263"/>
      <c r="D7" s="1264"/>
      <c r="E7" s="1256" t="s">
        <v>474</v>
      </c>
      <c r="F7" s="1256"/>
      <c r="G7" s="1256"/>
      <c r="H7" s="1274" t="s">
        <v>439</v>
      </c>
      <c r="I7" s="1276"/>
      <c r="J7" s="1274" t="s">
        <v>690</v>
      </c>
      <c r="K7" s="1276"/>
      <c r="L7" s="1274" t="s">
        <v>139</v>
      </c>
      <c r="M7" s="1275"/>
      <c r="N7" s="1278" t="s">
        <v>440</v>
      </c>
      <c r="O7" s="1276"/>
      <c r="P7" s="1235" t="s">
        <v>506</v>
      </c>
      <c r="Q7" s="1277"/>
      <c r="R7" s="1679"/>
      <c r="S7" s="715"/>
      <c r="T7" s="1272" t="s">
        <v>686</v>
      </c>
      <c r="U7" s="1721"/>
    </row>
    <row r="8" spans="1:21" s="705" customFormat="1" ht="19.5" customHeight="1">
      <c r="A8" s="1257"/>
      <c r="B8" s="1225"/>
      <c r="C8" s="1233"/>
      <c r="D8" s="1238"/>
      <c r="E8" s="1232" t="s">
        <v>16</v>
      </c>
      <c r="F8" s="1257"/>
      <c r="G8" s="1269"/>
      <c r="H8" s="1270" t="s">
        <v>689</v>
      </c>
      <c r="I8" s="1271"/>
      <c r="J8" s="1267" t="s">
        <v>687</v>
      </c>
      <c r="K8" s="1266"/>
      <c r="L8" s="1267" t="s">
        <v>1225</v>
      </c>
      <c r="M8" s="1268"/>
      <c r="N8" s="1265" t="s">
        <v>688</v>
      </c>
      <c r="O8" s="1266"/>
      <c r="P8" s="1267" t="s">
        <v>391</v>
      </c>
      <c r="Q8" s="1268"/>
      <c r="R8" s="716"/>
      <c r="S8" s="717"/>
      <c r="T8" s="1273"/>
      <c r="U8" s="1265"/>
    </row>
    <row r="9" spans="1:21" s="704" customFormat="1" ht="12" customHeight="1">
      <c r="A9" s="1262"/>
      <c r="B9" s="1255"/>
      <c r="C9" s="952" t="s">
        <v>13</v>
      </c>
      <c r="D9" s="952" t="s">
        <v>23</v>
      </c>
      <c r="E9" s="955" t="s">
        <v>140</v>
      </c>
      <c r="F9" s="956" t="s">
        <v>13</v>
      </c>
      <c r="G9" s="956" t="s">
        <v>23</v>
      </c>
      <c r="H9" s="697" t="s">
        <v>13</v>
      </c>
      <c r="I9" s="697" t="s">
        <v>23</v>
      </c>
      <c r="J9" s="697" t="s">
        <v>13</v>
      </c>
      <c r="K9" s="718" t="s">
        <v>23</v>
      </c>
      <c r="L9" s="719" t="s">
        <v>13</v>
      </c>
      <c r="M9" s="720" t="s">
        <v>23</v>
      </c>
      <c r="N9" s="952" t="s">
        <v>13</v>
      </c>
      <c r="O9" s="952" t="s">
        <v>23</v>
      </c>
      <c r="P9" s="952" t="s">
        <v>13</v>
      </c>
      <c r="Q9" s="952" t="s">
        <v>23</v>
      </c>
      <c r="R9" s="952" t="s">
        <v>13</v>
      </c>
      <c r="S9" s="952" t="s">
        <v>23</v>
      </c>
      <c r="T9" s="695" t="s">
        <v>13</v>
      </c>
      <c r="U9" s="951" t="s">
        <v>23</v>
      </c>
    </row>
    <row r="10" spans="1:21" s="705" customFormat="1" ht="10.5" customHeight="1">
      <c r="A10" s="1234"/>
      <c r="B10" s="1238"/>
      <c r="C10" s="942" t="s">
        <v>25</v>
      </c>
      <c r="D10" s="942" t="s">
        <v>26</v>
      </c>
      <c r="E10" s="721" t="s">
        <v>1227</v>
      </c>
      <c r="F10" s="949" t="s">
        <v>25</v>
      </c>
      <c r="G10" s="949" t="s">
        <v>26</v>
      </c>
      <c r="H10" s="949" t="s">
        <v>25</v>
      </c>
      <c r="I10" s="949" t="s">
        <v>26</v>
      </c>
      <c r="J10" s="949" t="s">
        <v>25</v>
      </c>
      <c r="K10" s="722" t="s">
        <v>26</v>
      </c>
      <c r="L10" s="723" t="s">
        <v>25</v>
      </c>
      <c r="M10" s="724" t="s">
        <v>26</v>
      </c>
      <c r="N10" s="942" t="s">
        <v>25</v>
      </c>
      <c r="O10" s="942" t="s">
        <v>26</v>
      </c>
      <c r="P10" s="942" t="s">
        <v>25</v>
      </c>
      <c r="Q10" s="942" t="s">
        <v>26</v>
      </c>
      <c r="R10" s="942" t="s">
        <v>25</v>
      </c>
      <c r="S10" s="942" t="s">
        <v>26</v>
      </c>
      <c r="T10" s="947" t="s">
        <v>25</v>
      </c>
      <c r="U10" s="938" t="s">
        <v>26</v>
      </c>
    </row>
    <row r="11" spans="1:21" s="706" customFormat="1" ht="12" customHeight="1">
      <c r="A11" s="1685" t="s">
        <v>27</v>
      </c>
      <c r="B11" s="1722" t="s">
        <v>16</v>
      </c>
      <c r="C11" s="1723">
        <v>25288</v>
      </c>
      <c r="D11" s="1723">
        <v>12317</v>
      </c>
      <c r="E11" s="1724">
        <v>99.7</v>
      </c>
      <c r="F11" s="1725">
        <v>25213</v>
      </c>
      <c r="G11" s="1725">
        <v>12274</v>
      </c>
      <c r="H11" s="1725">
        <v>19279</v>
      </c>
      <c r="I11" s="1725">
        <v>9233</v>
      </c>
      <c r="J11" s="1725">
        <v>4052</v>
      </c>
      <c r="K11" s="1726">
        <v>1994</v>
      </c>
      <c r="L11" s="1727">
        <v>1210</v>
      </c>
      <c r="M11" s="1728">
        <v>711</v>
      </c>
      <c r="N11" s="1723">
        <v>473</v>
      </c>
      <c r="O11" s="1723">
        <v>248</v>
      </c>
      <c r="P11" s="1723">
        <v>199</v>
      </c>
      <c r="Q11" s="1723">
        <v>88</v>
      </c>
      <c r="R11" s="1723" t="s">
        <v>28</v>
      </c>
      <c r="S11" s="1723" t="s">
        <v>28</v>
      </c>
      <c r="T11" s="1729">
        <v>75</v>
      </c>
      <c r="U11" s="1730">
        <v>43</v>
      </c>
    </row>
    <row r="12" spans="1:21" s="707" customFormat="1" ht="12" customHeight="1">
      <c r="A12" s="954" t="s">
        <v>141</v>
      </c>
      <c r="B12" s="1731" t="s">
        <v>142</v>
      </c>
      <c r="C12" s="1732" t="s">
        <v>28</v>
      </c>
      <c r="D12" s="1732" t="s">
        <v>28</v>
      </c>
      <c r="E12" s="1733" t="s">
        <v>28</v>
      </c>
      <c r="F12" s="1734">
        <v>24648</v>
      </c>
      <c r="G12" s="1734">
        <v>12000</v>
      </c>
      <c r="H12" s="1734">
        <v>19178</v>
      </c>
      <c r="I12" s="1734">
        <v>9183</v>
      </c>
      <c r="J12" s="1734">
        <v>3829</v>
      </c>
      <c r="K12" s="1735">
        <v>1903</v>
      </c>
      <c r="L12" s="1736">
        <v>1052</v>
      </c>
      <c r="M12" s="1737">
        <v>605</v>
      </c>
      <c r="N12" s="1732">
        <v>445</v>
      </c>
      <c r="O12" s="1732">
        <v>239</v>
      </c>
      <c r="P12" s="1732">
        <v>144</v>
      </c>
      <c r="Q12" s="1732">
        <v>70</v>
      </c>
      <c r="R12" s="1732" t="s">
        <v>28</v>
      </c>
      <c r="S12" s="1732" t="s">
        <v>28</v>
      </c>
      <c r="T12" s="1738" t="s">
        <v>28</v>
      </c>
      <c r="U12" s="712" t="s">
        <v>28</v>
      </c>
    </row>
    <row r="13" spans="1:21" s="707" customFormat="1" ht="12" customHeight="1">
      <c r="A13" s="954" t="s">
        <v>143</v>
      </c>
      <c r="B13" s="1731" t="s">
        <v>548</v>
      </c>
      <c r="C13" s="1732" t="s">
        <v>28</v>
      </c>
      <c r="D13" s="1732" t="s">
        <v>28</v>
      </c>
      <c r="E13" s="1733" t="s">
        <v>28</v>
      </c>
      <c r="F13" s="1734">
        <v>565</v>
      </c>
      <c r="G13" s="1734">
        <v>274</v>
      </c>
      <c r="H13" s="1734">
        <v>101</v>
      </c>
      <c r="I13" s="1734">
        <v>50</v>
      </c>
      <c r="J13" s="1734">
        <v>223</v>
      </c>
      <c r="K13" s="1735">
        <v>91</v>
      </c>
      <c r="L13" s="1736">
        <v>158</v>
      </c>
      <c r="M13" s="1737">
        <v>106</v>
      </c>
      <c r="N13" s="1732">
        <v>28</v>
      </c>
      <c r="O13" s="1732">
        <v>9</v>
      </c>
      <c r="P13" s="1732">
        <v>55</v>
      </c>
      <c r="Q13" s="1732">
        <v>18</v>
      </c>
      <c r="R13" s="1732" t="s">
        <v>28</v>
      </c>
      <c r="S13" s="1732" t="s">
        <v>28</v>
      </c>
      <c r="T13" s="1738" t="s">
        <v>28</v>
      </c>
      <c r="U13" s="712" t="s">
        <v>28</v>
      </c>
    </row>
    <row r="14" spans="1:21" s="706" customFormat="1" ht="12" customHeight="1">
      <c r="A14" s="1685" t="s">
        <v>144</v>
      </c>
      <c r="B14" s="1722" t="s">
        <v>145</v>
      </c>
      <c r="C14" s="1723">
        <v>24096</v>
      </c>
      <c r="D14" s="1723">
        <v>11950</v>
      </c>
      <c r="E14" s="1724">
        <v>99.7</v>
      </c>
      <c r="F14" s="1725">
        <v>24024</v>
      </c>
      <c r="G14" s="1725">
        <v>11908</v>
      </c>
      <c r="H14" s="1725">
        <v>18426</v>
      </c>
      <c r="I14" s="1725">
        <v>8976</v>
      </c>
      <c r="J14" s="1725">
        <v>3809</v>
      </c>
      <c r="K14" s="1726">
        <v>1930</v>
      </c>
      <c r="L14" s="1727">
        <v>1146</v>
      </c>
      <c r="M14" s="1728">
        <v>681</v>
      </c>
      <c r="N14" s="1723">
        <v>452</v>
      </c>
      <c r="O14" s="1723">
        <v>237</v>
      </c>
      <c r="P14" s="1723">
        <v>191</v>
      </c>
      <c r="Q14" s="1723">
        <v>84</v>
      </c>
      <c r="R14" s="1723" t="s">
        <v>28</v>
      </c>
      <c r="S14" s="1723" t="s">
        <v>28</v>
      </c>
      <c r="T14" s="1729">
        <v>72</v>
      </c>
      <c r="U14" s="1730">
        <v>42</v>
      </c>
    </row>
    <row r="15" spans="1:21" s="707" customFormat="1" ht="12" customHeight="1">
      <c r="A15" s="954" t="s">
        <v>141</v>
      </c>
      <c r="B15" s="1731" t="s">
        <v>142</v>
      </c>
      <c r="C15" s="1732" t="s">
        <v>28</v>
      </c>
      <c r="D15" s="1732" t="s">
        <v>28</v>
      </c>
      <c r="E15" s="1733" t="s">
        <v>28</v>
      </c>
      <c r="F15" s="1734">
        <v>23481</v>
      </c>
      <c r="G15" s="1734">
        <v>11644</v>
      </c>
      <c r="H15" s="1734">
        <v>18329</v>
      </c>
      <c r="I15" s="1734">
        <v>8928</v>
      </c>
      <c r="J15" s="1734">
        <v>3590</v>
      </c>
      <c r="K15" s="1735">
        <v>1841</v>
      </c>
      <c r="L15" s="1736">
        <v>996</v>
      </c>
      <c r="M15" s="1737">
        <v>580</v>
      </c>
      <c r="N15" s="1732">
        <v>427</v>
      </c>
      <c r="O15" s="1732">
        <v>229</v>
      </c>
      <c r="P15" s="1732">
        <v>139</v>
      </c>
      <c r="Q15" s="1732">
        <v>66</v>
      </c>
      <c r="R15" s="1732" t="s">
        <v>28</v>
      </c>
      <c r="S15" s="1732" t="s">
        <v>28</v>
      </c>
      <c r="T15" s="1738" t="s">
        <v>28</v>
      </c>
      <c r="U15" s="712" t="s">
        <v>28</v>
      </c>
    </row>
    <row r="16" spans="1:21" s="707" customFormat="1" ht="12" customHeight="1">
      <c r="A16" s="954" t="s">
        <v>143</v>
      </c>
      <c r="B16" s="1731" t="s">
        <v>548</v>
      </c>
      <c r="C16" s="1732" t="s">
        <v>28</v>
      </c>
      <c r="D16" s="1732" t="s">
        <v>28</v>
      </c>
      <c r="E16" s="1733" t="s">
        <v>28</v>
      </c>
      <c r="F16" s="1734">
        <v>543</v>
      </c>
      <c r="G16" s="1734">
        <v>264</v>
      </c>
      <c r="H16" s="1734">
        <v>97</v>
      </c>
      <c r="I16" s="1734">
        <v>48</v>
      </c>
      <c r="J16" s="1734">
        <v>219</v>
      </c>
      <c r="K16" s="1735">
        <v>89</v>
      </c>
      <c r="L16" s="1736">
        <v>150</v>
      </c>
      <c r="M16" s="1737">
        <v>101</v>
      </c>
      <c r="N16" s="1732">
        <v>25</v>
      </c>
      <c r="O16" s="1732">
        <v>8</v>
      </c>
      <c r="P16" s="1732">
        <v>52</v>
      </c>
      <c r="Q16" s="1732">
        <v>18</v>
      </c>
      <c r="R16" s="1732" t="s">
        <v>28</v>
      </c>
      <c r="S16" s="1732" t="s">
        <v>28</v>
      </c>
      <c r="T16" s="1738" t="s">
        <v>28</v>
      </c>
      <c r="U16" s="712" t="s">
        <v>28</v>
      </c>
    </row>
    <row r="17" spans="1:21" s="706" customFormat="1" ht="12" customHeight="1">
      <c r="A17" s="1685" t="s">
        <v>146</v>
      </c>
      <c r="B17" s="1722" t="s">
        <v>147</v>
      </c>
      <c r="C17" s="1723">
        <v>1192</v>
      </c>
      <c r="D17" s="1723">
        <v>367</v>
      </c>
      <c r="E17" s="1724">
        <v>99.7</v>
      </c>
      <c r="F17" s="1725">
        <v>1189</v>
      </c>
      <c r="G17" s="1725">
        <v>366</v>
      </c>
      <c r="H17" s="1725">
        <v>853</v>
      </c>
      <c r="I17" s="1725">
        <v>257</v>
      </c>
      <c r="J17" s="1725">
        <v>243</v>
      </c>
      <c r="K17" s="1726">
        <v>64</v>
      </c>
      <c r="L17" s="1727">
        <v>64</v>
      </c>
      <c r="M17" s="1728">
        <v>30</v>
      </c>
      <c r="N17" s="1723">
        <v>21</v>
      </c>
      <c r="O17" s="1723">
        <v>11</v>
      </c>
      <c r="P17" s="1723">
        <v>8</v>
      </c>
      <c r="Q17" s="1723">
        <v>4</v>
      </c>
      <c r="R17" s="1723" t="s">
        <v>28</v>
      </c>
      <c r="S17" s="1723" t="s">
        <v>28</v>
      </c>
      <c r="T17" s="1729">
        <v>3</v>
      </c>
      <c r="U17" s="1730">
        <v>1</v>
      </c>
    </row>
    <row r="18" spans="1:21" s="707" customFormat="1" ht="12" customHeight="1">
      <c r="A18" s="954" t="s">
        <v>141</v>
      </c>
      <c r="B18" s="1731" t="s">
        <v>142</v>
      </c>
      <c r="C18" s="1732" t="s">
        <v>28</v>
      </c>
      <c r="D18" s="1732" t="s">
        <v>28</v>
      </c>
      <c r="E18" s="1733" t="s">
        <v>28</v>
      </c>
      <c r="F18" s="1734">
        <v>1167</v>
      </c>
      <c r="G18" s="1734">
        <v>356</v>
      </c>
      <c r="H18" s="1734">
        <v>849</v>
      </c>
      <c r="I18" s="1734">
        <v>255</v>
      </c>
      <c r="J18" s="1734">
        <v>239</v>
      </c>
      <c r="K18" s="1735">
        <v>62</v>
      </c>
      <c r="L18" s="1736">
        <v>56</v>
      </c>
      <c r="M18" s="1737">
        <v>25</v>
      </c>
      <c r="N18" s="1732">
        <v>18</v>
      </c>
      <c r="O18" s="1732">
        <v>10</v>
      </c>
      <c r="P18" s="1732">
        <v>5</v>
      </c>
      <c r="Q18" s="1732">
        <v>4</v>
      </c>
      <c r="R18" s="1732" t="s">
        <v>28</v>
      </c>
      <c r="S18" s="1732" t="s">
        <v>28</v>
      </c>
      <c r="T18" s="1738" t="s">
        <v>28</v>
      </c>
      <c r="U18" s="712" t="s">
        <v>28</v>
      </c>
    </row>
    <row r="19" spans="1:21" s="881" customFormat="1" ht="12" customHeight="1" thickBot="1">
      <c r="A19" s="1696" t="s">
        <v>143</v>
      </c>
      <c r="B19" s="1739" t="s">
        <v>548</v>
      </c>
      <c r="C19" s="1740" t="s">
        <v>28</v>
      </c>
      <c r="D19" s="1740" t="s">
        <v>28</v>
      </c>
      <c r="E19" s="1741" t="s">
        <v>28</v>
      </c>
      <c r="F19" s="1742">
        <v>22</v>
      </c>
      <c r="G19" s="1742">
        <v>10</v>
      </c>
      <c r="H19" s="1742">
        <v>4</v>
      </c>
      <c r="I19" s="1742">
        <v>2</v>
      </c>
      <c r="J19" s="1742">
        <v>4</v>
      </c>
      <c r="K19" s="1743">
        <v>2</v>
      </c>
      <c r="L19" s="1744">
        <v>8</v>
      </c>
      <c r="M19" s="1745">
        <v>5</v>
      </c>
      <c r="N19" s="1740">
        <v>3</v>
      </c>
      <c r="O19" s="1740">
        <v>1</v>
      </c>
      <c r="P19" s="1740">
        <v>3</v>
      </c>
      <c r="Q19" s="1740" t="s">
        <v>28</v>
      </c>
      <c r="R19" s="1740" t="s">
        <v>28</v>
      </c>
      <c r="S19" s="1740" t="s">
        <v>28</v>
      </c>
      <c r="T19" s="1746" t="s">
        <v>28</v>
      </c>
      <c r="U19" s="1747" t="s">
        <v>28</v>
      </c>
    </row>
    <row r="20" spans="1:21" s="882" customFormat="1" ht="15" customHeight="1" thickBot="1">
      <c r="A20" s="1262" t="s">
        <v>78</v>
      </c>
      <c r="B20" s="1262"/>
      <c r="C20" s="1262"/>
      <c r="D20" s="1262"/>
      <c r="E20" s="1262"/>
      <c r="F20" s="1262"/>
      <c r="G20" s="1262"/>
      <c r="H20" s="1262"/>
      <c r="I20" s="1262"/>
      <c r="J20" s="1262" t="s">
        <v>34</v>
      </c>
      <c r="K20" s="1262"/>
      <c r="L20" s="1262"/>
      <c r="M20" s="1262"/>
      <c r="N20" s="1262"/>
      <c r="O20" s="1262"/>
      <c r="P20" s="1262"/>
      <c r="Q20" s="1262"/>
      <c r="R20" s="1262"/>
      <c r="S20" s="1262"/>
      <c r="T20" s="1262"/>
      <c r="U20" s="1262"/>
    </row>
    <row r="21" spans="1:21" s="706" customFormat="1" ht="10.5" customHeight="1">
      <c r="A21" s="1702" t="s">
        <v>35</v>
      </c>
      <c r="B21" s="1748" t="s">
        <v>36</v>
      </c>
      <c r="C21" s="1749">
        <v>4536</v>
      </c>
      <c r="D21" s="1749">
        <v>2213</v>
      </c>
      <c r="E21" s="1750">
        <v>99.7</v>
      </c>
      <c r="F21" s="1749">
        <v>4522</v>
      </c>
      <c r="G21" s="1749">
        <v>2203</v>
      </c>
      <c r="H21" s="1749">
        <v>3243</v>
      </c>
      <c r="I21" s="1751">
        <v>1545</v>
      </c>
      <c r="J21" s="1751">
        <v>976</v>
      </c>
      <c r="K21" s="1749">
        <v>501</v>
      </c>
      <c r="L21" s="1749">
        <v>164</v>
      </c>
      <c r="M21" s="1749">
        <v>93</v>
      </c>
      <c r="N21" s="1749">
        <v>121</v>
      </c>
      <c r="O21" s="1749">
        <v>58</v>
      </c>
      <c r="P21" s="1749">
        <v>18</v>
      </c>
      <c r="Q21" s="1749">
        <v>6</v>
      </c>
      <c r="R21" s="1749" t="s">
        <v>28</v>
      </c>
      <c r="S21" s="1749" t="s">
        <v>28</v>
      </c>
      <c r="T21" s="1749">
        <v>14</v>
      </c>
      <c r="U21" s="1752">
        <v>10</v>
      </c>
    </row>
    <row r="22" spans="1:21" s="707" customFormat="1" ht="10.5" customHeight="1">
      <c r="A22" s="954" t="s">
        <v>141</v>
      </c>
      <c r="B22" s="1731" t="s">
        <v>142</v>
      </c>
      <c r="C22" s="1732" t="s">
        <v>28</v>
      </c>
      <c r="D22" s="1732" t="s">
        <v>28</v>
      </c>
      <c r="E22" s="1732" t="s">
        <v>28</v>
      </c>
      <c r="F22" s="1732">
        <v>4449</v>
      </c>
      <c r="G22" s="1732">
        <v>2160</v>
      </c>
      <c r="H22" s="1732">
        <v>3227</v>
      </c>
      <c r="I22" s="1738">
        <v>1534</v>
      </c>
      <c r="J22" s="1738">
        <v>943</v>
      </c>
      <c r="K22" s="1753">
        <v>484</v>
      </c>
      <c r="L22" s="1737">
        <v>145</v>
      </c>
      <c r="M22" s="1732">
        <v>79</v>
      </c>
      <c r="N22" s="1732">
        <v>121</v>
      </c>
      <c r="O22" s="1732">
        <v>58</v>
      </c>
      <c r="P22" s="1732">
        <v>13</v>
      </c>
      <c r="Q22" s="1732">
        <v>5</v>
      </c>
      <c r="R22" s="1732" t="s">
        <v>28</v>
      </c>
      <c r="S22" s="1732" t="s">
        <v>28</v>
      </c>
      <c r="T22" s="1732" t="s">
        <v>28</v>
      </c>
      <c r="U22" s="1754" t="s">
        <v>28</v>
      </c>
    </row>
    <row r="23" spans="1:21" s="707" customFormat="1" ht="10.5" customHeight="1">
      <c r="A23" s="954" t="s">
        <v>143</v>
      </c>
      <c r="B23" s="1731" t="s">
        <v>548</v>
      </c>
      <c r="C23" s="1732" t="s">
        <v>28</v>
      </c>
      <c r="D23" s="1732" t="s">
        <v>28</v>
      </c>
      <c r="E23" s="1732" t="s">
        <v>28</v>
      </c>
      <c r="F23" s="1732">
        <v>73</v>
      </c>
      <c r="G23" s="1732">
        <v>43</v>
      </c>
      <c r="H23" s="1732">
        <v>16</v>
      </c>
      <c r="I23" s="1738">
        <v>11</v>
      </c>
      <c r="J23" s="1738">
        <v>33</v>
      </c>
      <c r="K23" s="1753">
        <v>17</v>
      </c>
      <c r="L23" s="1737">
        <v>19</v>
      </c>
      <c r="M23" s="1732">
        <v>14</v>
      </c>
      <c r="N23" s="1732" t="s">
        <v>28</v>
      </c>
      <c r="O23" s="1732" t="s">
        <v>28</v>
      </c>
      <c r="P23" s="1732">
        <v>5</v>
      </c>
      <c r="Q23" s="1732">
        <v>1</v>
      </c>
      <c r="R23" s="1732" t="s">
        <v>28</v>
      </c>
      <c r="S23" s="1732" t="s">
        <v>28</v>
      </c>
      <c r="T23" s="1732" t="s">
        <v>28</v>
      </c>
      <c r="U23" s="1754" t="s">
        <v>28</v>
      </c>
    </row>
    <row r="24" spans="1:21" s="706" customFormat="1" ht="10.5" customHeight="1">
      <c r="A24" s="1685" t="s">
        <v>37</v>
      </c>
      <c r="B24" s="1722" t="s">
        <v>38</v>
      </c>
      <c r="C24" s="1723">
        <v>5940</v>
      </c>
      <c r="D24" s="1723">
        <v>2850</v>
      </c>
      <c r="E24" s="1755">
        <v>99.7</v>
      </c>
      <c r="F24" s="1723">
        <v>5925</v>
      </c>
      <c r="G24" s="1723">
        <v>2842</v>
      </c>
      <c r="H24" s="1723">
        <v>4577</v>
      </c>
      <c r="I24" s="1729">
        <v>2182</v>
      </c>
      <c r="J24" s="1729">
        <v>980</v>
      </c>
      <c r="K24" s="1723">
        <v>476</v>
      </c>
      <c r="L24" s="1723">
        <v>279</v>
      </c>
      <c r="M24" s="1723">
        <v>145</v>
      </c>
      <c r="N24" s="1723">
        <v>37</v>
      </c>
      <c r="O24" s="1723">
        <v>19</v>
      </c>
      <c r="P24" s="1723">
        <v>52</v>
      </c>
      <c r="Q24" s="1723">
        <v>20</v>
      </c>
      <c r="R24" s="1723" t="s">
        <v>28</v>
      </c>
      <c r="S24" s="1723" t="s">
        <v>28</v>
      </c>
      <c r="T24" s="1723">
        <v>15</v>
      </c>
      <c r="U24" s="1756">
        <v>8</v>
      </c>
    </row>
    <row r="25" spans="1:21" s="707" customFormat="1" ht="10.5" customHeight="1">
      <c r="A25" s="954" t="s">
        <v>141</v>
      </c>
      <c r="B25" s="1731" t="s">
        <v>142</v>
      </c>
      <c r="C25" s="1732" t="s">
        <v>28</v>
      </c>
      <c r="D25" s="1732" t="s">
        <v>28</v>
      </c>
      <c r="E25" s="1738" t="s">
        <v>28</v>
      </c>
      <c r="F25" s="1732">
        <v>5765</v>
      </c>
      <c r="G25" s="1732">
        <v>2755</v>
      </c>
      <c r="H25" s="1732">
        <v>4552</v>
      </c>
      <c r="I25" s="1738">
        <v>2167</v>
      </c>
      <c r="J25" s="1738">
        <v>902</v>
      </c>
      <c r="K25" s="1753">
        <v>439</v>
      </c>
      <c r="L25" s="1737">
        <v>239</v>
      </c>
      <c r="M25" s="1732">
        <v>118</v>
      </c>
      <c r="N25" s="1732">
        <v>32</v>
      </c>
      <c r="O25" s="1732">
        <v>16</v>
      </c>
      <c r="P25" s="1732">
        <v>40</v>
      </c>
      <c r="Q25" s="1732">
        <v>15</v>
      </c>
      <c r="R25" s="1732" t="s">
        <v>28</v>
      </c>
      <c r="S25" s="1732" t="s">
        <v>28</v>
      </c>
      <c r="T25" s="1732" t="s">
        <v>28</v>
      </c>
      <c r="U25" s="1754" t="s">
        <v>28</v>
      </c>
    </row>
    <row r="26" spans="1:21" s="707" customFormat="1" ht="10.5" customHeight="1">
      <c r="A26" s="954" t="s">
        <v>143</v>
      </c>
      <c r="B26" s="1731" t="s">
        <v>548</v>
      </c>
      <c r="C26" s="1732" t="s">
        <v>28</v>
      </c>
      <c r="D26" s="1732" t="s">
        <v>28</v>
      </c>
      <c r="E26" s="1738" t="s">
        <v>28</v>
      </c>
      <c r="F26" s="1732">
        <v>160</v>
      </c>
      <c r="G26" s="1732">
        <v>87</v>
      </c>
      <c r="H26" s="1732">
        <v>25</v>
      </c>
      <c r="I26" s="1738">
        <v>15</v>
      </c>
      <c r="J26" s="1738">
        <v>78</v>
      </c>
      <c r="K26" s="1753">
        <v>37</v>
      </c>
      <c r="L26" s="1737">
        <v>40</v>
      </c>
      <c r="M26" s="1732">
        <v>27</v>
      </c>
      <c r="N26" s="1732">
        <v>5</v>
      </c>
      <c r="O26" s="1732">
        <v>3</v>
      </c>
      <c r="P26" s="1732">
        <v>12</v>
      </c>
      <c r="Q26" s="1732">
        <v>5</v>
      </c>
      <c r="R26" s="1732" t="s">
        <v>28</v>
      </c>
      <c r="S26" s="1732" t="s">
        <v>28</v>
      </c>
      <c r="T26" s="1732" t="s">
        <v>28</v>
      </c>
      <c r="U26" s="1754" t="s">
        <v>28</v>
      </c>
    </row>
    <row r="27" spans="1:21" s="706" customFormat="1" ht="10.5" customHeight="1">
      <c r="A27" s="1685" t="s">
        <v>39</v>
      </c>
      <c r="B27" s="1722" t="s">
        <v>40</v>
      </c>
      <c r="C27" s="1723">
        <v>8719</v>
      </c>
      <c r="D27" s="1723">
        <v>4302</v>
      </c>
      <c r="E27" s="1755">
        <v>99.6</v>
      </c>
      <c r="F27" s="1723">
        <v>8687</v>
      </c>
      <c r="G27" s="1723">
        <v>4286</v>
      </c>
      <c r="H27" s="1723">
        <v>6525</v>
      </c>
      <c r="I27" s="1729">
        <v>3131</v>
      </c>
      <c r="J27" s="1729">
        <v>1306</v>
      </c>
      <c r="K27" s="1723">
        <v>658</v>
      </c>
      <c r="L27" s="1723">
        <v>490</v>
      </c>
      <c r="M27" s="1723">
        <v>312</v>
      </c>
      <c r="N27" s="1723">
        <v>273</v>
      </c>
      <c r="O27" s="1723">
        <v>142</v>
      </c>
      <c r="P27" s="1723">
        <v>93</v>
      </c>
      <c r="Q27" s="1723">
        <v>43</v>
      </c>
      <c r="R27" s="1723" t="s">
        <v>28</v>
      </c>
      <c r="S27" s="1723" t="s">
        <v>28</v>
      </c>
      <c r="T27" s="1723">
        <v>32</v>
      </c>
      <c r="U27" s="1756">
        <v>16</v>
      </c>
    </row>
    <row r="28" spans="1:21" s="707" customFormat="1" ht="10.5" customHeight="1">
      <c r="A28" s="954" t="s">
        <v>141</v>
      </c>
      <c r="B28" s="1731" t="s">
        <v>142</v>
      </c>
      <c r="C28" s="1732" t="s">
        <v>28</v>
      </c>
      <c r="D28" s="1732" t="s">
        <v>28</v>
      </c>
      <c r="E28" s="1738" t="s">
        <v>28</v>
      </c>
      <c r="F28" s="1732">
        <v>8501</v>
      </c>
      <c r="G28" s="1732">
        <v>4210</v>
      </c>
      <c r="H28" s="1732">
        <v>6498</v>
      </c>
      <c r="I28" s="1738">
        <v>3122</v>
      </c>
      <c r="J28" s="1738">
        <v>1251</v>
      </c>
      <c r="K28" s="1753">
        <v>645</v>
      </c>
      <c r="L28" s="1737">
        <v>426</v>
      </c>
      <c r="M28" s="1732">
        <v>268</v>
      </c>
      <c r="N28" s="1732">
        <v>255</v>
      </c>
      <c r="O28" s="1732">
        <v>137</v>
      </c>
      <c r="P28" s="1732">
        <v>71</v>
      </c>
      <c r="Q28" s="1732">
        <v>38</v>
      </c>
      <c r="R28" s="1732" t="s">
        <v>28</v>
      </c>
      <c r="S28" s="1732" t="s">
        <v>28</v>
      </c>
      <c r="T28" s="1732" t="s">
        <v>28</v>
      </c>
      <c r="U28" s="1754" t="s">
        <v>28</v>
      </c>
    </row>
    <row r="29" spans="1:21" s="707" customFormat="1" ht="10.5" customHeight="1">
      <c r="A29" s="954" t="s">
        <v>143</v>
      </c>
      <c r="B29" s="1731" t="s">
        <v>548</v>
      </c>
      <c r="C29" s="1732" t="s">
        <v>28</v>
      </c>
      <c r="D29" s="1732" t="s">
        <v>28</v>
      </c>
      <c r="E29" s="1738" t="s">
        <v>28</v>
      </c>
      <c r="F29" s="1732">
        <v>186</v>
      </c>
      <c r="G29" s="1732">
        <v>76</v>
      </c>
      <c r="H29" s="1732">
        <v>27</v>
      </c>
      <c r="I29" s="1738">
        <v>9</v>
      </c>
      <c r="J29" s="1738">
        <v>55</v>
      </c>
      <c r="K29" s="1753">
        <v>13</v>
      </c>
      <c r="L29" s="1737">
        <v>64</v>
      </c>
      <c r="M29" s="1732">
        <v>44</v>
      </c>
      <c r="N29" s="1732">
        <v>18</v>
      </c>
      <c r="O29" s="1732">
        <v>5</v>
      </c>
      <c r="P29" s="1732">
        <v>22</v>
      </c>
      <c r="Q29" s="1732">
        <v>5</v>
      </c>
      <c r="R29" s="1732" t="s">
        <v>28</v>
      </c>
      <c r="S29" s="1732" t="s">
        <v>28</v>
      </c>
      <c r="T29" s="1732" t="s">
        <v>28</v>
      </c>
      <c r="U29" s="1754" t="s">
        <v>28</v>
      </c>
    </row>
    <row r="30" spans="1:21" s="706" customFormat="1" ht="10.5" customHeight="1">
      <c r="A30" s="1685" t="s">
        <v>41</v>
      </c>
      <c r="B30" s="1722" t="s">
        <v>42</v>
      </c>
      <c r="C30" s="1723">
        <v>5649</v>
      </c>
      <c r="D30" s="1723">
        <v>2756</v>
      </c>
      <c r="E30" s="1755">
        <v>99.8</v>
      </c>
      <c r="F30" s="1723">
        <v>5635</v>
      </c>
      <c r="G30" s="1723">
        <v>2747</v>
      </c>
      <c r="H30" s="1723">
        <v>4549</v>
      </c>
      <c r="I30" s="1729">
        <v>2197</v>
      </c>
      <c r="J30" s="1729">
        <v>747</v>
      </c>
      <c r="K30" s="1723">
        <v>347</v>
      </c>
      <c r="L30" s="1723">
        <v>264</v>
      </c>
      <c r="M30" s="1723">
        <v>157</v>
      </c>
      <c r="N30" s="1723">
        <v>42</v>
      </c>
      <c r="O30" s="1723">
        <v>29</v>
      </c>
      <c r="P30" s="1723">
        <v>33</v>
      </c>
      <c r="Q30" s="1723">
        <v>17</v>
      </c>
      <c r="R30" s="1723" t="s">
        <v>28</v>
      </c>
      <c r="S30" s="1723" t="s">
        <v>28</v>
      </c>
      <c r="T30" s="1723">
        <v>14</v>
      </c>
      <c r="U30" s="1756">
        <v>9</v>
      </c>
    </row>
    <row r="31" spans="1:21" s="707" customFormat="1" ht="10.5" customHeight="1">
      <c r="A31" s="954" t="s">
        <v>141</v>
      </c>
      <c r="B31" s="1731" t="s">
        <v>142</v>
      </c>
      <c r="C31" s="1732" t="s">
        <v>28</v>
      </c>
      <c r="D31" s="1732" t="s">
        <v>28</v>
      </c>
      <c r="E31" s="1738" t="s">
        <v>28</v>
      </c>
      <c r="F31" s="1732">
        <v>5503</v>
      </c>
      <c r="G31" s="1732">
        <v>2685</v>
      </c>
      <c r="H31" s="1732">
        <v>4519</v>
      </c>
      <c r="I31" s="1738">
        <v>2183</v>
      </c>
      <c r="J31" s="1738">
        <v>695</v>
      </c>
      <c r="K31" s="1753">
        <v>325</v>
      </c>
      <c r="L31" s="1737">
        <v>233</v>
      </c>
      <c r="M31" s="1732">
        <v>137</v>
      </c>
      <c r="N31" s="1732">
        <v>37</v>
      </c>
      <c r="O31" s="1732">
        <v>28</v>
      </c>
      <c r="P31" s="1732">
        <v>19</v>
      </c>
      <c r="Q31" s="1732">
        <v>12</v>
      </c>
      <c r="R31" s="1732" t="s">
        <v>28</v>
      </c>
      <c r="S31" s="1732" t="s">
        <v>28</v>
      </c>
      <c r="T31" s="1732" t="s">
        <v>28</v>
      </c>
      <c r="U31" s="1754" t="s">
        <v>28</v>
      </c>
    </row>
    <row r="32" spans="1:21" s="707" customFormat="1" ht="10.5" customHeight="1">
      <c r="A32" s="954" t="s">
        <v>143</v>
      </c>
      <c r="B32" s="1731" t="s">
        <v>548</v>
      </c>
      <c r="C32" s="1732" t="s">
        <v>28</v>
      </c>
      <c r="D32" s="1732" t="s">
        <v>28</v>
      </c>
      <c r="E32" s="1738" t="s">
        <v>28</v>
      </c>
      <c r="F32" s="1732">
        <v>132</v>
      </c>
      <c r="G32" s="1732">
        <v>62</v>
      </c>
      <c r="H32" s="1732">
        <v>30</v>
      </c>
      <c r="I32" s="1738">
        <v>14</v>
      </c>
      <c r="J32" s="1738">
        <v>52</v>
      </c>
      <c r="K32" s="1753">
        <v>22</v>
      </c>
      <c r="L32" s="1737">
        <v>31</v>
      </c>
      <c r="M32" s="1732">
        <v>20</v>
      </c>
      <c r="N32" s="1732">
        <v>5</v>
      </c>
      <c r="O32" s="1732">
        <v>1</v>
      </c>
      <c r="P32" s="1732">
        <v>14</v>
      </c>
      <c r="Q32" s="1732">
        <v>5</v>
      </c>
      <c r="R32" s="1732" t="s">
        <v>28</v>
      </c>
      <c r="S32" s="1732" t="s">
        <v>28</v>
      </c>
      <c r="T32" s="1732" t="s">
        <v>28</v>
      </c>
      <c r="U32" s="1754" t="s">
        <v>28</v>
      </c>
    </row>
    <row r="33" spans="1:21" s="706" customFormat="1" ht="10.5" customHeight="1">
      <c r="A33" s="1685" t="s">
        <v>43</v>
      </c>
      <c r="B33" s="1722" t="s">
        <v>44</v>
      </c>
      <c r="C33" s="1723">
        <v>444</v>
      </c>
      <c r="D33" s="1723">
        <v>196</v>
      </c>
      <c r="E33" s="1755">
        <v>100</v>
      </c>
      <c r="F33" s="1723">
        <v>444</v>
      </c>
      <c r="G33" s="1723">
        <v>196</v>
      </c>
      <c r="H33" s="1723">
        <v>385</v>
      </c>
      <c r="I33" s="1729">
        <v>178</v>
      </c>
      <c r="J33" s="1729">
        <v>43</v>
      </c>
      <c r="K33" s="1723">
        <v>12</v>
      </c>
      <c r="L33" s="1723">
        <v>13</v>
      </c>
      <c r="M33" s="1723">
        <v>4</v>
      </c>
      <c r="N33" s="1723" t="s">
        <v>28</v>
      </c>
      <c r="O33" s="1723" t="s">
        <v>28</v>
      </c>
      <c r="P33" s="1723">
        <v>3</v>
      </c>
      <c r="Q33" s="1723">
        <v>2</v>
      </c>
      <c r="R33" s="1723" t="s">
        <v>28</v>
      </c>
      <c r="S33" s="1723" t="s">
        <v>28</v>
      </c>
      <c r="T33" s="1723" t="s">
        <v>28</v>
      </c>
      <c r="U33" s="1756" t="s">
        <v>28</v>
      </c>
    </row>
    <row r="34" spans="1:21" s="707" customFormat="1" ht="10.5" customHeight="1">
      <c r="A34" s="954" t="s">
        <v>141</v>
      </c>
      <c r="B34" s="1731" t="s">
        <v>142</v>
      </c>
      <c r="C34" s="1732" t="s">
        <v>28</v>
      </c>
      <c r="D34" s="1732" t="s">
        <v>28</v>
      </c>
      <c r="E34" s="1738" t="s">
        <v>28</v>
      </c>
      <c r="F34" s="1732">
        <v>430</v>
      </c>
      <c r="G34" s="1732">
        <v>190</v>
      </c>
      <c r="H34" s="1732">
        <v>382</v>
      </c>
      <c r="I34" s="1738">
        <v>177</v>
      </c>
      <c r="J34" s="1738">
        <v>38</v>
      </c>
      <c r="K34" s="1753">
        <v>10</v>
      </c>
      <c r="L34" s="1737">
        <v>9</v>
      </c>
      <c r="M34" s="1732">
        <v>3</v>
      </c>
      <c r="N34" s="1732" t="s">
        <v>28</v>
      </c>
      <c r="O34" s="1732" t="s">
        <v>28</v>
      </c>
      <c r="P34" s="1732">
        <v>1</v>
      </c>
      <c r="Q34" s="1732" t="s">
        <v>28</v>
      </c>
      <c r="R34" s="1732" t="s">
        <v>28</v>
      </c>
      <c r="S34" s="1732" t="s">
        <v>28</v>
      </c>
      <c r="T34" s="1732" t="s">
        <v>28</v>
      </c>
      <c r="U34" s="1754" t="s">
        <v>28</v>
      </c>
    </row>
    <row r="35" spans="1:21" s="881" customFormat="1" ht="10.5" customHeight="1" thickBot="1">
      <c r="A35" s="1696" t="s">
        <v>143</v>
      </c>
      <c r="B35" s="1739" t="s">
        <v>548</v>
      </c>
      <c r="C35" s="1740" t="s">
        <v>28</v>
      </c>
      <c r="D35" s="1740" t="s">
        <v>28</v>
      </c>
      <c r="E35" s="1746" t="s">
        <v>28</v>
      </c>
      <c r="F35" s="1740">
        <v>14</v>
      </c>
      <c r="G35" s="1740">
        <v>6</v>
      </c>
      <c r="H35" s="1740">
        <v>3</v>
      </c>
      <c r="I35" s="1746">
        <v>1</v>
      </c>
      <c r="J35" s="1746">
        <v>5</v>
      </c>
      <c r="K35" s="1757">
        <v>2</v>
      </c>
      <c r="L35" s="1745">
        <v>4</v>
      </c>
      <c r="M35" s="1740">
        <v>1</v>
      </c>
      <c r="N35" s="1740" t="s">
        <v>28</v>
      </c>
      <c r="O35" s="1740" t="s">
        <v>28</v>
      </c>
      <c r="P35" s="1740">
        <v>2</v>
      </c>
      <c r="Q35" s="1740">
        <v>2</v>
      </c>
      <c r="R35" s="1740" t="s">
        <v>28</v>
      </c>
      <c r="S35" s="1740" t="s">
        <v>28</v>
      </c>
      <c r="T35" s="1740" t="s">
        <v>28</v>
      </c>
      <c r="U35" s="1758" t="s">
        <v>28</v>
      </c>
    </row>
    <row r="36" spans="1:21" s="882" customFormat="1" ht="15" customHeight="1" thickBot="1">
      <c r="A36" s="1262" t="s">
        <v>138</v>
      </c>
      <c r="B36" s="1262"/>
      <c r="C36" s="1262"/>
      <c r="D36" s="1262"/>
      <c r="E36" s="1262"/>
      <c r="F36" s="1262"/>
      <c r="G36" s="1262"/>
      <c r="H36" s="1262"/>
      <c r="I36" s="1262"/>
      <c r="J36" s="1262" t="s">
        <v>46</v>
      </c>
      <c r="K36" s="1262"/>
      <c r="L36" s="1262"/>
      <c r="M36" s="1262"/>
      <c r="N36" s="1262"/>
      <c r="O36" s="1262"/>
      <c r="P36" s="1262"/>
      <c r="Q36" s="1262"/>
      <c r="R36" s="1262"/>
      <c r="S36" s="1262"/>
      <c r="T36" s="1262"/>
      <c r="U36" s="1262"/>
    </row>
    <row r="37" spans="1:21" s="706" customFormat="1" ht="9.9499999999999993" customHeight="1">
      <c r="A37" s="1702" t="s">
        <v>47</v>
      </c>
      <c r="B37" s="1748" t="s">
        <v>48</v>
      </c>
      <c r="C37" s="1749">
        <v>1551</v>
      </c>
      <c r="D37" s="1749">
        <v>746</v>
      </c>
      <c r="E37" s="1759">
        <v>99.7</v>
      </c>
      <c r="F37" s="1749">
        <v>1547</v>
      </c>
      <c r="G37" s="1749">
        <v>744</v>
      </c>
      <c r="H37" s="1749">
        <v>1170</v>
      </c>
      <c r="I37" s="1749">
        <v>556</v>
      </c>
      <c r="J37" s="1751">
        <v>205</v>
      </c>
      <c r="K37" s="1749">
        <v>103</v>
      </c>
      <c r="L37" s="1751">
        <v>60</v>
      </c>
      <c r="M37" s="1749">
        <v>34</v>
      </c>
      <c r="N37" s="1749">
        <v>109</v>
      </c>
      <c r="O37" s="1749">
        <v>51</v>
      </c>
      <c r="P37" s="1749">
        <v>3</v>
      </c>
      <c r="Q37" s="1749" t="s">
        <v>28</v>
      </c>
      <c r="R37" s="1749" t="s">
        <v>28</v>
      </c>
      <c r="S37" s="1749" t="s">
        <v>28</v>
      </c>
      <c r="T37" s="1749">
        <v>4</v>
      </c>
      <c r="U37" s="1752">
        <v>2</v>
      </c>
    </row>
    <row r="38" spans="1:21" s="707" customFormat="1" ht="9.9499999999999993" customHeight="1">
      <c r="A38" s="954" t="s">
        <v>141</v>
      </c>
      <c r="B38" s="1731" t="s">
        <v>142</v>
      </c>
      <c r="C38" s="1732" t="s">
        <v>28</v>
      </c>
      <c r="D38" s="1732" t="s">
        <v>28</v>
      </c>
      <c r="E38" s="1760" t="s">
        <v>28</v>
      </c>
      <c r="F38" s="1732">
        <v>1505</v>
      </c>
      <c r="G38" s="1732">
        <v>721</v>
      </c>
      <c r="H38" s="1732">
        <v>1160</v>
      </c>
      <c r="I38" s="1732">
        <v>551</v>
      </c>
      <c r="J38" s="1738">
        <v>184</v>
      </c>
      <c r="K38" s="1732">
        <v>93</v>
      </c>
      <c r="L38" s="1738">
        <v>49</v>
      </c>
      <c r="M38" s="1732">
        <v>26</v>
      </c>
      <c r="N38" s="1732">
        <v>109</v>
      </c>
      <c r="O38" s="1732">
        <v>51</v>
      </c>
      <c r="P38" s="1732">
        <v>3</v>
      </c>
      <c r="Q38" s="1732" t="s">
        <v>28</v>
      </c>
      <c r="R38" s="1732" t="s">
        <v>28</v>
      </c>
      <c r="S38" s="1732" t="s">
        <v>28</v>
      </c>
      <c r="T38" s="1732" t="s">
        <v>28</v>
      </c>
      <c r="U38" s="1754" t="s">
        <v>28</v>
      </c>
    </row>
    <row r="39" spans="1:21" s="707" customFormat="1" ht="9.9499999999999993" customHeight="1">
      <c r="A39" s="954" t="s">
        <v>143</v>
      </c>
      <c r="B39" s="1731" t="s">
        <v>548</v>
      </c>
      <c r="C39" s="1732" t="s">
        <v>28</v>
      </c>
      <c r="D39" s="1732" t="s">
        <v>28</v>
      </c>
      <c r="E39" s="1760" t="s">
        <v>28</v>
      </c>
      <c r="F39" s="1732">
        <v>42</v>
      </c>
      <c r="G39" s="1732">
        <v>23</v>
      </c>
      <c r="H39" s="1732">
        <v>10</v>
      </c>
      <c r="I39" s="1732">
        <v>5</v>
      </c>
      <c r="J39" s="1738">
        <v>21</v>
      </c>
      <c r="K39" s="1732">
        <v>10</v>
      </c>
      <c r="L39" s="1738">
        <v>11</v>
      </c>
      <c r="M39" s="1732">
        <v>8</v>
      </c>
      <c r="N39" s="1732" t="s">
        <v>28</v>
      </c>
      <c r="O39" s="1732" t="s">
        <v>28</v>
      </c>
      <c r="P39" s="1732" t="s">
        <v>28</v>
      </c>
      <c r="Q39" s="1732" t="s">
        <v>28</v>
      </c>
      <c r="R39" s="1732" t="s">
        <v>28</v>
      </c>
      <c r="S39" s="1732" t="s">
        <v>28</v>
      </c>
      <c r="T39" s="1732" t="s">
        <v>28</v>
      </c>
      <c r="U39" s="1754" t="s">
        <v>28</v>
      </c>
    </row>
    <row r="40" spans="1:21" s="706" customFormat="1" ht="9.9499999999999993" customHeight="1">
      <c r="A40" s="1685" t="s">
        <v>49</v>
      </c>
      <c r="B40" s="1722" t="s">
        <v>50</v>
      </c>
      <c r="C40" s="1723">
        <v>364</v>
      </c>
      <c r="D40" s="1723">
        <v>64</v>
      </c>
      <c r="E40" s="1761">
        <v>100</v>
      </c>
      <c r="F40" s="1723">
        <v>364</v>
      </c>
      <c r="G40" s="1723">
        <v>64</v>
      </c>
      <c r="H40" s="1723">
        <v>272</v>
      </c>
      <c r="I40" s="1723">
        <v>45</v>
      </c>
      <c r="J40" s="1729">
        <v>87</v>
      </c>
      <c r="K40" s="1723">
        <v>18</v>
      </c>
      <c r="L40" s="1729">
        <v>5</v>
      </c>
      <c r="M40" s="1723">
        <v>1</v>
      </c>
      <c r="N40" s="1723" t="s">
        <v>28</v>
      </c>
      <c r="O40" s="1723" t="s">
        <v>28</v>
      </c>
      <c r="P40" s="1723" t="s">
        <v>28</v>
      </c>
      <c r="Q40" s="1723" t="s">
        <v>28</v>
      </c>
      <c r="R40" s="1723" t="s">
        <v>28</v>
      </c>
      <c r="S40" s="1723" t="s">
        <v>28</v>
      </c>
      <c r="T40" s="1723" t="s">
        <v>28</v>
      </c>
      <c r="U40" s="1756" t="s">
        <v>28</v>
      </c>
    </row>
    <row r="41" spans="1:21" s="707" customFormat="1" ht="9.9499999999999993" customHeight="1">
      <c r="A41" s="954" t="s">
        <v>141</v>
      </c>
      <c r="B41" s="1731" t="s">
        <v>142</v>
      </c>
      <c r="C41" s="1732" t="s">
        <v>28</v>
      </c>
      <c r="D41" s="1732" t="s">
        <v>28</v>
      </c>
      <c r="E41" s="1760" t="s">
        <v>28</v>
      </c>
      <c r="F41" s="1732">
        <v>363</v>
      </c>
      <c r="G41" s="1732">
        <v>63</v>
      </c>
      <c r="H41" s="1732">
        <v>272</v>
      </c>
      <c r="I41" s="1732">
        <v>45</v>
      </c>
      <c r="J41" s="1738">
        <v>86</v>
      </c>
      <c r="K41" s="1732">
        <v>17</v>
      </c>
      <c r="L41" s="1738">
        <v>5</v>
      </c>
      <c r="M41" s="1732">
        <v>1</v>
      </c>
      <c r="N41" s="1732" t="s">
        <v>28</v>
      </c>
      <c r="O41" s="1732" t="s">
        <v>28</v>
      </c>
      <c r="P41" s="1732" t="s">
        <v>28</v>
      </c>
      <c r="Q41" s="1732" t="s">
        <v>28</v>
      </c>
      <c r="R41" s="1732" t="s">
        <v>28</v>
      </c>
      <c r="S41" s="1732" t="s">
        <v>28</v>
      </c>
      <c r="T41" s="1732" t="s">
        <v>28</v>
      </c>
      <c r="U41" s="1754" t="s">
        <v>28</v>
      </c>
    </row>
    <row r="42" spans="1:21" s="707" customFormat="1" ht="9.9499999999999993" customHeight="1">
      <c r="A42" s="954" t="s">
        <v>143</v>
      </c>
      <c r="B42" s="1731" t="s">
        <v>548</v>
      </c>
      <c r="C42" s="1732" t="s">
        <v>28</v>
      </c>
      <c r="D42" s="1732" t="s">
        <v>28</v>
      </c>
      <c r="E42" s="1760" t="s">
        <v>28</v>
      </c>
      <c r="F42" s="1732">
        <v>1</v>
      </c>
      <c r="G42" s="1732">
        <v>1</v>
      </c>
      <c r="H42" s="1732" t="s">
        <v>28</v>
      </c>
      <c r="I42" s="1732" t="s">
        <v>28</v>
      </c>
      <c r="J42" s="1738">
        <v>1</v>
      </c>
      <c r="K42" s="1732">
        <v>1</v>
      </c>
      <c r="L42" s="1738" t="s">
        <v>28</v>
      </c>
      <c r="M42" s="1732" t="s">
        <v>28</v>
      </c>
      <c r="N42" s="1732" t="s">
        <v>28</v>
      </c>
      <c r="O42" s="1732" t="s">
        <v>28</v>
      </c>
      <c r="P42" s="1732" t="s">
        <v>28</v>
      </c>
      <c r="Q42" s="1732" t="s">
        <v>28</v>
      </c>
      <c r="R42" s="1732" t="s">
        <v>28</v>
      </c>
      <c r="S42" s="1732" t="s">
        <v>28</v>
      </c>
      <c r="T42" s="1732" t="s">
        <v>28</v>
      </c>
      <c r="U42" s="1754" t="s">
        <v>28</v>
      </c>
    </row>
    <row r="43" spans="1:21" s="706" customFormat="1" ht="9.9499999999999993" customHeight="1">
      <c r="A43" s="1762" t="s">
        <v>963</v>
      </c>
      <c r="B43" s="1722" t="s">
        <v>964</v>
      </c>
      <c r="C43" s="1723">
        <v>2544</v>
      </c>
      <c r="D43" s="1723">
        <v>1370</v>
      </c>
      <c r="E43" s="1761">
        <v>99.6</v>
      </c>
      <c r="F43" s="1723">
        <v>2534</v>
      </c>
      <c r="G43" s="1723">
        <v>1362</v>
      </c>
      <c r="H43" s="1723">
        <v>1724</v>
      </c>
      <c r="I43" s="1723">
        <v>911</v>
      </c>
      <c r="J43" s="1729">
        <v>684</v>
      </c>
      <c r="K43" s="1723">
        <v>380</v>
      </c>
      <c r="L43" s="1729">
        <v>99</v>
      </c>
      <c r="M43" s="1723">
        <v>58</v>
      </c>
      <c r="N43" s="1723">
        <v>12</v>
      </c>
      <c r="O43" s="1723">
        <v>7</v>
      </c>
      <c r="P43" s="1723">
        <v>15</v>
      </c>
      <c r="Q43" s="1723">
        <v>6</v>
      </c>
      <c r="R43" s="1723" t="s">
        <v>28</v>
      </c>
      <c r="S43" s="1723" t="s">
        <v>28</v>
      </c>
      <c r="T43" s="1723">
        <v>10</v>
      </c>
      <c r="U43" s="1756">
        <v>8</v>
      </c>
    </row>
    <row r="44" spans="1:21" s="707" customFormat="1" ht="9.9499999999999993" customHeight="1">
      <c r="A44" s="954" t="s">
        <v>141</v>
      </c>
      <c r="B44" s="1731" t="s">
        <v>142</v>
      </c>
      <c r="C44" s="1732" t="s">
        <v>28</v>
      </c>
      <c r="D44" s="1732" t="s">
        <v>28</v>
      </c>
      <c r="E44" s="1760" t="s">
        <v>28</v>
      </c>
      <c r="F44" s="1732">
        <v>2505</v>
      </c>
      <c r="G44" s="1732">
        <v>1344</v>
      </c>
      <c r="H44" s="1732">
        <v>1719</v>
      </c>
      <c r="I44" s="1732">
        <v>906</v>
      </c>
      <c r="J44" s="1738">
        <v>673</v>
      </c>
      <c r="K44" s="1732">
        <v>374</v>
      </c>
      <c r="L44" s="1738">
        <v>91</v>
      </c>
      <c r="M44" s="1732">
        <v>52</v>
      </c>
      <c r="N44" s="1732">
        <v>12</v>
      </c>
      <c r="O44" s="1732">
        <v>7</v>
      </c>
      <c r="P44" s="1732">
        <v>10</v>
      </c>
      <c r="Q44" s="1732">
        <v>5</v>
      </c>
      <c r="R44" s="1732" t="s">
        <v>28</v>
      </c>
      <c r="S44" s="1732" t="s">
        <v>28</v>
      </c>
      <c r="T44" s="1732" t="s">
        <v>28</v>
      </c>
      <c r="U44" s="1754" t="s">
        <v>28</v>
      </c>
    </row>
    <row r="45" spans="1:21" s="707" customFormat="1" ht="9.9499999999999993" customHeight="1">
      <c r="A45" s="954" t="s">
        <v>143</v>
      </c>
      <c r="B45" s="1731" t="s">
        <v>548</v>
      </c>
      <c r="C45" s="1732" t="s">
        <v>28</v>
      </c>
      <c r="D45" s="1732" t="s">
        <v>28</v>
      </c>
      <c r="E45" s="1760" t="s">
        <v>28</v>
      </c>
      <c r="F45" s="1732">
        <v>29</v>
      </c>
      <c r="G45" s="1732">
        <v>18</v>
      </c>
      <c r="H45" s="1732">
        <v>5</v>
      </c>
      <c r="I45" s="1732">
        <v>5</v>
      </c>
      <c r="J45" s="1738">
        <v>11</v>
      </c>
      <c r="K45" s="1732">
        <v>6</v>
      </c>
      <c r="L45" s="1738">
        <v>8</v>
      </c>
      <c r="M45" s="1732">
        <v>6</v>
      </c>
      <c r="N45" s="1732" t="s">
        <v>28</v>
      </c>
      <c r="O45" s="1732" t="s">
        <v>28</v>
      </c>
      <c r="P45" s="1732">
        <v>5</v>
      </c>
      <c r="Q45" s="1732">
        <v>1</v>
      </c>
      <c r="R45" s="1732" t="s">
        <v>28</v>
      </c>
      <c r="S45" s="1732" t="s">
        <v>28</v>
      </c>
      <c r="T45" s="1732" t="s">
        <v>28</v>
      </c>
      <c r="U45" s="1754" t="s">
        <v>28</v>
      </c>
    </row>
    <row r="46" spans="1:21" s="706" customFormat="1" ht="9.9499999999999993" customHeight="1">
      <c r="A46" s="1685" t="s">
        <v>51</v>
      </c>
      <c r="B46" s="1722" t="s">
        <v>52</v>
      </c>
      <c r="C46" s="1723">
        <v>4275</v>
      </c>
      <c r="D46" s="1723">
        <v>2093</v>
      </c>
      <c r="E46" s="1763">
        <v>99.5</v>
      </c>
      <c r="F46" s="1723">
        <v>4252</v>
      </c>
      <c r="G46" s="1723">
        <v>2081</v>
      </c>
      <c r="H46" s="1723">
        <v>3142</v>
      </c>
      <c r="I46" s="1723">
        <v>1492</v>
      </c>
      <c r="J46" s="1729">
        <v>462</v>
      </c>
      <c r="K46" s="1723">
        <v>215</v>
      </c>
      <c r="L46" s="1729">
        <v>341</v>
      </c>
      <c r="M46" s="1723">
        <v>223</v>
      </c>
      <c r="N46" s="1723">
        <v>241</v>
      </c>
      <c r="O46" s="1723">
        <v>122</v>
      </c>
      <c r="P46" s="1723">
        <v>66</v>
      </c>
      <c r="Q46" s="1723">
        <v>29</v>
      </c>
      <c r="R46" s="1723" t="s">
        <v>28</v>
      </c>
      <c r="S46" s="1723" t="s">
        <v>28</v>
      </c>
      <c r="T46" s="1723">
        <v>23</v>
      </c>
      <c r="U46" s="1756">
        <v>12</v>
      </c>
    </row>
    <row r="47" spans="1:21" s="707" customFormat="1" ht="9.9499999999999993" customHeight="1">
      <c r="A47" s="954" t="s">
        <v>141</v>
      </c>
      <c r="B47" s="1731" t="s">
        <v>142</v>
      </c>
      <c r="C47" s="1732" t="s">
        <v>28</v>
      </c>
      <c r="D47" s="1732" t="s">
        <v>28</v>
      </c>
      <c r="E47" s="1760" t="s">
        <v>28</v>
      </c>
      <c r="F47" s="1732">
        <v>4143</v>
      </c>
      <c r="G47" s="1732">
        <v>2034</v>
      </c>
      <c r="H47" s="1732">
        <v>3132</v>
      </c>
      <c r="I47" s="1732">
        <v>1488</v>
      </c>
      <c r="J47" s="1738">
        <v>441</v>
      </c>
      <c r="K47" s="1732">
        <v>208</v>
      </c>
      <c r="L47" s="1738">
        <v>294</v>
      </c>
      <c r="M47" s="1732">
        <v>196</v>
      </c>
      <c r="N47" s="1732">
        <v>225</v>
      </c>
      <c r="O47" s="1732">
        <v>117</v>
      </c>
      <c r="P47" s="1732">
        <v>51</v>
      </c>
      <c r="Q47" s="1732">
        <v>25</v>
      </c>
      <c r="R47" s="1732" t="s">
        <v>28</v>
      </c>
      <c r="S47" s="1732" t="s">
        <v>28</v>
      </c>
      <c r="T47" s="1732" t="s">
        <v>28</v>
      </c>
      <c r="U47" s="1754" t="s">
        <v>28</v>
      </c>
    </row>
    <row r="48" spans="1:21" s="707" customFormat="1" ht="9.9499999999999993" customHeight="1">
      <c r="A48" s="954" t="s">
        <v>143</v>
      </c>
      <c r="B48" s="1731" t="s">
        <v>548</v>
      </c>
      <c r="C48" s="1732" t="s">
        <v>28</v>
      </c>
      <c r="D48" s="1732" t="s">
        <v>28</v>
      </c>
      <c r="E48" s="1760" t="s">
        <v>28</v>
      </c>
      <c r="F48" s="1732">
        <v>109</v>
      </c>
      <c r="G48" s="1732">
        <v>47</v>
      </c>
      <c r="H48" s="1732">
        <v>10</v>
      </c>
      <c r="I48" s="1732">
        <v>4</v>
      </c>
      <c r="J48" s="1738">
        <v>21</v>
      </c>
      <c r="K48" s="1732">
        <v>7</v>
      </c>
      <c r="L48" s="1738">
        <v>47</v>
      </c>
      <c r="M48" s="1732">
        <v>27</v>
      </c>
      <c r="N48" s="1732">
        <v>16</v>
      </c>
      <c r="O48" s="1732">
        <v>5</v>
      </c>
      <c r="P48" s="1732">
        <v>15</v>
      </c>
      <c r="Q48" s="1732">
        <v>4</v>
      </c>
      <c r="R48" s="1732" t="s">
        <v>28</v>
      </c>
      <c r="S48" s="1732" t="s">
        <v>28</v>
      </c>
      <c r="T48" s="1732" t="s">
        <v>28</v>
      </c>
      <c r="U48" s="1754" t="s">
        <v>28</v>
      </c>
    </row>
    <row r="49" spans="1:21" s="706" customFormat="1" ht="9.9499999999999993" customHeight="1">
      <c r="A49" s="1685" t="s">
        <v>53</v>
      </c>
      <c r="B49" s="1722" t="s">
        <v>54</v>
      </c>
      <c r="C49" s="1723">
        <v>4444</v>
      </c>
      <c r="D49" s="1723">
        <v>2209</v>
      </c>
      <c r="E49" s="1763">
        <v>99.8</v>
      </c>
      <c r="F49" s="1723">
        <v>4435</v>
      </c>
      <c r="G49" s="1723">
        <v>2205</v>
      </c>
      <c r="H49" s="1723">
        <v>3383</v>
      </c>
      <c r="I49" s="1723">
        <v>1639</v>
      </c>
      <c r="J49" s="1729">
        <v>844</v>
      </c>
      <c r="K49" s="1723">
        <v>443</v>
      </c>
      <c r="L49" s="1729">
        <v>149</v>
      </c>
      <c r="M49" s="1723">
        <v>89</v>
      </c>
      <c r="N49" s="1723">
        <v>32</v>
      </c>
      <c r="O49" s="1723">
        <v>20</v>
      </c>
      <c r="P49" s="1723">
        <v>27</v>
      </c>
      <c r="Q49" s="1723">
        <v>14</v>
      </c>
      <c r="R49" s="1723" t="s">
        <v>28</v>
      </c>
      <c r="S49" s="1723" t="s">
        <v>28</v>
      </c>
      <c r="T49" s="1723">
        <v>9</v>
      </c>
      <c r="U49" s="1756">
        <v>4</v>
      </c>
    </row>
    <row r="50" spans="1:21" s="707" customFormat="1" ht="9.9499999999999993" customHeight="1">
      <c r="A50" s="954" t="s">
        <v>141</v>
      </c>
      <c r="B50" s="1731" t="s">
        <v>142</v>
      </c>
      <c r="C50" s="1732" t="s">
        <v>28</v>
      </c>
      <c r="D50" s="1732" t="s">
        <v>28</v>
      </c>
      <c r="E50" s="1760" t="s">
        <v>28</v>
      </c>
      <c r="F50" s="1732">
        <v>4358</v>
      </c>
      <c r="G50" s="1732">
        <v>2176</v>
      </c>
      <c r="H50" s="1732">
        <v>3366</v>
      </c>
      <c r="I50" s="1732">
        <v>1634</v>
      </c>
      <c r="J50" s="1738">
        <v>810</v>
      </c>
      <c r="K50" s="1732">
        <v>437</v>
      </c>
      <c r="L50" s="1738">
        <v>132</v>
      </c>
      <c r="M50" s="1732">
        <v>72</v>
      </c>
      <c r="N50" s="1732">
        <v>30</v>
      </c>
      <c r="O50" s="1732">
        <v>20</v>
      </c>
      <c r="P50" s="1732">
        <v>20</v>
      </c>
      <c r="Q50" s="1732">
        <v>13</v>
      </c>
      <c r="R50" s="1732" t="s">
        <v>28</v>
      </c>
      <c r="S50" s="1732" t="s">
        <v>28</v>
      </c>
      <c r="T50" s="1732" t="s">
        <v>28</v>
      </c>
      <c r="U50" s="1754" t="s">
        <v>28</v>
      </c>
    </row>
    <row r="51" spans="1:21" s="707" customFormat="1" ht="9.9499999999999993" customHeight="1">
      <c r="A51" s="954" t="s">
        <v>143</v>
      </c>
      <c r="B51" s="1731" t="s">
        <v>548</v>
      </c>
      <c r="C51" s="1732" t="s">
        <v>28</v>
      </c>
      <c r="D51" s="1732" t="s">
        <v>28</v>
      </c>
      <c r="E51" s="1760" t="s">
        <v>28</v>
      </c>
      <c r="F51" s="1732">
        <v>77</v>
      </c>
      <c r="G51" s="1732">
        <v>29</v>
      </c>
      <c r="H51" s="1732">
        <v>17</v>
      </c>
      <c r="I51" s="1732">
        <v>5</v>
      </c>
      <c r="J51" s="1738">
        <v>34</v>
      </c>
      <c r="K51" s="1732">
        <v>6</v>
      </c>
      <c r="L51" s="1738">
        <v>17</v>
      </c>
      <c r="M51" s="1732">
        <v>17</v>
      </c>
      <c r="N51" s="1732">
        <v>2</v>
      </c>
      <c r="O51" s="1732" t="s">
        <v>28</v>
      </c>
      <c r="P51" s="1732">
        <v>7</v>
      </c>
      <c r="Q51" s="1732">
        <v>1</v>
      </c>
      <c r="R51" s="1732" t="s">
        <v>28</v>
      </c>
      <c r="S51" s="1732" t="s">
        <v>28</v>
      </c>
      <c r="T51" s="1732" t="s">
        <v>28</v>
      </c>
      <c r="U51" s="1754" t="s">
        <v>28</v>
      </c>
    </row>
    <row r="52" spans="1:21" s="706" customFormat="1" ht="9.9499999999999993" customHeight="1">
      <c r="A52" s="1685" t="s">
        <v>55</v>
      </c>
      <c r="B52" s="1722" t="s">
        <v>56</v>
      </c>
      <c r="C52" s="1723">
        <v>3837</v>
      </c>
      <c r="D52" s="1723">
        <v>1829</v>
      </c>
      <c r="E52" s="1763">
        <v>99.8</v>
      </c>
      <c r="F52" s="1723">
        <v>3828</v>
      </c>
      <c r="G52" s="1723">
        <v>1824</v>
      </c>
      <c r="H52" s="1723">
        <v>2934</v>
      </c>
      <c r="I52" s="1723">
        <v>1383</v>
      </c>
      <c r="J52" s="1729">
        <v>623</v>
      </c>
      <c r="K52" s="1723">
        <v>305</v>
      </c>
      <c r="L52" s="1729">
        <v>199</v>
      </c>
      <c r="M52" s="1723">
        <v>106</v>
      </c>
      <c r="N52" s="1723">
        <v>31</v>
      </c>
      <c r="O52" s="1723">
        <v>16</v>
      </c>
      <c r="P52" s="1723">
        <v>41</v>
      </c>
      <c r="Q52" s="1723">
        <v>14</v>
      </c>
      <c r="R52" s="1723" t="s">
        <v>28</v>
      </c>
      <c r="S52" s="1723" t="s">
        <v>28</v>
      </c>
      <c r="T52" s="1723">
        <v>9</v>
      </c>
      <c r="U52" s="1756">
        <v>5</v>
      </c>
    </row>
    <row r="53" spans="1:21" s="707" customFormat="1" ht="9.9499999999999993" customHeight="1">
      <c r="A53" s="954" t="s">
        <v>141</v>
      </c>
      <c r="B53" s="1731" t="s">
        <v>142</v>
      </c>
      <c r="C53" s="1732" t="s">
        <v>28</v>
      </c>
      <c r="D53" s="1732" t="s">
        <v>28</v>
      </c>
      <c r="E53" s="1760" t="s">
        <v>28</v>
      </c>
      <c r="F53" s="1732">
        <v>3726</v>
      </c>
      <c r="G53" s="1732">
        <v>1766</v>
      </c>
      <c r="H53" s="1732">
        <v>2918</v>
      </c>
      <c r="I53" s="1732">
        <v>1372</v>
      </c>
      <c r="J53" s="1738">
        <v>579</v>
      </c>
      <c r="K53" s="1732">
        <v>283</v>
      </c>
      <c r="L53" s="1738">
        <v>172</v>
      </c>
      <c r="M53" s="1732">
        <v>88</v>
      </c>
      <c r="N53" s="1732">
        <v>26</v>
      </c>
      <c r="O53" s="1732">
        <v>13</v>
      </c>
      <c r="P53" s="1732">
        <v>31</v>
      </c>
      <c r="Q53" s="1732">
        <v>10</v>
      </c>
      <c r="R53" s="1732" t="s">
        <v>28</v>
      </c>
      <c r="S53" s="1732" t="s">
        <v>28</v>
      </c>
      <c r="T53" s="1732" t="s">
        <v>28</v>
      </c>
      <c r="U53" s="1754" t="s">
        <v>28</v>
      </c>
    </row>
    <row r="54" spans="1:21" s="707" customFormat="1" ht="9.9499999999999993" customHeight="1">
      <c r="A54" s="954" t="s">
        <v>143</v>
      </c>
      <c r="B54" s="1731" t="s">
        <v>548</v>
      </c>
      <c r="C54" s="1732" t="s">
        <v>28</v>
      </c>
      <c r="D54" s="1732" t="s">
        <v>28</v>
      </c>
      <c r="E54" s="1760" t="s">
        <v>28</v>
      </c>
      <c r="F54" s="1732">
        <v>102</v>
      </c>
      <c r="G54" s="1732">
        <v>58</v>
      </c>
      <c r="H54" s="1732">
        <v>16</v>
      </c>
      <c r="I54" s="1732">
        <v>11</v>
      </c>
      <c r="J54" s="1738">
        <v>44</v>
      </c>
      <c r="K54" s="1732">
        <v>22</v>
      </c>
      <c r="L54" s="1738">
        <v>27</v>
      </c>
      <c r="M54" s="1732">
        <v>18</v>
      </c>
      <c r="N54" s="1732">
        <v>5</v>
      </c>
      <c r="O54" s="1732">
        <v>3</v>
      </c>
      <c r="P54" s="1732">
        <v>10</v>
      </c>
      <c r="Q54" s="1732">
        <v>4</v>
      </c>
      <c r="R54" s="1732" t="s">
        <v>28</v>
      </c>
      <c r="S54" s="1732" t="s">
        <v>28</v>
      </c>
      <c r="T54" s="1732" t="s">
        <v>28</v>
      </c>
      <c r="U54" s="1754" t="s">
        <v>28</v>
      </c>
    </row>
    <row r="55" spans="1:21" s="706" customFormat="1" ht="9.9499999999999993" customHeight="1">
      <c r="A55" s="1685" t="s">
        <v>57</v>
      </c>
      <c r="B55" s="1722" t="s">
        <v>58</v>
      </c>
      <c r="C55" s="1723">
        <v>2103</v>
      </c>
      <c r="D55" s="1723">
        <v>1021</v>
      </c>
      <c r="E55" s="1763">
        <v>99.7</v>
      </c>
      <c r="F55" s="1723">
        <v>2097</v>
      </c>
      <c r="G55" s="1723">
        <v>1018</v>
      </c>
      <c r="H55" s="1723">
        <v>1643</v>
      </c>
      <c r="I55" s="1723">
        <v>799</v>
      </c>
      <c r="J55" s="1729">
        <v>357</v>
      </c>
      <c r="K55" s="1723">
        <v>171</v>
      </c>
      <c r="L55" s="1729">
        <v>80</v>
      </c>
      <c r="M55" s="1723">
        <v>39</v>
      </c>
      <c r="N55" s="1723">
        <v>6</v>
      </c>
      <c r="O55" s="1723">
        <v>3</v>
      </c>
      <c r="P55" s="1723">
        <v>11</v>
      </c>
      <c r="Q55" s="1723">
        <v>6</v>
      </c>
      <c r="R55" s="1723" t="s">
        <v>28</v>
      </c>
      <c r="S55" s="1723" t="s">
        <v>28</v>
      </c>
      <c r="T55" s="1723">
        <v>6</v>
      </c>
      <c r="U55" s="1756">
        <v>3</v>
      </c>
    </row>
    <row r="56" spans="1:21" s="707" customFormat="1" ht="9.9499999999999993" customHeight="1">
      <c r="A56" s="954" t="s">
        <v>141</v>
      </c>
      <c r="B56" s="1731" t="s">
        <v>142</v>
      </c>
      <c r="C56" s="1732" t="s">
        <v>28</v>
      </c>
      <c r="D56" s="1732" t="s">
        <v>28</v>
      </c>
      <c r="E56" s="1760" t="s">
        <v>28</v>
      </c>
      <c r="F56" s="1732">
        <v>2039</v>
      </c>
      <c r="G56" s="1732">
        <v>989</v>
      </c>
      <c r="H56" s="1732">
        <v>1634</v>
      </c>
      <c r="I56" s="1732">
        <v>795</v>
      </c>
      <c r="J56" s="1738">
        <v>323</v>
      </c>
      <c r="K56" s="1732">
        <v>156</v>
      </c>
      <c r="L56" s="1738">
        <v>67</v>
      </c>
      <c r="M56" s="1732">
        <v>30</v>
      </c>
      <c r="N56" s="1732">
        <v>6</v>
      </c>
      <c r="O56" s="1732">
        <v>3</v>
      </c>
      <c r="P56" s="1732">
        <v>9</v>
      </c>
      <c r="Q56" s="1732">
        <v>5</v>
      </c>
      <c r="R56" s="1732" t="s">
        <v>28</v>
      </c>
      <c r="S56" s="1732" t="s">
        <v>28</v>
      </c>
      <c r="T56" s="1732" t="s">
        <v>28</v>
      </c>
      <c r="U56" s="1754" t="s">
        <v>28</v>
      </c>
    </row>
    <row r="57" spans="1:21" s="707" customFormat="1" ht="9.9499999999999993" customHeight="1">
      <c r="A57" s="954" t="s">
        <v>143</v>
      </c>
      <c r="B57" s="1731" t="s">
        <v>548</v>
      </c>
      <c r="C57" s="1732" t="s">
        <v>28</v>
      </c>
      <c r="D57" s="1732" t="s">
        <v>28</v>
      </c>
      <c r="E57" s="1760" t="s">
        <v>28</v>
      </c>
      <c r="F57" s="1732">
        <v>58</v>
      </c>
      <c r="G57" s="1732">
        <v>29</v>
      </c>
      <c r="H57" s="1732">
        <v>9</v>
      </c>
      <c r="I57" s="1732">
        <v>4</v>
      </c>
      <c r="J57" s="1738">
        <v>34</v>
      </c>
      <c r="K57" s="1732">
        <v>15</v>
      </c>
      <c r="L57" s="1738">
        <v>13</v>
      </c>
      <c r="M57" s="1732">
        <v>9</v>
      </c>
      <c r="N57" s="1732" t="s">
        <v>28</v>
      </c>
      <c r="O57" s="1732" t="s">
        <v>28</v>
      </c>
      <c r="P57" s="1732">
        <v>2</v>
      </c>
      <c r="Q57" s="1732">
        <v>1</v>
      </c>
      <c r="R57" s="1732" t="s">
        <v>28</v>
      </c>
      <c r="S57" s="1732" t="s">
        <v>28</v>
      </c>
      <c r="T57" s="1732" t="s">
        <v>28</v>
      </c>
      <c r="U57" s="1754" t="s">
        <v>28</v>
      </c>
    </row>
    <row r="58" spans="1:21" s="706" customFormat="1" ht="9.9499999999999993" customHeight="1">
      <c r="A58" s="1685" t="s">
        <v>59</v>
      </c>
      <c r="B58" s="1722" t="s">
        <v>60</v>
      </c>
      <c r="C58" s="1723">
        <v>5649</v>
      </c>
      <c r="D58" s="1723">
        <v>2756</v>
      </c>
      <c r="E58" s="1763">
        <v>99.8</v>
      </c>
      <c r="F58" s="1723">
        <v>5635</v>
      </c>
      <c r="G58" s="1723">
        <v>2747</v>
      </c>
      <c r="H58" s="1723">
        <v>4549</v>
      </c>
      <c r="I58" s="1723">
        <v>2197</v>
      </c>
      <c r="J58" s="1729">
        <v>747</v>
      </c>
      <c r="K58" s="1723">
        <v>347</v>
      </c>
      <c r="L58" s="1729">
        <v>264</v>
      </c>
      <c r="M58" s="1723">
        <v>157</v>
      </c>
      <c r="N58" s="1723">
        <v>42</v>
      </c>
      <c r="O58" s="1723">
        <v>29</v>
      </c>
      <c r="P58" s="1723">
        <v>33</v>
      </c>
      <c r="Q58" s="1723">
        <v>17</v>
      </c>
      <c r="R58" s="1723" t="s">
        <v>28</v>
      </c>
      <c r="S58" s="1723" t="s">
        <v>28</v>
      </c>
      <c r="T58" s="1723">
        <v>14</v>
      </c>
      <c r="U58" s="1756">
        <v>9</v>
      </c>
    </row>
    <row r="59" spans="1:21" s="707" customFormat="1" ht="9.9499999999999993" customHeight="1">
      <c r="A59" s="954" t="s">
        <v>141</v>
      </c>
      <c r="B59" s="1731" t="s">
        <v>142</v>
      </c>
      <c r="C59" s="1732" t="s">
        <v>28</v>
      </c>
      <c r="D59" s="1732" t="s">
        <v>28</v>
      </c>
      <c r="E59" s="1760" t="s">
        <v>28</v>
      </c>
      <c r="F59" s="1732">
        <v>5503</v>
      </c>
      <c r="G59" s="1732">
        <v>2685</v>
      </c>
      <c r="H59" s="1732">
        <v>4519</v>
      </c>
      <c r="I59" s="1732">
        <v>2183</v>
      </c>
      <c r="J59" s="1738">
        <v>695</v>
      </c>
      <c r="K59" s="1732">
        <v>325</v>
      </c>
      <c r="L59" s="1738">
        <v>233</v>
      </c>
      <c r="M59" s="1732">
        <v>137</v>
      </c>
      <c r="N59" s="1732">
        <v>37</v>
      </c>
      <c r="O59" s="1732">
        <v>28</v>
      </c>
      <c r="P59" s="1732">
        <v>19</v>
      </c>
      <c r="Q59" s="1732">
        <v>12</v>
      </c>
      <c r="R59" s="1732" t="s">
        <v>28</v>
      </c>
      <c r="S59" s="1732" t="s">
        <v>28</v>
      </c>
      <c r="T59" s="1732" t="s">
        <v>28</v>
      </c>
      <c r="U59" s="1754" t="s">
        <v>28</v>
      </c>
    </row>
    <row r="60" spans="1:21" s="707" customFormat="1" ht="9.9499999999999993" customHeight="1">
      <c r="A60" s="954" t="s">
        <v>143</v>
      </c>
      <c r="B60" s="1731" t="s">
        <v>548</v>
      </c>
      <c r="C60" s="1732" t="s">
        <v>28</v>
      </c>
      <c r="D60" s="1732" t="s">
        <v>28</v>
      </c>
      <c r="E60" s="1760" t="s">
        <v>28</v>
      </c>
      <c r="F60" s="1732">
        <v>132</v>
      </c>
      <c r="G60" s="1732">
        <v>62</v>
      </c>
      <c r="H60" s="1732">
        <v>30</v>
      </c>
      <c r="I60" s="1732">
        <v>14</v>
      </c>
      <c r="J60" s="1738">
        <v>52</v>
      </c>
      <c r="K60" s="1732">
        <v>22</v>
      </c>
      <c r="L60" s="1738">
        <v>31</v>
      </c>
      <c r="M60" s="1732">
        <v>20</v>
      </c>
      <c r="N60" s="1732">
        <v>5</v>
      </c>
      <c r="O60" s="1732">
        <v>1</v>
      </c>
      <c r="P60" s="1732">
        <v>14</v>
      </c>
      <c r="Q60" s="1732">
        <v>5</v>
      </c>
      <c r="R60" s="1732" t="s">
        <v>28</v>
      </c>
      <c r="S60" s="1732" t="s">
        <v>28</v>
      </c>
      <c r="T60" s="1732" t="s">
        <v>28</v>
      </c>
      <c r="U60" s="1754" t="s">
        <v>28</v>
      </c>
    </row>
    <row r="61" spans="1:21" s="706" customFormat="1" ht="9.9499999999999993" customHeight="1">
      <c r="A61" s="1685" t="s">
        <v>61</v>
      </c>
      <c r="B61" s="1722" t="s">
        <v>62</v>
      </c>
      <c r="C61" s="1723">
        <v>444</v>
      </c>
      <c r="D61" s="1723">
        <v>196</v>
      </c>
      <c r="E61" s="1763">
        <v>100</v>
      </c>
      <c r="F61" s="1723">
        <v>444</v>
      </c>
      <c r="G61" s="1723">
        <v>196</v>
      </c>
      <c r="H61" s="1723">
        <v>385</v>
      </c>
      <c r="I61" s="1723">
        <v>178</v>
      </c>
      <c r="J61" s="1729">
        <v>43</v>
      </c>
      <c r="K61" s="1723">
        <v>12</v>
      </c>
      <c r="L61" s="1729">
        <v>13</v>
      </c>
      <c r="M61" s="1723">
        <v>4</v>
      </c>
      <c r="N61" s="1723" t="s">
        <v>28</v>
      </c>
      <c r="O61" s="1723" t="s">
        <v>28</v>
      </c>
      <c r="P61" s="1723">
        <v>3</v>
      </c>
      <c r="Q61" s="1723">
        <v>2</v>
      </c>
      <c r="R61" s="1723" t="s">
        <v>28</v>
      </c>
      <c r="S61" s="1723" t="s">
        <v>28</v>
      </c>
      <c r="T61" s="1723" t="s">
        <v>28</v>
      </c>
      <c r="U61" s="1756" t="s">
        <v>28</v>
      </c>
    </row>
    <row r="62" spans="1:21" s="707" customFormat="1" ht="9.9499999999999993" customHeight="1">
      <c r="A62" s="954" t="s">
        <v>141</v>
      </c>
      <c r="B62" s="1731" t="s">
        <v>142</v>
      </c>
      <c r="C62" s="1732" t="s">
        <v>28</v>
      </c>
      <c r="D62" s="1732" t="s">
        <v>28</v>
      </c>
      <c r="E62" s="1760" t="s">
        <v>28</v>
      </c>
      <c r="F62" s="1732">
        <v>430</v>
      </c>
      <c r="G62" s="1732">
        <v>190</v>
      </c>
      <c r="H62" s="1732">
        <v>382</v>
      </c>
      <c r="I62" s="1732">
        <v>177</v>
      </c>
      <c r="J62" s="1738">
        <v>38</v>
      </c>
      <c r="K62" s="1732">
        <v>10</v>
      </c>
      <c r="L62" s="1738">
        <v>9</v>
      </c>
      <c r="M62" s="1732">
        <v>3</v>
      </c>
      <c r="N62" s="1732" t="s">
        <v>28</v>
      </c>
      <c r="O62" s="1732" t="s">
        <v>28</v>
      </c>
      <c r="P62" s="1732">
        <v>1</v>
      </c>
      <c r="Q62" s="1732" t="s">
        <v>28</v>
      </c>
      <c r="R62" s="1732" t="s">
        <v>28</v>
      </c>
      <c r="S62" s="1732" t="s">
        <v>28</v>
      </c>
      <c r="T62" s="1732" t="s">
        <v>28</v>
      </c>
      <c r="U62" s="1754" t="s">
        <v>28</v>
      </c>
    </row>
    <row r="63" spans="1:21" s="707" customFormat="1" ht="9.9499999999999993" customHeight="1">
      <c r="A63" s="954" t="s">
        <v>143</v>
      </c>
      <c r="B63" s="1731" t="s">
        <v>548</v>
      </c>
      <c r="C63" s="1732" t="s">
        <v>28</v>
      </c>
      <c r="D63" s="1732" t="s">
        <v>28</v>
      </c>
      <c r="E63" s="1760" t="s">
        <v>28</v>
      </c>
      <c r="F63" s="1732">
        <v>14</v>
      </c>
      <c r="G63" s="1732">
        <v>6</v>
      </c>
      <c r="H63" s="1732">
        <v>3</v>
      </c>
      <c r="I63" s="1732">
        <v>1</v>
      </c>
      <c r="J63" s="1738">
        <v>5</v>
      </c>
      <c r="K63" s="1732">
        <v>2</v>
      </c>
      <c r="L63" s="1738">
        <v>4</v>
      </c>
      <c r="M63" s="1732">
        <v>1</v>
      </c>
      <c r="N63" s="1732" t="s">
        <v>28</v>
      </c>
      <c r="O63" s="1732" t="s">
        <v>28</v>
      </c>
      <c r="P63" s="1732">
        <v>2</v>
      </c>
      <c r="Q63" s="1732">
        <v>2</v>
      </c>
      <c r="R63" s="1732" t="s">
        <v>28</v>
      </c>
      <c r="S63" s="1732" t="s">
        <v>28</v>
      </c>
      <c r="T63" s="1732" t="s">
        <v>28</v>
      </c>
      <c r="U63" s="1754" t="s">
        <v>28</v>
      </c>
    </row>
    <row r="64" spans="1:21" s="706" customFormat="1" ht="9.9499999999999993" customHeight="1">
      <c r="A64" s="1685" t="s">
        <v>63</v>
      </c>
      <c r="B64" s="1722" t="s">
        <v>64</v>
      </c>
      <c r="C64" s="1723">
        <v>77</v>
      </c>
      <c r="D64" s="1723">
        <v>33</v>
      </c>
      <c r="E64" s="1761">
        <v>100</v>
      </c>
      <c r="F64" s="1723">
        <v>77</v>
      </c>
      <c r="G64" s="1723">
        <v>33</v>
      </c>
      <c r="H64" s="1723">
        <v>77</v>
      </c>
      <c r="I64" s="1723">
        <v>33</v>
      </c>
      <c r="J64" s="1729" t="s">
        <v>28</v>
      </c>
      <c r="K64" s="1723" t="s">
        <v>28</v>
      </c>
      <c r="L64" s="1729" t="s">
        <v>28</v>
      </c>
      <c r="M64" s="1723" t="s">
        <v>28</v>
      </c>
      <c r="N64" s="1723" t="s">
        <v>28</v>
      </c>
      <c r="O64" s="1723" t="s">
        <v>28</v>
      </c>
      <c r="P64" s="1723" t="s">
        <v>28</v>
      </c>
      <c r="Q64" s="1723" t="s">
        <v>28</v>
      </c>
      <c r="R64" s="1723" t="s">
        <v>28</v>
      </c>
      <c r="S64" s="1723" t="s">
        <v>28</v>
      </c>
      <c r="T64" s="1723" t="s">
        <v>28</v>
      </c>
      <c r="U64" s="1756" t="s">
        <v>28</v>
      </c>
    </row>
    <row r="65" spans="1:21" s="707" customFormat="1" ht="9.9499999999999993" customHeight="1">
      <c r="A65" s="954" t="s">
        <v>141</v>
      </c>
      <c r="B65" s="1731" t="s">
        <v>142</v>
      </c>
      <c r="C65" s="1732" t="s">
        <v>28</v>
      </c>
      <c r="D65" s="1732" t="s">
        <v>28</v>
      </c>
      <c r="E65" s="1760" t="s">
        <v>28</v>
      </c>
      <c r="F65" s="1732">
        <v>76</v>
      </c>
      <c r="G65" s="1732">
        <v>32</v>
      </c>
      <c r="H65" s="1732">
        <v>76</v>
      </c>
      <c r="I65" s="1732">
        <v>32</v>
      </c>
      <c r="J65" s="1738" t="s">
        <v>28</v>
      </c>
      <c r="K65" s="1732" t="s">
        <v>28</v>
      </c>
      <c r="L65" s="1738" t="s">
        <v>28</v>
      </c>
      <c r="M65" s="1732" t="s">
        <v>28</v>
      </c>
      <c r="N65" s="1732" t="s">
        <v>28</v>
      </c>
      <c r="O65" s="1732" t="s">
        <v>28</v>
      </c>
      <c r="P65" s="1732" t="s">
        <v>28</v>
      </c>
      <c r="Q65" s="1732" t="s">
        <v>28</v>
      </c>
      <c r="R65" s="1732" t="s">
        <v>28</v>
      </c>
      <c r="S65" s="1732" t="s">
        <v>28</v>
      </c>
      <c r="T65" s="1732" t="s">
        <v>28</v>
      </c>
      <c r="U65" s="1754" t="s">
        <v>28</v>
      </c>
    </row>
    <row r="66" spans="1:21" s="881" customFormat="1" ht="9.9499999999999993" customHeight="1" thickBot="1">
      <c r="A66" s="1696" t="s">
        <v>143</v>
      </c>
      <c r="B66" s="1739" t="s">
        <v>548</v>
      </c>
      <c r="C66" s="1740" t="s">
        <v>28</v>
      </c>
      <c r="D66" s="1740" t="s">
        <v>28</v>
      </c>
      <c r="E66" s="1764" t="s">
        <v>28</v>
      </c>
      <c r="F66" s="1740">
        <v>1</v>
      </c>
      <c r="G66" s="1740">
        <v>1</v>
      </c>
      <c r="H66" s="1740">
        <v>1</v>
      </c>
      <c r="I66" s="1740">
        <v>1</v>
      </c>
      <c r="J66" s="1746" t="s">
        <v>28</v>
      </c>
      <c r="K66" s="1740" t="s">
        <v>28</v>
      </c>
      <c r="L66" s="1746" t="s">
        <v>28</v>
      </c>
      <c r="M66" s="1740" t="s">
        <v>28</v>
      </c>
      <c r="N66" s="1740" t="s">
        <v>28</v>
      </c>
      <c r="O66" s="1740" t="s">
        <v>28</v>
      </c>
      <c r="P66" s="1740" t="s">
        <v>28</v>
      </c>
      <c r="Q66" s="1740" t="s">
        <v>28</v>
      </c>
      <c r="R66" s="1740" t="s">
        <v>28</v>
      </c>
      <c r="S66" s="1740" t="s">
        <v>28</v>
      </c>
      <c r="T66" s="1740" t="s">
        <v>28</v>
      </c>
      <c r="U66" s="1758" t="s">
        <v>28</v>
      </c>
    </row>
    <row r="67" spans="1:21" s="889" customFormat="1" ht="15" customHeight="1">
      <c r="A67" s="1676" t="s">
        <v>1096</v>
      </c>
      <c r="B67" s="1676"/>
      <c r="C67" s="1676"/>
      <c r="D67" s="1676"/>
      <c r="E67" s="725"/>
      <c r="F67" s="725"/>
      <c r="G67" s="725"/>
      <c r="H67" s="725"/>
      <c r="I67" s="725"/>
      <c r="J67" s="1765" t="s">
        <v>1226</v>
      </c>
      <c r="K67" s="1765"/>
      <c r="L67" s="1765"/>
      <c r="M67" s="1765"/>
      <c r="N67" s="1765"/>
      <c r="O67" s="1765"/>
      <c r="P67" s="1765"/>
      <c r="Q67" s="1765"/>
      <c r="R67" s="1765"/>
      <c r="S67" s="1765"/>
      <c r="T67" s="1765"/>
      <c r="U67" s="1765"/>
    </row>
    <row r="70" spans="1:21">
      <c r="B70" s="708"/>
    </row>
  </sheetData>
  <mergeCells count="40">
    <mergeCell ref="A2:I2"/>
    <mergeCell ref="A3:I3"/>
    <mergeCell ref="J3:U3"/>
    <mergeCell ref="J2:U2"/>
    <mergeCell ref="E5:I5"/>
    <mergeCell ref="J5:Q5"/>
    <mergeCell ref="R5:S5"/>
    <mergeCell ref="T5:U6"/>
    <mergeCell ref="E6:I6"/>
    <mergeCell ref="J6:Q6"/>
    <mergeCell ref="R6:S6"/>
    <mergeCell ref="E8:G8"/>
    <mergeCell ref="H8:I8"/>
    <mergeCell ref="A20:I20"/>
    <mergeCell ref="A36:I36"/>
    <mergeCell ref="J20:U20"/>
    <mergeCell ref="J36:U36"/>
    <mergeCell ref="T7:U8"/>
    <mergeCell ref="L7:M7"/>
    <mergeCell ref="J7:K7"/>
    <mergeCell ref="P7:Q7"/>
    <mergeCell ref="N7:O7"/>
    <mergeCell ref="E7:G7"/>
    <mergeCell ref="H7:I7"/>
    <mergeCell ref="J67:U67"/>
    <mergeCell ref="C7:D7"/>
    <mergeCell ref="A5:B5"/>
    <mergeCell ref="A6:B6"/>
    <mergeCell ref="C6:D6"/>
    <mergeCell ref="C5:D5"/>
    <mergeCell ref="A7:B7"/>
    <mergeCell ref="A67:D67"/>
    <mergeCell ref="A9:B9"/>
    <mergeCell ref="A10:B10"/>
    <mergeCell ref="N8:O8"/>
    <mergeCell ref="P8:Q8"/>
    <mergeCell ref="L8:M8"/>
    <mergeCell ref="J8:K8"/>
    <mergeCell ref="A8:B8"/>
    <mergeCell ref="C8:D8"/>
  </mergeCells>
  <phoneticPr fontId="4" type="noConversion"/>
  <hyperlinks>
    <hyperlink ref="A1" location="목록!A1" display="목록!A1" xr:uid="{63A16B9F-6593-460D-89E2-CF03700FB657}"/>
  </hyperlinks>
  <pageMargins left="0.59055118110236227" right="0.59055118110236227" top="0.78740157480314965" bottom="0.59055118110236227" header="0.62992125984251968" footer="0.39370078740157483"/>
  <pageSetup paperSize="9" scale="99" orientation="portrait" r:id="rId1"/>
  <colBreaks count="1" manualBreakCount="1">
    <brk id="9" min="1" max="66" man="1"/>
  </col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33:Q63"/>
  <sheetViews>
    <sheetView topLeftCell="A18" zoomScale="115" zoomScaleNormal="115" workbookViewId="0">
      <selection activeCell="N39" sqref="N39"/>
    </sheetView>
  </sheetViews>
  <sheetFormatPr defaultRowHeight="13.5"/>
  <sheetData>
    <row r="33" spans="2:17" ht="14.25" thickBot="1"/>
    <row r="34" spans="2:17">
      <c r="B34" s="1" t="s">
        <v>47</v>
      </c>
      <c r="C34" s="7" t="s">
        <v>48</v>
      </c>
      <c r="D34" s="66">
        <v>0.997</v>
      </c>
      <c r="F34" s="61" t="s">
        <v>55</v>
      </c>
      <c r="G34" s="62" t="s">
        <v>56</v>
      </c>
      <c r="H34" s="69">
        <v>0.998</v>
      </c>
      <c r="J34" s="61" t="s">
        <v>35</v>
      </c>
      <c r="K34" s="62" t="s">
        <v>36</v>
      </c>
      <c r="L34" s="76">
        <v>0.999</v>
      </c>
      <c r="N34" s="1" t="s">
        <v>47</v>
      </c>
      <c r="O34" s="41">
        <v>99.7</v>
      </c>
      <c r="Q34">
        <v>99.9</v>
      </c>
    </row>
    <row r="35" spans="2:17" ht="18">
      <c r="B35" s="2" t="s">
        <v>141</v>
      </c>
      <c r="C35" s="8" t="s">
        <v>142</v>
      </c>
      <c r="D35" s="67" t="s">
        <v>28</v>
      </c>
      <c r="F35" s="63" t="s">
        <v>141</v>
      </c>
      <c r="G35" s="8" t="s">
        <v>142</v>
      </c>
      <c r="H35" s="70" t="s">
        <v>28</v>
      </c>
      <c r="J35" s="63" t="s">
        <v>141</v>
      </c>
      <c r="K35" s="8" t="s">
        <v>142</v>
      </c>
      <c r="L35" s="73">
        <f t="shared" ref="L35:L36" si="0">SUM(L51,L54,L57,L78)</f>
        <v>0</v>
      </c>
      <c r="N35" s="2" t="s">
        <v>141</v>
      </c>
      <c r="O35" s="42" t="s">
        <v>28</v>
      </c>
    </row>
    <row r="36" spans="2:17" ht="18.75" thickBot="1">
      <c r="B36" s="2" t="s">
        <v>143</v>
      </c>
      <c r="C36" s="8" t="s">
        <v>548</v>
      </c>
      <c r="D36" s="67" t="s">
        <v>28</v>
      </c>
      <c r="F36" s="64" t="s">
        <v>143</v>
      </c>
      <c r="G36" s="9" t="s">
        <v>548</v>
      </c>
      <c r="H36" s="71" t="s">
        <v>28</v>
      </c>
      <c r="J36" s="63" t="s">
        <v>143</v>
      </c>
      <c r="K36" s="8" t="s">
        <v>548</v>
      </c>
      <c r="L36" s="73">
        <f t="shared" si="0"/>
        <v>0</v>
      </c>
      <c r="N36" s="2" t="s">
        <v>143</v>
      </c>
      <c r="O36" s="42" t="s">
        <v>28</v>
      </c>
    </row>
    <row r="37" spans="2:17">
      <c r="B37" s="1" t="s">
        <v>49</v>
      </c>
      <c r="C37" s="7" t="s">
        <v>50</v>
      </c>
      <c r="D37" s="66">
        <v>1</v>
      </c>
      <c r="J37" s="65" t="s">
        <v>37</v>
      </c>
      <c r="K37" s="7" t="s">
        <v>38</v>
      </c>
      <c r="L37" s="74">
        <v>0.998</v>
      </c>
      <c r="N37" s="1" t="s">
        <v>49</v>
      </c>
      <c r="O37" s="52">
        <v>100</v>
      </c>
      <c r="Q37">
        <v>99.8</v>
      </c>
    </row>
    <row r="38" spans="2:17" ht="18">
      <c r="B38" s="2" t="s">
        <v>141</v>
      </c>
      <c r="C38" s="8" t="s">
        <v>142</v>
      </c>
      <c r="D38" s="67" t="s">
        <v>28</v>
      </c>
      <c r="J38" s="63" t="s">
        <v>141</v>
      </c>
      <c r="K38" s="8" t="s">
        <v>142</v>
      </c>
      <c r="L38" s="70" t="s">
        <v>28</v>
      </c>
      <c r="N38" s="2" t="s">
        <v>141</v>
      </c>
      <c r="O38" s="42" t="s">
        <v>28</v>
      </c>
    </row>
    <row r="39" spans="2:17" ht="18.75" thickBot="1">
      <c r="B39" s="2" t="s">
        <v>143</v>
      </c>
      <c r="C39" s="8" t="s">
        <v>548</v>
      </c>
      <c r="D39" s="67" t="s">
        <v>28</v>
      </c>
      <c r="J39" s="63" t="s">
        <v>143</v>
      </c>
      <c r="K39" s="8" t="s">
        <v>548</v>
      </c>
      <c r="L39" s="70" t="s">
        <v>28</v>
      </c>
      <c r="N39" s="2" t="s">
        <v>143</v>
      </c>
      <c r="O39" s="42" t="s">
        <v>28</v>
      </c>
    </row>
    <row r="40" spans="2:17">
      <c r="B40" s="6" t="s">
        <v>963</v>
      </c>
      <c r="C40" s="7" t="s">
        <v>964</v>
      </c>
      <c r="D40" s="66">
        <v>0.997</v>
      </c>
      <c r="F40" s="61" t="s">
        <v>61</v>
      </c>
      <c r="G40" s="62" t="s">
        <v>62</v>
      </c>
      <c r="H40" s="69">
        <v>0.996</v>
      </c>
      <c r="J40" s="65" t="s">
        <v>39</v>
      </c>
      <c r="K40" s="7" t="s">
        <v>40</v>
      </c>
      <c r="L40" s="77">
        <v>0.995</v>
      </c>
      <c r="N40" s="6" t="s">
        <v>963</v>
      </c>
      <c r="O40" s="52">
        <v>99.7</v>
      </c>
      <c r="Q40">
        <v>99.5</v>
      </c>
    </row>
    <row r="41" spans="2:17" ht="18">
      <c r="B41" s="2" t="s">
        <v>141</v>
      </c>
      <c r="C41" s="8" t="s">
        <v>142</v>
      </c>
      <c r="D41" s="67" t="s">
        <v>28</v>
      </c>
      <c r="F41" s="63" t="s">
        <v>141</v>
      </c>
      <c r="G41" s="8" t="s">
        <v>142</v>
      </c>
      <c r="H41" s="70" t="s">
        <v>28</v>
      </c>
      <c r="J41" s="63" t="s">
        <v>141</v>
      </c>
      <c r="K41" s="8" t="s">
        <v>142</v>
      </c>
      <c r="L41" s="75">
        <f t="shared" ref="L41:L42" si="1">SUM(L60,L63)</f>
        <v>0</v>
      </c>
      <c r="N41" s="2" t="s">
        <v>141</v>
      </c>
      <c r="O41" s="42" t="s">
        <v>28</v>
      </c>
    </row>
    <row r="42" spans="2:17" ht="18.75" thickBot="1">
      <c r="B42" s="2" t="s">
        <v>143</v>
      </c>
      <c r="C42" s="8" t="s">
        <v>548</v>
      </c>
      <c r="D42" s="67" t="s">
        <v>28</v>
      </c>
      <c r="F42" s="64" t="s">
        <v>143</v>
      </c>
      <c r="G42" s="9" t="s">
        <v>548</v>
      </c>
      <c r="H42" s="71" t="s">
        <v>28</v>
      </c>
      <c r="J42" s="63" t="s">
        <v>143</v>
      </c>
      <c r="K42" s="8" t="s">
        <v>548</v>
      </c>
      <c r="L42" s="75">
        <f t="shared" si="1"/>
        <v>0</v>
      </c>
      <c r="N42" s="2" t="s">
        <v>143</v>
      </c>
      <c r="O42" s="42" t="s">
        <v>28</v>
      </c>
    </row>
    <row r="43" spans="2:17">
      <c r="B43" s="1" t="s">
        <v>63</v>
      </c>
      <c r="C43" s="7" t="s">
        <v>64</v>
      </c>
      <c r="D43" s="66">
        <v>1</v>
      </c>
      <c r="J43" s="65" t="s">
        <v>41</v>
      </c>
      <c r="K43" s="7" t="s">
        <v>42</v>
      </c>
      <c r="L43" s="77">
        <v>0.998</v>
      </c>
      <c r="N43" s="1" t="s">
        <v>51</v>
      </c>
      <c r="O43" s="41">
        <v>99.4</v>
      </c>
      <c r="Q43">
        <v>99.8</v>
      </c>
    </row>
    <row r="44" spans="2:17" ht="18">
      <c r="B44" s="2" t="s">
        <v>141</v>
      </c>
      <c r="C44" s="8" t="s">
        <v>142</v>
      </c>
      <c r="D44" s="67" t="s">
        <v>28</v>
      </c>
      <c r="F44" s="1" t="s">
        <v>51</v>
      </c>
      <c r="G44" s="7" t="s">
        <v>52</v>
      </c>
      <c r="H44" s="66">
        <v>0.99399999999999999</v>
      </c>
      <c r="J44" s="63" t="s">
        <v>141</v>
      </c>
      <c r="K44" s="8" t="s">
        <v>142</v>
      </c>
      <c r="L44" s="75">
        <f t="shared" ref="L44:L45" si="2">SUM(L69,L72)</f>
        <v>0</v>
      </c>
      <c r="N44" s="2" t="s">
        <v>141</v>
      </c>
      <c r="O44" s="42" t="s">
        <v>28</v>
      </c>
    </row>
    <row r="45" spans="2:17" ht="18.75" thickBot="1">
      <c r="B45" s="10" t="s">
        <v>143</v>
      </c>
      <c r="C45" s="9" t="s">
        <v>548</v>
      </c>
      <c r="D45" s="68" t="s">
        <v>28</v>
      </c>
      <c r="F45" s="2" t="s">
        <v>141</v>
      </c>
      <c r="G45" s="8" t="s">
        <v>142</v>
      </c>
      <c r="H45" s="67" t="s">
        <v>28</v>
      </c>
      <c r="J45" s="63" t="s">
        <v>143</v>
      </c>
      <c r="K45" s="8" t="s">
        <v>548</v>
      </c>
      <c r="L45" s="75">
        <f t="shared" si="2"/>
        <v>0</v>
      </c>
      <c r="N45" s="2" t="s">
        <v>143</v>
      </c>
      <c r="O45" s="42" t="s">
        <v>28</v>
      </c>
    </row>
    <row r="46" spans="2:17" ht="18">
      <c r="D46" s="72">
        <f>AVERAGE(D34,D37,D40,D43)</f>
        <v>0.99849999999999994</v>
      </c>
      <c r="F46" s="2" t="s">
        <v>143</v>
      </c>
      <c r="G46" s="8" t="s">
        <v>548</v>
      </c>
      <c r="H46" s="67" t="s">
        <v>28</v>
      </c>
      <c r="J46" s="65" t="s">
        <v>43</v>
      </c>
      <c r="K46" s="7" t="s">
        <v>44</v>
      </c>
      <c r="L46" s="74">
        <v>0.996</v>
      </c>
      <c r="N46" s="1" t="s">
        <v>53</v>
      </c>
      <c r="O46" s="41">
        <v>99.6</v>
      </c>
    </row>
    <row r="47" spans="2:17" ht="18">
      <c r="B47" s="1" t="s">
        <v>57</v>
      </c>
      <c r="C47" s="7" t="s">
        <v>58</v>
      </c>
      <c r="D47" s="66">
        <v>0.998</v>
      </c>
      <c r="F47" s="1" t="s">
        <v>53</v>
      </c>
      <c r="G47" s="7" t="s">
        <v>54</v>
      </c>
      <c r="H47" s="66">
        <v>0.996</v>
      </c>
      <c r="J47" s="63" t="s">
        <v>141</v>
      </c>
      <c r="K47" s="8" t="s">
        <v>142</v>
      </c>
      <c r="L47" s="70" t="s">
        <v>28</v>
      </c>
      <c r="N47" s="2" t="s">
        <v>141</v>
      </c>
      <c r="O47" s="42" t="s">
        <v>28</v>
      </c>
    </row>
    <row r="48" spans="2:17" ht="18.75" thickBot="1">
      <c r="B48" s="2" t="s">
        <v>141</v>
      </c>
      <c r="C48" s="8" t="s">
        <v>142</v>
      </c>
      <c r="D48" s="67" t="s">
        <v>28</v>
      </c>
      <c r="F48" s="2" t="s">
        <v>141</v>
      </c>
      <c r="G48" s="8" t="s">
        <v>142</v>
      </c>
      <c r="H48" s="67" t="s">
        <v>28</v>
      </c>
      <c r="J48" s="64" t="s">
        <v>143</v>
      </c>
      <c r="K48" s="9" t="s">
        <v>548</v>
      </c>
      <c r="L48" s="71" t="s">
        <v>28</v>
      </c>
      <c r="N48" s="2" t="s">
        <v>143</v>
      </c>
      <c r="O48" s="42" t="s">
        <v>28</v>
      </c>
    </row>
    <row r="49" spans="2:15" ht="18">
      <c r="B49" s="2" t="s">
        <v>143</v>
      </c>
      <c r="C49" s="8" t="s">
        <v>548</v>
      </c>
      <c r="D49" s="67" t="s">
        <v>28</v>
      </c>
      <c r="F49" s="2" t="s">
        <v>143</v>
      </c>
      <c r="G49" s="8" t="s">
        <v>548</v>
      </c>
      <c r="H49" s="67" t="s">
        <v>28</v>
      </c>
      <c r="N49" s="1" t="s">
        <v>55</v>
      </c>
      <c r="O49" s="41">
        <v>99.8</v>
      </c>
    </row>
    <row r="50" spans="2:15">
      <c r="B50" s="1" t="s">
        <v>59</v>
      </c>
      <c r="C50" s="7" t="s">
        <v>60</v>
      </c>
      <c r="D50" s="66">
        <v>0.997</v>
      </c>
      <c r="H50" s="72">
        <f>AVERAGE(H44,H47)</f>
        <v>0.995</v>
      </c>
      <c r="N50" s="2" t="s">
        <v>141</v>
      </c>
      <c r="O50" s="42" t="s">
        <v>28</v>
      </c>
    </row>
    <row r="51" spans="2:15" ht="18">
      <c r="B51" s="2" t="s">
        <v>141</v>
      </c>
      <c r="C51" s="8" t="s">
        <v>142</v>
      </c>
      <c r="D51" s="67" t="s">
        <v>28</v>
      </c>
      <c r="N51" s="2" t="s">
        <v>143</v>
      </c>
      <c r="O51" s="42" t="s">
        <v>28</v>
      </c>
    </row>
    <row r="52" spans="2:15" ht="18">
      <c r="B52" s="2" t="s">
        <v>143</v>
      </c>
      <c r="C52" s="8" t="s">
        <v>548</v>
      </c>
      <c r="D52" s="67" t="s">
        <v>28</v>
      </c>
      <c r="N52" s="1" t="s">
        <v>57</v>
      </c>
      <c r="O52" s="41">
        <v>99.8</v>
      </c>
    </row>
    <row r="53" spans="2:15">
      <c r="D53" s="72">
        <f>AVERAGE(D47,D50)</f>
        <v>0.99750000000000005</v>
      </c>
      <c r="N53" s="2" t="s">
        <v>141</v>
      </c>
      <c r="O53" s="42" t="s">
        <v>28</v>
      </c>
    </row>
    <row r="54" spans="2:15">
      <c r="N54" s="2" t="s">
        <v>143</v>
      </c>
      <c r="O54" s="42" t="s">
        <v>28</v>
      </c>
    </row>
    <row r="55" spans="2:15">
      <c r="N55" s="1" t="s">
        <v>59</v>
      </c>
      <c r="O55" s="41">
        <v>99.7</v>
      </c>
    </row>
    <row r="56" spans="2:15">
      <c r="N56" s="2" t="s">
        <v>141</v>
      </c>
      <c r="O56" s="42" t="s">
        <v>28</v>
      </c>
    </row>
    <row r="57" spans="2:15">
      <c r="N57" s="2" t="s">
        <v>143</v>
      </c>
      <c r="O57" s="42" t="s">
        <v>28</v>
      </c>
    </row>
    <row r="58" spans="2:15">
      <c r="N58" s="1" t="s">
        <v>61</v>
      </c>
      <c r="O58" s="41">
        <v>99.6</v>
      </c>
    </row>
    <row r="59" spans="2:15">
      <c r="N59" s="2" t="s">
        <v>141</v>
      </c>
      <c r="O59" s="42" t="s">
        <v>28</v>
      </c>
    </row>
    <row r="60" spans="2:15">
      <c r="N60" s="2" t="s">
        <v>143</v>
      </c>
      <c r="O60" s="42" t="s">
        <v>28</v>
      </c>
    </row>
    <row r="61" spans="2:15">
      <c r="N61" s="1" t="s">
        <v>63</v>
      </c>
      <c r="O61" s="52">
        <v>100</v>
      </c>
    </row>
    <row r="62" spans="2:15">
      <c r="N62" s="2" t="s">
        <v>141</v>
      </c>
      <c r="O62" s="42" t="s">
        <v>28</v>
      </c>
    </row>
    <row r="63" spans="2:15" ht="14.25" thickBot="1">
      <c r="N63" s="10" t="s">
        <v>143</v>
      </c>
      <c r="O63" s="43" t="s">
        <v>28</v>
      </c>
    </row>
  </sheetData>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Z63"/>
  <sheetViews>
    <sheetView showGridLines="0" showWhiteSpace="0" view="pageBreakPreview" zoomScaleNormal="100" zoomScaleSheetLayoutView="100" workbookViewId="0">
      <selection activeCell="A2" sqref="A2:Z63"/>
    </sheetView>
  </sheetViews>
  <sheetFormatPr defaultColWidth="8.88671875" defaultRowHeight="16.5"/>
  <cols>
    <col min="1" max="1" width="6.88671875" style="728" customWidth="1"/>
    <col min="2" max="2" width="9.44140625" style="731" customWidth="1"/>
    <col min="3" max="7" width="7" style="728" customWidth="1"/>
    <col min="8" max="8" width="7" style="752" customWidth="1"/>
    <col min="9" max="9" width="7" style="728" customWidth="1"/>
    <col min="10" max="10" width="7" style="752" customWidth="1"/>
    <col min="11" max="22" width="4.88671875" style="728" customWidth="1"/>
    <col min="23" max="24" width="5" style="728" customWidth="1"/>
    <col min="25" max="26" width="4.88671875" style="728" customWidth="1"/>
    <col min="27" max="16384" width="8.88671875" style="728"/>
  </cols>
  <sheetData>
    <row r="1" spans="1:26" ht="22.5">
      <c r="A1" s="901" t="s">
        <v>1332</v>
      </c>
    </row>
    <row r="2" spans="1:26" s="727" customFormat="1" ht="13.5" customHeight="1">
      <c r="A2" s="1291" t="s">
        <v>1030</v>
      </c>
      <c r="B2" s="1291"/>
      <c r="C2" s="1291"/>
      <c r="D2" s="1291"/>
      <c r="E2" s="1291"/>
      <c r="F2" s="1291"/>
      <c r="G2" s="1291"/>
      <c r="H2" s="1291"/>
      <c r="I2" s="1291"/>
      <c r="J2" s="1291"/>
      <c r="K2" s="1292" t="s">
        <v>1031</v>
      </c>
      <c r="L2" s="1292"/>
      <c r="M2" s="1292"/>
      <c r="N2" s="1292"/>
      <c r="O2" s="1292"/>
      <c r="P2" s="1292"/>
      <c r="Q2" s="1292"/>
      <c r="R2" s="1292"/>
      <c r="S2" s="1292"/>
      <c r="T2" s="1292"/>
      <c r="U2" s="1292"/>
      <c r="V2" s="1292"/>
      <c r="W2" s="1292"/>
      <c r="X2" s="1292"/>
      <c r="Y2" s="1292"/>
      <c r="Z2" s="1292"/>
    </row>
    <row r="3" spans="1:26" ht="22.5" customHeight="1">
      <c r="A3" s="1293" t="s">
        <v>926</v>
      </c>
      <c r="B3" s="1293"/>
      <c r="C3" s="1293"/>
      <c r="D3" s="1293"/>
      <c r="E3" s="1293"/>
      <c r="F3" s="1293"/>
      <c r="G3" s="1293"/>
      <c r="H3" s="1293"/>
      <c r="I3" s="1293"/>
      <c r="J3" s="1293"/>
      <c r="K3" s="1293" t="s">
        <v>925</v>
      </c>
      <c r="L3" s="1293"/>
      <c r="M3" s="1293"/>
      <c r="N3" s="1293"/>
      <c r="O3" s="1293"/>
      <c r="P3" s="1293"/>
      <c r="Q3" s="1293"/>
      <c r="R3" s="1293"/>
      <c r="S3" s="1293"/>
      <c r="T3" s="1293"/>
      <c r="U3" s="1293"/>
      <c r="V3" s="1293"/>
      <c r="W3" s="1293"/>
      <c r="X3" s="1293"/>
      <c r="Y3" s="1294"/>
      <c r="Z3" s="1294"/>
    </row>
    <row r="4" spans="1:26" s="729" customFormat="1" ht="13.5" customHeight="1" thickBot="1">
      <c r="A4" s="1295"/>
      <c r="B4" s="1295"/>
      <c r="C4" s="1295"/>
      <c r="D4" s="1295"/>
      <c r="E4" s="1295"/>
      <c r="F4" s="1295"/>
      <c r="G4" s="1295"/>
      <c r="H4" s="1295"/>
      <c r="I4" s="1295"/>
      <c r="J4" s="1295"/>
      <c r="K4" s="1296"/>
      <c r="L4" s="1296"/>
      <c r="M4" s="1296"/>
      <c r="N4" s="1296"/>
      <c r="O4" s="1296"/>
      <c r="P4" s="1296"/>
      <c r="Q4" s="1296"/>
      <c r="R4" s="1296"/>
      <c r="S4" s="1296"/>
      <c r="T4" s="1296"/>
      <c r="U4" s="1296"/>
      <c r="V4" s="1296"/>
      <c r="W4" s="1296"/>
      <c r="X4" s="1296"/>
      <c r="Y4" s="1296"/>
      <c r="Z4" s="1296"/>
    </row>
    <row r="5" spans="1:26" s="730" customFormat="1" ht="11.25" customHeight="1">
      <c r="A5" s="1286" t="s">
        <v>2</v>
      </c>
      <c r="B5" s="1290"/>
      <c r="C5" s="1285" t="s">
        <v>152</v>
      </c>
      <c r="D5" s="1286"/>
      <c r="E5" s="1286"/>
      <c r="F5" s="1290"/>
      <c r="G5" s="1285" t="s">
        <v>153</v>
      </c>
      <c r="H5" s="1286"/>
      <c r="I5" s="1286"/>
      <c r="J5" s="1286"/>
      <c r="K5" s="1297" t="s">
        <v>153</v>
      </c>
      <c r="L5" s="1286"/>
      <c r="M5" s="1286"/>
      <c r="N5" s="1286"/>
      <c r="O5" s="1286"/>
      <c r="P5" s="1286"/>
      <c r="Q5" s="1286"/>
      <c r="R5" s="1286"/>
      <c r="S5" s="1286"/>
      <c r="T5" s="1286"/>
      <c r="U5" s="1286"/>
      <c r="V5" s="1286"/>
      <c r="W5" s="1286"/>
      <c r="X5" s="1286"/>
      <c r="Y5" s="1286"/>
      <c r="Z5" s="1286"/>
    </row>
    <row r="6" spans="1:26" s="731" customFormat="1" ht="9.75" customHeight="1">
      <c r="A6" s="1298" t="s">
        <v>7</v>
      </c>
      <c r="B6" s="1299"/>
      <c r="C6" s="1300" t="s">
        <v>154</v>
      </c>
      <c r="D6" s="1298"/>
      <c r="E6" s="1298"/>
      <c r="F6" s="1299"/>
      <c r="G6" s="1282" t="s">
        <v>665</v>
      </c>
      <c r="H6" s="1284"/>
      <c r="I6" s="1284"/>
      <c r="J6" s="1284"/>
      <c r="K6" s="1301" t="s">
        <v>155</v>
      </c>
      <c r="L6" s="1284"/>
      <c r="M6" s="1284"/>
      <c r="N6" s="1284"/>
      <c r="O6" s="1284"/>
      <c r="P6" s="1284"/>
      <c r="Q6" s="1284"/>
      <c r="R6" s="1284"/>
      <c r="S6" s="1284"/>
      <c r="T6" s="1284"/>
      <c r="U6" s="1284"/>
      <c r="V6" s="1284"/>
      <c r="W6" s="1284"/>
      <c r="X6" s="1284"/>
      <c r="Y6" s="1284"/>
      <c r="Z6" s="1284"/>
    </row>
    <row r="7" spans="1:26" s="732" customFormat="1" ht="12" customHeight="1">
      <c r="A7" s="1303"/>
      <c r="B7" s="1304"/>
      <c r="C7" s="1305"/>
      <c r="D7" s="1303"/>
      <c r="E7" s="1303"/>
      <c r="F7" s="1304"/>
      <c r="G7" s="1287" t="s">
        <v>95</v>
      </c>
      <c r="H7" s="1289"/>
      <c r="I7" s="1289"/>
      <c r="J7" s="1288"/>
      <c r="K7" s="1288" t="s">
        <v>156</v>
      </c>
      <c r="L7" s="1302"/>
      <c r="M7" s="1302"/>
      <c r="N7" s="1302"/>
      <c r="O7" s="1287" t="s">
        <v>157</v>
      </c>
      <c r="P7" s="1289"/>
      <c r="Q7" s="1289"/>
      <c r="R7" s="1288"/>
      <c r="S7" s="1287" t="s">
        <v>428</v>
      </c>
      <c r="T7" s="1289"/>
      <c r="U7" s="1289"/>
      <c r="V7" s="1289"/>
      <c r="W7" s="1287" t="s">
        <v>549</v>
      </c>
      <c r="X7" s="1289"/>
      <c r="Y7" s="1289"/>
      <c r="Z7" s="1289"/>
    </row>
    <row r="8" spans="1:26" s="731" customFormat="1" ht="9.75" customHeight="1">
      <c r="A8" s="1310"/>
      <c r="B8" s="1299"/>
      <c r="C8" s="1282"/>
      <c r="D8" s="1284"/>
      <c r="E8" s="1284"/>
      <c r="F8" s="1283"/>
      <c r="G8" s="1282" t="s">
        <v>16</v>
      </c>
      <c r="H8" s="1284"/>
      <c r="I8" s="1284"/>
      <c r="J8" s="1283"/>
      <c r="K8" s="1283" t="s">
        <v>159</v>
      </c>
      <c r="L8" s="1311"/>
      <c r="M8" s="1311"/>
      <c r="N8" s="1311"/>
      <c r="O8" s="1282" t="s">
        <v>160</v>
      </c>
      <c r="P8" s="1284"/>
      <c r="Q8" s="1284"/>
      <c r="R8" s="1283"/>
      <c r="S8" s="1306" t="s">
        <v>429</v>
      </c>
      <c r="T8" s="1307"/>
      <c r="U8" s="1307"/>
      <c r="V8" s="1307"/>
      <c r="W8" s="1306" t="s">
        <v>550</v>
      </c>
      <c r="X8" s="1307"/>
      <c r="Y8" s="1307"/>
      <c r="Z8" s="1307"/>
    </row>
    <row r="9" spans="1:26" s="732" customFormat="1" ht="12">
      <c r="A9" s="1303"/>
      <c r="B9" s="1304"/>
      <c r="C9" s="962" t="s">
        <v>13</v>
      </c>
      <c r="D9" s="962" t="s">
        <v>156</v>
      </c>
      <c r="E9" s="962" t="s">
        <v>157</v>
      </c>
      <c r="F9" s="962" t="s">
        <v>162</v>
      </c>
      <c r="G9" s="1308" t="s">
        <v>13</v>
      </c>
      <c r="H9" s="1309"/>
      <c r="I9" s="1308" t="s">
        <v>23</v>
      </c>
      <c r="J9" s="1309"/>
      <c r="K9" s="1288" t="s">
        <v>13</v>
      </c>
      <c r="L9" s="1302"/>
      <c r="M9" s="1287" t="s">
        <v>23</v>
      </c>
      <c r="N9" s="1288"/>
      <c r="O9" s="1287" t="s">
        <v>13</v>
      </c>
      <c r="P9" s="1288"/>
      <c r="Q9" s="1287" t="s">
        <v>23</v>
      </c>
      <c r="R9" s="1288"/>
      <c r="S9" s="1287" t="s">
        <v>13</v>
      </c>
      <c r="T9" s="1288"/>
      <c r="U9" s="1287" t="s">
        <v>23</v>
      </c>
      <c r="V9" s="1289"/>
      <c r="W9" s="1287" t="s">
        <v>13</v>
      </c>
      <c r="X9" s="1288"/>
      <c r="Y9" s="1287" t="s">
        <v>23</v>
      </c>
      <c r="Z9" s="1289"/>
    </row>
    <row r="10" spans="1:26" s="731" customFormat="1" ht="9.75">
      <c r="A10" s="1284"/>
      <c r="B10" s="1283"/>
      <c r="C10" s="959" t="s">
        <v>16</v>
      </c>
      <c r="D10" s="959" t="s">
        <v>159</v>
      </c>
      <c r="E10" s="733" t="s">
        <v>160</v>
      </c>
      <c r="F10" s="959" t="s">
        <v>664</v>
      </c>
      <c r="G10" s="1314" t="s">
        <v>367</v>
      </c>
      <c r="H10" s="1315"/>
      <c r="I10" s="1314" t="s">
        <v>26</v>
      </c>
      <c r="J10" s="1315"/>
      <c r="K10" s="1283" t="s">
        <v>25</v>
      </c>
      <c r="L10" s="1311"/>
      <c r="M10" s="1282" t="s">
        <v>26</v>
      </c>
      <c r="N10" s="1283"/>
      <c r="O10" s="1282" t="s">
        <v>25</v>
      </c>
      <c r="P10" s="1283"/>
      <c r="Q10" s="1282" t="s">
        <v>26</v>
      </c>
      <c r="R10" s="1283"/>
      <c r="S10" s="1282" t="s">
        <v>25</v>
      </c>
      <c r="T10" s="1283"/>
      <c r="U10" s="1282" t="s">
        <v>26</v>
      </c>
      <c r="V10" s="1284"/>
      <c r="W10" s="1282" t="s">
        <v>25</v>
      </c>
      <c r="X10" s="1283"/>
      <c r="Y10" s="1282" t="s">
        <v>26</v>
      </c>
      <c r="Z10" s="1284"/>
    </row>
    <row r="11" spans="1:26" s="734" customFormat="1" ht="12.75" customHeight="1">
      <c r="A11" s="1766" t="s">
        <v>27</v>
      </c>
      <c r="B11" s="1767" t="s">
        <v>16</v>
      </c>
      <c r="C11" s="1723">
        <v>5075</v>
      </c>
      <c r="D11" s="1723">
        <v>137</v>
      </c>
      <c r="E11" s="1723">
        <v>133</v>
      </c>
      <c r="F11" s="1723">
        <v>4805</v>
      </c>
      <c r="G11" s="1768" t="s">
        <v>1346</v>
      </c>
      <c r="H11" s="1769" t="s">
        <v>1347</v>
      </c>
      <c r="I11" s="1770" t="s">
        <v>1348</v>
      </c>
      <c r="J11" s="1771" t="s">
        <v>1349</v>
      </c>
      <c r="K11" s="1772">
        <v>137</v>
      </c>
      <c r="L11" s="1773" t="s">
        <v>1063</v>
      </c>
      <c r="M11" s="1772">
        <v>63</v>
      </c>
      <c r="N11" s="1772" t="s">
        <v>1063</v>
      </c>
      <c r="O11" s="1772">
        <v>133</v>
      </c>
      <c r="P11" s="1772" t="s">
        <v>1063</v>
      </c>
      <c r="Q11" s="1772">
        <v>53</v>
      </c>
      <c r="R11" s="1772" t="s">
        <v>1063</v>
      </c>
      <c r="S11" s="1772">
        <v>8</v>
      </c>
      <c r="T11" s="1772" t="s">
        <v>1063</v>
      </c>
      <c r="U11" s="1772">
        <v>6</v>
      </c>
      <c r="V11" s="1774" t="s">
        <v>1063</v>
      </c>
      <c r="W11" s="1775" t="s">
        <v>1350</v>
      </c>
      <c r="X11" s="1776" t="s">
        <v>1063</v>
      </c>
      <c r="Y11" s="1775" t="s">
        <v>1351</v>
      </c>
      <c r="Z11" s="1777" t="s">
        <v>1063</v>
      </c>
    </row>
    <row r="12" spans="1:26" s="735" customFormat="1" ht="12.75" customHeight="1">
      <c r="A12" s="1778" t="s">
        <v>29</v>
      </c>
      <c r="B12" s="1779" t="s">
        <v>30</v>
      </c>
      <c r="C12" s="1732">
        <v>4792</v>
      </c>
      <c r="D12" s="1732">
        <v>127</v>
      </c>
      <c r="E12" s="1732">
        <v>125</v>
      </c>
      <c r="F12" s="1732">
        <v>4540</v>
      </c>
      <c r="G12" s="1780" t="s">
        <v>1352</v>
      </c>
      <c r="H12" s="1781" t="s">
        <v>1353</v>
      </c>
      <c r="I12" s="1782" t="s">
        <v>1354</v>
      </c>
      <c r="J12" s="1783" t="s">
        <v>1355</v>
      </c>
      <c r="K12" s="1784">
        <v>127</v>
      </c>
      <c r="L12" s="1785" t="s">
        <v>1063</v>
      </c>
      <c r="M12" s="1784">
        <v>60</v>
      </c>
      <c r="N12" s="1784" t="s">
        <v>1063</v>
      </c>
      <c r="O12" s="1784">
        <v>125</v>
      </c>
      <c r="P12" s="1784" t="s">
        <v>1063</v>
      </c>
      <c r="Q12" s="1784">
        <v>53</v>
      </c>
      <c r="R12" s="1784" t="s">
        <v>1063</v>
      </c>
      <c r="S12" s="1784">
        <v>8</v>
      </c>
      <c r="T12" s="1784" t="s">
        <v>1063</v>
      </c>
      <c r="U12" s="1784">
        <v>6</v>
      </c>
      <c r="V12" s="1785" t="s">
        <v>1063</v>
      </c>
      <c r="W12" s="1786" t="s">
        <v>1356</v>
      </c>
      <c r="X12" s="1787" t="s">
        <v>1063</v>
      </c>
      <c r="Y12" s="1786">
        <v>971</v>
      </c>
      <c r="Z12" s="1788" t="s">
        <v>1063</v>
      </c>
    </row>
    <row r="13" spans="1:26" s="736" customFormat="1" ht="12.75" customHeight="1" thickBot="1">
      <c r="A13" s="1789" t="s">
        <v>31</v>
      </c>
      <c r="B13" s="1790" t="s">
        <v>32</v>
      </c>
      <c r="C13" s="1740">
        <v>283</v>
      </c>
      <c r="D13" s="1740">
        <v>10</v>
      </c>
      <c r="E13" s="1740">
        <v>8</v>
      </c>
      <c r="F13" s="1740">
        <v>265</v>
      </c>
      <c r="G13" s="1791">
        <v>300</v>
      </c>
      <c r="H13" s="1792" t="s">
        <v>809</v>
      </c>
      <c r="I13" s="1793">
        <v>152</v>
      </c>
      <c r="J13" s="1794" t="s">
        <v>419</v>
      </c>
      <c r="K13" s="1795">
        <v>10</v>
      </c>
      <c r="L13" s="1796" t="s">
        <v>1063</v>
      </c>
      <c r="M13" s="1795">
        <v>3</v>
      </c>
      <c r="N13" s="1795" t="s">
        <v>1063</v>
      </c>
      <c r="O13" s="1795">
        <v>8</v>
      </c>
      <c r="P13" s="1795" t="s">
        <v>1063</v>
      </c>
      <c r="Q13" s="1795" t="s">
        <v>28</v>
      </c>
      <c r="R13" s="1795" t="s">
        <v>1063</v>
      </c>
      <c r="S13" s="1795" t="s">
        <v>28</v>
      </c>
      <c r="T13" s="1795" t="s">
        <v>1063</v>
      </c>
      <c r="U13" s="1795" t="s">
        <v>28</v>
      </c>
      <c r="V13" s="1796" t="s">
        <v>1063</v>
      </c>
      <c r="W13" s="1795">
        <v>86</v>
      </c>
      <c r="X13" s="1797" t="s">
        <v>1063</v>
      </c>
      <c r="Y13" s="1795">
        <v>33</v>
      </c>
      <c r="Z13" s="1798" t="s">
        <v>1063</v>
      </c>
    </row>
    <row r="14" spans="1:26" s="737" customFormat="1" ht="13.5" customHeight="1" thickBot="1">
      <c r="A14" s="1313" t="s">
        <v>33</v>
      </c>
      <c r="B14" s="1313"/>
      <c r="C14" s="1313"/>
      <c r="D14" s="1313"/>
      <c r="E14" s="1313"/>
      <c r="F14" s="1313"/>
      <c r="G14" s="1313"/>
      <c r="H14" s="1313"/>
      <c r="I14" s="1313"/>
      <c r="J14" s="1313"/>
      <c r="K14" s="1313" t="s">
        <v>34</v>
      </c>
      <c r="L14" s="1313"/>
      <c r="M14" s="1313"/>
      <c r="N14" s="1313"/>
      <c r="O14" s="1313"/>
      <c r="P14" s="1313"/>
      <c r="Q14" s="1313"/>
      <c r="R14" s="1313"/>
      <c r="S14" s="1313"/>
      <c r="T14" s="1313"/>
      <c r="U14" s="1313"/>
      <c r="V14" s="1313"/>
      <c r="W14" s="1313"/>
      <c r="X14" s="1313"/>
      <c r="Y14" s="1313"/>
      <c r="Z14" s="1313"/>
    </row>
    <row r="15" spans="1:26" s="738" customFormat="1" ht="11.45" customHeight="1">
      <c r="A15" s="1799" t="s">
        <v>35</v>
      </c>
      <c r="B15" s="1800" t="s">
        <v>36</v>
      </c>
      <c r="C15" s="1801">
        <v>993</v>
      </c>
      <c r="D15" s="1801">
        <v>26</v>
      </c>
      <c r="E15" s="1801">
        <v>25</v>
      </c>
      <c r="F15" s="1801">
        <v>942</v>
      </c>
      <c r="G15" s="1801" t="s">
        <v>1357</v>
      </c>
      <c r="H15" s="1802" t="s">
        <v>1157</v>
      </c>
      <c r="I15" s="1801">
        <v>788</v>
      </c>
      <c r="J15" s="1802" t="s">
        <v>1154</v>
      </c>
      <c r="K15" s="1751">
        <v>26</v>
      </c>
      <c r="L15" s="1749" t="s">
        <v>1063</v>
      </c>
      <c r="M15" s="1749">
        <v>8</v>
      </c>
      <c r="N15" s="1749" t="s">
        <v>1063</v>
      </c>
      <c r="O15" s="1749">
        <v>25</v>
      </c>
      <c r="P15" s="1749" t="s">
        <v>1063</v>
      </c>
      <c r="Q15" s="1749">
        <v>8</v>
      </c>
      <c r="R15" s="1749" t="s">
        <v>1063</v>
      </c>
      <c r="S15" s="1749">
        <v>4</v>
      </c>
      <c r="T15" s="1749" t="s">
        <v>1063</v>
      </c>
      <c r="U15" s="1749">
        <v>2</v>
      </c>
      <c r="V15" s="1749" t="s">
        <v>1063</v>
      </c>
      <c r="W15" s="1749">
        <v>266</v>
      </c>
      <c r="X15" s="1803" t="s">
        <v>1063</v>
      </c>
      <c r="Y15" s="1749">
        <v>160</v>
      </c>
      <c r="Z15" s="1804" t="s">
        <v>1063</v>
      </c>
    </row>
    <row r="16" spans="1:26" s="735" customFormat="1" ht="11.45" customHeight="1">
      <c r="A16" s="1778" t="s">
        <v>29</v>
      </c>
      <c r="B16" s="1779" t="s">
        <v>30</v>
      </c>
      <c r="C16" s="1784">
        <v>799</v>
      </c>
      <c r="D16" s="1784">
        <v>20</v>
      </c>
      <c r="E16" s="1784">
        <v>19</v>
      </c>
      <c r="F16" s="1784">
        <v>760</v>
      </c>
      <c r="G16" s="1784">
        <v>970</v>
      </c>
      <c r="H16" s="1787" t="s">
        <v>1358</v>
      </c>
      <c r="I16" s="1784">
        <v>693</v>
      </c>
      <c r="J16" s="1787" t="s">
        <v>1359</v>
      </c>
      <c r="K16" s="1738">
        <v>20</v>
      </c>
      <c r="L16" s="1732" t="s">
        <v>1063</v>
      </c>
      <c r="M16" s="1732">
        <v>7</v>
      </c>
      <c r="N16" s="1732" t="s">
        <v>1063</v>
      </c>
      <c r="O16" s="1732">
        <v>19</v>
      </c>
      <c r="P16" s="1732" t="s">
        <v>1063</v>
      </c>
      <c r="Q16" s="1732">
        <v>8</v>
      </c>
      <c r="R16" s="1732" t="s">
        <v>1063</v>
      </c>
      <c r="S16" s="1732">
        <v>4</v>
      </c>
      <c r="T16" s="1732" t="s">
        <v>1063</v>
      </c>
      <c r="U16" s="1732">
        <v>2</v>
      </c>
      <c r="V16" s="1732" t="s">
        <v>1063</v>
      </c>
      <c r="W16" s="1732">
        <v>206</v>
      </c>
      <c r="X16" s="739" t="s">
        <v>1063</v>
      </c>
      <c r="Y16" s="1732">
        <v>141</v>
      </c>
      <c r="Z16" s="740" t="s">
        <v>1063</v>
      </c>
    </row>
    <row r="17" spans="1:26" s="735" customFormat="1" ht="11.45" customHeight="1">
      <c r="A17" s="1778" t="s">
        <v>31</v>
      </c>
      <c r="B17" s="1779" t="s">
        <v>32</v>
      </c>
      <c r="C17" s="1784">
        <v>194</v>
      </c>
      <c r="D17" s="1784">
        <v>6</v>
      </c>
      <c r="E17" s="1784">
        <v>6</v>
      </c>
      <c r="F17" s="1784">
        <v>182</v>
      </c>
      <c r="G17" s="1784">
        <v>202</v>
      </c>
      <c r="H17" s="1787" t="s">
        <v>416</v>
      </c>
      <c r="I17" s="1784">
        <v>95</v>
      </c>
      <c r="J17" s="1787" t="s">
        <v>418</v>
      </c>
      <c r="K17" s="1738">
        <v>6</v>
      </c>
      <c r="L17" s="1732" t="s">
        <v>1063</v>
      </c>
      <c r="M17" s="1732">
        <v>1</v>
      </c>
      <c r="N17" s="1732" t="s">
        <v>1063</v>
      </c>
      <c r="O17" s="1732">
        <v>6</v>
      </c>
      <c r="P17" s="1732" t="s">
        <v>1063</v>
      </c>
      <c r="Q17" s="1732" t="s">
        <v>28</v>
      </c>
      <c r="R17" s="1732" t="s">
        <v>1063</v>
      </c>
      <c r="S17" s="1732" t="s">
        <v>28</v>
      </c>
      <c r="T17" s="1732" t="s">
        <v>1063</v>
      </c>
      <c r="U17" s="1732" t="s">
        <v>28</v>
      </c>
      <c r="V17" s="1732" t="s">
        <v>1063</v>
      </c>
      <c r="W17" s="1732">
        <v>60</v>
      </c>
      <c r="X17" s="739" t="s">
        <v>1063</v>
      </c>
      <c r="Y17" s="1732">
        <v>19</v>
      </c>
      <c r="Z17" s="740" t="s">
        <v>1063</v>
      </c>
    </row>
    <row r="18" spans="1:26" s="734" customFormat="1" ht="11.45" customHeight="1">
      <c r="A18" s="1766" t="s">
        <v>37</v>
      </c>
      <c r="B18" s="1767" t="s">
        <v>38</v>
      </c>
      <c r="C18" s="1772">
        <v>1177</v>
      </c>
      <c r="D18" s="1772">
        <v>36</v>
      </c>
      <c r="E18" s="1772">
        <v>36</v>
      </c>
      <c r="F18" s="1772">
        <v>1105</v>
      </c>
      <c r="G18" s="1772" t="s">
        <v>1360</v>
      </c>
      <c r="H18" s="1776" t="s">
        <v>1361</v>
      </c>
      <c r="I18" s="1772" t="s">
        <v>1362</v>
      </c>
      <c r="J18" s="1776" t="s">
        <v>1363</v>
      </c>
      <c r="K18" s="1729">
        <v>36</v>
      </c>
      <c r="L18" s="1723" t="s">
        <v>1063</v>
      </c>
      <c r="M18" s="1723">
        <v>22</v>
      </c>
      <c r="N18" s="1723" t="s">
        <v>1063</v>
      </c>
      <c r="O18" s="1723">
        <v>36</v>
      </c>
      <c r="P18" s="1723" t="s">
        <v>1063</v>
      </c>
      <c r="Q18" s="1723">
        <v>23</v>
      </c>
      <c r="R18" s="1723" t="s">
        <v>1063</v>
      </c>
      <c r="S18" s="1723">
        <v>1</v>
      </c>
      <c r="T18" s="1723" t="s">
        <v>1063</v>
      </c>
      <c r="U18" s="1723">
        <v>1</v>
      </c>
      <c r="V18" s="1723" t="s">
        <v>1063</v>
      </c>
      <c r="W18" s="1723">
        <v>355</v>
      </c>
      <c r="X18" s="1805" t="s">
        <v>1063</v>
      </c>
      <c r="Y18" s="1723">
        <v>276</v>
      </c>
      <c r="Z18" s="1806" t="s">
        <v>1063</v>
      </c>
    </row>
    <row r="19" spans="1:26" s="735" customFormat="1" ht="11.45" customHeight="1">
      <c r="A19" s="1778" t="s">
        <v>29</v>
      </c>
      <c r="B19" s="1779" t="s">
        <v>30</v>
      </c>
      <c r="C19" s="1784">
        <v>1177</v>
      </c>
      <c r="D19" s="1784">
        <v>36</v>
      </c>
      <c r="E19" s="1784">
        <v>36</v>
      </c>
      <c r="F19" s="1784">
        <v>1105</v>
      </c>
      <c r="G19" s="1784" t="s">
        <v>1360</v>
      </c>
      <c r="H19" s="1787" t="s">
        <v>1361</v>
      </c>
      <c r="I19" s="1784" t="s">
        <v>1362</v>
      </c>
      <c r="J19" s="1787" t="s">
        <v>1363</v>
      </c>
      <c r="K19" s="1738">
        <v>36</v>
      </c>
      <c r="L19" s="1732" t="s">
        <v>1063</v>
      </c>
      <c r="M19" s="1732">
        <v>22</v>
      </c>
      <c r="N19" s="1732" t="s">
        <v>1063</v>
      </c>
      <c r="O19" s="1732">
        <v>36</v>
      </c>
      <c r="P19" s="1732" t="s">
        <v>1063</v>
      </c>
      <c r="Q19" s="1732">
        <v>23</v>
      </c>
      <c r="R19" s="1732" t="s">
        <v>1063</v>
      </c>
      <c r="S19" s="1732">
        <v>1</v>
      </c>
      <c r="T19" s="1732" t="s">
        <v>1063</v>
      </c>
      <c r="U19" s="1732">
        <v>1</v>
      </c>
      <c r="V19" s="1732" t="s">
        <v>1063</v>
      </c>
      <c r="W19" s="1732">
        <v>355</v>
      </c>
      <c r="X19" s="739" t="s">
        <v>1063</v>
      </c>
      <c r="Y19" s="1732">
        <v>276</v>
      </c>
      <c r="Z19" s="740" t="s">
        <v>1063</v>
      </c>
    </row>
    <row r="20" spans="1:26" s="735" customFormat="1" ht="11.45" customHeight="1">
      <c r="A20" s="1778" t="s">
        <v>31</v>
      </c>
      <c r="B20" s="1779" t="s">
        <v>32</v>
      </c>
      <c r="C20" s="1784" t="s">
        <v>28</v>
      </c>
      <c r="D20" s="1784" t="s">
        <v>28</v>
      </c>
      <c r="E20" s="1784" t="s">
        <v>28</v>
      </c>
      <c r="F20" s="1784" t="s">
        <v>28</v>
      </c>
      <c r="G20" s="1784" t="s">
        <v>28</v>
      </c>
      <c r="H20" s="1787" t="s">
        <v>1129</v>
      </c>
      <c r="I20" s="1784" t="s">
        <v>28</v>
      </c>
      <c r="J20" s="1787" t="s">
        <v>1063</v>
      </c>
      <c r="K20" s="1738" t="s">
        <v>28</v>
      </c>
      <c r="L20" s="1732" t="s">
        <v>1063</v>
      </c>
      <c r="M20" s="1732" t="s">
        <v>28</v>
      </c>
      <c r="N20" s="1732" t="s">
        <v>1063</v>
      </c>
      <c r="O20" s="1732" t="s">
        <v>28</v>
      </c>
      <c r="P20" s="1732" t="s">
        <v>1063</v>
      </c>
      <c r="Q20" s="1732" t="s">
        <v>28</v>
      </c>
      <c r="R20" s="1732" t="s">
        <v>1063</v>
      </c>
      <c r="S20" s="1732" t="s">
        <v>28</v>
      </c>
      <c r="T20" s="1732" t="s">
        <v>1063</v>
      </c>
      <c r="U20" s="1732" t="s">
        <v>28</v>
      </c>
      <c r="V20" s="1732" t="s">
        <v>1063</v>
      </c>
      <c r="W20" s="1732" t="s">
        <v>28</v>
      </c>
      <c r="X20" s="739" t="s">
        <v>1063</v>
      </c>
      <c r="Y20" s="1732" t="s">
        <v>28</v>
      </c>
      <c r="Z20" s="740" t="s">
        <v>1063</v>
      </c>
    </row>
    <row r="21" spans="1:26" s="734" customFormat="1" ht="11.45" customHeight="1">
      <c r="A21" s="1766" t="s">
        <v>39</v>
      </c>
      <c r="B21" s="1767" t="s">
        <v>40</v>
      </c>
      <c r="C21" s="1772">
        <v>1626</v>
      </c>
      <c r="D21" s="1772">
        <v>42</v>
      </c>
      <c r="E21" s="1772">
        <v>42</v>
      </c>
      <c r="F21" s="1772">
        <v>1542</v>
      </c>
      <c r="G21" s="1772" t="s">
        <v>1364</v>
      </c>
      <c r="H21" s="1776" t="s">
        <v>1365</v>
      </c>
      <c r="I21" s="1772" t="s">
        <v>1366</v>
      </c>
      <c r="J21" s="1776" t="s">
        <v>1367</v>
      </c>
      <c r="K21" s="1729">
        <v>42</v>
      </c>
      <c r="L21" s="1723" t="s">
        <v>1063</v>
      </c>
      <c r="M21" s="1723">
        <v>17</v>
      </c>
      <c r="N21" s="1723" t="s">
        <v>1063</v>
      </c>
      <c r="O21" s="1723">
        <v>42</v>
      </c>
      <c r="P21" s="1723" t="s">
        <v>1063</v>
      </c>
      <c r="Q21" s="1723">
        <v>12</v>
      </c>
      <c r="R21" s="1723" t="s">
        <v>1063</v>
      </c>
      <c r="S21" s="1723">
        <v>2</v>
      </c>
      <c r="T21" s="1723" t="s">
        <v>1063</v>
      </c>
      <c r="U21" s="1723">
        <v>2</v>
      </c>
      <c r="V21" s="1723" t="s">
        <v>1063</v>
      </c>
      <c r="W21" s="1723">
        <v>435</v>
      </c>
      <c r="X21" s="1805" t="s">
        <v>1063</v>
      </c>
      <c r="Y21" s="1807">
        <v>341</v>
      </c>
      <c r="Z21" s="1806" t="s">
        <v>1063</v>
      </c>
    </row>
    <row r="22" spans="1:26" s="735" customFormat="1" ht="11.45" customHeight="1">
      <c r="A22" s="1778" t="s">
        <v>29</v>
      </c>
      <c r="B22" s="1779" t="s">
        <v>30</v>
      </c>
      <c r="C22" s="1784">
        <v>1561</v>
      </c>
      <c r="D22" s="1784">
        <v>40</v>
      </c>
      <c r="E22" s="1784">
        <v>40</v>
      </c>
      <c r="F22" s="1784">
        <v>1481</v>
      </c>
      <c r="G22" s="1784" t="s">
        <v>1368</v>
      </c>
      <c r="H22" s="1787" t="s">
        <v>1369</v>
      </c>
      <c r="I22" s="1784" t="s">
        <v>1370</v>
      </c>
      <c r="J22" s="1787" t="s">
        <v>1371</v>
      </c>
      <c r="K22" s="1738">
        <v>40</v>
      </c>
      <c r="L22" s="1732" t="s">
        <v>1063</v>
      </c>
      <c r="M22" s="1732">
        <v>16</v>
      </c>
      <c r="N22" s="1732" t="s">
        <v>1063</v>
      </c>
      <c r="O22" s="1732">
        <v>40</v>
      </c>
      <c r="P22" s="1732" t="s">
        <v>1063</v>
      </c>
      <c r="Q22" s="1732">
        <v>12</v>
      </c>
      <c r="R22" s="1732" t="s">
        <v>1063</v>
      </c>
      <c r="S22" s="1732">
        <v>2</v>
      </c>
      <c r="T22" s="1732" t="s">
        <v>1063</v>
      </c>
      <c r="U22" s="1732">
        <v>2</v>
      </c>
      <c r="V22" s="1732" t="s">
        <v>1063</v>
      </c>
      <c r="W22" s="1732">
        <v>416</v>
      </c>
      <c r="X22" s="739" t="s">
        <v>1063</v>
      </c>
      <c r="Y22" s="741">
        <v>330</v>
      </c>
      <c r="Z22" s="740" t="s">
        <v>1063</v>
      </c>
    </row>
    <row r="23" spans="1:26" s="735" customFormat="1" ht="11.45" customHeight="1">
      <c r="A23" s="1778" t="s">
        <v>31</v>
      </c>
      <c r="B23" s="1779" t="s">
        <v>32</v>
      </c>
      <c r="C23" s="1784">
        <v>65</v>
      </c>
      <c r="D23" s="1784">
        <v>2</v>
      </c>
      <c r="E23" s="1784">
        <v>2</v>
      </c>
      <c r="F23" s="1784">
        <v>61</v>
      </c>
      <c r="G23" s="1784">
        <v>71</v>
      </c>
      <c r="H23" s="1787" t="s">
        <v>413</v>
      </c>
      <c r="I23" s="1784">
        <v>45</v>
      </c>
      <c r="J23" s="1787" t="s">
        <v>418</v>
      </c>
      <c r="K23" s="1738">
        <v>2</v>
      </c>
      <c r="L23" s="1732" t="s">
        <v>1063</v>
      </c>
      <c r="M23" s="1732">
        <v>1</v>
      </c>
      <c r="N23" s="1732" t="s">
        <v>1063</v>
      </c>
      <c r="O23" s="1732">
        <v>2</v>
      </c>
      <c r="P23" s="1732" t="s">
        <v>1063</v>
      </c>
      <c r="Q23" s="1732" t="s">
        <v>28</v>
      </c>
      <c r="R23" s="1732" t="s">
        <v>1063</v>
      </c>
      <c r="S23" s="1732" t="s">
        <v>28</v>
      </c>
      <c r="T23" s="1732" t="s">
        <v>1063</v>
      </c>
      <c r="U23" s="1732" t="s">
        <v>28</v>
      </c>
      <c r="V23" s="1732" t="s">
        <v>1063</v>
      </c>
      <c r="W23" s="1732">
        <v>19</v>
      </c>
      <c r="X23" s="739" t="s">
        <v>1063</v>
      </c>
      <c r="Y23" s="741">
        <v>11</v>
      </c>
      <c r="Z23" s="740" t="s">
        <v>1063</v>
      </c>
    </row>
    <row r="24" spans="1:26" s="734" customFormat="1" ht="11.45" customHeight="1">
      <c r="A24" s="1766" t="s">
        <v>41</v>
      </c>
      <c r="B24" s="1767" t="s">
        <v>42</v>
      </c>
      <c r="C24" s="1772">
        <v>1130</v>
      </c>
      <c r="D24" s="1772">
        <v>26</v>
      </c>
      <c r="E24" s="1772">
        <v>27</v>
      </c>
      <c r="F24" s="1772">
        <v>1077</v>
      </c>
      <c r="G24" s="1772" t="s">
        <v>1372</v>
      </c>
      <c r="H24" s="1776" t="s">
        <v>1373</v>
      </c>
      <c r="I24" s="1772">
        <v>983</v>
      </c>
      <c r="J24" s="1776" t="s">
        <v>1374</v>
      </c>
      <c r="K24" s="1729">
        <v>26</v>
      </c>
      <c r="L24" s="1723" t="s">
        <v>1063</v>
      </c>
      <c r="M24" s="1723">
        <v>14</v>
      </c>
      <c r="N24" s="1723" t="s">
        <v>1063</v>
      </c>
      <c r="O24" s="1723">
        <v>27</v>
      </c>
      <c r="P24" s="1723" t="s">
        <v>1063</v>
      </c>
      <c r="Q24" s="1723">
        <v>10</v>
      </c>
      <c r="R24" s="1723" t="s">
        <v>1063</v>
      </c>
      <c r="S24" s="1723">
        <v>1</v>
      </c>
      <c r="T24" s="1723" t="s">
        <v>1063</v>
      </c>
      <c r="U24" s="1723">
        <v>1</v>
      </c>
      <c r="V24" s="1723" t="s">
        <v>1063</v>
      </c>
      <c r="W24" s="1723">
        <v>270</v>
      </c>
      <c r="X24" s="1805" t="s">
        <v>1063</v>
      </c>
      <c r="Y24" s="1723">
        <v>204</v>
      </c>
      <c r="Z24" s="1806" t="s">
        <v>1063</v>
      </c>
    </row>
    <row r="25" spans="1:26" s="735" customFormat="1" ht="11.45" customHeight="1">
      <c r="A25" s="1778" t="s">
        <v>29</v>
      </c>
      <c r="B25" s="1779" t="s">
        <v>30</v>
      </c>
      <c r="C25" s="1784">
        <v>1130</v>
      </c>
      <c r="D25" s="1784">
        <v>26</v>
      </c>
      <c r="E25" s="1784">
        <v>27</v>
      </c>
      <c r="F25" s="1784">
        <v>1077</v>
      </c>
      <c r="G25" s="1784" t="s">
        <v>1372</v>
      </c>
      <c r="H25" s="1787" t="s">
        <v>1373</v>
      </c>
      <c r="I25" s="1784">
        <v>983</v>
      </c>
      <c r="J25" s="1787" t="s">
        <v>1374</v>
      </c>
      <c r="K25" s="1738">
        <v>26</v>
      </c>
      <c r="L25" s="1732" t="s">
        <v>1063</v>
      </c>
      <c r="M25" s="1732">
        <v>14</v>
      </c>
      <c r="N25" s="1732" t="s">
        <v>1063</v>
      </c>
      <c r="O25" s="1732">
        <v>27</v>
      </c>
      <c r="P25" s="1732" t="s">
        <v>1063</v>
      </c>
      <c r="Q25" s="1732">
        <v>10</v>
      </c>
      <c r="R25" s="1732" t="s">
        <v>1063</v>
      </c>
      <c r="S25" s="1732">
        <v>1</v>
      </c>
      <c r="T25" s="1732" t="s">
        <v>1063</v>
      </c>
      <c r="U25" s="1732">
        <v>1</v>
      </c>
      <c r="V25" s="1732" t="s">
        <v>1063</v>
      </c>
      <c r="W25" s="1732">
        <v>270</v>
      </c>
      <c r="X25" s="739" t="s">
        <v>1063</v>
      </c>
      <c r="Y25" s="1732">
        <v>204</v>
      </c>
      <c r="Z25" s="740" t="s">
        <v>1063</v>
      </c>
    </row>
    <row r="26" spans="1:26" s="735" customFormat="1" ht="11.45" customHeight="1">
      <c r="A26" s="1778" t="s">
        <v>31</v>
      </c>
      <c r="B26" s="1779" t="s">
        <v>32</v>
      </c>
      <c r="C26" s="1784" t="s">
        <v>28</v>
      </c>
      <c r="D26" s="1784" t="s">
        <v>28</v>
      </c>
      <c r="E26" s="1784" t="s">
        <v>28</v>
      </c>
      <c r="F26" s="1784" t="s">
        <v>28</v>
      </c>
      <c r="G26" s="1784" t="s">
        <v>28</v>
      </c>
      <c r="H26" s="1787" t="s">
        <v>1129</v>
      </c>
      <c r="I26" s="1784" t="s">
        <v>28</v>
      </c>
      <c r="J26" s="1787" t="s">
        <v>1063</v>
      </c>
      <c r="K26" s="1738" t="s">
        <v>28</v>
      </c>
      <c r="L26" s="1732" t="s">
        <v>1063</v>
      </c>
      <c r="M26" s="1732" t="s">
        <v>28</v>
      </c>
      <c r="N26" s="1732" t="s">
        <v>1063</v>
      </c>
      <c r="O26" s="1732" t="s">
        <v>28</v>
      </c>
      <c r="P26" s="1732" t="s">
        <v>1063</v>
      </c>
      <c r="Q26" s="1732" t="s">
        <v>28</v>
      </c>
      <c r="R26" s="1732" t="s">
        <v>1063</v>
      </c>
      <c r="S26" s="1732" t="s">
        <v>28</v>
      </c>
      <c r="T26" s="1732" t="s">
        <v>1063</v>
      </c>
      <c r="U26" s="1732" t="s">
        <v>28</v>
      </c>
      <c r="V26" s="1732" t="s">
        <v>1063</v>
      </c>
      <c r="W26" s="1732" t="s">
        <v>28</v>
      </c>
      <c r="X26" s="739" t="s">
        <v>1063</v>
      </c>
      <c r="Y26" s="1732" t="s">
        <v>28</v>
      </c>
      <c r="Z26" s="740" t="s">
        <v>1063</v>
      </c>
    </row>
    <row r="27" spans="1:26" s="734" customFormat="1" ht="11.45" customHeight="1">
      <c r="A27" s="1766" t="s">
        <v>43</v>
      </c>
      <c r="B27" s="1767" t="s">
        <v>44</v>
      </c>
      <c r="C27" s="1772">
        <v>149</v>
      </c>
      <c r="D27" s="1772">
        <v>7</v>
      </c>
      <c r="E27" s="1772">
        <v>3</v>
      </c>
      <c r="F27" s="1772">
        <v>139</v>
      </c>
      <c r="G27" s="1772">
        <v>170</v>
      </c>
      <c r="H27" s="1776" t="s">
        <v>416</v>
      </c>
      <c r="I27" s="1772">
        <v>91</v>
      </c>
      <c r="J27" s="1776" t="s">
        <v>418</v>
      </c>
      <c r="K27" s="1729">
        <v>7</v>
      </c>
      <c r="L27" s="1723" t="s">
        <v>1063</v>
      </c>
      <c r="M27" s="1723">
        <v>2</v>
      </c>
      <c r="N27" s="1723" t="s">
        <v>1063</v>
      </c>
      <c r="O27" s="1723">
        <v>3</v>
      </c>
      <c r="P27" s="1723" t="s">
        <v>1063</v>
      </c>
      <c r="Q27" s="1723" t="s">
        <v>28</v>
      </c>
      <c r="R27" s="1723" t="s">
        <v>1063</v>
      </c>
      <c r="S27" s="1723" t="s">
        <v>28</v>
      </c>
      <c r="T27" s="1723" t="s">
        <v>1063</v>
      </c>
      <c r="U27" s="1723" t="s">
        <v>28</v>
      </c>
      <c r="V27" s="1723" t="s">
        <v>1063</v>
      </c>
      <c r="W27" s="1723">
        <v>44</v>
      </c>
      <c r="X27" s="1805" t="s">
        <v>1063</v>
      </c>
      <c r="Y27" s="1723">
        <v>23</v>
      </c>
      <c r="Z27" s="1806" t="s">
        <v>1063</v>
      </c>
    </row>
    <row r="28" spans="1:26" s="735" customFormat="1" ht="11.45" customHeight="1">
      <c r="A28" s="1778" t="s">
        <v>29</v>
      </c>
      <c r="B28" s="1779" t="s">
        <v>30</v>
      </c>
      <c r="C28" s="1784">
        <v>125</v>
      </c>
      <c r="D28" s="1784">
        <v>5</v>
      </c>
      <c r="E28" s="1784">
        <v>3</v>
      </c>
      <c r="F28" s="1784">
        <v>117</v>
      </c>
      <c r="G28" s="1784">
        <v>143</v>
      </c>
      <c r="H28" s="1787" t="s">
        <v>413</v>
      </c>
      <c r="I28" s="1784">
        <v>79</v>
      </c>
      <c r="J28" s="1787" t="s">
        <v>418</v>
      </c>
      <c r="K28" s="1738">
        <v>5</v>
      </c>
      <c r="L28" s="1732" t="s">
        <v>1063</v>
      </c>
      <c r="M28" s="1732">
        <v>1</v>
      </c>
      <c r="N28" s="1732" t="s">
        <v>1063</v>
      </c>
      <c r="O28" s="1732">
        <v>3</v>
      </c>
      <c r="P28" s="1732" t="s">
        <v>1063</v>
      </c>
      <c r="Q28" s="1732" t="s">
        <v>28</v>
      </c>
      <c r="R28" s="1732" t="s">
        <v>1063</v>
      </c>
      <c r="S28" s="1732" t="s">
        <v>28</v>
      </c>
      <c r="T28" s="1732" t="s">
        <v>1063</v>
      </c>
      <c r="U28" s="1732" t="s">
        <v>28</v>
      </c>
      <c r="V28" s="1732" t="s">
        <v>1063</v>
      </c>
      <c r="W28" s="1732">
        <v>37</v>
      </c>
      <c r="X28" s="739" t="s">
        <v>1063</v>
      </c>
      <c r="Y28" s="1732">
        <v>20</v>
      </c>
      <c r="Z28" s="740" t="s">
        <v>1063</v>
      </c>
    </row>
    <row r="29" spans="1:26" s="736" customFormat="1" ht="11.45" customHeight="1" thickBot="1">
      <c r="A29" s="1789" t="s">
        <v>31</v>
      </c>
      <c r="B29" s="1790" t="s">
        <v>32</v>
      </c>
      <c r="C29" s="1795">
        <v>24</v>
      </c>
      <c r="D29" s="1795">
        <v>2</v>
      </c>
      <c r="E29" s="1795" t="s">
        <v>28</v>
      </c>
      <c r="F29" s="1795">
        <v>22</v>
      </c>
      <c r="G29" s="1795">
        <v>27</v>
      </c>
      <c r="H29" s="1797" t="s">
        <v>395</v>
      </c>
      <c r="I29" s="1795">
        <v>12</v>
      </c>
      <c r="J29" s="1797" t="s">
        <v>1063</v>
      </c>
      <c r="K29" s="1746">
        <v>2</v>
      </c>
      <c r="L29" s="1740" t="s">
        <v>1063</v>
      </c>
      <c r="M29" s="1740">
        <v>1</v>
      </c>
      <c r="N29" s="1740" t="s">
        <v>1063</v>
      </c>
      <c r="O29" s="1740" t="s">
        <v>28</v>
      </c>
      <c r="P29" s="1740" t="s">
        <v>1063</v>
      </c>
      <c r="Q29" s="1740" t="s">
        <v>28</v>
      </c>
      <c r="R29" s="1740" t="s">
        <v>1063</v>
      </c>
      <c r="S29" s="1740" t="s">
        <v>28</v>
      </c>
      <c r="T29" s="1740" t="s">
        <v>1063</v>
      </c>
      <c r="U29" s="1740" t="s">
        <v>28</v>
      </c>
      <c r="V29" s="1740" t="s">
        <v>1063</v>
      </c>
      <c r="W29" s="1740">
        <v>7</v>
      </c>
      <c r="X29" s="742" t="s">
        <v>1063</v>
      </c>
      <c r="Y29" s="1740">
        <v>3</v>
      </c>
      <c r="Z29" s="1808" t="s">
        <v>1063</v>
      </c>
    </row>
    <row r="30" spans="1:26" s="737" customFormat="1" ht="13.5" customHeight="1" thickBot="1">
      <c r="A30" s="1313" t="s">
        <v>45</v>
      </c>
      <c r="B30" s="1313"/>
      <c r="C30" s="1313"/>
      <c r="D30" s="1313"/>
      <c r="E30" s="1313"/>
      <c r="F30" s="1313"/>
      <c r="G30" s="1313"/>
      <c r="H30" s="1313"/>
      <c r="I30" s="1313"/>
      <c r="J30" s="1313"/>
      <c r="K30" s="1313" t="s">
        <v>46</v>
      </c>
      <c r="L30" s="1313"/>
      <c r="M30" s="1313"/>
      <c r="N30" s="1313"/>
      <c r="O30" s="1313"/>
      <c r="P30" s="1313"/>
      <c r="Q30" s="1313"/>
      <c r="R30" s="1313"/>
      <c r="S30" s="1313"/>
      <c r="T30" s="1313"/>
      <c r="U30" s="1313"/>
      <c r="V30" s="1313"/>
      <c r="W30" s="1313"/>
      <c r="X30" s="1313"/>
      <c r="Y30" s="1313"/>
      <c r="Z30" s="1313"/>
    </row>
    <row r="31" spans="1:26" s="738" customFormat="1" ht="11.45" customHeight="1">
      <c r="A31" s="1799" t="s">
        <v>47</v>
      </c>
      <c r="B31" s="1800" t="s">
        <v>48</v>
      </c>
      <c r="C31" s="1809">
        <v>374</v>
      </c>
      <c r="D31" s="1809">
        <v>11</v>
      </c>
      <c r="E31" s="1809">
        <v>10</v>
      </c>
      <c r="F31" s="1809">
        <v>353</v>
      </c>
      <c r="G31" s="1810">
        <v>439</v>
      </c>
      <c r="H31" s="1811" t="s">
        <v>618</v>
      </c>
      <c r="I31" s="1810">
        <v>302</v>
      </c>
      <c r="J31" s="1811" t="s">
        <v>1068</v>
      </c>
      <c r="K31" s="1810">
        <v>11</v>
      </c>
      <c r="L31" s="1810" t="s">
        <v>1063</v>
      </c>
      <c r="M31" s="1810">
        <v>2</v>
      </c>
      <c r="N31" s="1810" t="s">
        <v>1063</v>
      </c>
      <c r="O31" s="1810">
        <v>10</v>
      </c>
      <c r="P31" s="1811" t="s">
        <v>1063</v>
      </c>
      <c r="Q31" s="1810">
        <v>4</v>
      </c>
      <c r="R31" s="1811" t="s">
        <v>1063</v>
      </c>
      <c r="S31" s="1810" t="s">
        <v>28</v>
      </c>
      <c r="T31" s="1810" t="s">
        <v>1063</v>
      </c>
      <c r="U31" s="1810" t="s">
        <v>28</v>
      </c>
      <c r="V31" s="1810" t="s">
        <v>1063</v>
      </c>
      <c r="W31" s="1810">
        <v>105</v>
      </c>
      <c r="X31" s="1811" t="s">
        <v>1063</v>
      </c>
      <c r="Y31" s="1810">
        <v>66</v>
      </c>
      <c r="Z31" s="1812" t="s">
        <v>1063</v>
      </c>
    </row>
    <row r="32" spans="1:26" s="735" customFormat="1" ht="11.45" customHeight="1">
      <c r="A32" s="1778" t="s">
        <v>29</v>
      </c>
      <c r="B32" s="1779" t="s">
        <v>30</v>
      </c>
      <c r="C32" s="743">
        <v>291</v>
      </c>
      <c r="D32" s="743">
        <v>8</v>
      </c>
      <c r="E32" s="743">
        <v>7</v>
      </c>
      <c r="F32" s="743">
        <v>276</v>
      </c>
      <c r="G32" s="744">
        <v>354</v>
      </c>
      <c r="H32" s="745" t="s">
        <v>476</v>
      </c>
      <c r="I32" s="744">
        <v>255</v>
      </c>
      <c r="J32" s="745" t="s">
        <v>809</v>
      </c>
      <c r="K32" s="744">
        <v>8</v>
      </c>
      <c r="L32" s="744" t="s">
        <v>1063</v>
      </c>
      <c r="M32" s="744">
        <v>2</v>
      </c>
      <c r="N32" s="744" t="s">
        <v>1063</v>
      </c>
      <c r="O32" s="744">
        <v>7</v>
      </c>
      <c r="P32" s="745" t="s">
        <v>1063</v>
      </c>
      <c r="Q32" s="744">
        <v>4</v>
      </c>
      <c r="R32" s="745" t="s">
        <v>1063</v>
      </c>
      <c r="S32" s="744" t="s">
        <v>28</v>
      </c>
      <c r="T32" s="744" t="s">
        <v>1063</v>
      </c>
      <c r="U32" s="744" t="s">
        <v>28</v>
      </c>
      <c r="V32" s="744" t="s">
        <v>1063</v>
      </c>
      <c r="W32" s="744">
        <v>77</v>
      </c>
      <c r="X32" s="745" t="s">
        <v>1063</v>
      </c>
      <c r="Y32" s="744">
        <v>53</v>
      </c>
      <c r="Z32" s="866" t="s">
        <v>1063</v>
      </c>
    </row>
    <row r="33" spans="1:26" s="735" customFormat="1" ht="11.45" customHeight="1">
      <c r="A33" s="1778" t="s">
        <v>31</v>
      </c>
      <c r="B33" s="1779" t="s">
        <v>32</v>
      </c>
      <c r="C33" s="743">
        <v>83</v>
      </c>
      <c r="D33" s="743">
        <v>3</v>
      </c>
      <c r="E33" s="743">
        <v>3</v>
      </c>
      <c r="F33" s="743">
        <v>77</v>
      </c>
      <c r="G33" s="744">
        <v>85</v>
      </c>
      <c r="H33" s="745" t="s">
        <v>395</v>
      </c>
      <c r="I33" s="744">
        <v>47</v>
      </c>
      <c r="J33" s="745" t="s">
        <v>395</v>
      </c>
      <c r="K33" s="744">
        <v>3</v>
      </c>
      <c r="L33" s="744" t="s">
        <v>1063</v>
      </c>
      <c r="M33" s="744" t="s">
        <v>28</v>
      </c>
      <c r="N33" s="744" t="s">
        <v>1063</v>
      </c>
      <c r="O33" s="744">
        <v>3</v>
      </c>
      <c r="P33" s="745" t="s">
        <v>1063</v>
      </c>
      <c r="Q33" s="744" t="s">
        <v>28</v>
      </c>
      <c r="R33" s="745" t="s">
        <v>1063</v>
      </c>
      <c r="S33" s="744" t="s">
        <v>28</v>
      </c>
      <c r="T33" s="744" t="s">
        <v>1063</v>
      </c>
      <c r="U33" s="744" t="s">
        <v>28</v>
      </c>
      <c r="V33" s="744" t="s">
        <v>1063</v>
      </c>
      <c r="W33" s="744">
        <v>28</v>
      </c>
      <c r="X33" s="745" t="s">
        <v>1063</v>
      </c>
      <c r="Y33" s="744">
        <v>13</v>
      </c>
      <c r="Z33" s="866" t="s">
        <v>1063</v>
      </c>
    </row>
    <row r="34" spans="1:26" s="734" customFormat="1" ht="11.45" customHeight="1">
      <c r="A34" s="1766" t="s">
        <v>49</v>
      </c>
      <c r="B34" s="1767" t="s">
        <v>50</v>
      </c>
      <c r="C34" s="1813">
        <v>94</v>
      </c>
      <c r="D34" s="1813">
        <v>3</v>
      </c>
      <c r="E34" s="1813">
        <v>3</v>
      </c>
      <c r="F34" s="1813">
        <v>88</v>
      </c>
      <c r="G34" s="746">
        <v>104</v>
      </c>
      <c r="H34" s="747" t="s">
        <v>417</v>
      </c>
      <c r="I34" s="746">
        <v>51</v>
      </c>
      <c r="J34" s="747" t="s">
        <v>395</v>
      </c>
      <c r="K34" s="746">
        <v>3</v>
      </c>
      <c r="L34" s="746" t="s">
        <v>1063</v>
      </c>
      <c r="M34" s="746">
        <v>2</v>
      </c>
      <c r="N34" s="746" t="s">
        <v>1063</v>
      </c>
      <c r="O34" s="746">
        <v>3</v>
      </c>
      <c r="P34" s="747" t="s">
        <v>1063</v>
      </c>
      <c r="Q34" s="746" t="s">
        <v>28</v>
      </c>
      <c r="R34" s="747" t="s">
        <v>1063</v>
      </c>
      <c r="S34" s="746">
        <v>1</v>
      </c>
      <c r="T34" s="746" t="s">
        <v>1063</v>
      </c>
      <c r="U34" s="746">
        <v>1</v>
      </c>
      <c r="V34" s="746" t="s">
        <v>1063</v>
      </c>
      <c r="W34" s="746">
        <v>27</v>
      </c>
      <c r="X34" s="747" t="s">
        <v>1063</v>
      </c>
      <c r="Y34" s="746">
        <v>7</v>
      </c>
      <c r="Z34" s="867" t="s">
        <v>1063</v>
      </c>
    </row>
    <row r="35" spans="1:26" s="735" customFormat="1" ht="11.45" customHeight="1">
      <c r="A35" s="1778" t="s">
        <v>29</v>
      </c>
      <c r="B35" s="1779" t="s">
        <v>30</v>
      </c>
      <c r="C35" s="743">
        <v>29</v>
      </c>
      <c r="D35" s="743">
        <v>1</v>
      </c>
      <c r="E35" s="743">
        <v>1</v>
      </c>
      <c r="F35" s="743">
        <v>27</v>
      </c>
      <c r="G35" s="744">
        <v>35</v>
      </c>
      <c r="H35" s="745" t="s">
        <v>1063</v>
      </c>
      <c r="I35" s="744">
        <v>28</v>
      </c>
      <c r="J35" s="745" t="s">
        <v>1063</v>
      </c>
      <c r="K35" s="744">
        <v>1</v>
      </c>
      <c r="L35" s="744" t="s">
        <v>1063</v>
      </c>
      <c r="M35" s="744">
        <v>1</v>
      </c>
      <c r="N35" s="744" t="s">
        <v>1063</v>
      </c>
      <c r="O35" s="744">
        <v>1</v>
      </c>
      <c r="P35" s="745" t="s">
        <v>1063</v>
      </c>
      <c r="Q35" s="744" t="s">
        <v>28</v>
      </c>
      <c r="R35" s="745" t="s">
        <v>1063</v>
      </c>
      <c r="S35" s="744">
        <v>1</v>
      </c>
      <c r="T35" s="744" t="s">
        <v>1063</v>
      </c>
      <c r="U35" s="744">
        <v>1</v>
      </c>
      <c r="V35" s="744" t="s">
        <v>1063</v>
      </c>
      <c r="W35" s="744">
        <v>7</v>
      </c>
      <c r="X35" s="745" t="s">
        <v>1063</v>
      </c>
      <c r="Y35" s="744">
        <v>6</v>
      </c>
      <c r="Z35" s="866" t="s">
        <v>1063</v>
      </c>
    </row>
    <row r="36" spans="1:26" s="735" customFormat="1" ht="11.45" customHeight="1">
      <c r="A36" s="1778" t="s">
        <v>31</v>
      </c>
      <c r="B36" s="1779" t="s">
        <v>32</v>
      </c>
      <c r="C36" s="743">
        <v>65</v>
      </c>
      <c r="D36" s="743">
        <v>2</v>
      </c>
      <c r="E36" s="743">
        <v>2</v>
      </c>
      <c r="F36" s="743">
        <v>61</v>
      </c>
      <c r="G36" s="744">
        <v>69</v>
      </c>
      <c r="H36" s="745" t="s">
        <v>417</v>
      </c>
      <c r="I36" s="744">
        <v>23</v>
      </c>
      <c r="J36" s="745" t="s">
        <v>395</v>
      </c>
      <c r="K36" s="744">
        <v>2</v>
      </c>
      <c r="L36" s="744" t="s">
        <v>1063</v>
      </c>
      <c r="M36" s="744">
        <v>1</v>
      </c>
      <c r="N36" s="744" t="s">
        <v>1063</v>
      </c>
      <c r="O36" s="744">
        <v>2</v>
      </c>
      <c r="P36" s="745" t="s">
        <v>1063</v>
      </c>
      <c r="Q36" s="744" t="s">
        <v>28</v>
      </c>
      <c r="R36" s="745" t="s">
        <v>1063</v>
      </c>
      <c r="S36" s="744" t="s">
        <v>28</v>
      </c>
      <c r="T36" s="744" t="s">
        <v>1063</v>
      </c>
      <c r="U36" s="744" t="s">
        <v>28</v>
      </c>
      <c r="V36" s="744" t="s">
        <v>1063</v>
      </c>
      <c r="W36" s="744">
        <v>20</v>
      </c>
      <c r="X36" s="745" t="s">
        <v>1063</v>
      </c>
      <c r="Y36" s="744">
        <v>1</v>
      </c>
      <c r="Z36" s="866" t="s">
        <v>1063</v>
      </c>
    </row>
    <row r="37" spans="1:26" s="734" customFormat="1" ht="11.45" customHeight="1">
      <c r="A37" s="1766" t="s">
        <v>963</v>
      </c>
      <c r="B37" s="1767" t="s">
        <v>964</v>
      </c>
      <c r="C37" s="1813">
        <v>476</v>
      </c>
      <c r="D37" s="1813">
        <v>12</v>
      </c>
      <c r="E37" s="1813">
        <v>12</v>
      </c>
      <c r="F37" s="1813">
        <v>452</v>
      </c>
      <c r="G37" s="746">
        <v>579</v>
      </c>
      <c r="H37" s="747" t="s">
        <v>1375</v>
      </c>
      <c r="I37" s="746">
        <v>403</v>
      </c>
      <c r="J37" s="747" t="s">
        <v>1376</v>
      </c>
      <c r="K37" s="746">
        <v>12</v>
      </c>
      <c r="L37" s="746" t="s">
        <v>1063</v>
      </c>
      <c r="M37" s="746">
        <v>4</v>
      </c>
      <c r="N37" s="746" t="s">
        <v>1063</v>
      </c>
      <c r="O37" s="746">
        <v>12</v>
      </c>
      <c r="P37" s="747" t="s">
        <v>1063</v>
      </c>
      <c r="Q37" s="746">
        <v>4</v>
      </c>
      <c r="R37" s="747" t="s">
        <v>1063</v>
      </c>
      <c r="S37" s="746">
        <v>3</v>
      </c>
      <c r="T37" s="746" t="s">
        <v>1063</v>
      </c>
      <c r="U37" s="746">
        <v>1</v>
      </c>
      <c r="V37" s="746" t="s">
        <v>1063</v>
      </c>
      <c r="W37" s="746">
        <v>123</v>
      </c>
      <c r="X37" s="747" t="s">
        <v>1063</v>
      </c>
      <c r="Y37" s="746">
        <v>82</v>
      </c>
      <c r="Z37" s="867" t="s">
        <v>1063</v>
      </c>
    </row>
    <row r="38" spans="1:26" s="735" customFormat="1" ht="11.45" customHeight="1">
      <c r="A38" s="1778" t="s">
        <v>29</v>
      </c>
      <c r="B38" s="1779" t="s">
        <v>30</v>
      </c>
      <c r="C38" s="743">
        <v>430</v>
      </c>
      <c r="D38" s="743">
        <v>11</v>
      </c>
      <c r="E38" s="743">
        <v>11</v>
      </c>
      <c r="F38" s="743">
        <v>408</v>
      </c>
      <c r="G38" s="744">
        <v>531</v>
      </c>
      <c r="H38" s="745" t="s">
        <v>1377</v>
      </c>
      <c r="I38" s="744">
        <v>378</v>
      </c>
      <c r="J38" s="745" t="s">
        <v>1378</v>
      </c>
      <c r="K38" s="744">
        <v>11</v>
      </c>
      <c r="L38" s="744" t="s">
        <v>1063</v>
      </c>
      <c r="M38" s="744">
        <v>4</v>
      </c>
      <c r="N38" s="744" t="s">
        <v>1063</v>
      </c>
      <c r="O38" s="744">
        <v>11</v>
      </c>
      <c r="P38" s="745" t="s">
        <v>1063</v>
      </c>
      <c r="Q38" s="744">
        <v>4</v>
      </c>
      <c r="R38" s="745" t="s">
        <v>1063</v>
      </c>
      <c r="S38" s="744">
        <v>3</v>
      </c>
      <c r="T38" s="744" t="s">
        <v>1063</v>
      </c>
      <c r="U38" s="744">
        <v>1</v>
      </c>
      <c r="V38" s="744" t="s">
        <v>1063</v>
      </c>
      <c r="W38" s="744">
        <v>111</v>
      </c>
      <c r="X38" s="745" t="s">
        <v>1063</v>
      </c>
      <c r="Y38" s="744">
        <v>77</v>
      </c>
      <c r="Z38" s="866" t="s">
        <v>1063</v>
      </c>
    </row>
    <row r="39" spans="1:26" s="735" customFormat="1" ht="11.45" customHeight="1">
      <c r="A39" s="1778" t="s">
        <v>31</v>
      </c>
      <c r="B39" s="1779" t="s">
        <v>32</v>
      </c>
      <c r="C39" s="743">
        <v>46</v>
      </c>
      <c r="D39" s="743">
        <v>1</v>
      </c>
      <c r="E39" s="743">
        <v>1</v>
      </c>
      <c r="F39" s="743">
        <v>44</v>
      </c>
      <c r="G39" s="744">
        <v>48</v>
      </c>
      <c r="H39" s="745" t="s">
        <v>417</v>
      </c>
      <c r="I39" s="744">
        <v>25</v>
      </c>
      <c r="J39" s="745" t="s">
        <v>395</v>
      </c>
      <c r="K39" s="744">
        <v>1</v>
      </c>
      <c r="L39" s="744" t="s">
        <v>1063</v>
      </c>
      <c r="M39" s="744" t="s">
        <v>28</v>
      </c>
      <c r="N39" s="744" t="s">
        <v>1063</v>
      </c>
      <c r="O39" s="744">
        <v>1</v>
      </c>
      <c r="P39" s="745" t="s">
        <v>1063</v>
      </c>
      <c r="Q39" s="744" t="s">
        <v>28</v>
      </c>
      <c r="R39" s="745" t="s">
        <v>1063</v>
      </c>
      <c r="S39" s="744" t="s">
        <v>28</v>
      </c>
      <c r="T39" s="744" t="s">
        <v>1063</v>
      </c>
      <c r="U39" s="744" t="s">
        <v>28</v>
      </c>
      <c r="V39" s="744" t="s">
        <v>1063</v>
      </c>
      <c r="W39" s="744">
        <v>12</v>
      </c>
      <c r="X39" s="745" t="s">
        <v>1063</v>
      </c>
      <c r="Y39" s="744">
        <v>5</v>
      </c>
      <c r="Z39" s="866" t="s">
        <v>1063</v>
      </c>
    </row>
    <row r="40" spans="1:26" s="734" customFormat="1" ht="11.45" customHeight="1">
      <c r="A40" s="1766" t="s">
        <v>51</v>
      </c>
      <c r="B40" s="1767" t="s">
        <v>52</v>
      </c>
      <c r="C40" s="1813">
        <v>790</v>
      </c>
      <c r="D40" s="1813">
        <v>20</v>
      </c>
      <c r="E40" s="1813">
        <v>20</v>
      </c>
      <c r="F40" s="1813">
        <v>750</v>
      </c>
      <c r="G40" s="746">
        <v>984</v>
      </c>
      <c r="H40" s="747" t="s">
        <v>1379</v>
      </c>
      <c r="I40" s="746">
        <v>750</v>
      </c>
      <c r="J40" s="747" t="s">
        <v>1380</v>
      </c>
      <c r="K40" s="746">
        <v>20</v>
      </c>
      <c r="L40" s="746" t="s">
        <v>1063</v>
      </c>
      <c r="M40" s="746">
        <v>5</v>
      </c>
      <c r="N40" s="746" t="s">
        <v>1063</v>
      </c>
      <c r="O40" s="746">
        <v>20</v>
      </c>
      <c r="P40" s="747" t="s">
        <v>1063</v>
      </c>
      <c r="Q40" s="746">
        <v>4</v>
      </c>
      <c r="R40" s="747" t="s">
        <v>1063</v>
      </c>
      <c r="S40" s="746">
        <v>1</v>
      </c>
      <c r="T40" s="746" t="s">
        <v>1063</v>
      </c>
      <c r="U40" s="746">
        <v>1</v>
      </c>
      <c r="V40" s="746" t="s">
        <v>1063</v>
      </c>
      <c r="W40" s="746">
        <v>211</v>
      </c>
      <c r="X40" s="747" t="s">
        <v>1063</v>
      </c>
      <c r="Y40" s="746">
        <v>165</v>
      </c>
      <c r="Z40" s="867" t="s">
        <v>1063</v>
      </c>
    </row>
    <row r="41" spans="1:26" s="735" customFormat="1" ht="11.45" customHeight="1">
      <c r="A41" s="1778" t="s">
        <v>29</v>
      </c>
      <c r="B41" s="1779" t="s">
        <v>30</v>
      </c>
      <c r="C41" s="743">
        <v>748</v>
      </c>
      <c r="D41" s="743">
        <v>19</v>
      </c>
      <c r="E41" s="743">
        <v>19</v>
      </c>
      <c r="F41" s="743">
        <v>710</v>
      </c>
      <c r="G41" s="744">
        <v>938</v>
      </c>
      <c r="H41" s="745" t="s">
        <v>1163</v>
      </c>
      <c r="I41" s="744">
        <v>722</v>
      </c>
      <c r="J41" s="745" t="s">
        <v>1159</v>
      </c>
      <c r="K41" s="744">
        <v>19</v>
      </c>
      <c r="L41" s="744" t="s">
        <v>1063</v>
      </c>
      <c r="M41" s="744">
        <v>4</v>
      </c>
      <c r="N41" s="744" t="s">
        <v>1063</v>
      </c>
      <c r="O41" s="744">
        <v>19</v>
      </c>
      <c r="P41" s="745" t="s">
        <v>1063</v>
      </c>
      <c r="Q41" s="744">
        <v>4</v>
      </c>
      <c r="R41" s="745" t="s">
        <v>1063</v>
      </c>
      <c r="S41" s="744">
        <v>1</v>
      </c>
      <c r="T41" s="744" t="s">
        <v>1063</v>
      </c>
      <c r="U41" s="744">
        <v>1</v>
      </c>
      <c r="V41" s="744" t="s">
        <v>1063</v>
      </c>
      <c r="W41" s="744">
        <v>201</v>
      </c>
      <c r="X41" s="745" t="s">
        <v>1063</v>
      </c>
      <c r="Y41" s="744">
        <v>160</v>
      </c>
      <c r="Z41" s="866" t="s">
        <v>1063</v>
      </c>
    </row>
    <row r="42" spans="1:26" s="735" customFormat="1" ht="11.45" customHeight="1">
      <c r="A42" s="1778" t="s">
        <v>31</v>
      </c>
      <c r="B42" s="1779" t="s">
        <v>32</v>
      </c>
      <c r="C42" s="743">
        <v>42</v>
      </c>
      <c r="D42" s="743">
        <v>1</v>
      </c>
      <c r="E42" s="743">
        <v>1</v>
      </c>
      <c r="F42" s="743">
        <v>40</v>
      </c>
      <c r="G42" s="744">
        <v>46</v>
      </c>
      <c r="H42" s="745" t="s">
        <v>418</v>
      </c>
      <c r="I42" s="744">
        <v>28</v>
      </c>
      <c r="J42" s="745" t="s">
        <v>417</v>
      </c>
      <c r="K42" s="744">
        <v>1</v>
      </c>
      <c r="L42" s="744" t="s">
        <v>1063</v>
      </c>
      <c r="M42" s="744">
        <v>1</v>
      </c>
      <c r="N42" s="744" t="s">
        <v>1063</v>
      </c>
      <c r="O42" s="744">
        <v>1</v>
      </c>
      <c r="P42" s="745" t="s">
        <v>1063</v>
      </c>
      <c r="Q42" s="744" t="s">
        <v>28</v>
      </c>
      <c r="R42" s="745" t="s">
        <v>1063</v>
      </c>
      <c r="S42" s="744" t="s">
        <v>28</v>
      </c>
      <c r="T42" s="744" t="s">
        <v>1063</v>
      </c>
      <c r="U42" s="744" t="s">
        <v>28</v>
      </c>
      <c r="V42" s="744" t="s">
        <v>1063</v>
      </c>
      <c r="W42" s="744">
        <v>10</v>
      </c>
      <c r="X42" s="745" t="s">
        <v>1063</v>
      </c>
      <c r="Y42" s="744">
        <v>5</v>
      </c>
      <c r="Z42" s="866" t="s">
        <v>1063</v>
      </c>
    </row>
    <row r="43" spans="1:26" s="734" customFormat="1" ht="11.45" customHeight="1">
      <c r="A43" s="1766" t="s">
        <v>53</v>
      </c>
      <c r="B43" s="1767" t="s">
        <v>54</v>
      </c>
      <c r="C43" s="1813">
        <v>836</v>
      </c>
      <c r="D43" s="1813">
        <v>22</v>
      </c>
      <c r="E43" s="1813">
        <v>22</v>
      </c>
      <c r="F43" s="1813">
        <v>792</v>
      </c>
      <c r="G43" s="1814" t="s">
        <v>1381</v>
      </c>
      <c r="H43" s="747" t="s">
        <v>1382</v>
      </c>
      <c r="I43" s="746">
        <v>796</v>
      </c>
      <c r="J43" s="747" t="s">
        <v>1158</v>
      </c>
      <c r="K43" s="746">
        <v>22</v>
      </c>
      <c r="L43" s="746" t="s">
        <v>1063</v>
      </c>
      <c r="M43" s="746">
        <v>12</v>
      </c>
      <c r="N43" s="746" t="s">
        <v>1063</v>
      </c>
      <c r="O43" s="746">
        <v>22</v>
      </c>
      <c r="P43" s="747" t="s">
        <v>1063</v>
      </c>
      <c r="Q43" s="746">
        <v>8</v>
      </c>
      <c r="R43" s="747" t="s">
        <v>1063</v>
      </c>
      <c r="S43" s="746">
        <v>1</v>
      </c>
      <c r="T43" s="746" t="s">
        <v>1063</v>
      </c>
      <c r="U43" s="746">
        <v>1</v>
      </c>
      <c r="V43" s="746" t="s">
        <v>1063</v>
      </c>
      <c r="W43" s="746">
        <v>224</v>
      </c>
      <c r="X43" s="747" t="s">
        <v>1063</v>
      </c>
      <c r="Y43" s="746">
        <v>176</v>
      </c>
      <c r="Z43" s="867" t="s">
        <v>1063</v>
      </c>
    </row>
    <row r="44" spans="1:26" s="735" customFormat="1" ht="11.45" customHeight="1">
      <c r="A44" s="1778" t="s">
        <v>29</v>
      </c>
      <c r="B44" s="1779" t="s">
        <v>30</v>
      </c>
      <c r="C44" s="743">
        <v>813</v>
      </c>
      <c r="D44" s="743">
        <v>21</v>
      </c>
      <c r="E44" s="743">
        <v>21</v>
      </c>
      <c r="F44" s="743">
        <v>771</v>
      </c>
      <c r="G44" s="744" t="s">
        <v>1383</v>
      </c>
      <c r="H44" s="745" t="s">
        <v>1384</v>
      </c>
      <c r="I44" s="744">
        <v>779</v>
      </c>
      <c r="J44" s="745" t="s">
        <v>1385</v>
      </c>
      <c r="K44" s="744">
        <v>21</v>
      </c>
      <c r="L44" s="744" t="s">
        <v>1063</v>
      </c>
      <c r="M44" s="744">
        <v>12</v>
      </c>
      <c r="N44" s="744" t="s">
        <v>1063</v>
      </c>
      <c r="O44" s="744">
        <v>21</v>
      </c>
      <c r="P44" s="745" t="s">
        <v>1063</v>
      </c>
      <c r="Q44" s="744">
        <v>8</v>
      </c>
      <c r="R44" s="745" t="s">
        <v>1063</v>
      </c>
      <c r="S44" s="744">
        <v>1</v>
      </c>
      <c r="T44" s="744" t="s">
        <v>1063</v>
      </c>
      <c r="U44" s="744">
        <v>1</v>
      </c>
      <c r="V44" s="744" t="s">
        <v>1063</v>
      </c>
      <c r="W44" s="744">
        <v>215</v>
      </c>
      <c r="X44" s="745" t="s">
        <v>1063</v>
      </c>
      <c r="Y44" s="744">
        <v>170</v>
      </c>
      <c r="Z44" s="866" t="s">
        <v>1063</v>
      </c>
    </row>
    <row r="45" spans="1:26" s="735" customFormat="1" ht="11.45" customHeight="1">
      <c r="A45" s="1778" t="s">
        <v>31</v>
      </c>
      <c r="B45" s="1779" t="s">
        <v>32</v>
      </c>
      <c r="C45" s="743">
        <v>23</v>
      </c>
      <c r="D45" s="743">
        <v>1</v>
      </c>
      <c r="E45" s="743">
        <v>1</v>
      </c>
      <c r="F45" s="743">
        <v>21</v>
      </c>
      <c r="G45" s="744">
        <v>25</v>
      </c>
      <c r="H45" s="745" t="s">
        <v>395</v>
      </c>
      <c r="I45" s="744">
        <v>17</v>
      </c>
      <c r="J45" s="745" t="s">
        <v>395</v>
      </c>
      <c r="K45" s="744">
        <v>1</v>
      </c>
      <c r="L45" s="744" t="s">
        <v>1063</v>
      </c>
      <c r="M45" s="744" t="s">
        <v>28</v>
      </c>
      <c r="N45" s="744" t="s">
        <v>1063</v>
      </c>
      <c r="O45" s="744">
        <v>1</v>
      </c>
      <c r="P45" s="745" t="s">
        <v>1063</v>
      </c>
      <c r="Q45" s="744" t="s">
        <v>28</v>
      </c>
      <c r="R45" s="745" t="s">
        <v>1063</v>
      </c>
      <c r="S45" s="744" t="s">
        <v>28</v>
      </c>
      <c r="T45" s="744" t="s">
        <v>1063</v>
      </c>
      <c r="U45" s="744" t="s">
        <v>28</v>
      </c>
      <c r="V45" s="744" t="s">
        <v>1063</v>
      </c>
      <c r="W45" s="744">
        <v>9</v>
      </c>
      <c r="X45" s="745" t="s">
        <v>1063</v>
      </c>
      <c r="Y45" s="744">
        <v>6</v>
      </c>
      <c r="Z45" s="866" t="s">
        <v>1063</v>
      </c>
    </row>
    <row r="46" spans="1:26" s="734" customFormat="1" ht="11.45" customHeight="1">
      <c r="A46" s="1766" t="s">
        <v>55</v>
      </c>
      <c r="B46" s="1767" t="s">
        <v>56</v>
      </c>
      <c r="C46" s="1813">
        <v>736</v>
      </c>
      <c r="D46" s="1813">
        <v>21</v>
      </c>
      <c r="E46" s="1813">
        <v>21</v>
      </c>
      <c r="F46" s="1813">
        <v>694</v>
      </c>
      <c r="G46" s="746">
        <v>907</v>
      </c>
      <c r="H46" s="747" t="s">
        <v>1125</v>
      </c>
      <c r="I46" s="746">
        <v>708</v>
      </c>
      <c r="J46" s="747" t="s">
        <v>1157</v>
      </c>
      <c r="K46" s="746">
        <v>21</v>
      </c>
      <c r="L46" s="746" t="s">
        <v>1063</v>
      </c>
      <c r="M46" s="746">
        <v>12</v>
      </c>
      <c r="N46" s="746" t="s">
        <v>1063</v>
      </c>
      <c r="O46" s="746">
        <v>21</v>
      </c>
      <c r="P46" s="747" t="s">
        <v>1063</v>
      </c>
      <c r="Q46" s="746">
        <v>11</v>
      </c>
      <c r="R46" s="747" t="s">
        <v>1063</v>
      </c>
      <c r="S46" s="746">
        <v>1</v>
      </c>
      <c r="T46" s="746" t="s">
        <v>1063</v>
      </c>
      <c r="U46" s="746">
        <v>1</v>
      </c>
      <c r="V46" s="746" t="s">
        <v>1063</v>
      </c>
      <c r="W46" s="746">
        <v>208</v>
      </c>
      <c r="X46" s="747" t="s">
        <v>1063</v>
      </c>
      <c r="Y46" s="746">
        <v>163</v>
      </c>
      <c r="Z46" s="867" t="s">
        <v>1063</v>
      </c>
    </row>
    <row r="47" spans="1:26" s="735" customFormat="1" ht="11.45" customHeight="1">
      <c r="A47" s="1778" t="s">
        <v>29</v>
      </c>
      <c r="B47" s="1779" t="s">
        <v>30</v>
      </c>
      <c r="C47" s="743">
        <v>736</v>
      </c>
      <c r="D47" s="743">
        <v>21</v>
      </c>
      <c r="E47" s="743">
        <v>21</v>
      </c>
      <c r="F47" s="743">
        <v>694</v>
      </c>
      <c r="G47" s="744">
        <v>907</v>
      </c>
      <c r="H47" s="745" t="s">
        <v>1125</v>
      </c>
      <c r="I47" s="744">
        <v>708</v>
      </c>
      <c r="J47" s="745" t="s">
        <v>1157</v>
      </c>
      <c r="K47" s="744">
        <v>21</v>
      </c>
      <c r="L47" s="744" t="s">
        <v>1063</v>
      </c>
      <c r="M47" s="744">
        <v>12</v>
      </c>
      <c r="N47" s="744" t="s">
        <v>1063</v>
      </c>
      <c r="O47" s="744">
        <v>21</v>
      </c>
      <c r="P47" s="745" t="s">
        <v>1063</v>
      </c>
      <c r="Q47" s="744">
        <v>11</v>
      </c>
      <c r="R47" s="745" t="s">
        <v>1063</v>
      </c>
      <c r="S47" s="744">
        <v>1</v>
      </c>
      <c r="T47" s="744" t="s">
        <v>1063</v>
      </c>
      <c r="U47" s="744">
        <v>1</v>
      </c>
      <c r="V47" s="744" t="s">
        <v>1063</v>
      </c>
      <c r="W47" s="744">
        <v>208</v>
      </c>
      <c r="X47" s="745" t="s">
        <v>1063</v>
      </c>
      <c r="Y47" s="744">
        <v>163</v>
      </c>
      <c r="Z47" s="866" t="s">
        <v>1063</v>
      </c>
    </row>
    <row r="48" spans="1:26" s="735" customFormat="1" ht="11.45" customHeight="1">
      <c r="A48" s="1778" t="s">
        <v>31</v>
      </c>
      <c r="B48" s="1779" t="s">
        <v>32</v>
      </c>
      <c r="C48" s="743" t="s">
        <v>28</v>
      </c>
      <c r="D48" s="743" t="s">
        <v>28</v>
      </c>
      <c r="E48" s="743" t="s">
        <v>28</v>
      </c>
      <c r="F48" s="743" t="s">
        <v>28</v>
      </c>
      <c r="G48" s="745" t="s">
        <v>28</v>
      </c>
      <c r="H48" s="745" t="s">
        <v>1063</v>
      </c>
      <c r="I48" s="745" t="s">
        <v>28</v>
      </c>
      <c r="J48" s="745" t="s">
        <v>1063</v>
      </c>
      <c r="K48" s="745" t="s">
        <v>28</v>
      </c>
      <c r="L48" s="745" t="s">
        <v>1063</v>
      </c>
      <c r="M48" s="745" t="s">
        <v>28</v>
      </c>
      <c r="N48" s="745" t="s">
        <v>1063</v>
      </c>
      <c r="O48" s="745" t="s">
        <v>28</v>
      </c>
      <c r="P48" s="745" t="s">
        <v>1063</v>
      </c>
      <c r="Q48" s="745" t="s">
        <v>28</v>
      </c>
      <c r="R48" s="745" t="s">
        <v>1063</v>
      </c>
      <c r="S48" s="745" t="s">
        <v>28</v>
      </c>
      <c r="T48" s="745" t="s">
        <v>1063</v>
      </c>
      <c r="U48" s="745" t="s">
        <v>28</v>
      </c>
      <c r="V48" s="745" t="s">
        <v>1063</v>
      </c>
      <c r="W48" s="745" t="s">
        <v>28</v>
      </c>
      <c r="X48" s="745" t="s">
        <v>1063</v>
      </c>
      <c r="Y48" s="745" t="s">
        <v>28</v>
      </c>
      <c r="Z48" s="866" t="s">
        <v>1063</v>
      </c>
    </row>
    <row r="49" spans="1:26" s="734" customFormat="1" ht="11.45" customHeight="1">
      <c r="A49" s="1766" t="s">
        <v>57</v>
      </c>
      <c r="B49" s="1767" t="s">
        <v>58</v>
      </c>
      <c r="C49" s="1813">
        <v>441</v>
      </c>
      <c r="D49" s="1813">
        <v>15</v>
      </c>
      <c r="E49" s="1813">
        <v>15</v>
      </c>
      <c r="F49" s="1813">
        <v>411</v>
      </c>
      <c r="G49" s="746">
        <v>539</v>
      </c>
      <c r="H49" s="747" t="s">
        <v>1376</v>
      </c>
      <c r="I49" s="746">
        <v>425</v>
      </c>
      <c r="J49" s="747" t="s">
        <v>1126</v>
      </c>
      <c r="K49" s="746">
        <v>15</v>
      </c>
      <c r="L49" s="746" t="s">
        <v>1063</v>
      </c>
      <c r="M49" s="746">
        <v>10</v>
      </c>
      <c r="N49" s="746" t="s">
        <v>1063</v>
      </c>
      <c r="O49" s="746">
        <v>15</v>
      </c>
      <c r="P49" s="747" t="s">
        <v>1063</v>
      </c>
      <c r="Q49" s="746">
        <v>12</v>
      </c>
      <c r="R49" s="747" t="s">
        <v>1063</v>
      </c>
      <c r="S49" s="746" t="s">
        <v>28</v>
      </c>
      <c r="T49" s="746" t="s">
        <v>1063</v>
      </c>
      <c r="U49" s="746" t="s">
        <v>28</v>
      </c>
      <c r="V49" s="746" t="s">
        <v>1063</v>
      </c>
      <c r="W49" s="746">
        <v>147</v>
      </c>
      <c r="X49" s="747" t="s">
        <v>1063</v>
      </c>
      <c r="Y49" s="746">
        <v>113</v>
      </c>
      <c r="Z49" s="867" t="s">
        <v>1063</v>
      </c>
    </row>
    <row r="50" spans="1:26" s="735" customFormat="1" ht="11.45" customHeight="1">
      <c r="A50" s="1778" t="s">
        <v>29</v>
      </c>
      <c r="B50" s="1779" t="s">
        <v>30</v>
      </c>
      <c r="C50" s="743">
        <v>441</v>
      </c>
      <c r="D50" s="743">
        <v>15</v>
      </c>
      <c r="E50" s="743">
        <v>15</v>
      </c>
      <c r="F50" s="743">
        <v>411</v>
      </c>
      <c r="G50" s="744">
        <v>539</v>
      </c>
      <c r="H50" s="745" t="s">
        <v>1376</v>
      </c>
      <c r="I50" s="744">
        <v>425</v>
      </c>
      <c r="J50" s="745" t="s">
        <v>1126</v>
      </c>
      <c r="K50" s="744">
        <v>15</v>
      </c>
      <c r="L50" s="744" t="s">
        <v>1063</v>
      </c>
      <c r="M50" s="744">
        <v>10</v>
      </c>
      <c r="N50" s="744" t="s">
        <v>1063</v>
      </c>
      <c r="O50" s="744">
        <v>15</v>
      </c>
      <c r="P50" s="745" t="s">
        <v>1063</v>
      </c>
      <c r="Q50" s="744">
        <v>12</v>
      </c>
      <c r="R50" s="745" t="s">
        <v>1063</v>
      </c>
      <c r="S50" s="744" t="s">
        <v>28</v>
      </c>
      <c r="T50" s="744" t="s">
        <v>1063</v>
      </c>
      <c r="U50" s="744" t="s">
        <v>28</v>
      </c>
      <c r="V50" s="744" t="s">
        <v>1063</v>
      </c>
      <c r="W50" s="744">
        <v>147</v>
      </c>
      <c r="X50" s="745" t="s">
        <v>1063</v>
      </c>
      <c r="Y50" s="744">
        <v>113</v>
      </c>
      <c r="Z50" s="866" t="s">
        <v>1063</v>
      </c>
    </row>
    <row r="51" spans="1:26" s="735" customFormat="1" ht="11.45" customHeight="1">
      <c r="A51" s="1778" t="s">
        <v>31</v>
      </c>
      <c r="B51" s="1779" t="s">
        <v>32</v>
      </c>
      <c r="C51" s="743" t="s">
        <v>28</v>
      </c>
      <c r="D51" s="743" t="s">
        <v>28</v>
      </c>
      <c r="E51" s="743" t="s">
        <v>28</v>
      </c>
      <c r="F51" s="743" t="s">
        <v>28</v>
      </c>
      <c r="G51" s="745" t="s">
        <v>28</v>
      </c>
      <c r="H51" s="745" t="s">
        <v>1063</v>
      </c>
      <c r="I51" s="745" t="s">
        <v>28</v>
      </c>
      <c r="J51" s="745" t="s">
        <v>1063</v>
      </c>
      <c r="K51" s="745" t="s">
        <v>28</v>
      </c>
      <c r="L51" s="745" t="s">
        <v>1063</v>
      </c>
      <c r="M51" s="745" t="s">
        <v>28</v>
      </c>
      <c r="N51" s="745" t="s">
        <v>1063</v>
      </c>
      <c r="O51" s="745" t="s">
        <v>28</v>
      </c>
      <c r="P51" s="745" t="s">
        <v>1063</v>
      </c>
      <c r="Q51" s="745" t="s">
        <v>28</v>
      </c>
      <c r="R51" s="745" t="s">
        <v>1063</v>
      </c>
      <c r="S51" s="745" t="s">
        <v>28</v>
      </c>
      <c r="T51" s="745" t="s">
        <v>1063</v>
      </c>
      <c r="U51" s="745" t="s">
        <v>28</v>
      </c>
      <c r="V51" s="745" t="s">
        <v>1063</v>
      </c>
      <c r="W51" s="745" t="s">
        <v>28</v>
      </c>
      <c r="X51" s="745" t="s">
        <v>1063</v>
      </c>
      <c r="Y51" s="745" t="s">
        <v>28</v>
      </c>
      <c r="Z51" s="866" t="s">
        <v>1063</v>
      </c>
    </row>
    <row r="52" spans="1:26" s="734" customFormat="1" ht="11.45" customHeight="1">
      <c r="A52" s="1766" t="s">
        <v>59</v>
      </c>
      <c r="B52" s="1767" t="s">
        <v>60</v>
      </c>
      <c r="C52" s="1813">
        <v>1130</v>
      </c>
      <c r="D52" s="1813">
        <v>26</v>
      </c>
      <c r="E52" s="1813">
        <v>27</v>
      </c>
      <c r="F52" s="1813">
        <v>1077</v>
      </c>
      <c r="G52" s="1814" t="s">
        <v>1372</v>
      </c>
      <c r="H52" s="747" t="s">
        <v>1373</v>
      </c>
      <c r="I52" s="746">
        <v>983</v>
      </c>
      <c r="J52" s="747" t="s">
        <v>1374</v>
      </c>
      <c r="K52" s="746">
        <v>26</v>
      </c>
      <c r="L52" s="746" t="s">
        <v>1063</v>
      </c>
      <c r="M52" s="746">
        <v>14</v>
      </c>
      <c r="N52" s="746" t="s">
        <v>1063</v>
      </c>
      <c r="O52" s="746">
        <v>27</v>
      </c>
      <c r="P52" s="747" t="s">
        <v>1063</v>
      </c>
      <c r="Q52" s="746">
        <v>10</v>
      </c>
      <c r="R52" s="747" t="s">
        <v>1063</v>
      </c>
      <c r="S52" s="746">
        <v>1</v>
      </c>
      <c r="T52" s="746" t="s">
        <v>1063</v>
      </c>
      <c r="U52" s="746">
        <v>1</v>
      </c>
      <c r="V52" s="746" t="s">
        <v>1063</v>
      </c>
      <c r="W52" s="746">
        <v>270</v>
      </c>
      <c r="X52" s="747" t="s">
        <v>1063</v>
      </c>
      <c r="Y52" s="746">
        <v>204</v>
      </c>
      <c r="Z52" s="867" t="s">
        <v>1063</v>
      </c>
    </row>
    <row r="53" spans="1:26" s="735" customFormat="1" ht="11.45" customHeight="1">
      <c r="A53" s="1778" t="s">
        <v>29</v>
      </c>
      <c r="B53" s="1779" t="s">
        <v>30</v>
      </c>
      <c r="C53" s="743">
        <v>1130</v>
      </c>
      <c r="D53" s="743">
        <v>26</v>
      </c>
      <c r="E53" s="743">
        <v>27</v>
      </c>
      <c r="F53" s="743">
        <v>1077</v>
      </c>
      <c r="G53" s="748" t="s">
        <v>1372</v>
      </c>
      <c r="H53" s="745" t="s">
        <v>1373</v>
      </c>
      <c r="I53" s="744">
        <v>983</v>
      </c>
      <c r="J53" s="745" t="s">
        <v>1374</v>
      </c>
      <c r="K53" s="744">
        <v>26</v>
      </c>
      <c r="L53" s="744" t="s">
        <v>1063</v>
      </c>
      <c r="M53" s="744">
        <v>14</v>
      </c>
      <c r="N53" s="744" t="s">
        <v>1063</v>
      </c>
      <c r="O53" s="744">
        <v>27</v>
      </c>
      <c r="P53" s="745" t="s">
        <v>1063</v>
      </c>
      <c r="Q53" s="744">
        <v>10</v>
      </c>
      <c r="R53" s="745" t="s">
        <v>1063</v>
      </c>
      <c r="S53" s="744">
        <v>1</v>
      </c>
      <c r="T53" s="744" t="s">
        <v>1063</v>
      </c>
      <c r="U53" s="744">
        <v>1</v>
      </c>
      <c r="V53" s="744" t="s">
        <v>1063</v>
      </c>
      <c r="W53" s="744">
        <v>270</v>
      </c>
      <c r="X53" s="745" t="s">
        <v>1063</v>
      </c>
      <c r="Y53" s="744">
        <v>204</v>
      </c>
      <c r="Z53" s="866" t="s">
        <v>1063</v>
      </c>
    </row>
    <row r="54" spans="1:26" s="735" customFormat="1" ht="11.45" customHeight="1">
      <c r="A54" s="1778" t="s">
        <v>31</v>
      </c>
      <c r="B54" s="1779" t="s">
        <v>32</v>
      </c>
      <c r="C54" s="743" t="s">
        <v>28</v>
      </c>
      <c r="D54" s="743" t="s">
        <v>28</v>
      </c>
      <c r="E54" s="743" t="s">
        <v>28</v>
      </c>
      <c r="F54" s="743" t="s">
        <v>28</v>
      </c>
      <c r="G54" s="745" t="s">
        <v>28</v>
      </c>
      <c r="H54" s="745" t="s">
        <v>1063</v>
      </c>
      <c r="I54" s="745" t="s">
        <v>28</v>
      </c>
      <c r="J54" s="745" t="s">
        <v>1063</v>
      </c>
      <c r="K54" s="745" t="s">
        <v>28</v>
      </c>
      <c r="L54" s="745" t="s">
        <v>1063</v>
      </c>
      <c r="M54" s="745" t="s">
        <v>28</v>
      </c>
      <c r="N54" s="745" t="s">
        <v>1063</v>
      </c>
      <c r="O54" s="745" t="s">
        <v>28</v>
      </c>
      <c r="P54" s="745" t="s">
        <v>1063</v>
      </c>
      <c r="Q54" s="745" t="s">
        <v>28</v>
      </c>
      <c r="R54" s="745" t="s">
        <v>1063</v>
      </c>
      <c r="S54" s="745" t="s">
        <v>28</v>
      </c>
      <c r="T54" s="745" t="s">
        <v>1063</v>
      </c>
      <c r="U54" s="745" t="s">
        <v>28</v>
      </c>
      <c r="V54" s="745" t="s">
        <v>1063</v>
      </c>
      <c r="W54" s="745" t="s">
        <v>28</v>
      </c>
      <c r="X54" s="745" t="s">
        <v>1063</v>
      </c>
      <c r="Y54" s="745" t="s">
        <v>28</v>
      </c>
      <c r="Z54" s="866" t="s">
        <v>1063</v>
      </c>
    </row>
    <row r="55" spans="1:26" s="734" customFormat="1" ht="11.45" customHeight="1">
      <c r="A55" s="1766" t="s">
        <v>61</v>
      </c>
      <c r="B55" s="1767" t="s">
        <v>62</v>
      </c>
      <c r="C55" s="1813">
        <v>149</v>
      </c>
      <c r="D55" s="1813">
        <v>7</v>
      </c>
      <c r="E55" s="1813">
        <v>3</v>
      </c>
      <c r="F55" s="1813">
        <v>139</v>
      </c>
      <c r="G55" s="746">
        <v>170</v>
      </c>
      <c r="H55" s="747" t="s">
        <v>416</v>
      </c>
      <c r="I55" s="746">
        <v>91</v>
      </c>
      <c r="J55" s="747" t="s">
        <v>418</v>
      </c>
      <c r="K55" s="746">
        <v>7</v>
      </c>
      <c r="L55" s="746" t="s">
        <v>1063</v>
      </c>
      <c r="M55" s="746">
        <v>2</v>
      </c>
      <c r="N55" s="746" t="s">
        <v>1063</v>
      </c>
      <c r="O55" s="746">
        <v>3</v>
      </c>
      <c r="P55" s="747" t="s">
        <v>1063</v>
      </c>
      <c r="Q55" s="746" t="s">
        <v>28</v>
      </c>
      <c r="R55" s="747" t="s">
        <v>1063</v>
      </c>
      <c r="S55" s="746" t="s">
        <v>28</v>
      </c>
      <c r="T55" s="746" t="s">
        <v>1063</v>
      </c>
      <c r="U55" s="746" t="s">
        <v>28</v>
      </c>
      <c r="V55" s="746" t="s">
        <v>1063</v>
      </c>
      <c r="W55" s="746">
        <v>44</v>
      </c>
      <c r="X55" s="747" t="s">
        <v>1063</v>
      </c>
      <c r="Y55" s="746">
        <v>23</v>
      </c>
      <c r="Z55" s="867" t="s">
        <v>1063</v>
      </c>
    </row>
    <row r="56" spans="1:26" s="735" customFormat="1" ht="11.45" customHeight="1">
      <c r="A56" s="1778" t="s">
        <v>29</v>
      </c>
      <c r="B56" s="1779" t="s">
        <v>30</v>
      </c>
      <c r="C56" s="743">
        <v>125</v>
      </c>
      <c r="D56" s="743">
        <v>5</v>
      </c>
      <c r="E56" s="743">
        <v>3</v>
      </c>
      <c r="F56" s="743">
        <v>117</v>
      </c>
      <c r="G56" s="744">
        <v>143</v>
      </c>
      <c r="H56" s="745" t="s">
        <v>413</v>
      </c>
      <c r="I56" s="744">
        <v>79</v>
      </c>
      <c r="J56" s="745" t="s">
        <v>418</v>
      </c>
      <c r="K56" s="744">
        <v>5</v>
      </c>
      <c r="L56" s="744" t="s">
        <v>1063</v>
      </c>
      <c r="M56" s="744">
        <v>1</v>
      </c>
      <c r="N56" s="744" t="s">
        <v>1063</v>
      </c>
      <c r="O56" s="744">
        <v>3</v>
      </c>
      <c r="P56" s="745" t="s">
        <v>1063</v>
      </c>
      <c r="Q56" s="744" t="s">
        <v>28</v>
      </c>
      <c r="R56" s="745" t="s">
        <v>1063</v>
      </c>
      <c r="S56" s="744" t="s">
        <v>28</v>
      </c>
      <c r="T56" s="744" t="s">
        <v>1063</v>
      </c>
      <c r="U56" s="744" t="s">
        <v>28</v>
      </c>
      <c r="V56" s="744" t="s">
        <v>1063</v>
      </c>
      <c r="W56" s="744">
        <v>37</v>
      </c>
      <c r="X56" s="745" t="s">
        <v>1063</v>
      </c>
      <c r="Y56" s="744">
        <v>20</v>
      </c>
      <c r="Z56" s="866" t="s">
        <v>1063</v>
      </c>
    </row>
    <row r="57" spans="1:26" s="735" customFormat="1" ht="11.45" customHeight="1">
      <c r="A57" s="1778" t="s">
        <v>31</v>
      </c>
      <c r="B57" s="1779" t="s">
        <v>32</v>
      </c>
      <c r="C57" s="743">
        <v>24</v>
      </c>
      <c r="D57" s="743">
        <v>2</v>
      </c>
      <c r="E57" s="743" t="s">
        <v>28</v>
      </c>
      <c r="F57" s="743">
        <v>22</v>
      </c>
      <c r="G57" s="744">
        <v>27</v>
      </c>
      <c r="H57" s="745" t="s">
        <v>395</v>
      </c>
      <c r="I57" s="744">
        <v>12</v>
      </c>
      <c r="J57" s="745" t="s">
        <v>1063</v>
      </c>
      <c r="K57" s="744">
        <v>2</v>
      </c>
      <c r="L57" s="744" t="s">
        <v>1063</v>
      </c>
      <c r="M57" s="745">
        <v>1</v>
      </c>
      <c r="N57" s="744" t="s">
        <v>1063</v>
      </c>
      <c r="O57" s="744" t="s">
        <v>28</v>
      </c>
      <c r="P57" s="745" t="s">
        <v>1063</v>
      </c>
      <c r="Q57" s="744" t="s">
        <v>28</v>
      </c>
      <c r="R57" s="745" t="s">
        <v>1063</v>
      </c>
      <c r="S57" s="744" t="s">
        <v>28</v>
      </c>
      <c r="T57" s="744" t="s">
        <v>1063</v>
      </c>
      <c r="U57" s="745" t="s">
        <v>28</v>
      </c>
      <c r="V57" s="744" t="s">
        <v>1063</v>
      </c>
      <c r="W57" s="744">
        <v>7</v>
      </c>
      <c r="X57" s="745" t="s">
        <v>1063</v>
      </c>
      <c r="Y57" s="744">
        <v>3</v>
      </c>
      <c r="Z57" s="866" t="s">
        <v>1063</v>
      </c>
    </row>
    <row r="58" spans="1:26" s="734" customFormat="1" ht="11.45" customHeight="1">
      <c r="A58" s="1815" t="s">
        <v>63</v>
      </c>
      <c r="B58" s="1767" t="s">
        <v>64</v>
      </c>
      <c r="C58" s="1813">
        <v>49</v>
      </c>
      <c r="D58" s="1813" t="s">
        <v>28</v>
      </c>
      <c r="E58" s="1813" t="s">
        <v>28</v>
      </c>
      <c r="F58" s="1813">
        <v>49</v>
      </c>
      <c r="G58" s="746">
        <v>50</v>
      </c>
      <c r="H58" s="747" t="s">
        <v>395</v>
      </c>
      <c r="I58" s="746">
        <v>32</v>
      </c>
      <c r="J58" s="747" t="s">
        <v>395</v>
      </c>
      <c r="K58" s="746" t="s">
        <v>28</v>
      </c>
      <c r="L58" s="747" t="s">
        <v>1063</v>
      </c>
      <c r="M58" s="747" t="s">
        <v>28</v>
      </c>
      <c r="N58" s="746" t="s">
        <v>1063</v>
      </c>
      <c r="O58" s="746" t="s">
        <v>28</v>
      </c>
      <c r="P58" s="747" t="s">
        <v>1063</v>
      </c>
      <c r="Q58" s="746" t="s">
        <v>28</v>
      </c>
      <c r="R58" s="747" t="s">
        <v>1063</v>
      </c>
      <c r="S58" s="746" t="s">
        <v>28</v>
      </c>
      <c r="T58" s="747" t="s">
        <v>1063</v>
      </c>
      <c r="U58" s="747" t="s">
        <v>28</v>
      </c>
      <c r="V58" s="746" t="s">
        <v>1063</v>
      </c>
      <c r="W58" s="746">
        <v>11</v>
      </c>
      <c r="X58" s="747" t="s">
        <v>1063</v>
      </c>
      <c r="Y58" s="746">
        <v>5</v>
      </c>
      <c r="Z58" s="867" t="s">
        <v>1063</v>
      </c>
    </row>
    <row r="59" spans="1:26" s="735" customFormat="1" ht="11.45" customHeight="1">
      <c r="A59" s="1816" t="s">
        <v>29</v>
      </c>
      <c r="B59" s="1779" t="s">
        <v>30</v>
      </c>
      <c r="C59" s="743">
        <v>49</v>
      </c>
      <c r="D59" s="743" t="s">
        <v>28</v>
      </c>
      <c r="E59" s="743" t="s">
        <v>28</v>
      </c>
      <c r="F59" s="743">
        <v>49</v>
      </c>
      <c r="G59" s="744">
        <v>50</v>
      </c>
      <c r="H59" s="745" t="s">
        <v>395</v>
      </c>
      <c r="I59" s="744">
        <v>32</v>
      </c>
      <c r="J59" s="745" t="s">
        <v>395</v>
      </c>
      <c r="K59" s="744" t="s">
        <v>28</v>
      </c>
      <c r="L59" s="745" t="s">
        <v>1063</v>
      </c>
      <c r="M59" s="745" t="s">
        <v>28</v>
      </c>
      <c r="N59" s="744" t="s">
        <v>1063</v>
      </c>
      <c r="O59" s="744" t="s">
        <v>28</v>
      </c>
      <c r="P59" s="745" t="s">
        <v>1063</v>
      </c>
      <c r="Q59" s="744" t="s">
        <v>28</v>
      </c>
      <c r="R59" s="745" t="s">
        <v>1063</v>
      </c>
      <c r="S59" s="744" t="s">
        <v>28</v>
      </c>
      <c r="T59" s="745" t="s">
        <v>1063</v>
      </c>
      <c r="U59" s="745" t="s">
        <v>28</v>
      </c>
      <c r="V59" s="744" t="s">
        <v>1063</v>
      </c>
      <c r="W59" s="744">
        <v>11</v>
      </c>
      <c r="X59" s="745" t="s">
        <v>1063</v>
      </c>
      <c r="Y59" s="744">
        <v>5</v>
      </c>
      <c r="Z59" s="866" t="s">
        <v>1063</v>
      </c>
    </row>
    <row r="60" spans="1:26" s="736" customFormat="1" ht="11.45" customHeight="1" thickBot="1">
      <c r="A60" s="1789" t="s">
        <v>31</v>
      </c>
      <c r="B60" s="1790" t="s">
        <v>32</v>
      </c>
      <c r="C60" s="749" t="s">
        <v>28</v>
      </c>
      <c r="D60" s="749" t="s">
        <v>28</v>
      </c>
      <c r="E60" s="749" t="s">
        <v>28</v>
      </c>
      <c r="F60" s="749" t="s">
        <v>28</v>
      </c>
      <c r="G60" s="750" t="s">
        <v>28</v>
      </c>
      <c r="H60" s="750" t="s">
        <v>1063</v>
      </c>
      <c r="I60" s="750" t="s">
        <v>28</v>
      </c>
      <c r="J60" s="750" t="s">
        <v>1063</v>
      </c>
      <c r="K60" s="750" t="s">
        <v>28</v>
      </c>
      <c r="L60" s="750" t="s">
        <v>1063</v>
      </c>
      <c r="M60" s="750" t="s">
        <v>28</v>
      </c>
      <c r="N60" s="750" t="s">
        <v>1063</v>
      </c>
      <c r="O60" s="750" t="s">
        <v>28</v>
      </c>
      <c r="P60" s="750" t="s">
        <v>1063</v>
      </c>
      <c r="Q60" s="750" t="s">
        <v>28</v>
      </c>
      <c r="R60" s="750" t="s">
        <v>1063</v>
      </c>
      <c r="S60" s="750" t="s">
        <v>28</v>
      </c>
      <c r="T60" s="750" t="s">
        <v>1063</v>
      </c>
      <c r="U60" s="750" t="s">
        <v>28</v>
      </c>
      <c r="V60" s="750" t="s">
        <v>1063</v>
      </c>
      <c r="W60" s="750" t="s">
        <v>28</v>
      </c>
      <c r="X60" s="750" t="s">
        <v>1063</v>
      </c>
      <c r="Y60" s="750" t="s">
        <v>28</v>
      </c>
      <c r="Z60" s="1817" t="s">
        <v>1063</v>
      </c>
    </row>
    <row r="61" spans="1:26" s="751" customFormat="1" ht="12" customHeight="1">
      <c r="A61" s="1295" t="s">
        <v>691</v>
      </c>
      <c r="B61" s="1295"/>
      <c r="C61" s="1295"/>
      <c r="D61" s="1295"/>
      <c r="E61" s="1295"/>
      <c r="F61" s="1295"/>
      <c r="G61" s="1295"/>
      <c r="H61" s="1295"/>
      <c r="I61" s="1295"/>
      <c r="J61" s="1295"/>
      <c r="K61" s="1295" t="s">
        <v>1229</v>
      </c>
      <c r="L61" s="1295"/>
      <c r="M61" s="1295"/>
      <c r="N61" s="1295"/>
      <c r="O61" s="1295"/>
      <c r="P61" s="1295"/>
      <c r="Q61" s="1295"/>
      <c r="R61" s="1295"/>
      <c r="S61" s="1295"/>
      <c r="T61" s="1295"/>
      <c r="U61" s="1295"/>
      <c r="V61" s="1295"/>
      <c r="W61" s="1295"/>
      <c r="X61" s="1295"/>
      <c r="Y61" s="1295"/>
      <c r="Z61" s="1295"/>
    </row>
    <row r="62" spans="1:26" s="751" customFormat="1" ht="11.25" customHeight="1">
      <c r="A62" s="1295" t="s">
        <v>1386</v>
      </c>
      <c r="B62" s="1295"/>
      <c r="C62" s="1295"/>
      <c r="D62" s="1295"/>
      <c r="E62" s="1295"/>
      <c r="F62" s="1295"/>
      <c r="G62" s="1295"/>
      <c r="H62" s="1295"/>
      <c r="I62" s="1295"/>
      <c r="J62" s="1295"/>
      <c r="K62" s="1295" t="s">
        <v>1387</v>
      </c>
      <c r="L62" s="1295"/>
      <c r="M62" s="1295"/>
      <c r="N62" s="1295"/>
      <c r="O62" s="1295"/>
      <c r="P62" s="1295"/>
      <c r="Q62" s="1295"/>
      <c r="R62" s="1295"/>
      <c r="S62" s="1295"/>
      <c r="T62" s="1295"/>
      <c r="U62" s="1295"/>
      <c r="V62" s="1295"/>
      <c r="W62" s="1295"/>
      <c r="X62" s="1295"/>
      <c r="Y62" s="1295"/>
      <c r="Z62" s="1295"/>
    </row>
    <row r="63" spans="1:26" ht="16.5" customHeight="1">
      <c r="A63" s="1312" t="s">
        <v>1234</v>
      </c>
      <c r="B63" s="1312"/>
      <c r="C63" s="1312"/>
      <c r="D63" s="1312"/>
      <c r="E63" s="1312"/>
      <c r="F63" s="1312"/>
      <c r="G63" s="1312"/>
      <c r="H63" s="1312"/>
      <c r="I63" s="1312"/>
      <c r="J63" s="1312"/>
      <c r="K63" s="1312" t="s">
        <v>1388</v>
      </c>
      <c r="L63" s="1312"/>
      <c r="M63" s="1312"/>
      <c r="N63" s="1312"/>
      <c r="O63" s="1312"/>
      <c r="P63" s="1312"/>
      <c r="Q63" s="1312"/>
      <c r="R63" s="1312"/>
      <c r="S63" s="1312"/>
      <c r="T63" s="1312"/>
      <c r="U63" s="1312"/>
      <c r="V63" s="1312"/>
      <c r="W63" s="1312"/>
      <c r="X63" s="1312"/>
      <c r="Y63" s="1312"/>
      <c r="Z63" s="1312"/>
    </row>
  </sheetData>
  <mergeCells count="60">
    <mergeCell ref="A63:J63"/>
    <mergeCell ref="K63:Z63"/>
    <mergeCell ref="W10:X10"/>
    <mergeCell ref="A62:J62"/>
    <mergeCell ref="K62:Z62"/>
    <mergeCell ref="Y10:Z10"/>
    <mergeCell ref="A14:J14"/>
    <mergeCell ref="K14:Z14"/>
    <mergeCell ref="A30:J30"/>
    <mergeCell ref="K30:Z30"/>
    <mergeCell ref="A61:J61"/>
    <mergeCell ref="K61:Z61"/>
    <mergeCell ref="A10:B10"/>
    <mergeCell ref="G10:H10"/>
    <mergeCell ref="I10:J10"/>
    <mergeCell ref="K10:L10"/>
    <mergeCell ref="W8:Z8"/>
    <mergeCell ref="S8:V8"/>
    <mergeCell ref="A9:B9"/>
    <mergeCell ref="G9:H9"/>
    <mergeCell ref="I9:J9"/>
    <mergeCell ref="K9:L9"/>
    <mergeCell ref="M9:N9"/>
    <mergeCell ref="O9:P9"/>
    <mergeCell ref="W9:X9"/>
    <mergeCell ref="Y9:Z9"/>
    <mergeCell ref="A8:B8"/>
    <mergeCell ref="C8:F8"/>
    <mergeCell ref="G8:J8"/>
    <mergeCell ref="K8:N8"/>
    <mergeCell ref="O8:R8"/>
    <mergeCell ref="A6:B6"/>
    <mergeCell ref="C6:F6"/>
    <mergeCell ref="K6:Z6"/>
    <mergeCell ref="G7:J7"/>
    <mergeCell ref="K7:N7"/>
    <mergeCell ref="O7:R7"/>
    <mergeCell ref="W7:Z7"/>
    <mergeCell ref="A7:B7"/>
    <mergeCell ref="C7:F7"/>
    <mergeCell ref="S7:V7"/>
    <mergeCell ref="A5:B5"/>
    <mergeCell ref="C5:F5"/>
    <mergeCell ref="A2:J2"/>
    <mergeCell ref="K2:Z2"/>
    <mergeCell ref="A3:J3"/>
    <mergeCell ref="K3:Z3"/>
    <mergeCell ref="A4:J4"/>
    <mergeCell ref="K4:Z4"/>
    <mergeCell ref="K5:Z5"/>
    <mergeCell ref="S10:T10"/>
    <mergeCell ref="U10:V10"/>
    <mergeCell ref="G5:J5"/>
    <mergeCell ref="G6:J6"/>
    <mergeCell ref="Q9:R9"/>
    <mergeCell ref="O10:P10"/>
    <mergeCell ref="Q10:R10"/>
    <mergeCell ref="S9:T9"/>
    <mergeCell ref="U9:V9"/>
    <mergeCell ref="M10:N10"/>
  </mergeCells>
  <phoneticPr fontId="4" type="noConversion"/>
  <conditionalFormatting sqref="C15:Z15 C16:F17 C18:Z18 C19:F20 C21:Z21 C22:F23 C24:Z24 C25:F26 C27:Z27 C28:F29">
    <cfRule type="notContainsBlanks" dxfId="4" priority="1">
      <formula>LEN(TRIM(C15))&gt;0</formula>
    </cfRule>
  </conditionalFormatting>
  <conditionalFormatting sqref="G48:Z48">
    <cfRule type="notContainsBlanks" dxfId="3" priority="5">
      <formula>LEN(TRIM(G48))&gt;0</formula>
    </cfRule>
  </conditionalFormatting>
  <conditionalFormatting sqref="G51:Z51">
    <cfRule type="notContainsBlanks" dxfId="2" priority="2">
      <formula>LEN(TRIM(G51))&gt;0</formula>
    </cfRule>
  </conditionalFormatting>
  <conditionalFormatting sqref="G54:Z54">
    <cfRule type="notContainsBlanks" dxfId="1" priority="3">
      <formula>LEN(TRIM(G54))&gt;0</formula>
    </cfRule>
  </conditionalFormatting>
  <conditionalFormatting sqref="K60:Z60">
    <cfRule type="notContainsBlanks" dxfId="0" priority="4">
      <formula>LEN(TRIM(K60))&gt;0</formula>
    </cfRule>
  </conditionalFormatting>
  <hyperlinks>
    <hyperlink ref="A1" location="목록!A1" display="목록!A1" xr:uid="{6F9404B4-1099-499B-9EE4-FC5586034CE6}"/>
  </hyperlinks>
  <pageMargins left="0.59055118110236227" right="0.59055118110236227" top="0.78740157480314965" bottom="0.59055118110236227" header="0.62992125984251968" footer="0.39370078740157483"/>
  <pageSetup paperSize="9" orientation="portrait" r:id="rId1"/>
  <colBreaks count="1" manualBreakCount="1">
    <brk id="10"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AF63"/>
  <sheetViews>
    <sheetView showGridLines="0" showWhiteSpace="0" view="pageBreakPreview" zoomScaleNormal="85" zoomScaleSheetLayoutView="100" workbookViewId="0">
      <selection activeCell="A2" sqref="A2:AF63"/>
    </sheetView>
  </sheetViews>
  <sheetFormatPr defaultColWidth="8.88671875" defaultRowHeight="16.5"/>
  <cols>
    <col min="1" max="1" width="7.77734375" style="106" customWidth="1"/>
    <col min="2" max="2" width="10.77734375" style="105" customWidth="1"/>
    <col min="3" max="3" width="5" style="106" customWidth="1"/>
    <col min="4" max="4" width="5" style="360" customWidth="1"/>
    <col min="5" max="5" width="5" style="106" customWidth="1"/>
    <col min="6" max="6" width="5" style="360" customWidth="1"/>
    <col min="7" max="7" width="5" style="106" customWidth="1"/>
    <col min="8" max="8" width="5" style="360" customWidth="1"/>
    <col min="9" max="9" width="5" style="106" customWidth="1"/>
    <col min="10" max="10" width="5" style="360" customWidth="1"/>
    <col min="11" max="11" width="5" style="106" customWidth="1"/>
    <col min="12" max="12" width="5" style="360" customWidth="1"/>
    <col min="13" max="13" width="5" style="106" customWidth="1"/>
    <col min="14" max="14" width="5" style="360" customWidth="1"/>
    <col min="15" max="15" width="4.21875" style="106" customWidth="1"/>
    <col min="16" max="16" width="4.21875" style="360" customWidth="1"/>
    <col min="17" max="17" width="4.21875" style="106" customWidth="1"/>
    <col min="18" max="18" width="4.21875" style="360" customWidth="1"/>
    <col min="19" max="19" width="4.21875" style="106" customWidth="1"/>
    <col min="20" max="20" width="4.21875" style="360" customWidth="1"/>
    <col min="21" max="21" width="4.21875" style="106" customWidth="1"/>
    <col min="22" max="22" width="4.21875" style="360" customWidth="1"/>
    <col min="23" max="23" width="4.21875" style="106" customWidth="1"/>
    <col min="24" max="24" width="4.21875" style="360" customWidth="1"/>
    <col min="25" max="25" width="4.21875" style="106" customWidth="1"/>
    <col min="26" max="26" width="4.33203125" style="360" customWidth="1"/>
    <col min="27" max="27" width="4.88671875" style="106" customWidth="1"/>
    <col min="28" max="28" width="4.33203125" style="360" customWidth="1"/>
    <col min="29" max="29" width="4.5546875" style="106" customWidth="1"/>
    <col min="30" max="30" width="4.33203125" style="360" customWidth="1"/>
    <col min="31" max="31" width="4.33203125" style="106" customWidth="1"/>
    <col min="32" max="32" width="4.33203125" style="360" customWidth="1"/>
    <col min="33" max="16384" width="8.88671875" style="114"/>
  </cols>
  <sheetData>
    <row r="1" spans="1:32" ht="22.5">
      <c r="A1" s="901" t="s">
        <v>1332</v>
      </c>
      <c r="B1" s="358"/>
      <c r="C1" s="359"/>
      <c r="E1" s="359"/>
      <c r="G1" s="359"/>
      <c r="I1" s="359"/>
      <c r="K1" s="359"/>
      <c r="M1" s="359"/>
      <c r="O1" s="359"/>
      <c r="Q1" s="359"/>
      <c r="S1" s="359"/>
      <c r="U1" s="359"/>
      <c r="W1" s="359"/>
      <c r="Y1" s="359"/>
      <c r="AA1" s="359"/>
      <c r="AC1" s="359"/>
      <c r="AE1" s="359"/>
    </row>
    <row r="2" spans="1:32" s="112" customFormat="1" ht="13.5" customHeight="1">
      <c r="A2" s="1035" t="s">
        <v>1032</v>
      </c>
      <c r="B2" s="1035"/>
      <c r="C2" s="1035"/>
      <c r="D2" s="1035"/>
      <c r="E2" s="1035"/>
      <c r="F2" s="1035"/>
      <c r="G2" s="1035"/>
      <c r="H2" s="1035"/>
      <c r="I2" s="1035"/>
      <c r="J2" s="1035"/>
      <c r="K2" s="1035"/>
      <c r="L2" s="1035"/>
      <c r="M2" s="1035"/>
      <c r="N2" s="1035"/>
      <c r="O2" s="1036" t="s">
        <v>1052</v>
      </c>
      <c r="P2" s="1036"/>
      <c r="Q2" s="1036"/>
      <c r="R2" s="1036"/>
      <c r="S2" s="1036"/>
      <c r="T2" s="1036"/>
      <c r="U2" s="1036"/>
      <c r="V2" s="1036"/>
      <c r="W2" s="1036"/>
      <c r="X2" s="1036"/>
      <c r="Y2" s="1036"/>
      <c r="Z2" s="1036"/>
      <c r="AA2" s="1036"/>
      <c r="AB2" s="1036"/>
      <c r="AC2" s="1036"/>
      <c r="AD2" s="1036"/>
      <c r="AE2" s="1036"/>
      <c r="AF2" s="1036"/>
    </row>
    <row r="3" spans="1:32" ht="22.5" customHeight="1">
      <c r="A3" s="1037" t="s">
        <v>924</v>
      </c>
      <c r="B3" s="1037"/>
      <c r="C3" s="1037"/>
      <c r="D3" s="1037"/>
      <c r="E3" s="1037"/>
      <c r="F3" s="1037"/>
      <c r="G3" s="1037"/>
      <c r="H3" s="1037"/>
      <c r="I3" s="1037"/>
      <c r="J3" s="1037"/>
      <c r="K3" s="1037"/>
      <c r="L3" s="1037"/>
      <c r="M3" s="1037"/>
      <c r="N3" s="1037"/>
      <c r="O3" s="1037" t="s">
        <v>923</v>
      </c>
      <c r="P3" s="1037"/>
      <c r="Q3" s="1037"/>
      <c r="R3" s="1037"/>
      <c r="S3" s="1037"/>
      <c r="T3" s="1037"/>
      <c r="U3" s="1060"/>
      <c r="V3" s="1060"/>
      <c r="W3" s="1060"/>
      <c r="X3" s="1060"/>
      <c r="Y3" s="1060"/>
      <c r="Z3" s="1060"/>
      <c r="AA3" s="1060"/>
      <c r="AB3" s="1060"/>
      <c r="AC3" s="1060"/>
      <c r="AD3" s="1060"/>
      <c r="AE3" s="1060"/>
      <c r="AF3" s="1060"/>
    </row>
    <row r="4" spans="1:32" ht="13.5" customHeight="1" thickBot="1">
      <c r="A4" s="1061"/>
      <c r="B4" s="1061"/>
      <c r="C4" s="1061"/>
      <c r="D4" s="1061"/>
      <c r="E4" s="1061"/>
      <c r="F4" s="1061"/>
      <c r="G4" s="1061"/>
      <c r="H4" s="1061"/>
      <c r="I4" s="1061"/>
      <c r="J4" s="1061"/>
      <c r="K4" s="1061"/>
      <c r="L4" s="1061"/>
      <c r="M4" s="1061"/>
      <c r="N4" s="1061"/>
      <c r="O4" s="1818"/>
      <c r="P4" s="1818"/>
      <c r="Q4" s="1818"/>
      <c r="R4" s="1818"/>
      <c r="S4" s="1818"/>
      <c r="T4" s="1818"/>
      <c r="U4" s="1818"/>
      <c r="V4" s="1818"/>
      <c r="W4" s="1818"/>
      <c r="X4" s="1818"/>
      <c r="Y4" s="1818"/>
      <c r="Z4" s="1818"/>
      <c r="AA4" s="1818"/>
      <c r="AB4" s="1818"/>
      <c r="AC4" s="1818"/>
      <c r="AD4" s="1818"/>
      <c r="AE4" s="1818"/>
      <c r="AF4" s="1818"/>
    </row>
    <row r="5" spans="1:32" s="169" customFormat="1" ht="11.1" customHeight="1">
      <c r="A5" s="1004" t="s">
        <v>2</v>
      </c>
      <c r="B5" s="1015"/>
      <c r="C5" s="1003" t="s">
        <v>153</v>
      </c>
      <c r="D5" s="1004"/>
      <c r="E5" s="1004"/>
      <c r="F5" s="1004"/>
      <c r="G5" s="1004"/>
      <c r="H5" s="1004"/>
      <c r="I5" s="1004"/>
      <c r="J5" s="1004"/>
      <c r="K5" s="1004"/>
      <c r="L5" s="1004"/>
      <c r="M5" s="1004"/>
      <c r="N5" s="1004"/>
      <c r="O5" s="1381" t="s">
        <v>153</v>
      </c>
      <c r="P5" s="1381"/>
      <c r="Q5" s="1381"/>
      <c r="R5" s="1381"/>
      <c r="S5" s="1381"/>
      <c r="T5" s="1381"/>
      <c r="U5" s="1381"/>
      <c r="V5" s="1381"/>
      <c r="W5" s="1381"/>
      <c r="X5" s="1381"/>
      <c r="Y5" s="1381"/>
      <c r="Z5" s="1381"/>
      <c r="AA5" s="1381"/>
      <c r="AB5" s="1381"/>
      <c r="AC5" s="1381"/>
      <c r="AD5" s="1381"/>
      <c r="AE5" s="1316" t="s">
        <v>692</v>
      </c>
      <c r="AF5" s="1819"/>
    </row>
    <row r="6" spans="1:32" s="241" customFormat="1" ht="11.1" customHeight="1">
      <c r="A6" s="1039" t="s">
        <v>7</v>
      </c>
      <c r="B6" s="1010"/>
      <c r="C6" s="1013" t="s">
        <v>155</v>
      </c>
      <c r="D6" s="1007"/>
      <c r="E6" s="1007"/>
      <c r="F6" s="1007"/>
      <c r="G6" s="1007"/>
      <c r="H6" s="1007"/>
      <c r="I6" s="1007"/>
      <c r="J6" s="1007"/>
      <c r="K6" s="1007"/>
      <c r="L6" s="1007"/>
      <c r="M6" s="1007"/>
      <c r="N6" s="1007"/>
      <c r="O6" s="1007" t="s">
        <v>155</v>
      </c>
      <c r="P6" s="1007"/>
      <c r="Q6" s="1007"/>
      <c r="R6" s="1007"/>
      <c r="S6" s="1007"/>
      <c r="T6" s="1007"/>
      <c r="U6" s="1007"/>
      <c r="V6" s="1007"/>
      <c r="W6" s="1007"/>
      <c r="X6" s="1007"/>
      <c r="Y6" s="1007"/>
      <c r="Z6" s="1007"/>
      <c r="AA6" s="1007"/>
      <c r="AB6" s="1007"/>
      <c r="AC6" s="1007"/>
      <c r="AD6" s="1007"/>
      <c r="AE6" s="1317" t="s">
        <v>163</v>
      </c>
      <c r="AF6" s="1318"/>
    </row>
    <row r="7" spans="1:32" s="169" customFormat="1" ht="11.1" customHeight="1">
      <c r="A7" s="1319"/>
      <c r="B7" s="1015"/>
      <c r="C7" s="1320" t="s">
        <v>441</v>
      </c>
      <c r="D7" s="1321"/>
      <c r="E7" s="1321"/>
      <c r="F7" s="1322"/>
      <c r="G7" s="1320" t="s">
        <v>551</v>
      </c>
      <c r="H7" s="1321"/>
      <c r="I7" s="1321"/>
      <c r="J7" s="1322"/>
      <c r="K7" s="1820" t="s">
        <v>1147</v>
      </c>
      <c r="L7" s="1821"/>
      <c r="M7" s="1821"/>
      <c r="N7" s="1822"/>
      <c r="O7" s="1820" t="s">
        <v>554</v>
      </c>
      <c r="P7" s="1821"/>
      <c r="Q7" s="1821"/>
      <c r="R7" s="1823"/>
      <c r="S7" s="1323" t="s">
        <v>442</v>
      </c>
      <c r="T7" s="1324"/>
      <c r="U7" s="1324"/>
      <c r="V7" s="1325"/>
      <c r="W7" s="1323" t="s">
        <v>443</v>
      </c>
      <c r="X7" s="1324"/>
      <c r="Y7" s="1324"/>
      <c r="Z7" s="1325"/>
      <c r="AA7" s="1323" t="s">
        <v>444</v>
      </c>
      <c r="AB7" s="1324"/>
      <c r="AC7" s="1324"/>
      <c r="AD7" s="1324"/>
      <c r="AE7" s="1317"/>
      <c r="AF7" s="1318"/>
    </row>
    <row r="8" spans="1:32" s="241" customFormat="1" ht="11.1" customHeight="1">
      <c r="A8" s="1039"/>
      <c r="B8" s="1010"/>
      <c r="C8" s="1161" t="s">
        <v>18</v>
      </c>
      <c r="D8" s="1169"/>
      <c r="E8" s="1169"/>
      <c r="F8" s="1162"/>
      <c r="G8" s="1161" t="s">
        <v>552</v>
      </c>
      <c r="H8" s="1169"/>
      <c r="I8" s="1169"/>
      <c r="J8" s="1162"/>
      <c r="K8" s="1161" t="s">
        <v>553</v>
      </c>
      <c r="L8" s="1169"/>
      <c r="M8" s="1169"/>
      <c r="N8" s="1162"/>
      <c r="O8" s="1161" t="s">
        <v>164</v>
      </c>
      <c r="P8" s="1169"/>
      <c r="Q8" s="1169"/>
      <c r="R8" s="1162"/>
      <c r="S8" s="1013" t="s">
        <v>555</v>
      </c>
      <c r="T8" s="1007"/>
      <c r="U8" s="1007"/>
      <c r="V8" s="1008"/>
      <c r="W8" s="1013" t="s">
        <v>556</v>
      </c>
      <c r="X8" s="1007"/>
      <c r="Y8" s="1007"/>
      <c r="Z8" s="1008"/>
      <c r="AA8" s="1013" t="s">
        <v>165</v>
      </c>
      <c r="AB8" s="1007"/>
      <c r="AC8" s="1007"/>
      <c r="AD8" s="1007"/>
      <c r="AE8" s="1326"/>
      <c r="AF8" s="1327"/>
    </row>
    <row r="9" spans="1:32" s="169" customFormat="1" ht="11.1" customHeight="1">
      <c r="A9" s="1319"/>
      <c r="B9" s="1015"/>
      <c r="C9" s="1025" t="s">
        <v>13</v>
      </c>
      <c r="D9" s="1024"/>
      <c r="E9" s="1025" t="s">
        <v>23</v>
      </c>
      <c r="F9" s="1024"/>
      <c r="G9" s="1025" t="s">
        <v>13</v>
      </c>
      <c r="H9" s="1024"/>
      <c r="I9" s="1025" t="s">
        <v>23</v>
      </c>
      <c r="J9" s="1024"/>
      <c r="K9" s="1025" t="s">
        <v>13</v>
      </c>
      <c r="L9" s="1024"/>
      <c r="M9" s="1025" t="s">
        <v>23</v>
      </c>
      <c r="N9" s="1024"/>
      <c r="O9" s="1026" t="s">
        <v>13</v>
      </c>
      <c r="P9" s="1026"/>
      <c r="Q9" s="1025" t="s">
        <v>23</v>
      </c>
      <c r="R9" s="1024"/>
      <c r="S9" s="1025" t="s">
        <v>13</v>
      </c>
      <c r="T9" s="1024"/>
      <c r="U9" s="1025" t="s">
        <v>23</v>
      </c>
      <c r="V9" s="1024"/>
      <c r="W9" s="1025" t="s">
        <v>13</v>
      </c>
      <c r="X9" s="1024"/>
      <c r="Y9" s="1025" t="s">
        <v>23</v>
      </c>
      <c r="Z9" s="1024"/>
      <c r="AA9" s="1025" t="s">
        <v>13</v>
      </c>
      <c r="AB9" s="1024"/>
      <c r="AC9" s="1025" t="s">
        <v>23</v>
      </c>
      <c r="AD9" s="1023"/>
      <c r="AE9" s="918" t="s">
        <v>13</v>
      </c>
      <c r="AF9" s="348" t="s">
        <v>23</v>
      </c>
    </row>
    <row r="10" spans="1:32" s="241" customFormat="1" ht="11.1" customHeight="1">
      <c r="A10" s="1007"/>
      <c r="B10" s="1008"/>
      <c r="C10" s="1013" t="s">
        <v>25</v>
      </c>
      <c r="D10" s="1008"/>
      <c r="E10" s="1013" t="s">
        <v>26</v>
      </c>
      <c r="F10" s="1008"/>
      <c r="G10" s="1013" t="s">
        <v>25</v>
      </c>
      <c r="H10" s="1008"/>
      <c r="I10" s="1013" t="s">
        <v>26</v>
      </c>
      <c r="J10" s="1008"/>
      <c r="K10" s="1013" t="s">
        <v>25</v>
      </c>
      <c r="L10" s="1008"/>
      <c r="M10" s="1013" t="s">
        <v>26</v>
      </c>
      <c r="N10" s="1008"/>
      <c r="O10" s="1019" t="s">
        <v>25</v>
      </c>
      <c r="P10" s="1019"/>
      <c r="Q10" s="1013" t="s">
        <v>26</v>
      </c>
      <c r="R10" s="1008"/>
      <c r="S10" s="1013" t="s">
        <v>25</v>
      </c>
      <c r="T10" s="1008"/>
      <c r="U10" s="1013" t="s">
        <v>26</v>
      </c>
      <c r="V10" s="1008"/>
      <c r="W10" s="1013" t="s">
        <v>25</v>
      </c>
      <c r="X10" s="1008"/>
      <c r="Y10" s="1013" t="s">
        <v>26</v>
      </c>
      <c r="Z10" s="1008"/>
      <c r="AA10" s="1013" t="s">
        <v>25</v>
      </c>
      <c r="AB10" s="1008"/>
      <c r="AC10" s="1013" t="s">
        <v>26</v>
      </c>
      <c r="AD10" s="1007"/>
      <c r="AE10" s="910" t="s">
        <v>25</v>
      </c>
      <c r="AF10" s="349" t="s">
        <v>26</v>
      </c>
    </row>
    <row r="11" spans="1:32" ht="11.85" customHeight="1">
      <c r="A11" s="89" t="s">
        <v>27</v>
      </c>
      <c r="B11" s="170" t="s">
        <v>16</v>
      </c>
      <c r="C11" s="91">
        <v>2452</v>
      </c>
      <c r="D11" s="1824" t="s">
        <v>1389</v>
      </c>
      <c r="E11" s="1824">
        <v>1869</v>
      </c>
      <c r="F11" s="1824" t="s">
        <v>1390</v>
      </c>
      <c r="G11" s="1824">
        <v>151</v>
      </c>
      <c r="H11" s="1824" t="s">
        <v>1127</v>
      </c>
      <c r="I11" s="1824">
        <v>115</v>
      </c>
      <c r="J11" s="1824" t="s">
        <v>1160</v>
      </c>
      <c r="K11" s="1824">
        <v>79</v>
      </c>
      <c r="L11" s="1824" t="s">
        <v>476</v>
      </c>
      <c r="M11" s="1824">
        <v>70</v>
      </c>
      <c r="N11" s="1824" t="s">
        <v>476</v>
      </c>
      <c r="O11" s="92">
        <v>28</v>
      </c>
      <c r="P11" s="92" t="s">
        <v>418</v>
      </c>
      <c r="Q11" s="91">
        <v>27</v>
      </c>
      <c r="R11" s="91" t="s">
        <v>418</v>
      </c>
      <c r="S11" s="91">
        <v>115</v>
      </c>
      <c r="T11" s="91" t="s">
        <v>1391</v>
      </c>
      <c r="U11" s="91">
        <v>115</v>
      </c>
      <c r="V11" s="91" t="s">
        <v>1391</v>
      </c>
      <c r="W11" s="91">
        <v>36</v>
      </c>
      <c r="X11" s="91" t="s">
        <v>413</v>
      </c>
      <c r="Y11" s="91">
        <v>35</v>
      </c>
      <c r="Z11" s="91" t="s">
        <v>413</v>
      </c>
      <c r="AA11" s="91">
        <v>1676</v>
      </c>
      <c r="AB11" s="91" t="s">
        <v>1063</v>
      </c>
      <c r="AC11" s="91">
        <v>1184</v>
      </c>
      <c r="AD11" s="171" t="s">
        <v>1063</v>
      </c>
      <c r="AE11" s="92">
        <v>73</v>
      </c>
      <c r="AF11" s="1825">
        <v>60</v>
      </c>
    </row>
    <row r="12" spans="1:32" ht="11.85" customHeight="1">
      <c r="A12" s="94" t="s">
        <v>29</v>
      </c>
      <c r="B12" s="172" t="s">
        <v>30</v>
      </c>
      <c r="C12" s="95">
        <v>2364</v>
      </c>
      <c r="D12" s="95" t="s">
        <v>1392</v>
      </c>
      <c r="E12" s="95">
        <v>1828</v>
      </c>
      <c r="F12" s="95" t="s">
        <v>1393</v>
      </c>
      <c r="G12" s="95">
        <v>150</v>
      </c>
      <c r="H12" s="95" t="s">
        <v>1127</v>
      </c>
      <c r="I12" s="95">
        <v>114</v>
      </c>
      <c r="J12" s="95" t="s">
        <v>1160</v>
      </c>
      <c r="K12" s="95">
        <v>75</v>
      </c>
      <c r="L12" s="95" t="s">
        <v>476</v>
      </c>
      <c r="M12" s="95">
        <v>66</v>
      </c>
      <c r="N12" s="95" t="s">
        <v>476</v>
      </c>
      <c r="O12" s="96">
        <v>28</v>
      </c>
      <c r="P12" s="96" t="s">
        <v>418</v>
      </c>
      <c r="Q12" s="95">
        <v>27</v>
      </c>
      <c r="R12" s="95" t="s">
        <v>418</v>
      </c>
      <c r="S12" s="95">
        <v>112</v>
      </c>
      <c r="T12" s="95" t="s">
        <v>990</v>
      </c>
      <c r="U12" s="95">
        <v>112</v>
      </c>
      <c r="V12" s="95" t="s">
        <v>990</v>
      </c>
      <c r="W12" s="95">
        <v>36</v>
      </c>
      <c r="X12" s="95" t="s">
        <v>413</v>
      </c>
      <c r="Y12" s="95">
        <v>35</v>
      </c>
      <c r="Z12" s="95" t="s">
        <v>413</v>
      </c>
      <c r="AA12" s="95">
        <v>1576</v>
      </c>
      <c r="AB12" s="95" t="s">
        <v>1063</v>
      </c>
      <c r="AC12" s="95">
        <v>1117</v>
      </c>
      <c r="AD12" s="173" t="s">
        <v>1063</v>
      </c>
      <c r="AE12" s="96">
        <v>66</v>
      </c>
      <c r="AF12" s="350">
        <v>53</v>
      </c>
    </row>
    <row r="13" spans="1:32" ht="11.85" customHeight="1" thickBot="1">
      <c r="A13" s="1826" t="s">
        <v>31</v>
      </c>
      <c r="B13" s="174" t="s">
        <v>32</v>
      </c>
      <c r="C13" s="99">
        <v>88</v>
      </c>
      <c r="D13" s="99" t="s">
        <v>477</v>
      </c>
      <c r="E13" s="99">
        <v>41</v>
      </c>
      <c r="F13" s="99" t="s">
        <v>416</v>
      </c>
      <c r="G13" s="99">
        <v>1</v>
      </c>
      <c r="H13" s="99" t="s">
        <v>1063</v>
      </c>
      <c r="I13" s="99">
        <v>1</v>
      </c>
      <c r="J13" s="99" t="s">
        <v>1063</v>
      </c>
      <c r="K13" s="99">
        <v>4</v>
      </c>
      <c r="L13" s="99" t="s">
        <v>1063</v>
      </c>
      <c r="M13" s="99">
        <v>4</v>
      </c>
      <c r="N13" s="99" t="s">
        <v>1063</v>
      </c>
      <c r="O13" s="100" t="s">
        <v>28</v>
      </c>
      <c r="P13" s="100" t="s">
        <v>1063</v>
      </c>
      <c r="Q13" s="99" t="s">
        <v>28</v>
      </c>
      <c r="R13" s="99" t="s">
        <v>1063</v>
      </c>
      <c r="S13" s="99">
        <v>3</v>
      </c>
      <c r="T13" s="99" t="s">
        <v>395</v>
      </c>
      <c r="U13" s="99">
        <v>3</v>
      </c>
      <c r="V13" s="99" t="s">
        <v>395</v>
      </c>
      <c r="W13" s="99" t="s">
        <v>28</v>
      </c>
      <c r="X13" s="99" t="s">
        <v>1063</v>
      </c>
      <c r="Y13" s="99" t="s">
        <v>28</v>
      </c>
      <c r="Z13" s="99" t="s">
        <v>1063</v>
      </c>
      <c r="AA13" s="99">
        <v>100</v>
      </c>
      <c r="AB13" s="99" t="s">
        <v>1063</v>
      </c>
      <c r="AC13" s="99">
        <v>67</v>
      </c>
      <c r="AD13" s="1827" t="s">
        <v>1063</v>
      </c>
      <c r="AE13" s="100">
        <v>7</v>
      </c>
      <c r="AF13" s="351">
        <v>7</v>
      </c>
    </row>
    <row r="14" spans="1:32" s="169" customFormat="1" ht="12.75" customHeight="1" thickBot="1">
      <c r="A14" s="1062" t="s">
        <v>33</v>
      </c>
      <c r="B14" s="1062"/>
      <c r="C14" s="1062"/>
      <c r="D14" s="1062"/>
      <c r="E14" s="1062"/>
      <c r="F14" s="1062"/>
      <c r="G14" s="1062"/>
      <c r="H14" s="1062"/>
      <c r="I14" s="1062"/>
      <c r="J14" s="1062"/>
      <c r="K14" s="1062"/>
      <c r="L14" s="1062"/>
      <c r="M14" s="1062"/>
      <c r="N14" s="1062"/>
      <c r="O14" s="1062" t="s">
        <v>34</v>
      </c>
      <c r="P14" s="1062"/>
      <c r="Q14" s="1062"/>
      <c r="R14" s="1062"/>
      <c r="S14" s="1062"/>
      <c r="T14" s="1062"/>
      <c r="U14" s="1062"/>
      <c r="V14" s="1062"/>
      <c r="W14" s="1062"/>
      <c r="X14" s="1062"/>
      <c r="Y14" s="1062"/>
      <c r="Z14" s="1062"/>
      <c r="AA14" s="1062"/>
      <c r="AB14" s="1062"/>
      <c r="AC14" s="1062"/>
      <c r="AD14" s="1062"/>
      <c r="AE14" s="1062"/>
      <c r="AF14" s="1062"/>
    </row>
    <row r="15" spans="1:32" ht="11.85" customHeight="1">
      <c r="A15" s="89" t="s">
        <v>35</v>
      </c>
      <c r="B15" s="170" t="s">
        <v>36</v>
      </c>
      <c r="C15" s="91">
        <v>430</v>
      </c>
      <c r="D15" s="352" t="s">
        <v>1161</v>
      </c>
      <c r="E15" s="91">
        <v>293</v>
      </c>
      <c r="F15" s="352" t="s">
        <v>1156</v>
      </c>
      <c r="G15" s="91">
        <v>28</v>
      </c>
      <c r="H15" s="352" t="s">
        <v>418</v>
      </c>
      <c r="I15" s="91">
        <v>19</v>
      </c>
      <c r="J15" s="91" t="s">
        <v>395</v>
      </c>
      <c r="K15" s="91">
        <v>17</v>
      </c>
      <c r="L15" s="353" t="s">
        <v>417</v>
      </c>
      <c r="M15" s="91">
        <v>15</v>
      </c>
      <c r="N15" s="353" t="s">
        <v>417</v>
      </c>
      <c r="O15" s="93">
        <v>4</v>
      </c>
      <c r="P15" s="91" t="s">
        <v>1063</v>
      </c>
      <c r="Q15" s="91">
        <v>4</v>
      </c>
      <c r="R15" s="91" t="s">
        <v>1063</v>
      </c>
      <c r="S15" s="91">
        <v>21</v>
      </c>
      <c r="T15" s="91" t="s">
        <v>418</v>
      </c>
      <c r="U15" s="91">
        <v>21</v>
      </c>
      <c r="V15" s="91" t="s">
        <v>418</v>
      </c>
      <c r="W15" s="91">
        <v>7</v>
      </c>
      <c r="X15" s="91" t="s">
        <v>395</v>
      </c>
      <c r="Y15" s="91">
        <v>7</v>
      </c>
      <c r="Z15" s="91" t="s">
        <v>395</v>
      </c>
      <c r="AA15" s="91">
        <v>344</v>
      </c>
      <c r="AB15" s="91" t="s">
        <v>1063</v>
      </c>
      <c r="AC15" s="91">
        <v>251</v>
      </c>
      <c r="AD15" s="91" t="s">
        <v>1063</v>
      </c>
      <c r="AE15" s="91">
        <v>26</v>
      </c>
      <c r="AF15" s="171">
        <v>21</v>
      </c>
    </row>
    <row r="16" spans="1:32" ht="11.85" customHeight="1">
      <c r="A16" s="94" t="s">
        <v>29</v>
      </c>
      <c r="B16" s="172" t="s">
        <v>30</v>
      </c>
      <c r="C16" s="95">
        <v>370</v>
      </c>
      <c r="D16" s="354" t="s">
        <v>1359</v>
      </c>
      <c r="E16" s="95">
        <v>265</v>
      </c>
      <c r="F16" s="354" t="s">
        <v>1394</v>
      </c>
      <c r="G16" s="95">
        <v>28</v>
      </c>
      <c r="H16" s="354" t="s">
        <v>418</v>
      </c>
      <c r="I16" s="95">
        <v>19</v>
      </c>
      <c r="J16" s="95" t="s">
        <v>395</v>
      </c>
      <c r="K16" s="95">
        <v>13</v>
      </c>
      <c r="L16" s="355" t="s">
        <v>417</v>
      </c>
      <c r="M16" s="95">
        <v>11</v>
      </c>
      <c r="N16" s="355" t="s">
        <v>417</v>
      </c>
      <c r="O16" s="96">
        <v>4</v>
      </c>
      <c r="P16" s="95" t="s">
        <v>1063</v>
      </c>
      <c r="Q16" s="95">
        <v>4</v>
      </c>
      <c r="R16" s="95" t="s">
        <v>1063</v>
      </c>
      <c r="S16" s="95">
        <v>20</v>
      </c>
      <c r="T16" s="95" t="s">
        <v>418</v>
      </c>
      <c r="U16" s="95">
        <v>20</v>
      </c>
      <c r="V16" s="95" t="s">
        <v>418</v>
      </c>
      <c r="W16" s="95">
        <v>7</v>
      </c>
      <c r="X16" s="95" t="s">
        <v>395</v>
      </c>
      <c r="Y16" s="95">
        <v>7</v>
      </c>
      <c r="Z16" s="95" t="s">
        <v>395</v>
      </c>
      <c r="AA16" s="95">
        <v>279</v>
      </c>
      <c r="AB16" s="95" t="s">
        <v>1063</v>
      </c>
      <c r="AC16" s="95">
        <v>209</v>
      </c>
      <c r="AD16" s="173" t="s">
        <v>1063</v>
      </c>
      <c r="AE16" s="96">
        <v>25</v>
      </c>
      <c r="AF16" s="173">
        <v>20</v>
      </c>
    </row>
    <row r="17" spans="1:32" ht="11.85" customHeight="1">
      <c r="A17" s="94" t="s">
        <v>31</v>
      </c>
      <c r="B17" s="172" t="s">
        <v>32</v>
      </c>
      <c r="C17" s="95">
        <v>60</v>
      </c>
      <c r="D17" s="354" t="s">
        <v>416</v>
      </c>
      <c r="E17" s="95">
        <v>28</v>
      </c>
      <c r="F17" s="354" t="s">
        <v>418</v>
      </c>
      <c r="G17" s="95" t="s">
        <v>28</v>
      </c>
      <c r="H17" s="354" t="s">
        <v>1129</v>
      </c>
      <c r="I17" s="95" t="s">
        <v>28</v>
      </c>
      <c r="J17" s="95" t="s">
        <v>1129</v>
      </c>
      <c r="K17" s="95">
        <v>4</v>
      </c>
      <c r="L17" s="355" t="s">
        <v>1129</v>
      </c>
      <c r="M17" s="95">
        <v>4</v>
      </c>
      <c r="N17" s="355" t="s">
        <v>1063</v>
      </c>
      <c r="O17" s="96" t="s">
        <v>28</v>
      </c>
      <c r="P17" s="95" t="s">
        <v>1063</v>
      </c>
      <c r="Q17" s="95" t="s">
        <v>28</v>
      </c>
      <c r="R17" s="95" t="s">
        <v>1129</v>
      </c>
      <c r="S17" s="95">
        <v>1</v>
      </c>
      <c r="T17" s="95" t="s">
        <v>1063</v>
      </c>
      <c r="U17" s="95">
        <v>1</v>
      </c>
      <c r="V17" s="95" t="s">
        <v>1063</v>
      </c>
      <c r="W17" s="95" t="s">
        <v>28</v>
      </c>
      <c r="X17" s="95" t="s">
        <v>1063</v>
      </c>
      <c r="Y17" s="95" t="s">
        <v>28</v>
      </c>
      <c r="Z17" s="95" t="s">
        <v>1063</v>
      </c>
      <c r="AA17" s="95">
        <v>65</v>
      </c>
      <c r="AB17" s="95" t="s">
        <v>1063</v>
      </c>
      <c r="AC17" s="95">
        <v>42</v>
      </c>
      <c r="AD17" s="173" t="s">
        <v>1063</v>
      </c>
      <c r="AE17" s="96">
        <v>1</v>
      </c>
      <c r="AF17" s="173">
        <v>1</v>
      </c>
    </row>
    <row r="18" spans="1:32" ht="11.85" customHeight="1">
      <c r="A18" s="89" t="s">
        <v>37</v>
      </c>
      <c r="B18" s="170" t="s">
        <v>38</v>
      </c>
      <c r="C18" s="91">
        <v>593</v>
      </c>
      <c r="D18" s="91" t="s">
        <v>1395</v>
      </c>
      <c r="E18" s="91">
        <v>494</v>
      </c>
      <c r="F18" s="91" t="s">
        <v>1162</v>
      </c>
      <c r="G18" s="91">
        <v>41</v>
      </c>
      <c r="H18" s="91" t="s">
        <v>413</v>
      </c>
      <c r="I18" s="91">
        <v>34</v>
      </c>
      <c r="J18" s="91" t="s">
        <v>418</v>
      </c>
      <c r="K18" s="91">
        <v>19</v>
      </c>
      <c r="L18" s="91" t="s">
        <v>416</v>
      </c>
      <c r="M18" s="91">
        <v>16</v>
      </c>
      <c r="N18" s="91" t="s">
        <v>416</v>
      </c>
      <c r="O18" s="92">
        <v>7</v>
      </c>
      <c r="P18" s="91" t="s">
        <v>395</v>
      </c>
      <c r="Q18" s="91">
        <v>7</v>
      </c>
      <c r="R18" s="91" t="s">
        <v>395</v>
      </c>
      <c r="S18" s="91">
        <v>32</v>
      </c>
      <c r="T18" s="91" t="s">
        <v>418</v>
      </c>
      <c r="U18" s="91">
        <v>32</v>
      </c>
      <c r="V18" s="91" t="s">
        <v>418</v>
      </c>
      <c r="W18" s="91">
        <v>5</v>
      </c>
      <c r="X18" s="91" t="s">
        <v>395</v>
      </c>
      <c r="Y18" s="91">
        <v>5</v>
      </c>
      <c r="Z18" s="91" t="s">
        <v>395</v>
      </c>
      <c r="AA18" s="91">
        <v>321</v>
      </c>
      <c r="AB18" s="91" t="s">
        <v>1063</v>
      </c>
      <c r="AC18" s="91">
        <v>223</v>
      </c>
      <c r="AD18" s="91" t="s">
        <v>1063</v>
      </c>
      <c r="AE18" s="91">
        <v>12</v>
      </c>
      <c r="AF18" s="171">
        <v>10</v>
      </c>
    </row>
    <row r="19" spans="1:32" ht="11.85" customHeight="1">
      <c r="A19" s="94" t="s">
        <v>29</v>
      </c>
      <c r="B19" s="172" t="s">
        <v>30</v>
      </c>
      <c r="C19" s="95">
        <v>593</v>
      </c>
      <c r="D19" s="95" t="s">
        <v>1395</v>
      </c>
      <c r="E19" s="95">
        <v>494</v>
      </c>
      <c r="F19" s="95" t="s">
        <v>1162</v>
      </c>
      <c r="G19" s="95">
        <v>41</v>
      </c>
      <c r="H19" s="95" t="s">
        <v>413</v>
      </c>
      <c r="I19" s="95">
        <v>34</v>
      </c>
      <c r="J19" s="95" t="s">
        <v>418</v>
      </c>
      <c r="K19" s="95">
        <v>19</v>
      </c>
      <c r="L19" s="95" t="s">
        <v>416</v>
      </c>
      <c r="M19" s="95">
        <v>16</v>
      </c>
      <c r="N19" s="95" t="s">
        <v>416</v>
      </c>
      <c r="O19" s="96">
        <v>7</v>
      </c>
      <c r="P19" s="95" t="s">
        <v>395</v>
      </c>
      <c r="Q19" s="95">
        <v>7</v>
      </c>
      <c r="R19" s="95" t="s">
        <v>395</v>
      </c>
      <c r="S19" s="95">
        <v>32</v>
      </c>
      <c r="T19" s="95" t="s">
        <v>418</v>
      </c>
      <c r="U19" s="95">
        <v>32</v>
      </c>
      <c r="V19" s="95" t="s">
        <v>418</v>
      </c>
      <c r="W19" s="95">
        <v>5</v>
      </c>
      <c r="X19" s="95" t="s">
        <v>395</v>
      </c>
      <c r="Y19" s="95">
        <v>5</v>
      </c>
      <c r="Z19" s="95" t="s">
        <v>395</v>
      </c>
      <c r="AA19" s="95">
        <v>321</v>
      </c>
      <c r="AB19" s="95" t="s">
        <v>1063</v>
      </c>
      <c r="AC19" s="95">
        <v>223</v>
      </c>
      <c r="AD19" s="173" t="s">
        <v>1063</v>
      </c>
      <c r="AE19" s="96">
        <v>12</v>
      </c>
      <c r="AF19" s="356">
        <v>10</v>
      </c>
    </row>
    <row r="20" spans="1:32" ht="11.85" customHeight="1">
      <c r="A20" s="94" t="s">
        <v>31</v>
      </c>
      <c r="B20" s="172" t="s">
        <v>32</v>
      </c>
      <c r="C20" s="95" t="s">
        <v>28</v>
      </c>
      <c r="D20" s="95" t="s">
        <v>1129</v>
      </c>
      <c r="E20" s="95" t="s">
        <v>28</v>
      </c>
      <c r="F20" s="95" t="s">
        <v>1129</v>
      </c>
      <c r="G20" s="95" t="s">
        <v>28</v>
      </c>
      <c r="H20" s="95" t="s">
        <v>1129</v>
      </c>
      <c r="I20" s="95" t="s">
        <v>28</v>
      </c>
      <c r="J20" s="95" t="s">
        <v>1129</v>
      </c>
      <c r="K20" s="95" t="s">
        <v>28</v>
      </c>
      <c r="L20" s="95" t="s">
        <v>1129</v>
      </c>
      <c r="M20" s="95" t="s">
        <v>28</v>
      </c>
      <c r="N20" s="95" t="s">
        <v>1063</v>
      </c>
      <c r="O20" s="96" t="s">
        <v>28</v>
      </c>
      <c r="P20" s="95" t="s">
        <v>1063</v>
      </c>
      <c r="Q20" s="95" t="s">
        <v>28</v>
      </c>
      <c r="R20" s="95" t="s">
        <v>1063</v>
      </c>
      <c r="S20" s="95" t="s">
        <v>28</v>
      </c>
      <c r="T20" s="95" t="s">
        <v>1063</v>
      </c>
      <c r="U20" s="95" t="s">
        <v>28</v>
      </c>
      <c r="V20" s="95" t="s">
        <v>1063</v>
      </c>
      <c r="W20" s="95" t="s">
        <v>28</v>
      </c>
      <c r="X20" s="95" t="s">
        <v>1063</v>
      </c>
      <c r="Y20" s="95" t="s">
        <v>28</v>
      </c>
      <c r="Z20" s="95" t="s">
        <v>1063</v>
      </c>
      <c r="AA20" s="95" t="s">
        <v>28</v>
      </c>
      <c r="AB20" s="95" t="s">
        <v>1063</v>
      </c>
      <c r="AC20" s="95" t="s">
        <v>28</v>
      </c>
      <c r="AD20" s="173" t="s">
        <v>1063</v>
      </c>
      <c r="AE20" s="96" t="s">
        <v>28</v>
      </c>
      <c r="AF20" s="356" t="s">
        <v>28</v>
      </c>
    </row>
    <row r="21" spans="1:32" ht="11.85" customHeight="1">
      <c r="A21" s="89" t="s">
        <v>39</v>
      </c>
      <c r="B21" s="170" t="s">
        <v>40</v>
      </c>
      <c r="C21" s="91">
        <v>812</v>
      </c>
      <c r="D21" s="353" t="s">
        <v>1396</v>
      </c>
      <c r="E21" s="91">
        <v>660</v>
      </c>
      <c r="F21" s="353" t="s">
        <v>1164</v>
      </c>
      <c r="G21" s="91">
        <v>45</v>
      </c>
      <c r="H21" s="353" t="s">
        <v>990</v>
      </c>
      <c r="I21" s="91">
        <v>35</v>
      </c>
      <c r="J21" s="353" t="s">
        <v>476</v>
      </c>
      <c r="K21" s="91">
        <v>26</v>
      </c>
      <c r="L21" s="353" t="s">
        <v>416</v>
      </c>
      <c r="M21" s="91">
        <v>24</v>
      </c>
      <c r="N21" s="353" t="s">
        <v>416</v>
      </c>
      <c r="O21" s="92">
        <v>8</v>
      </c>
      <c r="P21" s="91" t="s">
        <v>417</v>
      </c>
      <c r="Q21" s="91">
        <v>8</v>
      </c>
      <c r="R21" s="91" t="s">
        <v>417</v>
      </c>
      <c r="S21" s="91">
        <v>35</v>
      </c>
      <c r="T21" s="91" t="s">
        <v>413</v>
      </c>
      <c r="U21" s="91">
        <v>35</v>
      </c>
      <c r="V21" s="91" t="s">
        <v>413</v>
      </c>
      <c r="W21" s="171">
        <v>12</v>
      </c>
      <c r="X21" s="1828" t="s">
        <v>395</v>
      </c>
      <c r="Y21" s="1829">
        <v>12</v>
      </c>
      <c r="Z21" s="1828" t="s">
        <v>395</v>
      </c>
      <c r="AA21" s="91">
        <v>562</v>
      </c>
      <c r="AB21" s="91" t="s">
        <v>1063</v>
      </c>
      <c r="AC21" s="91">
        <v>400</v>
      </c>
      <c r="AD21" s="91" t="s">
        <v>1063</v>
      </c>
      <c r="AE21" s="91">
        <v>19</v>
      </c>
      <c r="AF21" s="171">
        <v>15</v>
      </c>
    </row>
    <row r="22" spans="1:32" ht="11.85" customHeight="1">
      <c r="A22" s="94" t="s">
        <v>29</v>
      </c>
      <c r="B22" s="172" t="s">
        <v>30</v>
      </c>
      <c r="C22" s="95">
        <v>792</v>
      </c>
      <c r="D22" s="355" t="s">
        <v>1155</v>
      </c>
      <c r="E22" s="95">
        <v>649</v>
      </c>
      <c r="F22" s="357" t="s">
        <v>1397</v>
      </c>
      <c r="G22" s="95">
        <v>44</v>
      </c>
      <c r="H22" s="355" t="s">
        <v>990</v>
      </c>
      <c r="I22" s="95">
        <v>34</v>
      </c>
      <c r="J22" s="355" t="s">
        <v>476</v>
      </c>
      <c r="K22" s="95">
        <v>26</v>
      </c>
      <c r="L22" s="355" t="s">
        <v>416</v>
      </c>
      <c r="M22" s="95">
        <v>24</v>
      </c>
      <c r="N22" s="355" t="s">
        <v>416</v>
      </c>
      <c r="O22" s="96">
        <v>8</v>
      </c>
      <c r="P22" s="95" t="s">
        <v>417</v>
      </c>
      <c r="Q22" s="95">
        <v>8</v>
      </c>
      <c r="R22" s="95" t="s">
        <v>417</v>
      </c>
      <c r="S22" s="95">
        <v>33</v>
      </c>
      <c r="T22" s="95" t="s">
        <v>418</v>
      </c>
      <c r="U22" s="95">
        <v>33</v>
      </c>
      <c r="V22" s="95" t="s">
        <v>418</v>
      </c>
      <c r="W22" s="95">
        <v>12</v>
      </c>
      <c r="X22" s="355" t="s">
        <v>395</v>
      </c>
      <c r="Y22" s="95">
        <v>12</v>
      </c>
      <c r="Z22" s="355" t="s">
        <v>395</v>
      </c>
      <c r="AA22" s="95">
        <v>537</v>
      </c>
      <c r="AB22" s="95" t="s">
        <v>1063</v>
      </c>
      <c r="AC22" s="95">
        <v>381</v>
      </c>
      <c r="AD22" s="173" t="s">
        <v>1063</v>
      </c>
      <c r="AE22" s="96">
        <v>13</v>
      </c>
      <c r="AF22" s="173">
        <v>9</v>
      </c>
    </row>
    <row r="23" spans="1:32" ht="11.85" customHeight="1">
      <c r="A23" s="94" t="s">
        <v>31</v>
      </c>
      <c r="B23" s="172" t="s">
        <v>32</v>
      </c>
      <c r="C23" s="95">
        <v>20</v>
      </c>
      <c r="D23" s="355" t="s">
        <v>418</v>
      </c>
      <c r="E23" s="95">
        <v>11</v>
      </c>
      <c r="F23" s="355" t="s">
        <v>417</v>
      </c>
      <c r="G23" s="95">
        <v>1</v>
      </c>
      <c r="H23" s="355" t="s">
        <v>1129</v>
      </c>
      <c r="I23" s="95">
        <v>1</v>
      </c>
      <c r="J23" s="355" t="s">
        <v>1129</v>
      </c>
      <c r="K23" s="95" t="s">
        <v>28</v>
      </c>
      <c r="L23" s="355" t="s">
        <v>1129</v>
      </c>
      <c r="M23" s="95" t="s">
        <v>28</v>
      </c>
      <c r="N23" s="355" t="s">
        <v>1063</v>
      </c>
      <c r="O23" s="96" t="s">
        <v>28</v>
      </c>
      <c r="P23" s="95" t="s">
        <v>1063</v>
      </c>
      <c r="Q23" s="95" t="s">
        <v>28</v>
      </c>
      <c r="R23" s="95" t="s">
        <v>1063</v>
      </c>
      <c r="S23" s="95">
        <v>2</v>
      </c>
      <c r="T23" s="95" t="s">
        <v>395</v>
      </c>
      <c r="U23" s="95">
        <v>2</v>
      </c>
      <c r="V23" s="95" t="s">
        <v>395</v>
      </c>
      <c r="W23" s="95" t="s">
        <v>28</v>
      </c>
      <c r="X23" s="355" t="s">
        <v>1063</v>
      </c>
      <c r="Y23" s="95" t="s">
        <v>28</v>
      </c>
      <c r="Z23" s="355" t="s">
        <v>1063</v>
      </c>
      <c r="AA23" s="95">
        <v>25</v>
      </c>
      <c r="AB23" s="95" t="s">
        <v>1063</v>
      </c>
      <c r="AC23" s="95">
        <v>19</v>
      </c>
      <c r="AD23" s="173" t="s">
        <v>1063</v>
      </c>
      <c r="AE23" s="96">
        <v>6</v>
      </c>
      <c r="AF23" s="356">
        <v>6</v>
      </c>
    </row>
    <row r="24" spans="1:32" ht="11.85" customHeight="1">
      <c r="A24" s="89" t="s">
        <v>41</v>
      </c>
      <c r="B24" s="170" t="s">
        <v>42</v>
      </c>
      <c r="C24" s="91">
        <v>546</v>
      </c>
      <c r="D24" s="91" t="s">
        <v>1163</v>
      </c>
      <c r="E24" s="91">
        <v>385</v>
      </c>
      <c r="F24" s="91" t="s">
        <v>1157</v>
      </c>
      <c r="G24" s="91">
        <v>29</v>
      </c>
      <c r="H24" s="91" t="s">
        <v>418</v>
      </c>
      <c r="I24" s="91">
        <v>22</v>
      </c>
      <c r="J24" s="91" t="s">
        <v>417</v>
      </c>
      <c r="K24" s="91">
        <v>14</v>
      </c>
      <c r="L24" s="91" t="s">
        <v>395</v>
      </c>
      <c r="M24" s="91">
        <v>13</v>
      </c>
      <c r="N24" s="91" t="s">
        <v>395</v>
      </c>
      <c r="O24" s="92">
        <v>7</v>
      </c>
      <c r="P24" s="91" t="s">
        <v>1063</v>
      </c>
      <c r="Q24" s="91">
        <v>6</v>
      </c>
      <c r="R24" s="91" t="s">
        <v>1063</v>
      </c>
      <c r="S24" s="91">
        <v>25</v>
      </c>
      <c r="T24" s="91" t="s">
        <v>419</v>
      </c>
      <c r="U24" s="91">
        <v>25</v>
      </c>
      <c r="V24" s="91" t="s">
        <v>419</v>
      </c>
      <c r="W24" s="91">
        <v>9</v>
      </c>
      <c r="X24" s="91" t="s">
        <v>1063</v>
      </c>
      <c r="Y24" s="91">
        <v>8</v>
      </c>
      <c r="Z24" s="91" t="s">
        <v>1063</v>
      </c>
      <c r="AA24" s="91">
        <v>422</v>
      </c>
      <c r="AB24" s="91" t="s">
        <v>1063</v>
      </c>
      <c r="AC24" s="91">
        <v>295</v>
      </c>
      <c r="AD24" s="91" t="s">
        <v>1063</v>
      </c>
      <c r="AE24" s="91">
        <v>16</v>
      </c>
      <c r="AF24" s="171">
        <v>14</v>
      </c>
    </row>
    <row r="25" spans="1:32" ht="11.85" customHeight="1">
      <c r="A25" s="94" t="s">
        <v>29</v>
      </c>
      <c r="B25" s="172" t="s">
        <v>30</v>
      </c>
      <c r="C25" s="95">
        <v>546</v>
      </c>
      <c r="D25" s="95" t="s">
        <v>1163</v>
      </c>
      <c r="E25" s="95">
        <v>385</v>
      </c>
      <c r="F25" s="95" t="s">
        <v>1157</v>
      </c>
      <c r="G25" s="95">
        <v>29</v>
      </c>
      <c r="H25" s="95" t="s">
        <v>418</v>
      </c>
      <c r="I25" s="95">
        <v>22</v>
      </c>
      <c r="J25" s="95" t="s">
        <v>417</v>
      </c>
      <c r="K25" s="95">
        <v>14</v>
      </c>
      <c r="L25" s="95" t="s">
        <v>395</v>
      </c>
      <c r="M25" s="95">
        <v>13</v>
      </c>
      <c r="N25" s="95" t="s">
        <v>395</v>
      </c>
      <c r="O25" s="96">
        <v>7</v>
      </c>
      <c r="P25" s="95" t="s">
        <v>1063</v>
      </c>
      <c r="Q25" s="95">
        <v>6</v>
      </c>
      <c r="R25" s="95" t="s">
        <v>1063</v>
      </c>
      <c r="S25" s="95">
        <v>25</v>
      </c>
      <c r="T25" s="95" t="s">
        <v>419</v>
      </c>
      <c r="U25" s="95">
        <v>25</v>
      </c>
      <c r="V25" s="95" t="s">
        <v>419</v>
      </c>
      <c r="W25" s="95">
        <v>9</v>
      </c>
      <c r="X25" s="95" t="s">
        <v>1063</v>
      </c>
      <c r="Y25" s="95">
        <v>8</v>
      </c>
      <c r="Z25" s="95" t="s">
        <v>1063</v>
      </c>
      <c r="AA25" s="95">
        <v>422</v>
      </c>
      <c r="AB25" s="95" t="s">
        <v>1063</v>
      </c>
      <c r="AC25" s="95">
        <v>295</v>
      </c>
      <c r="AD25" s="173" t="s">
        <v>1063</v>
      </c>
      <c r="AE25" s="96">
        <v>16</v>
      </c>
      <c r="AF25" s="173">
        <v>14</v>
      </c>
    </row>
    <row r="26" spans="1:32" ht="11.85" customHeight="1">
      <c r="A26" s="94" t="s">
        <v>31</v>
      </c>
      <c r="B26" s="172" t="s">
        <v>32</v>
      </c>
      <c r="C26" s="95" t="s">
        <v>28</v>
      </c>
      <c r="D26" s="95" t="s">
        <v>1129</v>
      </c>
      <c r="E26" s="95" t="s">
        <v>28</v>
      </c>
      <c r="F26" s="95" t="s">
        <v>1129</v>
      </c>
      <c r="G26" s="95" t="s">
        <v>28</v>
      </c>
      <c r="H26" s="95" t="s">
        <v>1129</v>
      </c>
      <c r="I26" s="95" t="s">
        <v>28</v>
      </c>
      <c r="J26" s="95" t="s">
        <v>1129</v>
      </c>
      <c r="K26" s="95" t="s">
        <v>28</v>
      </c>
      <c r="L26" s="95" t="s">
        <v>1063</v>
      </c>
      <c r="M26" s="95" t="s">
        <v>28</v>
      </c>
      <c r="N26" s="95" t="s">
        <v>1063</v>
      </c>
      <c r="O26" s="96" t="s">
        <v>28</v>
      </c>
      <c r="P26" s="95" t="s">
        <v>1063</v>
      </c>
      <c r="Q26" s="95" t="s">
        <v>28</v>
      </c>
      <c r="R26" s="95" t="s">
        <v>1063</v>
      </c>
      <c r="S26" s="95" t="s">
        <v>28</v>
      </c>
      <c r="T26" s="95" t="s">
        <v>1063</v>
      </c>
      <c r="U26" s="95" t="s">
        <v>28</v>
      </c>
      <c r="V26" s="95" t="s">
        <v>1063</v>
      </c>
      <c r="W26" s="95" t="s">
        <v>28</v>
      </c>
      <c r="X26" s="95" t="s">
        <v>1063</v>
      </c>
      <c r="Y26" s="95" t="s">
        <v>28</v>
      </c>
      <c r="Z26" s="95" t="s">
        <v>1063</v>
      </c>
      <c r="AA26" s="95" t="s">
        <v>28</v>
      </c>
      <c r="AB26" s="95" t="s">
        <v>1063</v>
      </c>
      <c r="AC26" s="95" t="s">
        <v>28</v>
      </c>
      <c r="AD26" s="173" t="s">
        <v>1063</v>
      </c>
      <c r="AE26" s="96" t="s">
        <v>28</v>
      </c>
      <c r="AF26" s="356" t="s">
        <v>28</v>
      </c>
    </row>
    <row r="27" spans="1:32" ht="11.85" customHeight="1">
      <c r="A27" s="89" t="s">
        <v>43</v>
      </c>
      <c r="B27" s="170" t="s">
        <v>44</v>
      </c>
      <c r="C27" s="91">
        <v>71</v>
      </c>
      <c r="D27" s="91" t="s">
        <v>413</v>
      </c>
      <c r="E27" s="91">
        <v>37</v>
      </c>
      <c r="F27" s="91" t="s">
        <v>417</v>
      </c>
      <c r="G27" s="91">
        <v>8</v>
      </c>
      <c r="H27" s="91" t="s">
        <v>1129</v>
      </c>
      <c r="I27" s="91">
        <v>5</v>
      </c>
      <c r="J27" s="91" t="s">
        <v>1129</v>
      </c>
      <c r="K27" s="91">
        <v>3</v>
      </c>
      <c r="L27" s="91" t="s">
        <v>1063</v>
      </c>
      <c r="M27" s="91">
        <v>2</v>
      </c>
      <c r="N27" s="91" t="s">
        <v>1063</v>
      </c>
      <c r="O27" s="92">
        <v>2</v>
      </c>
      <c r="P27" s="91" t="s">
        <v>1063</v>
      </c>
      <c r="Q27" s="91">
        <v>2</v>
      </c>
      <c r="R27" s="91" t="s">
        <v>1063</v>
      </c>
      <c r="S27" s="91">
        <v>2</v>
      </c>
      <c r="T27" s="91" t="s">
        <v>1063</v>
      </c>
      <c r="U27" s="91">
        <v>2</v>
      </c>
      <c r="V27" s="1830" t="s">
        <v>1063</v>
      </c>
      <c r="W27" s="91">
        <v>3</v>
      </c>
      <c r="X27" s="91" t="s">
        <v>395</v>
      </c>
      <c r="Y27" s="91">
        <v>3</v>
      </c>
      <c r="Z27" s="92" t="s">
        <v>395</v>
      </c>
      <c r="AA27" s="91">
        <v>27</v>
      </c>
      <c r="AB27" s="91" t="s">
        <v>1063</v>
      </c>
      <c r="AC27" s="91">
        <v>15</v>
      </c>
      <c r="AD27" s="91" t="s">
        <v>1063</v>
      </c>
      <c r="AE27" s="91" t="s">
        <v>28</v>
      </c>
      <c r="AF27" s="171" t="s">
        <v>28</v>
      </c>
    </row>
    <row r="28" spans="1:32" ht="11.85" customHeight="1">
      <c r="A28" s="94" t="s">
        <v>29</v>
      </c>
      <c r="B28" s="172" t="s">
        <v>30</v>
      </c>
      <c r="C28" s="95">
        <v>63</v>
      </c>
      <c r="D28" s="95" t="s">
        <v>418</v>
      </c>
      <c r="E28" s="95">
        <v>35</v>
      </c>
      <c r="F28" s="95" t="s">
        <v>417</v>
      </c>
      <c r="G28" s="95">
        <v>8</v>
      </c>
      <c r="H28" s="95" t="s">
        <v>1129</v>
      </c>
      <c r="I28" s="95">
        <v>5</v>
      </c>
      <c r="J28" s="95" t="s">
        <v>1129</v>
      </c>
      <c r="K28" s="95">
        <v>3</v>
      </c>
      <c r="L28" s="95" t="s">
        <v>1063</v>
      </c>
      <c r="M28" s="95">
        <v>2</v>
      </c>
      <c r="N28" s="95" t="s">
        <v>1063</v>
      </c>
      <c r="O28" s="96">
        <v>2</v>
      </c>
      <c r="P28" s="95" t="s">
        <v>1063</v>
      </c>
      <c r="Q28" s="95">
        <v>2</v>
      </c>
      <c r="R28" s="95" t="s">
        <v>1063</v>
      </c>
      <c r="S28" s="95">
        <v>2</v>
      </c>
      <c r="T28" s="95" t="s">
        <v>1063</v>
      </c>
      <c r="U28" s="95">
        <v>2</v>
      </c>
      <c r="V28" s="1831" t="s">
        <v>1063</v>
      </c>
      <c r="W28" s="95">
        <v>3</v>
      </c>
      <c r="X28" s="95" t="s">
        <v>395</v>
      </c>
      <c r="Y28" s="95">
        <v>3</v>
      </c>
      <c r="Z28" s="95" t="s">
        <v>395</v>
      </c>
      <c r="AA28" s="95">
        <v>17</v>
      </c>
      <c r="AB28" s="95" t="s">
        <v>1063</v>
      </c>
      <c r="AC28" s="95">
        <v>9</v>
      </c>
      <c r="AD28" s="173" t="s">
        <v>1063</v>
      </c>
      <c r="AE28" s="96" t="s">
        <v>28</v>
      </c>
      <c r="AF28" s="173" t="s">
        <v>28</v>
      </c>
    </row>
    <row r="29" spans="1:32" ht="11.85" customHeight="1" thickBot="1">
      <c r="A29" s="1826" t="s">
        <v>31</v>
      </c>
      <c r="B29" s="174" t="s">
        <v>32</v>
      </c>
      <c r="C29" s="99">
        <v>8</v>
      </c>
      <c r="D29" s="99" t="s">
        <v>395</v>
      </c>
      <c r="E29" s="99">
        <v>2</v>
      </c>
      <c r="F29" s="99" t="s">
        <v>1129</v>
      </c>
      <c r="G29" s="99" t="s">
        <v>28</v>
      </c>
      <c r="H29" s="99" t="s">
        <v>1129</v>
      </c>
      <c r="I29" s="99" t="s">
        <v>28</v>
      </c>
      <c r="J29" s="99" t="s">
        <v>1129</v>
      </c>
      <c r="K29" s="99" t="s">
        <v>28</v>
      </c>
      <c r="L29" s="99" t="s">
        <v>1063</v>
      </c>
      <c r="M29" s="99" t="s">
        <v>28</v>
      </c>
      <c r="N29" s="99" t="s">
        <v>1063</v>
      </c>
      <c r="O29" s="100" t="s">
        <v>28</v>
      </c>
      <c r="P29" s="99" t="s">
        <v>1063</v>
      </c>
      <c r="Q29" s="99" t="s">
        <v>28</v>
      </c>
      <c r="R29" s="99" t="s">
        <v>1063</v>
      </c>
      <c r="S29" s="99" t="s">
        <v>28</v>
      </c>
      <c r="T29" s="99" t="s">
        <v>1063</v>
      </c>
      <c r="U29" s="99" t="s">
        <v>28</v>
      </c>
      <c r="V29" s="1832" t="s">
        <v>1063</v>
      </c>
      <c r="W29" s="99" t="s">
        <v>28</v>
      </c>
      <c r="X29" s="99" t="s">
        <v>1063</v>
      </c>
      <c r="Y29" s="99" t="s">
        <v>28</v>
      </c>
      <c r="Z29" s="99" t="s">
        <v>1063</v>
      </c>
      <c r="AA29" s="99">
        <v>10</v>
      </c>
      <c r="AB29" s="99" t="s">
        <v>1063</v>
      </c>
      <c r="AC29" s="99">
        <v>6</v>
      </c>
      <c r="AD29" s="1827" t="s">
        <v>1063</v>
      </c>
      <c r="AE29" s="100" t="s">
        <v>28</v>
      </c>
      <c r="AF29" s="1827" t="s">
        <v>28</v>
      </c>
    </row>
    <row r="30" spans="1:32" s="169" customFormat="1" ht="12.75" customHeight="1" thickBot="1">
      <c r="A30" s="1063" t="s">
        <v>45</v>
      </c>
      <c r="B30" s="1063"/>
      <c r="C30" s="1063"/>
      <c r="D30" s="1063"/>
      <c r="E30" s="1063"/>
      <c r="F30" s="1063"/>
      <c r="G30" s="1063"/>
      <c r="H30" s="1063"/>
      <c r="I30" s="1063"/>
      <c r="J30" s="1063"/>
      <c r="K30" s="1063"/>
      <c r="L30" s="1063"/>
      <c r="M30" s="1063"/>
      <c r="N30" s="1063"/>
      <c r="O30" s="1063" t="s">
        <v>46</v>
      </c>
      <c r="P30" s="1063"/>
      <c r="Q30" s="1063"/>
      <c r="R30" s="1063"/>
      <c r="S30" s="1063"/>
      <c r="T30" s="1063"/>
      <c r="U30" s="1063"/>
      <c r="V30" s="1063"/>
      <c r="W30" s="1063"/>
      <c r="X30" s="1063"/>
      <c r="Y30" s="1063"/>
      <c r="Z30" s="1063"/>
      <c r="AA30" s="1063"/>
      <c r="AB30" s="1063"/>
      <c r="AC30" s="1063"/>
      <c r="AD30" s="1063"/>
      <c r="AE30" s="1063"/>
      <c r="AF30" s="1063"/>
    </row>
    <row r="31" spans="1:32" ht="11.85" customHeight="1">
      <c r="A31" s="89" t="s">
        <v>47</v>
      </c>
      <c r="B31" s="170" t="s">
        <v>48</v>
      </c>
      <c r="C31" s="91">
        <v>153</v>
      </c>
      <c r="D31" s="91" t="s">
        <v>477</v>
      </c>
      <c r="E31" s="91">
        <v>108</v>
      </c>
      <c r="F31" s="91" t="s">
        <v>414</v>
      </c>
      <c r="G31" s="91">
        <v>10</v>
      </c>
      <c r="H31" s="91" t="s">
        <v>417</v>
      </c>
      <c r="I31" s="91">
        <v>7</v>
      </c>
      <c r="J31" s="91" t="s">
        <v>1063</v>
      </c>
      <c r="K31" s="91">
        <v>6</v>
      </c>
      <c r="L31" s="91" t="s">
        <v>1063</v>
      </c>
      <c r="M31" s="91">
        <v>6</v>
      </c>
      <c r="N31" s="91" t="s">
        <v>1063</v>
      </c>
      <c r="O31" s="93">
        <v>2</v>
      </c>
      <c r="P31" s="91" t="s">
        <v>1063</v>
      </c>
      <c r="Q31" s="91">
        <v>2</v>
      </c>
      <c r="R31" s="91" t="s">
        <v>1063</v>
      </c>
      <c r="S31" s="91">
        <v>7</v>
      </c>
      <c r="T31" s="91" t="s">
        <v>417</v>
      </c>
      <c r="U31" s="91">
        <v>7</v>
      </c>
      <c r="V31" s="91" t="s">
        <v>417</v>
      </c>
      <c r="W31" s="91">
        <v>3</v>
      </c>
      <c r="X31" s="91" t="s">
        <v>395</v>
      </c>
      <c r="Y31" s="91">
        <v>3</v>
      </c>
      <c r="Z31" s="91" t="s">
        <v>395</v>
      </c>
      <c r="AA31" s="91">
        <v>132</v>
      </c>
      <c r="AB31" s="91" t="s">
        <v>1063</v>
      </c>
      <c r="AC31" s="91">
        <v>97</v>
      </c>
      <c r="AD31" s="171" t="s">
        <v>1063</v>
      </c>
      <c r="AE31" s="93">
        <v>2</v>
      </c>
      <c r="AF31" s="1833">
        <v>2</v>
      </c>
    </row>
    <row r="32" spans="1:32" ht="11.85" customHeight="1">
      <c r="A32" s="94" t="s">
        <v>29</v>
      </c>
      <c r="B32" s="172" t="s">
        <v>30</v>
      </c>
      <c r="C32" s="95">
        <v>132</v>
      </c>
      <c r="D32" s="95" t="s">
        <v>414</v>
      </c>
      <c r="E32" s="95">
        <v>96</v>
      </c>
      <c r="F32" s="95" t="s">
        <v>415</v>
      </c>
      <c r="G32" s="95">
        <v>10</v>
      </c>
      <c r="H32" s="95" t="s">
        <v>417</v>
      </c>
      <c r="I32" s="95">
        <v>7</v>
      </c>
      <c r="J32" s="95" t="s">
        <v>1129</v>
      </c>
      <c r="K32" s="95">
        <v>4</v>
      </c>
      <c r="L32" s="95" t="s">
        <v>1063</v>
      </c>
      <c r="M32" s="95">
        <v>4</v>
      </c>
      <c r="N32" s="95" t="s">
        <v>1063</v>
      </c>
      <c r="O32" s="96">
        <v>2</v>
      </c>
      <c r="P32" s="95" t="s">
        <v>1063</v>
      </c>
      <c r="Q32" s="95">
        <v>2</v>
      </c>
      <c r="R32" s="95" t="s">
        <v>1063</v>
      </c>
      <c r="S32" s="95">
        <v>7</v>
      </c>
      <c r="T32" s="95" t="s">
        <v>417</v>
      </c>
      <c r="U32" s="95">
        <v>7</v>
      </c>
      <c r="V32" s="95" t="s">
        <v>417</v>
      </c>
      <c r="W32" s="95">
        <v>3</v>
      </c>
      <c r="X32" s="95" t="s">
        <v>395</v>
      </c>
      <c r="Y32" s="95">
        <v>3</v>
      </c>
      <c r="Z32" s="95" t="s">
        <v>395</v>
      </c>
      <c r="AA32" s="95">
        <v>104</v>
      </c>
      <c r="AB32" s="95" t="s">
        <v>1063</v>
      </c>
      <c r="AC32" s="95">
        <v>77</v>
      </c>
      <c r="AD32" s="173" t="s">
        <v>1063</v>
      </c>
      <c r="AE32" s="96">
        <v>1</v>
      </c>
      <c r="AF32" s="173">
        <v>1</v>
      </c>
    </row>
    <row r="33" spans="1:32" ht="11.85" customHeight="1">
      <c r="A33" s="94" t="s">
        <v>31</v>
      </c>
      <c r="B33" s="172" t="s">
        <v>32</v>
      </c>
      <c r="C33" s="95">
        <v>21</v>
      </c>
      <c r="D33" s="95" t="s">
        <v>395</v>
      </c>
      <c r="E33" s="95">
        <v>12</v>
      </c>
      <c r="F33" s="95" t="s">
        <v>395</v>
      </c>
      <c r="G33" s="95" t="s">
        <v>28</v>
      </c>
      <c r="H33" s="95" t="s">
        <v>1063</v>
      </c>
      <c r="I33" s="95" t="s">
        <v>28</v>
      </c>
      <c r="J33" s="95" t="s">
        <v>1063</v>
      </c>
      <c r="K33" s="95">
        <v>2</v>
      </c>
      <c r="L33" s="95" t="s">
        <v>1063</v>
      </c>
      <c r="M33" s="95">
        <v>2</v>
      </c>
      <c r="N33" s="95" t="s">
        <v>1063</v>
      </c>
      <c r="O33" s="96" t="s">
        <v>28</v>
      </c>
      <c r="P33" s="95" t="s">
        <v>1063</v>
      </c>
      <c r="Q33" s="95" t="s">
        <v>28</v>
      </c>
      <c r="R33" s="95" t="s">
        <v>1063</v>
      </c>
      <c r="S33" s="95" t="s">
        <v>28</v>
      </c>
      <c r="T33" s="95" t="s">
        <v>1063</v>
      </c>
      <c r="U33" s="95" t="s">
        <v>28</v>
      </c>
      <c r="V33" s="95" t="s">
        <v>1063</v>
      </c>
      <c r="W33" s="95" t="s">
        <v>28</v>
      </c>
      <c r="X33" s="95" t="s">
        <v>1063</v>
      </c>
      <c r="Y33" s="95" t="s">
        <v>28</v>
      </c>
      <c r="Z33" s="95" t="s">
        <v>1063</v>
      </c>
      <c r="AA33" s="95">
        <v>28</v>
      </c>
      <c r="AB33" s="95" t="s">
        <v>1063</v>
      </c>
      <c r="AC33" s="95">
        <v>20</v>
      </c>
      <c r="AD33" s="173" t="s">
        <v>1063</v>
      </c>
      <c r="AE33" s="96">
        <v>1</v>
      </c>
      <c r="AF33" s="173">
        <v>1</v>
      </c>
    </row>
    <row r="34" spans="1:32" ht="11.85" customHeight="1">
      <c r="A34" s="89" t="s">
        <v>49</v>
      </c>
      <c r="B34" s="170" t="s">
        <v>50</v>
      </c>
      <c r="C34" s="91">
        <v>33</v>
      </c>
      <c r="D34" s="91" t="s">
        <v>417</v>
      </c>
      <c r="E34" s="91">
        <v>17</v>
      </c>
      <c r="F34" s="91" t="s">
        <v>395</v>
      </c>
      <c r="G34" s="91">
        <v>2</v>
      </c>
      <c r="H34" s="91" t="s">
        <v>1063</v>
      </c>
      <c r="I34" s="91">
        <v>1</v>
      </c>
      <c r="J34" s="91" t="s">
        <v>1063</v>
      </c>
      <c r="K34" s="91">
        <v>2</v>
      </c>
      <c r="L34" s="91" t="s">
        <v>1063</v>
      </c>
      <c r="M34" s="91">
        <v>1</v>
      </c>
      <c r="N34" s="91" t="s">
        <v>1063</v>
      </c>
      <c r="O34" s="92" t="s">
        <v>28</v>
      </c>
      <c r="P34" s="91" t="s">
        <v>1063</v>
      </c>
      <c r="Q34" s="91" t="s">
        <v>28</v>
      </c>
      <c r="R34" s="91" t="s">
        <v>1063</v>
      </c>
      <c r="S34" s="91">
        <v>2</v>
      </c>
      <c r="T34" s="91" t="s">
        <v>1063</v>
      </c>
      <c r="U34" s="91">
        <v>2</v>
      </c>
      <c r="V34" s="91" t="s">
        <v>1063</v>
      </c>
      <c r="W34" s="91" t="s">
        <v>28</v>
      </c>
      <c r="X34" s="91" t="s">
        <v>1063</v>
      </c>
      <c r="Y34" s="91" t="s">
        <v>28</v>
      </c>
      <c r="Z34" s="91" t="s">
        <v>1063</v>
      </c>
      <c r="AA34" s="91">
        <v>31</v>
      </c>
      <c r="AB34" s="91" t="s">
        <v>1063</v>
      </c>
      <c r="AC34" s="91">
        <v>20</v>
      </c>
      <c r="AD34" s="171" t="s">
        <v>1063</v>
      </c>
      <c r="AE34" s="92">
        <v>4</v>
      </c>
      <c r="AF34" s="171">
        <v>4</v>
      </c>
    </row>
    <row r="35" spans="1:32" ht="11.85" customHeight="1">
      <c r="A35" s="94" t="s">
        <v>29</v>
      </c>
      <c r="B35" s="172" t="s">
        <v>30</v>
      </c>
      <c r="C35" s="95">
        <v>10</v>
      </c>
      <c r="D35" s="95" t="s">
        <v>1063</v>
      </c>
      <c r="E35" s="95">
        <v>9</v>
      </c>
      <c r="F35" s="95" t="s">
        <v>1063</v>
      </c>
      <c r="G35" s="95">
        <v>2</v>
      </c>
      <c r="H35" s="95" t="s">
        <v>1063</v>
      </c>
      <c r="I35" s="95">
        <v>1</v>
      </c>
      <c r="J35" s="95" t="s">
        <v>1063</v>
      </c>
      <c r="K35" s="95">
        <v>1</v>
      </c>
      <c r="L35" s="95" t="s">
        <v>1063</v>
      </c>
      <c r="M35" s="95" t="s">
        <v>28</v>
      </c>
      <c r="N35" s="95" t="s">
        <v>1063</v>
      </c>
      <c r="O35" s="96" t="s">
        <v>28</v>
      </c>
      <c r="P35" s="95" t="s">
        <v>1063</v>
      </c>
      <c r="Q35" s="95" t="s">
        <v>28</v>
      </c>
      <c r="R35" s="95" t="s">
        <v>1063</v>
      </c>
      <c r="S35" s="95">
        <v>1</v>
      </c>
      <c r="T35" s="95" t="s">
        <v>1063</v>
      </c>
      <c r="U35" s="95">
        <v>1</v>
      </c>
      <c r="V35" s="95" t="s">
        <v>1063</v>
      </c>
      <c r="W35" s="95" t="s">
        <v>28</v>
      </c>
      <c r="X35" s="95" t="s">
        <v>1063</v>
      </c>
      <c r="Y35" s="95" t="s">
        <v>28</v>
      </c>
      <c r="Z35" s="95" t="s">
        <v>1063</v>
      </c>
      <c r="AA35" s="95">
        <v>11</v>
      </c>
      <c r="AB35" s="95" t="s">
        <v>1063</v>
      </c>
      <c r="AC35" s="95">
        <v>9</v>
      </c>
      <c r="AD35" s="173" t="s">
        <v>1063</v>
      </c>
      <c r="AE35" s="96">
        <v>4</v>
      </c>
      <c r="AF35" s="173">
        <v>4</v>
      </c>
    </row>
    <row r="36" spans="1:32" ht="11.85" customHeight="1">
      <c r="A36" s="94" t="s">
        <v>31</v>
      </c>
      <c r="B36" s="172" t="s">
        <v>32</v>
      </c>
      <c r="C36" s="95">
        <v>23</v>
      </c>
      <c r="D36" s="95" t="s">
        <v>417</v>
      </c>
      <c r="E36" s="95">
        <v>8</v>
      </c>
      <c r="F36" s="95" t="s">
        <v>395</v>
      </c>
      <c r="G36" s="95" t="s">
        <v>28</v>
      </c>
      <c r="H36" s="95" t="s">
        <v>1063</v>
      </c>
      <c r="I36" s="95" t="s">
        <v>28</v>
      </c>
      <c r="J36" s="95" t="s">
        <v>1129</v>
      </c>
      <c r="K36" s="95">
        <v>1</v>
      </c>
      <c r="L36" s="95" t="s">
        <v>1063</v>
      </c>
      <c r="M36" s="95">
        <v>1</v>
      </c>
      <c r="N36" s="95" t="s">
        <v>1063</v>
      </c>
      <c r="O36" s="96" t="s">
        <v>28</v>
      </c>
      <c r="P36" s="95" t="s">
        <v>1063</v>
      </c>
      <c r="Q36" s="95" t="s">
        <v>28</v>
      </c>
      <c r="R36" s="95" t="s">
        <v>1063</v>
      </c>
      <c r="S36" s="95">
        <v>1</v>
      </c>
      <c r="T36" s="95" t="s">
        <v>1063</v>
      </c>
      <c r="U36" s="95">
        <v>1</v>
      </c>
      <c r="V36" s="95" t="s">
        <v>1063</v>
      </c>
      <c r="W36" s="95" t="s">
        <v>28</v>
      </c>
      <c r="X36" s="95" t="s">
        <v>1063</v>
      </c>
      <c r="Y36" s="95" t="s">
        <v>28</v>
      </c>
      <c r="Z36" s="95" t="s">
        <v>1063</v>
      </c>
      <c r="AA36" s="95">
        <v>20</v>
      </c>
      <c r="AB36" s="95" t="s">
        <v>1063</v>
      </c>
      <c r="AC36" s="95">
        <v>11</v>
      </c>
      <c r="AD36" s="173" t="s">
        <v>1063</v>
      </c>
      <c r="AE36" s="96" t="s">
        <v>28</v>
      </c>
      <c r="AF36" s="173" t="s">
        <v>28</v>
      </c>
    </row>
    <row r="37" spans="1:32" ht="11.85" customHeight="1">
      <c r="A37" s="89" t="s">
        <v>963</v>
      </c>
      <c r="B37" s="170" t="s">
        <v>964</v>
      </c>
      <c r="C37" s="91">
        <v>212</v>
      </c>
      <c r="D37" s="91" t="s">
        <v>1394</v>
      </c>
      <c r="E37" s="91">
        <v>146</v>
      </c>
      <c r="F37" s="91" t="s">
        <v>1131</v>
      </c>
      <c r="G37" s="91">
        <v>14</v>
      </c>
      <c r="H37" s="91" t="s">
        <v>395</v>
      </c>
      <c r="I37" s="91">
        <v>10</v>
      </c>
      <c r="J37" s="91" t="s">
        <v>395</v>
      </c>
      <c r="K37" s="91">
        <v>8</v>
      </c>
      <c r="L37" s="91" t="s">
        <v>417</v>
      </c>
      <c r="M37" s="91">
        <v>7</v>
      </c>
      <c r="N37" s="91" t="s">
        <v>417</v>
      </c>
      <c r="O37" s="92">
        <v>2</v>
      </c>
      <c r="P37" s="91" t="s">
        <v>1063</v>
      </c>
      <c r="Q37" s="91">
        <v>2</v>
      </c>
      <c r="R37" s="91" t="s">
        <v>1063</v>
      </c>
      <c r="S37" s="91">
        <v>11</v>
      </c>
      <c r="T37" s="91" t="s">
        <v>395</v>
      </c>
      <c r="U37" s="91">
        <v>11</v>
      </c>
      <c r="V37" s="91" t="s">
        <v>395</v>
      </c>
      <c r="W37" s="91">
        <v>2</v>
      </c>
      <c r="X37" s="91" t="s">
        <v>1063</v>
      </c>
      <c r="Y37" s="91">
        <v>2</v>
      </c>
      <c r="Z37" s="91" t="s">
        <v>1063</v>
      </c>
      <c r="AA37" s="91">
        <v>180</v>
      </c>
      <c r="AB37" s="91" t="s">
        <v>1063</v>
      </c>
      <c r="AC37" s="91">
        <v>134</v>
      </c>
      <c r="AD37" s="171" t="s">
        <v>1063</v>
      </c>
      <c r="AE37" s="92">
        <v>20</v>
      </c>
      <c r="AF37" s="171">
        <v>15</v>
      </c>
    </row>
    <row r="38" spans="1:32" ht="11.85" customHeight="1">
      <c r="A38" s="94" t="s">
        <v>29</v>
      </c>
      <c r="B38" s="172" t="s">
        <v>30</v>
      </c>
      <c r="C38" s="95">
        <v>196</v>
      </c>
      <c r="D38" s="95" t="s">
        <v>1398</v>
      </c>
      <c r="E38" s="95">
        <v>138</v>
      </c>
      <c r="F38" s="95" t="s">
        <v>1126</v>
      </c>
      <c r="G38" s="95">
        <v>14</v>
      </c>
      <c r="H38" s="95" t="s">
        <v>395</v>
      </c>
      <c r="I38" s="95">
        <v>10</v>
      </c>
      <c r="J38" s="95" t="s">
        <v>395</v>
      </c>
      <c r="K38" s="95">
        <v>7</v>
      </c>
      <c r="L38" s="95" t="s">
        <v>417</v>
      </c>
      <c r="M38" s="95">
        <v>6</v>
      </c>
      <c r="N38" s="95" t="s">
        <v>417</v>
      </c>
      <c r="O38" s="96">
        <v>2</v>
      </c>
      <c r="P38" s="95" t="s">
        <v>1063</v>
      </c>
      <c r="Q38" s="95">
        <v>2</v>
      </c>
      <c r="R38" s="95" t="s">
        <v>1063</v>
      </c>
      <c r="S38" s="95">
        <v>11</v>
      </c>
      <c r="T38" s="95" t="s">
        <v>395</v>
      </c>
      <c r="U38" s="95">
        <v>11</v>
      </c>
      <c r="V38" s="95" t="s">
        <v>395</v>
      </c>
      <c r="W38" s="95">
        <v>2</v>
      </c>
      <c r="X38" s="95" t="s">
        <v>1063</v>
      </c>
      <c r="Y38" s="95">
        <v>2</v>
      </c>
      <c r="Z38" s="95" t="s">
        <v>1063</v>
      </c>
      <c r="AA38" s="95">
        <v>163</v>
      </c>
      <c r="AB38" s="95" t="s">
        <v>1063</v>
      </c>
      <c r="AC38" s="95">
        <v>123</v>
      </c>
      <c r="AD38" s="173" t="s">
        <v>1063</v>
      </c>
      <c r="AE38" s="96">
        <v>20</v>
      </c>
      <c r="AF38" s="173">
        <v>15</v>
      </c>
    </row>
    <row r="39" spans="1:32" ht="11.85" customHeight="1">
      <c r="A39" s="94" t="s">
        <v>31</v>
      </c>
      <c r="B39" s="172" t="s">
        <v>32</v>
      </c>
      <c r="C39" s="95">
        <v>16</v>
      </c>
      <c r="D39" s="95" t="s">
        <v>417</v>
      </c>
      <c r="E39" s="95">
        <v>8</v>
      </c>
      <c r="F39" s="95" t="s">
        <v>395</v>
      </c>
      <c r="G39" s="95" t="s">
        <v>28</v>
      </c>
      <c r="H39" s="95" t="s">
        <v>1063</v>
      </c>
      <c r="I39" s="95" t="s">
        <v>28</v>
      </c>
      <c r="J39" s="95" t="s">
        <v>1063</v>
      </c>
      <c r="K39" s="95">
        <v>1</v>
      </c>
      <c r="L39" s="95" t="s">
        <v>1063</v>
      </c>
      <c r="M39" s="95">
        <v>1</v>
      </c>
      <c r="N39" s="95" t="s">
        <v>1063</v>
      </c>
      <c r="O39" s="96" t="s">
        <v>28</v>
      </c>
      <c r="P39" s="95" t="s">
        <v>1063</v>
      </c>
      <c r="Q39" s="95" t="s">
        <v>28</v>
      </c>
      <c r="R39" s="95" t="s">
        <v>1063</v>
      </c>
      <c r="S39" s="95" t="s">
        <v>28</v>
      </c>
      <c r="T39" s="95" t="s">
        <v>1063</v>
      </c>
      <c r="U39" s="95" t="s">
        <v>28</v>
      </c>
      <c r="V39" s="95" t="s">
        <v>1063</v>
      </c>
      <c r="W39" s="95" t="s">
        <v>28</v>
      </c>
      <c r="X39" s="95" t="s">
        <v>1063</v>
      </c>
      <c r="Y39" s="95" t="s">
        <v>28</v>
      </c>
      <c r="Z39" s="95" t="s">
        <v>1063</v>
      </c>
      <c r="AA39" s="95">
        <v>17</v>
      </c>
      <c r="AB39" s="95" t="s">
        <v>1063</v>
      </c>
      <c r="AC39" s="95">
        <v>11</v>
      </c>
      <c r="AD39" s="173" t="s">
        <v>1063</v>
      </c>
      <c r="AE39" s="96" t="s">
        <v>28</v>
      </c>
      <c r="AF39" s="173" t="s">
        <v>28</v>
      </c>
    </row>
    <row r="40" spans="1:32" ht="11.85" customHeight="1">
      <c r="A40" s="89" t="s">
        <v>51</v>
      </c>
      <c r="B40" s="170" t="s">
        <v>52</v>
      </c>
      <c r="C40" s="91">
        <v>388</v>
      </c>
      <c r="D40" s="91" t="s">
        <v>1128</v>
      </c>
      <c r="E40" s="91">
        <v>313</v>
      </c>
      <c r="F40" s="91" t="s">
        <v>1166</v>
      </c>
      <c r="G40" s="91">
        <v>20</v>
      </c>
      <c r="H40" s="91" t="s">
        <v>419</v>
      </c>
      <c r="I40" s="91">
        <v>17</v>
      </c>
      <c r="J40" s="91" t="s">
        <v>419</v>
      </c>
      <c r="K40" s="91">
        <v>11</v>
      </c>
      <c r="L40" s="91" t="s">
        <v>418</v>
      </c>
      <c r="M40" s="91">
        <v>10</v>
      </c>
      <c r="N40" s="91" t="s">
        <v>418</v>
      </c>
      <c r="O40" s="92">
        <v>5</v>
      </c>
      <c r="P40" s="91" t="s">
        <v>395</v>
      </c>
      <c r="Q40" s="91">
        <v>5</v>
      </c>
      <c r="R40" s="91" t="s">
        <v>395</v>
      </c>
      <c r="S40" s="91">
        <v>17</v>
      </c>
      <c r="T40" s="91" t="s">
        <v>395</v>
      </c>
      <c r="U40" s="91">
        <v>17</v>
      </c>
      <c r="V40" s="91" t="s">
        <v>395</v>
      </c>
      <c r="W40" s="91">
        <v>7</v>
      </c>
      <c r="X40" s="91" t="s">
        <v>395</v>
      </c>
      <c r="Y40" s="91">
        <v>7</v>
      </c>
      <c r="Z40" s="91" t="s">
        <v>395</v>
      </c>
      <c r="AA40" s="91">
        <v>284</v>
      </c>
      <c r="AB40" s="91" t="s">
        <v>1063</v>
      </c>
      <c r="AC40" s="91">
        <v>206</v>
      </c>
      <c r="AD40" s="171" t="s">
        <v>1063</v>
      </c>
      <c r="AE40" s="92">
        <v>9</v>
      </c>
      <c r="AF40" s="171">
        <v>8</v>
      </c>
    </row>
    <row r="41" spans="1:32" ht="11.85" customHeight="1">
      <c r="A41" s="94" t="s">
        <v>29</v>
      </c>
      <c r="B41" s="172" t="s">
        <v>30</v>
      </c>
      <c r="C41" s="95">
        <v>371</v>
      </c>
      <c r="D41" s="95" t="s">
        <v>1157</v>
      </c>
      <c r="E41" s="95">
        <v>304</v>
      </c>
      <c r="F41" s="95" t="s">
        <v>1112</v>
      </c>
      <c r="G41" s="95">
        <v>19</v>
      </c>
      <c r="H41" s="95" t="s">
        <v>419</v>
      </c>
      <c r="I41" s="95">
        <v>16</v>
      </c>
      <c r="J41" s="95" t="s">
        <v>419</v>
      </c>
      <c r="K41" s="95">
        <v>11</v>
      </c>
      <c r="L41" s="95" t="s">
        <v>418</v>
      </c>
      <c r="M41" s="95">
        <v>10</v>
      </c>
      <c r="N41" s="95" t="s">
        <v>418</v>
      </c>
      <c r="O41" s="96">
        <v>5</v>
      </c>
      <c r="P41" s="95" t="s">
        <v>395</v>
      </c>
      <c r="Q41" s="95">
        <v>5</v>
      </c>
      <c r="R41" s="95" t="s">
        <v>395</v>
      </c>
      <c r="S41" s="95">
        <v>16</v>
      </c>
      <c r="T41" s="95" t="s">
        <v>395</v>
      </c>
      <c r="U41" s="95">
        <v>16</v>
      </c>
      <c r="V41" s="95" t="s">
        <v>395</v>
      </c>
      <c r="W41" s="95">
        <v>7</v>
      </c>
      <c r="X41" s="95" t="s">
        <v>395</v>
      </c>
      <c r="Y41" s="95">
        <v>7</v>
      </c>
      <c r="Z41" s="95" t="s">
        <v>395</v>
      </c>
      <c r="AA41" s="95">
        <v>269</v>
      </c>
      <c r="AB41" s="95" t="s">
        <v>1063</v>
      </c>
      <c r="AC41" s="95">
        <v>195</v>
      </c>
      <c r="AD41" s="173" t="s">
        <v>1063</v>
      </c>
      <c r="AE41" s="96">
        <v>3</v>
      </c>
      <c r="AF41" s="173">
        <v>2</v>
      </c>
    </row>
    <row r="42" spans="1:32" ht="11.85" customHeight="1">
      <c r="A42" s="94" t="s">
        <v>31</v>
      </c>
      <c r="B42" s="172" t="s">
        <v>32</v>
      </c>
      <c r="C42" s="95">
        <v>17</v>
      </c>
      <c r="D42" s="95" t="s">
        <v>418</v>
      </c>
      <c r="E42" s="95">
        <v>9</v>
      </c>
      <c r="F42" s="95" t="s">
        <v>417</v>
      </c>
      <c r="G42" s="95">
        <v>1</v>
      </c>
      <c r="H42" s="95" t="s">
        <v>1063</v>
      </c>
      <c r="I42" s="95">
        <v>1</v>
      </c>
      <c r="J42" s="95" t="s">
        <v>1063</v>
      </c>
      <c r="K42" s="95" t="s">
        <v>28</v>
      </c>
      <c r="L42" s="95" t="s">
        <v>1063</v>
      </c>
      <c r="M42" s="95" t="s">
        <v>28</v>
      </c>
      <c r="N42" s="95" t="s">
        <v>1063</v>
      </c>
      <c r="O42" s="96" t="s">
        <v>28</v>
      </c>
      <c r="P42" s="95" t="s">
        <v>1063</v>
      </c>
      <c r="Q42" s="95" t="s">
        <v>28</v>
      </c>
      <c r="R42" s="95" t="s">
        <v>1063</v>
      </c>
      <c r="S42" s="95">
        <v>1</v>
      </c>
      <c r="T42" s="95" t="s">
        <v>1063</v>
      </c>
      <c r="U42" s="95">
        <v>1</v>
      </c>
      <c r="V42" s="95" t="s">
        <v>1063</v>
      </c>
      <c r="W42" s="95" t="s">
        <v>28</v>
      </c>
      <c r="X42" s="95" t="s">
        <v>1063</v>
      </c>
      <c r="Y42" s="95" t="s">
        <v>28</v>
      </c>
      <c r="Z42" s="95" t="s">
        <v>1063</v>
      </c>
      <c r="AA42" s="95">
        <v>15</v>
      </c>
      <c r="AB42" s="95" t="s">
        <v>1063</v>
      </c>
      <c r="AC42" s="95">
        <v>11</v>
      </c>
      <c r="AD42" s="173" t="s">
        <v>1063</v>
      </c>
      <c r="AE42" s="96">
        <v>6</v>
      </c>
      <c r="AF42" s="173">
        <v>6</v>
      </c>
    </row>
    <row r="43" spans="1:32" ht="11.85" customHeight="1">
      <c r="A43" s="89" t="s">
        <v>53</v>
      </c>
      <c r="B43" s="170" t="s">
        <v>54</v>
      </c>
      <c r="C43" s="91">
        <v>424</v>
      </c>
      <c r="D43" s="91" t="s">
        <v>1165</v>
      </c>
      <c r="E43" s="91">
        <v>347</v>
      </c>
      <c r="F43" s="91" t="s">
        <v>1358</v>
      </c>
      <c r="G43" s="91">
        <v>25</v>
      </c>
      <c r="H43" s="91" t="s">
        <v>477</v>
      </c>
      <c r="I43" s="91">
        <v>18</v>
      </c>
      <c r="J43" s="91" t="s">
        <v>415</v>
      </c>
      <c r="K43" s="91">
        <v>15</v>
      </c>
      <c r="L43" s="91" t="s">
        <v>417</v>
      </c>
      <c r="M43" s="91">
        <v>14</v>
      </c>
      <c r="N43" s="91" t="s">
        <v>417</v>
      </c>
      <c r="O43" s="92">
        <v>3</v>
      </c>
      <c r="P43" s="91" t="s">
        <v>395</v>
      </c>
      <c r="Q43" s="91">
        <v>3</v>
      </c>
      <c r="R43" s="91" t="s">
        <v>395</v>
      </c>
      <c r="S43" s="91">
        <v>18</v>
      </c>
      <c r="T43" s="91" t="s">
        <v>418</v>
      </c>
      <c r="U43" s="91">
        <v>18</v>
      </c>
      <c r="V43" s="91" t="s">
        <v>418</v>
      </c>
      <c r="W43" s="91">
        <v>5</v>
      </c>
      <c r="X43" s="91" t="s">
        <v>1063</v>
      </c>
      <c r="Y43" s="91">
        <v>5</v>
      </c>
      <c r="Z43" s="91" t="s">
        <v>1063</v>
      </c>
      <c r="AA43" s="91">
        <v>278</v>
      </c>
      <c r="AB43" s="91" t="s">
        <v>1063</v>
      </c>
      <c r="AC43" s="91">
        <v>194</v>
      </c>
      <c r="AD43" s="171" t="s">
        <v>1063</v>
      </c>
      <c r="AE43" s="92">
        <v>10</v>
      </c>
      <c r="AF43" s="171">
        <v>7</v>
      </c>
    </row>
    <row r="44" spans="1:32" ht="11.85" customHeight="1">
      <c r="A44" s="94" t="s">
        <v>29</v>
      </c>
      <c r="B44" s="172" t="s">
        <v>30</v>
      </c>
      <c r="C44" s="95">
        <v>421</v>
      </c>
      <c r="D44" s="95" t="s">
        <v>1165</v>
      </c>
      <c r="E44" s="95">
        <v>345</v>
      </c>
      <c r="F44" s="95" t="s">
        <v>1358</v>
      </c>
      <c r="G44" s="95">
        <v>25</v>
      </c>
      <c r="H44" s="95" t="s">
        <v>477</v>
      </c>
      <c r="I44" s="95">
        <v>18</v>
      </c>
      <c r="J44" s="95" t="s">
        <v>415</v>
      </c>
      <c r="K44" s="95">
        <v>15</v>
      </c>
      <c r="L44" s="95" t="s">
        <v>417</v>
      </c>
      <c r="M44" s="95">
        <v>14</v>
      </c>
      <c r="N44" s="95" t="s">
        <v>417</v>
      </c>
      <c r="O44" s="96">
        <v>3</v>
      </c>
      <c r="P44" s="95" t="s">
        <v>395</v>
      </c>
      <c r="Q44" s="95">
        <v>3</v>
      </c>
      <c r="R44" s="95" t="s">
        <v>395</v>
      </c>
      <c r="S44" s="95">
        <v>17</v>
      </c>
      <c r="T44" s="95" t="s">
        <v>417</v>
      </c>
      <c r="U44" s="95">
        <v>17</v>
      </c>
      <c r="V44" s="95" t="s">
        <v>417</v>
      </c>
      <c r="W44" s="95">
        <v>5</v>
      </c>
      <c r="X44" s="95" t="s">
        <v>1063</v>
      </c>
      <c r="Y44" s="95">
        <v>5</v>
      </c>
      <c r="Z44" s="95" t="s">
        <v>1063</v>
      </c>
      <c r="AA44" s="95">
        <v>268</v>
      </c>
      <c r="AB44" s="95" t="s">
        <v>1063</v>
      </c>
      <c r="AC44" s="95">
        <v>186</v>
      </c>
      <c r="AD44" s="173" t="s">
        <v>1063</v>
      </c>
      <c r="AE44" s="96">
        <v>10</v>
      </c>
      <c r="AF44" s="173">
        <v>7</v>
      </c>
    </row>
    <row r="45" spans="1:32" ht="11.85" customHeight="1">
      <c r="A45" s="94" t="s">
        <v>31</v>
      </c>
      <c r="B45" s="172" t="s">
        <v>32</v>
      </c>
      <c r="C45" s="95">
        <v>3</v>
      </c>
      <c r="D45" s="95" t="s">
        <v>1063</v>
      </c>
      <c r="E45" s="95">
        <v>2</v>
      </c>
      <c r="F45" s="95" t="s">
        <v>1063</v>
      </c>
      <c r="G45" s="95" t="s">
        <v>28</v>
      </c>
      <c r="H45" s="95" t="s">
        <v>1063</v>
      </c>
      <c r="I45" s="95" t="s">
        <v>28</v>
      </c>
      <c r="J45" s="95" t="s">
        <v>1063</v>
      </c>
      <c r="K45" s="95" t="s">
        <v>28</v>
      </c>
      <c r="L45" s="95" t="s">
        <v>1063</v>
      </c>
      <c r="M45" s="95" t="s">
        <v>28</v>
      </c>
      <c r="N45" s="95" t="s">
        <v>1063</v>
      </c>
      <c r="O45" s="96" t="s">
        <v>28</v>
      </c>
      <c r="P45" s="95" t="s">
        <v>1063</v>
      </c>
      <c r="Q45" s="95" t="s">
        <v>28</v>
      </c>
      <c r="R45" s="95" t="s">
        <v>1063</v>
      </c>
      <c r="S45" s="95">
        <v>1</v>
      </c>
      <c r="T45" s="95" t="s">
        <v>395</v>
      </c>
      <c r="U45" s="95">
        <v>1</v>
      </c>
      <c r="V45" s="95" t="s">
        <v>395</v>
      </c>
      <c r="W45" s="95" t="s">
        <v>28</v>
      </c>
      <c r="X45" s="95" t="s">
        <v>1063</v>
      </c>
      <c r="Y45" s="95" t="s">
        <v>28</v>
      </c>
      <c r="Z45" s="95" t="s">
        <v>1063</v>
      </c>
      <c r="AA45" s="95">
        <v>10</v>
      </c>
      <c r="AB45" s="95" t="s">
        <v>1063</v>
      </c>
      <c r="AC45" s="95">
        <v>8</v>
      </c>
      <c r="AD45" s="173" t="s">
        <v>1063</v>
      </c>
      <c r="AE45" s="96" t="s">
        <v>28</v>
      </c>
      <c r="AF45" s="173" t="s">
        <v>28</v>
      </c>
    </row>
    <row r="46" spans="1:32" ht="11.85" customHeight="1">
      <c r="A46" s="89" t="s">
        <v>55</v>
      </c>
      <c r="B46" s="170" t="s">
        <v>56</v>
      </c>
      <c r="C46" s="91">
        <v>390</v>
      </c>
      <c r="D46" s="91" t="s">
        <v>1165</v>
      </c>
      <c r="E46" s="91">
        <v>328</v>
      </c>
      <c r="F46" s="91" t="s">
        <v>1399</v>
      </c>
      <c r="G46" s="91">
        <v>26</v>
      </c>
      <c r="H46" s="91" t="s">
        <v>413</v>
      </c>
      <c r="I46" s="91">
        <v>21</v>
      </c>
      <c r="J46" s="91" t="s">
        <v>418</v>
      </c>
      <c r="K46" s="91">
        <v>12</v>
      </c>
      <c r="L46" s="91" t="s">
        <v>395</v>
      </c>
      <c r="M46" s="91">
        <v>10</v>
      </c>
      <c r="N46" s="91" t="s">
        <v>395</v>
      </c>
      <c r="O46" s="92">
        <v>4</v>
      </c>
      <c r="P46" s="91" t="s">
        <v>395</v>
      </c>
      <c r="Q46" s="91">
        <v>4</v>
      </c>
      <c r="R46" s="91" t="s">
        <v>395</v>
      </c>
      <c r="S46" s="91">
        <v>19</v>
      </c>
      <c r="T46" s="91" t="s">
        <v>395</v>
      </c>
      <c r="U46" s="91">
        <v>19</v>
      </c>
      <c r="V46" s="91" t="s">
        <v>395</v>
      </c>
      <c r="W46" s="91">
        <v>4</v>
      </c>
      <c r="X46" s="91" t="s">
        <v>1063</v>
      </c>
      <c r="Y46" s="91">
        <v>4</v>
      </c>
      <c r="Z46" s="91" t="s">
        <v>1063</v>
      </c>
      <c r="AA46" s="91">
        <v>201</v>
      </c>
      <c r="AB46" s="91" t="s">
        <v>1063</v>
      </c>
      <c r="AC46" s="91">
        <v>135</v>
      </c>
      <c r="AD46" s="171" t="s">
        <v>1063</v>
      </c>
      <c r="AE46" s="92">
        <v>6</v>
      </c>
      <c r="AF46" s="171">
        <v>5</v>
      </c>
    </row>
    <row r="47" spans="1:32" ht="11.85" customHeight="1">
      <c r="A47" s="94" t="s">
        <v>29</v>
      </c>
      <c r="B47" s="172" t="s">
        <v>30</v>
      </c>
      <c r="C47" s="95">
        <v>390</v>
      </c>
      <c r="D47" s="95" t="s">
        <v>1165</v>
      </c>
      <c r="E47" s="95">
        <v>328</v>
      </c>
      <c r="F47" s="95" t="s">
        <v>1399</v>
      </c>
      <c r="G47" s="95">
        <v>26</v>
      </c>
      <c r="H47" s="95" t="s">
        <v>413</v>
      </c>
      <c r="I47" s="95">
        <v>21</v>
      </c>
      <c r="J47" s="95" t="s">
        <v>418</v>
      </c>
      <c r="K47" s="95">
        <v>12</v>
      </c>
      <c r="L47" s="95" t="s">
        <v>395</v>
      </c>
      <c r="M47" s="95">
        <v>10</v>
      </c>
      <c r="N47" s="95" t="s">
        <v>395</v>
      </c>
      <c r="O47" s="96">
        <v>4</v>
      </c>
      <c r="P47" s="95" t="s">
        <v>395</v>
      </c>
      <c r="Q47" s="95">
        <v>4</v>
      </c>
      <c r="R47" s="95" t="s">
        <v>395</v>
      </c>
      <c r="S47" s="95">
        <v>19</v>
      </c>
      <c r="T47" s="95" t="s">
        <v>395</v>
      </c>
      <c r="U47" s="95">
        <v>19</v>
      </c>
      <c r="V47" s="95" t="s">
        <v>395</v>
      </c>
      <c r="W47" s="95">
        <v>4</v>
      </c>
      <c r="X47" s="95" t="s">
        <v>1063</v>
      </c>
      <c r="Y47" s="95">
        <v>4</v>
      </c>
      <c r="Z47" s="95" t="s">
        <v>1063</v>
      </c>
      <c r="AA47" s="95">
        <v>201</v>
      </c>
      <c r="AB47" s="95" t="s">
        <v>1063</v>
      </c>
      <c r="AC47" s="95">
        <v>135</v>
      </c>
      <c r="AD47" s="173" t="s">
        <v>1063</v>
      </c>
      <c r="AE47" s="96">
        <v>6</v>
      </c>
      <c r="AF47" s="173">
        <v>5</v>
      </c>
    </row>
    <row r="48" spans="1:32" ht="11.85" customHeight="1">
      <c r="A48" s="94" t="s">
        <v>31</v>
      </c>
      <c r="B48" s="172" t="s">
        <v>32</v>
      </c>
      <c r="C48" s="95" t="s">
        <v>28</v>
      </c>
      <c r="D48" s="95" t="s">
        <v>1063</v>
      </c>
      <c r="E48" s="95" t="s">
        <v>28</v>
      </c>
      <c r="F48" s="95" t="s">
        <v>1063</v>
      </c>
      <c r="G48" s="95" t="s">
        <v>28</v>
      </c>
      <c r="H48" s="95" t="s">
        <v>1063</v>
      </c>
      <c r="I48" s="95" t="s">
        <v>28</v>
      </c>
      <c r="J48" s="95" t="s">
        <v>1063</v>
      </c>
      <c r="K48" s="95" t="s">
        <v>28</v>
      </c>
      <c r="L48" s="95" t="s">
        <v>1063</v>
      </c>
      <c r="M48" s="95" t="s">
        <v>28</v>
      </c>
      <c r="N48" s="95" t="s">
        <v>1063</v>
      </c>
      <c r="O48" s="96" t="s">
        <v>28</v>
      </c>
      <c r="P48" s="95" t="s">
        <v>1063</v>
      </c>
      <c r="Q48" s="95" t="s">
        <v>28</v>
      </c>
      <c r="R48" s="95" t="s">
        <v>1063</v>
      </c>
      <c r="S48" s="95" t="s">
        <v>28</v>
      </c>
      <c r="T48" s="95" t="s">
        <v>1063</v>
      </c>
      <c r="U48" s="95" t="s">
        <v>28</v>
      </c>
      <c r="V48" s="95" t="s">
        <v>1063</v>
      </c>
      <c r="W48" s="95" t="s">
        <v>28</v>
      </c>
      <c r="X48" s="95" t="s">
        <v>1063</v>
      </c>
      <c r="Y48" s="95" t="s">
        <v>28</v>
      </c>
      <c r="Z48" s="95" t="s">
        <v>1063</v>
      </c>
      <c r="AA48" s="95" t="s">
        <v>28</v>
      </c>
      <c r="AB48" s="95" t="s">
        <v>1063</v>
      </c>
      <c r="AC48" s="95" t="s">
        <v>28</v>
      </c>
      <c r="AD48" s="173" t="s">
        <v>1063</v>
      </c>
      <c r="AE48" s="96" t="s">
        <v>28</v>
      </c>
      <c r="AF48" s="173" t="s">
        <v>28</v>
      </c>
    </row>
    <row r="49" spans="1:32" ht="11.85" customHeight="1">
      <c r="A49" s="89" t="s">
        <v>57</v>
      </c>
      <c r="B49" s="170" t="s">
        <v>58</v>
      </c>
      <c r="C49" s="91">
        <v>203</v>
      </c>
      <c r="D49" s="91" t="s">
        <v>1132</v>
      </c>
      <c r="E49" s="91">
        <v>166</v>
      </c>
      <c r="F49" s="91" t="s">
        <v>1168</v>
      </c>
      <c r="G49" s="91">
        <v>15</v>
      </c>
      <c r="H49" s="91" t="s">
        <v>1063</v>
      </c>
      <c r="I49" s="91">
        <v>13</v>
      </c>
      <c r="J49" s="91" t="s">
        <v>1063</v>
      </c>
      <c r="K49" s="91">
        <v>7</v>
      </c>
      <c r="L49" s="91" t="s">
        <v>413</v>
      </c>
      <c r="M49" s="91">
        <v>6</v>
      </c>
      <c r="N49" s="91" t="s">
        <v>413</v>
      </c>
      <c r="O49" s="92">
        <v>3</v>
      </c>
      <c r="P49" s="91" t="s">
        <v>1063</v>
      </c>
      <c r="Q49" s="91">
        <v>3</v>
      </c>
      <c r="R49" s="91" t="s">
        <v>1063</v>
      </c>
      <c r="S49" s="91">
        <v>13</v>
      </c>
      <c r="T49" s="91" t="s">
        <v>417</v>
      </c>
      <c r="U49" s="91">
        <v>13</v>
      </c>
      <c r="V49" s="91" t="s">
        <v>417</v>
      </c>
      <c r="W49" s="91">
        <v>1</v>
      </c>
      <c r="X49" s="91" t="s">
        <v>395</v>
      </c>
      <c r="Y49" s="91">
        <v>1</v>
      </c>
      <c r="Z49" s="91" t="s">
        <v>395</v>
      </c>
      <c r="AA49" s="91">
        <v>120</v>
      </c>
      <c r="AB49" s="91" t="s">
        <v>1063</v>
      </c>
      <c r="AC49" s="91">
        <v>88</v>
      </c>
      <c r="AD49" s="171" t="s">
        <v>1063</v>
      </c>
      <c r="AE49" s="92">
        <v>6</v>
      </c>
      <c r="AF49" s="171">
        <v>5</v>
      </c>
    </row>
    <row r="50" spans="1:32" ht="11.85" customHeight="1">
      <c r="A50" s="94" t="s">
        <v>29</v>
      </c>
      <c r="B50" s="172" t="s">
        <v>30</v>
      </c>
      <c r="C50" s="95">
        <v>203</v>
      </c>
      <c r="D50" s="95" t="s">
        <v>1132</v>
      </c>
      <c r="E50" s="95">
        <v>166</v>
      </c>
      <c r="F50" s="95" t="s">
        <v>1168</v>
      </c>
      <c r="G50" s="95">
        <v>15</v>
      </c>
      <c r="H50" s="95" t="s">
        <v>1063</v>
      </c>
      <c r="I50" s="95">
        <v>13</v>
      </c>
      <c r="J50" s="95" t="s">
        <v>1063</v>
      </c>
      <c r="K50" s="95">
        <v>7</v>
      </c>
      <c r="L50" s="95" t="s">
        <v>413</v>
      </c>
      <c r="M50" s="95">
        <v>6</v>
      </c>
      <c r="N50" s="95" t="s">
        <v>413</v>
      </c>
      <c r="O50" s="96">
        <v>3</v>
      </c>
      <c r="P50" s="95" t="s">
        <v>1063</v>
      </c>
      <c r="Q50" s="95">
        <v>3</v>
      </c>
      <c r="R50" s="95" t="s">
        <v>1063</v>
      </c>
      <c r="S50" s="95">
        <v>13</v>
      </c>
      <c r="T50" s="95" t="s">
        <v>417</v>
      </c>
      <c r="U50" s="95">
        <v>13</v>
      </c>
      <c r="V50" s="95" t="s">
        <v>417</v>
      </c>
      <c r="W50" s="95">
        <v>1</v>
      </c>
      <c r="X50" s="95" t="s">
        <v>395</v>
      </c>
      <c r="Y50" s="95">
        <v>1</v>
      </c>
      <c r="Z50" s="95" t="s">
        <v>395</v>
      </c>
      <c r="AA50" s="95">
        <v>120</v>
      </c>
      <c r="AB50" s="95" t="s">
        <v>1063</v>
      </c>
      <c r="AC50" s="95">
        <v>88</v>
      </c>
      <c r="AD50" s="173" t="s">
        <v>1063</v>
      </c>
      <c r="AE50" s="96">
        <v>6</v>
      </c>
      <c r="AF50" s="173">
        <v>5</v>
      </c>
    </row>
    <row r="51" spans="1:32" ht="11.85" customHeight="1">
      <c r="A51" s="94" t="s">
        <v>31</v>
      </c>
      <c r="B51" s="172" t="s">
        <v>32</v>
      </c>
      <c r="C51" s="95" t="s">
        <v>28</v>
      </c>
      <c r="D51" s="95" t="s">
        <v>1063</v>
      </c>
      <c r="E51" s="95" t="s">
        <v>28</v>
      </c>
      <c r="F51" s="95" t="s">
        <v>1063</v>
      </c>
      <c r="G51" s="95" t="s">
        <v>28</v>
      </c>
      <c r="H51" s="95" t="s">
        <v>1063</v>
      </c>
      <c r="I51" s="95" t="s">
        <v>28</v>
      </c>
      <c r="J51" s="95" t="s">
        <v>1063</v>
      </c>
      <c r="K51" s="95" t="s">
        <v>28</v>
      </c>
      <c r="L51" s="95" t="s">
        <v>1063</v>
      </c>
      <c r="M51" s="95" t="s">
        <v>28</v>
      </c>
      <c r="N51" s="95" t="s">
        <v>1063</v>
      </c>
      <c r="O51" s="96" t="s">
        <v>28</v>
      </c>
      <c r="P51" s="95" t="s">
        <v>1063</v>
      </c>
      <c r="Q51" s="95" t="s">
        <v>28</v>
      </c>
      <c r="R51" s="95" t="s">
        <v>1063</v>
      </c>
      <c r="S51" s="95" t="s">
        <v>28</v>
      </c>
      <c r="T51" s="95" t="s">
        <v>1063</v>
      </c>
      <c r="U51" s="95" t="s">
        <v>28</v>
      </c>
      <c r="V51" s="95" t="s">
        <v>1063</v>
      </c>
      <c r="W51" s="95" t="s">
        <v>28</v>
      </c>
      <c r="X51" s="95" t="s">
        <v>1063</v>
      </c>
      <c r="Y51" s="95" t="s">
        <v>28</v>
      </c>
      <c r="Z51" s="95" t="s">
        <v>1063</v>
      </c>
      <c r="AA51" s="95" t="s">
        <v>28</v>
      </c>
      <c r="AB51" s="95" t="s">
        <v>1063</v>
      </c>
      <c r="AC51" s="95" t="s">
        <v>28</v>
      </c>
      <c r="AD51" s="173" t="s">
        <v>1063</v>
      </c>
      <c r="AE51" s="96" t="s">
        <v>28</v>
      </c>
      <c r="AF51" s="173" t="s">
        <v>28</v>
      </c>
    </row>
    <row r="52" spans="1:32" ht="11.85" customHeight="1">
      <c r="A52" s="89" t="s">
        <v>59</v>
      </c>
      <c r="B52" s="170" t="s">
        <v>60</v>
      </c>
      <c r="C52" s="91">
        <v>546</v>
      </c>
      <c r="D52" s="91" t="s">
        <v>1163</v>
      </c>
      <c r="E52" s="91">
        <v>385</v>
      </c>
      <c r="F52" s="91" t="s">
        <v>1157</v>
      </c>
      <c r="G52" s="91">
        <v>29</v>
      </c>
      <c r="H52" s="91" t="s">
        <v>418</v>
      </c>
      <c r="I52" s="91">
        <v>22</v>
      </c>
      <c r="J52" s="91" t="s">
        <v>417</v>
      </c>
      <c r="K52" s="91">
        <v>14</v>
      </c>
      <c r="L52" s="91" t="s">
        <v>395</v>
      </c>
      <c r="M52" s="91">
        <v>13</v>
      </c>
      <c r="N52" s="91" t="s">
        <v>395</v>
      </c>
      <c r="O52" s="92">
        <v>7</v>
      </c>
      <c r="P52" s="91" t="s">
        <v>1063</v>
      </c>
      <c r="Q52" s="91">
        <v>6</v>
      </c>
      <c r="R52" s="91" t="s">
        <v>1063</v>
      </c>
      <c r="S52" s="91">
        <v>25</v>
      </c>
      <c r="T52" s="91" t="s">
        <v>419</v>
      </c>
      <c r="U52" s="91">
        <v>25</v>
      </c>
      <c r="V52" s="91" t="s">
        <v>419</v>
      </c>
      <c r="W52" s="91">
        <v>9</v>
      </c>
      <c r="X52" s="91" t="s">
        <v>1063</v>
      </c>
      <c r="Y52" s="91">
        <v>8</v>
      </c>
      <c r="Z52" s="91" t="s">
        <v>1063</v>
      </c>
      <c r="AA52" s="91">
        <v>422</v>
      </c>
      <c r="AB52" s="91" t="s">
        <v>1063</v>
      </c>
      <c r="AC52" s="91">
        <v>295</v>
      </c>
      <c r="AD52" s="171" t="s">
        <v>1063</v>
      </c>
      <c r="AE52" s="92">
        <v>16</v>
      </c>
      <c r="AF52" s="171">
        <v>14</v>
      </c>
    </row>
    <row r="53" spans="1:32" ht="11.85" customHeight="1">
      <c r="A53" s="94" t="s">
        <v>29</v>
      </c>
      <c r="B53" s="172" t="s">
        <v>30</v>
      </c>
      <c r="C53" s="95">
        <v>546</v>
      </c>
      <c r="D53" s="95" t="s">
        <v>1163</v>
      </c>
      <c r="E53" s="95">
        <v>385</v>
      </c>
      <c r="F53" s="95" t="s">
        <v>1157</v>
      </c>
      <c r="G53" s="95">
        <v>29</v>
      </c>
      <c r="H53" s="95" t="s">
        <v>418</v>
      </c>
      <c r="I53" s="95">
        <v>22</v>
      </c>
      <c r="J53" s="95" t="s">
        <v>417</v>
      </c>
      <c r="K53" s="95">
        <v>14</v>
      </c>
      <c r="L53" s="95" t="s">
        <v>395</v>
      </c>
      <c r="M53" s="95">
        <v>13</v>
      </c>
      <c r="N53" s="95" t="s">
        <v>395</v>
      </c>
      <c r="O53" s="96">
        <v>7</v>
      </c>
      <c r="P53" s="95" t="s">
        <v>1063</v>
      </c>
      <c r="Q53" s="95">
        <v>6</v>
      </c>
      <c r="R53" s="95" t="s">
        <v>1063</v>
      </c>
      <c r="S53" s="95">
        <v>25</v>
      </c>
      <c r="T53" s="95" t="s">
        <v>419</v>
      </c>
      <c r="U53" s="95">
        <v>25</v>
      </c>
      <c r="V53" s="95" t="s">
        <v>419</v>
      </c>
      <c r="W53" s="95">
        <v>9</v>
      </c>
      <c r="X53" s="95" t="s">
        <v>1063</v>
      </c>
      <c r="Y53" s="95">
        <v>8</v>
      </c>
      <c r="Z53" s="95" t="s">
        <v>1063</v>
      </c>
      <c r="AA53" s="95">
        <v>422</v>
      </c>
      <c r="AB53" s="95" t="s">
        <v>1063</v>
      </c>
      <c r="AC53" s="95">
        <v>295</v>
      </c>
      <c r="AD53" s="173" t="s">
        <v>1063</v>
      </c>
      <c r="AE53" s="96">
        <v>16</v>
      </c>
      <c r="AF53" s="173">
        <v>14</v>
      </c>
    </row>
    <row r="54" spans="1:32" ht="11.85" customHeight="1">
      <c r="A54" s="94" t="s">
        <v>31</v>
      </c>
      <c r="B54" s="172" t="s">
        <v>32</v>
      </c>
      <c r="C54" s="95" t="s">
        <v>28</v>
      </c>
      <c r="D54" s="95" t="s">
        <v>1063</v>
      </c>
      <c r="E54" s="95" t="s">
        <v>28</v>
      </c>
      <c r="F54" s="95" t="s">
        <v>1063</v>
      </c>
      <c r="G54" s="95" t="s">
        <v>28</v>
      </c>
      <c r="H54" s="95" t="s">
        <v>1063</v>
      </c>
      <c r="I54" s="95" t="s">
        <v>28</v>
      </c>
      <c r="J54" s="95" t="s">
        <v>1063</v>
      </c>
      <c r="K54" s="95" t="s">
        <v>28</v>
      </c>
      <c r="L54" s="95" t="s">
        <v>1063</v>
      </c>
      <c r="M54" s="95" t="s">
        <v>28</v>
      </c>
      <c r="N54" s="95" t="s">
        <v>1063</v>
      </c>
      <c r="O54" s="96" t="s">
        <v>28</v>
      </c>
      <c r="P54" s="95" t="s">
        <v>1063</v>
      </c>
      <c r="Q54" s="95" t="s">
        <v>28</v>
      </c>
      <c r="R54" s="95" t="s">
        <v>1063</v>
      </c>
      <c r="S54" s="95" t="s">
        <v>28</v>
      </c>
      <c r="T54" s="95" t="s">
        <v>1063</v>
      </c>
      <c r="U54" s="95" t="s">
        <v>28</v>
      </c>
      <c r="V54" s="95" t="s">
        <v>1063</v>
      </c>
      <c r="W54" s="95" t="s">
        <v>28</v>
      </c>
      <c r="X54" s="95" t="s">
        <v>1063</v>
      </c>
      <c r="Y54" s="95" t="s">
        <v>28</v>
      </c>
      <c r="Z54" s="95" t="s">
        <v>1063</v>
      </c>
      <c r="AA54" s="95" t="s">
        <v>28</v>
      </c>
      <c r="AB54" s="95" t="s">
        <v>1063</v>
      </c>
      <c r="AC54" s="95" t="s">
        <v>28</v>
      </c>
      <c r="AD54" s="173" t="s">
        <v>1063</v>
      </c>
      <c r="AE54" s="96" t="s">
        <v>28</v>
      </c>
      <c r="AF54" s="173" t="s">
        <v>28</v>
      </c>
    </row>
    <row r="55" spans="1:32" ht="11.85" customHeight="1">
      <c r="A55" s="89" t="s">
        <v>61</v>
      </c>
      <c r="B55" s="170" t="s">
        <v>62</v>
      </c>
      <c r="C55" s="91">
        <v>71</v>
      </c>
      <c r="D55" s="91" t="s">
        <v>413</v>
      </c>
      <c r="E55" s="91">
        <v>37</v>
      </c>
      <c r="F55" s="91" t="s">
        <v>417</v>
      </c>
      <c r="G55" s="91">
        <v>8</v>
      </c>
      <c r="H55" s="91" t="s">
        <v>1063</v>
      </c>
      <c r="I55" s="91">
        <v>5</v>
      </c>
      <c r="J55" s="91" t="s">
        <v>1063</v>
      </c>
      <c r="K55" s="91">
        <v>3</v>
      </c>
      <c r="L55" s="91" t="s">
        <v>1063</v>
      </c>
      <c r="M55" s="91">
        <v>2</v>
      </c>
      <c r="N55" s="91" t="s">
        <v>1063</v>
      </c>
      <c r="O55" s="92">
        <v>2</v>
      </c>
      <c r="P55" s="91" t="s">
        <v>1063</v>
      </c>
      <c r="Q55" s="91">
        <v>2</v>
      </c>
      <c r="R55" s="91" t="s">
        <v>1063</v>
      </c>
      <c r="S55" s="91">
        <v>2</v>
      </c>
      <c r="T55" s="91" t="s">
        <v>1063</v>
      </c>
      <c r="U55" s="91">
        <v>2</v>
      </c>
      <c r="V55" s="91" t="s">
        <v>1063</v>
      </c>
      <c r="W55" s="91">
        <v>3</v>
      </c>
      <c r="X55" s="91" t="s">
        <v>395</v>
      </c>
      <c r="Y55" s="91">
        <v>3</v>
      </c>
      <c r="Z55" s="91" t="s">
        <v>395</v>
      </c>
      <c r="AA55" s="91">
        <v>27</v>
      </c>
      <c r="AB55" s="91" t="s">
        <v>1063</v>
      </c>
      <c r="AC55" s="91">
        <v>15</v>
      </c>
      <c r="AD55" s="171" t="s">
        <v>1063</v>
      </c>
      <c r="AE55" s="92" t="s">
        <v>28</v>
      </c>
      <c r="AF55" s="171" t="s">
        <v>28</v>
      </c>
    </row>
    <row r="56" spans="1:32" ht="11.85" customHeight="1">
      <c r="A56" s="94" t="s">
        <v>29</v>
      </c>
      <c r="B56" s="172" t="s">
        <v>30</v>
      </c>
      <c r="C56" s="95">
        <v>63</v>
      </c>
      <c r="D56" s="95" t="s">
        <v>418</v>
      </c>
      <c r="E56" s="95">
        <v>35</v>
      </c>
      <c r="F56" s="95" t="s">
        <v>417</v>
      </c>
      <c r="G56" s="95">
        <v>8</v>
      </c>
      <c r="H56" s="95" t="s">
        <v>1063</v>
      </c>
      <c r="I56" s="95">
        <v>5</v>
      </c>
      <c r="J56" s="95" t="s">
        <v>1063</v>
      </c>
      <c r="K56" s="95">
        <v>3</v>
      </c>
      <c r="L56" s="95" t="s">
        <v>1063</v>
      </c>
      <c r="M56" s="95">
        <v>2</v>
      </c>
      <c r="N56" s="95" t="s">
        <v>1063</v>
      </c>
      <c r="O56" s="96">
        <v>2</v>
      </c>
      <c r="P56" s="95" t="s">
        <v>1063</v>
      </c>
      <c r="Q56" s="95">
        <v>2</v>
      </c>
      <c r="R56" s="95" t="s">
        <v>1063</v>
      </c>
      <c r="S56" s="95">
        <v>2</v>
      </c>
      <c r="T56" s="95" t="s">
        <v>1063</v>
      </c>
      <c r="U56" s="95">
        <v>2</v>
      </c>
      <c r="V56" s="95" t="s">
        <v>1063</v>
      </c>
      <c r="W56" s="95">
        <v>3</v>
      </c>
      <c r="X56" s="95" t="s">
        <v>395</v>
      </c>
      <c r="Y56" s="95">
        <v>3</v>
      </c>
      <c r="Z56" s="95" t="s">
        <v>395</v>
      </c>
      <c r="AA56" s="95">
        <v>17</v>
      </c>
      <c r="AB56" s="95" t="s">
        <v>1063</v>
      </c>
      <c r="AC56" s="95">
        <v>9</v>
      </c>
      <c r="AD56" s="173" t="s">
        <v>1063</v>
      </c>
      <c r="AE56" s="96" t="s">
        <v>28</v>
      </c>
      <c r="AF56" s="173" t="s">
        <v>28</v>
      </c>
    </row>
    <row r="57" spans="1:32" ht="11.85" customHeight="1">
      <c r="A57" s="94" t="s">
        <v>31</v>
      </c>
      <c r="B57" s="172" t="s">
        <v>32</v>
      </c>
      <c r="C57" s="95">
        <v>8</v>
      </c>
      <c r="D57" s="95" t="s">
        <v>395</v>
      </c>
      <c r="E57" s="95">
        <v>2</v>
      </c>
      <c r="F57" s="95" t="s">
        <v>1063</v>
      </c>
      <c r="G57" s="95" t="s">
        <v>28</v>
      </c>
      <c r="H57" s="95" t="s">
        <v>1063</v>
      </c>
      <c r="I57" s="95" t="s">
        <v>28</v>
      </c>
      <c r="J57" s="95" t="s">
        <v>1063</v>
      </c>
      <c r="K57" s="95" t="s">
        <v>28</v>
      </c>
      <c r="L57" s="95" t="s">
        <v>1063</v>
      </c>
      <c r="M57" s="95" t="s">
        <v>28</v>
      </c>
      <c r="N57" s="95" t="s">
        <v>1063</v>
      </c>
      <c r="O57" s="96" t="s">
        <v>28</v>
      </c>
      <c r="P57" s="95" t="s">
        <v>1063</v>
      </c>
      <c r="Q57" s="95" t="s">
        <v>28</v>
      </c>
      <c r="R57" s="95" t="s">
        <v>1063</v>
      </c>
      <c r="S57" s="95" t="s">
        <v>28</v>
      </c>
      <c r="T57" s="95" t="s">
        <v>1063</v>
      </c>
      <c r="U57" s="95" t="s">
        <v>28</v>
      </c>
      <c r="V57" s="95" t="s">
        <v>1063</v>
      </c>
      <c r="W57" s="95" t="s">
        <v>28</v>
      </c>
      <c r="X57" s="95" t="s">
        <v>1063</v>
      </c>
      <c r="Y57" s="95" t="s">
        <v>28</v>
      </c>
      <c r="Z57" s="95" t="s">
        <v>1063</v>
      </c>
      <c r="AA57" s="95">
        <v>10</v>
      </c>
      <c r="AB57" s="95" t="s">
        <v>1063</v>
      </c>
      <c r="AC57" s="95">
        <v>6</v>
      </c>
      <c r="AD57" s="173" t="s">
        <v>1063</v>
      </c>
      <c r="AE57" s="96" t="s">
        <v>28</v>
      </c>
      <c r="AF57" s="173" t="s">
        <v>28</v>
      </c>
    </row>
    <row r="58" spans="1:32" ht="11.85" customHeight="1">
      <c r="A58" s="89" t="s">
        <v>63</v>
      </c>
      <c r="B58" s="170" t="s">
        <v>64</v>
      </c>
      <c r="C58" s="91">
        <v>32</v>
      </c>
      <c r="D58" s="91" t="s">
        <v>395</v>
      </c>
      <c r="E58" s="91">
        <v>22</v>
      </c>
      <c r="F58" s="91" t="s">
        <v>395</v>
      </c>
      <c r="G58" s="91">
        <v>2</v>
      </c>
      <c r="H58" s="91" t="s">
        <v>1063</v>
      </c>
      <c r="I58" s="91">
        <v>1</v>
      </c>
      <c r="J58" s="91" t="s">
        <v>1063</v>
      </c>
      <c r="K58" s="91">
        <v>1</v>
      </c>
      <c r="L58" s="91" t="s">
        <v>1063</v>
      </c>
      <c r="M58" s="91">
        <v>1</v>
      </c>
      <c r="N58" s="91" t="s">
        <v>1063</v>
      </c>
      <c r="O58" s="92" t="s">
        <v>28</v>
      </c>
      <c r="P58" s="91" t="s">
        <v>1063</v>
      </c>
      <c r="Q58" s="91" t="s">
        <v>28</v>
      </c>
      <c r="R58" s="91" t="s">
        <v>1063</v>
      </c>
      <c r="S58" s="91">
        <v>1</v>
      </c>
      <c r="T58" s="91" t="s">
        <v>1063</v>
      </c>
      <c r="U58" s="91">
        <v>1</v>
      </c>
      <c r="V58" s="91" t="s">
        <v>1063</v>
      </c>
      <c r="W58" s="91">
        <v>2</v>
      </c>
      <c r="X58" s="91" t="s">
        <v>1063</v>
      </c>
      <c r="Y58" s="91">
        <v>2</v>
      </c>
      <c r="Z58" s="91" t="s">
        <v>1063</v>
      </c>
      <c r="AA58" s="91">
        <v>1</v>
      </c>
      <c r="AB58" s="91" t="s">
        <v>1063</v>
      </c>
      <c r="AC58" s="91" t="s">
        <v>28</v>
      </c>
      <c r="AD58" s="171" t="s">
        <v>1063</v>
      </c>
      <c r="AE58" s="92" t="s">
        <v>28</v>
      </c>
      <c r="AF58" s="171" t="s">
        <v>28</v>
      </c>
    </row>
    <row r="59" spans="1:32" ht="11.85" customHeight="1">
      <c r="A59" s="94" t="s">
        <v>29</v>
      </c>
      <c r="B59" s="172" t="s">
        <v>30</v>
      </c>
      <c r="C59" s="95">
        <v>32</v>
      </c>
      <c r="D59" s="95" t="s">
        <v>395</v>
      </c>
      <c r="E59" s="95">
        <v>22</v>
      </c>
      <c r="F59" s="95" t="s">
        <v>395</v>
      </c>
      <c r="G59" s="95">
        <v>2</v>
      </c>
      <c r="H59" s="95" t="s">
        <v>1063</v>
      </c>
      <c r="I59" s="95">
        <v>1</v>
      </c>
      <c r="J59" s="95" t="s">
        <v>1063</v>
      </c>
      <c r="K59" s="95">
        <v>1</v>
      </c>
      <c r="L59" s="95" t="s">
        <v>1063</v>
      </c>
      <c r="M59" s="95">
        <v>1</v>
      </c>
      <c r="N59" s="95" t="s">
        <v>1063</v>
      </c>
      <c r="O59" s="96" t="s">
        <v>28</v>
      </c>
      <c r="P59" s="95" t="s">
        <v>1063</v>
      </c>
      <c r="Q59" s="95" t="s">
        <v>28</v>
      </c>
      <c r="R59" s="95" t="s">
        <v>1063</v>
      </c>
      <c r="S59" s="95">
        <v>1</v>
      </c>
      <c r="T59" s="95" t="s">
        <v>1063</v>
      </c>
      <c r="U59" s="95">
        <v>1</v>
      </c>
      <c r="V59" s="95" t="s">
        <v>1063</v>
      </c>
      <c r="W59" s="95">
        <v>2</v>
      </c>
      <c r="X59" s="95" t="s">
        <v>1063</v>
      </c>
      <c r="Y59" s="95">
        <v>2</v>
      </c>
      <c r="Z59" s="95" t="s">
        <v>1063</v>
      </c>
      <c r="AA59" s="95">
        <v>1</v>
      </c>
      <c r="AB59" s="95" t="s">
        <v>1063</v>
      </c>
      <c r="AC59" s="95" t="s">
        <v>28</v>
      </c>
      <c r="AD59" s="173" t="s">
        <v>1063</v>
      </c>
      <c r="AE59" s="96" t="s">
        <v>28</v>
      </c>
      <c r="AF59" s="173" t="s">
        <v>28</v>
      </c>
    </row>
    <row r="60" spans="1:32" ht="11.85" customHeight="1" thickBot="1">
      <c r="A60" s="1826" t="s">
        <v>31</v>
      </c>
      <c r="B60" s="174" t="s">
        <v>32</v>
      </c>
      <c r="C60" s="99" t="s">
        <v>28</v>
      </c>
      <c r="D60" s="99" t="s">
        <v>1063</v>
      </c>
      <c r="E60" s="99" t="s">
        <v>28</v>
      </c>
      <c r="F60" s="99" t="s">
        <v>1063</v>
      </c>
      <c r="G60" s="99" t="s">
        <v>28</v>
      </c>
      <c r="H60" s="99" t="s">
        <v>1063</v>
      </c>
      <c r="I60" s="99" t="s">
        <v>28</v>
      </c>
      <c r="J60" s="99" t="s">
        <v>1063</v>
      </c>
      <c r="K60" s="99" t="s">
        <v>28</v>
      </c>
      <c r="L60" s="99" t="s">
        <v>1063</v>
      </c>
      <c r="M60" s="99" t="s">
        <v>28</v>
      </c>
      <c r="N60" s="99" t="s">
        <v>1063</v>
      </c>
      <c r="O60" s="100" t="s">
        <v>28</v>
      </c>
      <c r="P60" s="99" t="s">
        <v>1063</v>
      </c>
      <c r="Q60" s="99" t="s">
        <v>28</v>
      </c>
      <c r="R60" s="99" t="s">
        <v>1063</v>
      </c>
      <c r="S60" s="99" t="s">
        <v>28</v>
      </c>
      <c r="T60" s="99" t="s">
        <v>1063</v>
      </c>
      <c r="U60" s="99" t="s">
        <v>28</v>
      </c>
      <c r="V60" s="99" t="s">
        <v>1063</v>
      </c>
      <c r="W60" s="99" t="s">
        <v>28</v>
      </c>
      <c r="X60" s="99" t="s">
        <v>1063</v>
      </c>
      <c r="Y60" s="99" t="s">
        <v>28</v>
      </c>
      <c r="Z60" s="99" t="s">
        <v>1063</v>
      </c>
      <c r="AA60" s="99" t="s">
        <v>28</v>
      </c>
      <c r="AB60" s="99" t="s">
        <v>1063</v>
      </c>
      <c r="AC60" s="99" t="s">
        <v>28</v>
      </c>
      <c r="AD60" s="1827" t="s">
        <v>1063</v>
      </c>
      <c r="AE60" s="100" t="s">
        <v>28</v>
      </c>
      <c r="AF60" s="1827" t="s">
        <v>28</v>
      </c>
    </row>
    <row r="61" spans="1:32" s="176" customFormat="1" ht="13.5" customHeight="1">
      <c r="A61" s="1328" t="s">
        <v>1232</v>
      </c>
      <c r="B61" s="1328"/>
      <c r="C61" s="1328"/>
      <c r="D61" s="1328"/>
      <c r="E61" s="1328"/>
      <c r="F61" s="1328"/>
      <c r="G61" s="1328"/>
      <c r="H61" s="1328"/>
      <c r="I61" s="1328"/>
      <c r="J61" s="1328"/>
      <c r="K61" s="1328"/>
      <c r="L61" s="1328"/>
      <c r="M61" s="1328"/>
      <c r="N61" s="1328"/>
      <c r="O61" s="1328" t="s">
        <v>1228</v>
      </c>
      <c r="P61" s="1328"/>
      <c r="Q61" s="1328"/>
      <c r="R61" s="1328"/>
      <c r="S61" s="1328"/>
      <c r="T61" s="1328"/>
      <c r="U61" s="1328"/>
      <c r="V61" s="1328"/>
      <c r="W61" s="1328"/>
      <c r="X61" s="1328"/>
      <c r="Y61" s="1328"/>
      <c r="Z61" s="1328"/>
      <c r="AA61" s="1328"/>
      <c r="AB61" s="1328"/>
      <c r="AC61" s="1328"/>
      <c r="AD61" s="1328"/>
      <c r="AE61" s="1328"/>
      <c r="AF61" s="1328"/>
    </row>
    <row r="62" spans="1:32" s="176" customFormat="1" ht="12.75" customHeight="1">
      <c r="A62" s="1064" t="s">
        <v>1233</v>
      </c>
      <c r="B62" s="1064"/>
      <c r="C62" s="1064"/>
      <c r="D62" s="1064"/>
      <c r="E62" s="1064"/>
      <c r="F62" s="1064"/>
      <c r="G62" s="1064"/>
      <c r="H62" s="1064"/>
      <c r="I62" s="1064"/>
      <c r="J62" s="1064"/>
      <c r="K62" s="1064"/>
      <c r="L62" s="1064"/>
      <c r="M62" s="1064"/>
      <c r="N62" s="1064"/>
      <c r="O62" s="1064" t="s">
        <v>1230</v>
      </c>
      <c r="P62" s="1064"/>
      <c r="Q62" s="1064"/>
      <c r="R62" s="1064"/>
      <c r="S62" s="1064"/>
      <c r="T62" s="1064"/>
      <c r="U62" s="1064"/>
      <c r="V62" s="1064"/>
      <c r="W62" s="1064"/>
      <c r="X62" s="1064"/>
      <c r="Y62" s="1064"/>
      <c r="Z62" s="1064"/>
      <c r="AA62" s="1064"/>
      <c r="AB62" s="1064"/>
      <c r="AC62" s="1064"/>
      <c r="AD62" s="1064"/>
      <c r="AE62" s="1064"/>
      <c r="AF62" s="1064"/>
    </row>
    <row r="63" spans="1:32" ht="12" customHeight="1">
      <c r="A63" s="1064" t="s">
        <v>1234</v>
      </c>
      <c r="B63" s="1064"/>
      <c r="C63" s="1064"/>
      <c r="D63" s="1064"/>
      <c r="E63" s="1064"/>
      <c r="F63" s="1064"/>
      <c r="G63" s="1064"/>
      <c r="H63" s="1064"/>
      <c r="I63" s="1064"/>
      <c r="J63" s="1064"/>
      <c r="K63" s="1064"/>
      <c r="L63" s="1064"/>
      <c r="M63" s="1064"/>
      <c r="N63" s="1064"/>
      <c r="O63" s="1064" t="s">
        <v>1231</v>
      </c>
      <c r="P63" s="1064"/>
      <c r="Q63" s="1064"/>
      <c r="R63" s="1064"/>
      <c r="S63" s="1064"/>
      <c r="T63" s="1064"/>
      <c r="U63" s="1064"/>
      <c r="V63" s="1064"/>
      <c r="W63" s="1064"/>
      <c r="X63" s="1064"/>
      <c r="Y63" s="1064"/>
      <c r="Z63" s="1064"/>
      <c r="AA63" s="1064"/>
      <c r="AB63" s="1064"/>
      <c r="AC63" s="1064"/>
      <c r="AD63" s="1064"/>
      <c r="AE63" s="1064"/>
      <c r="AF63" s="1064"/>
    </row>
  </sheetData>
  <mergeCells count="71">
    <mergeCell ref="O63:AF63"/>
    <mergeCell ref="A63:N63"/>
    <mergeCell ref="A62:N62"/>
    <mergeCell ref="O62:AF62"/>
    <mergeCell ref="M10:N10"/>
    <mergeCell ref="C10:D10"/>
    <mergeCell ref="E10:F10"/>
    <mergeCell ref="G10:H10"/>
    <mergeCell ref="A14:N14"/>
    <mergeCell ref="K10:L10"/>
    <mergeCell ref="I10:J10"/>
    <mergeCell ref="A10:B10"/>
    <mergeCell ref="S10:T10"/>
    <mergeCell ref="U10:V10"/>
    <mergeCell ref="O10:P10"/>
    <mergeCell ref="O14:AF14"/>
    <mergeCell ref="A30:N30"/>
    <mergeCell ref="O30:AF30"/>
    <mergeCell ref="A61:N61"/>
    <mergeCell ref="O61:AF61"/>
    <mergeCell ref="AC9:AD9"/>
    <mergeCell ref="Y10:Z10"/>
    <mergeCell ref="Q10:R10"/>
    <mergeCell ref="W10:X10"/>
    <mergeCell ref="AC10:AD10"/>
    <mergeCell ref="AA10:AB10"/>
    <mergeCell ref="AE8:AF8"/>
    <mergeCell ref="A9:B9"/>
    <mergeCell ref="C9:D9"/>
    <mergeCell ref="E9:F9"/>
    <mergeCell ref="G9:H9"/>
    <mergeCell ref="I9:J9"/>
    <mergeCell ref="K9:L9"/>
    <mergeCell ref="AA9:AB9"/>
    <mergeCell ref="S9:T9"/>
    <mergeCell ref="U9:V9"/>
    <mergeCell ref="Y9:Z9"/>
    <mergeCell ref="W9:X9"/>
    <mergeCell ref="M9:N9"/>
    <mergeCell ref="O9:P9"/>
    <mergeCell ref="Q9:R9"/>
    <mergeCell ref="A8:B8"/>
    <mergeCell ref="C8:F8"/>
    <mergeCell ref="G8:J8"/>
    <mergeCell ref="AA8:AD8"/>
    <mergeCell ref="K7:N7"/>
    <mergeCell ref="K8:N8"/>
    <mergeCell ref="O7:R7"/>
    <mergeCell ref="O8:R8"/>
    <mergeCell ref="W8:Z8"/>
    <mergeCell ref="S8:V8"/>
    <mergeCell ref="AE6:AF7"/>
    <mergeCell ref="A7:B7"/>
    <mergeCell ref="C7:F7"/>
    <mergeCell ref="S7:V7"/>
    <mergeCell ref="W7:Z7"/>
    <mergeCell ref="AA7:AD7"/>
    <mergeCell ref="G7:J7"/>
    <mergeCell ref="A6:B6"/>
    <mergeCell ref="C6:N6"/>
    <mergeCell ref="O6:AD6"/>
    <mergeCell ref="A5:B5"/>
    <mergeCell ref="C5:N5"/>
    <mergeCell ref="A2:N2"/>
    <mergeCell ref="O2:AF2"/>
    <mergeCell ref="A3:N3"/>
    <mergeCell ref="O3:AF3"/>
    <mergeCell ref="A4:N4"/>
    <mergeCell ref="O4:AF4"/>
    <mergeCell ref="O5:AD5"/>
    <mergeCell ref="AE5:AF5"/>
  </mergeCells>
  <phoneticPr fontId="4" type="noConversion"/>
  <hyperlinks>
    <hyperlink ref="A1" location="목록!A1" display="목록!A1" xr:uid="{96D363C2-9756-4177-BA19-7C61A8F6D2CA}"/>
  </hyperlinks>
  <printOptions horizontalCentered="1"/>
  <pageMargins left="0.59055118110236227" right="0.59055118110236227" top="0.78740157480314965" bottom="0.59055118110236227" header="0.62992125984251968" footer="0.39370078740157483"/>
  <pageSetup paperSize="9" scale="98" orientation="portrait" r:id="rId1"/>
  <colBreaks count="1" manualBreakCount="1">
    <brk id="14"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AF83"/>
  <sheetViews>
    <sheetView showGridLines="0" showWhiteSpace="0" view="pageBreakPreview" zoomScaleNormal="100" zoomScaleSheetLayoutView="100" workbookViewId="0">
      <selection activeCell="A2" sqref="A2:AF63"/>
    </sheetView>
  </sheetViews>
  <sheetFormatPr defaultRowHeight="16.5"/>
  <cols>
    <col min="1" max="1" width="8.44140625" style="152" customWidth="1"/>
    <col min="2" max="2" width="14.5546875" style="152" customWidth="1"/>
    <col min="3" max="25" width="5.5546875" style="152" customWidth="1"/>
    <col min="26" max="26" width="5.5546875" style="153" customWidth="1"/>
  </cols>
  <sheetData>
    <row r="1" spans="1:32" ht="22.5">
      <c r="A1" s="901" t="s">
        <v>1332</v>
      </c>
    </row>
    <row r="2" spans="1:32" s="3" customFormat="1" ht="13.5" customHeight="1">
      <c r="A2" s="1035" t="s">
        <v>1032</v>
      </c>
      <c r="B2" s="1035"/>
      <c r="C2" s="1035"/>
      <c r="D2" s="1035"/>
      <c r="E2" s="1035"/>
      <c r="F2" s="1035"/>
      <c r="G2" s="1035"/>
      <c r="H2" s="1035"/>
      <c r="I2" s="1035"/>
      <c r="J2" s="1035"/>
      <c r="K2" s="1035"/>
      <c r="L2" s="1035"/>
      <c r="M2" s="1035"/>
      <c r="N2" s="1035"/>
      <c r="O2" s="1036" t="s">
        <v>1052</v>
      </c>
      <c r="P2" s="1036"/>
      <c r="Q2" s="1036"/>
      <c r="R2" s="1036"/>
      <c r="S2" s="1036"/>
      <c r="T2" s="1036"/>
      <c r="U2" s="1036"/>
      <c r="V2" s="1036"/>
      <c r="W2" s="1036"/>
      <c r="X2" s="1036"/>
      <c r="Y2" s="1036"/>
      <c r="Z2" s="1036"/>
      <c r="AA2" s="1036"/>
      <c r="AB2" s="1036"/>
      <c r="AC2" s="1036"/>
      <c r="AD2" s="1036"/>
      <c r="AE2" s="1036"/>
      <c r="AF2" s="1036"/>
    </row>
    <row r="3" spans="1:32" s="4" customFormat="1" ht="20.25" customHeight="1">
      <c r="A3" s="1037" t="s">
        <v>924</v>
      </c>
      <c r="B3" s="1037"/>
      <c r="C3" s="1037"/>
      <c r="D3" s="1037"/>
      <c r="E3" s="1037"/>
      <c r="F3" s="1037"/>
      <c r="G3" s="1037"/>
      <c r="H3" s="1037"/>
      <c r="I3" s="1037"/>
      <c r="J3" s="1037"/>
      <c r="K3" s="1037"/>
      <c r="L3" s="1037"/>
      <c r="M3" s="1037"/>
      <c r="N3" s="1037"/>
      <c r="O3" s="1037" t="s">
        <v>923</v>
      </c>
      <c r="P3" s="1037"/>
      <c r="Q3" s="1037"/>
      <c r="R3" s="1037"/>
      <c r="S3" s="1037"/>
      <c r="T3" s="1037"/>
      <c r="U3" s="1060"/>
      <c r="V3" s="1060"/>
      <c r="W3" s="1060"/>
      <c r="X3" s="1060"/>
      <c r="Y3" s="1060"/>
      <c r="Z3" s="1060"/>
      <c r="AA3" s="1060"/>
      <c r="AB3" s="1060"/>
      <c r="AC3" s="1060"/>
      <c r="AD3" s="1060"/>
      <c r="AE3" s="1060"/>
      <c r="AF3" s="1060"/>
    </row>
    <row r="4" spans="1:32" s="4" customFormat="1" ht="3.75" customHeight="1" thickBot="1">
      <c r="A4" s="1061"/>
      <c r="B4" s="1061"/>
      <c r="C4" s="1061"/>
      <c r="D4" s="1061"/>
      <c r="E4" s="1061"/>
      <c r="F4" s="1061"/>
      <c r="G4" s="1061"/>
      <c r="H4" s="1061"/>
      <c r="I4" s="1061"/>
      <c r="J4" s="1061"/>
      <c r="K4" s="1061"/>
      <c r="L4" s="1061"/>
      <c r="M4" s="1061"/>
      <c r="N4" s="1061"/>
      <c r="O4" s="1818"/>
      <c r="P4" s="1818"/>
      <c r="Q4" s="1818"/>
      <c r="R4" s="1818"/>
      <c r="S4" s="1818"/>
      <c r="T4" s="1818"/>
      <c r="U4" s="1818"/>
      <c r="V4" s="1818"/>
      <c r="W4" s="1818"/>
      <c r="X4" s="1818"/>
      <c r="Y4" s="1818"/>
      <c r="Z4" s="1818"/>
      <c r="AA4" s="1818"/>
      <c r="AB4" s="1818"/>
      <c r="AC4" s="1818"/>
      <c r="AD4" s="1818"/>
      <c r="AE4" s="1818"/>
      <c r="AF4" s="1818"/>
    </row>
    <row r="5" spans="1:32" ht="10.5" customHeight="1">
      <c r="A5" s="1004" t="s">
        <v>2</v>
      </c>
      <c r="B5" s="1015"/>
      <c r="C5" s="1003" t="s">
        <v>153</v>
      </c>
      <c r="D5" s="1004"/>
      <c r="E5" s="1004"/>
      <c r="F5" s="1004"/>
      <c r="G5" s="1004"/>
      <c r="H5" s="1004"/>
      <c r="I5" s="1004"/>
      <c r="J5" s="1004"/>
      <c r="K5" s="1004"/>
      <c r="L5" s="1004"/>
      <c r="M5" s="1004"/>
      <c r="N5" s="1004"/>
      <c r="O5" s="1381" t="s">
        <v>153</v>
      </c>
      <c r="P5" s="1381"/>
      <c r="Q5" s="1381"/>
      <c r="R5" s="1381"/>
      <c r="S5" s="1381"/>
      <c r="T5" s="1381"/>
      <c r="U5" s="1381"/>
      <c r="V5" s="1381"/>
      <c r="W5" s="1381"/>
      <c r="X5" s="1381"/>
      <c r="Y5" s="1381"/>
      <c r="Z5" s="1381"/>
      <c r="AA5" s="1381"/>
      <c r="AB5" s="1381"/>
      <c r="AC5" s="1381"/>
      <c r="AD5" s="1381"/>
      <c r="AE5" s="1316" t="s">
        <v>692</v>
      </c>
      <c r="AF5" s="1819"/>
    </row>
    <row r="6" spans="1:32" ht="10.5" customHeight="1">
      <c r="A6" s="1039" t="s">
        <v>7</v>
      </c>
      <c r="B6" s="1010"/>
      <c r="C6" s="1013" t="s">
        <v>155</v>
      </c>
      <c r="D6" s="1007"/>
      <c r="E6" s="1007"/>
      <c r="F6" s="1007"/>
      <c r="G6" s="1007"/>
      <c r="H6" s="1007"/>
      <c r="I6" s="1007"/>
      <c r="J6" s="1007"/>
      <c r="K6" s="1007"/>
      <c r="L6" s="1007"/>
      <c r="M6" s="1007"/>
      <c r="N6" s="1007"/>
      <c r="O6" s="1007" t="s">
        <v>155</v>
      </c>
      <c r="P6" s="1007"/>
      <c r="Q6" s="1007"/>
      <c r="R6" s="1007"/>
      <c r="S6" s="1007"/>
      <c r="T6" s="1007"/>
      <c r="U6" s="1007"/>
      <c r="V6" s="1007"/>
      <c r="W6" s="1007"/>
      <c r="X6" s="1007"/>
      <c r="Y6" s="1007"/>
      <c r="Z6" s="1007"/>
      <c r="AA6" s="1007"/>
      <c r="AB6" s="1007"/>
      <c r="AC6" s="1007"/>
      <c r="AD6" s="1007"/>
      <c r="AE6" s="1317" t="s">
        <v>163</v>
      </c>
      <c r="AF6" s="1318"/>
    </row>
    <row r="7" spans="1:32" ht="10.5" customHeight="1">
      <c r="A7" s="1319"/>
      <c r="B7" s="1015"/>
      <c r="C7" s="1320" t="s">
        <v>441</v>
      </c>
      <c r="D7" s="1321"/>
      <c r="E7" s="1321"/>
      <c r="F7" s="1322"/>
      <c r="G7" s="1320" t="s">
        <v>551</v>
      </c>
      <c r="H7" s="1321"/>
      <c r="I7" s="1321"/>
      <c r="J7" s="1322"/>
      <c r="K7" s="1820" t="s">
        <v>1147</v>
      </c>
      <c r="L7" s="1821"/>
      <c r="M7" s="1821"/>
      <c r="N7" s="1822"/>
      <c r="O7" s="1820" t="s">
        <v>554</v>
      </c>
      <c r="P7" s="1821"/>
      <c r="Q7" s="1821"/>
      <c r="R7" s="1823"/>
      <c r="S7" s="1323" t="s">
        <v>442</v>
      </c>
      <c r="T7" s="1324"/>
      <c r="U7" s="1324"/>
      <c r="V7" s="1325"/>
      <c r="W7" s="1323" t="s">
        <v>443</v>
      </c>
      <c r="X7" s="1324"/>
      <c r="Y7" s="1324"/>
      <c r="Z7" s="1325"/>
      <c r="AA7" s="1323" t="s">
        <v>444</v>
      </c>
      <c r="AB7" s="1324"/>
      <c r="AC7" s="1324"/>
      <c r="AD7" s="1324"/>
      <c r="AE7" s="1317"/>
      <c r="AF7" s="1318"/>
    </row>
    <row r="8" spans="1:32" ht="10.5" customHeight="1">
      <c r="A8" s="1039"/>
      <c r="B8" s="1010"/>
      <c r="C8" s="1161" t="s">
        <v>18</v>
      </c>
      <c r="D8" s="1169"/>
      <c r="E8" s="1169"/>
      <c r="F8" s="1162"/>
      <c r="G8" s="1161" t="s">
        <v>552</v>
      </c>
      <c r="H8" s="1169"/>
      <c r="I8" s="1169"/>
      <c r="J8" s="1162"/>
      <c r="K8" s="1161" t="s">
        <v>553</v>
      </c>
      <c r="L8" s="1169"/>
      <c r="M8" s="1169"/>
      <c r="N8" s="1162"/>
      <c r="O8" s="1161" t="s">
        <v>164</v>
      </c>
      <c r="P8" s="1169"/>
      <c r="Q8" s="1169"/>
      <c r="R8" s="1162"/>
      <c r="S8" s="1013" t="s">
        <v>555</v>
      </c>
      <c r="T8" s="1007"/>
      <c r="U8" s="1007"/>
      <c r="V8" s="1008"/>
      <c r="W8" s="1013" t="s">
        <v>556</v>
      </c>
      <c r="X8" s="1007"/>
      <c r="Y8" s="1007"/>
      <c r="Z8" s="1008"/>
      <c r="AA8" s="1013" t="s">
        <v>165</v>
      </c>
      <c r="AB8" s="1007"/>
      <c r="AC8" s="1007"/>
      <c r="AD8" s="1007"/>
      <c r="AE8" s="1326"/>
      <c r="AF8" s="1327"/>
    </row>
    <row r="9" spans="1:32" ht="9" customHeight="1">
      <c r="A9" s="1319"/>
      <c r="B9" s="1015"/>
      <c r="C9" s="1025" t="s">
        <v>13</v>
      </c>
      <c r="D9" s="1024"/>
      <c r="E9" s="1025" t="s">
        <v>23</v>
      </c>
      <c r="F9" s="1024"/>
      <c r="G9" s="1025" t="s">
        <v>13</v>
      </c>
      <c r="H9" s="1024"/>
      <c r="I9" s="1025" t="s">
        <v>23</v>
      </c>
      <c r="J9" s="1024"/>
      <c r="K9" s="1025" t="s">
        <v>13</v>
      </c>
      <c r="L9" s="1024"/>
      <c r="M9" s="1025" t="s">
        <v>23</v>
      </c>
      <c r="N9" s="1024"/>
      <c r="O9" s="1026" t="s">
        <v>13</v>
      </c>
      <c r="P9" s="1026"/>
      <c r="Q9" s="1025" t="s">
        <v>23</v>
      </c>
      <c r="R9" s="1024"/>
      <c r="S9" s="1025" t="s">
        <v>13</v>
      </c>
      <c r="T9" s="1024"/>
      <c r="U9" s="1025" t="s">
        <v>23</v>
      </c>
      <c r="V9" s="1024"/>
      <c r="W9" s="1025" t="s">
        <v>13</v>
      </c>
      <c r="X9" s="1024"/>
      <c r="Y9" s="1025" t="s">
        <v>23</v>
      </c>
      <c r="Z9" s="1024"/>
      <c r="AA9" s="1025" t="s">
        <v>13</v>
      </c>
      <c r="AB9" s="1024"/>
      <c r="AC9" s="1025" t="s">
        <v>23</v>
      </c>
      <c r="AD9" s="1023"/>
      <c r="AE9" s="918" t="s">
        <v>13</v>
      </c>
      <c r="AF9" s="348" t="s">
        <v>23</v>
      </c>
    </row>
    <row r="10" spans="1:32" ht="9" customHeight="1">
      <c r="A10" s="1007"/>
      <c r="B10" s="1008"/>
      <c r="C10" s="1013" t="s">
        <v>25</v>
      </c>
      <c r="D10" s="1008"/>
      <c r="E10" s="1013" t="s">
        <v>26</v>
      </c>
      <c r="F10" s="1008"/>
      <c r="G10" s="1013" t="s">
        <v>25</v>
      </c>
      <c r="H10" s="1008"/>
      <c r="I10" s="1013" t="s">
        <v>26</v>
      </c>
      <c r="J10" s="1008"/>
      <c r="K10" s="1013" t="s">
        <v>25</v>
      </c>
      <c r="L10" s="1008"/>
      <c r="M10" s="1013" t="s">
        <v>26</v>
      </c>
      <c r="N10" s="1008"/>
      <c r="O10" s="1019" t="s">
        <v>25</v>
      </c>
      <c r="P10" s="1019"/>
      <c r="Q10" s="1013" t="s">
        <v>26</v>
      </c>
      <c r="R10" s="1008"/>
      <c r="S10" s="1013" t="s">
        <v>25</v>
      </c>
      <c r="T10" s="1008"/>
      <c r="U10" s="1013" t="s">
        <v>26</v>
      </c>
      <c r="V10" s="1008"/>
      <c r="W10" s="1013" t="s">
        <v>25</v>
      </c>
      <c r="X10" s="1008"/>
      <c r="Y10" s="1013" t="s">
        <v>26</v>
      </c>
      <c r="Z10" s="1008"/>
      <c r="AA10" s="1013" t="s">
        <v>25</v>
      </c>
      <c r="AB10" s="1008"/>
      <c r="AC10" s="1013" t="s">
        <v>26</v>
      </c>
      <c r="AD10" s="1007"/>
      <c r="AE10" s="910" t="s">
        <v>25</v>
      </c>
      <c r="AF10" s="349" t="s">
        <v>26</v>
      </c>
    </row>
    <row r="11" spans="1:32" ht="9" customHeight="1">
      <c r="A11" s="89" t="s">
        <v>27</v>
      </c>
      <c r="B11" s="170" t="s">
        <v>16</v>
      </c>
      <c r="C11" s="91">
        <v>2452</v>
      </c>
      <c r="D11" s="1824" t="s">
        <v>1389</v>
      </c>
      <c r="E11" s="1824">
        <v>1869</v>
      </c>
      <c r="F11" s="1824" t="s">
        <v>1390</v>
      </c>
      <c r="G11" s="1824">
        <v>151</v>
      </c>
      <c r="H11" s="1824" t="s">
        <v>1127</v>
      </c>
      <c r="I11" s="1824">
        <v>115</v>
      </c>
      <c r="J11" s="1824" t="s">
        <v>1160</v>
      </c>
      <c r="K11" s="1824">
        <v>79</v>
      </c>
      <c r="L11" s="1824" t="s">
        <v>476</v>
      </c>
      <c r="M11" s="1824">
        <v>70</v>
      </c>
      <c r="N11" s="1824" t="s">
        <v>476</v>
      </c>
      <c r="O11" s="92">
        <v>28</v>
      </c>
      <c r="P11" s="92" t="s">
        <v>418</v>
      </c>
      <c r="Q11" s="91">
        <v>27</v>
      </c>
      <c r="R11" s="91" t="s">
        <v>418</v>
      </c>
      <c r="S11" s="91">
        <v>115</v>
      </c>
      <c r="T11" s="91" t="s">
        <v>1391</v>
      </c>
      <c r="U11" s="91">
        <v>115</v>
      </c>
      <c r="V11" s="91" t="s">
        <v>1391</v>
      </c>
      <c r="W11" s="91">
        <v>36</v>
      </c>
      <c r="X11" s="91" t="s">
        <v>413</v>
      </c>
      <c r="Y11" s="91">
        <v>35</v>
      </c>
      <c r="Z11" s="91" t="s">
        <v>413</v>
      </c>
      <c r="AA11" s="91">
        <v>1676</v>
      </c>
      <c r="AB11" s="91" t="s">
        <v>1063</v>
      </c>
      <c r="AC11" s="91">
        <v>1184</v>
      </c>
      <c r="AD11" s="171" t="s">
        <v>1063</v>
      </c>
      <c r="AE11" s="92">
        <v>73</v>
      </c>
      <c r="AF11" s="1825">
        <v>60</v>
      </c>
    </row>
    <row r="12" spans="1:32" ht="9" customHeight="1">
      <c r="A12" s="94" t="s">
        <v>29</v>
      </c>
      <c r="B12" s="172" t="s">
        <v>30</v>
      </c>
      <c r="C12" s="95">
        <v>2364</v>
      </c>
      <c r="D12" s="95" t="s">
        <v>1392</v>
      </c>
      <c r="E12" s="95">
        <v>1828</v>
      </c>
      <c r="F12" s="95" t="s">
        <v>1393</v>
      </c>
      <c r="G12" s="95">
        <v>150</v>
      </c>
      <c r="H12" s="95" t="s">
        <v>1127</v>
      </c>
      <c r="I12" s="95">
        <v>114</v>
      </c>
      <c r="J12" s="95" t="s">
        <v>1160</v>
      </c>
      <c r="K12" s="95">
        <v>75</v>
      </c>
      <c r="L12" s="95" t="s">
        <v>476</v>
      </c>
      <c r="M12" s="95">
        <v>66</v>
      </c>
      <c r="N12" s="95" t="s">
        <v>476</v>
      </c>
      <c r="O12" s="96">
        <v>28</v>
      </c>
      <c r="P12" s="96" t="s">
        <v>418</v>
      </c>
      <c r="Q12" s="95">
        <v>27</v>
      </c>
      <c r="R12" s="95" t="s">
        <v>418</v>
      </c>
      <c r="S12" s="95">
        <v>112</v>
      </c>
      <c r="T12" s="95" t="s">
        <v>990</v>
      </c>
      <c r="U12" s="95">
        <v>112</v>
      </c>
      <c r="V12" s="95" t="s">
        <v>990</v>
      </c>
      <c r="W12" s="95">
        <v>36</v>
      </c>
      <c r="X12" s="95" t="s">
        <v>413</v>
      </c>
      <c r="Y12" s="95">
        <v>35</v>
      </c>
      <c r="Z12" s="95" t="s">
        <v>413</v>
      </c>
      <c r="AA12" s="95">
        <v>1576</v>
      </c>
      <c r="AB12" s="95" t="s">
        <v>1063</v>
      </c>
      <c r="AC12" s="95">
        <v>1117</v>
      </c>
      <c r="AD12" s="173" t="s">
        <v>1063</v>
      </c>
      <c r="AE12" s="96">
        <v>66</v>
      </c>
      <c r="AF12" s="350">
        <v>53</v>
      </c>
    </row>
    <row r="13" spans="1:32" ht="9" customHeight="1" thickBot="1">
      <c r="A13" s="1826" t="s">
        <v>31</v>
      </c>
      <c r="B13" s="174" t="s">
        <v>32</v>
      </c>
      <c r="C13" s="99">
        <v>88</v>
      </c>
      <c r="D13" s="99" t="s">
        <v>477</v>
      </c>
      <c r="E13" s="99">
        <v>41</v>
      </c>
      <c r="F13" s="99" t="s">
        <v>416</v>
      </c>
      <c r="G13" s="99">
        <v>1</v>
      </c>
      <c r="H13" s="99" t="s">
        <v>1063</v>
      </c>
      <c r="I13" s="99">
        <v>1</v>
      </c>
      <c r="J13" s="99" t="s">
        <v>1063</v>
      </c>
      <c r="K13" s="99">
        <v>4</v>
      </c>
      <c r="L13" s="99" t="s">
        <v>1063</v>
      </c>
      <c r="M13" s="99">
        <v>4</v>
      </c>
      <c r="N13" s="99" t="s">
        <v>1063</v>
      </c>
      <c r="O13" s="100" t="s">
        <v>28</v>
      </c>
      <c r="P13" s="100" t="s">
        <v>1063</v>
      </c>
      <c r="Q13" s="99" t="s">
        <v>28</v>
      </c>
      <c r="R13" s="99" t="s">
        <v>1063</v>
      </c>
      <c r="S13" s="99">
        <v>3</v>
      </c>
      <c r="T13" s="99" t="s">
        <v>395</v>
      </c>
      <c r="U13" s="99">
        <v>3</v>
      </c>
      <c r="V13" s="99" t="s">
        <v>395</v>
      </c>
      <c r="W13" s="99" t="s">
        <v>28</v>
      </c>
      <c r="X13" s="99" t="s">
        <v>1063</v>
      </c>
      <c r="Y13" s="99" t="s">
        <v>28</v>
      </c>
      <c r="Z13" s="99" t="s">
        <v>1063</v>
      </c>
      <c r="AA13" s="99">
        <v>100</v>
      </c>
      <c r="AB13" s="99" t="s">
        <v>1063</v>
      </c>
      <c r="AC13" s="99">
        <v>67</v>
      </c>
      <c r="AD13" s="1827" t="s">
        <v>1063</v>
      </c>
      <c r="AE13" s="100">
        <v>7</v>
      </c>
      <c r="AF13" s="351">
        <v>7</v>
      </c>
    </row>
    <row r="14" spans="1:32" ht="9" customHeight="1" thickBot="1">
      <c r="A14" s="1062" t="s">
        <v>33</v>
      </c>
      <c r="B14" s="1062"/>
      <c r="C14" s="1062"/>
      <c r="D14" s="1062"/>
      <c r="E14" s="1062"/>
      <c r="F14" s="1062"/>
      <c r="G14" s="1062"/>
      <c r="H14" s="1062"/>
      <c r="I14" s="1062"/>
      <c r="J14" s="1062"/>
      <c r="K14" s="1062"/>
      <c r="L14" s="1062"/>
      <c r="M14" s="1062"/>
      <c r="N14" s="1062"/>
      <c r="O14" s="1062" t="s">
        <v>34</v>
      </c>
      <c r="P14" s="1062"/>
      <c r="Q14" s="1062"/>
      <c r="R14" s="1062"/>
      <c r="S14" s="1062"/>
      <c r="T14" s="1062"/>
      <c r="U14" s="1062"/>
      <c r="V14" s="1062"/>
      <c r="W14" s="1062"/>
      <c r="X14" s="1062"/>
      <c r="Y14" s="1062"/>
      <c r="Z14" s="1062"/>
      <c r="AA14" s="1062"/>
      <c r="AB14" s="1062"/>
      <c r="AC14" s="1062"/>
      <c r="AD14" s="1062"/>
      <c r="AE14" s="1062"/>
      <c r="AF14" s="1062"/>
    </row>
    <row r="15" spans="1:32" ht="9" customHeight="1">
      <c r="A15" s="89" t="s">
        <v>35</v>
      </c>
      <c r="B15" s="170" t="s">
        <v>36</v>
      </c>
      <c r="C15" s="91">
        <v>430</v>
      </c>
      <c r="D15" s="352" t="s">
        <v>1161</v>
      </c>
      <c r="E15" s="91">
        <v>293</v>
      </c>
      <c r="F15" s="352" t="s">
        <v>1156</v>
      </c>
      <c r="G15" s="91">
        <v>28</v>
      </c>
      <c r="H15" s="352" t="s">
        <v>418</v>
      </c>
      <c r="I15" s="91">
        <v>19</v>
      </c>
      <c r="J15" s="91" t="s">
        <v>395</v>
      </c>
      <c r="K15" s="91">
        <v>17</v>
      </c>
      <c r="L15" s="353" t="s">
        <v>417</v>
      </c>
      <c r="M15" s="91">
        <v>15</v>
      </c>
      <c r="N15" s="353" t="s">
        <v>417</v>
      </c>
      <c r="O15" s="93">
        <v>4</v>
      </c>
      <c r="P15" s="91" t="s">
        <v>1063</v>
      </c>
      <c r="Q15" s="91">
        <v>4</v>
      </c>
      <c r="R15" s="91" t="s">
        <v>1063</v>
      </c>
      <c r="S15" s="91">
        <v>21</v>
      </c>
      <c r="T15" s="91" t="s">
        <v>418</v>
      </c>
      <c r="U15" s="91">
        <v>21</v>
      </c>
      <c r="V15" s="91" t="s">
        <v>418</v>
      </c>
      <c r="W15" s="91">
        <v>7</v>
      </c>
      <c r="X15" s="91" t="s">
        <v>395</v>
      </c>
      <c r="Y15" s="91">
        <v>7</v>
      </c>
      <c r="Z15" s="91" t="s">
        <v>395</v>
      </c>
      <c r="AA15" s="91">
        <v>344</v>
      </c>
      <c r="AB15" s="91" t="s">
        <v>1063</v>
      </c>
      <c r="AC15" s="91">
        <v>251</v>
      </c>
      <c r="AD15" s="91" t="s">
        <v>1063</v>
      </c>
      <c r="AE15" s="91">
        <v>26</v>
      </c>
      <c r="AF15" s="171">
        <v>21</v>
      </c>
    </row>
    <row r="16" spans="1:32" ht="9" customHeight="1">
      <c r="A16" s="94" t="s">
        <v>29</v>
      </c>
      <c r="B16" s="172" t="s">
        <v>30</v>
      </c>
      <c r="C16" s="95">
        <v>370</v>
      </c>
      <c r="D16" s="354" t="s">
        <v>1359</v>
      </c>
      <c r="E16" s="95">
        <v>265</v>
      </c>
      <c r="F16" s="354" t="s">
        <v>1394</v>
      </c>
      <c r="G16" s="95">
        <v>28</v>
      </c>
      <c r="H16" s="354" t="s">
        <v>418</v>
      </c>
      <c r="I16" s="95">
        <v>19</v>
      </c>
      <c r="J16" s="95" t="s">
        <v>395</v>
      </c>
      <c r="K16" s="95">
        <v>13</v>
      </c>
      <c r="L16" s="355" t="s">
        <v>417</v>
      </c>
      <c r="M16" s="95">
        <v>11</v>
      </c>
      <c r="N16" s="355" t="s">
        <v>417</v>
      </c>
      <c r="O16" s="96">
        <v>4</v>
      </c>
      <c r="P16" s="95" t="s">
        <v>1063</v>
      </c>
      <c r="Q16" s="95">
        <v>4</v>
      </c>
      <c r="R16" s="95" t="s">
        <v>1063</v>
      </c>
      <c r="S16" s="95">
        <v>20</v>
      </c>
      <c r="T16" s="95" t="s">
        <v>418</v>
      </c>
      <c r="U16" s="95">
        <v>20</v>
      </c>
      <c r="V16" s="95" t="s">
        <v>418</v>
      </c>
      <c r="W16" s="95">
        <v>7</v>
      </c>
      <c r="X16" s="95" t="s">
        <v>395</v>
      </c>
      <c r="Y16" s="95">
        <v>7</v>
      </c>
      <c r="Z16" s="95" t="s">
        <v>395</v>
      </c>
      <c r="AA16" s="95">
        <v>279</v>
      </c>
      <c r="AB16" s="95" t="s">
        <v>1063</v>
      </c>
      <c r="AC16" s="95">
        <v>209</v>
      </c>
      <c r="AD16" s="173" t="s">
        <v>1063</v>
      </c>
      <c r="AE16" s="96">
        <v>25</v>
      </c>
      <c r="AF16" s="173">
        <v>20</v>
      </c>
    </row>
    <row r="17" spans="1:32" ht="9" customHeight="1">
      <c r="A17" s="94" t="s">
        <v>31</v>
      </c>
      <c r="B17" s="172" t="s">
        <v>32</v>
      </c>
      <c r="C17" s="95">
        <v>60</v>
      </c>
      <c r="D17" s="354" t="s">
        <v>416</v>
      </c>
      <c r="E17" s="95">
        <v>28</v>
      </c>
      <c r="F17" s="354" t="s">
        <v>418</v>
      </c>
      <c r="G17" s="95" t="s">
        <v>28</v>
      </c>
      <c r="H17" s="354" t="s">
        <v>1129</v>
      </c>
      <c r="I17" s="95" t="s">
        <v>28</v>
      </c>
      <c r="J17" s="95" t="s">
        <v>1129</v>
      </c>
      <c r="K17" s="95">
        <v>4</v>
      </c>
      <c r="L17" s="355" t="s">
        <v>1129</v>
      </c>
      <c r="M17" s="95">
        <v>4</v>
      </c>
      <c r="N17" s="355" t="s">
        <v>1063</v>
      </c>
      <c r="O17" s="96" t="s">
        <v>28</v>
      </c>
      <c r="P17" s="95" t="s">
        <v>1063</v>
      </c>
      <c r="Q17" s="95" t="s">
        <v>28</v>
      </c>
      <c r="R17" s="95" t="s">
        <v>1129</v>
      </c>
      <c r="S17" s="95">
        <v>1</v>
      </c>
      <c r="T17" s="95" t="s">
        <v>1063</v>
      </c>
      <c r="U17" s="95">
        <v>1</v>
      </c>
      <c r="V17" s="95" t="s">
        <v>1063</v>
      </c>
      <c r="W17" s="95" t="s">
        <v>28</v>
      </c>
      <c r="X17" s="95" t="s">
        <v>1063</v>
      </c>
      <c r="Y17" s="95" t="s">
        <v>28</v>
      </c>
      <c r="Z17" s="95" t="s">
        <v>1063</v>
      </c>
      <c r="AA17" s="95">
        <v>65</v>
      </c>
      <c r="AB17" s="95" t="s">
        <v>1063</v>
      </c>
      <c r="AC17" s="95">
        <v>42</v>
      </c>
      <c r="AD17" s="173" t="s">
        <v>1063</v>
      </c>
      <c r="AE17" s="96">
        <v>1</v>
      </c>
      <c r="AF17" s="173">
        <v>1</v>
      </c>
    </row>
    <row r="18" spans="1:32" ht="9" customHeight="1">
      <c r="A18" s="89" t="s">
        <v>37</v>
      </c>
      <c r="B18" s="170" t="s">
        <v>38</v>
      </c>
      <c r="C18" s="91">
        <v>593</v>
      </c>
      <c r="D18" s="91" t="s">
        <v>1395</v>
      </c>
      <c r="E18" s="91">
        <v>494</v>
      </c>
      <c r="F18" s="91" t="s">
        <v>1162</v>
      </c>
      <c r="G18" s="91">
        <v>41</v>
      </c>
      <c r="H18" s="91" t="s">
        <v>413</v>
      </c>
      <c r="I18" s="91">
        <v>34</v>
      </c>
      <c r="J18" s="91" t="s">
        <v>418</v>
      </c>
      <c r="K18" s="91">
        <v>19</v>
      </c>
      <c r="L18" s="91" t="s">
        <v>416</v>
      </c>
      <c r="M18" s="91">
        <v>16</v>
      </c>
      <c r="N18" s="91" t="s">
        <v>416</v>
      </c>
      <c r="O18" s="92">
        <v>7</v>
      </c>
      <c r="P18" s="91" t="s">
        <v>395</v>
      </c>
      <c r="Q18" s="91">
        <v>7</v>
      </c>
      <c r="R18" s="91" t="s">
        <v>395</v>
      </c>
      <c r="S18" s="91">
        <v>32</v>
      </c>
      <c r="T18" s="91" t="s">
        <v>418</v>
      </c>
      <c r="U18" s="91">
        <v>32</v>
      </c>
      <c r="V18" s="91" t="s">
        <v>418</v>
      </c>
      <c r="W18" s="91">
        <v>5</v>
      </c>
      <c r="X18" s="91" t="s">
        <v>395</v>
      </c>
      <c r="Y18" s="91">
        <v>5</v>
      </c>
      <c r="Z18" s="91" t="s">
        <v>395</v>
      </c>
      <c r="AA18" s="91">
        <v>321</v>
      </c>
      <c r="AB18" s="91" t="s">
        <v>1063</v>
      </c>
      <c r="AC18" s="91">
        <v>223</v>
      </c>
      <c r="AD18" s="91" t="s">
        <v>1063</v>
      </c>
      <c r="AE18" s="91">
        <v>12</v>
      </c>
      <c r="AF18" s="171">
        <v>10</v>
      </c>
    </row>
    <row r="19" spans="1:32" ht="9" customHeight="1">
      <c r="A19" s="94" t="s">
        <v>29</v>
      </c>
      <c r="B19" s="172" t="s">
        <v>30</v>
      </c>
      <c r="C19" s="95">
        <v>593</v>
      </c>
      <c r="D19" s="95" t="s">
        <v>1395</v>
      </c>
      <c r="E19" s="95">
        <v>494</v>
      </c>
      <c r="F19" s="95" t="s">
        <v>1162</v>
      </c>
      <c r="G19" s="95">
        <v>41</v>
      </c>
      <c r="H19" s="95" t="s">
        <v>413</v>
      </c>
      <c r="I19" s="95">
        <v>34</v>
      </c>
      <c r="J19" s="95" t="s">
        <v>418</v>
      </c>
      <c r="K19" s="95">
        <v>19</v>
      </c>
      <c r="L19" s="95" t="s">
        <v>416</v>
      </c>
      <c r="M19" s="95">
        <v>16</v>
      </c>
      <c r="N19" s="95" t="s">
        <v>416</v>
      </c>
      <c r="O19" s="96">
        <v>7</v>
      </c>
      <c r="P19" s="95" t="s">
        <v>395</v>
      </c>
      <c r="Q19" s="95">
        <v>7</v>
      </c>
      <c r="R19" s="95" t="s">
        <v>395</v>
      </c>
      <c r="S19" s="95">
        <v>32</v>
      </c>
      <c r="T19" s="95" t="s">
        <v>418</v>
      </c>
      <c r="U19" s="95">
        <v>32</v>
      </c>
      <c r="V19" s="95" t="s">
        <v>418</v>
      </c>
      <c r="W19" s="95">
        <v>5</v>
      </c>
      <c r="X19" s="95" t="s">
        <v>395</v>
      </c>
      <c r="Y19" s="95">
        <v>5</v>
      </c>
      <c r="Z19" s="95" t="s">
        <v>395</v>
      </c>
      <c r="AA19" s="95">
        <v>321</v>
      </c>
      <c r="AB19" s="95" t="s">
        <v>1063</v>
      </c>
      <c r="AC19" s="95">
        <v>223</v>
      </c>
      <c r="AD19" s="173" t="s">
        <v>1063</v>
      </c>
      <c r="AE19" s="96">
        <v>12</v>
      </c>
      <c r="AF19" s="356">
        <v>10</v>
      </c>
    </row>
    <row r="20" spans="1:32" ht="9" customHeight="1">
      <c r="A20" s="94" t="s">
        <v>31</v>
      </c>
      <c r="B20" s="172" t="s">
        <v>32</v>
      </c>
      <c r="C20" s="95" t="s">
        <v>28</v>
      </c>
      <c r="D20" s="95" t="s">
        <v>1129</v>
      </c>
      <c r="E20" s="95" t="s">
        <v>28</v>
      </c>
      <c r="F20" s="95" t="s">
        <v>1129</v>
      </c>
      <c r="G20" s="95" t="s">
        <v>28</v>
      </c>
      <c r="H20" s="95" t="s">
        <v>1129</v>
      </c>
      <c r="I20" s="95" t="s">
        <v>28</v>
      </c>
      <c r="J20" s="95" t="s">
        <v>1129</v>
      </c>
      <c r="K20" s="95" t="s">
        <v>28</v>
      </c>
      <c r="L20" s="95" t="s">
        <v>1129</v>
      </c>
      <c r="M20" s="95" t="s">
        <v>28</v>
      </c>
      <c r="N20" s="95" t="s">
        <v>1063</v>
      </c>
      <c r="O20" s="96" t="s">
        <v>28</v>
      </c>
      <c r="P20" s="95" t="s">
        <v>1063</v>
      </c>
      <c r="Q20" s="95" t="s">
        <v>28</v>
      </c>
      <c r="R20" s="95" t="s">
        <v>1063</v>
      </c>
      <c r="S20" s="95" t="s">
        <v>28</v>
      </c>
      <c r="T20" s="95" t="s">
        <v>1063</v>
      </c>
      <c r="U20" s="95" t="s">
        <v>28</v>
      </c>
      <c r="V20" s="95" t="s">
        <v>1063</v>
      </c>
      <c r="W20" s="95" t="s">
        <v>28</v>
      </c>
      <c r="X20" s="95" t="s">
        <v>1063</v>
      </c>
      <c r="Y20" s="95" t="s">
        <v>28</v>
      </c>
      <c r="Z20" s="95" t="s">
        <v>1063</v>
      </c>
      <c r="AA20" s="95" t="s">
        <v>28</v>
      </c>
      <c r="AB20" s="95" t="s">
        <v>1063</v>
      </c>
      <c r="AC20" s="95" t="s">
        <v>28</v>
      </c>
      <c r="AD20" s="173" t="s">
        <v>1063</v>
      </c>
      <c r="AE20" s="96" t="s">
        <v>28</v>
      </c>
      <c r="AF20" s="356" t="s">
        <v>28</v>
      </c>
    </row>
    <row r="21" spans="1:32" ht="9" customHeight="1">
      <c r="A21" s="89" t="s">
        <v>39</v>
      </c>
      <c r="B21" s="170" t="s">
        <v>40</v>
      </c>
      <c r="C21" s="91">
        <v>812</v>
      </c>
      <c r="D21" s="353" t="s">
        <v>1396</v>
      </c>
      <c r="E21" s="91">
        <v>660</v>
      </c>
      <c r="F21" s="353" t="s">
        <v>1164</v>
      </c>
      <c r="G21" s="91">
        <v>45</v>
      </c>
      <c r="H21" s="353" t="s">
        <v>990</v>
      </c>
      <c r="I21" s="91">
        <v>35</v>
      </c>
      <c r="J21" s="353" t="s">
        <v>476</v>
      </c>
      <c r="K21" s="91">
        <v>26</v>
      </c>
      <c r="L21" s="353" t="s">
        <v>416</v>
      </c>
      <c r="M21" s="91">
        <v>24</v>
      </c>
      <c r="N21" s="353" t="s">
        <v>416</v>
      </c>
      <c r="O21" s="92">
        <v>8</v>
      </c>
      <c r="P21" s="91" t="s">
        <v>417</v>
      </c>
      <c r="Q21" s="91">
        <v>8</v>
      </c>
      <c r="R21" s="91" t="s">
        <v>417</v>
      </c>
      <c r="S21" s="91">
        <v>35</v>
      </c>
      <c r="T21" s="91" t="s">
        <v>413</v>
      </c>
      <c r="U21" s="91">
        <v>35</v>
      </c>
      <c r="V21" s="91" t="s">
        <v>413</v>
      </c>
      <c r="W21" s="171">
        <v>12</v>
      </c>
      <c r="X21" s="1828" t="s">
        <v>395</v>
      </c>
      <c r="Y21" s="1829">
        <v>12</v>
      </c>
      <c r="Z21" s="1828" t="s">
        <v>395</v>
      </c>
      <c r="AA21" s="91">
        <v>562</v>
      </c>
      <c r="AB21" s="91" t="s">
        <v>1063</v>
      </c>
      <c r="AC21" s="91">
        <v>400</v>
      </c>
      <c r="AD21" s="91" t="s">
        <v>1063</v>
      </c>
      <c r="AE21" s="91">
        <v>19</v>
      </c>
      <c r="AF21" s="171">
        <v>15</v>
      </c>
    </row>
    <row r="22" spans="1:32" ht="9" customHeight="1">
      <c r="A22" s="94" t="s">
        <v>29</v>
      </c>
      <c r="B22" s="172" t="s">
        <v>30</v>
      </c>
      <c r="C22" s="95">
        <v>792</v>
      </c>
      <c r="D22" s="355" t="s">
        <v>1155</v>
      </c>
      <c r="E22" s="95">
        <v>649</v>
      </c>
      <c r="F22" s="357" t="s">
        <v>1397</v>
      </c>
      <c r="G22" s="95">
        <v>44</v>
      </c>
      <c r="H22" s="355" t="s">
        <v>990</v>
      </c>
      <c r="I22" s="95">
        <v>34</v>
      </c>
      <c r="J22" s="355" t="s">
        <v>476</v>
      </c>
      <c r="K22" s="95">
        <v>26</v>
      </c>
      <c r="L22" s="355" t="s">
        <v>416</v>
      </c>
      <c r="M22" s="95">
        <v>24</v>
      </c>
      <c r="N22" s="355" t="s">
        <v>416</v>
      </c>
      <c r="O22" s="96">
        <v>8</v>
      </c>
      <c r="P22" s="95" t="s">
        <v>417</v>
      </c>
      <c r="Q22" s="95">
        <v>8</v>
      </c>
      <c r="R22" s="95" t="s">
        <v>417</v>
      </c>
      <c r="S22" s="95">
        <v>33</v>
      </c>
      <c r="T22" s="95" t="s">
        <v>418</v>
      </c>
      <c r="U22" s="95">
        <v>33</v>
      </c>
      <c r="V22" s="95" t="s">
        <v>418</v>
      </c>
      <c r="W22" s="95">
        <v>12</v>
      </c>
      <c r="X22" s="355" t="s">
        <v>395</v>
      </c>
      <c r="Y22" s="95">
        <v>12</v>
      </c>
      <c r="Z22" s="355" t="s">
        <v>395</v>
      </c>
      <c r="AA22" s="95">
        <v>537</v>
      </c>
      <c r="AB22" s="95" t="s">
        <v>1063</v>
      </c>
      <c r="AC22" s="95">
        <v>381</v>
      </c>
      <c r="AD22" s="173" t="s">
        <v>1063</v>
      </c>
      <c r="AE22" s="96">
        <v>13</v>
      </c>
      <c r="AF22" s="173">
        <v>9</v>
      </c>
    </row>
    <row r="23" spans="1:32" ht="9" customHeight="1">
      <c r="A23" s="94" t="s">
        <v>31</v>
      </c>
      <c r="B23" s="172" t="s">
        <v>32</v>
      </c>
      <c r="C23" s="95">
        <v>20</v>
      </c>
      <c r="D23" s="355" t="s">
        <v>418</v>
      </c>
      <c r="E23" s="95">
        <v>11</v>
      </c>
      <c r="F23" s="355" t="s">
        <v>417</v>
      </c>
      <c r="G23" s="95">
        <v>1</v>
      </c>
      <c r="H23" s="355" t="s">
        <v>1129</v>
      </c>
      <c r="I23" s="95">
        <v>1</v>
      </c>
      <c r="J23" s="355" t="s">
        <v>1129</v>
      </c>
      <c r="K23" s="95" t="s">
        <v>28</v>
      </c>
      <c r="L23" s="355" t="s">
        <v>1129</v>
      </c>
      <c r="M23" s="95" t="s">
        <v>28</v>
      </c>
      <c r="N23" s="355" t="s">
        <v>1063</v>
      </c>
      <c r="O23" s="96" t="s">
        <v>28</v>
      </c>
      <c r="P23" s="95" t="s">
        <v>1063</v>
      </c>
      <c r="Q23" s="95" t="s">
        <v>28</v>
      </c>
      <c r="R23" s="95" t="s">
        <v>1063</v>
      </c>
      <c r="S23" s="95">
        <v>2</v>
      </c>
      <c r="T23" s="95" t="s">
        <v>395</v>
      </c>
      <c r="U23" s="95">
        <v>2</v>
      </c>
      <c r="V23" s="95" t="s">
        <v>395</v>
      </c>
      <c r="W23" s="95" t="s">
        <v>28</v>
      </c>
      <c r="X23" s="355" t="s">
        <v>1063</v>
      </c>
      <c r="Y23" s="95" t="s">
        <v>28</v>
      </c>
      <c r="Z23" s="355" t="s">
        <v>1063</v>
      </c>
      <c r="AA23" s="95">
        <v>25</v>
      </c>
      <c r="AB23" s="95" t="s">
        <v>1063</v>
      </c>
      <c r="AC23" s="95">
        <v>19</v>
      </c>
      <c r="AD23" s="173" t="s">
        <v>1063</v>
      </c>
      <c r="AE23" s="96">
        <v>6</v>
      </c>
      <c r="AF23" s="356">
        <v>6</v>
      </c>
    </row>
    <row r="24" spans="1:32" ht="9" customHeight="1">
      <c r="A24" s="89" t="s">
        <v>41</v>
      </c>
      <c r="B24" s="170" t="s">
        <v>42</v>
      </c>
      <c r="C24" s="91">
        <v>546</v>
      </c>
      <c r="D24" s="91" t="s">
        <v>1163</v>
      </c>
      <c r="E24" s="91">
        <v>385</v>
      </c>
      <c r="F24" s="91" t="s">
        <v>1157</v>
      </c>
      <c r="G24" s="91">
        <v>29</v>
      </c>
      <c r="H24" s="91" t="s">
        <v>418</v>
      </c>
      <c r="I24" s="91">
        <v>22</v>
      </c>
      <c r="J24" s="91" t="s">
        <v>417</v>
      </c>
      <c r="K24" s="91">
        <v>14</v>
      </c>
      <c r="L24" s="91" t="s">
        <v>395</v>
      </c>
      <c r="M24" s="91">
        <v>13</v>
      </c>
      <c r="N24" s="91" t="s">
        <v>395</v>
      </c>
      <c r="O24" s="92">
        <v>7</v>
      </c>
      <c r="P24" s="91" t="s">
        <v>1063</v>
      </c>
      <c r="Q24" s="91">
        <v>6</v>
      </c>
      <c r="R24" s="91" t="s">
        <v>1063</v>
      </c>
      <c r="S24" s="91">
        <v>25</v>
      </c>
      <c r="T24" s="91" t="s">
        <v>419</v>
      </c>
      <c r="U24" s="91">
        <v>25</v>
      </c>
      <c r="V24" s="91" t="s">
        <v>419</v>
      </c>
      <c r="W24" s="91">
        <v>9</v>
      </c>
      <c r="X24" s="91" t="s">
        <v>1063</v>
      </c>
      <c r="Y24" s="91">
        <v>8</v>
      </c>
      <c r="Z24" s="91" t="s">
        <v>1063</v>
      </c>
      <c r="AA24" s="91">
        <v>422</v>
      </c>
      <c r="AB24" s="91" t="s">
        <v>1063</v>
      </c>
      <c r="AC24" s="91">
        <v>295</v>
      </c>
      <c r="AD24" s="91" t="s">
        <v>1063</v>
      </c>
      <c r="AE24" s="91">
        <v>16</v>
      </c>
      <c r="AF24" s="171">
        <v>14</v>
      </c>
    </row>
    <row r="25" spans="1:32" ht="9" customHeight="1">
      <c r="A25" s="94" t="s">
        <v>29</v>
      </c>
      <c r="B25" s="172" t="s">
        <v>30</v>
      </c>
      <c r="C25" s="95">
        <v>546</v>
      </c>
      <c r="D25" s="95" t="s">
        <v>1163</v>
      </c>
      <c r="E25" s="95">
        <v>385</v>
      </c>
      <c r="F25" s="95" t="s">
        <v>1157</v>
      </c>
      <c r="G25" s="95">
        <v>29</v>
      </c>
      <c r="H25" s="95" t="s">
        <v>418</v>
      </c>
      <c r="I25" s="95">
        <v>22</v>
      </c>
      <c r="J25" s="95" t="s">
        <v>417</v>
      </c>
      <c r="K25" s="95">
        <v>14</v>
      </c>
      <c r="L25" s="95" t="s">
        <v>395</v>
      </c>
      <c r="M25" s="95">
        <v>13</v>
      </c>
      <c r="N25" s="95" t="s">
        <v>395</v>
      </c>
      <c r="O25" s="96">
        <v>7</v>
      </c>
      <c r="P25" s="95" t="s">
        <v>1063</v>
      </c>
      <c r="Q25" s="95">
        <v>6</v>
      </c>
      <c r="R25" s="95" t="s">
        <v>1063</v>
      </c>
      <c r="S25" s="95">
        <v>25</v>
      </c>
      <c r="T25" s="95" t="s">
        <v>419</v>
      </c>
      <c r="U25" s="95">
        <v>25</v>
      </c>
      <c r="V25" s="95" t="s">
        <v>419</v>
      </c>
      <c r="W25" s="95">
        <v>9</v>
      </c>
      <c r="X25" s="95" t="s">
        <v>1063</v>
      </c>
      <c r="Y25" s="95">
        <v>8</v>
      </c>
      <c r="Z25" s="95" t="s">
        <v>1063</v>
      </c>
      <c r="AA25" s="95">
        <v>422</v>
      </c>
      <c r="AB25" s="95" t="s">
        <v>1063</v>
      </c>
      <c r="AC25" s="95">
        <v>295</v>
      </c>
      <c r="AD25" s="173" t="s">
        <v>1063</v>
      </c>
      <c r="AE25" s="96">
        <v>16</v>
      </c>
      <c r="AF25" s="173">
        <v>14</v>
      </c>
    </row>
    <row r="26" spans="1:32" ht="9" customHeight="1">
      <c r="A26" s="94" t="s">
        <v>31</v>
      </c>
      <c r="B26" s="172" t="s">
        <v>32</v>
      </c>
      <c r="C26" s="95" t="s">
        <v>28</v>
      </c>
      <c r="D26" s="95" t="s">
        <v>1129</v>
      </c>
      <c r="E26" s="95" t="s">
        <v>28</v>
      </c>
      <c r="F26" s="95" t="s">
        <v>1129</v>
      </c>
      <c r="G26" s="95" t="s">
        <v>28</v>
      </c>
      <c r="H26" s="95" t="s">
        <v>1129</v>
      </c>
      <c r="I26" s="95" t="s">
        <v>28</v>
      </c>
      <c r="J26" s="95" t="s">
        <v>1129</v>
      </c>
      <c r="K26" s="95" t="s">
        <v>28</v>
      </c>
      <c r="L26" s="95" t="s">
        <v>1063</v>
      </c>
      <c r="M26" s="95" t="s">
        <v>28</v>
      </c>
      <c r="N26" s="95" t="s">
        <v>1063</v>
      </c>
      <c r="O26" s="96" t="s">
        <v>28</v>
      </c>
      <c r="P26" s="95" t="s">
        <v>1063</v>
      </c>
      <c r="Q26" s="95" t="s">
        <v>28</v>
      </c>
      <c r="R26" s="95" t="s">
        <v>1063</v>
      </c>
      <c r="S26" s="95" t="s">
        <v>28</v>
      </c>
      <c r="T26" s="95" t="s">
        <v>1063</v>
      </c>
      <c r="U26" s="95" t="s">
        <v>28</v>
      </c>
      <c r="V26" s="95" t="s">
        <v>1063</v>
      </c>
      <c r="W26" s="95" t="s">
        <v>28</v>
      </c>
      <c r="X26" s="95" t="s">
        <v>1063</v>
      </c>
      <c r="Y26" s="95" t="s">
        <v>28</v>
      </c>
      <c r="Z26" s="95" t="s">
        <v>1063</v>
      </c>
      <c r="AA26" s="95" t="s">
        <v>28</v>
      </c>
      <c r="AB26" s="95" t="s">
        <v>1063</v>
      </c>
      <c r="AC26" s="95" t="s">
        <v>28</v>
      </c>
      <c r="AD26" s="173" t="s">
        <v>1063</v>
      </c>
      <c r="AE26" s="96" t="s">
        <v>28</v>
      </c>
      <c r="AF26" s="356" t="s">
        <v>28</v>
      </c>
    </row>
    <row r="27" spans="1:32" ht="9" customHeight="1">
      <c r="A27" s="89" t="s">
        <v>43</v>
      </c>
      <c r="B27" s="170" t="s">
        <v>44</v>
      </c>
      <c r="C27" s="91">
        <v>71</v>
      </c>
      <c r="D27" s="91" t="s">
        <v>413</v>
      </c>
      <c r="E27" s="91">
        <v>37</v>
      </c>
      <c r="F27" s="91" t="s">
        <v>417</v>
      </c>
      <c r="G27" s="91">
        <v>8</v>
      </c>
      <c r="H27" s="91" t="s">
        <v>1129</v>
      </c>
      <c r="I27" s="91">
        <v>5</v>
      </c>
      <c r="J27" s="91" t="s">
        <v>1129</v>
      </c>
      <c r="K27" s="91">
        <v>3</v>
      </c>
      <c r="L27" s="91" t="s">
        <v>1063</v>
      </c>
      <c r="M27" s="91">
        <v>2</v>
      </c>
      <c r="N27" s="91" t="s">
        <v>1063</v>
      </c>
      <c r="O27" s="92">
        <v>2</v>
      </c>
      <c r="P27" s="91" t="s">
        <v>1063</v>
      </c>
      <c r="Q27" s="91">
        <v>2</v>
      </c>
      <c r="R27" s="91" t="s">
        <v>1063</v>
      </c>
      <c r="S27" s="91">
        <v>2</v>
      </c>
      <c r="T27" s="91" t="s">
        <v>1063</v>
      </c>
      <c r="U27" s="91">
        <v>2</v>
      </c>
      <c r="V27" s="1830" t="s">
        <v>1063</v>
      </c>
      <c r="W27" s="91">
        <v>3</v>
      </c>
      <c r="X27" s="91" t="s">
        <v>395</v>
      </c>
      <c r="Y27" s="91">
        <v>3</v>
      </c>
      <c r="Z27" s="92" t="s">
        <v>395</v>
      </c>
      <c r="AA27" s="91">
        <v>27</v>
      </c>
      <c r="AB27" s="91" t="s">
        <v>1063</v>
      </c>
      <c r="AC27" s="91">
        <v>15</v>
      </c>
      <c r="AD27" s="91" t="s">
        <v>1063</v>
      </c>
      <c r="AE27" s="91" t="s">
        <v>28</v>
      </c>
      <c r="AF27" s="171" t="s">
        <v>28</v>
      </c>
    </row>
    <row r="28" spans="1:32" ht="9" customHeight="1">
      <c r="A28" s="94" t="s">
        <v>29</v>
      </c>
      <c r="B28" s="172" t="s">
        <v>30</v>
      </c>
      <c r="C28" s="95">
        <v>63</v>
      </c>
      <c r="D28" s="95" t="s">
        <v>418</v>
      </c>
      <c r="E28" s="95">
        <v>35</v>
      </c>
      <c r="F28" s="95" t="s">
        <v>417</v>
      </c>
      <c r="G28" s="95">
        <v>8</v>
      </c>
      <c r="H28" s="95" t="s">
        <v>1129</v>
      </c>
      <c r="I28" s="95">
        <v>5</v>
      </c>
      <c r="J28" s="95" t="s">
        <v>1129</v>
      </c>
      <c r="K28" s="95">
        <v>3</v>
      </c>
      <c r="L28" s="95" t="s">
        <v>1063</v>
      </c>
      <c r="M28" s="95">
        <v>2</v>
      </c>
      <c r="N28" s="95" t="s">
        <v>1063</v>
      </c>
      <c r="O28" s="96">
        <v>2</v>
      </c>
      <c r="P28" s="95" t="s">
        <v>1063</v>
      </c>
      <c r="Q28" s="95">
        <v>2</v>
      </c>
      <c r="R28" s="95" t="s">
        <v>1063</v>
      </c>
      <c r="S28" s="95">
        <v>2</v>
      </c>
      <c r="T28" s="95" t="s">
        <v>1063</v>
      </c>
      <c r="U28" s="95">
        <v>2</v>
      </c>
      <c r="V28" s="1831" t="s">
        <v>1063</v>
      </c>
      <c r="W28" s="95">
        <v>3</v>
      </c>
      <c r="X28" s="95" t="s">
        <v>395</v>
      </c>
      <c r="Y28" s="95">
        <v>3</v>
      </c>
      <c r="Z28" s="95" t="s">
        <v>395</v>
      </c>
      <c r="AA28" s="95">
        <v>17</v>
      </c>
      <c r="AB28" s="95" t="s">
        <v>1063</v>
      </c>
      <c r="AC28" s="95">
        <v>9</v>
      </c>
      <c r="AD28" s="173" t="s">
        <v>1063</v>
      </c>
      <c r="AE28" s="96" t="s">
        <v>28</v>
      </c>
      <c r="AF28" s="173" t="s">
        <v>28</v>
      </c>
    </row>
    <row r="29" spans="1:32" ht="9" customHeight="1" thickBot="1">
      <c r="A29" s="1826" t="s">
        <v>31</v>
      </c>
      <c r="B29" s="174" t="s">
        <v>32</v>
      </c>
      <c r="C29" s="99">
        <v>8</v>
      </c>
      <c r="D29" s="99" t="s">
        <v>395</v>
      </c>
      <c r="E29" s="99">
        <v>2</v>
      </c>
      <c r="F29" s="99" t="s">
        <v>1129</v>
      </c>
      <c r="G29" s="99" t="s">
        <v>28</v>
      </c>
      <c r="H29" s="99" t="s">
        <v>1129</v>
      </c>
      <c r="I29" s="99" t="s">
        <v>28</v>
      </c>
      <c r="J29" s="99" t="s">
        <v>1129</v>
      </c>
      <c r="K29" s="99" t="s">
        <v>28</v>
      </c>
      <c r="L29" s="99" t="s">
        <v>1063</v>
      </c>
      <c r="M29" s="99" t="s">
        <v>28</v>
      </c>
      <c r="N29" s="99" t="s">
        <v>1063</v>
      </c>
      <c r="O29" s="100" t="s">
        <v>28</v>
      </c>
      <c r="P29" s="99" t="s">
        <v>1063</v>
      </c>
      <c r="Q29" s="99" t="s">
        <v>28</v>
      </c>
      <c r="R29" s="99" t="s">
        <v>1063</v>
      </c>
      <c r="S29" s="99" t="s">
        <v>28</v>
      </c>
      <c r="T29" s="99" t="s">
        <v>1063</v>
      </c>
      <c r="U29" s="99" t="s">
        <v>28</v>
      </c>
      <c r="V29" s="1832" t="s">
        <v>1063</v>
      </c>
      <c r="W29" s="99" t="s">
        <v>28</v>
      </c>
      <c r="X29" s="99" t="s">
        <v>1063</v>
      </c>
      <c r="Y29" s="99" t="s">
        <v>28</v>
      </c>
      <c r="Z29" s="99" t="s">
        <v>1063</v>
      </c>
      <c r="AA29" s="99">
        <v>10</v>
      </c>
      <c r="AB29" s="99" t="s">
        <v>1063</v>
      </c>
      <c r="AC29" s="99">
        <v>6</v>
      </c>
      <c r="AD29" s="1827" t="s">
        <v>1063</v>
      </c>
      <c r="AE29" s="100" t="s">
        <v>28</v>
      </c>
      <c r="AF29" s="1827" t="s">
        <v>28</v>
      </c>
    </row>
    <row r="30" spans="1:32" ht="9" customHeight="1" thickBot="1">
      <c r="A30" s="1063" t="s">
        <v>45</v>
      </c>
      <c r="B30" s="1063"/>
      <c r="C30" s="1063"/>
      <c r="D30" s="1063"/>
      <c r="E30" s="1063"/>
      <c r="F30" s="1063"/>
      <c r="G30" s="1063"/>
      <c r="H30" s="1063"/>
      <c r="I30" s="1063"/>
      <c r="J30" s="1063"/>
      <c r="K30" s="1063"/>
      <c r="L30" s="1063"/>
      <c r="M30" s="1063"/>
      <c r="N30" s="1063"/>
      <c r="O30" s="1063" t="s">
        <v>46</v>
      </c>
      <c r="P30" s="1063"/>
      <c r="Q30" s="1063"/>
      <c r="R30" s="1063"/>
      <c r="S30" s="1063"/>
      <c r="T30" s="1063"/>
      <c r="U30" s="1063"/>
      <c r="V30" s="1063"/>
      <c r="W30" s="1063"/>
      <c r="X30" s="1063"/>
      <c r="Y30" s="1063"/>
      <c r="Z30" s="1063"/>
      <c r="AA30" s="1063"/>
      <c r="AB30" s="1063"/>
      <c r="AC30" s="1063"/>
      <c r="AD30" s="1063"/>
      <c r="AE30" s="1063"/>
      <c r="AF30" s="1063"/>
    </row>
    <row r="31" spans="1:32" ht="9" customHeight="1">
      <c r="A31" s="89" t="s">
        <v>47</v>
      </c>
      <c r="B31" s="170" t="s">
        <v>48</v>
      </c>
      <c r="C31" s="91">
        <v>153</v>
      </c>
      <c r="D31" s="91" t="s">
        <v>477</v>
      </c>
      <c r="E31" s="91">
        <v>108</v>
      </c>
      <c r="F31" s="91" t="s">
        <v>414</v>
      </c>
      <c r="G31" s="91">
        <v>10</v>
      </c>
      <c r="H31" s="91" t="s">
        <v>417</v>
      </c>
      <c r="I31" s="91">
        <v>7</v>
      </c>
      <c r="J31" s="91" t="s">
        <v>1063</v>
      </c>
      <c r="K31" s="91">
        <v>6</v>
      </c>
      <c r="L31" s="91" t="s">
        <v>1063</v>
      </c>
      <c r="M31" s="91">
        <v>6</v>
      </c>
      <c r="N31" s="91" t="s">
        <v>1063</v>
      </c>
      <c r="O31" s="93">
        <v>2</v>
      </c>
      <c r="P31" s="91" t="s">
        <v>1063</v>
      </c>
      <c r="Q31" s="91">
        <v>2</v>
      </c>
      <c r="R31" s="91" t="s">
        <v>1063</v>
      </c>
      <c r="S31" s="91">
        <v>7</v>
      </c>
      <c r="T31" s="91" t="s">
        <v>417</v>
      </c>
      <c r="U31" s="91">
        <v>7</v>
      </c>
      <c r="V31" s="91" t="s">
        <v>417</v>
      </c>
      <c r="W31" s="91">
        <v>3</v>
      </c>
      <c r="X31" s="91" t="s">
        <v>395</v>
      </c>
      <c r="Y31" s="91">
        <v>3</v>
      </c>
      <c r="Z31" s="91" t="s">
        <v>395</v>
      </c>
      <c r="AA31" s="91">
        <v>132</v>
      </c>
      <c r="AB31" s="91" t="s">
        <v>1063</v>
      </c>
      <c r="AC31" s="91">
        <v>97</v>
      </c>
      <c r="AD31" s="171" t="s">
        <v>1063</v>
      </c>
      <c r="AE31" s="93">
        <v>2</v>
      </c>
      <c r="AF31" s="1833">
        <v>2</v>
      </c>
    </row>
    <row r="32" spans="1:32" ht="9" customHeight="1">
      <c r="A32" s="94" t="s">
        <v>29</v>
      </c>
      <c r="B32" s="172" t="s">
        <v>30</v>
      </c>
      <c r="C32" s="95">
        <v>132</v>
      </c>
      <c r="D32" s="95" t="s">
        <v>414</v>
      </c>
      <c r="E32" s="95">
        <v>96</v>
      </c>
      <c r="F32" s="95" t="s">
        <v>415</v>
      </c>
      <c r="G32" s="95">
        <v>10</v>
      </c>
      <c r="H32" s="95" t="s">
        <v>417</v>
      </c>
      <c r="I32" s="95">
        <v>7</v>
      </c>
      <c r="J32" s="95" t="s">
        <v>1129</v>
      </c>
      <c r="K32" s="95">
        <v>4</v>
      </c>
      <c r="L32" s="95" t="s">
        <v>1063</v>
      </c>
      <c r="M32" s="95">
        <v>4</v>
      </c>
      <c r="N32" s="95" t="s">
        <v>1063</v>
      </c>
      <c r="O32" s="96">
        <v>2</v>
      </c>
      <c r="P32" s="95" t="s">
        <v>1063</v>
      </c>
      <c r="Q32" s="95">
        <v>2</v>
      </c>
      <c r="R32" s="95" t="s">
        <v>1063</v>
      </c>
      <c r="S32" s="95">
        <v>7</v>
      </c>
      <c r="T32" s="95" t="s">
        <v>417</v>
      </c>
      <c r="U32" s="95">
        <v>7</v>
      </c>
      <c r="V32" s="95" t="s">
        <v>417</v>
      </c>
      <c r="W32" s="95">
        <v>3</v>
      </c>
      <c r="X32" s="95" t="s">
        <v>395</v>
      </c>
      <c r="Y32" s="95">
        <v>3</v>
      </c>
      <c r="Z32" s="95" t="s">
        <v>395</v>
      </c>
      <c r="AA32" s="95">
        <v>104</v>
      </c>
      <c r="AB32" s="95" t="s">
        <v>1063</v>
      </c>
      <c r="AC32" s="95">
        <v>77</v>
      </c>
      <c r="AD32" s="173" t="s">
        <v>1063</v>
      </c>
      <c r="AE32" s="96">
        <v>1</v>
      </c>
      <c r="AF32" s="173">
        <v>1</v>
      </c>
    </row>
    <row r="33" spans="1:32" ht="9" customHeight="1">
      <c r="A33" s="94" t="s">
        <v>31</v>
      </c>
      <c r="B33" s="172" t="s">
        <v>32</v>
      </c>
      <c r="C33" s="95">
        <v>21</v>
      </c>
      <c r="D33" s="95" t="s">
        <v>395</v>
      </c>
      <c r="E33" s="95">
        <v>12</v>
      </c>
      <c r="F33" s="95" t="s">
        <v>395</v>
      </c>
      <c r="G33" s="95" t="s">
        <v>28</v>
      </c>
      <c r="H33" s="95" t="s">
        <v>1063</v>
      </c>
      <c r="I33" s="95" t="s">
        <v>28</v>
      </c>
      <c r="J33" s="95" t="s">
        <v>1063</v>
      </c>
      <c r="K33" s="95">
        <v>2</v>
      </c>
      <c r="L33" s="95" t="s">
        <v>1063</v>
      </c>
      <c r="M33" s="95">
        <v>2</v>
      </c>
      <c r="N33" s="95" t="s">
        <v>1063</v>
      </c>
      <c r="O33" s="96" t="s">
        <v>28</v>
      </c>
      <c r="P33" s="95" t="s">
        <v>1063</v>
      </c>
      <c r="Q33" s="95" t="s">
        <v>28</v>
      </c>
      <c r="R33" s="95" t="s">
        <v>1063</v>
      </c>
      <c r="S33" s="95" t="s">
        <v>28</v>
      </c>
      <c r="T33" s="95" t="s">
        <v>1063</v>
      </c>
      <c r="U33" s="95" t="s">
        <v>28</v>
      </c>
      <c r="V33" s="95" t="s">
        <v>1063</v>
      </c>
      <c r="W33" s="95" t="s">
        <v>28</v>
      </c>
      <c r="X33" s="95" t="s">
        <v>1063</v>
      </c>
      <c r="Y33" s="95" t="s">
        <v>28</v>
      </c>
      <c r="Z33" s="95" t="s">
        <v>1063</v>
      </c>
      <c r="AA33" s="95">
        <v>28</v>
      </c>
      <c r="AB33" s="95" t="s">
        <v>1063</v>
      </c>
      <c r="AC33" s="95">
        <v>20</v>
      </c>
      <c r="AD33" s="173" t="s">
        <v>1063</v>
      </c>
      <c r="AE33" s="96">
        <v>1</v>
      </c>
      <c r="AF33" s="173">
        <v>1</v>
      </c>
    </row>
    <row r="34" spans="1:32" ht="9" customHeight="1">
      <c r="A34" s="89" t="s">
        <v>49</v>
      </c>
      <c r="B34" s="170" t="s">
        <v>50</v>
      </c>
      <c r="C34" s="91">
        <v>33</v>
      </c>
      <c r="D34" s="91" t="s">
        <v>417</v>
      </c>
      <c r="E34" s="91">
        <v>17</v>
      </c>
      <c r="F34" s="91" t="s">
        <v>395</v>
      </c>
      <c r="G34" s="91">
        <v>2</v>
      </c>
      <c r="H34" s="91" t="s">
        <v>1063</v>
      </c>
      <c r="I34" s="91">
        <v>1</v>
      </c>
      <c r="J34" s="91" t="s">
        <v>1063</v>
      </c>
      <c r="K34" s="91">
        <v>2</v>
      </c>
      <c r="L34" s="91" t="s">
        <v>1063</v>
      </c>
      <c r="M34" s="91">
        <v>1</v>
      </c>
      <c r="N34" s="91" t="s">
        <v>1063</v>
      </c>
      <c r="O34" s="92" t="s">
        <v>28</v>
      </c>
      <c r="P34" s="91" t="s">
        <v>1063</v>
      </c>
      <c r="Q34" s="91" t="s">
        <v>28</v>
      </c>
      <c r="R34" s="91" t="s">
        <v>1063</v>
      </c>
      <c r="S34" s="91">
        <v>2</v>
      </c>
      <c r="T34" s="91" t="s">
        <v>1063</v>
      </c>
      <c r="U34" s="91">
        <v>2</v>
      </c>
      <c r="V34" s="91" t="s">
        <v>1063</v>
      </c>
      <c r="W34" s="91" t="s">
        <v>28</v>
      </c>
      <c r="X34" s="91" t="s">
        <v>1063</v>
      </c>
      <c r="Y34" s="91" t="s">
        <v>28</v>
      </c>
      <c r="Z34" s="91" t="s">
        <v>1063</v>
      </c>
      <c r="AA34" s="91">
        <v>31</v>
      </c>
      <c r="AB34" s="91" t="s">
        <v>1063</v>
      </c>
      <c r="AC34" s="91">
        <v>20</v>
      </c>
      <c r="AD34" s="171" t="s">
        <v>1063</v>
      </c>
      <c r="AE34" s="92">
        <v>4</v>
      </c>
      <c r="AF34" s="171">
        <v>4</v>
      </c>
    </row>
    <row r="35" spans="1:32" ht="9" customHeight="1">
      <c r="A35" s="94" t="s">
        <v>29</v>
      </c>
      <c r="B35" s="172" t="s">
        <v>30</v>
      </c>
      <c r="C35" s="95">
        <v>10</v>
      </c>
      <c r="D35" s="95" t="s">
        <v>1063</v>
      </c>
      <c r="E35" s="95">
        <v>9</v>
      </c>
      <c r="F35" s="95" t="s">
        <v>1063</v>
      </c>
      <c r="G35" s="95">
        <v>2</v>
      </c>
      <c r="H35" s="95" t="s">
        <v>1063</v>
      </c>
      <c r="I35" s="95">
        <v>1</v>
      </c>
      <c r="J35" s="95" t="s">
        <v>1063</v>
      </c>
      <c r="K35" s="95">
        <v>1</v>
      </c>
      <c r="L35" s="95" t="s">
        <v>1063</v>
      </c>
      <c r="M35" s="95" t="s">
        <v>28</v>
      </c>
      <c r="N35" s="95" t="s">
        <v>1063</v>
      </c>
      <c r="O35" s="96" t="s">
        <v>28</v>
      </c>
      <c r="P35" s="95" t="s">
        <v>1063</v>
      </c>
      <c r="Q35" s="95" t="s">
        <v>28</v>
      </c>
      <c r="R35" s="95" t="s">
        <v>1063</v>
      </c>
      <c r="S35" s="95">
        <v>1</v>
      </c>
      <c r="T35" s="95" t="s">
        <v>1063</v>
      </c>
      <c r="U35" s="95">
        <v>1</v>
      </c>
      <c r="V35" s="95" t="s">
        <v>1063</v>
      </c>
      <c r="W35" s="95" t="s">
        <v>28</v>
      </c>
      <c r="X35" s="95" t="s">
        <v>1063</v>
      </c>
      <c r="Y35" s="95" t="s">
        <v>28</v>
      </c>
      <c r="Z35" s="95" t="s">
        <v>1063</v>
      </c>
      <c r="AA35" s="95">
        <v>11</v>
      </c>
      <c r="AB35" s="95" t="s">
        <v>1063</v>
      </c>
      <c r="AC35" s="95">
        <v>9</v>
      </c>
      <c r="AD35" s="173" t="s">
        <v>1063</v>
      </c>
      <c r="AE35" s="96">
        <v>4</v>
      </c>
      <c r="AF35" s="173">
        <v>4</v>
      </c>
    </row>
    <row r="36" spans="1:32" ht="9" customHeight="1">
      <c r="A36" s="94" t="s">
        <v>31</v>
      </c>
      <c r="B36" s="172" t="s">
        <v>32</v>
      </c>
      <c r="C36" s="95">
        <v>23</v>
      </c>
      <c r="D36" s="95" t="s">
        <v>417</v>
      </c>
      <c r="E36" s="95">
        <v>8</v>
      </c>
      <c r="F36" s="95" t="s">
        <v>395</v>
      </c>
      <c r="G36" s="95" t="s">
        <v>28</v>
      </c>
      <c r="H36" s="95" t="s">
        <v>1063</v>
      </c>
      <c r="I36" s="95" t="s">
        <v>28</v>
      </c>
      <c r="J36" s="95" t="s">
        <v>1129</v>
      </c>
      <c r="K36" s="95">
        <v>1</v>
      </c>
      <c r="L36" s="95" t="s">
        <v>1063</v>
      </c>
      <c r="M36" s="95">
        <v>1</v>
      </c>
      <c r="N36" s="95" t="s">
        <v>1063</v>
      </c>
      <c r="O36" s="96" t="s">
        <v>28</v>
      </c>
      <c r="P36" s="95" t="s">
        <v>1063</v>
      </c>
      <c r="Q36" s="95" t="s">
        <v>28</v>
      </c>
      <c r="R36" s="95" t="s">
        <v>1063</v>
      </c>
      <c r="S36" s="95">
        <v>1</v>
      </c>
      <c r="T36" s="95" t="s">
        <v>1063</v>
      </c>
      <c r="U36" s="95">
        <v>1</v>
      </c>
      <c r="V36" s="95" t="s">
        <v>1063</v>
      </c>
      <c r="W36" s="95" t="s">
        <v>28</v>
      </c>
      <c r="X36" s="95" t="s">
        <v>1063</v>
      </c>
      <c r="Y36" s="95" t="s">
        <v>28</v>
      </c>
      <c r="Z36" s="95" t="s">
        <v>1063</v>
      </c>
      <c r="AA36" s="95">
        <v>20</v>
      </c>
      <c r="AB36" s="95" t="s">
        <v>1063</v>
      </c>
      <c r="AC36" s="95">
        <v>11</v>
      </c>
      <c r="AD36" s="173" t="s">
        <v>1063</v>
      </c>
      <c r="AE36" s="96" t="s">
        <v>28</v>
      </c>
      <c r="AF36" s="173" t="s">
        <v>28</v>
      </c>
    </row>
    <row r="37" spans="1:32" ht="9" customHeight="1">
      <c r="A37" s="89" t="s">
        <v>963</v>
      </c>
      <c r="B37" s="170" t="s">
        <v>964</v>
      </c>
      <c r="C37" s="91">
        <v>212</v>
      </c>
      <c r="D37" s="91" t="s">
        <v>1394</v>
      </c>
      <c r="E37" s="91">
        <v>146</v>
      </c>
      <c r="F37" s="91" t="s">
        <v>1131</v>
      </c>
      <c r="G37" s="91">
        <v>14</v>
      </c>
      <c r="H37" s="91" t="s">
        <v>395</v>
      </c>
      <c r="I37" s="91">
        <v>10</v>
      </c>
      <c r="J37" s="91" t="s">
        <v>395</v>
      </c>
      <c r="K37" s="91">
        <v>8</v>
      </c>
      <c r="L37" s="91" t="s">
        <v>417</v>
      </c>
      <c r="M37" s="91">
        <v>7</v>
      </c>
      <c r="N37" s="91" t="s">
        <v>417</v>
      </c>
      <c r="O37" s="92">
        <v>2</v>
      </c>
      <c r="P37" s="91" t="s">
        <v>1063</v>
      </c>
      <c r="Q37" s="91">
        <v>2</v>
      </c>
      <c r="R37" s="91" t="s">
        <v>1063</v>
      </c>
      <c r="S37" s="91">
        <v>11</v>
      </c>
      <c r="T37" s="91" t="s">
        <v>395</v>
      </c>
      <c r="U37" s="91">
        <v>11</v>
      </c>
      <c r="V37" s="91" t="s">
        <v>395</v>
      </c>
      <c r="W37" s="91">
        <v>2</v>
      </c>
      <c r="X37" s="91" t="s">
        <v>1063</v>
      </c>
      <c r="Y37" s="91">
        <v>2</v>
      </c>
      <c r="Z37" s="91" t="s">
        <v>1063</v>
      </c>
      <c r="AA37" s="91">
        <v>180</v>
      </c>
      <c r="AB37" s="91" t="s">
        <v>1063</v>
      </c>
      <c r="AC37" s="91">
        <v>134</v>
      </c>
      <c r="AD37" s="171" t="s">
        <v>1063</v>
      </c>
      <c r="AE37" s="92">
        <v>20</v>
      </c>
      <c r="AF37" s="171">
        <v>15</v>
      </c>
    </row>
    <row r="38" spans="1:32" ht="9" customHeight="1">
      <c r="A38" s="94" t="s">
        <v>29</v>
      </c>
      <c r="B38" s="172" t="s">
        <v>30</v>
      </c>
      <c r="C38" s="95">
        <v>196</v>
      </c>
      <c r="D38" s="95" t="s">
        <v>1398</v>
      </c>
      <c r="E38" s="95">
        <v>138</v>
      </c>
      <c r="F38" s="95" t="s">
        <v>1126</v>
      </c>
      <c r="G38" s="95">
        <v>14</v>
      </c>
      <c r="H38" s="95" t="s">
        <v>395</v>
      </c>
      <c r="I38" s="95">
        <v>10</v>
      </c>
      <c r="J38" s="95" t="s">
        <v>395</v>
      </c>
      <c r="K38" s="95">
        <v>7</v>
      </c>
      <c r="L38" s="95" t="s">
        <v>417</v>
      </c>
      <c r="M38" s="95">
        <v>6</v>
      </c>
      <c r="N38" s="95" t="s">
        <v>417</v>
      </c>
      <c r="O38" s="96">
        <v>2</v>
      </c>
      <c r="P38" s="95" t="s">
        <v>1063</v>
      </c>
      <c r="Q38" s="95">
        <v>2</v>
      </c>
      <c r="R38" s="95" t="s">
        <v>1063</v>
      </c>
      <c r="S38" s="95">
        <v>11</v>
      </c>
      <c r="T38" s="95" t="s">
        <v>395</v>
      </c>
      <c r="U38" s="95">
        <v>11</v>
      </c>
      <c r="V38" s="95" t="s">
        <v>395</v>
      </c>
      <c r="W38" s="95">
        <v>2</v>
      </c>
      <c r="X38" s="95" t="s">
        <v>1063</v>
      </c>
      <c r="Y38" s="95">
        <v>2</v>
      </c>
      <c r="Z38" s="95" t="s">
        <v>1063</v>
      </c>
      <c r="AA38" s="95">
        <v>163</v>
      </c>
      <c r="AB38" s="95" t="s">
        <v>1063</v>
      </c>
      <c r="AC38" s="95">
        <v>123</v>
      </c>
      <c r="AD38" s="173" t="s">
        <v>1063</v>
      </c>
      <c r="AE38" s="96">
        <v>20</v>
      </c>
      <c r="AF38" s="173">
        <v>15</v>
      </c>
    </row>
    <row r="39" spans="1:32" ht="9" customHeight="1">
      <c r="A39" s="94" t="s">
        <v>31</v>
      </c>
      <c r="B39" s="172" t="s">
        <v>32</v>
      </c>
      <c r="C39" s="95">
        <v>16</v>
      </c>
      <c r="D39" s="95" t="s">
        <v>417</v>
      </c>
      <c r="E39" s="95">
        <v>8</v>
      </c>
      <c r="F39" s="95" t="s">
        <v>395</v>
      </c>
      <c r="G39" s="95" t="s">
        <v>28</v>
      </c>
      <c r="H39" s="95" t="s">
        <v>1063</v>
      </c>
      <c r="I39" s="95" t="s">
        <v>28</v>
      </c>
      <c r="J39" s="95" t="s">
        <v>1063</v>
      </c>
      <c r="K39" s="95">
        <v>1</v>
      </c>
      <c r="L39" s="95" t="s">
        <v>1063</v>
      </c>
      <c r="M39" s="95">
        <v>1</v>
      </c>
      <c r="N39" s="95" t="s">
        <v>1063</v>
      </c>
      <c r="O39" s="96" t="s">
        <v>28</v>
      </c>
      <c r="P39" s="95" t="s">
        <v>1063</v>
      </c>
      <c r="Q39" s="95" t="s">
        <v>28</v>
      </c>
      <c r="R39" s="95" t="s">
        <v>1063</v>
      </c>
      <c r="S39" s="95" t="s">
        <v>28</v>
      </c>
      <c r="T39" s="95" t="s">
        <v>1063</v>
      </c>
      <c r="U39" s="95" t="s">
        <v>28</v>
      </c>
      <c r="V39" s="95" t="s">
        <v>1063</v>
      </c>
      <c r="W39" s="95" t="s">
        <v>28</v>
      </c>
      <c r="X39" s="95" t="s">
        <v>1063</v>
      </c>
      <c r="Y39" s="95" t="s">
        <v>28</v>
      </c>
      <c r="Z39" s="95" t="s">
        <v>1063</v>
      </c>
      <c r="AA39" s="95">
        <v>17</v>
      </c>
      <c r="AB39" s="95" t="s">
        <v>1063</v>
      </c>
      <c r="AC39" s="95">
        <v>11</v>
      </c>
      <c r="AD39" s="173" t="s">
        <v>1063</v>
      </c>
      <c r="AE39" s="96" t="s">
        <v>28</v>
      </c>
      <c r="AF39" s="173" t="s">
        <v>28</v>
      </c>
    </row>
    <row r="40" spans="1:32" ht="9" customHeight="1">
      <c r="A40" s="89" t="s">
        <v>51</v>
      </c>
      <c r="B40" s="170" t="s">
        <v>52</v>
      </c>
      <c r="C40" s="91">
        <v>388</v>
      </c>
      <c r="D40" s="91" t="s">
        <v>1128</v>
      </c>
      <c r="E40" s="91">
        <v>313</v>
      </c>
      <c r="F40" s="91" t="s">
        <v>1166</v>
      </c>
      <c r="G40" s="91">
        <v>20</v>
      </c>
      <c r="H40" s="91" t="s">
        <v>419</v>
      </c>
      <c r="I40" s="91">
        <v>17</v>
      </c>
      <c r="J40" s="91" t="s">
        <v>419</v>
      </c>
      <c r="K40" s="91">
        <v>11</v>
      </c>
      <c r="L40" s="91" t="s">
        <v>418</v>
      </c>
      <c r="M40" s="91">
        <v>10</v>
      </c>
      <c r="N40" s="91" t="s">
        <v>418</v>
      </c>
      <c r="O40" s="92">
        <v>5</v>
      </c>
      <c r="P40" s="91" t="s">
        <v>395</v>
      </c>
      <c r="Q40" s="91">
        <v>5</v>
      </c>
      <c r="R40" s="91" t="s">
        <v>395</v>
      </c>
      <c r="S40" s="91">
        <v>17</v>
      </c>
      <c r="T40" s="91" t="s">
        <v>395</v>
      </c>
      <c r="U40" s="91">
        <v>17</v>
      </c>
      <c r="V40" s="91" t="s">
        <v>395</v>
      </c>
      <c r="W40" s="91">
        <v>7</v>
      </c>
      <c r="X40" s="91" t="s">
        <v>395</v>
      </c>
      <c r="Y40" s="91">
        <v>7</v>
      </c>
      <c r="Z40" s="91" t="s">
        <v>395</v>
      </c>
      <c r="AA40" s="91">
        <v>284</v>
      </c>
      <c r="AB40" s="91" t="s">
        <v>1063</v>
      </c>
      <c r="AC40" s="91">
        <v>206</v>
      </c>
      <c r="AD40" s="171" t="s">
        <v>1063</v>
      </c>
      <c r="AE40" s="92">
        <v>9</v>
      </c>
      <c r="AF40" s="171">
        <v>8</v>
      </c>
    </row>
    <row r="41" spans="1:32" ht="9" customHeight="1">
      <c r="A41" s="94" t="s">
        <v>29</v>
      </c>
      <c r="B41" s="172" t="s">
        <v>30</v>
      </c>
      <c r="C41" s="95">
        <v>371</v>
      </c>
      <c r="D41" s="95" t="s">
        <v>1157</v>
      </c>
      <c r="E41" s="95">
        <v>304</v>
      </c>
      <c r="F41" s="95" t="s">
        <v>1112</v>
      </c>
      <c r="G41" s="95">
        <v>19</v>
      </c>
      <c r="H41" s="95" t="s">
        <v>419</v>
      </c>
      <c r="I41" s="95">
        <v>16</v>
      </c>
      <c r="J41" s="95" t="s">
        <v>419</v>
      </c>
      <c r="K41" s="95">
        <v>11</v>
      </c>
      <c r="L41" s="95" t="s">
        <v>418</v>
      </c>
      <c r="M41" s="95">
        <v>10</v>
      </c>
      <c r="N41" s="95" t="s">
        <v>418</v>
      </c>
      <c r="O41" s="96">
        <v>5</v>
      </c>
      <c r="P41" s="95" t="s">
        <v>395</v>
      </c>
      <c r="Q41" s="95">
        <v>5</v>
      </c>
      <c r="R41" s="95" t="s">
        <v>395</v>
      </c>
      <c r="S41" s="95">
        <v>16</v>
      </c>
      <c r="T41" s="95" t="s">
        <v>395</v>
      </c>
      <c r="U41" s="95">
        <v>16</v>
      </c>
      <c r="V41" s="95" t="s">
        <v>395</v>
      </c>
      <c r="W41" s="95">
        <v>7</v>
      </c>
      <c r="X41" s="95" t="s">
        <v>395</v>
      </c>
      <c r="Y41" s="95">
        <v>7</v>
      </c>
      <c r="Z41" s="95" t="s">
        <v>395</v>
      </c>
      <c r="AA41" s="95">
        <v>269</v>
      </c>
      <c r="AB41" s="95" t="s">
        <v>1063</v>
      </c>
      <c r="AC41" s="95">
        <v>195</v>
      </c>
      <c r="AD41" s="173" t="s">
        <v>1063</v>
      </c>
      <c r="AE41" s="96">
        <v>3</v>
      </c>
      <c r="AF41" s="173">
        <v>2</v>
      </c>
    </row>
    <row r="42" spans="1:32" ht="9" customHeight="1">
      <c r="A42" s="94" t="s">
        <v>31</v>
      </c>
      <c r="B42" s="172" t="s">
        <v>32</v>
      </c>
      <c r="C42" s="95">
        <v>17</v>
      </c>
      <c r="D42" s="95" t="s">
        <v>418</v>
      </c>
      <c r="E42" s="95">
        <v>9</v>
      </c>
      <c r="F42" s="95" t="s">
        <v>417</v>
      </c>
      <c r="G42" s="95">
        <v>1</v>
      </c>
      <c r="H42" s="95" t="s">
        <v>1063</v>
      </c>
      <c r="I42" s="95">
        <v>1</v>
      </c>
      <c r="J42" s="95" t="s">
        <v>1063</v>
      </c>
      <c r="K42" s="95" t="s">
        <v>28</v>
      </c>
      <c r="L42" s="95" t="s">
        <v>1063</v>
      </c>
      <c r="M42" s="95" t="s">
        <v>28</v>
      </c>
      <c r="N42" s="95" t="s">
        <v>1063</v>
      </c>
      <c r="O42" s="96" t="s">
        <v>28</v>
      </c>
      <c r="P42" s="95" t="s">
        <v>1063</v>
      </c>
      <c r="Q42" s="95" t="s">
        <v>28</v>
      </c>
      <c r="R42" s="95" t="s">
        <v>1063</v>
      </c>
      <c r="S42" s="95">
        <v>1</v>
      </c>
      <c r="T42" s="95" t="s">
        <v>1063</v>
      </c>
      <c r="U42" s="95">
        <v>1</v>
      </c>
      <c r="V42" s="95" t="s">
        <v>1063</v>
      </c>
      <c r="W42" s="95" t="s">
        <v>28</v>
      </c>
      <c r="X42" s="95" t="s">
        <v>1063</v>
      </c>
      <c r="Y42" s="95" t="s">
        <v>28</v>
      </c>
      <c r="Z42" s="95" t="s">
        <v>1063</v>
      </c>
      <c r="AA42" s="95">
        <v>15</v>
      </c>
      <c r="AB42" s="95" t="s">
        <v>1063</v>
      </c>
      <c r="AC42" s="95">
        <v>11</v>
      </c>
      <c r="AD42" s="173" t="s">
        <v>1063</v>
      </c>
      <c r="AE42" s="96">
        <v>6</v>
      </c>
      <c r="AF42" s="173">
        <v>6</v>
      </c>
    </row>
    <row r="43" spans="1:32" ht="9" customHeight="1">
      <c r="A43" s="89" t="s">
        <v>53</v>
      </c>
      <c r="B43" s="170" t="s">
        <v>54</v>
      </c>
      <c r="C43" s="91">
        <v>424</v>
      </c>
      <c r="D43" s="91" t="s">
        <v>1165</v>
      </c>
      <c r="E43" s="91">
        <v>347</v>
      </c>
      <c r="F43" s="91" t="s">
        <v>1358</v>
      </c>
      <c r="G43" s="91">
        <v>25</v>
      </c>
      <c r="H43" s="91" t="s">
        <v>477</v>
      </c>
      <c r="I43" s="91">
        <v>18</v>
      </c>
      <c r="J43" s="91" t="s">
        <v>415</v>
      </c>
      <c r="K43" s="91">
        <v>15</v>
      </c>
      <c r="L43" s="91" t="s">
        <v>417</v>
      </c>
      <c r="M43" s="91">
        <v>14</v>
      </c>
      <c r="N43" s="91" t="s">
        <v>417</v>
      </c>
      <c r="O43" s="92">
        <v>3</v>
      </c>
      <c r="P43" s="91" t="s">
        <v>395</v>
      </c>
      <c r="Q43" s="91">
        <v>3</v>
      </c>
      <c r="R43" s="91" t="s">
        <v>395</v>
      </c>
      <c r="S43" s="91">
        <v>18</v>
      </c>
      <c r="T43" s="91" t="s">
        <v>418</v>
      </c>
      <c r="U43" s="91">
        <v>18</v>
      </c>
      <c r="V43" s="91" t="s">
        <v>418</v>
      </c>
      <c r="W43" s="91">
        <v>5</v>
      </c>
      <c r="X43" s="91" t="s">
        <v>1063</v>
      </c>
      <c r="Y43" s="91">
        <v>5</v>
      </c>
      <c r="Z43" s="91" t="s">
        <v>1063</v>
      </c>
      <c r="AA43" s="91">
        <v>278</v>
      </c>
      <c r="AB43" s="91" t="s">
        <v>1063</v>
      </c>
      <c r="AC43" s="91">
        <v>194</v>
      </c>
      <c r="AD43" s="171" t="s">
        <v>1063</v>
      </c>
      <c r="AE43" s="92">
        <v>10</v>
      </c>
      <c r="AF43" s="171">
        <v>7</v>
      </c>
    </row>
    <row r="44" spans="1:32" ht="9" customHeight="1">
      <c r="A44" s="94" t="s">
        <v>29</v>
      </c>
      <c r="B44" s="172" t="s">
        <v>30</v>
      </c>
      <c r="C44" s="95">
        <v>421</v>
      </c>
      <c r="D44" s="95" t="s">
        <v>1165</v>
      </c>
      <c r="E44" s="95">
        <v>345</v>
      </c>
      <c r="F44" s="95" t="s">
        <v>1358</v>
      </c>
      <c r="G44" s="95">
        <v>25</v>
      </c>
      <c r="H44" s="95" t="s">
        <v>477</v>
      </c>
      <c r="I44" s="95">
        <v>18</v>
      </c>
      <c r="J44" s="95" t="s">
        <v>415</v>
      </c>
      <c r="K44" s="95">
        <v>15</v>
      </c>
      <c r="L44" s="95" t="s">
        <v>417</v>
      </c>
      <c r="M44" s="95">
        <v>14</v>
      </c>
      <c r="N44" s="95" t="s">
        <v>417</v>
      </c>
      <c r="O44" s="96">
        <v>3</v>
      </c>
      <c r="P44" s="95" t="s">
        <v>395</v>
      </c>
      <c r="Q44" s="95">
        <v>3</v>
      </c>
      <c r="R44" s="95" t="s">
        <v>395</v>
      </c>
      <c r="S44" s="95">
        <v>17</v>
      </c>
      <c r="T44" s="95" t="s">
        <v>417</v>
      </c>
      <c r="U44" s="95">
        <v>17</v>
      </c>
      <c r="V44" s="95" t="s">
        <v>417</v>
      </c>
      <c r="W44" s="95">
        <v>5</v>
      </c>
      <c r="X44" s="95" t="s">
        <v>1063</v>
      </c>
      <c r="Y44" s="95">
        <v>5</v>
      </c>
      <c r="Z44" s="95" t="s">
        <v>1063</v>
      </c>
      <c r="AA44" s="95">
        <v>268</v>
      </c>
      <c r="AB44" s="95" t="s">
        <v>1063</v>
      </c>
      <c r="AC44" s="95">
        <v>186</v>
      </c>
      <c r="AD44" s="173" t="s">
        <v>1063</v>
      </c>
      <c r="AE44" s="96">
        <v>10</v>
      </c>
      <c r="AF44" s="173">
        <v>7</v>
      </c>
    </row>
    <row r="45" spans="1:32" ht="9" customHeight="1">
      <c r="A45" s="94" t="s">
        <v>31</v>
      </c>
      <c r="B45" s="172" t="s">
        <v>32</v>
      </c>
      <c r="C45" s="95">
        <v>3</v>
      </c>
      <c r="D45" s="95" t="s">
        <v>1063</v>
      </c>
      <c r="E45" s="95">
        <v>2</v>
      </c>
      <c r="F45" s="95" t="s">
        <v>1063</v>
      </c>
      <c r="G45" s="95" t="s">
        <v>28</v>
      </c>
      <c r="H45" s="95" t="s">
        <v>1063</v>
      </c>
      <c r="I45" s="95" t="s">
        <v>28</v>
      </c>
      <c r="J45" s="95" t="s">
        <v>1063</v>
      </c>
      <c r="K45" s="95" t="s">
        <v>28</v>
      </c>
      <c r="L45" s="95" t="s">
        <v>1063</v>
      </c>
      <c r="M45" s="95" t="s">
        <v>28</v>
      </c>
      <c r="N45" s="95" t="s">
        <v>1063</v>
      </c>
      <c r="O45" s="96" t="s">
        <v>28</v>
      </c>
      <c r="P45" s="95" t="s">
        <v>1063</v>
      </c>
      <c r="Q45" s="95" t="s">
        <v>28</v>
      </c>
      <c r="R45" s="95" t="s">
        <v>1063</v>
      </c>
      <c r="S45" s="95">
        <v>1</v>
      </c>
      <c r="T45" s="95" t="s">
        <v>395</v>
      </c>
      <c r="U45" s="95">
        <v>1</v>
      </c>
      <c r="V45" s="95" t="s">
        <v>395</v>
      </c>
      <c r="W45" s="95" t="s">
        <v>28</v>
      </c>
      <c r="X45" s="95" t="s">
        <v>1063</v>
      </c>
      <c r="Y45" s="95" t="s">
        <v>28</v>
      </c>
      <c r="Z45" s="95" t="s">
        <v>1063</v>
      </c>
      <c r="AA45" s="95">
        <v>10</v>
      </c>
      <c r="AB45" s="95" t="s">
        <v>1063</v>
      </c>
      <c r="AC45" s="95">
        <v>8</v>
      </c>
      <c r="AD45" s="173" t="s">
        <v>1063</v>
      </c>
      <c r="AE45" s="96" t="s">
        <v>28</v>
      </c>
      <c r="AF45" s="173" t="s">
        <v>28</v>
      </c>
    </row>
    <row r="46" spans="1:32" ht="9" customHeight="1">
      <c r="A46" s="89" t="s">
        <v>55</v>
      </c>
      <c r="B46" s="170" t="s">
        <v>56</v>
      </c>
      <c r="C46" s="91">
        <v>390</v>
      </c>
      <c r="D46" s="91" t="s">
        <v>1165</v>
      </c>
      <c r="E46" s="91">
        <v>328</v>
      </c>
      <c r="F46" s="91" t="s">
        <v>1399</v>
      </c>
      <c r="G46" s="91">
        <v>26</v>
      </c>
      <c r="H46" s="91" t="s">
        <v>413</v>
      </c>
      <c r="I46" s="91">
        <v>21</v>
      </c>
      <c r="J46" s="91" t="s">
        <v>418</v>
      </c>
      <c r="K46" s="91">
        <v>12</v>
      </c>
      <c r="L46" s="91" t="s">
        <v>395</v>
      </c>
      <c r="M46" s="91">
        <v>10</v>
      </c>
      <c r="N46" s="91" t="s">
        <v>395</v>
      </c>
      <c r="O46" s="92">
        <v>4</v>
      </c>
      <c r="P46" s="91" t="s">
        <v>395</v>
      </c>
      <c r="Q46" s="91">
        <v>4</v>
      </c>
      <c r="R46" s="91" t="s">
        <v>395</v>
      </c>
      <c r="S46" s="91">
        <v>19</v>
      </c>
      <c r="T46" s="91" t="s">
        <v>395</v>
      </c>
      <c r="U46" s="91">
        <v>19</v>
      </c>
      <c r="V46" s="91" t="s">
        <v>395</v>
      </c>
      <c r="W46" s="91">
        <v>4</v>
      </c>
      <c r="X46" s="91" t="s">
        <v>1063</v>
      </c>
      <c r="Y46" s="91">
        <v>4</v>
      </c>
      <c r="Z46" s="91" t="s">
        <v>1063</v>
      </c>
      <c r="AA46" s="91">
        <v>201</v>
      </c>
      <c r="AB46" s="91" t="s">
        <v>1063</v>
      </c>
      <c r="AC46" s="91">
        <v>135</v>
      </c>
      <c r="AD46" s="171" t="s">
        <v>1063</v>
      </c>
      <c r="AE46" s="92">
        <v>6</v>
      </c>
      <c r="AF46" s="171">
        <v>5</v>
      </c>
    </row>
    <row r="47" spans="1:32" s="21" customFormat="1" ht="9" customHeight="1">
      <c r="A47" s="94" t="s">
        <v>29</v>
      </c>
      <c r="B47" s="172" t="s">
        <v>30</v>
      </c>
      <c r="C47" s="95">
        <v>390</v>
      </c>
      <c r="D47" s="95" t="s">
        <v>1165</v>
      </c>
      <c r="E47" s="95">
        <v>328</v>
      </c>
      <c r="F47" s="95" t="s">
        <v>1399</v>
      </c>
      <c r="G47" s="95">
        <v>26</v>
      </c>
      <c r="H47" s="95" t="s">
        <v>413</v>
      </c>
      <c r="I47" s="95">
        <v>21</v>
      </c>
      <c r="J47" s="95" t="s">
        <v>418</v>
      </c>
      <c r="K47" s="95">
        <v>12</v>
      </c>
      <c r="L47" s="95" t="s">
        <v>395</v>
      </c>
      <c r="M47" s="95">
        <v>10</v>
      </c>
      <c r="N47" s="95" t="s">
        <v>395</v>
      </c>
      <c r="O47" s="96">
        <v>4</v>
      </c>
      <c r="P47" s="95" t="s">
        <v>395</v>
      </c>
      <c r="Q47" s="95">
        <v>4</v>
      </c>
      <c r="R47" s="95" t="s">
        <v>395</v>
      </c>
      <c r="S47" s="95">
        <v>19</v>
      </c>
      <c r="T47" s="95" t="s">
        <v>395</v>
      </c>
      <c r="U47" s="95">
        <v>19</v>
      </c>
      <c r="V47" s="95" t="s">
        <v>395</v>
      </c>
      <c r="W47" s="95">
        <v>4</v>
      </c>
      <c r="X47" s="95" t="s">
        <v>1063</v>
      </c>
      <c r="Y47" s="95">
        <v>4</v>
      </c>
      <c r="Z47" s="95" t="s">
        <v>1063</v>
      </c>
      <c r="AA47" s="95">
        <v>201</v>
      </c>
      <c r="AB47" s="95" t="s">
        <v>1063</v>
      </c>
      <c r="AC47" s="95">
        <v>135</v>
      </c>
      <c r="AD47" s="173" t="s">
        <v>1063</v>
      </c>
      <c r="AE47" s="96">
        <v>6</v>
      </c>
      <c r="AF47" s="173">
        <v>5</v>
      </c>
    </row>
    <row r="48" spans="1:32" ht="9" customHeight="1">
      <c r="A48" s="94" t="s">
        <v>31</v>
      </c>
      <c r="B48" s="172" t="s">
        <v>32</v>
      </c>
      <c r="C48" s="95" t="s">
        <v>28</v>
      </c>
      <c r="D48" s="95" t="s">
        <v>1063</v>
      </c>
      <c r="E48" s="95" t="s">
        <v>28</v>
      </c>
      <c r="F48" s="95" t="s">
        <v>1063</v>
      </c>
      <c r="G48" s="95" t="s">
        <v>28</v>
      </c>
      <c r="H48" s="95" t="s">
        <v>1063</v>
      </c>
      <c r="I48" s="95" t="s">
        <v>28</v>
      </c>
      <c r="J48" s="95" t="s">
        <v>1063</v>
      </c>
      <c r="K48" s="95" t="s">
        <v>28</v>
      </c>
      <c r="L48" s="95" t="s">
        <v>1063</v>
      </c>
      <c r="M48" s="95" t="s">
        <v>28</v>
      </c>
      <c r="N48" s="95" t="s">
        <v>1063</v>
      </c>
      <c r="O48" s="96" t="s">
        <v>28</v>
      </c>
      <c r="P48" s="95" t="s">
        <v>1063</v>
      </c>
      <c r="Q48" s="95" t="s">
        <v>28</v>
      </c>
      <c r="R48" s="95" t="s">
        <v>1063</v>
      </c>
      <c r="S48" s="95" t="s">
        <v>28</v>
      </c>
      <c r="T48" s="95" t="s">
        <v>1063</v>
      </c>
      <c r="U48" s="95" t="s">
        <v>28</v>
      </c>
      <c r="V48" s="95" t="s">
        <v>1063</v>
      </c>
      <c r="W48" s="95" t="s">
        <v>28</v>
      </c>
      <c r="X48" s="95" t="s">
        <v>1063</v>
      </c>
      <c r="Y48" s="95" t="s">
        <v>28</v>
      </c>
      <c r="Z48" s="95" t="s">
        <v>1063</v>
      </c>
      <c r="AA48" s="95" t="s">
        <v>28</v>
      </c>
      <c r="AB48" s="95" t="s">
        <v>1063</v>
      </c>
      <c r="AC48" s="95" t="s">
        <v>28</v>
      </c>
      <c r="AD48" s="173" t="s">
        <v>1063</v>
      </c>
      <c r="AE48" s="96" t="s">
        <v>28</v>
      </c>
      <c r="AF48" s="173" t="s">
        <v>28</v>
      </c>
    </row>
    <row r="49" spans="1:32" ht="9" customHeight="1">
      <c r="A49" s="89" t="s">
        <v>57</v>
      </c>
      <c r="B49" s="170" t="s">
        <v>58</v>
      </c>
      <c r="C49" s="91">
        <v>203</v>
      </c>
      <c r="D49" s="91" t="s">
        <v>1132</v>
      </c>
      <c r="E49" s="91">
        <v>166</v>
      </c>
      <c r="F49" s="91" t="s">
        <v>1168</v>
      </c>
      <c r="G49" s="91">
        <v>15</v>
      </c>
      <c r="H49" s="91" t="s">
        <v>1063</v>
      </c>
      <c r="I49" s="91">
        <v>13</v>
      </c>
      <c r="J49" s="91" t="s">
        <v>1063</v>
      </c>
      <c r="K49" s="91">
        <v>7</v>
      </c>
      <c r="L49" s="91" t="s">
        <v>413</v>
      </c>
      <c r="M49" s="91">
        <v>6</v>
      </c>
      <c r="N49" s="91" t="s">
        <v>413</v>
      </c>
      <c r="O49" s="92">
        <v>3</v>
      </c>
      <c r="P49" s="91" t="s">
        <v>1063</v>
      </c>
      <c r="Q49" s="91">
        <v>3</v>
      </c>
      <c r="R49" s="91" t="s">
        <v>1063</v>
      </c>
      <c r="S49" s="91">
        <v>13</v>
      </c>
      <c r="T49" s="91" t="s">
        <v>417</v>
      </c>
      <c r="U49" s="91">
        <v>13</v>
      </c>
      <c r="V49" s="91" t="s">
        <v>417</v>
      </c>
      <c r="W49" s="91">
        <v>1</v>
      </c>
      <c r="X49" s="91" t="s">
        <v>395</v>
      </c>
      <c r="Y49" s="91">
        <v>1</v>
      </c>
      <c r="Z49" s="91" t="s">
        <v>395</v>
      </c>
      <c r="AA49" s="91">
        <v>120</v>
      </c>
      <c r="AB49" s="91" t="s">
        <v>1063</v>
      </c>
      <c r="AC49" s="91">
        <v>88</v>
      </c>
      <c r="AD49" s="171" t="s">
        <v>1063</v>
      </c>
      <c r="AE49" s="92">
        <v>6</v>
      </c>
      <c r="AF49" s="171">
        <v>5</v>
      </c>
    </row>
    <row r="50" spans="1:32" s="21" customFormat="1" ht="9" customHeight="1">
      <c r="A50" s="94" t="s">
        <v>29</v>
      </c>
      <c r="B50" s="172" t="s">
        <v>30</v>
      </c>
      <c r="C50" s="95">
        <v>203</v>
      </c>
      <c r="D50" s="95" t="s">
        <v>1132</v>
      </c>
      <c r="E50" s="95">
        <v>166</v>
      </c>
      <c r="F50" s="95" t="s">
        <v>1168</v>
      </c>
      <c r="G50" s="95">
        <v>15</v>
      </c>
      <c r="H50" s="95" t="s">
        <v>1063</v>
      </c>
      <c r="I50" s="95">
        <v>13</v>
      </c>
      <c r="J50" s="95" t="s">
        <v>1063</v>
      </c>
      <c r="K50" s="95">
        <v>7</v>
      </c>
      <c r="L50" s="95" t="s">
        <v>413</v>
      </c>
      <c r="M50" s="95">
        <v>6</v>
      </c>
      <c r="N50" s="95" t="s">
        <v>413</v>
      </c>
      <c r="O50" s="96">
        <v>3</v>
      </c>
      <c r="P50" s="95" t="s">
        <v>1063</v>
      </c>
      <c r="Q50" s="95">
        <v>3</v>
      </c>
      <c r="R50" s="95" t="s">
        <v>1063</v>
      </c>
      <c r="S50" s="95">
        <v>13</v>
      </c>
      <c r="T50" s="95" t="s">
        <v>417</v>
      </c>
      <c r="U50" s="95">
        <v>13</v>
      </c>
      <c r="V50" s="95" t="s">
        <v>417</v>
      </c>
      <c r="W50" s="95">
        <v>1</v>
      </c>
      <c r="X50" s="95" t="s">
        <v>395</v>
      </c>
      <c r="Y50" s="95">
        <v>1</v>
      </c>
      <c r="Z50" s="95" t="s">
        <v>395</v>
      </c>
      <c r="AA50" s="95">
        <v>120</v>
      </c>
      <c r="AB50" s="95" t="s">
        <v>1063</v>
      </c>
      <c r="AC50" s="95">
        <v>88</v>
      </c>
      <c r="AD50" s="173" t="s">
        <v>1063</v>
      </c>
      <c r="AE50" s="96">
        <v>6</v>
      </c>
      <c r="AF50" s="173">
        <v>5</v>
      </c>
    </row>
    <row r="51" spans="1:32" ht="9" customHeight="1">
      <c r="A51" s="94" t="s">
        <v>31</v>
      </c>
      <c r="B51" s="172" t="s">
        <v>32</v>
      </c>
      <c r="C51" s="95" t="s">
        <v>28</v>
      </c>
      <c r="D51" s="95" t="s">
        <v>1063</v>
      </c>
      <c r="E51" s="95" t="s">
        <v>28</v>
      </c>
      <c r="F51" s="95" t="s">
        <v>1063</v>
      </c>
      <c r="G51" s="95" t="s">
        <v>28</v>
      </c>
      <c r="H51" s="95" t="s">
        <v>1063</v>
      </c>
      <c r="I51" s="95" t="s">
        <v>28</v>
      </c>
      <c r="J51" s="95" t="s">
        <v>1063</v>
      </c>
      <c r="K51" s="95" t="s">
        <v>28</v>
      </c>
      <c r="L51" s="95" t="s">
        <v>1063</v>
      </c>
      <c r="M51" s="95" t="s">
        <v>28</v>
      </c>
      <c r="N51" s="95" t="s">
        <v>1063</v>
      </c>
      <c r="O51" s="96" t="s">
        <v>28</v>
      </c>
      <c r="P51" s="95" t="s">
        <v>1063</v>
      </c>
      <c r="Q51" s="95" t="s">
        <v>28</v>
      </c>
      <c r="R51" s="95" t="s">
        <v>1063</v>
      </c>
      <c r="S51" s="95" t="s">
        <v>28</v>
      </c>
      <c r="T51" s="95" t="s">
        <v>1063</v>
      </c>
      <c r="U51" s="95" t="s">
        <v>28</v>
      </c>
      <c r="V51" s="95" t="s">
        <v>1063</v>
      </c>
      <c r="W51" s="95" t="s">
        <v>28</v>
      </c>
      <c r="X51" s="95" t="s">
        <v>1063</v>
      </c>
      <c r="Y51" s="95" t="s">
        <v>28</v>
      </c>
      <c r="Z51" s="95" t="s">
        <v>1063</v>
      </c>
      <c r="AA51" s="95" t="s">
        <v>28</v>
      </c>
      <c r="AB51" s="95" t="s">
        <v>1063</v>
      </c>
      <c r="AC51" s="95" t="s">
        <v>28</v>
      </c>
      <c r="AD51" s="173" t="s">
        <v>1063</v>
      </c>
      <c r="AE51" s="96" t="s">
        <v>28</v>
      </c>
      <c r="AF51" s="173" t="s">
        <v>28</v>
      </c>
    </row>
    <row r="52" spans="1:32" ht="9" customHeight="1">
      <c r="A52" s="89" t="s">
        <v>59</v>
      </c>
      <c r="B52" s="170" t="s">
        <v>60</v>
      </c>
      <c r="C52" s="91">
        <v>546</v>
      </c>
      <c r="D52" s="91" t="s">
        <v>1163</v>
      </c>
      <c r="E52" s="91">
        <v>385</v>
      </c>
      <c r="F52" s="91" t="s">
        <v>1157</v>
      </c>
      <c r="G52" s="91">
        <v>29</v>
      </c>
      <c r="H52" s="91" t="s">
        <v>418</v>
      </c>
      <c r="I52" s="91">
        <v>22</v>
      </c>
      <c r="J52" s="91" t="s">
        <v>417</v>
      </c>
      <c r="K52" s="91">
        <v>14</v>
      </c>
      <c r="L52" s="91" t="s">
        <v>395</v>
      </c>
      <c r="M52" s="91">
        <v>13</v>
      </c>
      <c r="N52" s="91" t="s">
        <v>395</v>
      </c>
      <c r="O52" s="92">
        <v>7</v>
      </c>
      <c r="P52" s="91" t="s">
        <v>1063</v>
      </c>
      <c r="Q52" s="91">
        <v>6</v>
      </c>
      <c r="R52" s="91" t="s">
        <v>1063</v>
      </c>
      <c r="S52" s="91">
        <v>25</v>
      </c>
      <c r="T52" s="91" t="s">
        <v>419</v>
      </c>
      <c r="U52" s="91">
        <v>25</v>
      </c>
      <c r="V52" s="91" t="s">
        <v>419</v>
      </c>
      <c r="W52" s="91">
        <v>9</v>
      </c>
      <c r="X52" s="91" t="s">
        <v>1063</v>
      </c>
      <c r="Y52" s="91">
        <v>8</v>
      </c>
      <c r="Z52" s="91" t="s">
        <v>1063</v>
      </c>
      <c r="AA52" s="91">
        <v>422</v>
      </c>
      <c r="AB52" s="91" t="s">
        <v>1063</v>
      </c>
      <c r="AC52" s="91">
        <v>295</v>
      </c>
      <c r="AD52" s="171" t="s">
        <v>1063</v>
      </c>
      <c r="AE52" s="92">
        <v>16</v>
      </c>
      <c r="AF52" s="171">
        <v>14</v>
      </c>
    </row>
    <row r="53" spans="1:32" ht="9" customHeight="1">
      <c r="A53" s="94" t="s">
        <v>29</v>
      </c>
      <c r="B53" s="172" t="s">
        <v>30</v>
      </c>
      <c r="C53" s="95">
        <v>546</v>
      </c>
      <c r="D53" s="95" t="s">
        <v>1163</v>
      </c>
      <c r="E53" s="95">
        <v>385</v>
      </c>
      <c r="F53" s="95" t="s">
        <v>1157</v>
      </c>
      <c r="G53" s="95">
        <v>29</v>
      </c>
      <c r="H53" s="95" t="s">
        <v>418</v>
      </c>
      <c r="I53" s="95">
        <v>22</v>
      </c>
      <c r="J53" s="95" t="s">
        <v>417</v>
      </c>
      <c r="K53" s="95">
        <v>14</v>
      </c>
      <c r="L53" s="95" t="s">
        <v>395</v>
      </c>
      <c r="M53" s="95">
        <v>13</v>
      </c>
      <c r="N53" s="95" t="s">
        <v>395</v>
      </c>
      <c r="O53" s="96">
        <v>7</v>
      </c>
      <c r="P53" s="95" t="s">
        <v>1063</v>
      </c>
      <c r="Q53" s="95">
        <v>6</v>
      </c>
      <c r="R53" s="95" t="s">
        <v>1063</v>
      </c>
      <c r="S53" s="95">
        <v>25</v>
      </c>
      <c r="T53" s="95" t="s">
        <v>419</v>
      </c>
      <c r="U53" s="95">
        <v>25</v>
      </c>
      <c r="V53" s="95" t="s">
        <v>419</v>
      </c>
      <c r="W53" s="95">
        <v>9</v>
      </c>
      <c r="X53" s="95" t="s">
        <v>1063</v>
      </c>
      <c r="Y53" s="95">
        <v>8</v>
      </c>
      <c r="Z53" s="95" t="s">
        <v>1063</v>
      </c>
      <c r="AA53" s="95">
        <v>422</v>
      </c>
      <c r="AB53" s="95" t="s">
        <v>1063</v>
      </c>
      <c r="AC53" s="95">
        <v>295</v>
      </c>
      <c r="AD53" s="173" t="s">
        <v>1063</v>
      </c>
      <c r="AE53" s="96">
        <v>16</v>
      </c>
      <c r="AF53" s="173">
        <v>14</v>
      </c>
    </row>
    <row r="54" spans="1:32" ht="9" customHeight="1">
      <c r="A54" s="94" t="s">
        <v>31</v>
      </c>
      <c r="B54" s="172" t="s">
        <v>32</v>
      </c>
      <c r="C54" s="95" t="s">
        <v>28</v>
      </c>
      <c r="D54" s="95" t="s">
        <v>1063</v>
      </c>
      <c r="E54" s="95" t="s">
        <v>28</v>
      </c>
      <c r="F54" s="95" t="s">
        <v>1063</v>
      </c>
      <c r="G54" s="95" t="s">
        <v>28</v>
      </c>
      <c r="H54" s="95" t="s">
        <v>1063</v>
      </c>
      <c r="I54" s="95" t="s">
        <v>28</v>
      </c>
      <c r="J54" s="95" t="s">
        <v>1063</v>
      </c>
      <c r="K54" s="95" t="s">
        <v>28</v>
      </c>
      <c r="L54" s="95" t="s">
        <v>1063</v>
      </c>
      <c r="M54" s="95" t="s">
        <v>28</v>
      </c>
      <c r="N54" s="95" t="s">
        <v>1063</v>
      </c>
      <c r="O54" s="96" t="s">
        <v>28</v>
      </c>
      <c r="P54" s="95" t="s">
        <v>1063</v>
      </c>
      <c r="Q54" s="95" t="s">
        <v>28</v>
      </c>
      <c r="R54" s="95" t="s">
        <v>1063</v>
      </c>
      <c r="S54" s="95" t="s">
        <v>28</v>
      </c>
      <c r="T54" s="95" t="s">
        <v>1063</v>
      </c>
      <c r="U54" s="95" t="s">
        <v>28</v>
      </c>
      <c r="V54" s="95" t="s">
        <v>1063</v>
      </c>
      <c r="W54" s="95" t="s">
        <v>28</v>
      </c>
      <c r="X54" s="95" t="s">
        <v>1063</v>
      </c>
      <c r="Y54" s="95" t="s">
        <v>28</v>
      </c>
      <c r="Z54" s="95" t="s">
        <v>1063</v>
      </c>
      <c r="AA54" s="95" t="s">
        <v>28</v>
      </c>
      <c r="AB54" s="95" t="s">
        <v>1063</v>
      </c>
      <c r="AC54" s="95" t="s">
        <v>28</v>
      </c>
      <c r="AD54" s="173" t="s">
        <v>1063</v>
      </c>
      <c r="AE54" s="96" t="s">
        <v>28</v>
      </c>
      <c r="AF54" s="173" t="s">
        <v>28</v>
      </c>
    </row>
    <row r="55" spans="1:32" ht="9" customHeight="1">
      <c r="A55" s="89" t="s">
        <v>61</v>
      </c>
      <c r="B55" s="170" t="s">
        <v>62</v>
      </c>
      <c r="C55" s="91">
        <v>71</v>
      </c>
      <c r="D55" s="91" t="s">
        <v>413</v>
      </c>
      <c r="E55" s="91">
        <v>37</v>
      </c>
      <c r="F55" s="91" t="s">
        <v>417</v>
      </c>
      <c r="G55" s="91">
        <v>8</v>
      </c>
      <c r="H55" s="91" t="s">
        <v>1063</v>
      </c>
      <c r="I55" s="91">
        <v>5</v>
      </c>
      <c r="J55" s="91" t="s">
        <v>1063</v>
      </c>
      <c r="K55" s="91">
        <v>3</v>
      </c>
      <c r="L55" s="91" t="s">
        <v>1063</v>
      </c>
      <c r="M55" s="91">
        <v>2</v>
      </c>
      <c r="N55" s="91" t="s">
        <v>1063</v>
      </c>
      <c r="O55" s="92">
        <v>2</v>
      </c>
      <c r="P55" s="91" t="s">
        <v>1063</v>
      </c>
      <c r="Q55" s="91">
        <v>2</v>
      </c>
      <c r="R55" s="91" t="s">
        <v>1063</v>
      </c>
      <c r="S55" s="91">
        <v>2</v>
      </c>
      <c r="T55" s="91" t="s">
        <v>1063</v>
      </c>
      <c r="U55" s="91">
        <v>2</v>
      </c>
      <c r="V55" s="91" t="s">
        <v>1063</v>
      </c>
      <c r="W55" s="91">
        <v>3</v>
      </c>
      <c r="X55" s="91" t="s">
        <v>395</v>
      </c>
      <c r="Y55" s="91">
        <v>3</v>
      </c>
      <c r="Z55" s="91" t="s">
        <v>395</v>
      </c>
      <c r="AA55" s="91">
        <v>27</v>
      </c>
      <c r="AB55" s="91" t="s">
        <v>1063</v>
      </c>
      <c r="AC55" s="91">
        <v>15</v>
      </c>
      <c r="AD55" s="171" t="s">
        <v>1063</v>
      </c>
      <c r="AE55" s="92" t="s">
        <v>28</v>
      </c>
      <c r="AF55" s="171" t="s">
        <v>28</v>
      </c>
    </row>
    <row r="56" spans="1:32" ht="9" customHeight="1">
      <c r="A56" s="94" t="s">
        <v>29</v>
      </c>
      <c r="B56" s="172" t="s">
        <v>30</v>
      </c>
      <c r="C56" s="95">
        <v>63</v>
      </c>
      <c r="D56" s="95" t="s">
        <v>418</v>
      </c>
      <c r="E56" s="95">
        <v>35</v>
      </c>
      <c r="F56" s="95" t="s">
        <v>417</v>
      </c>
      <c r="G56" s="95">
        <v>8</v>
      </c>
      <c r="H56" s="95" t="s">
        <v>1063</v>
      </c>
      <c r="I56" s="95">
        <v>5</v>
      </c>
      <c r="J56" s="95" t="s">
        <v>1063</v>
      </c>
      <c r="K56" s="95">
        <v>3</v>
      </c>
      <c r="L56" s="95" t="s">
        <v>1063</v>
      </c>
      <c r="M56" s="95">
        <v>2</v>
      </c>
      <c r="N56" s="95" t="s">
        <v>1063</v>
      </c>
      <c r="O56" s="96">
        <v>2</v>
      </c>
      <c r="P56" s="95" t="s">
        <v>1063</v>
      </c>
      <c r="Q56" s="95">
        <v>2</v>
      </c>
      <c r="R56" s="95" t="s">
        <v>1063</v>
      </c>
      <c r="S56" s="95">
        <v>2</v>
      </c>
      <c r="T56" s="95" t="s">
        <v>1063</v>
      </c>
      <c r="U56" s="95">
        <v>2</v>
      </c>
      <c r="V56" s="95" t="s">
        <v>1063</v>
      </c>
      <c r="W56" s="95">
        <v>3</v>
      </c>
      <c r="X56" s="95" t="s">
        <v>395</v>
      </c>
      <c r="Y56" s="95">
        <v>3</v>
      </c>
      <c r="Z56" s="95" t="s">
        <v>395</v>
      </c>
      <c r="AA56" s="95">
        <v>17</v>
      </c>
      <c r="AB56" s="95" t="s">
        <v>1063</v>
      </c>
      <c r="AC56" s="95">
        <v>9</v>
      </c>
      <c r="AD56" s="173" t="s">
        <v>1063</v>
      </c>
      <c r="AE56" s="96" t="s">
        <v>28</v>
      </c>
      <c r="AF56" s="173" t="s">
        <v>28</v>
      </c>
    </row>
    <row r="57" spans="1:32" ht="8.25" customHeight="1">
      <c r="A57" s="94" t="s">
        <v>31</v>
      </c>
      <c r="B57" s="172" t="s">
        <v>32</v>
      </c>
      <c r="C57" s="95">
        <v>8</v>
      </c>
      <c r="D57" s="95" t="s">
        <v>395</v>
      </c>
      <c r="E57" s="95">
        <v>2</v>
      </c>
      <c r="F57" s="95" t="s">
        <v>1063</v>
      </c>
      <c r="G57" s="95" t="s">
        <v>28</v>
      </c>
      <c r="H57" s="95" t="s">
        <v>1063</v>
      </c>
      <c r="I57" s="95" t="s">
        <v>28</v>
      </c>
      <c r="J57" s="95" t="s">
        <v>1063</v>
      </c>
      <c r="K57" s="95" t="s">
        <v>28</v>
      </c>
      <c r="L57" s="95" t="s">
        <v>1063</v>
      </c>
      <c r="M57" s="95" t="s">
        <v>28</v>
      </c>
      <c r="N57" s="95" t="s">
        <v>1063</v>
      </c>
      <c r="O57" s="96" t="s">
        <v>28</v>
      </c>
      <c r="P57" s="95" t="s">
        <v>1063</v>
      </c>
      <c r="Q57" s="95" t="s">
        <v>28</v>
      </c>
      <c r="R57" s="95" t="s">
        <v>1063</v>
      </c>
      <c r="S57" s="95" t="s">
        <v>28</v>
      </c>
      <c r="T57" s="95" t="s">
        <v>1063</v>
      </c>
      <c r="U57" s="95" t="s">
        <v>28</v>
      </c>
      <c r="V57" s="95" t="s">
        <v>1063</v>
      </c>
      <c r="W57" s="95" t="s">
        <v>28</v>
      </c>
      <c r="X57" s="95" t="s">
        <v>1063</v>
      </c>
      <c r="Y57" s="95" t="s">
        <v>28</v>
      </c>
      <c r="Z57" s="95" t="s">
        <v>1063</v>
      </c>
      <c r="AA57" s="95">
        <v>10</v>
      </c>
      <c r="AB57" s="95" t="s">
        <v>1063</v>
      </c>
      <c r="AC57" s="95">
        <v>6</v>
      </c>
      <c r="AD57" s="173" t="s">
        <v>1063</v>
      </c>
      <c r="AE57" s="96" t="s">
        <v>28</v>
      </c>
      <c r="AF57" s="173" t="s">
        <v>28</v>
      </c>
    </row>
    <row r="58" spans="1:32" ht="8.25" customHeight="1">
      <c r="A58" s="89" t="s">
        <v>63</v>
      </c>
      <c r="B58" s="170" t="s">
        <v>64</v>
      </c>
      <c r="C58" s="91">
        <v>32</v>
      </c>
      <c r="D58" s="91" t="s">
        <v>395</v>
      </c>
      <c r="E58" s="91">
        <v>22</v>
      </c>
      <c r="F58" s="91" t="s">
        <v>395</v>
      </c>
      <c r="G58" s="91">
        <v>2</v>
      </c>
      <c r="H58" s="91" t="s">
        <v>1063</v>
      </c>
      <c r="I58" s="91">
        <v>1</v>
      </c>
      <c r="J58" s="91" t="s">
        <v>1063</v>
      </c>
      <c r="K58" s="91">
        <v>1</v>
      </c>
      <c r="L58" s="91" t="s">
        <v>1063</v>
      </c>
      <c r="M58" s="91">
        <v>1</v>
      </c>
      <c r="N58" s="91" t="s">
        <v>1063</v>
      </c>
      <c r="O58" s="92" t="s">
        <v>28</v>
      </c>
      <c r="P58" s="91" t="s">
        <v>1063</v>
      </c>
      <c r="Q58" s="91" t="s">
        <v>28</v>
      </c>
      <c r="R58" s="91" t="s">
        <v>1063</v>
      </c>
      <c r="S58" s="91">
        <v>1</v>
      </c>
      <c r="T58" s="91" t="s">
        <v>1063</v>
      </c>
      <c r="U58" s="91">
        <v>1</v>
      </c>
      <c r="V58" s="91" t="s">
        <v>1063</v>
      </c>
      <c r="W58" s="91">
        <v>2</v>
      </c>
      <c r="X58" s="91" t="s">
        <v>1063</v>
      </c>
      <c r="Y58" s="91">
        <v>2</v>
      </c>
      <c r="Z58" s="91" t="s">
        <v>1063</v>
      </c>
      <c r="AA58" s="91">
        <v>1</v>
      </c>
      <c r="AB58" s="91" t="s">
        <v>1063</v>
      </c>
      <c r="AC58" s="91" t="s">
        <v>28</v>
      </c>
      <c r="AD58" s="171" t="s">
        <v>1063</v>
      </c>
      <c r="AE58" s="92" t="s">
        <v>28</v>
      </c>
      <c r="AF58" s="171" t="s">
        <v>28</v>
      </c>
    </row>
    <row r="59" spans="1:32" ht="8.25" customHeight="1">
      <c r="A59" s="94" t="s">
        <v>29</v>
      </c>
      <c r="B59" s="172" t="s">
        <v>30</v>
      </c>
      <c r="C59" s="95">
        <v>32</v>
      </c>
      <c r="D59" s="95" t="s">
        <v>395</v>
      </c>
      <c r="E59" s="95">
        <v>22</v>
      </c>
      <c r="F59" s="95" t="s">
        <v>395</v>
      </c>
      <c r="G59" s="95">
        <v>2</v>
      </c>
      <c r="H59" s="95" t="s">
        <v>1063</v>
      </c>
      <c r="I59" s="95">
        <v>1</v>
      </c>
      <c r="J59" s="95" t="s">
        <v>1063</v>
      </c>
      <c r="K59" s="95">
        <v>1</v>
      </c>
      <c r="L59" s="95" t="s">
        <v>1063</v>
      </c>
      <c r="M59" s="95">
        <v>1</v>
      </c>
      <c r="N59" s="95" t="s">
        <v>1063</v>
      </c>
      <c r="O59" s="96" t="s">
        <v>28</v>
      </c>
      <c r="P59" s="95" t="s">
        <v>1063</v>
      </c>
      <c r="Q59" s="95" t="s">
        <v>28</v>
      </c>
      <c r="R59" s="95" t="s">
        <v>1063</v>
      </c>
      <c r="S59" s="95">
        <v>1</v>
      </c>
      <c r="T59" s="95" t="s">
        <v>1063</v>
      </c>
      <c r="U59" s="95">
        <v>1</v>
      </c>
      <c r="V59" s="95" t="s">
        <v>1063</v>
      </c>
      <c r="W59" s="95">
        <v>2</v>
      </c>
      <c r="X59" s="95" t="s">
        <v>1063</v>
      </c>
      <c r="Y59" s="95">
        <v>2</v>
      </c>
      <c r="Z59" s="95" t="s">
        <v>1063</v>
      </c>
      <c r="AA59" s="95">
        <v>1</v>
      </c>
      <c r="AB59" s="95" t="s">
        <v>1063</v>
      </c>
      <c r="AC59" s="95" t="s">
        <v>28</v>
      </c>
      <c r="AD59" s="173" t="s">
        <v>1063</v>
      </c>
      <c r="AE59" s="96" t="s">
        <v>28</v>
      </c>
      <c r="AF59" s="173" t="s">
        <v>28</v>
      </c>
    </row>
    <row r="60" spans="1:32" ht="8.25" customHeight="1" thickBot="1">
      <c r="A60" s="1826" t="s">
        <v>31</v>
      </c>
      <c r="B60" s="174" t="s">
        <v>32</v>
      </c>
      <c r="C60" s="99" t="s">
        <v>28</v>
      </c>
      <c r="D60" s="99" t="s">
        <v>1063</v>
      </c>
      <c r="E60" s="99" t="s">
        <v>28</v>
      </c>
      <c r="F60" s="99" t="s">
        <v>1063</v>
      </c>
      <c r="G60" s="99" t="s">
        <v>28</v>
      </c>
      <c r="H60" s="99" t="s">
        <v>1063</v>
      </c>
      <c r="I60" s="99" t="s">
        <v>28</v>
      </c>
      <c r="J60" s="99" t="s">
        <v>1063</v>
      </c>
      <c r="K60" s="99" t="s">
        <v>28</v>
      </c>
      <c r="L60" s="99" t="s">
        <v>1063</v>
      </c>
      <c r="M60" s="99" t="s">
        <v>28</v>
      </c>
      <c r="N60" s="99" t="s">
        <v>1063</v>
      </c>
      <c r="O60" s="100" t="s">
        <v>28</v>
      </c>
      <c r="P60" s="99" t="s">
        <v>1063</v>
      </c>
      <c r="Q60" s="99" t="s">
        <v>28</v>
      </c>
      <c r="R60" s="99" t="s">
        <v>1063</v>
      </c>
      <c r="S60" s="99" t="s">
        <v>28</v>
      </c>
      <c r="T60" s="99" t="s">
        <v>1063</v>
      </c>
      <c r="U60" s="99" t="s">
        <v>28</v>
      </c>
      <c r="V60" s="99" t="s">
        <v>1063</v>
      </c>
      <c r="W60" s="99" t="s">
        <v>28</v>
      </c>
      <c r="X60" s="99" t="s">
        <v>1063</v>
      </c>
      <c r="Y60" s="99" t="s">
        <v>28</v>
      </c>
      <c r="Z60" s="99" t="s">
        <v>1063</v>
      </c>
      <c r="AA60" s="99" t="s">
        <v>28</v>
      </c>
      <c r="AB60" s="99" t="s">
        <v>1063</v>
      </c>
      <c r="AC60" s="99" t="s">
        <v>28</v>
      </c>
      <c r="AD60" s="1827" t="s">
        <v>1063</v>
      </c>
      <c r="AE60" s="100" t="s">
        <v>28</v>
      </c>
      <c r="AF60" s="1827" t="s">
        <v>28</v>
      </c>
    </row>
    <row r="61" spans="1:32" ht="8.25" customHeight="1">
      <c r="A61" s="1328" t="s">
        <v>1232</v>
      </c>
      <c r="B61" s="1328"/>
      <c r="C61" s="1328"/>
      <c r="D61" s="1328"/>
      <c r="E61" s="1328"/>
      <c r="F61" s="1328"/>
      <c r="G61" s="1328"/>
      <c r="H61" s="1328"/>
      <c r="I61" s="1328"/>
      <c r="J61" s="1328"/>
      <c r="K61" s="1328"/>
      <c r="L61" s="1328"/>
      <c r="M61" s="1328"/>
      <c r="N61" s="1328"/>
      <c r="O61" s="1328" t="s">
        <v>1228</v>
      </c>
      <c r="P61" s="1328"/>
      <c r="Q61" s="1328"/>
      <c r="R61" s="1328"/>
      <c r="S61" s="1328"/>
      <c r="T61" s="1328"/>
      <c r="U61" s="1328"/>
      <c r="V61" s="1328"/>
      <c r="W61" s="1328"/>
      <c r="X61" s="1328"/>
      <c r="Y61" s="1328"/>
      <c r="Z61" s="1328"/>
      <c r="AA61" s="1328"/>
      <c r="AB61" s="1328"/>
      <c r="AC61" s="1328"/>
      <c r="AD61" s="1328"/>
      <c r="AE61" s="1328"/>
      <c r="AF61" s="1328"/>
    </row>
    <row r="62" spans="1:32" ht="8.25" customHeight="1">
      <c r="A62" s="1064" t="s">
        <v>1233</v>
      </c>
      <c r="B62" s="1064"/>
      <c r="C62" s="1064"/>
      <c r="D62" s="1064"/>
      <c r="E62" s="1064"/>
      <c r="F62" s="1064"/>
      <c r="G62" s="1064"/>
      <c r="H62" s="1064"/>
      <c r="I62" s="1064"/>
      <c r="J62" s="1064"/>
      <c r="K62" s="1064"/>
      <c r="L62" s="1064"/>
      <c r="M62" s="1064"/>
      <c r="N62" s="1064"/>
      <c r="O62" s="1064" t="s">
        <v>1230</v>
      </c>
      <c r="P62" s="1064"/>
      <c r="Q62" s="1064"/>
      <c r="R62" s="1064"/>
      <c r="S62" s="1064"/>
      <c r="T62" s="1064"/>
      <c r="U62" s="1064"/>
      <c r="V62" s="1064"/>
      <c r="W62" s="1064"/>
      <c r="X62" s="1064"/>
      <c r="Y62" s="1064"/>
      <c r="Z62" s="1064"/>
      <c r="AA62" s="1064"/>
      <c r="AB62" s="1064"/>
      <c r="AC62" s="1064"/>
      <c r="AD62" s="1064"/>
      <c r="AE62" s="1064"/>
      <c r="AF62" s="1064"/>
    </row>
    <row r="63" spans="1:32" ht="8.25" customHeight="1">
      <c r="A63" s="1064" t="s">
        <v>1234</v>
      </c>
      <c r="B63" s="1064"/>
      <c r="C63" s="1064"/>
      <c r="D63" s="1064"/>
      <c r="E63" s="1064"/>
      <c r="F63" s="1064"/>
      <c r="G63" s="1064"/>
      <c r="H63" s="1064"/>
      <c r="I63" s="1064"/>
      <c r="J63" s="1064"/>
      <c r="K63" s="1064"/>
      <c r="L63" s="1064"/>
      <c r="M63" s="1064"/>
      <c r="N63" s="1064"/>
      <c r="O63" s="1064" t="s">
        <v>1231</v>
      </c>
      <c r="P63" s="1064"/>
      <c r="Q63" s="1064"/>
      <c r="R63" s="1064"/>
      <c r="S63" s="1064"/>
      <c r="T63" s="1064"/>
      <c r="U63" s="1064"/>
      <c r="V63" s="1064"/>
      <c r="W63" s="1064"/>
      <c r="X63" s="1064"/>
      <c r="Y63" s="1064"/>
      <c r="Z63" s="1064"/>
      <c r="AA63" s="1064"/>
      <c r="AB63" s="1064"/>
      <c r="AC63" s="1064"/>
      <c r="AD63" s="1064"/>
      <c r="AE63" s="1064"/>
      <c r="AF63" s="1064"/>
    </row>
    <row r="64" spans="1:32" ht="8.25" customHeight="1">
      <c r="A64" s="366" t="s">
        <v>29</v>
      </c>
      <c r="B64" s="367" t="s">
        <v>30</v>
      </c>
      <c r="C64" s="361">
        <v>515</v>
      </c>
      <c r="D64" s="361">
        <v>367</v>
      </c>
      <c r="E64" s="361">
        <v>13</v>
      </c>
      <c r="F64" s="361">
        <v>4</v>
      </c>
      <c r="G64" s="361">
        <v>12</v>
      </c>
      <c r="H64" s="361">
        <v>6</v>
      </c>
      <c r="I64" s="361">
        <v>3</v>
      </c>
      <c r="J64" s="361">
        <v>1</v>
      </c>
      <c r="K64" s="361">
        <v>319</v>
      </c>
      <c r="L64" s="362">
        <v>247</v>
      </c>
      <c r="M64" s="362">
        <v>136</v>
      </c>
      <c r="N64" s="361">
        <v>78</v>
      </c>
      <c r="O64" s="361" t="s">
        <v>28</v>
      </c>
      <c r="P64" s="361" t="s">
        <v>28</v>
      </c>
      <c r="Q64" s="361">
        <v>8</v>
      </c>
      <c r="R64" s="361">
        <v>7</v>
      </c>
      <c r="S64" s="361">
        <v>7</v>
      </c>
      <c r="T64" s="361">
        <v>7</v>
      </c>
      <c r="U64" s="361">
        <v>15</v>
      </c>
      <c r="V64" s="361">
        <v>15</v>
      </c>
      <c r="W64" s="361">
        <v>2</v>
      </c>
      <c r="X64" s="361">
        <v>2</v>
      </c>
      <c r="Y64" s="361" t="s">
        <v>28</v>
      </c>
      <c r="Z64" s="375" t="s">
        <v>28</v>
      </c>
    </row>
    <row r="65" spans="1:26" ht="8.25" customHeight="1">
      <c r="A65" s="366" t="s">
        <v>31</v>
      </c>
      <c r="B65" s="367" t="s">
        <v>32</v>
      </c>
      <c r="C65" s="361">
        <v>49</v>
      </c>
      <c r="D65" s="361">
        <v>24</v>
      </c>
      <c r="E65" s="361">
        <v>1</v>
      </c>
      <c r="F65" s="361" t="s">
        <v>28</v>
      </c>
      <c r="G65" s="361">
        <v>1</v>
      </c>
      <c r="H65" s="361" t="s">
        <v>28</v>
      </c>
      <c r="I65" s="361" t="s">
        <v>28</v>
      </c>
      <c r="J65" s="361" t="s">
        <v>28</v>
      </c>
      <c r="K65" s="361">
        <v>30</v>
      </c>
      <c r="L65" s="362">
        <v>12</v>
      </c>
      <c r="M65" s="362">
        <v>15</v>
      </c>
      <c r="N65" s="361">
        <v>10</v>
      </c>
      <c r="O65" s="361" t="s">
        <v>28</v>
      </c>
      <c r="P65" s="361" t="s">
        <v>28</v>
      </c>
      <c r="Q65" s="361">
        <v>1</v>
      </c>
      <c r="R65" s="361">
        <v>1</v>
      </c>
      <c r="S65" s="361" t="s">
        <v>28</v>
      </c>
      <c r="T65" s="361" t="s">
        <v>28</v>
      </c>
      <c r="U65" s="361">
        <v>1</v>
      </c>
      <c r="V65" s="361">
        <v>1</v>
      </c>
      <c r="W65" s="361" t="s">
        <v>28</v>
      </c>
      <c r="X65" s="361" t="s">
        <v>28</v>
      </c>
      <c r="Y65" s="361" t="s">
        <v>28</v>
      </c>
      <c r="Z65" s="375" t="s">
        <v>28</v>
      </c>
    </row>
    <row r="66" spans="1:26" ht="8.25" customHeight="1">
      <c r="A66" s="368" t="s">
        <v>51</v>
      </c>
      <c r="B66" s="369" t="s">
        <v>52</v>
      </c>
      <c r="C66" s="363">
        <v>911</v>
      </c>
      <c r="D66" s="363">
        <v>714</v>
      </c>
      <c r="E66" s="363">
        <v>22</v>
      </c>
      <c r="F66" s="363">
        <v>5</v>
      </c>
      <c r="G66" s="363">
        <v>16</v>
      </c>
      <c r="H66" s="363">
        <v>4</v>
      </c>
      <c r="I66" s="363">
        <v>2</v>
      </c>
      <c r="J66" s="363">
        <v>2</v>
      </c>
      <c r="K66" s="363">
        <v>630</v>
      </c>
      <c r="L66" s="364">
        <v>519</v>
      </c>
      <c r="M66" s="364">
        <v>182</v>
      </c>
      <c r="N66" s="363">
        <v>127</v>
      </c>
      <c r="O66" s="363">
        <v>1</v>
      </c>
      <c r="P66" s="363" t="s">
        <v>28</v>
      </c>
      <c r="Q66" s="363">
        <v>14</v>
      </c>
      <c r="R66" s="363">
        <v>14</v>
      </c>
      <c r="S66" s="363">
        <v>11</v>
      </c>
      <c r="T66" s="363">
        <v>11</v>
      </c>
      <c r="U66" s="363">
        <v>25</v>
      </c>
      <c r="V66" s="363">
        <v>24</v>
      </c>
      <c r="W66" s="363">
        <v>8</v>
      </c>
      <c r="X66" s="363">
        <v>8</v>
      </c>
      <c r="Y66" s="363" t="s">
        <v>28</v>
      </c>
      <c r="Z66" s="374" t="s">
        <v>28</v>
      </c>
    </row>
    <row r="67" spans="1:26" ht="8.25" customHeight="1">
      <c r="A67" s="366" t="s">
        <v>29</v>
      </c>
      <c r="B67" s="367" t="s">
        <v>30</v>
      </c>
      <c r="C67" s="361">
        <v>867</v>
      </c>
      <c r="D67" s="361">
        <v>688</v>
      </c>
      <c r="E67" s="361">
        <v>21</v>
      </c>
      <c r="F67" s="361">
        <v>4</v>
      </c>
      <c r="G67" s="361">
        <v>15</v>
      </c>
      <c r="H67" s="361">
        <v>4</v>
      </c>
      <c r="I67" s="361">
        <v>2</v>
      </c>
      <c r="J67" s="361">
        <v>2</v>
      </c>
      <c r="K67" s="361">
        <v>599</v>
      </c>
      <c r="L67" s="362">
        <v>504</v>
      </c>
      <c r="M67" s="362">
        <v>172</v>
      </c>
      <c r="N67" s="361">
        <v>118</v>
      </c>
      <c r="O67" s="361">
        <v>1</v>
      </c>
      <c r="P67" s="361" t="s">
        <v>28</v>
      </c>
      <c r="Q67" s="361">
        <v>14</v>
      </c>
      <c r="R67" s="361">
        <v>14</v>
      </c>
      <c r="S67" s="361">
        <v>11</v>
      </c>
      <c r="T67" s="361">
        <v>11</v>
      </c>
      <c r="U67" s="361">
        <v>24</v>
      </c>
      <c r="V67" s="361">
        <v>23</v>
      </c>
      <c r="W67" s="361">
        <v>8</v>
      </c>
      <c r="X67" s="361">
        <v>8</v>
      </c>
      <c r="Y67" s="361" t="s">
        <v>28</v>
      </c>
      <c r="Z67" s="375" t="s">
        <v>28</v>
      </c>
    </row>
    <row r="68" spans="1:26" ht="8.25" customHeight="1">
      <c r="A68" s="366" t="s">
        <v>31</v>
      </c>
      <c r="B68" s="367" t="s">
        <v>32</v>
      </c>
      <c r="C68" s="361">
        <v>44</v>
      </c>
      <c r="D68" s="361">
        <v>26</v>
      </c>
      <c r="E68" s="361">
        <v>1</v>
      </c>
      <c r="F68" s="361">
        <v>1</v>
      </c>
      <c r="G68" s="361">
        <v>1</v>
      </c>
      <c r="H68" s="361" t="s">
        <v>28</v>
      </c>
      <c r="I68" s="361" t="s">
        <v>28</v>
      </c>
      <c r="J68" s="361" t="s">
        <v>28</v>
      </c>
      <c r="K68" s="361">
        <v>31</v>
      </c>
      <c r="L68" s="362">
        <v>15</v>
      </c>
      <c r="M68" s="362">
        <v>10</v>
      </c>
      <c r="N68" s="361">
        <v>9</v>
      </c>
      <c r="O68" s="361" t="s">
        <v>28</v>
      </c>
      <c r="P68" s="361" t="s">
        <v>28</v>
      </c>
      <c r="Q68" s="361" t="s">
        <v>28</v>
      </c>
      <c r="R68" s="361" t="s">
        <v>28</v>
      </c>
      <c r="S68" s="361" t="s">
        <v>28</v>
      </c>
      <c r="T68" s="361" t="s">
        <v>28</v>
      </c>
      <c r="U68" s="361">
        <v>1</v>
      </c>
      <c r="V68" s="361">
        <v>1</v>
      </c>
      <c r="W68" s="361" t="s">
        <v>28</v>
      </c>
      <c r="X68" s="361" t="s">
        <v>28</v>
      </c>
      <c r="Y68" s="361" t="s">
        <v>28</v>
      </c>
      <c r="Z68" s="375" t="s">
        <v>28</v>
      </c>
    </row>
    <row r="69" spans="1:26" ht="8.25" customHeight="1">
      <c r="A69" s="368" t="s">
        <v>53</v>
      </c>
      <c r="B69" s="369" t="s">
        <v>54</v>
      </c>
      <c r="C69" s="363">
        <v>999</v>
      </c>
      <c r="D69" s="363">
        <v>769</v>
      </c>
      <c r="E69" s="363">
        <v>26</v>
      </c>
      <c r="F69" s="363">
        <v>13</v>
      </c>
      <c r="G69" s="363">
        <v>22</v>
      </c>
      <c r="H69" s="363">
        <v>7</v>
      </c>
      <c r="I69" s="363">
        <v>1</v>
      </c>
      <c r="J69" s="363">
        <v>1</v>
      </c>
      <c r="K69" s="363">
        <v>722</v>
      </c>
      <c r="L69" s="364">
        <v>569</v>
      </c>
      <c r="M69" s="364">
        <v>169</v>
      </c>
      <c r="N69" s="363">
        <v>122</v>
      </c>
      <c r="O69" s="363" t="s">
        <v>28</v>
      </c>
      <c r="P69" s="363" t="s">
        <v>28</v>
      </c>
      <c r="Q69" s="363">
        <v>17</v>
      </c>
      <c r="R69" s="363">
        <v>16</v>
      </c>
      <c r="S69" s="363">
        <v>11</v>
      </c>
      <c r="T69" s="363">
        <v>10</v>
      </c>
      <c r="U69" s="363">
        <v>26</v>
      </c>
      <c r="V69" s="363">
        <v>26</v>
      </c>
      <c r="W69" s="363">
        <v>5</v>
      </c>
      <c r="X69" s="363">
        <v>5</v>
      </c>
      <c r="Y69" s="363" t="s">
        <v>28</v>
      </c>
      <c r="Z69" s="374" t="s">
        <v>28</v>
      </c>
    </row>
    <row r="70" spans="1:26" ht="8.25" customHeight="1">
      <c r="A70" s="366" t="s">
        <v>29</v>
      </c>
      <c r="B70" s="367" t="s">
        <v>30</v>
      </c>
      <c r="C70" s="361">
        <v>978</v>
      </c>
      <c r="D70" s="361">
        <v>755</v>
      </c>
      <c r="E70" s="361">
        <v>25</v>
      </c>
      <c r="F70" s="361">
        <v>13</v>
      </c>
      <c r="G70" s="361">
        <v>22</v>
      </c>
      <c r="H70" s="361">
        <v>7</v>
      </c>
      <c r="I70" s="361">
        <v>1</v>
      </c>
      <c r="J70" s="361">
        <v>1</v>
      </c>
      <c r="K70" s="361">
        <v>710</v>
      </c>
      <c r="L70" s="362">
        <v>561</v>
      </c>
      <c r="M70" s="362">
        <v>162</v>
      </c>
      <c r="N70" s="361">
        <v>117</v>
      </c>
      <c r="O70" s="361" t="s">
        <v>28</v>
      </c>
      <c r="P70" s="361" t="s">
        <v>28</v>
      </c>
      <c r="Q70" s="361">
        <v>17</v>
      </c>
      <c r="R70" s="361">
        <v>16</v>
      </c>
      <c r="S70" s="361">
        <v>11</v>
      </c>
      <c r="T70" s="361">
        <v>10</v>
      </c>
      <c r="U70" s="361">
        <v>25</v>
      </c>
      <c r="V70" s="361">
        <v>25</v>
      </c>
      <c r="W70" s="361">
        <v>5</v>
      </c>
      <c r="X70" s="361">
        <v>5</v>
      </c>
      <c r="Y70" s="361" t="s">
        <v>28</v>
      </c>
      <c r="Z70" s="375" t="s">
        <v>28</v>
      </c>
    </row>
    <row r="71" spans="1:26" ht="8.25" customHeight="1">
      <c r="A71" s="366" t="s">
        <v>31</v>
      </c>
      <c r="B71" s="367" t="s">
        <v>32</v>
      </c>
      <c r="C71" s="361">
        <v>21</v>
      </c>
      <c r="D71" s="361">
        <v>14</v>
      </c>
      <c r="E71" s="361">
        <v>1</v>
      </c>
      <c r="F71" s="361" t="s">
        <v>28</v>
      </c>
      <c r="G71" s="361" t="s">
        <v>28</v>
      </c>
      <c r="H71" s="361" t="s">
        <v>28</v>
      </c>
      <c r="I71" s="361" t="s">
        <v>28</v>
      </c>
      <c r="J71" s="361" t="s">
        <v>28</v>
      </c>
      <c r="K71" s="361">
        <v>12</v>
      </c>
      <c r="L71" s="362">
        <v>8</v>
      </c>
      <c r="M71" s="362">
        <v>7</v>
      </c>
      <c r="N71" s="361">
        <v>5</v>
      </c>
      <c r="O71" s="361" t="s">
        <v>28</v>
      </c>
      <c r="P71" s="361" t="s">
        <v>28</v>
      </c>
      <c r="Q71" s="361" t="s">
        <v>28</v>
      </c>
      <c r="R71" s="361" t="s">
        <v>28</v>
      </c>
      <c r="S71" s="361" t="s">
        <v>28</v>
      </c>
      <c r="T71" s="361" t="s">
        <v>28</v>
      </c>
      <c r="U71" s="361">
        <v>1</v>
      </c>
      <c r="V71" s="361">
        <v>1</v>
      </c>
      <c r="W71" s="361" t="s">
        <v>28</v>
      </c>
      <c r="X71" s="361" t="s">
        <v>28</v>
      </c>
      <c r="Y71" s="361" t="s">
        <v>28</v>
      </c>
      <c r="Z71" s="375" t="s">
        <v>28</v>
      </c>
    </row>
    <row r="72" spans="1:26" ht="8.25" customHeight="1">
      <c r="A72" s="368" t="s">
        <v>55</v>
      </c>
      <c r="B72" s="369" t="s">
        <v>56</v>
      </c>
      <c r="C72" s="363">
        <v>880</v>
      </c>
      <c r="D72" s="363">
        <v>712</v>
      </c>
      <c r="E72" s="363">
        <v>25</v>
      </c>
      <c r="F72" s="363">
        <v>14</v>
      </c>
      <c r="G72" s="363">
        <v>21</v>
      </c>
      <c r="H72" s="363">
        <v>13</v>
      </c>
      <c r="I72" s="363">
        <v>1</v>
      </c>
      <c r="J72" s="363">
        <v>1</v>
      </c>
      <c r="K72" s="363">
        <v>660</v>
      </c>
      <c r="L72" s="364">
        <v>556</v>
      </c>
      <c r="M72" s="364">
        <v>118</v>
      </c>
      <c r="N72" s="363">
        <v>75</v>
      </c>
      <c r="O72" s="363" t="s">
        <v>28</v>
      </c>
      <c r="P72" s="363" t="s">
        <v>28</v>
      </c>
      <c r="Q72" s="363">
        <v>13</v>
      </c>
      <c r="R72" s="363">
        <v>11</v>
      </c>
      <c r="S72" s="363">
        <v>11</v>
      </c>
      <c r="T72" s="363">
        <v>11</v>
      </c>
      <c r="U72" s="363">
        <v>26</v>
      </c>
      <c r="V72" s="363">
        <v>26</v>
      </c>
      <c r="W72" s="363">
        <v>5</v>
      </c>
      <c r="X72" s="363">
        <v>5</v>
      </c>
      <c r="Y72" s="363" t="s">
        <v>28</v>
      </c>
      <c r="Z72" s="374" t="s">
        <v>28</v>
      </c>
    </row>
    <row r="73" spans="1:26" ht="8.25" customHeight="1">
      <c r="A73" s="366" t="s">
        <v>29</v>
      </c>
      <c r="B73" s="367" t="s">
        <v>30</v>
      </c>
      <c r="C73" s="361">
        <v>880</v>
      </c>
      <c r="D73" s="361">
        <v>712</v>
      </c>
      <c r="E73" s="361">
        <v>25</v>
      </c>
      <c r="F73" s="361">
        <v>14</v>
      </c>
      <c r="G73" s="361">
        <v>21</v>
      </c>
      <c r="H73" s="361">
        <v>13</v>
      </c>
      <c r="I73" s="361">
        <v>1</v>
      </c>
      <c r="J73" s="361">
        <v>1</v>
      </c>
      <c r="K73" s="361">
        <v>660</v>
      </c>
      <c r="L73" s="362">
        <v>556</v>
      </c>
      <c r="M73" s="362">
        <v>118</v>
      </c>
      <c r="N73" s="361">
        <v>75</v>
      </c>
      <c r="O73" s="361" t="s">
        <v>28</v>
      </c>
      <c r="P73" s="361" t="s">
        <v>28</v>
      </c>
      <c r="Q73" s="361">
        <v>13</v>
      </c>
      <c r="R73" s="361">
        <v>11</v>
      </c>
      <c r="S73" s="361">
        <v>11</v>
      </c>
      <c r="T73" s="361">
        <v>11</v>
      </c>
      <c r="U73" s="361">
        <v>26</v>
      </c>
      <c r="V73" s="361">
        <v>26</v>
      </c>
      <c r="W73" s="361">
        <v>5</v>
      </c>
      <c r="X73" s="361">
        <v>5</v>
      </c>
      <c r="Y73" s="361" t="s">
        <v>28</v>
      </c>
      <c r="Z73" s="375" t="s">
        <v>28</v>
      </c>
    </row>
    <row r="74" spans="1:26" ht="8.25" customHeight="1">
      <c r="A74" s="368" t="s">
        <v>57</v>
      </c>
      <c r="B74" s="369" t="s">
        <v>58</v>
      </c>
      <c r="C74" s="363">
        <v>523</v>
      </c>
      <c r="D74" s="363">
        <v>410</v>
      </c>
      <c r="E74" s="363">
        <v>16</v>
      </c>
      <c r="F74" s="363">
        <v>8</v>
      </c>
      <c r="G74" s="363">
        <v>16</v>
      </c>
      <c r="H74" s="363">
        <v>13</v>
      </c>
      <c r="I74" s="363" t="s">
        <v>28</v>
      </c>
      <c r="J74" s="363" t="s">
        <v>28</v>
      </c>
      <c r="K74" s="363">
        <v>381</v>
      </c>
      <c r="L74" s="364">
        <v>303</v>
      </c>
      <c r="M74" s="364">
        <v>74</v>
      </c>
      <c r="N74" s="363">
        <v>51</v>
      </c>
      <c r="O74" s="363" t="s">
        <v>28</v>
      </c>
      <c r="P74" s="363" t="s">
        <v>28</v>
      </c>
      <c r="Q74" s="363">
        <v>10</v>
      </c>
      <c r="R74" s="363">
        <v>9</v>
      </c>
      <c r="S74" s="363">
        <v>7</v>
      </c>
      <c r="T74" s="363">
        <v>7</v>
      </c>
      <c r="U74" s="363">
        <v>18</v>
      </c>
      <c r="V74" s="363">
        <v>18</v>
      </c>
      <c r="W74" s="363">
        <v>1</v>
      </c>
      <c r="X74" s="363">
        <v>1</v>
      </c>
      <c r="Y74" s="363" t="s">
        <v>28</v>
      </c>
      <c r="Z74" s="374" t="s">
        <v>28</v>
      </c>
    </row>
    <row r="75" spans="1:26" ht="8.25" customHeight="1">
      <c r="A75" s="366" t="s">
        <v>29</v>
      </c>
      <c r="B75" s="367" t="s">
        <v>30</v>
      </c>
      <c r="C75" s="361">
        <v>523</v>
      </c>
      <c r="D75" s="361">
        <v>410</v>
      </c>
      <c r="E75" s="361">
        <v>16</v>
      </c>
      <c r="F75" s="361">
        <v>8</v>
      </c>
      <c r="G75" s="361">
        <v>16</v>
      </c>
      <c r="H75" s="361">
        <v>13</v>
      </c>
      <c r="I75" s="361" t="s">
        <v>28</v>
      </c>
      <c r="J75" s="361" t="s">
        <v>28</v>
      </c>
      <c r="K75" s="361">
        <v>381</v>
      </c>
      <c r="L75" s="362">
        <v>303</v>
      </c>
      <c r="M75" s="362">
        <v>74</v>
      </c>
      <c r="N75" s="361">
        <v>51</v>
      </c>
      <c r="O75" s="361" t="s">
        <v>28</v>
      </c>
      <c r="P75" s="361" t="s">
        <v>28</v>
      </c>
      <c r="Q75" s="361">
        <v>10</v>
      </c>
      <c r="R75" s="361">
        <v>9</v>
      </c>
      <c r="S75" s="361">
        <v>7</v>
      </c>
      <c r="T75" s="361">
        <v>7</v>
      </c>
      <c r="U75" s="361">
        <v>18</v>
      </c>
      <c r="V75" s="361">
        <v>18</v>
      </c>
      <c r="W75" s="361">
        <v>1</v>
      </c>
      <c r="X75" s="361">
        <v>1</v>
      </c>
      <c r="Y75" s="361" t="s">
        <v>28</v>
      </c>
      <c r="Z75" s="375" t="s">
        <v>28</v>
      </c>
    </row>
    <row r="76" spans="1:26" ht="8.25" customHeight="1">
      <c r="A76" s="368" t="s">
        <v>59</v>
      </c>
      <c r="B76" s="369" t="s">
        <v>60</v>
      </c>
      <c r="C76" s="363">
        <v>1267</v>
      </c>
      <c r="D76" s="363">
        <v>936</v>
      </c>
      <c r="E76" s="363">
        <v>29</v>
      </c>
      <c r="F76" s="363">
        <v>15</v>
      </c>
      <c r="G76" s="363">
        <v>27</v>
      </c>
      <c r="H76" s="363">
        <v>11</v>
      </c>
      <c r="I76" s="363">
        <v>1</v>
      </c>
      <c r="J76" s="363">
        <v>1</v>
      </c>
      <c r="K76" s="363">
        <v>773</v>
      </c>
      <c r="L76" s="364">
        <v>599</v>
      </c>
      <c r="M76" s="364">
        <v>358</v>
      </c>
      <c r="N76" s="363">
        <v>236</v>
      </c>
      <c r="O76" s="363" t="s">
        <v>28</v>
      </c>
      <c r="P76" s="363" t="s">
        <v>28</v>
      </c>
      <c r="Q76" s="363">
        <v>18</v>
      </c>
      <c r="R76" s="363">
        <v>15</v>
      </c>
      <c r="S76" s="363">
        <v>13</v>
      </c>
      <c r="T76" s="363">
        <v>12</v>
      </c>
      <c r="U76" s="363">
        <v>38</v>
      </c>
      <c r="V76" s="363">
        <v>38</v>
      </c>
      <c r="W76" s="363">
        <v>10</v>
      </c>
      <c r="X76" s="363">
        <v>9</v>
      </c>
      <c r="Y76" s="363" t="s">
        <v>28</v>
      </c>
      <c r="Z76" s="374" t="s">
        <v>28</v>
      </c>
    </row>
    <row r="77" spans="1:26" ht="8.25" customHeight="1">
      <c r="A77" s="366" t="s">
        <v>29</v>
      </c>
      <c r="B77" s="367" t="s">
        <v>30</v>
      </c>
      <c r="C77" s="361">
        <v>1267</v>
      </c>
      <c r="D77" s="361">
        <v>936</v>
      </c>
      <c r="E77" s="361">
        <v>29</v>
      </c>
      <c r="F77" s="361">
        <v>15</v>
      </c>
      <c r="G77" s="361">
        <v>27</v>
      </c>
      <c r="H77" s="361">
        <v>11</v>
      </c>
      <c r="I77" s="361">
        <v>1</v>
      </c>
      <c r="J77" s="361">
        <v>1</v>
      </c>
      <c r="K77" s="361">
        <v>773</v>
      </c>
      <c r="L77" s="362">
        <v>599</v>
      </c>
      <c r="M77" s="362">
        <v>358</v>
      </c>
      <c r="N77" s="361">
        <v>236</v>
      </c>
      <c r="O77" s="361" t="s">
        <v>28</v>
      </c>
      <c r="P77" s="361" t="s">
        <v>28</v>
      </c>
      <c r="Q77" s="361">
        <v>18</v>
      </c>
      <c r="R77" s="361">
        <v>15</v>
      </c>
      <c r="S77" s="361">
        <v>13</v>
      </c>
      <c r="T77" s="361">
        <v>12</v>
      </c>
      <c r="U77" s="361">
        <v>38</v>
      </c>
      <c r="V77" s="361">
        <v>38</v>
      </c>
      <c r="W77" s="361">
        <v>10</v>
      </c>
      <c r="X77" s="361">
        <v>9</v>
      </c>
      <c r="Y77" s="361" t="s">
        <v>28</v>
      </c>
      <c r="Z77" s="375" t="s">
        <v>28</v>
      </c>
    </row>
    <row r="78" spans="1:26" ht="8.25" customHeight="1">
      <c r="A78" s="368" t="s">
        <v>61</v>
      </c>
      <c r="B78" s="369" t="s">
        <v>62</v>
      </c>
      <c r="C78" s="363">
        <v>160</v>
      </c>
      <c r="D78" s="363">
        <v>89</v>
      </c>
      <c r="E78" s="363">
        <v>9</v>
      </c>
      <c r="F78" s="363">
        <v>2</v>
      </c>
      <c r="G78" s="363">
        <v>2</v>
      </c>
      <c r="H78" s="363" t="s">
        <v>28</v>
      </c>
      <c r="I78" s="363" t="s">
        <v>28</v>
      </c>
      <c r="J78" s="363" t="s">
        <v>28</v>
      </c>
      <c r="K78" s="363">
        <v>93</v>
      </c>
      <c r="L78" s="364">
        <v>50</v>
      </c>
      <c r="M78" s="364">
        <v>40</v>
      </c>
      <c r="N78" s="363">
        <v>22</v>
      </c>
      <c r="O78" s="363" t="s">
        <v>28</v>
      </c>
      <c r="P78" s="363" t="s">
        <v>28</v>
      </c>
      <c r="Q78" s="363">
        <v>4</v>
      </c>
      <c r="R78" s="363">
        <v>3</v>
      </c>
      <c r="S78" s="363">
        <v>2</v>
      </c>
      <c r="T78" s="363">
        <v>2</v>
      </c>
      <c r="U78" s="363">
        <v>7</v>
      </c>
      <c r="V78" s="363">
        <v>7</v>
      </c>
      <c r="W78" s="363">
        <v>3</v>
      </c>
      <c r="X78" s="363">
        <v>3</v>
      </c>
      <c r="Y78" s="363" t="s">
        <v>28</v>
      </c>
      <c r="Z78" s="374" t="s">
        <v>28</v>
      </c>
    </row>
    <row r="79" spans="1:26" ht="8.25" customHeight="1">
      <c r="A79" s="366" t="s">
        <v>29</v>
      </c>
      <c r="B79" s="367" t="s">
        <v>30</v>
      </c>
      <c r="C79" s="361">
        <v>136</v>
      </c>
      <c r="D79" s="361">
        <v>78</v>
      </c>
      <c r="E79" s="361">
        <v>6</v>
      </c>
      <c r="F79" s="361">
        <v>1</v>
      </c>
      <c r="G79" s="361">
        <v>2</v>
      </c>
      <c r="H79" s="361" t="s">
        <v>28</v>
      </c>
      <c r="I79" s="361" t="s">
        <v>28</v>
      </c>
      <c r="J79" s="361" t="s">
        <v>28</v>
      </c>
      <c r="K79" s="361">
        <v>77</v>
      </c>
      <c r="L79" s="362">
        <v>43</v>
      </c>
      <c r="M79" s="362">
        <v>37</v>
      </c>
      <c r="N79" s="361">
        <v>21</v>
      </c>
      <c r="O79" s="361" t="s">
        <v>28</v>
      </c>
      <c r="P79" s="361" t="s">
        <v>28</v>
      </c>
      <c r="Q79" s="361">
        <v>4</v>
      </c>
      <c r="R79" s="361">
        <v>3</v>
      </c>
      <c r="S79" s="361">
        <v>2</v>
      </c>
      <c r="T79" s="361">
        <v>2</v>
      </c>
      <c r="U79" s="361">
        <v>5</v>
      </c>
      <c r="V79" s="361">
        <v>5</v>
      </c>
      <c r="W79" s="361">
        <v>3</v>
      </c>
      <c r="X79" s="361">
        <v>3</v>
      </c>
      <c r="Y79" s="361" t="s">
        <v>28</v>
      </c>
      <c r="Z79" s="375" t="s">
        <v>28</v>
      </c>
    </row>
    <row r="80" spans="1:26" ht="8.25" customHeight="1">
      <c r="A80" s="366" t="s">
        <v>31</v>
      </c>
      <c r="B80" s="367" t="s">
        <v>32</v>
      </c>
      <c r="C80" s="361">
        <v>24</v>
      </c>
      <c r="D80" s="361">
        <v>11</v>
      </c>
      <c r="E80" s="361">
        <v>3</v>
      </c>
      <c r="F80" s="361">
        <v>1</v>
      </c>
      <c r="G80" s="361" t="s">
        <v>28</v>
      </c>
      <c r="H80" s="361" t="s">
        <v>28</v>
      </c>
      <c r="I80" s="361" t="s">
        <v>28</v>
      </c>
      <c r="J80" s="361" t="s">
        <v>28</v>
      </c>
      <c r="K80" s="361">
        <v>16</v>
      </c>
      <c r="L80" s="362">
        <v>7</v>
      </c>
      <c r="M80" s="362">
        <v>3</v>
      </c>
      <c r="N80" s="361">
        <v>1</v>
      </c>
      <c r="O80" s="361" t="s">
        <v>28</v>
      </c>
      <c r="P80" s="361" t="s">
        <v>28</v>
      </c>
      <c r="Q80" s="361" t="s">
        <v>28</v>
      </c>
      <c r="R80" s="361" t="s">
        <v>28</v>
      </c>
      <c r="S80" s="361" t="s">
        <v>28</v>
      </c>
      <c r="T80" s="361" t="s">
        <v>28</v>
      </c>
      <c r="U80" s="361">
        <v>2</v>
      </c>
      <c r="V80" s="361">
        <v>2</v>
      </c>
      <c r="W80" s="361" t="s">
        <v>28</v>
      </c>
      <c r="X80" s="361" t="s">
        <v>28</v>
      </c>
      <c r="Y80" s="361" t="s">
        <v>28</v>
      </c>
      <c r="Z80" s="375" t="s">
        <v>28</v>
      </c>
    </row>
    <row r="81" spans="1:26" ht="8.25" customHeight="1">
      <c r="A81" s="368" t="s">
        <v>63</v>
      </c>
      <c r="B81" s="369" t="s">
        <v>64</v>
      </c>
      <c r="C81" s="363">
        <v>50</v>
      </c>
      <c r="D81" s="363">
        <v>23</v>
      </c>
      <c r="E81" s="363" t="s">
        <v>28</v>
      </c>
      <c r="F81" s="363" t="s">
        <v>28</v>
      </c>
      <c r="G81" s="363" t="s">
        <v>28</v>
      </c>
      <c r="H81" s="363" t="s">
        <v>28</v>
      </c>
      <c r="I81" s="363" t="s">
        <v>28</v>
      </c>
      <c r="J81" s="363" t="s">
        <v>28</v>
      </c>
      <c r="K81" s="363">
        <v>23</v>
      </c>
      <c r="L81" s="364">
        <v>9</v>
      </c>
      <c r="M81" s="364">
        <v>22</v>
      </c>
      <c r="N81" s="363">
        <v>10</v>
      </c>
      <c r="O81" s="363">
        <v>1</v>
      </c>
      <c r="P81" s="363" t="s">
        <v>28</v>
      </c>
      <c r="Q81" s="363">
        <v>1</v>
      </c>
      <c r="R81" s="363">
        <v>1</v>
      </c>
      <c r="S81" s="363" t="s">
        <v>28</v>
      </c>
      <c r="T81" s="363" t="s">
        <v>28</v>
      </c>
      <c r="U81" s="363">
        <v>1</v>
      </c>
      <c r="V81" s="363">
        <v>1</v>
      </c>
      <c r="W81" s="363">
        <v>2</v>
      </c>
      <c r="X81" s="363">
        <v>2</v>
      </c>
      <c r="Y81" s="363" t="s">
        <v>28</v>
      </c>
      <c r="Z81" s="374" t="s">
        <v>28</v>
      </c>
    </row>
    <row r="82" spans="1:26" ht="8.25" customHeight="1" thickBot="1">
      <c r="A82" s="370" t="s">
        <v>29</v>
      </c>
      <c r="B82" s="371" t="s">
        <v>30</v>
      </c>
      <c r="C82" s="372">
        <v>50</v>
      </c>
      <c r="D82" s="373">
        <v>23</v>
      </c>
      <c r="E82" s="372" t="s">
        <v>28</v>
      </c>
      <c r="F82" s="373" t="s">
        <v>28</v>
      </c>
      <c r="G82" s="372" t="s">
        <v>28</v>
      </c>
      <c r="H82" s="373" t="s">
        <v>28</v>
      </c>
      <c r="I82" s="372" t="s">
        <v>28</v>
      </c>
      <c r="J82" s="373" t="s">
        <v>28</v>
      </c>
      <c r="K82" s="372">
        <v>23</v>
      </c>
      <c r="L82" s="365">
        <v>9</v>
      </c>
      <c r="M82" s="365">
        <v>22</v>
      </c>
      <c r="N82" s="373">
        <v>10</v>
      </c>
      <c r="O82" s="376">
        <v>1</v>
      </c>
      <c r="P82" s="373" t="s">
        <v>28</v>
      </c>
      <c r="Q82" s="376">
        <v>1</v>
      </c>
      <c r="R82" s="373">
        <v>1</v>
      </c>
      <c r="S82" s="376" t="s">
        <v>28</v>
      </c>
      <c r="T82" s="373" t="s">
        <v>28</v>
      </c>
      <c r="U82" s="376">
        <v>1</v>
      </c>
      <c r="V82" s="373">
        <v>1</v>
      </c>
      <c r="W82" s="376">
        <v>2</v>
      </c>
      <c r="X82" s="373">
        <v>2</v>
      </c>
      <c r="Y82" s="376" t="s">
        <v>28</v>
      </c>
      <c r="Z82" s="373" t="s">
        <v>28</v>
      </c>
    </row>
    <row r="83" spans="1:26" ht="14.25" customHeight="1">
      <c r="A83" s="1329" t="s">
        <v>1066</v>
      </c>
      <c r="B83" s="1329"/>
      <c r="C83" s="1329"/>
      <c r="D83" s="1329"/>
      <c r="E83" s="1329"/>
      <c r="F83" s="1329"/>
      <c r="G83" s="1329"/>
      <c r="H83" s="1329"/>
      <c r="I83" s="1329"/>
      <c r="J83" s="1329"/>
      <c r="K83" s="1329"/>
      <c r="L83" s="1329"/>
      <c r="M83" s="1329" t="s">
        <v>1067</v>
      </c>
      <c r="N83" s="1329"/>
      <c r="O83" s="1329"/>
      <c r="P83" s="1329"/>
      <c r="Q83" s="1329"/>
      <c r="R83" s="1329"/>
      <c r="S83" s="1329"/>
      <c r="T83" s="1329"/>
      <c r="U83" s="1329"/>
      <c r="V83" s="1329"/>
      <c r="W83" s="1329"/>
      <c r="X83" s="1329"/>
      <c r="Y83" s="1329"/>
      <c r="Z83" s="1329"/>
    </row>
  </sheetData>
  <mergeCells count="73">
    <mergeCell ref="A61:N61"/>
    <mergeCell ref="O61:AF61"/>
    <mergeCell ref="A62:N62"/>
    <mergeCell ref="O62:AF62"/>
    <mergeCell ref="A63:N63"/>
    <mergeCell ref="O63:AF63"/>
    <mergeCell ref="AC10:AD10"/>
    <mergeCell ref="A14:N14"/>
    <mergeCell ref="O14:AF14"/>
    <mergeCell ref="A30:N30"/>
    <mergeCell ref="O30:AF30"/>
    <mergeCell ref="AA9:AB9"/>
    <mergeCell ref="AC9:AD9"/>
    <mergeCell ref="A10:B10"/>
    <mergeCell ref="C10:D10"/>
    <mergeCell ref="E10:F10"/>
    <mergeCell ref="G10:H10"/>
    <mergeCell ref="I10:J10"/>
    <mergeCell ref="K10:L10"/>
    <mergeCell ref="M10:N10"/>
    <mergeCell ref="O10:P10"/>
    <mergeCell ref="Q10:R10"/>
    <mergeCell ref="S10:T10"/>
    <mergeCell ref="U10:V10"/>
    <mergeCell ref="W10:X10"/>
    <mergeCell ref="Y10:Z10"/>
    <mergeCell ref="AA10:AB10"/>
    <mergeCell ref="W8:Z8"/>
    <mergeCell ref="AA8:AD8"/>
    <mergeCell ref="AE8:AF8"/>
    <mergeCell ref="A9:B9"/>
    <mergeCell ref="C9:D9"/>
    <mergeCell ref="E9:F9"/>
    <mergeCell ref="G9:H9"/>
    <mergeCell ref="I9:J9"/>
    <mergeCell ref="K9:L9"/>
    <mergeCell ref="M9:N9"/>
    <mergeCell ref="O9:P9"/>
    <mergeCell ref="Q9:R9"/>
    <mergeCell ref="S9:T9"/>
    <mergeCell ref="U9:V9"/>
    <mergeCell ref="W9:X9"/>
    <mergeCell ref="Y9:Z9"/>
    <mergeCell ref="AE5:AF5"/>
    <mergeCell ref="C6:N6"/>
    <mergeCell ref="O6:AD6"/>
    <mergeCell ref="AE6:AF7"/>
    <mergeCell ref="A7:B7"/>
    <mergeCell ref="C7:F7"/>
    <mergeCell ref="G7:J7"/>
    <mergeCell ref="K7:N7"/>
    <mergeCell ref="O7:R7"/>
    <mergeCell ref="S7:V7"/>
    <mergeCell ref="W7:Z7"/>
    <mergeCell ref="AA7:AD7"/>
    <mergeCell ref="O2:AF2"/>
    <mergeCell ref="A3:N3"/>
    <mergeCell ref="O3:AF3"/>
    <mergeCell ref="A4:N4"/>
    <mergeCell ref="O4:AF4"/>
    <mergeCell ref="M83:Z83"/>
    <mergeCell ref="A83:L83"/>
    <mergeCell ref="A5:B5"/>
    <mergeCell ref="A2:N2"/>
    <mergeCell ref="A6:B6"/>
    <mergeCell ref="C5:N5"/>
    <mergeCell ref="O5:AD5"/>
    <mergeCell ref="A8:B8"/>
    <mergeCell ref="C8:F8"/>
    <mergeCell ref="G8:J8"/>
    <mergeCell ref="K8:N8"/>
    <mergeCell ref="O8:R8"/>
    <mergeCell ref="S8:V8"/>
  </mergeCells>
  <phoneticPr fontId="4" type="noConversion"/>
  <hyperlinks>
    <hyperlink ref="A1" location="목록!A1" display="목록!A1" xr:uid="{202977C1-A985-444E-9900-94A269E801F6}"/>
  </hyperlinks>
  <printOptions horizontalCentered="1"/>
  <pageMargins left="0.59055118110236227" right="0.59055118110236227" top="0.78740157480314965" bottom="0.59055118110236227" header="0.62992125984251968" footer="0.39370078740157483"/>
  <pageSetup paperSize="9" orientation="portrait" r:id="rId1"/>
  <colBreaks count="1" manualBreakCount="1">
    <brk id="12" min="1" max="82" man="1"/>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V83"/>
  <sheetViews>
    <sheetView showGridLines="0" showWhiteSpace="0" view="pageBreakPreview" zoomScaleNormal="100" zoomScaleSheetLayoutView="100" zoomScalePageLayoutView="115" workbookViewId="0">
      <selection activeCell="A2" sqref="A2:V82"/>
    </sheetView>
  </sheetViews>
  <sheetFormatPr defaultRowHeight="16.5"/>
  <cols>
    <col min="1" max="1" width="12.88671875" style="358" customWidth="1"/>
    <col min="2" max="2" width="15" style="358" customWidth="1"/>
    <col min="3" max="4" width="5.6640625" style="359" customWidth="1"/>
    <col min="5" max="9" width="5.88671875" style="359" customWidth="1"/>
    <col min="10" max="10" width="6.21875" style="111" customWidth="1"/>
    <col min="11" max="11" width="6.44140625" style="111" customWidth="1"/>
    <col min="12" max="22" width="6.44140625" style="359" customWidth="1"/>
    <col min="23" max="16384" width="8.88671875" style="114"/>
  </cols>
  <sheetData>
    <row r="1" spans="1:22" ht="22.5">
      <c r="A1" s="901" t="s">
        <v>1332</v>
      </c>
    </row>
    <row r="2" spans="1:22" s="112" customFormat="1" ht="13.5" customHeight="1">
      <c r="A2" s="1331" t="s">
        <v>960</v>
      </c>
      <c r="B2" s="1331"/>
      <c r="C2" s="1331"/>
      <c r="D2" s="1331"/>
      <c r="E2" s="1331"/>
      <c r="F2" s="1331"/>
      <c r="G2" s="1331"/>
      <c r="H2" s="1331"/>
      <c r="I2" s="1331"/>
      <c r="J2" s="1331"/>
      <c r="K2" s="1036" t="s">
        <v>1033</v>
      </c>
      <c r="L2" s="1036"/>
      <c r="M2" s="1036"/>
      <c r="N2" s="1036"/>
      <c r="O2" s="1036"/>
      <c r="P2" s="1036"/>
      <c r="Q2" s="1036"/>
      <c r="R2" s="1036"/>
      <c r="S2" s="1036"/>
      <c r="T2" s="1036"/>
      <c r="U2" s="1036"/>
      <c r="V2" s="1036"/>
    </row>
    <row r="3" spans="1:22" ht="22.5" customHeight="1">
      <c r="A3" s="1037" t="s">
        <v>1235</v>
      </c>
      <c r="B3" s="1037"/>
      <c r="C3" s="1037"/>
      <c r="D3" s="1037"/>
      <c r="E3" s="1037"/>
      <c r="F3" s="1037"/>
      <c r="G3" s="1037"/>
      <c r="H3" s="1037"/>
      <c r="I3" s="1037"/>
      <c r="J3" s="1037"/>
      <c r="K3" s="1037" t="s">
        <v>922</v>
      </c>
      <c r="L3" s="1037"/>
      <c r="M3" s="1037"/>
      <c r="N3" s="1037"/>
      <c r="O3" s="1037"/>
      <c r="P3" s="1037"/>
      <c r="Q3" s="1037"/>
      <c r="R3" s="1037"/>
      <c r="S3" s="1037"/>
      <c r="T3" s="1037"/>
      <c r="U3" s="1037"/>
      <c r="V3" s="1037"/>
    </row>
    <row r="4" spans="1:22" ht="3.75" customHeight="1" thickBot="1">
      <c r="A4" s="377"/>
      <c r="B4" s="377"/>
      <c r="C4" s="377"/>
      <c r="D4" s="377"/>
      <c r="E4" s="377"/>
      <c r="F4" s="377"/>
      <c r="G4" s="377"/>
      <c r="H4" s="377"/>
      <c r="I4" s="377"/>
      <c r="J4" s="377"/>
      <c r="K4" s="377"/>
      <c r="L4" s="377"/>
      <c r="M4" s="377"/>
      <c r="N4" s="377"/>
      <c r="O4" s="377"/>
      <c r="P4" s="377"/>
      <c r="Q4" s="377"/>
      <c r="R4" s="377"/>
      <c r="S4" s="377"/>
      <c r="T4" s="377"/>
      <c r="U4" s="377"/>
      <c r="V4" s="377"/>
    </row>
    <row r="5" spans="1:22" s="242" customFormat="1" ht="9.9499999999999993" customHeight="1">
      <c r="A5" s="1334" t="s">
        <v>2</v>
      </c>
      <c r="B5" s="1333"/>
      <c r="C5" s="1332" t="s">
        <v>95</v>
      </c>
      <c r="D5" s="1333"/>
      <c r="E5" s="1332" t="s">
        <v>175</v>
      </c>
      <c r="F5" s="1333"/>
      <c r="G5" s="1332" t="s">
        <v>176</v>
      </c>
      <c r="H5" s="1333"/>
      <c r="I5" s="1332" t="s">
        <v>177</v>
      </c>
      <c r="J5" s="1333"/>
      <c r="K5" s="1332" t="s">
        <v>178</v>
      </c>
      <c r="L5" s="1333"/>
      <c r="M5" s="1339" t="s">
        <v>179</v>
      </c>
      <c r="N5" s="1339"/>
      <c r="O5" s="1332" t="s">
        <v>180</v>
      </c>
      <c r="P5" s="1333"/>
      <c r="Q5" s="1332" t="s">
        <v>181</v>
      </c>
      <c r="R5" s="1333"/>
      <c r="S5" s="1332" t="s">
        <v>182</v>
      </c>
      <c r="T5" s="1333"/>
      <c r="U5" s="1335" t="s">
        <v>1009</v>
      </c>
      <c r="V5" s="1834"/>
    </row>
    <row r="6" spans="1:22" s="241" customFormat="1" ht="10.5" customHeight="1">
      <c r="A6" s="1039" t="s">
        <v>7</v>
      </c>
      <c r="B6" s="1010"/>
      <c r="C6" s="1013" t="s">
        <v>16</v>
      </c>
      <c r="D6" s="1008"/>
      <c r="E6" s="1013" t="s">
        <v>559</v>
      </c>
      <c r="F6" s="1008"/>
      <c r="G6" s="1337" t="s">
        <v>183</v>
      </c>
      <c r="H6" s="1338"/>
      <c r="I6" s="1337" t="s">
        <v>184</v>
      </c>
      <c r="J6" s="1338"/>
      <c r="K6" s="1337" t="s">
        <v>185</v>
      </c>
      <c r="L6" s="1338"/>
      <c r="M6" s="1341" t="s">
        <v>186</v>
      </c>
      <c r="N6" s="1341"/>
      <c r="O6" s="1337" t="s">
        <v>187</v>
      </c>
      <c r="P6" s="1338"/>
      <c r="Q6" s="1337" t="s">
        <v>188</v>
      </c>
      <c r="R6" s="1338"/>
      <c r="S6" s="1337" t="s">
        <v>189</v>
      </c>
      <c r="T6" s="1338"/>
      <c r="U6" s="1013" t="s">
        <v>1010</v>
      </c>
      <c r="V6" s="1007"/>
    </row>
    <row r="7" spans="1:22" s="242" customFormat="1" ht="10.5" customHeight="1">
      <c r="A7" s="1340"/>
      <c r="B7" s="1333"/>
      <c r="C7" s="966" t="s">
        <v>13</v>
      </c>
      <c r="D7" s="966" t="s">
        <v>23</v>
      </c>
      <c r="E7" s="966" t="s">
        <v>13</v>
      </c>
      <c r="F7" s="966" t="s">
        <v>23</v>
      </c>
      <c r="G7" s="966" t="s">
        <v>13</v>
      </c>
      <c r="H7" s="966" t="s">
        <v>23</v>
      </c>
      <c r="I7" s="966" t="s">
        <v>13</v>
      </c>
      <c r="J7" s="378" t="s">
        <v>23</v>
      </c>
      <c r="K7" s="379" t="s">
        <v>13</v>
      </c>
      <c r="L7" s="966" t="s">
        <v>23</v>
      </c>
      <c r="M7" s="965" t="s">
        <v>13</v>
      </c>
      <c r="N7" s="965" t="s">
        <v>23</v>
      </c>
      <c r="O7" s="966" t="s">
        <v>13</v>
      </c>
      <c r="P7" s="966" t="s">
        <v>23</v>
      </c>
      <c r="Q7" s="966" t="s">
        <v>13</v>
      </c>
      <c r="R7" s="966" t="s">
        <v>23</v>
      </c>
      <c r="S7" s="966" t="s">
        <v>13</v>
      </c>
      <c r="T7" s="966" t="s">
        <v>23</v>
      </c>
      <c r="U7" s="965" t="s">
        <v>13</v>
      </c>
      <c r="V7" s="967" t="s">
        <v>23</v>
      </c>
    </row>
    <row r="8" spans="1:22" s="241" customFormat="1" ht="8.25" customHeight="1">
      <c r="A8" s="1007"/>
      <c r="B8" s="1008"/>
      <c r="C8" s="905" t="s">
        <v>25</v>
      </c>
      <c r="D8" s="905" t="s">
        <v>26</v>
      </c>
      <c r="E8" s="905" t="s">
        <v>25</v>
      </c>
      <c r="F8" s="905" t="s">
        <v>26</v>
      </c>
      <c r="G8" s="905" t="s">
        <v>25</v>
      </c>
      <c r="H8" s="905" t="s">
        <v>26</v>
      </c>
      <c r="I8" s="905" t="s">
        <v>25</v>
      </c>
      <c r="J8" s="925" t="s">
        <v>26</v>
      </c>
      <c r="K8" s="926" t="s">
        <v>25</v>
      </c>
      <c r="L8" s="905" t="s">
        <v>26</v>
      </c>
      <c r="M8" s="910" t="s">
        <v>25</v>
      </c>
      <c r="N8" s="910" t="s">
        <v>26</v>
      </c>
      <c r="O8" s="905" t="s">
        <v>25</v>
      </c>
      <c r="P8" s="905" t="s">
        <v>26</v>
      </c>
      <c r="Q8" s="905" t="s">
        <v>25</v>
      </c>
      <c r="R8" s="905" t="s">
        <v>26</v>
      </c>
      <c r="S8" s="905" t="s">
        <v>25</v>
      </c>
      <c r="T8" s="905" t="s">
        <v>26</v>
      </c>
      <c r="U8" s="910" t="s">
        <v>25</v>
      </c>
      <c r="V8" s="909" t="s">
        <v>26</v>
      </c>
    </row>
    <row r="9" spans="1:22" ht="9.1999999999999993" customHeight="1">
      <c r="A9" s="828" t="s">
        <v>27</v>
      </c>
      <c r="B9" s="829" t="s">
        <v>16</v>
      </c>
      <c r="C9" s="830">
        <v>6185</v>
      </c>
      <c r="D9" s="831">
        <v>4541</v>
      </c>
      <c r="E9" s="831">
        <v>1425</v>
      </c>
      <c r="F9" s="831">
        <v>912</v>
      </c>
      <c r="G9" s="831">
        <v>1100</v>
      </c>
      <c r="H9" s="831">
        <v>819</v>
      </c>
      <c r="I9" s="831">
        <v>879</v>
      </c>
      <c r="J9" s="832">
        <v>691</v>
      </c>
      <c r="K9" s="833">
        <v>803</v>
      </c>
      <c r="L9" s="831">
        <v>665</v>
      </c>
      <c r="M9" s="831">
        <v>749</v>
      </c>
      <c r="N9" s="831">
        <v>592</v>
      </c>
      <c r="O9" s="831">
        <v>571</v>
      </c>
      <c r="P9" s="831">
        <v>418</v>
      </c>
      <c r="Q9" s="831">
        <v>453</v>
      </c>
      <c r="R9" s="831">
        <v>314</v>
      </c>
      <c r="S9" s="831">
        <v>196</v>
      </c>
      <c r="T9" s="831">
        <v>125</v>
      </c>
      <c r="U9" s="831">
        <v>9</v>
      </c>
      <c r="V9" s="834">
        <v>5</v>
      </c>
    </row>
    <row r="10" spans="1:22" ht="9.1999999999999993" customHeight="1">
      <c r="A10" s="835" t="s">
        <v>29</v>
      </c>
      <c r="B10" s="836" t="s">
        <v>190</v>
      </c>
      <c r="C10" s="837">
        <v>5885</v>
      </c>
      <c r="D10" s="838">
        <v>4389</v>
      </c>
      <c r="E10" s="838">
        <v>1370</v>
      </c>
      <c r="F10" s="838">
        <v>875</v>
      </c>
      <c r="G10" s="838">
        <v>1061</v>
      </c>
      <c r="H10" s="838">
        <v>791</v>
      </c>
      <c r="I10" s="838">
        <v>830</v>
      </c>
      <c r="J10" s="839">
        <v>659</v>
      </c>
      <c r="K10" s="840">
        <v>767</v>
      </c>
      <c r="L10" s="838">
        <v>645</v>
      </c>
      <c r="M10" s="838">
        <v>703</v>
      </c>
      <c r="N10" s="838">
        <v>579</v>
      </c>
      <c r="O10" s="838">
        <v>526</v>
      </c>
      <c r="P10" s="838">
        <v>404</v>
      </c>
      <c r="Q10" s="838">
        <v>428</v>
      </c>
      <c r="R10" s="838">
        <v>308</v>
      </c>
      <c r="S10" s="838">
        <v>191</v>
      </c>
      <c r="T10" s="838">
        <v>123</v>
      </c>
      <c r="U10" s="838">
        <v>9</v>
      </c>
      <c r="V10" s="841">
        <v>5</v>
      </c>
    </row>
    <row r="11" spans="1:22" ht="9.1999999999999993" customHeight="1">
      <c r="A11" s="835" t="s">
        <v>31</v>
      </c>
      <c r="B11" s="836" t="s">
        <v>191</v>
      </c>
      <c r="C11" s="837">
        <v>300</v>
      </c>
      <c r="D11" s="838">
        <v>152</v>
      </c>
      <c r="E11" s="838">
        <v>55</v>
      </c>
      <c r="F11" s="838">
        <v>37</v>
      </c>
      <c r="G11" s="838">
        <v>39</v>
      </c>
      <c r="H11" s="838">
        <v>28</v>
      </c>
      <c r="I11" s="838">
        <v>49</v>
      </c>
      <c r="J11" s="839">
        <v>32</v>
      </c>
      <c r="K11" s="840">
        <v>36</v>
      </c>
      <c r="L11" s="838">
        <v>20</v>
      </c>
      <c r="M11" s="838">
        <v>46</v>
      </c>
      <c r="N11" s="838">
        <v>13</v>
      </c>
      <c r="O11" s="838">
        <v>45</v>
      </c>
      <c r="P11" s="838">
        <v>14</v>
      </c>
      <c r="Q11" s="838">
        <v>25</v>
      </c>
      <c r="R11" s="838">
        <v>6</v>
      </c>
      <c r="S11" s="838">
        <v>5</v>
      </c>
      <c r="T11" s="838">
        <v>2</v>
      </c>
      <c r="U11" s="838" t="s">
        <v>28</v>
      </c>
      <c r="V11" s="841" t="s">
        <v>28</v>
      </c>
    </row>
    <row r="12" spans="1:22" ht="9.1999999999999993" customHeight="1">
      <c r="A12" s="828" t="s">
        <v>171</v>
      </c>
      <c r="B12" s="829" t="s">
        <v>159</v>
      </c>
      <c r="C12" s="842">
        <v>137</v>
      </c>
      <c r="D12" s="843">
        <v>63</v>
      </c>
      <c r="E12" s="844" t="s">
        <v>28</v>
      </c>
      <c r="F12" s="844" t="s">
        <v>28</v>
      </c>
      <c r="G12" s="844" t="s">
        <v>28</v>
      </c>
      <c r="H12" s="844" t="s">
        <v>28</v>
      </c>
      <c r="I12" s="844" t="s">
        <v>28</v>
      </c>
      <c r="J12" s="845" t="s">
        <v>28</v>
      </c>
      <c r="K12" s="842" t="s">
        <v>28</v>
      </c>
      <c r="L12" s="845" t="s">
        <v>28</v>
      </c>
      <c r="M12" s="846">
        <v>1</v>
      </c>
      <c r="N12" s="844" t="s">
        <v>28</v>
      </c>
      <c r="O12" s="843">
        <v>7</v>
      </c>
      <c r="P12" s="843">
        <v>2</v>
      </c>
      <c r="Q12" s="843">
        <v>55</v>
      </c>
      <c r="R12" s="843">
        <v>18</v>
      </c>
      <c r="S12" s="843">
        <v>73</v>
      </c>
      <c r="T12" s="843">
        <v>42</v>
      </c>
      <c r="U12" s="843">
        <v>1</v>
      </c>
      <c r="V12" s="847">
        <v>1</v>
      </c>
    </row>
    <row r="13" spans="1:22" ht="9.1999999999999993" customHeight="1">
      <c r="A13" s="835" t="s">
        <v>29</v>
      </c>
      <c r="B13" s="836" t="s">
        <v>190</v>
      </c>
      <c r="C13" s="848">
        <v>127</v>
      </c>
      <c r="D13" s="849">
        <v>60</v>
      </c>
      <c r="E13" s="850" t="s">
        <v>28</v>
      </c>
      <c r="F13" s="850" t="s">
        <v>28</v>
      </c>
      <c r="G13" s="850" t="s">
        <v>28</v>
      </c>
      <c r="H13" s="850" t="s">
        <v>28</v>
      </c>
      <c r="I13" s="850" t="s">
        <v>28</v>
      </c>
      <c r="J13" s="851" t="s">
        <v>28</v>
      </c>
      <c r="K13" s="848" t="s">
        <v>28</v>
      </c>
      <c r="L13" s="851" t="s">
        <v>28</v>
      </c>
      <c r="M13" s="852" t="s">
        <v>28</v>
      </c>
      <c r="N13" s="850" t="s">
        <v>28</v>
      </c>
      <c r="O13" s="849">
        <v>6</v>
      </c>
      <c r="P13" s="849">
        <v>1</v>
      </c>
      <c r="Q13" s="849">
        <v>49</v>
      </c>
      <c r="R13" s="849">
        <v>16</v>
      </c>
      <c r="S13" s="849">
        <v>71</v>
      </c>
      <c r="T13" s="849">
        <v>42</v>
      </c>
      <c r="U13" s="849">
        <v>1</v>
      </c>
      <c r="V13" s="853">
        <v>1</v>
      </c>
    </row>
    <row r="14" spans="1:22" ht="9.1999999999999993" customHeight="1">
      <c r="A14" s="835" t="s">
        <v>31</v>
      </c>
      <c r="B14" s="836" t="s">
        <v>191</v>
      </c>
      <c r="C14" s="848">
        <v>10</v>
      </c>
      <c r="D14" s="849">
        <v>3</v>
      </c>
      <c r="E14" s="850" t="s">
        <v>28</v>
      </c>
      <c r="F14" s="850" t="s">
        <v>28</v>
      </c>
      <c r="G14" s="850" t="s">
        <v>28</v>
      </c>
      <c r="H14" s="850" t="s">
        <v>28</v>
      </c>
      <c r="I14" s="850" t="s">
        <v>28</v>
      </c>
      <c r="J14" s="851" t="s">
        <v>28</v>
      </c>
      <c r="K14" s="852" t="s">
        <v>28</v>
      </c>
      <c r="L14" s="851" t="s">
        <v>28</v>
      </c>
      <c r="M14" s="852">
        <v>1</v>
      </c>
      <c r="N14" s="850" t="s">
        <v>28</v>
      </c>
      <c r="O14" s="849">
        <v>1</v>
      </c>
      <c r="P14" s="849">
        <v>1</v>
      </c>
      <c r="Q14" s="849">
        <v>6</v>
      </c>
      <c r="R14" s="849">
        <v>2</v>
      </c>
      <c r="S14" s="849">
        <v>2</v>
      </c>
      <c r="T14" s="849" t="s">
        <v>28</v>
      </c>
      <c r="U14" s="850" t="s">
        <v>28</v>
      </c>
      <c r="V14" s="854" t="s">
        <v>28</v>
      </c>
    </row>
    <row r="15" spans="1:22" ht="9.1999999999999993" customHeight="1">
      <c r="A15" s="828" t="s">
        <v>172</v>
      </c>
      <c r="B15" s="829" t="s">
        <v>160</v>
      </c>
      <c r="C15" s="842">
        <v>133</v>
      </c>
      <c r="D15" s="843">
        <v>53</v>
      </c>
      <c r="E15" s="844" t="s">
        <v>28</v>
      </c>
      <c r="F15" s="844" t="s">
        <v>28</v>
      </c>
      <c r="G15" s="844" t="s">
        <v>28</v>
      </c>
      <c r="H15" s="844" t="s">
        <v>28</v>
      </c>
      <c r="I15" s="844" t="s">
        <v>28</v>
      </c>
      <c r="J15" s="845" t="s">
        <v>28</v>
      </c>
      <c r="K15" s="846" t="s">
        <v>28</v>
      </c>
      <c r="L15" s="845" t="s">
        <v>28</v>
      </c>
      <c r="M15" s="842">
        <v>10</v>
      </c>
      <c r="N15" s="844" t="s">
        <v>28</v>
      </c>
      <c r="O15" s="843">
        <v>51</v>
      </c>
      <c r="P15" s="843">
        <v>18</v>
      </c>
      <c r="Q15" s="843">
        <v>49</v>
      </c>
      <c r="R15" s="843">
        <v>18</v>
      </c>
      <c r="S15" s="843">
        <v>23</v>
      </c>
      <c r="T15" s="843">
        <v>17</v>
      </c>
      <c r="U15" s="843" t="s">
        <v>28</v>
      </c>
      <c r="V15" s="847" t="s">
        <v>28</v>
      </c>
    </row>
    <row r="16" spans="1:22" ht="9.1999999999999993" customHeight="1">
      <c r="A16" s="835" t="s">
        <v>29</v>
      </c>
      <c r="B16" s="836" t="s">
        <v>190</v>
      </c>
      <c r="C16" s="848">
        <v>125</v>
      </c>
      <c r="D16" s="849">
        <v>53</v>
      </c>
      <c r="E16" s="850" t="s">
        <v>28</v>
      </c>
      <c r="F16" s="850" t="s">
        <v>28</v>
      </c>
      <c r="G16" s="850" t="s">
        <v>28</v>
      </c>
      <c r="H16" s="850" t="s">
        <v>28</v>
      </c>
      <c r="I16" s="850" t="s">
        <v>28</v>
      </c>
      <c r="J16" s="851" t="s">
        <v>28</v>
      </c>
      <c r="K16" s="852" t="s">
        <v>28</v>
      </c>
      <c r="L16" s="851" t="s">
        <v>28</v>
      </c>
      <c r="M16" s="848">
        <v>8</v>
      </c>
      <c r="N16" s="850" t="s">
        <v>28</v>
      </c>
      <c r="O16" s="849">
        <v>47</v>
      </c>
      <c r="P16" s="849">
        <v>18</v>
      </c>
      <c r="Q16" s="849">
        <v>47</v>
      </c>
      <c r="R16" s="849">
        <v>18</v>
      </c>
      <c r="S16" s="849">
        <v>23</v>
      </c>
      <c r="T16" s="849">
        <v>17</v>
      </c>
      <c r="U16" s="849" t="s">
        <v>28</v>
      </c>
      <c r="V16" s="853" t="s">
        <v>28</v>
      </c>
    </row>
    <row r="17" spans="1:22" ht="9.1999999999999993" customHeight="1">
      <c r="A17" s="835" t="s">
        <v>31</v>
      </c>
      <c r="B17" s="836" t="s">
        <v>191</v>
      </c>
      <c r="C17" s="848">
        <v>8</v>
      </c>
      <c r="D17" s="849" t="s">
        <v>28</v>
      </c>
      <c r="E17" s="850" t="s">
        <v>28</v>
      </c>
      <c r="F17" s="850" t="s">
        <v>28</v>
      </c>
      <c r="G17" s="850" t="s">
        <v>28</v>
      </c>
      <c r="H17" s="850" t="s">
        <v>28</v>
      </c>
      <c r="I17" s="850" t="s">
        <v>28</v>
      </c>
      <c r="J17" s="851" t="s">
        <v>28</v>
      </c>
      <c r="K17" s="852" t="s">
        <v>28</v>
      </c>
      <c r="L17" s="851" t="s">
        <v>28</v>
      </c>
      <c r="M17" s="848">
        <v>2</v>
      </c>
      <c r="N17" s="850" t="s">
        <v>28</v>
      </c>
      <c r="O17" s="849">
        <v>4</v>
      </c>
      <c r="P17" s="849" t="s">
        <v>28</v>
      </c>
      <c r="Q17" s="849">
        <v>2</v>
      </c>
      <c r="R17" s="850" t="s">
        <v>28</v>
      </c>
      <c r="S17" s="849" t="s">
        <v>28</v>
      </c>
      <c r="T17" s="850" t="s">
        <v>28</v>
      </c>
      <c r="U17" s="850" t="s">
        <v>28</v>
      </c>
      <c r="V17" s="854" t="s">
        <v>28</v>
      </c>
    </row>
    <row r="18" spans="1:22" ht="9.1999999999999993" customHeight="1">
      <c r="A18" s="828" t="s">
        <v>428</v>
      </c>
      <c r="B18" s="855" t="s">
        <v>432</v>
      </c>
      <c r="C18" s="842">
        <v>8</v>
      </c>
      <c r="D18" s="843">
        <v>6</v>
      </c>
      <c r="E18" s="844" t="s">
        <v>28</v>
      </c>
      <c r="F18" s="844" t="s">
        <v>28</v>
      </c>
      <c r="G18" s="844" t="s">
        <v>28</v>
      </c>
      <c r="H18" s="844" t="s">
        <v>28</v>
      </c>
      <c r="I18" s="844" t="s">
        <v>28</v>
      </c>
      <c r="J18" s="845" t="s">
        <v>28</v>
      </c>
      <c r="K18" s="846">
        <v>1</v>
      </c>
      <c r="L18" s="845">
        <v>1</v>
      </c>
      <c r="M18" s="846" t="s">
        <v>28</v>
      </c>
      <c r="N18" s="844" t="s">
        <v>28</v>
      </c>
      <c r="O18" s="844">
        <v>2</v>
      </c>
      <c r="P18" s="844">
        <v>2</v>
      </c>
      <c r="Q18" s="843">
        <v>3</v>
      </c>
      <c r="R18" s="843">
        <v>2</v>
      </c>
      <c r="S18" s="843">
        <v>2</v>
      </c>
      <c r="T18" s="843">
        <v>1</v>
      </c>
      <c r="U18" s="844" t="s">
        <v>28</v>
      </c>
      <c r="V18" s="856" t="s">
        <v>28</v>
      </c>
    </row>
    <row r="19" spans="1:22" ht="9.1999999999999993" customHeight="1">
      <c r="A19" s="857" t="s">
        <v>431</v>
      </c>
      <c r="B19" s="857" t="s">
        <v>430</v>
      </c>
      <c r="C19" s="848">
        <v>8</v>
      </c>
      <c r="D19" s="849">
        <v>6</v>
      </c>
      <c r="E19" s="850" t="s">
        <v>28</v>
      </c>
      <c r="F19" s="850" t="s">
        <v>28</v>
      </c>
      <c r="G19" s="850" t="s">
        <v>28</v>
      </c>
      <c r="H19" s="850" t="s">
        <v>28</v>
      </c>
      <c r="I19" s="850" t="s">
        <v>28</v>
      </c>
      <c r="J19" s="851" t="s">
        <v>28</v>
      </c>
      <c r="K19" s="852">
        <v>1</v>
      </c>
      <c r="L19" s="851">
        <v>1</v>
      </c>
      <c r="M19" s="852" t="s">
        <v>28</v>
      </c>
      <c r="N19" s="850" t="s">
        <v>28</v>
      </c>
      <c r="O19" s="850">
        <v>2</v>
      </c>
      <c r="P19" s="850">
        <v>2</v>
      </c>
      <c r="Q19" s="849">
        <v>3</v>
      </c>
      <c r="R19" s="849">
        <v>2</v>
      </c>
      <c r="S19" s="849">
        <v>2</v>
      </c>
      <c r="T19" s="849">
        <v>1</v>
      </c>
      <c r="U19" s="850" t="s">
        <v>28</v>
      </c>
      <c r="V19" s="854" t="s">
        <v>28</v>
      </c>
    </row>
    <row r="20" spans="1:22" ht="9.1999999999999993" customHeight="1">
      <c r="A20" s="828" t="s">
        <v>158</v>
      </c>
      <c r="B20" s="858" t="s">
        <v>550</v>
      </c>
      <c r="C20" s="1835">
        <v>1370</v>
      </c>
      <c r="D20" s="843">
        <v>1004</v>
      </c>
      <c r="E20" s="843">
        <v>23</v>
      </c>
      <c r="F20" s="843">
        <v>8</v>
      </c>
      <c r="G20" s="843">
        <v>141</v>
      </c>
      <c r="H20" s="843">
        <v>72</v>
      </c>
      <c r="I20" s="843">
        <v>170</v>
      </c>
      <c r="J20" s="859">
        <v>122</v>
      </c>
      <c r="K20" s="842">
        <v>240</v>
      </c>
      <c r="L20" s="859">
        <v>195</v>
      </c>
      <c r="M20" s="842">
        <v>349</v>
      </c>
      <c r="N20" s="843">
        <v>261</v>
      </c>
      <c r="O20" s="843">
        <v>263</v>
      </c>
      <c r="P20" s="843">
        <v>198</v>
      </c>
      <c r="Q20" s="843">
        <v>154</v>
      </c>
      <c r="R20" s="843">
        <v>126</v>
      </c>
      <c r="S20" s="843">
        <v>30</v>
      </c>
      <c r="T20" s="843">
        <v>22</v>
      </c>
      <c r="U20" s="844" t="s">
        <v>28</v>
      </c>
      <c r="V20" s="856" t="s">
        <v>28</v>
      </c>
    </row>
    <row r="21" spans="1:22" ht="9.1999999999999993" customHeight="1">
      <c r="A21" s="835" t="s">
        <v>29</v>
      </c>
      <c r="B21" s="836" t="s">
        <v>190</v>
      </c>
      <c r="C21" s="848">
        <v>1284</v>
      </c>
      <c r="D21" s="849">
        <v>971</v>
      </c>
      <c r="E21" s="849">
        <v>23</v>
      </c>
      <c r="F21" s="849">
        <v>8</v>
      </c>
      <c r="G21" s="849">
        <v>139</v>
      </c>
      <c r="H21" s="849">
        <v>70</v>
      </c>
      <c r="I21" s="849">
        <v>163</v>
      </c>
      <c r="J21" s="860">
        <v>121</v>
      </c>
      <c r="K21" s="848">
        <v>225</v>
      </c>
      <c r="L21" s="860">
        <v>189</v>
      </c>
      <c r="M21" s="848">
        <v>323</v>
      </c>
      <c r="N21" s="849">
        <v>253</v>
      </c>
      <c r="O21" s="849">
        <v>238</v>
      </c>
      <c r="P21" s="849">
        <v>188</v>
      </c>
      <c r="Q21" s="849">
        <v>145</v>
      </c>
      <c r="R21" s="849">
        <v>122</v>
      </c>
      <c r="S21" s="849">
        <v>28</v>
      </c>
      <c r="T21" s="849">
        <v>20</v>
      </c>
      <c r="U21" s="850" t="s">
        <v>28</v>
      </c>
      <c r="V21" s="854" t="s">
        <v>28</v>
      </c>
    </row>
    <row r="22" spans="1:22" ht="9.1999999999999993" customHeight="1">
      <c r="A22" s="835" t="s">
        <v>31</v>
      </c>
      <c r="B22" s="836" t="s">
        <v>191</v>
      </c>
      <c r="C22" s="848">
        <v>86</v>
      </c>
      <c r="D22" s="849">
        <v>33</v>
      </c>
      <c r="E22" s="849" t="s">
        <v>28</v>
      </c>
      <c r="F22" s="849" t="s">
        <v>28</v>
      </c>
      <c r="G22" s="849">
        <v>2</v>
      </c>
      <c r="H22" s="849">
        <v>2</v>
      </c>
      <c r="I22" s="849">
        <v>7</v>
      </c>
      <c r="J22" s="860">
        <v>1</v>
      </c>
      <c r="K22" s="848">
        <v>15</v>
      </c>
      <c r="L22" s="860">
        <v>6</v>
      </c>
      <c r="M22" s="848">
        <v>26</v>
      </c>
      <c r="N22" s="849">
        <v>8</v>
      </c>
      <c r="O22" s="849">
        <v>25</v>
      </c>
      <c r="P22" s="849">
        <v>10</v>
      </c>
      <c r="Q22" s="849">
        <v>9</v>
      </c>
      <c r="R22" s="849">
        <v>4</v>
      </c>
      <c r="S22" s="849">
        <v>2</v>
      </c>
      <c r="T22" s="849">
        <v>2</v>
      </c>
      <c r="U22" s="850" t="s">
        <v>28</v>
      </c>
      <c r="V22" s="854" t="s">
        <v>28</v>
      </c>
    </row>
    <row r="23" spans="1:22" ht="9.1999999999999993" customHeight="1">
      <c r="A23" s="828" t="s">
        <v>173</v>
      </c>
      <c r="B23" s="829" t="s">
        <v>18</v>
      </c>
      <c r="C23" s="842">
        <v>2452</v>
      </c>
      <c r="D23" s="843">
        <v>1869</v>
      </c>
      <c r="E23" s="843">
        <v>696</v>
      </c>
      <c r="F23" s="843">
        <v>405</v>
      </c>
      <c r="G23" s="843">
        <v>442</v>
      </c>
      <c r="H23" s="843">
        <v>337</v>
      </c>
      <c r="I23" s="843">
        <v>297</v>
      </c>
      <c r="J23" s="859">
        <v>255</v>
      </c>
      <c r="K23" s="842">
        <v>314</v>
      </c>
      <c r="L23" s="859">
        <v>282</v>
      </c>
      <c r="M23" s="842">
        <v>284</v>
      </c>
      <c r="N23" s="843">
        <v>252</v>
      </c>
      <c r="O23" s="843">
        <v>220</v>
      </c>
      <c r="P23" s="843">
        <v>177</v>
      </c>
      <c r="Q23" s="843">
        <v>164</v>
      </c>
      <c r="R23" s="843">
        <v>135</v>
      </c>
      <c r="S23" s="843">
        <v>35</v>
      </c>
      <c r="T23" s="843">
        <v>26</v>
      </c>
      <c r="U23" s="843" t="s">
        <v>28</v>
      </c>
      <c r="V23" s="856" t="s">
        <v>28</v>
      </c>
    </row>
    <row r="24" spans="1:22" ht="9.1999999999999993" customHeight="1">
      <c r="A24" s="835" t="s">
        <v>29</v>
      </c>
      <c r="B24" s="836" t="s">
        <v>190</v>
      </c>
      <c r="C24" s="848">
        <v>2364</v>
      </c>
      <c r="D24" s="849">
        <v>1828</v>
      </c>
      <c r="E24" s="849">
        <v>685</v>
      </c>
      <c r="F24" s="849">
        <v>397</v>
      </c>
      <c r="G24" s="849">
        <v>425</v>
      </c>
      <c r="H24" s="849">
        <v>328</v>
      </c>
      <c r="I24" s="849">
        <v>283</v>
      </c>
      <c r="J24" s="860">
        <v>245</v>
      </c>
      <c r="K24" s="848">
        <v>301</v>
      </c>
      <c r="L24" s="860">
        <v>273</v>
      </c>
      <c r="M24" s="848">
        <v>271</v>
      </c>
      <c r="N24" s="849">
        <v>248</v>
      </c>
      <c r="O24" s="849">
        <v>207</v>
      </c>
      <c r="P24" s="849">
        <v>176</v>
      </c>
      <c r="Q24" s="849">
        <v>157</v>
      </c>
      <c r="R24" s="849">
        <v>135</v>
      </c>
      <c r="S24" s="849">
        <v>35</v>
      </c>
      <c r="T24" s="849">
        <v>26</v>
      </c>
      <c r="U24" s="849" t="s">
        <v>28</v>
      </c>
      <c r="V24" s="854" t="s">
        <v>28</v>
      </c>
    </row>
    <row r="25" spans="1:22" ht="9.1999999999999993" customHeight="1">
      <c r="A25" s="835" t="s">
        <v>31</v>
      </c>
      <c r="B25" s="836" t="s">
        <v>191</v>
      </c>
      <c r="C25" s="848">
        <v>88</v>
      </c>
      <c r="D25" s="849">
        <v>41</v>
      </c>
      <c r="E25" s="849">
        <v>11</v>
      </c>
      <c r="F25" s="849">
        <v>8</v>
      </c>
      <c r="G25" s="849">
        <v>17</v>
      </c>
      <c r="H25" s="849">
        <v>9</v>
      </c>
      <c r="I25" s="849">
        <v>14</v>
      </c>
      <c r="J25" s="860">
        <v>10</v>
      </c>
      <c r="K25" s="848">
        <v>13</v>
      </c>
      <c r="L25" s="860">
        <v>9</v>
      </c>
      <c r="M25" s="848">
        <v>13</v>
      </c>
      <c r="N25" s="849">
        <v>4</v>
      </c>
      <c r="O25" s="849">
        <v>13</v>
      </c>
      <c r="P25" s="849">
        <v>1</v>
      </c>
      <c r="Q25" s="849">
        <v>7</v>
      </c>
      <c r="R25" s="849" t="s">
        <v>28</v>
      </c>
      <c r="S25" s="849" t="s">
        <v>28</v>
      </c>
      <c r="T25" s="849" t="s">
        <v>28</v>
      </c>
      <c r="U25" s="850" t="s">
        <v>28</v>
      </c>
      <c r="V25" s="854" t="s">
        <v>28</v>
      </c>
    </row>
    <row r="26" spans="1:22" ht="9.1999999999999993" customHeight="1">
      <c r="A26" s="828" t="s">
        <v>557</v>
      </c>
      <c r="B26" s="829" t="s">
        <v>552</v>
      </c>
      <c r="C26" s="842">
        <v>151</v>
      </c>
      <c r="D26" s="843">
        <v>115</v>
      </c>
      <c r="E26" s="843">
        <v>34</v>
      </c>
      <c r="F26" s="843">
        <v>26</v>
      </c>
      <c r="G26" s="843">
        <v>44</v>
      </c>
      <c r="H26" s="843">
        <v>34</v>
      </c>
      <c r="I26" s="843">
        <v>29</v>
      </c>
      <c r="J26" s="859">
        <v>24</v>
      </c>
      <c r="K26" s="842">
        <v>25</v>
      </c>
      <c r="L26" s="859">
        <v>18</v>
      </c>
      <c r="M26" s="842">
        <v>9</v>
      </c>
      <c r="N26" s="843">
        <v>6</v>
      </c>
      <c r="O26" s="843">
        <v>6</v>
      </c>
      <c r="P26" s="843">
        <v>4</v>
      </c>
      <c r="Q26" s="843">
        <v>3</v>
      </c>
      <c r="R26" s="843">
        <v>2</v>
      </c>
      <c r="S26" s="844">
        <v>1</v>
      </c>
      <c r="T26" s="844">
        <v>1</v>
      </c>
      <c r="U26" s="844" t="s">
        <v>28</v>
      </c>
      <c r="V26" s="856" t="s">
        <v>28</v>
      </c>
    </row>
    <row r="27" spans="1:22" ht="9.1999999999999993" customHeight="1">
      <c r="A27" s="835" t="s">
        <v>29</v>
      </c>
      <c r="B27" s="836" t="s">
        <v>190</v>
      </c>
      <c r="C27" s="848">
        <v>150</v>
      </c>
      <c r="D27" s="849">
        <v>114</v>
      </c>
      <c r="E27" s="849">
        <v>34</v>
      </c>
      <c r="F27" s="849">
        <v>26</v>
      </c>
      <c r="G27" s="849">
        <v>44</v>
      </c>
      <c r="H27" s="849">
        <v>34</v>
      </c>
      <c r="I27" s="849">
        <v>28</v>
      </c>
      <c r="J27" s="860">
        <v>23</v>
      </c>
      <c r="K27" s="848">
        <v>25</v>
      </c>
      <c r="L27" s="860">
        <v>18</v>
      </c>
      <c r="M27" s="848">
        <v>9</v>
      </c>
      <c r="N27" s="849">
        <v>6</v>
      </c>
      <c r="O27" s="849">
        <v>6</v>
      </c>
      <c r="P27" s="849">
        <v>4</v>
      </c>
      <c r="Q27" s="849">
        <v>3</v>
      </c>
      <c r="R27" s="849">
        <v>2</v>
      </c>
      <c r="S27" s="850">
        <v>1</v>
      </c>
      <c r="T27" s="850">
        <v>1</v>
      </c>
      <c r="U27" s="850" t="s">
        <v>28</v>
      </c>
      <c r="V27" s="854" t="s">
        <v>28</v>
      </c>
    </row>
    <row r="28" spans="1:22" ht="9.1999999999999993" customHeight="1">
      <c r="A28" s="835" t="s">
        <v>31</v>
      </c>
      <c r="B28" s="836" t="s">
        <v>191</v>
      </c>
      <c r="C28" s="848">
        <v>1</v>
      </c>
      <c r="D28" s="849">
        <v>1</v>
      </c>
      <c r="E28" s="850" t="s">
        <v>28</v>
      </c>
      <c r="F28" s="850" t="s">
        <v>28</v>
      </c>
      <c r="G28" s="849" t="s">
        <v>28</v>
      </c>
      <c r="H28" s="849" t="s">
        <v>28</v>
      </c>
      <c r="I28" s="850">
        <v>1</v>
      </c>
      <c r="J28" s="851">
        <v>1</v>
      </c>
      <c r="K28" s="852" t="s">
        <v>28</v>
      </c>
      <c r="L28" s="851" t="s">
        <v>28</v>
      </c>
      <c r="M28" s="852" t="s">
        <v>28</v>
      </c>
      <c r="N28" s="850" t="s">
        <v>28</v>
      </c>
      <c r="O28" s="850" t="s">
        <v>28</v>
      </c>
      <c r="P28" s="850" t="s">
        <v>28</v>
      </c>
      <c r="Q28" s="850" t="s">
        <v>28</v>
      </c>
      <c r="R28" s="850" t="s">
        <v>28</v>
      </c>
      <c r="S28" s="850" t="s">
        <v>28</v>
      </c>
      <c r="T28" s="850" t="s">
        <v>28</v>
      </c>
      <c r="U28" s="850" t="s">
        <v>28</v>
      </c>
      <c r="V28" s="854" t="s">
        <v>28</v>
      </c>
    </row>
    <row r="29" spans="1:22" ht="9.1999999999999993" customHeight="1">
      <c r="A29" s="828" t="s">
        <v>166</v>
      </c>
      <c r="B29" s="829" t="s">
        <v>553</v>
      </c>
      <c r="C29" s="842">
        <v>79</v>
      </c>
      <c r="D29" s="843">
        <v>70</v>
      </c>
      <c r="E29" s="843">
        <v>22</v>
      </c>
      <c r="F29" s="843">
        <v>18</v>
      </c>
      <c r="G29" s="843">
        <v>26</v>
      </c>
      <c r="H29" s="843">
        <v>22</v>
      </c>
      <c r="I29" s="843">
        <v>17</v>
      </c>
      <c r="J29" s="859">
        <v>16</v>
      </c>
      <c r="K29" s="842">
        <v>9</v>
      </c>
      <c r="L29" s="859">
        <v>9</v>
      </c>
      <c r="M29" s="842">
        <v>3</v>
      </c>
      <c r="N29" s="843">
        <v>3</v>
      </c>
      <c r="O29" s="844">
        <v>2</v>
      </c>
      <c r="P29" s="844">
        <v>2</v>
      </c>
      <c r="Q29" s="843" t="s">
        <v>28</v>
      </c>
      <c r="R29" s="843" t="s">
        <v>28</v>
      </c>
      <c r="S29" s="844" t="s">
        <v>28</v>
      </c>
      <c r="T29" s="844" t="s">
        <v>28</v>
      </c>
      <c r="U29" s="844" t="s">
        <v>28</v>
      </c>
      <c r="V29" s="856" t="s">
        <v>28</v>
      </c>
    </row>
    <row r="30" spans="1:22" ht="9.1999999999999993" customHeight="1">
      <c r="A30" s="835" t="s">
        <v>29</v>
      </c>
      <c r="B30" s="836" t="s">
        <v>190</v>
      </c>
      <c r="C30" s="848">
        <v>75</v>
      </c>
      <c r="D30" s="849">
        <v>66</v>
      </c>
      <c r="E30" s="849">
        <v>22</v>
      </c>
      <c r="F30" s="849">
        <v>18</v>
      </c>
      <c r="G30" s="849">
        <v>26</v>
      </c>
      <c r="H30" s="849">
        <v>22</v>
      </c>
      <c r="I30" s="849">
        <v>14</v>
      </c>
      <c r="J30" s="860">
        <v>13</v>
      </c>
      <c r="K30" s="848">
        <v>9</v>
      </c>
      <c r="L30" s="860">
        <v>9</v>
      </c>
      <c r="M30" s="848">
        <v>2</v>
      </c>
      <c r="N30" s="849">
        <v>2</v>
      </c>
      <c r="O30" s="850">
        <v>2</v>
      </c>
      <c r="P30" s="850">
        <v>2</v>
      </c>
      <c r="Q30" s="849" t="s">
        <v>28</v>
      </c>
      <c r="R30" s="849" t="s">
        <v>28</v>
      </c>
      <c r="S30" s="850" t="s">
        <v>28</v>
      </c>
      <c r="T30" s="850" t="s">
        <v>28</v>
      </c>
      <c r="U30" s="850" t="s">
        <v>28</v>
      </c>
      <c r="V30" s="854" t="s">
        <v>28</v>
      </c>
    </row>
    <row r="31" spans="1:22" ht="9.1999999999999993" customHeight="1">
      <c r="A31" s="835" t="s">
        <v>31</v>
      </c>
      <c r="B31" s="836" t="s">
        <v>191</v>
      </c>
      <c r="C31" s="848">
        <v>4</v>
      </c>
      <c r="D31" s="849">
        <v>4</v>
      </c>
      <c r="E31" s="850" t="s">
        <v>28</v>
      </c>
      <c r="F31" s="850" t="s">
        <v>28</v>
      </c>
      <c r="G31" s="849" t="s">
        <v>28</v>
      </c>
      <c r="H31" s="849" t="s">
        <v>28</v>
      </c>
      <c r="I31" s="849">
        <v>3</v>
      </c>
      <c r="J31" s="860">
        <v>3</v>
      </c>
      <c r="K31" s="848" t="s">
        <v>28</v>
      </c>
      <c r="L31" s="860" t="s">
        <v>28</v>
      </c>
      <c r="M31" s="852">
        <v>1</v>
      </c>
      <c r="N31" s="850">
        <v>1</v>
      </c>
      <c r="O31" s="850" t="s">
        <v>28</v>
      </c>
      <c r="P31" s="850" t="s">
        <v>28</v>
      </c>
      <c r="Q31" s="850" t="s">
        <v>28</v>
      </c>
      <c r="R31" s="850" t="s">
        <v>28</v>
      </c>
      <c r="S31" s="850" t="s">
        <v>28</v>
      </c>
      <c r="T31" s="850" t="s">
        <v>28</v>
      </c>
      <c r="U31" s="850" t="s">
        <v>28</v>
      </c>
      <c r="V31" s="854" t="s">
        <v>28</v>
      </c>
    </row>
    <row r="32" spans="1:22" ht="9.1999999999999993" customHeight="1">
      <c r="A32" s="828" t="s">
        <v>167</v>
      </c>
      <c r="B32" s="829" t="s">
        <v>164</v>
      </c>
      <c r="C32" s="842">
        <v>28</v>
      </c>
      <c r="D32" s="843">
        <v>27</v>
      </c>
      <c r="E32" s="843">
        <v>2</v>
      </c>
      <c r="F32" s="843">
        <v>2</v>
      </c>
      <c r="G32" s="843">
        <v>10</v>
      </c>
      <c r="H32" s="843">
        <v>10</v>
      </c>
      <c r="I32" s="843">
        <v>4</v>
      </c>
      <c r="J32" s="859">
        <v>4</v>
      </c>
      <c r="K32" s="842">
        <v>9</v>
      </c>
      <c r="L32" s="859">
        <v>8</v>
      </c>
      <c r="M32" s="846">
        <v>3</v>
      </c>
      <c r="N32" s="844">
        <v>3</v>
      </c>
      <c r="O32" s="844" t="s">
        <v>28</v>
      </c>
      <c r="P32" s="844" t="s">
        <v>28</v>
      </c>
      <c r="Q32" s="844" t="s">
        <v>28</v>
      </c>
      <c r="R32" s="844" t="s">
        <v>28</v>
      </c>
      <c r="S32" s="844" t="s">
        <v>28</v>
      </c>
      <c r="T32" s="844" t="s">
        <v>28</v>
      </c>
      <c r="U32" s="844" t="s">
        <v>28</v>
      </c>
      <c r="V32" s="856" t="s">
        <v>28</v>
      </c>
    </row>
    <row r="33" spans="1:22" ht="9.1999999999999993" customHeight="1">
      <c r="A33" s="835" t="s">
        <v>29</v>
      </c>
      <c r="B33" s="836" t="s">
        <v>190</v>
      </c>
      <c r="C33" s="848">
        <v>28</v>
      </c>
      <c r="D33" s="849">
        <v>27</v>
      </c>
      <c r="E33" s="849">
        <v>2</v>
      </c>
      <c r="F33" s="849">
        <v>2</v>
      </c>
      <c r="G33" s="849">
        <v>10</v>
      </c>
      <c r="H33" s="849">
        <v>10</v>
      </c>
      <c r="I33" s="849">
        <v>4</v>
      </c>
      <c r="J33" s="860">
        <v>4</v>
      </c>
      <c r="K33" s="848">
        <v>9</v>
      </c>
      <c r="L33" s="860">
        <v>8</v>
      </c>
      <c r="M33" s="852">
        <v>3</v>
      </c>
      <c r="N33" s="850">
        <v>3</v>
      </c>
      <c r="O33" s="850" t="s">
        <v>28</v>
      </c>
      <c r="P33" s="850" t="s">
        <v>28</v>
      </c>
      <c r="Q33" s="850" t="s">
        <v>28</v>
      </c>
      <c r="R33" s="850" t="s">
        <v>28</v>
      </c>
      <c r="S33" s="850" t="s">
        <v>28</v>
      </c>
      <c r="T33" s="850" t="s">
        <v>28</v>
      </c>
      <c r="U33" s="850" t="s">
        <v>28</v>
      </c>
      <c r="V33" s="854" t="s">
        <v>28</v>
      </c>
    </row>
    <row r="34" spans="1:22" ht="9.1999999999999993" customHeight="1">
      <c r="A34" s="828" t="s">
        <v>168</v>
      </c>
      <c r="B34" s="829" t="s">
        <v>555</v>
      </c>
      <c r="C34" s="842">
        <v>115</v>
      </c>
      <c r="D34" s="843">
        <v>115</v>
      </c>
      <c r="E34" s="843">
        <v>35</v>
      </c>
      <c r="F34" s="843">
        <v>35</v>
      </c>
      <c r="G34" s="843">
        <v>24</v>
      </c>
      <c r="H34" s="843">
        <v>24</v>
      </c>
      <c r="I34" s="843">
        <v>10</v>
      </c>
      <c r="J34" s="859">
        <v>10</v>
      </c>
      <c r="K34" s="842">
        <v>18</v>
      </c>
      <c r="L34" s="859">
        <v>18</v>
      </c>
      <c r="M34" s="842">
        <v>21</v>
      </c>
      <c r="N34" s="843">
        <v>21</v>
      </c>
      <c r="O34" s="843">
        <v>4</v>
      </c>
      <c r="P34" s="843">
        <v>4</v>
      </c>
      <c r="Q34" s="843">
        <v>2</v>
      </c>
      <c r="R34" s="843">
        <v>2</v>
      </c>
      <c r="S34" s="843">
        <v>1</v>
      </c>
      <c r="T34" s="843">
        <v>1</v>
      </c>
      <c r="U34" s="844" t="s">
        <v>28</v>
      </c>
      <c r="V34" s="856" t="s">
        <v>28</v>
      </c>
    </row>
    <row r="35" spans="1:22" ht="9.1999999999999993" customHeight="1">
      <c r="A35" s="835" t="s">
        <v>29</v>
      </c>
      <c r="B35" s="836" t="s">
        <v>190</v>
      </c>
      <c r="C35" s="848">
        <v>112</v>
      </c>
      <c r="D35" s="849">
        <v>112</v>
      </c>
      <c r="E35" s="849">
        <v>34</v>
      </c>
      <c r="F35" s="849">
        <v>34</v>
      </c>
      <c r="G35" s="849">
        <v>24</v>
      </c>
      <c r="H35" s="849">
        <v>24</v>
      </c>
      <c r="I35" s="849">
        <v>9</v>
      </c>
      <c r="J35" s="860">
        <v>9</v>
      </c>
      <c r="K35" s="848">
        <v>17</v>
      </c>
      <c r="L35" s="860">
        <v>17</v>
      </c>
      <c r="M35" s="848">
        <v>21</v>
      </c>
      <c r="N35" s="849">
        <v>21</v>
      </c>
      <c r="O35" s="849">
        <v>4</v>
      </c>
      <c r="P35" s="849">
        <v>4</v>
      </c>
      <c r="Q35" s="849">
        <v>2</v>
      </c>
      <c r="R35" s="849">
        <v>2</v>
      </c>
      <c r="S35" s="849">
        <v>1</v>
      </c>
      <c r="T35" s="849">
        <v>1</v>
      </c>
      <c r="U35" s="850" t="s">
        <v>28</v>
      </c>
      <c r="V35" s="854" t="s">
        <v>28</v>
      </c>
    </row>
    <row r="36" spans="1:22" ht="9.1999999999999993" customHeight="1">
      <c r="A36" s="835" t="s">
        <v>31</v>
      </c>
      <c r="B36" s="836" t="s">
        <v>191</v>
      </c>
      <c r="C36" s="848">
        <v>3</v>
      </c>
      <c r="D36" s="849">
        <v>3</v>
      </c>
      <c r="E36" s="849">
        <v>1</v>
      </c>
      <c r="F36" s="849">
        <v>1</v>
      </c>
      <c r="G36" s="850" t="s">
        <v>28</v>
      </c>
      <c r="H36" s="850" t="s">
        <v>28</v>
      </c>
      <c r="I36" s="849">
        <v>1</v>
      </c>
      <c r="J36" s="860">
        <v>1</v>
      </c>
      <c r="K36" s="848">
        <v>1</v>
      </c>
      <c r="L36" s="860">
        <v>1</v>
      </c>
      <c r="M36" s="852" t="s">
        <v>28</v>
      </c>
      <c r="N36" s="850" t="s">
        <v>28</v>
      </c>
      <c r="O36" s="850" t="s">
        <v>28</v>
      </c>
      <c r="P36" s="850" t="s">
        <v>28</v>
      </c>
      <c r="Q36" s="850" t="s">
        <v>28</v>
      </c>
      <c r="R36" s="850" t="s">
        <v>28</v>
      </c>
      <c r="S36" s="850" t="s">
        <v>28</v>
      </c>
      <c r="T36" s="850" t="s">
        <v>28</v>
      </c>
      <c r="U36" s="850" t="s">
        <v>28</v>
      </c>
      <c r="V36" s="854" t="s">
        <v>28</v>
      </c>
    </row>
    <row r="37" spans="1:22" ht="9.1999999999999993" customHeight="1">
      <c r="A37" s="828" t="s">
        <v>169</v>
      </c>
      <c r="B37" s="829" t="s">
        <v>556</v>
      </c>
      <c r="C37" s="842">
        <v>36</v>
      </c>
      <c r="D37" s="843">
        <v>35</v>
      </c>
      <c r="E37" s="843">
        <v>11</v>
      </c>
      <c r="F37" s="843">
        <v>10</v>
      </c>
      <c r="G37" s="843">
        <v>7</v>
      </c>
      <c r="H37" s="843">
        <v>7</v>
      </c>
      <c r="I37" s="843">
        <v>4</v>
      </c>
      <c r="J37" s="859">
        <v>4</v>
      </c>
      <c r="K37" s="842">
        <v>12</v>
      </c>
      <c r="L37" s="859">
        <v>12</v>
      </c>
      <c r="M37" s="846" t="s">
        <v>28</v>
      </c>
      <c r="N37" s="844" t="s">
        <v>28</v>
      </c>
      <c r="O37" s="843">
        <v>2</v>
      </c>
      <c r="P37" s="843">
        <v>2</v>
      </c>
      <c r="Q37" s="844" t="s">
        <v>28</v>
      </c>
      <c r="R37" s="844" t="s">
        <v>28</v>
      </c>
      <c r="S37" s="844" t="s">
        <v>28</v>
      </c>
      <c r="T37" s="844" t="s">
        <v>28</v>
      </c>
      <c r="U37" s="844" t="s">
        <v>28</v>
      </c>
      <c r="V37" s="856" t="s">
        <v>28</v>
      </c>
    </row>
    <row r="38" spans="1:22" ht="9.1999999999999993" customHeight="1">
      <c r="A38" s="835" t="s">
        <v>29</v>
      </c>
      <c r="B38" s="836" t="s">
        <v>190</v>
      </c>
      <c r="C38" s="848">
        <v>36</v>
      </c>
      <c r="D38" s="849">
        <v>35</v>
      </c>
      <c r="E38" s="849">
        <v>11</v>
      </c>
      <c r="F38" s="849">
        <v>10</v>
      </c>
      <c r="G38" s="849">
        <v>7</v>
      </c>
      <c r="H38" s="849">
        <v>7</v>
      </c>
      <c r="I38" s="849">
        <v>4</v>
      </c>
      <c r="J38" s="860">
        <v>4</v>
      </c>
      <c r="K38" s="848">
        <v>12</v>
      </c>
      <c r="L38" s="860">
        <v>12</v>
      </c>
      <c r="M38" s="852" t="s">
        <v>28</v>
      </c>
      <c r="N38" s="850" t="s">
        <v>28</v>
      </c>
      <c r="O38" s="849">
        <v>2</v>
      </c>
      <c r="P38" s="849">
        <v>2</v>
      </c>
      <c r="Q38" s="850" t="s">
        <v>28</v>
      </c>
      <c r="R38" s="850" t="s">
        <v>28</v>
      </c>
      <c r="S38" s="850" t="s">
        <v>28</v>
      </c>
      <c r="T38" s="850" t="s">
        <v>28</v>
      </c>
      <c r="U38" s="850" t="s">
        <v>28</v>
      </c>
      <c r="V38" s="854" t="s">
        <v>28</v>
      </c>
    </row>
    <row r="39" spans="1:22" ht="9.1999999999999993" customHeight="1">
      <c r="A39" s="828" t="s">
        <v>174</v>
      </c>
      <c r="B39" s="829" t="s">
        <v>165</v>
      </c>
      <c r="C39" s="842">
        <v>1676</v>
      </c>
      <c r="D39" s="843">
        <v>1184</v>
      </c>
      <c r="E39" s="843">
        <v>602</v>
      </c>
      <c r="F39" s="843">
        <v>408</v>
      </c>
      <c r="G39" s="843">
        <v>406</v>
      </c>
      <c r="H39" s="843">
        <v>313</v>
      </c>
      <c r="I39" s="843">
        <v>348</v>
      </c>
      <c r="J39" s="859">
        <v>256</v>
      </c>
      <c r="K39" s="842">
        <v>175</v>
      </c>
      <c r="L39" s="859">
        <v>122</v>
      </c>
      <c r="M39" s="842">
        <v>69</v>
      </c>
      <c r="N39" s="843">
        <v>46</v>
      </c>
      <c r="O39" s="843">
        <v>14</v>
      </c>
      <c r="P39" s="843">
        <v>9</v>
      </c>
      <c r="Q39" s="843">
        <v>23</v>
      </c>
      <c r="R39" s="843">
        <v>11</v>
      </c>
      <c r="S39" s="843">
        <v>31</v>
      </c>
      <c r="T39" s="843">
        <v>15</v>
      </c>
      <c r="U39" s="844">
        <v>8</v>
      </c>
      <c r="V39" s="856">
        <v>4</v>
      </c>
    </row>
    <row r="40" spans="1:22" ht="9.1999999999999993" customHeight="1">
      <c r="A40" s="835" t="s">
        <v>29</v>
      </c>
      <c r="B40" s="836" t="s">
        <v>190</v>
      </c>
      <c r="C40" s="848">
        <v>1576</v>
      </c>
      <c r="D40" s="849">
        <v>1117</v>
      </c>
      <c r="E40" s="849">
        <v>559</v>
      </c>
      <c r="F40" s="849">
        <v>380</v>
      </c>
      <c r="G40" s="849">
        <v>386</v>
      </c>
      <c r="H40" s="849">
        <v>296</v>
      </c>
      <c r="I40" s="849">
        <v>325</v>
      </c>
      <c r="J40" s="860">
        <v>240</v>
      </c>
      <c r="K40" s="848">
        <v>168</v>
      </c>
      <c r="L40" s="860">
        <v>118</v>
      </c>
      <c r="M40" s="848">
        <v>66</v>
      </c>
      <c r="N40" s="849">
        <v>46</v>
      </c>
      <c r="O40" s="849">
        <v>12</v>
      </c>
      <c r="P40" s="849">
        <v>7</v>
      </c>
      <c r="Q40" s="849">
        <v>22</v>
      </c>
      <c r="R40" s="849">
        <v>11</v>
      </c>
      <c r="S40" s="849">
        <v>30</v>
      </c>
      <c r="T40" s="849">
        <v>15</v>
      </c>
      <c r="U40" s="850">
        <v>8</v>
      </c>
      <c r="V40" s="854">
        <v>4</v>
      </c>
    </row>
    <row r="41" spans="1:22" ht="9.1999999999999993" customHeight="1" thickBot="1">
      <c r="A41" s="1836" t="s">
        <v>31</v>
      </c>
      <c r="B41" s="861" t="s">
        <v>191</v>
      </c>
      <c r="C41" s="1837">
        <v>100</v>
      </c>
      <c r="D41" s="862">
        <v>67</v>
      </c>
      <c r="E41" s="862">
        <v>43</v>
      </c>
      <c r="F41" s="862">
        <v>28</v>
      </c>
      <c r="G41" s="862">
        <v>20</v>
      </c>
      <c r="H41" s="862">
        <v>17</v>
      </c>
      <c r="I41" s="862">
        <v>23</v>
      </c>
      <c r="J41" s="1838">
        <v>16</v>
      </c>
      <c r="K41" s="1837">
        <v>7</v>
      </c>
      <c r="L41" s="1838">
        <v>4</v>
      </c>
      <c r="M41" s="1837">
        <v>3</v>
      </c>
      <c r="N41" s="862" t="s">
        <v>28</v>
      </c>
      <c r="O41" s="862">
        <v>2</v>
      </c>
      <c r="P41" s="863">
        <v>2</v>
      </c>
      <c r="Q41" s="863">
        <v>1</v>
      </c>
      <c r="R41" s="863" t="s">
        <v>28</v>
      </c>
      <c r="S41" s="863">
        <v>1</v>
      </c>
      <c r="T41" s="863" t="s">
        <v>28</v>
      </c>
      <c r="U41" s="863" t="s">
        <v>28</v>
      </c>
      <c r="V41" s="1839" t="s">
        <v>28</v>
      </c>
    </row>
    <row r="42" spans="1:22" s="242" customFormat="1" ht="9.1999999999999993" customHeight="1" thickBot="1">
      <c r="A42" s="1336" t="s">
        <v>33</v>
      </c>
      <c r="B42" s="1336"/>
      <c r="C42" s="1336"/>
      <c r="D42" s="1336"/>
      <c r="E42" s="1336"/>
      <c r="F42" s="1336"/>
      <c r="G42" s="1336"/>
      <c r="H42" s="1336"/>
      <c r="I42" s="1336"/>
      <c r="J42" s="1336"/>
      <c r="K42" s="1336" t="s">
        <v>34</v>
      </c>
      <c r="L42" s="1336"/>
      <c r="M42" s="1336"/>
      <c r="N42" s="1336"/>
      <c r="O42" s="1336"/>
      <c r="P42" s="1336"/>
      <c r="Q42" s="1336"/>
      <c r="R42" s="1336"/>
      <c r="S42" s="1336"/>
      <c r="T42" s="1336"/>
      <c r="U42" s="1336"/>
      <c r="V42" s="1336"/>
    </row>
    <row r="43" spans="1:22" ht="9.1999999999999993" customHeight="1">
      <c r="A43" s="102" t="s">
        <v>35</v>
      </c>
      <c r="B43" s="170" t="s">
        <v>36</v>
      </c>
      <c r="C43" s="243">
        <v>1172</v>
      </c>
      <c r="D43" s="243">
        <v>788</v>
      </c>
      <c r="E43" s="243">
        <v>357</v>
      </c>
      <c r="F43" s="243">
        <v>237</v>
      </c>
      <c r="G43" s="243">
        <v>211</v>
      </c>
      <c r="H43" s="243">
        <v>149</v>
      </c>
      <c r="I43" s="243">
        <v>167</v>
      </c>
      <c r="J43" s="384">
        <v>126</v>
      </c>
      <c r="K43" s="385">
        <v>117</v>
      </c>
      <c r="L43" s="243">
        <v>85</v>
      </c>
      <c r="M43" s="243">
        <v>135</v>
      </c>
      <c r="N43" s="243">
        <v>92</v>
      </c>
      <c r="O43" s="243">
        <v>92</v>
      </c>
      <c r="P43" s="243">
        <v>52</v>
      </c>
      <c r="Q43" s="243">
        <v>68</v>
      </c>
      <c r="R43" s="243">
        <v>32</v>
      </c>
      <c r="S43" s="243">
        <v>24</v>
      </c>
      <c r="T43" s="243">
        <v>15</v>
      </c>
      <c r="U43" s="243">
        <v>1</v>
      </c>
      <c r="V43" s="245" t="s">
        <v>28</v>
      </c>
    </row>
    <row r="44" spans="1:22" ht="9.1999999999999993" customHeight="1">
      <c r="A44" s="246" t="s">
        <v>29</v>
      </c>
      <c r="B44" s="172" t="s">
        <v>190</v>
      </c>
      <c r="C44" s="247">
        <v>970</v>
      </c>
      <c r="D44" s="247">
        <v>693</v>
      </c>
      <c r="E44" s="247">
        <v>326</v>
      </c>
      <c r="F44" s="247">
        <v>220</v>
      </c>
      <c r="G44" s="247">
        <v>183</v>
      </c>
      <c r="H44" s="247">
        <v>128</v>
      </c>
      <c r="I44" s="247">
        <v>134</v>
      </c>
      <c r="J44" s="386">
        <v>104</v>
      </c>
      <c r="K44" s="387">
        <v>93</v>
      </c>
      <c r="L44" s="247">
        <v>71</v>
      </c>
      <c r="M44" s="248">
        <v>101</v>
      </c>
      <c r="N44" s="247">
        <v>84</v>
      </c>
      <c r="O44" s="247">
        <v>58</v>
      </c>
      <c r="P44" s="247">
        <v>42</v>
      </c>
      <c r="Q44" s="247">
        <v>53</v>
      </c>
      <c r="R44" s="247">
        <v>31</v>
      </c>
      <c r="S44" s="247">
        <v>21</v>
      </c>
      <c r="T44" s="247">
        <v>13</v>
      </c>
      <c r="U44" s="247">
        <v>1</v>
      </c>
      <c r="V44" s="254" t="s">
        <v>28</v>
      </c>
    </row>
    <row r="45" spans="1:22" ht="9.1999999999999993" customHeight="1">
      <c r="A45" s="246" t="s">
        <v>31</v>
      </c>
      <c r="B45" s="172" t="s">
        <v>191</v>
      </c>
      <c r="C45" s="247">
        <v>202</v>
      </c>
      <c r="D45" s="247">
        <v>95</v>
      </c>
      <c r="E45" s="247">
        <v>31</v>
      </c>
      <c r="F45" s="247">
        <v>17</v>
      </c>
      <c r="G45" s="247">
        <v>28</v>
      </c>
      <c r="H45" s="247">
        <v>21</v>
      </c>
      <c r="I45" s="247">
        <v>33</v>
      </c>
      <c r="J45" s="386">
        <v>22</v>
      </c>
      <c r="K45" s="387">
        <v>24</v>
      </c>
      <c r="L45" s="247">
        <v>14</v>
      </c>
      <c r="M45" s="248">
        <v>34</v>
      </c>
      <c r="N45" s="247">
        <v>8</v>
      </c>
      <c r="O45" s="247">
        <v>34</v>
      </c>
      <c r="P45" s="247">
        <v>10</v>
      </c>
      <c r="Q45" s="247">
        <v>15</v>
      </c>
      <c r="R45" s="247">
        <v>1</v>
      </c>
      <c r="S45" s="247">
        <v>3</v>
      </c>
      <c r="T45" s="247">
        <v>2</v>
      </c>
      <c r="U45" s="247" t="s">
        <v>28</v>
      </c>
      <c r="V45" s="254" t="s">
        <v>28</v>
      </c>
    </row>
    <row r="46" spans="1:22" ht="9.1999999999999993" customHeight="1">
      <c r="A46" s="102" t="s">
        <v>37</v>
      </c>
      <c r="B46" s="170" t="s">
        <v>38</v>
      </c>
      <c r="C46" s="243">
        <v>1446</v>
      </c>
      <c r="D46" s="243">
        <v>1133</v>
      </c>
      <c r="E46" s="243">
        <v>200</v>
      </c>
      <c r="F46" s="243">
        <v>124</v>
      </c>
      <c r="G46" s="243">
        <v>244</v>
      </c>
      <c r="H46" s="243">
        <v>182</v>
      </c>
      <c r="I46" s="243">
        <v>195</v>
      </c>
      <c r="J46" s="388">
        <v>154</v>
      </c>
      <c r="K46" s="389">
        <v>218</v>
      </c>
      <c r="L46" s="243">
        <v>186</v>
      </c>
      <c r="M46" s="243">
        <v>180</v>
      </c>
      <c r="N46" s="243">
        <v>151</v>
      </c>
      <c r="O46" s="243">
        <v>189</v>
      </c>
      <c r="P46" s="243">
        <v>160</v>
      </c>
      <c r="Q46" s="243">
        <v>155</v>
      </c>
      <c r="R46" s="243">
        <v>129</v>
      </c>
      <c r="S46" s="243">
        <v>64</v>
      </c>
      <c r="T46" s="243">
        <v>46</v>
      </c>
      <c r="U46" s="243">
        <v>1</v>
      </c>
      <c r="V46" s="245">
        <v>1</v>
      </c>
    </row>
    <row r="47" spans="1:22" ht="9.1999999999999993" customHeight="1">
      <c r="A47" s="246" t="s">
        <v>29</v>
      </c>
      <c r="B47" s="172" t="s">
        <v>190</v>
      </c>
      <c r="C47" s="247">
        <v>1446</v>
      </c>
      <c r="D47" s="247">
        <v>1133</v>
      </c>
      <c r="E47" s="247">
        <v>200</v>
      </c>
      <c r="F47" s="247">
        <v>124</v>
      </c>
      <c r="G47" s="247">
        <v>244</v>
      </c>
      <c r="H47" s="247">
        <v>182</v>
      </c>
      <c r="I47" s="247">
        <v>195</v>
      </c>
      <c r="J47" s="386">
        <v>154</v>
      </c>
      <c r="K47" s="387">
        <v>218</v>
      </c>
      <c r="L47" s="247">
        <v>186</v>
      </c>
      <c r="M47" s="248">
        <v>180</v>
      </c>
      <c r="N47" s="247">
        <v>151</v>
      </c>
      <c r="O47" s="247">
        <v>189</v>
      </c>
      <c r="P47" s="247">
        <v>160</v>
      </c>
      <c r="Q47" s="247">
        <v>155</v>
      </c>
      <c r="R47" s="247">
        <v>129</v>
      </c>
      <c r="S47" s="247">
        <v>64</v>
      </c>
      <c r="T47" s="247">
        <v>46</v>
      </c>
      <c r="U47" s="247">
        <v>1</v>
      </c>
      <c r="V47" s="254">
        <v>1</v>
      </c>
    </row>
    <row r="48" spans="1:22" ht="9.1999999999999993" customHeight="1">
      <c r="A48" s="102" t="s">
        <v>39</v>
      </c>
      <c r="B48" s="170" t="s">
        <v>40</v>
      </c>
      <c r="C48" s="243">
        <v>2021</v>
      </c>
      <c r="D48" s="243">
        <v>1546</v>
      </c>
      <c r="E48" s="243">
        <v>390</v>
      </c>
      <c r="F48" s="243">
        <v>261</v>
      </c>
      <c r="G48" s="243">
        <v>375</v>
      </c>
      <c r="H48" s="243">
        <v>289</v>
      </c>
      <c r="I48" s="243">
        <v>299</v>
      </c>
      <c r="J48" s="388">
        <v>235</v>
      </c>
      <c r="K48" s="389">
        <v>283</v>
      </c>
      <c r="L48" s="243">
        <v>247</v>
      </c>
      <c r="M48" s="243">
        <v>270</v>
      </c>
      <c r="N48" s="243">
        <v>229</v>
      </c>
      <c r="O48" s="243">
        <v>184</v>
      </c>
      <c r="P48" s="243">
        <v>134</v>
      </c>
      <c r="Q48" s="243">
        <v>150</v>
      </c>
      <c r="R48" s="243">
        <v>108</v>
      </c>
      <c r="S48" s="243">
        <v>66</v>
      </c>
      <c r="T48" s="243">
        <v>40</v>
      </c>
      <c r="U48" s="243">
        <v>4</v>
      </c>
      <c r="V48" s="245">
        <v>3</v>
      </c>
    </row>
    <row r="49" spans="1:22" ht="9.1999999999999993" customHeight="1">
      <c r="A49" s="246" t="s">
        <v>29</v>
      </c>
      <c r="B49" s="172" t="s">
        <v>190</v>
      </c>
      <c r="C49" s="247">
        <v>1950</v>
      </c>
      <c r="D49" s="247">
        <v>1501</v>
      </c>
      <c r="E49" s="247">
        <v>370</v>
      </c>
      <c r="F49" s="247">
        <v>243</v>
      </c>
      <c r="G49" s="247">
        <v>367</v>
      </c>
      <c r="H49" s="247">
        <v>285</v>
      </c>
      <c r="I49" s="247">
        <v>285</v>
      </c>
      <c r="J49" s="386">
        <v>227</v>
      </c>
      <c r="K49" s="387">
        <v>276</v>
      </c>
      <c r="L49" s="247">
        <v>242</v>
      </c>
      <c r="M49" s="248">
        <v>262</v>
      </c>
      <c r="N49" s="247">
        <v>224</v>
      </c>
      <c r="O49" s="247">
        <v>175</v>
      </c>
      <c r="P49" s="247">
        <v>131</v>
      </c>
      <c r="Q49" s="247">
        <v>146</v>
      </c>
      <c r="R49" s="247">
        <v>106</v>
      </c>
      <c r="S49" s="247">
        <v>65</v>
      </c>
      <c r="T49" s="247">
        <v>40</v>
      </c>
      <c r="U49" s="247">
        <v>4</v>
      </c>
      <c r="V49" s="254">
        <v>3</v>
      </c>
    </row>
    <row r="50" spans="1:22" ht="9.1999999999999993" customHeight="1">
      <c r="A50" s="246" t="s">
        <v>31</v>
      </c>
      <c r="B50" s="172" t="s">
        <v>191</v>
      </c>
      <c r="C50" s="247">
        <v>71</v>
      </c>
      <c r="D50" s="247">
        <v>45</v>
      </c>
      <c r="E50" s="247">
        <v>20</v>
      </c>
      <c r="F50" s="247">
        <v>18</v>
      </c>
      <c r="G50" s="247">
        <v>8</v>
      </c>
      <c r="H50" s="247">
        <v>4</v>
      </c>
      <c r="I50" s="247">
        <v>14</v>
      </c>
      <c r="J50" s="386">
        <v>8</v>
      </c>
      <c r="K50" s="387">
        <v>7</v>
      </c>
      <c r="L50" s="247">
        <v>5</v>
      </c>
      <c r="M50" s="248">
        <v>8</v>
      </c>
      <c r="N50" s="247">
        <v>5</v>
      </c>
      <c r="O50" s="247">
        <v>9</v>
      </c>
      <c r="P50" s="247">
        <v>3</v>
      </c>
      <c r="Q50" s="247">
        <v>4</v>
      </c>
      <c r="R50" s="247">
        <v>2</v>
      </c>
      <c r="S50" s="247">
        <v>1</v>
      </c>
      <c r="T50" s="247" t="s">
        <v>28</v>
      </c>
      <c r="U50" s="247" t="s">
        <v>28</v>
      </c>
      <c r="V50" s="254" t="s">
        <v>28</v>
      </c>
    </row>
    <row r="51" spans="1:22" ht="9.1999999999999993" customHeight="1">
      <c r="A51" s="102" t="s">
        <v>41</v>
      </c>
      <c r="B51" s="170" t="s">
        <v>42</v>
      </c>
      <c r="C51" s="243">
        <v>1376</v>
      </c>
      <c r="D51" s="243">
        <v>983</v>
      </c>
      <c r="E51" s="243">
        <v>436</v>
      </c>
      <c r="F51" s="243">
        <v>268</v>
      </c>
      <c r="G51" s="243">
        <v>248</v>
      </c>
      <c r="H51" s="243">
        <v>182</v>
      </c>
      <c r="I51" s="243">
        <v>207</v>
      </c>
      <c r="J51" s="388">
        <v>167</v>
      </c>
      <c r="K51" s="389">
        <v>165</v>
      </c>
      <c r="L51" s="243">
        <v>137</v>
      </c>
      <c r="M51" s="243">
        <v>134</v>
      </c>
      <c r="N51" s="243">
        <v>106</v>
      </c>
      <c r="O51" s="243">
        <v>90</v>
      </c>
      <c r="P51" s="243">
        <v>64</v>
      </c>
      <c r="Q51" s="243">
        <v>59</v>
      </c>
      <c r="R51" s="243">
        <v>36</v>
      </c>
      <c r="S51" s="243">
        <v>35</v>
      </c>
      <c r="T51" s="243">
        <v>22</v>
      </c>
      <c r="U51" s="243">
        <v>2</v>
      </c>
      <c r="V51" s="245">
        <v>1</v>
      </c>
    </row>
    <row r="52" spans="1:22" ht="9.1999999999999993" customHeight="1">
      <c r="A52" s="246" t="s">
        <v>29</v>
      </c>
      <c r="B52" s="172" t="s">
        <v>190</v>
      </c>
      <c r="C52" s="247">
        <v>1376</v>
      </c>
      <c r="D52" s="247">
        <v>983</v>
      </c>
      <c r="E52" s="247">
        <v>436</v>
      </c>
      <c r="F52" s="247">
        <v>268</v>
      </c>
      <c r="G52" s="247">
        <v>248</v>
      </c>
      <c r="H52" s="247">
        <v>182</v>
      </c>
      <c r="I52" s="247">
        <v>207</v>
      </c>
      <c r="J52" s="386">
        <v>167</v>
      </c>
      <c r="K52" s="387">
        <v>165</v>
      </c>
      <c r="L52" s="247">
        <v>137</v>
      </c>
      <c r="M52" s="248">
        <v>134</v>
      </c>
      <c r="N52" s="247">
        <v>106</v>
      </c>
      <c r="O52" s="247">
        <v>90</v>
      </c>
      <c r="P52" s="247">
        <v>64</v>
      </c>
      <c r="Q52" s="247">
        <v>59</v>
      </c>
      <c r="R52" s="247">
        <v>36</v>
      </c>
      <c r="S52" s="247">
        <v>35</v>
      </c>
      <c r="T52" s="247">
        <v>22</v>
      </c>
      <c r="U52" s="247">
        <v>2</v>
      </c>
      <c r="V52" s="254">
        <v>1</v>
      </c>
    </row>
    <row r="53" spans="1:22" ht="9.1999999999999993" customHeight="1">
      <c r="A53" s="102" t="s">
        <v>43</v>
      </c>
      <c r="B53" s="170" t="s">
        <v>44</v>
      </c>
      <c r="C53" s="243">
        <v>170</v>
      </c>
      <c r="D53" s="243">
        <v>91</v>
      </c>
      <c r="E53" s="243">
        <v>42</v>
      </c>
      <c r="F53" s="243">
        <v>22</v>
      </c>
      <c r="G53" s="243">
        <v>22</v>
      </c>
      <c r="H53" s="243">
        <v>17</v>
      </c>
      <c r="I53" s="243">
        <v>11</v>
      </c>
      <c r="J53" s="388">
        <v>9</v>
      </c>
      <c r="K53" s="389">
        <v>20</v>
      </c>
      <c r="L53" s="243">
        <v>10</v>
      </c>
      <c r="M53" s="243">
        <v>30</v>
      </c>
      <c r="N53" s="243">
        <v>14</v>
      </c>
      <c r="O53" s="243">
        <v>16</v>
      </c>
      <c r="P53" s="243">
        <v>8</v>
      </c>
      <c r="Q53" s="243">
        <v>21</v>
      </c>
      <c r="R53" s="243">
        <v>9</v>
      </c>
      <c r="S53" s="243">
        <v>7</v>
      </c>
      <c r="T53" s="243">
        <v>2</v>
      </c>
      <c r="U53" s="243">
        <v>1</v>
      </c>
      <c r="V53" s="245" t="s">
        <v>28</v>
      </c>
    </row>
    <row r="54" spans="1:22" ht="9.1999999999999993" customHeight="1">
      <c r="A54" s="246" t="s">
        <v>29</v>
      </c>
      <c r="B54" s="172" t="s">
        <v>190</v>
      </c>
      <c r="C54" s="247">
        <v>143</v>
      </c>
      <c r="D54" s="247">
        <v>79</v>
      </c>
      <c r="E54" s="247">
        <v>38</v>
      </c>
      <c r="F54" s="247">
        <v>20</v>
      </c>
      <c r="G54" s="247">
        <v>19</v>
      </c>
      <c r="H54" s="247">
        <v>14</v>
      </c>
      <c r="I54" s="247">
        <v>9</v>
      </c>
      <c r="J54" s="386">
        <v>7</v>
      </c>
      <c r="K54" s="387">
        <v>15</v>
      </c>
      <c r="L54" s="247">
        <v>9</v>
      </c>
      <c r="M54" s="248">
        <v>26</v>
      </c>
      <c r="N54" s="247">
        <v>14</v>
      </c>
      <c r="O54" s="247">
        <v>14</v>
      </c>
      <c r="P54" s="247">
        <v>7</v>
      </c>
      <c r="Q54" s="247">
        <v>15</v>
      </c>
      <c r="R54" s="247">
        <v>6</v>
      </c>
      <c r="S54" s="247">
        <v>6</v>
      </c>
      <c r="T54" s="247">
        <v>2</v>
      </c>
      <c r="U54" s="247">
        <v>1</v>
      </c>
      <c r="V54" s="254" t="s">
        <v>28</v>
      </c>
    </row>
    <row r="55" spans="1:22" ht="9.1999999999999993" customHeight="1" thickBot="1">
      <c r="A55" s="406" t="s">
        <v>31</v>
      </c>
      <c r="B55" s="174" t="s">
        <v>191</v>
      </c>
      <c r="C55" s="250">
        <v>27</v>
      </c>
      <c r="D55" s="250">
        <v>12</v>
      </c>
      <c r="E55" s="250">
        <v>4</v>
      </c>
      <c r="F55" s="250">
        <v>2</v>
      </c>
      <c r="G55" s="250">
        <v>3</v>
      </c>
      <c r="H55" s="250">
        <v>3</v>
      </c>
      <c r="I55" s="250">
        <v>2</v>
      </c>
      <c r="J55" s="390">
        <v>2</v>
      </c>
      <c r="K55" s="391">
        <v>5</v>
      </c>
      <c r="L55" s="250">
        <v>1</v>
      </c>
      <c r="M55" s="251">
        <v>4</v>
      </c>
      <c r="N55" s="250" t="s">
        <v>28</v>
      </c>
      <c r="O55" s="250">
        <v>2</v>
      </c>
      <c r="P55" s="250">
        <v>1</v>
      </c>
      <c r="Q55" s="250">
        <v>6</v>
      </c>
      <c r="R55" s="250">
        <v>3</v>
      </c>
      <c r="S55" s="250">
        <v>1</v>
      </c>
      <c r="T55" s="250" t="s">
        <v>28</v>
      </c>
      <c r="U55" s="250" t="s">
        <v>28</v>
      </c>
      <c r="V55" s="255" t="s">
        <v>28</v>
      </c>
    </row>
    <row r="56" spans="1:22" s="242" customFormat="1" ht="9.1999999999999993" customHeight="1" thickBot="1">
      <c r="A56" s="1330" t="s">
        <v>45</v>
      </c>
      <c r="B56" s="1330"/>
      <c r="C56" s="1330"/>
      <c r="D56" s="1330"/>
      <c r="E56" s="1330"/>
      <c r="F56" s="1330"/>
      <c r="G56" s="1330"/>
      <c r="H56" s="1330"/>
      <c r="I56" s="1330"/>
      <c r="J56" s="1330"/>
      <c r="K56" s="1330" t="s">
        <v>46</v>
      </c>
      <c r="L56" s="1330"/>
      <c r="M56" s="1330"/>
      <c r="N56" s="1330"/>
      <c r="O56" s="1330"/>
      <c r="P56" s="1330"/>
      <c r="Q56" s="1330"/>
      <c r="R56" s="1330"/>
      <c r="S56" s="1330"/>
      <c r="T56" s="1330"/>
      <c r="U56" s="1330"/>
      <c r="V56" s="1330"/>
    </row>
    <row r="57" spans="1:22" ht="9.1999999999999993" customHeight="1">
      <c r="A57" s="102" t="s">
        <v>47</v>
      </c>
      <c r="B57" s="170" t="s">
        <v>48</v>
      </c>
      <c r="C57" s="243">
        <v>439</v>
      </c>
      <c r="D57" s="243">
        <v>302</v>
      </c>
      <c r="E57" s="243">
        <v>147</v>
      </c>
      <c r="F57" s="243">
        <v>108</v>
      </c>
      <c r="G57" s="243">
        <v>75</v>
      </c>
      <c r="H57" s="243">
        <v>57</v>
      </c>
      <c r="I57" s="243">
        <v>59</v>
      </c>
      <c r="J57" s="393">
        <v>42</v>
      </c>
      <c r="K57" s="394">
        <v>42</v>
      </c>
      <c r="L57" s="243">
        <v>29</v>
      </c>
      <c r="M57" s="244">
        <v>57</v>
      </c>
      <c r="N57" s="243">
        <v>39</v>
      </c>
      <c r="O57" s="243">
        <v>30</v>
      </c>
      <c r="P57" s="243">
        <v>16</v>
      </c>
      <c r="Q57" s="243">
        <v>21</v>
      </c>
      <c r="R57" s="243">
        <v>7</v>
      </c>
      <c r="S57" s="243">
        <v>8</v>
      </c>
      <c r="T57" s="243">
        <v>4</v>
      </c>
      <c r="U57" s="243" t="s">
        <v>28</v>
      </c>
      <c r="V57" s="258" t="s">
        <v>28</v>
      </c>
    </row>
    <row r="58" spans="1:22" ht="9.1999999999999993" customHeight="1">
      <c r="A58" s="246" t="s">
        <v>29</v>
      </c>
      <c r="B58" s="172" t="s">
        <v>190</v>
      </c>
      <c r="C58" s="247">
        <v>354</v>
      </c>
      <c r="D58" s="247">
        <v>255</v>
      </c>
      <c r="E58" s="247">
        <v>138</v>
      </c>
      <c r="F58" s="247">
        <v>101</v>
      </c>
      <c r="G58" s="247">
        <v>64</v>
      </c>
      <c r="H58" s="247">
        <v>49</v>
      </c>
      <c r="I58" s="247">
        <v>47</v>
      </c>
      <c r="J58" s="382">
        <v>33</v>
      </c>
      <c r="K58" s="395">
        <v>28</v>
      </c>
      <c r="L58" s="247">
        <v>20</v>
      </c>
      <c r="M58" s="248">
        <v>40</v>
      </c>
      <c r="N58" s="247">
        <v>31</v>
      </c>
      <c r="O58" s="247">
        <v>15</v>
      </c>
      <c r="P58" s="247">
        <v>12</v>
      </c>
      <c r="Q58" s="247">
        <v>17</v>
      </c>
      <c r="R58" s="247">
        <v>7</v>
      </c>
      <c r="S58" s="247">
        <v>5</v>
      </c>
      <c r="T58" s="247">
        <v>2</v>
      </c>
      <c r="U58" s="247" t="s">
        <v>28</v>
      </c>
      <c r="V58" s="254" t="s">
        <v>28</v>
      </c>
    </row>
    <row r="59" spans="1:22" ht="9.1999999999999993" customHeight="1">
      <c r="A59" s="246" t="s">
        <v>31</v>
      </c>
      <c r="B59" s="172" t="s">
        <v>191</v>
      </c>
      <c r="C59" s="247">
        <v>85</v>
      </c>
      <c r="D59" s="247">
        <v>47</v>
      </c>
      <c r="E59" s="247">
        <v>9</v>
      </c>
      <c r="F59" s="247">
        <v>7</v>
      </c>
      <c r="G59" s="247">
        <v>11</v>
      </c>
      <c r="H59" s="247">
        <v>8</v>
      </c>
      <c r="I59" s="247">
        <v>12</v>
      </c>
      <c r="J59" s="382">
        <v>9</v>
      </c>
      <c r="K59" s="395">
        <v>14</v>
      </c>
      <c r="L59" s="247">
        <v>9</v>
      </c>
      <c r="M59" s="248">
        <v>17</v>
      </c>
      <c r="N59" s="247">
        <v>8</v>
      </c>
      <c r="O59" s="247">
        <v>15</v>
      </c>
      <c r="P59" s="247">
        <v>4</v>
      </c>
      <c r="Q59" s="247">
        <v>4</v>
      </c>
      <c r="R59" s="247" t="s">
        <v>28</v>
      </c>
      <c r="S59" s="247">
        <v>3</v>
      </c>
      <c r="T59" s="247">
        <v>2</v>
      </c>
      <c r="U59" s="247" t="s">
        <v>28</v>
      </c>
      <c r="V59" s="254" t="s">
        <v>28</v>
      </c>
    </row>
    <row r="60" spans="1:22" ht="9.1999999999999993" customHeight="1">
      <c r="A60" s="102" t="s">
        <v>49</v>
      </c>
      <c r="B60" s="170" t="s">
        <v>50</v>
      </c>
      <c r="C60" s="243">
        <v>104</v>
      </c>
      <c r="D60" s="243">
        <v>51</v>
      </c>
      <c r="E60" s="243">
        <v>19</v>
      </c>
      <c r="F60" s="243">
        <v>10</v>
      </c>
      <c r="G60" s="243">
        <v>9</v>
      </c>
      <c r="H60" s="243">
        <v>6</v>
      </c>
      <c r="I60" s="243">
        <v>20</v>
      </c>
      <c r="J60" s="396">
        <v>14</v>
      </c>
      <c r="K60" s="397">
        <v>12</v>
      </c>
      <c r="L60" s="243">
        <v>7</v>
      </c>
      <c r="M60" s="244">
        <v>14</v>
      </c>
      <c r="N60" s="243">
        <v>4</v>
      </c>
      <c r="O60" s="243">
        <v>16</v>
      </c>
      <c r="P60" s="243">
        <v>4</v>
      </c>
      <c r="Q60" s="243">
        <v>12</v>
      </c>
      <c r="R60" s="243">
        <v>4</v>
      </c>
      <c r="S60" s="243">
        <v>2</v>
      </c>
      <c r="T60" s="243">
        <v>2</v>
      </c>
      <c r="U60" s="243" t="s">
        <v>28</v>
      </c>
      <c r="V60" s="253" t="s">
        <v>28</v>
      </c>
    </row>
    <row r="61" spans="1:22" ht="9.1999999999999993" customHeight="1">
      <c r="A61" s="246" t="s">
        <v>29</v>
      </c>
      <c r="B61" s="172" t="s">
        <v>190</v>
      </c>
      <c r="C61" s="247">
        <v>35</v>
      </c>
      <c r="D61" s="247">
        <v>28</v>
      </c>
      <c r="E61" s="247">
        <v>12</v>
      </c>
      <c r="F61" s="247">
        <v>8</v>
      </c>
      <c r="G61" s="247">
        <v>4</v>
      </c>
      <c r="H61" s="247">
        <v>3</v>
      </c>
      <c r="I61" s="247">
        <v>5</v>
      </c>
      <c r="J61" s="382">
        <v>5</v>
      </c>
      <c r="K61" s="395">
        <v>4</v>
      </c>
      <c r="L61" s="247">
        <v>3</v>
      </c>
      <c r="M61" s="248">
        <v>4</v>
      </c>
      <c r="N61" s="247">
        <v>4</v>
      </c>
      <c r="O61" s="247" t="s">
        <v>28</v>
      </c>
      <c r="P61" s="247" t="s">
        <v>28</v>
      </c>
      <c r="Q61" s="247">
        <v>4</v>
      </c>
      <c r="R61" s="247">
        <v>3</v>
      </c>
      <c r="S61" s="247">
        <v>2</v>
      </c>
      <c r="T61" s="247">
        <v>2</v>
      </c>
      <c r="U61" s="247" t="s">
        <v>28</v>
      </c>
      <c r="V61" s="254" t="s">
        <v>28</v>
      </c>
    </row>
    <row r="62" spans="1:22" ht="9.1999999999999993" customHeight="1">
      <c r="A62" s="246" t="s">
        <v>31</v>
      </c>
      <c r="B62" s="172" t="s">
        <v>191</v>
      </c>
      <c r="C62" s="247">
        <v>69</v>
      </c>
      <c r="D62" s="247">
        <v>23</v>
      </c>
      <c r="E62" s="247">
        <v>7</v>
      </c>
      <c r="F62" s="247">
        <v>2</v>
      </c>
      <c r="G62" s="247">
        <v>5</v>
      </c>
      <c r="H62" s="247">
        <v>3</v>
      </c>
      <c r="I62" s="247">
        <v>15</v>
      </c>
      <c r="J62" s="382">
        <v>9</v>
      </c>
      <c r="K62" s="395">
        <v>8</v>
      </c>
      <c r="L62" s="247">
        <v>4</v>
      </c>
      <c r="M62" s="248">
        <v>10</v>
      </c>
      <c r="N62" s="247" t="s">
        <v>28</v>
      </c>
      <c r="O62" s="247">
        <v>16</v>
      </c>
      <c r="P62" s="247">
        <v>4</v>
      </c>
      <c r="Q62" s="247">
        <v>8</v>
      </c>
      <c r="R62" s="247">
        <v>1</v>
      </c>
      <c r="S62" s="247" t="s">
        <v>28</v>
      </c>
      <c r="T62" s="247" t="s">
        <v>28</v>
      </c>
      <c r="U62" s="247" t="s">
        <v>28</v>
      </c>
      <c r="V62" s="254" t="s">
        <v>28</v>
      </c>
    </row>
    <row r="63" spans="1:22" ht="9.1999999999999993" customHeight="1">
      <c r="A63" s="102" t="s">
        <v>963</v>
      </c>
      <c r="B63" s="170" t="s">
        <v>964</v>
      </c>
      <c r="C63" s="243">
        <v>579</v>
      </c>
      <c r="D63" s="243">
        <v>403</v>
      </c>
      <c r="E63" s="243">
        <v>160</v>
      </c>
      <c r="F63" s="243">
        <v>98</v>
      </c>
      <c r="G63" s="243">
        <v>124</v>
      </c>
      <c r="H63" s="243">
        <v>85</v>
      </c>
      <c r="I63" s="243">
        <v>87</v>
      </c>
      <c r="J63" s="396">
        <v>69</v>
      </c>
      <c r="K63" s="397">
        <v>59</v>
      </c>
      <c r="L63" s="243">
        <v>48</v>
      </c>
      <c r="M63" s="244">
        <v>62</v>
      </c>
      <c r="N63" s="243">
        <v>49</v>
      </c>
      <c r="O63" s="243">
        <v>42</v>
      </c>
      <c r="P63" s="243">
        <v>29</v>
      </c>
      <c r="Q63" s="243">
        <v>31</v>
      </c>
      <c r="R63" s="243">
        <v>17</v>
      </c>
      <c r="S63" s="243">
        <v>13</v>
      </c>
      <c r="T63" s="243">
        <v>8</v>
      </c>
      <c r="U63" s="243">
        <v>1</v>
      </c>
      <c r="V63" s="253" t="s">
        <v>28</v>
      </c>
    </row>
    <row r="64" spans="1:22" ht="9.1999999999999993" customHeight="1">
      <c r="A64" s="246" t="s">
        <v>29</v>
      </c>
      <c r="B64" s="172" t="s">
        <v>190</v>
      </c>
      <c r="C64" s="247">
        <v>531</v>
      </c>
      <c r="D64" s="247">
        <v>378</v>
      </c>
      <c r="E64" s="247">
        <v>145</v>
      </c>
      <c r="F64" s="247">
        <v>90</v>
      </c>
      <c r="G64" s="247">
        <v>112</v>
      </c>
      <c r="H64" s="247">
        <v>75</v>
      </c>
      <c r="I64" s="247">
        <v>81</v>
      </c>
      <c r="J64" s="382">
        <v>65</v>
      </c>
      <c r="K64" s="395">
        <v>57</v>
      </c>
      <c r="L64" s="247">
        <v>47</v>
      </c>
      <c r="M64" s="248">
        <v>55</v>
      </c>
      <c r="N64" s="247">
        <v>49</v>
      </c>
      <c r="O64" s="247">
        <v>39</v>
      </c>
      <c r="P64" s="247">
        <v>27</v>
      </c>
      <c r="Q64" s="247">
        <v>28</v>
      </c>
      <c r="R64" s="247">
        <v>17</v>
      </c>
      <c r="S64" s="247">
        <v>13</v>
      </c>
      <c r="T64" s="247">
        <v>8</v>
      </c>
      <c r="U64" s="247">
        <v>1</v>
      </c>
      <c r="V64" s="254" t="s">
        <v>28</v>
      </c>
    </row>
    <row r="65" spans="1:22" ht="9.1999999999999993" customHeight="1">
      <c r="A65" s="246" t="s">
        <v>31</v>
      </c>
      <c r="B65" s="172" t="s">
        <v>191</v>
      </c>
      <c r="C65" s="247">
        <v>48</v>
      </c>
      <c r="D65" s="247">
        <v>25</v>
      </c>
      <c r="E65" s="247">
        <v>15</v>
      </c>
      <c r="F65" s="247">
        <v>8</v>
      </c>
      <c r="G65" s="247">
        <v>12</v>
      </c>
      <c r="H65" s="247">
        <v>10</v>
      </c>
      <c r="I65" s="247">
        <v>6</v>
      </c>
      <c r="J65" s="382">
        <v>4</v>
      </c>
      <c r="K65" s="395">
        <v>2</v>
      </c>
      <c r="L65" s="247">
        <v>1</v>
      </c>
      <c r="M65" s="248">
        <v>7</v>
      </c>
      <c r="N65" s="247" t="s">
        <v>28</v>
      </c>
      <c r="O65" s="247">
        <v>3</v>
      </c>
      <c r="P65" s="247">
        <v>2</v>
      </c>
      <c r="Q65" s="247">
        <v>3</v>
      </c>
      <c r="R65" s="247" t="s">
        <v>28</v>
      </c>
      <c r="S65" s="247" t="s">
        <v>28</v>
      </c>
      <c r="T65" s="247" t="s">
        <v>28</v>
      </c>
      <c r="U65" s="247" t="s">
        <v>28</v>
      </c>
      <c r="V65" s="254" t="s">
        <v>28</v>
      </c>
    </row>
    <row r="66" spans="1:22" ht="9.1999999999999993" customHeight="1">
      <c r="A66" s="102" t="s">
        <v>51</v>
      </c>
      <c r="B66" s="170" t="s">
        <v>52</v>
      </c>
      <c r="C66" s="243">
        <v>984</v>
      </c>
      <c r="D66" s="243">
        <v>750</v>
      </c>
      <c r="E66" s="243">
        <v>197</v>
      </c>
      <c r="F66" s="243">
        <v>132</v>
      </c>
      <c r="G66" s="243">
        <v>173</v>
      </c>
      <c r="H66" s="243">
        <v>139</v>
      </c>
      <c r="I66" s="243">
        <v>145</v>
      </c>
      <c r="J66" s="396">
        <v>120</v>
      </c>
      <c r="K66" s="397">
        <v>143</v>
      </c>
      <c r="L66" s="243">
        <v>124</v>
      </c>
      <c r="M66" s="244">
        <v>142</v>
      </c>
      <c r="N66" s="243">
        <v>120</v>
      </c>
      <c r="O66" s="243">
        <v>90</v>
      </c>
      <c r="P66" s="243">
        <v>60</v>
      </c>
      <c r="Q66" s="243">
        <v>63</v>
      </c>
      <c r="R66" s="243">
        <v>41</v>
      </c>
      <c r="S66" s="243">
        <v>29</v>
      </c>
      <c r="T66" s="243">
        <v>13</v>
      </c>
      <c r="U66" s="243">
        <v>2</v>
      </c>
      <c r="V66" s="253">
        <v>1</v>
      </c>
    </row>
    <row r="67" spans="1:22" ht="9.1999999999999993" customHeight="1">
      <c r="A67" s="246" t="s">
        <v>29</v>
      </c>
      <c r="B67" s="172" t="s">
        <v>190</v>
      </c>
      <c r="C67" s="247">
        <v>938</v>
      </c>
      <c r="D67" s="247">
        <v>722</v>
      </c>
      <c r="E67" s="247">
        <v>186</v>
      </c>
      <c r="F67" s="247">
        <v>121</v>
      </c>
      <c r="G67" s="247">
        <v>166</v>
      </c>
      <c r="H67" s="247">
        <v>136</v>
      </c>
      <c r="I67" s="247">
        <v>135</v>
      </c>
      <c r="J67" s="382">
        <v>114</v>
      </c>
      <c r="K67" s="395">
        <v>139</v>
      </c>
      <c r="L67" s="247">
        <v>121</v>
      </c>
      <c r="M67" s="248">
        <v>139</v>
      </c>
      <c r="N67" s="247">
        <v>118</v>
      </c>
      <c r="O67" s="247">
        <v>82</v>
      </c>
      <c r="P67" s="247">
        <v>58</v>
      </c>
      <c r="Q67" s="247">
        <v>60</v>
      </c>
      <c r="R67" s="247">
        <v>40</v>
      </c>
      <c r="S67" s="247">
        <v>29</v>
      </c>
      <c r="T67" s="247">
        <v>13</v>
      </c>
      <c r="U67" s="247">
        <v>2</v>
      </c>
      <c r="V67" s="254">
        <v>1</v>
      </c>
    </row>
    <row r="68" spans="1:22" ht="9.1999999999999993" customHeight="1">
      <c r="A68" s="246" t="s">
        <v>31</v>
      </c>
      <c r="B68" s="172" t="s">
        <v>191</v>
      </c>
      <c r="C68" s="247">
        <v>46</v>
      </c>
      <c r="D68" s="247">
        <v>28</v>
      </c>
      <c r="E68" s="247">
        <v>11</v>
      </c>
      <c r="F68" s="247">
        <v>11</v>
      </c>
      <c r="G68" s="247">
        <v>7</v>
      </c>
      <c r="H68" s="247">
        <v>3</v>
      </c>
      <c r="I68" s="247">
        <v>10</v>
      </c>
      <c r="J68" s="382">
        <v>6</v>
      </c>
      <c r="K68" s="395">
        <v>4</v>
      </c>
      <c r="L68" s="247">
        <v>3</v>
      </c>
      <c r="M68" s="248">
        <v>3</v>
      </c>
      <c r="N68" s="247">
        <v>2</v>
      </c>
      <c r="O68" s="247">
        <v>8</v>
      </c>
      <c r="P68" s="247">
        <v>2</v>
      </c>
      <c r="Q68" s="247">
        <v>3</v>
      </c>
      <c r="R68" s="247">
        <v>1</v>
      </c>
      <c r="S68" s="247" t="s">
        <v>28</v>
      </c>
      <c r="T68" s="247" t="s">
        <v>28</v>
      </c>
      <c r="U68" s="247" t="s">
        <v>28</v>
      </c>
      <c r="V68" s="254" t="s">
        <v>28</v>
      </c>
    </row>
    <row r="69" spans="1:22" ht="9.1999999999999993" customHeight="1">
      <c r="A69" s="102" t="s">
        <v>53</v>
      </c>
      <c r="B69" s="170" t="s">
        <v>54</v>
      </c>
      <c r="C69" s="243">
        <v>1037</v>
      </c>
      <c r="D69" s="243">
        <v>796</v>
      </c>
      <c r="E69" s="243">
        <v>193</v>
      </c>
      <c r="F69" s="243">
        <v>129</v>
      </c>
      <c r="G69" s="243">
        <v>202</v>
      </c>
      <c r="H69" s="243">
        <v>150</v>
      </c>
      <c r="I69" s="243">
        <v>154</v>
      </c>
      <c r="J69" s="396">
        <v>115</v>
      </c>
      <c r="K69" s="397">
        <v>140</v>
      </c>
      <c r="L69" s="243">
        <v>123</v>
      </c>
      <c r="M69" s="244">
        <v>128</v>
      </c>
      <c r="N69" s="243">
        <v>109</v>
      </c>
      <c r="O69" s="243">
        <v>94</v>
      </c>
      <c r="P69" s="243">
        <v>74</v>
      </c>
      <c r="Q69" s="243">
        <v>87</v>
      </c>
      <c r="R69" s="243">
        <v>67</v>
      </c>
      <c r="S69" s="243">
        <v>37</v>
      </c>
      <c r="T69" s="243">
        <v>27</v>
      </c>
      <c r="U69" s="243">
        <v>2</v>
      </c>
      <c r="V69" s="253">
        <v>2</v>
      </c>
    </row>
    <row r="70" spans="1:22" ht="9.1999999999999993" customHeight="1">
      <c r="A70" s="246" t="s">
        <v>29</v>
      </c>
      <c r="B70" s="172" t="s">
        <v>190</v>
      </c>
      <c r="C70" s="247">
        <v>1012</v>
      </c>
      <c r="D70" s="247">
        <v>779</v>
      </c>
      <c r="E70" s="247">
        <v>184</v>
      </c>
      <c r="F70" s="247">
        <v>122</v>
      </c>
      <c r="G70" s="247">
        <v>201</v>
      </c>
      <c r="H70" s="247">
        <v>149</v>
      </c>
      <c r="I70" s="247">
        <v>150</v>
      </c>
      <c r="J70" s="382">
        <v>113</v>
      </c>
      <c r="K70" s="395">
        <v>137</v>
      </c>
      <c r="L70" s="247">
        <v>121</v>
      </c>
      <c r="M70" s="248">
        <v>123</v>
      </c>
      <c r="N70" s="247">
        <v>106</v>
      </c>
      <c r="O70" s="247">
        <v>93</v>
      </c>
      <c r="P70" s="247">
        <v>73</v>
      </c>
      <c r="Q70" s="247">
        <v>86</v>
      </c>
      <c r="R70" s="247">
        <v>66</v>
      </c>
      <c r="S70" s="247">
        <v>36</v>
      </c>
      <c r="T70" s="247">
        <v>27</v>
      </c>
      <c r="U70" s="247">
        <v>2</v>
      </c>
      <c r="V70" s="254">
        <v>2</v>
      </c>
    </row>
    <row r="71" spans="1:22" ht="9.1999999999999993" customHeight="1">
      <c r="A71" s="246" t="s">
        <v>31</v>
      </c>
      <c r="B71" s="172" t="s">
        <v>191</v>
      </c>
      <c r="C71" s="247">
        <v>25</v>
      </c>
      <c r="D71" s="247">
        <v>17</v>
      </c>
      <c r="E71" s="247">
        <v>9</v>
      </c>
      <c r="F71" s="247">
        <v>7</v>
      </c>
      <c r="G71" s="247">
        <v>1</v>
      </c>
      <c r="H71" s="247">
        <v>1</v>
      </c>
      <c r="I71" s="247">
        <v>4</v>
      </c>
      <c r="J71" s="382">
        <v>2</v>
      </c>
      <c r="K71" s="395">
        <v>3</v>
      </c>
      <c r="L71" s="247">
        <v>2</v>
      </c>
      <c r="M71" s="248">
        <v>5</v>
      </c>
      <c r="N71" s="247">
        <v>3</v>
      </c>
      <c r="O71" s="247">
        <v>1</v>
      </c>
      <c r="P71" s="247">
        <v>1</v>
      </c>
      <c r="Q71" s="247">
        <v>1</v>
      </c>
      <c r="R71" s="247">
        <v>1</v>
      </c>
      <c r="S71" s="247">
        <v>1</v>
      </c>
      <c r="T71" s="247" t="s">
        <v>28</v>
      </c>
      <c r="U71" s="247" t="s">
        <v>28</v>
      </c>
      <c r="V71" s="254" t="s">
        <v>28</v>
      </c>
    </row>
    <row r="72" spans="1:22" ht="9.1999999999999993" customHeight="1">
      <c r="A72" s="102" t="s">
        <v>55</v>
      </c>
      <c r="B72" s="170" t="s">
        <v>56</v>
      </c>
      <c r="C72" s="243">
        <v>907</v>
      </c>
      <c r="D72" s="243">
        <v>708</v>
      </c>
      <c r="E72" s="243">
        <v>129</v>
      </c>
      <c r="F72" s="243">
        <v>79</v>
      </c>
      <c r="G72" s="243">
        <v>150</v>
      </c>
      <c r="H72" s="243">
        <v>110</v>
      </c>
      <c r="I72" s="243">
        <v>108</v>
      </c>
      <c r="J72" s="396">
        <v>84</v>
      </c>
      <c r="K72" s="397">
        <v>123</v>
      </c>
      <c r="L72" s="243">
        <v>102</v>
      </c>
      <c r="M72" s="244">
        <v>115</v>
      </c>
      <c r="N72" s="243">
        <v>99</v>
      </c>
      <c r="O72" s="243">
        <v>131</v>
      </c>
      <c r="P72" s="243">
        <v>112</v>
      </c>
      <c r="Q72" s="243">
        <v>109</v>
      </c>
      <c r="R72" s="243">
        <v>92</v>
      </c>
      <c r="S72" s="243">
        <v>41</v>
      </c>
      <c r="T72" s="243">
        <v>29</v>
      </c>
      <c r="U72" s="243">
        <v>1</v>
      </c>
      <c r="V72" s="253">
        <v>1</v>
      </c>
    </row>
    <row r="73" spans="1:22" ht="9.1999999999999993" customHeight="1">
      <c r="A73" s="246" t="s">
        <v>29</v>
      </c>
      <c r="B73" s="172" t="s">
        <v>190</v>
      </c>
      <c r="C73" s="247">
        <v>907</v>
      </c>
      <c r="D73" s="247">
        <v>708</v>
      </c>
      <c r="E73" s="247">
        <v>129</v>
      </c>
      <c r="F73" s="247">
        <v>79</v>
      </c>
      <c r="G73" s="247">
        <v>150</v>
      </c>
      <c r="H73" s="247">
        <v>110</v>
      </c>
      <c r="I73" s="247">
        <v>108</v>
      </c>
      <c r="J73" s="382">
        <v>84</v>
      </c>
      <c r="K73" s="395">
        <v>123</v>
      </c>
      <c r="L73" s="247">
        <v>102</v>
      </c>
      <c r="M73" s="248">
        <v>115</v>
      </c>
      <c r="N73" s="247">
        <v>99</v>
      </c>
      <c r="O73" s="247">
        <v>131</v>
      </c>
      <c r="P73" s="247">
        <v>112</v>
      </c>
      <c r="Q73" s="247">
        <v>109</v>
      </c>
      <c r="R73" s="247">
        <v>92</v>
      </c>
      <c r="S73" s="247">
        <v>41</v>
      </c>
      <c r="T73" s="247">
        <v>29</v>
      </c>
      <c r="U73" s="247">
        <v>1</v>
      </c>
      <c r="V73" s="254">
        <v>1</v>
      </c>
    </row>
    <row r="74" spans="1:22" ht="9.1999999999999993" customHeight="1">
      <c r="A74" s="102" t="s">
        <v>57</v>
      </c>
      <c r="B74" s="170" t="s">
        <v>58</v>
      </c>
      <c r="C74" s="243">
        <v>539</v>
      </c>
      <c r="D74" s="243">
        <v>425</v>
      </c>
      <c r="E74" s="243">
        <v>71</v>
      </c>
      <c r="F74" s="243">
        <v>45</v>
      </c>
      <c r="G74" s="243">
        <v>94</v>
      </c>
      <c r="H74" s="243">
        <v>72</v>
      </c>
      <c r="I74" s="243">
        <v>87</v>
      </c>
      <c r="J74" s="396">
        <v>70</v>
      </c>
      <c r="K74" s="397">
        <v>95</v>
      </c>
      <c r="L74" s="243">
        <v>84</v>
      </c>
      <c r="M74" s="244">
        <v>65</v>
      </c>
      <c r="N74" s="243">
        <v>52</v>
      </c>
      <c r="O74" s="243">
        <v>58</v>
      </c>
      <c r="P74" s="243">
        <v>48</v>
      </c>
      <c r="Q74" s="243">
        <v>46</v>
      </c>
      <c r="R74" s="243">
        <v>37</v>
      </c>
      <c r="S74" s="243">
        <v>23</v>
      </c>
      <c r="T74" s="243">
        <v>17</v>
      </c>
      <c r="U74" s="243" t="s">
        <v>28</v>
      </c>
      <c r="V74" s="253" t="s">
        <v>28</v>
      </c>
    </row>
    <row r="75" spans="1:22" ht="9.1999999999999993" customHeight="1">
      <c r="A75" s="246" t="s">
        <v>29</v>
      </c>
      <c r="B75" s="172" t="s">
        <v>190</v>
      </c>
      <c r="C75" s="247">
        <v>539</v>
      </c>
      <c r="D75" s="247">
        <v>425</v>
      </c>
      <c r="E75" s="247">
        <v>71</v>
      </c>
      <c r="F75" s="247">
        <v>45</v>
      </c>
      <c r="G75" s="247">
        <v>94</v>
      </c>
      <c r="H75" s="247">
        <v>72</v>
      </c>
      <c r="I75" s="247">
        <v>87</v>
      </c>
      <c r="J75" s="382">
        <v>70</v>
      </c>
      <c r="K75" s="395">
        <v>95</v>
      </c>
      <c r="L75" s="247">
        <v>84</v>
      </c>
      <c r="M75" s="248">
        <v>65</v>
      </c>
      <c r="N75" s="247">
        <v>52</v>
      </c>
      <c r="O75" s="247">
        <v>58</v>
      </c>
      <c r="P75" s="247">
        <v>48</v>
      </c>
      <c r="Q75" s="247">
        <v>46</v>
      </c>
      <c r="R75" s="247">
        <v>37</v>
      </c>
      <c r="S75" s="247">
        <v>23</v>
      </c>
      <c r="T75" s="247">
        <v>17</v>
      </c>
      <c r="U75" s="247" t="s">
        <v>28</v>
      </c>
      <c r="V75" s="254" t="s">
        <v>28</v>
      </c>
    </row>
    <row r="76" spans="1:22" ht="9.1999999999999993" customHeight="1">
      <c r="A76" s="102" t="s">
        <v>59</v>
      </c>
      <c r="B76" s="170" t="s">
        <v>60</v>
      </c>
      <c r="C76" s="243">
        <v>1376</v>
      </c>
      <c r="D76" s="243">
        <v>983</v>
      </c>
      <c r="E76" s="243">
        <v>436</v>
      </c>
      <c r="F76" s="243">
        <v>268</v>
      </c>
      <c r="G76" s="243">
        <v>248</v>
      </c>
      <c r="H76" s="243">
        <v>182</v>
      </c>
      <c r="I76" s="243">
        <v>207</v>
      </c>
      <c r="J76" s="396">
        <v>167</v>
      </c>
      <c r="K76" s="397">
        <v>165</v>
      </c>
      <c r="L76" s="243">
        <v>137</v>
      </c>
      <c r="M76" s="244">
        <v>134</v>
      </c>
      <c r="N76" s="243">
        <v>106</v>
      </c>
      <c r="O76" s="243">
        <v>90</v>
      </c>
      <c r="P76" s="243">
        <v>64</v>
      </c>
      <c r="Q76" s="243">
        <v>59</v>
      </c>
      <c r="R76" s="243">
        <v>36</v>
      </c>
      <c r="S76" s="243">
        <v>35</v>
      </c>
      <c r="T76" s="243">
        <v>22</v>
      </c>
      <c r="U76" s="243">
        <v>2</v>
      </c>
      <c r="V76" s="253">
        <v>1</v>
      </c>
    </row>
    <row r="77" spans="1:22" ht="9.1999999999999993" customHeight="1">
      <c r="A77" s="246" t="s">
        <v>29</v>
      </c>
      <c r="B77" s="172" t="s">
        <v>190</v>
      </c>
      <c r="C77" s="247">
        <v>1376</v>
      </c>
      <c r="D77" s="247">
        <v>983</v>
      </c>
      <c r="E77" s="247">
        <v>436</v>
      </c>
      <c r="F77" s="247">
        <v>268</v>
      </c>
      <c r="G77" s="247">
        <v>248</v>
      </c>
      <c r="H77" s="247">
        <v>182</v>
      </c>
      <c r="I77" s="247">
        <v>207</v>
      </c>
      <c r="J77" s="382">
        <v>167</v>
      </c>
      <c r="K77" s="395">
        <v>165</v>
      </c>
      <c r="L77" s="247">
        <v>137</v>
      </c>
      <c r="M77" s="248">
        <v>134</v>
      </c>
      <c r="N77" s="247">
        <v>106</v>
      </c>
      <c r="O77" s="247">
        <v>90</v>
      </c>
      <c r="P77" s="247">
        <v>64</v>
      </c>
      <c r="Q77" s="247">
        <v>59</v>
      </c>
      <c r="R77" s="247">
        <v>36</v>
      </c>
      <c r="S77" s="247">
        <v>35</v>
      </c>
      <c r="T77" s="247">
        <v>22</v>
      </c>
      <c r="U77" s="247">
        <v>2</v>
      </c>
      <c r="V77" s="254">
        <v>1</v>
      </c>
    </row>
    <row r="78" spans="1:22" ht="9.1999999999999993" customHeight="1">
      <c r="A78" s="102" t="s">
        <v>61</v>
      </c>
      <c r="B78" s="170" t="s">
        <v>62</v>
      </c>
      <c r="C78" s="243">
        <v>170</v>
      </c>
      <c r="D78" s="243">
        <v>91</v>
      </c>
      <c r="E78" s="243">
        <v>42</v>
      </c>
      <c r="F78" s="243">
        <v>22</v>
      </c>
      <c r="G78" s="243">
        <v>22</v>
      </c>
      <c r="H78" s="243">
        <v>17</v>
      </c>
      <c r="I78" s="243">
        <v>11</v>
      </c>
      <c r="J78" s="396">
        <v>9</v>
      </c>
      <c r="K78" s="397">
        <v>20</v>
      </c>
      <c r="L78" s="243">
        <v>10</v>
      </c>
      <c r="M78" s="244">
        <v>30</v>
      </c>
      <c r="N78" s="243">
        <v>14</v>
      </c>
      <c r="O78" s="243">
        <v>16</v>
      </c>
      <c r="P78" s="243">
        <v>8</v>
      </c>
      <c r="Q78" s="243">
        <v>21</v>
      </c>
      <c r="R78" s="243">
        <v>9</v>
      </c>
      <c r="S78" s="243">
        <v>7</v>
      </c>
      <c r="T78" s="243">
        <v>2</v>
      </c>
      <c r="U78" s="243">
        <v>1</v>
      </c>
      <c r="V78" s="253" t="s">
        <v>28</v>
      </c>
    </row>
    <row r="79" spans="1:22" ht="9.1999999999999993" customHeight="1">
      <c r="A79" s="246" t="s">
        <v>29</v>
      </c>
      <c r="B79" s="172" t="s">
        <v>190</v>
      </c>
      <c r="C79" s="247">
        <v>143</v>
      </c>
      <c r="D79" s="247">
        <v>79</v>
      </c>
      <c r="E79" s="247">
        <v>38</v>
      </c>
      <c r="F79" s="247">
        <v>20</v>
      </c>
      <c r="G79" s="247">
        <v>19</v>
      </c>
      <c r="H79" s="247">
        <v>14</v>
      </c>
      <c r="I79" s="247">
        <v>9</v>
      </c>
      <c r="J79" s="382">
        <v>7</v>
      </c>
      <c r="K79" s="395">
        <v>15</v>
      </c>
      <c r="L79" s="247">
        <v>9</v>
      </c>
      <c r="M79" s="248">
        <v>26</v>
      </c>
      <c r="N79" s="247">
        <v>14</v>
      </c>
      <c r="O79" s="247">
        <v>14</v>
      </c>
      <c r="P79" s="247">
        <v>7</v>
      </c>
      <c r="Q79" s="247">
        <v>15</v>
      </c>
      <c r="R79" s="247">
        <v>6</v>
      </c>
      <c r="S79" s="247">
        <v>6</v>
      </c>
      <c r="T79" s="247">
        <v>2</v>
      </c>
      <c r="U79" s="247">
        <v>1</v>
      </c>
      <c r="V79" s="254" t="s">
        <v>28</v>
      </c>
    </row>
    <row r="80" spans="1:22" ht="9.1999999999999993" customHeight="1">
      <c r="A80" s="246" t="s">
        <v>31</v>
      </c>
      <c r="B80" s="172" t="s">
        <v>191</v>
      </c>
      <c r="C80" s="247">
        <v>27</v>
      </c>
      <c r="D80" s="247">
        <v>12</v>
      </c>
      <c r="E80" s="247">
        <v>4</v>
      </c>
      <c r="F80" s="247">
        <v>2</v>
      </c>
      <c r="G80" s="247">
        <v>3</v>
      </c>
      <c r="H80" s="247">
        <v>3</v>
      </c>
      <c r="I80" s="247">
        <v>2</v>
      </c>
      <c r="J80" s="382">
        <v>2</v>
      </c>
      <c r="K80" s="395">
        <v>5</v>
      </c>
      <c r="L80" s="247">
        <v>1</v>
      </c>
      <c r="M80" s="248">
        <v>4</v>
      </c>
      <c r="N80" s="247" t="s">
        <v>28</v>
      </c>
      <c r="O80" s="247">
        <v>2</v>
      </c>
      <c r="P80" s="247">
        <v>1</v>
      </c>
      <c r="Q80" s="247">
        <v>6</v>
      </c>
      <c r="R80" s="247">
        <v>3</v>
      </c>
      <c r="S80" s="247">
        <v>1</v>
      </c>
      <c r="T80" s="247" t="s">
        <v>28</v>
      </c>
      <c r="U80" s="247" t="s">
        <v>28</v>
      </c>
      <c r="V80" s="254" t="s">
        <v>28</v>
      </c>
    </row>
    <row r="81" spans="1:22" ht="9.1999999999999993" customHeight="1">
      <c r="A81" s="102" t="s">
        <v>63</v>
      </c>
      <c r="B81" s="170" t="s">
        <v>64</v>
      </c>
      <c r="C81" s="243">
        <v>50</v>
      </c>
      <c r="D81" s="243">
        <v>32</v>
      </c>
      <c r="E81" s="243">
        <v>31</v>
      </c>
      <c r="F81" s="243">
        <v>21</v>
      </c>
      <c r="G81" s="243">
        <v>3</v>
      </c>
      <c r="H81" s="243">
        <v>1</v>
      </c>
      <c r="I81" s="243">
        <v>1</v>
      </c>
      <c r="J81" s="396">
        <v>1</v>
      </c>
      <c r="K81" s="397">
        <v>4</v>
      </c>
      <c r="L81" s="243">
        <v>1</v>
      </c>
      <c r="M81" s="244">
        <v>2</v>
      </c>
      <c r="N81" s="243" t="s">
        <v>28</v>
      </c>
      <c r="O81" s="243">
        <v>4</v>
      </c>
      <c r="P81" s="243">
        <v>3</v>
      </c>
      <c r="Q81" s="243">
        <v>4</v>
      </c>
      <c r="R81" s="243">
        <v>4</v>
      </c>
      <c r="S81" s="243">
        <v>1</v>
      </c>
      <c r="T81" s="243">
        <v>1</v>
      </c>
      <c r="U81" s="243" t="s">
        <v>28</v>
      </c>
      <c r="V81" s="253" t="s">
        <v>28</v>
      </c>
    </row>
    <row r="82" spans="1:22" ht="9.1999999999999993" customHeight="1" thickBot="1">
      <c r="A82" s="406" t="s">
        <v>29</v>
      </c>
      <c r="B82" s="174" t="s">
        <v>190</v>
      </c>
      <c r="C82" s="250">
        <v>50</v>
      </c>
      <c r="D82" s="250">
        <v>32</v>
      </c>
      <c r="E82" s="250">
        <v>31</v>
      </c>
      <c r="F82" s="250">
        <v>21</v>
      </c>
      <c r="G82" s="250">
        <v>3</v>
      </c>
      <c r="H82" s="250">
        <v>1</v>
      </c>
      <c r="I82" s="250">
        <v>1</v>
      </c>
      <c r="J82" s="459">
        <v>1</v>
      </c>
      <c r="K82" s="1840">
        <v>4</v>
      </c>
      <c r="L82" s="250">
        <v>1</v>
      </c>
      <c r="M82" s="251">
        <v>2</v>
      </c>
      <c r="N82" s="250" t="s">
        <v>28</v>
      </c>
      <c r="O82" s="250">
        <v>4</v>
      </c>
      <c r="P82" s="250">
        <v>3</v>
      </c>
      <c r="Q82" s="250">
        <v>4</v>
      </c>
      <c r="R82" s="250">
        <v>4</v>
      </c>
      <c r="S82" s="250">
        <v>1</v>
      </c>
      <c r="T82" s="250">
        <v>1</v>
      </c>
      <c r="U82" s="250" t="s">
        <v>28</v>
      </c>
      <c r="V82" s="255" t="s">
        <v>28</v>
      </c>
    </row>
    <row r="83" spans="1:22">
      <c r="J83" s="359"/>
      <c r="K83" s="359"/>
    </row>
  </sheetData>
  <mergeCells count="32">
    <mergeCell ref="U5:V5"/>
    <mergeCell ref="A8:B8"/>
    <mergeCell ref="K42:V42"/>
    <mergeCell ref="A42:J42"/>
    <mergeCell ref="Q6:R6"/>
    <mergeCell ref="S6:T6"/>
    <mergeCell ref="A6:B6"/>
    <mergeCell ref="C6:D6"/>
    <mergeCell ref="E6:F6"/>
    <mergeCell ref="G6:H6"/>
    <mergeCell ref="I6:J6"/>
    <mergeCell ref="M5:N5"/>
    <mergeCell ref="A7:B7"/>
    <mergeCell ref="K6:L6"/>
    <mergeCell ref="M6:N6"/>
    <mergeCell ref="O6:P6"/>
    <mergeCell ref="K56:V56"/>
    <mergeCell ref="A56:J56"/>
    <mergeCell ref="A3:J3"/>
    <mergeCell ref="K3:V3"/>
    <mergeCell ref="A2:J2"/>
    <mergeCell ref="K2:V2"/>
    <mergeCell ref="O5:P5"/>
    <mergeCell ref="Q5:R5"/>
    <mergeCell ref="S5:T5"/>
    <mergeCell ref="A5:B5"/>
    <mergeCell ref="C5:D5"/>
    <mergeCell ref="E5:F5"/>
    <mergeCell ref="G5:H5"/>
    <mergeCell ref="I5:J5"/>
    <mergeCell ref="U6:V6"/>
    <mergeCell ref="K5:L5"/>
  </mergeCells>
  <phoneticPr fontId="4" type="noConversion"/>
  <hyperlinks>
    <hyperlink ref="A1" location="목록!A1" display="목록!A1" xr:uid="{6D23D47A-3BFE-4DF3-B4EC-12CBE74BAD95}"/>
  </hyperlinks>
  <printOptions horizontalCentered="1"/>
  <pageMargins left="0.59055118110236227" right="0.59055118110236227" top="0.78740157480314965" bottom="0.23622047244094491" header="0.62992125984251968" footer="0.39370078740157483"/>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T92"/>
  <sheetViews>
    <sheetView showGridLines="0" showWhiteSpace="0" view="pageBreakPreview" zoomScaleNormal="100" zoomScaleSheetLayoutView="100" workbookViewId="0">
      <selection activeCell="A2" sqref="A2:R87"/>
    </sheetView>
  </sheetViews>
  <sheetFormatPr defaultRowHeight="16.5"/>
  <cols>
    <col min="1" max="1" width="8.6640625" style="359" customWidth="1"/>
    <col min="2" max="2" width="13.109375" style="358" customWidth="1"/>
    <col min="3" max="3" width="7.77734375" style="359" customWidth="1"/>
    <col min="4" max="4" width="8.21875" style="359" customWidth="1"/>
    <col min="5" max="9" width="8.109375" style="359" customWidth="1"/>
    <col min="10" max="10" width="8.6640625" style="359" customWidth="1"/>
    <col min="11" max="14" width="8.5546875" style="359" customWidth="1"/>
    <col min="15" max="15" width="8.21875" style="359" customWidth="1"/>
    <col min="16" max="17" width="8.6640625" style="359" customWidth="1"/>
    <col min="18" max="18" width="9.77734375" style="359" customWidth="1"/>
    <col min="19" max="16384" width="8.88671875" style="114"/>
  </cols>
  <sheetData>
    <row r="1" spans="1:20" ht="22.5">
      <c r="A1" s="901" t="s">
        <v>1332</v>
      </c>
    </row>
    <row r="2" spans="1:20" s="112" customFormat="1" ht="13.5" customHeight="1">
      <c r="A2" s="1035" t="s">
        <v>1034</v>
      </c>
      <c r="B2" s="1035"/>
      <c r="C2" s="1035"/>
      <c r="D2" s="1035"/>
      <c r="E2" s="1035"/>
      <c r="F2" s="1035"/>
      <c r="G2" s="1035"/>
      <c r="H2" s="1035"/>
      <c r="I2" s="1035"/>
      <c r="J2" s="1036" t="s">
        <v>1035</v>
      </c>
      <c r="K2" s="1036"/>
      <c r="L2" s="1036"/>
      <c r="M2" s="1036"/>
      <c r="N2" s="1036"/>
      <c r="O2" s="1036"/>
      <c r="P2" s="1036"/>
      <c r="Q2" s="1036"/>
      <c r="R2" s="1036"/>
    </row>
    <row r="3" spans="1:20" ht="22.5" customHeight="1">
      <c r="A3" s="1037" t="s">
        <v>1236</v>
      </c>
      <c r="B3" s="1037"/>
      <c r="C3" s="1037"/>
      <c r="D3" s="1037"/>
      <c r="E3" s="1037"/>
      <c r="F3" s="1037"/>
      <c r="G3" s="1037"/>
      <c r="H3" s="1037"/>
      <c r="I3" s="1037"/>
      <c r="J3" s="1343" t="s">
        <v>921</v>
      </c>
      <c r="K3" s="1343"/>
      <c r="L3" s="1343"/>
      <c r="M3" s="1343"/>
      <c r="N3" s="1343"/>
      <c r="O3" s="1343"/>
      <c r="P3" s="1343"/>
      <c r="Q3" s="1343"/>
      <c r="R3" s="1343"/>
      <c r="S3" s="113"/>
      <c r="T3" s="113"/>
    </row>
    <row r="4" spans="1:20" ht="13.5" customHeight="1" thickBot="1">
      <c r="A4" s="1061"/>
      <c r="B4" s="1061"/>
      <c r="C4" s="1061"/>
      <c r="D4" s="1061"/>
      <c r="E4" s="1061"/>
      <c r="F4" s="1061"/>
      <c r="G4" s="1061"/>
      <c r="H4" s="1061"/>
      <c r="I4" s="1061"/>
      <c r="J4" s="1818"/>
      <c r="K4" s="1818"/>
      <c r="L4" s="1818"/>
      <c r="M4" s="1818"/>
      <c r="N4" s="1818"/>
      <c r="O4" s="1818"/>
      <c r="P4" s="1818"/>
      <c r="Q4" s="1818"/>
      <c r="R4" s="1818"/>
    </row>
    <row r="5" spans="1:20" s="398" customFormat="1" ht="11.25" customHeight="1">
      <c r="A5" s="1834" t="s">
        <v>504</v>
      </c>
      <c r="B5" s="1346"/>
      <c r="C5" s="969" t="s">
        <v>474</v>
      </c>
      <c r="D5" s="969" t="s">
        <v>591</v>
      </c>
      <c r="E5" s="969" t="s">
        <v>590</v>
      </c>
      <c r="F5" s="969" t="s">
        <v>589</v>
      </c>
      <c r="G5" s="969" t="s">
        <v>588</v>
      </c>
      <c r="H5" s="969" t="s">
        <v>587</v>
      </c>
      <c r="I5" s="969" t="s">
        <v>586</v>
      </c>
      <c r="J5" s="399" t="s">
        <v>585</v>
      </c>
      <c r="K5" s="969" t="s">
        <v>584</v>
      </c>
      <c r="L5" s="969" t="s">
        <v>583</v>
      </c>
      <c r="M5" s="969" t="s">
        <v>582</v>
      </c>
      <c r="N5" s="969" t="s">
        <v>581</v>
      </c>
      <c r="O5" s="969" t="s">
        <v>580</v>
      </c>
      <c r="P5" s="969" t="s">
        <v>579</v>
      </c>
      <c r="Q5" s="969" t="s">
        <v>578</v>
      </c>
      <c r="R5" s="964" t="s">
        <v>695</v>
      </c>
    </row>
    <row r="6" spans="1:20" s="398" customFormat="1" ht="11.25" customHeight="1">
      <c r="A6" s="1344" t="s">
        <v>366</v>
      </c>
      <c r="B6" s="1345"/>
      <c r="C6" s="968" t="s">
        <v>387</v>
      </c>
      <c r="D6" s="968" t="s">
        <v>593</v>
      </c>
      <c r="E6" s="400" t="s">
        <v>566</v>
      </c>
      <c r="F6" s="400" t="s">
        <v>567</v>
      </c>
      <c r="G6" s="400" t="s">
        <v>568</v>
      </c>
      <c r="H6" s="400" t="s">
        <v>569</v>
      </c>
      <c r="I6" s="400" t="s">
        <v>570</v>
      </c>
      <c r="J6" s="401" t="s">
        <v>571</v>
      </c>
      <c r="K6" s="400" t="s">
        <v>572</v>
      </c>
      <c r="L6" s="400" t="s">
        <v>573</v>
      </c>
      <c r="M6" s="400" t="s">
        <v>592</v>
      </c>
      <c r="N6" s="400" t="s">
        <v>574</v>
      </c>
      <c r="O6" s="400" t="s">
        <v>575</v>
      </c>
      <c r="P6" s="400" t="s">
        <v>576</v>
      </c>
      <c r="Q6" s="400" t="s">
        <v>577</v>
      </c>
      <c r="R6" s="402" t="s">
        <v>565</v>
      </c>
    </row>
    <row r="7" spans="1:20" s="176" customFormat="1" ht="8.4499999999999993" customHeight="1">
      <c r="A7" s="102" t="s">
        <v>27</v>
      </c>
      <c r="B7" s="170" t="s">
        <v>16</v>
      </c>
      <c r="C7" s="243">
        <v>6185</v>
      </c>
      <c r="D7" s="243">
        <v>287</v>
      </c>
      <c r="E7" s="243">
        <v>390</v>
      </c>
      <c r="F7" s="243">
        <v>405</v>
      </c>
      <c r="G7" s="243">
        <v>448</v>
      </c>
      <c r="H7" s="243">
        <v>508</v>
      </c>
      <c r="I7" s="243">
        <v>440</v>
      </c>
      <c r="J7" s="244">
        <v>247</v>
      </c>
      <c r="K7" s="243">
        <v>212</v>
      </c>
      <c r="L7" s="243">
        <v>167</v>
      </c>
      <c r="M7" s="243">
        <v>134</v>
      </c>
      <c r="N7" s="243">
        <v>140</v>
      </c>
      <c r="O7" s="243">
        <v>117</v>
      </c>
      <c r="P7" s="243">
        <v>126</v>
      </c>
      <c r="Q7" s="243">
        <v>141</v>
      </c>
      <c r="R7" s="253">
        <v>2423</v>
      </c>
    </row>
    <row r="8" spans="1:20" s="176" customFormat="1" ht="8.4499999999999993" customHeight="1">
      <c r="A8" s="246" t="s">
        <v>29</v>
      </c>
      <c r="B8" s="172" t="s">
        <v>30</v>
      </c>
      <c r="C8" s="247">
        <v>5885</v>
      </c>
      <c r="D8" s="247">
        <v>274</v>
      </c>
      <c r="E8" s="247">
        <v>378</v>
      </c>
      <c r="F8" s="247">
        <v>387</v>
      </c>
      <c r="G8" s="247">
        <v>431</v>
      </c>
      <c r="H8" s="247">
        <v>481</v>
      </c>
      <c r="I8" s="247">
        <v>415</v>
      </c>
      <c r="J8" s="248">
        <v>230</v>
      </c>
      <c r="K8" s="247">
        <v>207</v>
      </c>
      <c r="L8" s="247">
        <v>160</v>
      </c>
      <c r="M8" s="247">
        <v>126</v>
      </c>
      <c r="N8" s="247">
        <v>136</v>
      </c>
      <c r="O8" s="247">
        <v>110</v>
      </c>
      <c r="P8" s="247">
        <v>121</v>
      </c>
      <c r="Q8" s="247">
        <v>137</v>
      </c>
      <c r="R8" s="254">
        <v>2292</v>
      </c>
    </row>
    <row r="9" spans="1:20" s="176" customFormat="1" ht="8.4499999999999993" customHeight="1">
      <c r="A9" s="246" t="s">
        <v>31</v>
      </c>
      <c r="B9" s="172" t="s">
        <v>32</v>
      </c>
      <c r="C9" s="247">
        <v>300</v>
      </c>
      <c r="D9" s="247">
        <v>13</v>
      </c>
      <c r="E9" s="247">
        <v>12</v>
      </c>
      <c r="F9" s="247">
        <v>18</v>
      </c>
      <c r="G9" s="247">
        <v>17</v>
      </c>
      <c r="H9" s="247">
        <v>27</v>
      </c>
      <c r="I9" s="247">
        <v>25</v>
      </c>
      <c r="J9" s="248">
        <v>17</v>
      </c>
      <c r="K9" s="247">
        <v>5</v>
      </c>
      <c r="L9" s="247">
        <v>7</v>
      </c>
      <c r="M9" s="247">
        <v>8</v>
      </c>
      <c r="N9" s="247">
        <v>4</v>
      </c>
      <c r="O9" s="247">
        <v>7</v>
      </c>
      <c r="P9" s="247">
        <v>5</v>
      </c>
      <c r="Q9" s="247">
        <v>4</v>
      </c>
      <c r="R9" s="254">
        <v>131</v>
      </c>
    </row>
    <row r="10" spans="1:20" s="176" customFormat="1" ht="8.4499999999999993" customHeight="1">
      <c r="A10" s="102" t="s">
        <v>171</v>
      </c>
      <c r="B10" s="170" t="s">
        <v>159</v>
      </c>
      <c r="C10" s="243">
        <v>151</v>
      </c>
      <c r="D10" s="243">
        <v>17</v>
      </c>
      <c r="E10" s="243">
        <v>48</v>
      </c>
      <c r="F10" s="243">
        <v>22</v>
      </c>
      <c r="G10" s="243">
        <v>15</v>
      </c>
      <c r="H10" s="243">
        <v>17</v>
      </c>
      <c r="I10" s="243">
        <v>7</v>
      </c>
      <c r="J10" s="244">
        <v>10</v>
      </c>
      <c r="K10" s="243">
        <v>5</v>
      </c>
      <c r="L10" s="243">
        <v>2</v>
      </c>
      <c r="M10" s="243">
        <v>4</v>
      </c>
      <c r="N10" s="243">
        <v>1</v>
      </c>
      <c r="O10" s="243" t="s">
        <v>28</v>
      </c>
      <c r="P10" s="243" t="s">
        <v>28</v>
      </c>
      <c r="Q10" s="243" t="s">
        <v>28</v>
      </c>
      <c r="R10" s="253">
        <v>3</v>
      </c>
    </row>
    <row r="11" spans="1:20" s="176" customFormat="1" ht="8.4499999999999993" customHeight="1">
      <c r="A11" s="246" t="s">
        <v>192</v>
      </c>
      <c r="B11" s="172" t="s">
        <v>193</v>
      </c>
      <c r="C11" s="247">
        <v>134</v>
      </c>
      <c r="D11" s="247">
        <v>3</v>
      </c>
      <c r="E11" s="247">
        <v>47</v>
      </c>
      <c r="F11" s="247">
        <v>22</v>
      </c>
      <c r="G11" s="247">
        <v>15</v>
      </c>
      <c r="H11" s="247">
        <v>17</v>
      </c>
      <c r="I11" s="247">
        <v>7</v>
      </c>
      <c r="J11" s="248">
        <v>9</v>
      </c>
      <c r="K11" s="247">
        <v>5</v>
      </c>
      <c r="L11" s="247">
        <v>2</v>
      </c>
      <c r="M11" s="247">
        <v>4</v>
      </c>
      <c r="N11" s="247">
        <v>1</v>
      </c>
      <c r="O11" s="247" t="s">
        <v>28</v>
      </c>
      <c r="P11" s="247" t="s">
        <v>28</v>
      </c>
      <c r="Q11" s="247" t="s">
        <v>28</v>
      </c>
      <c r="R11" s="254">
        <v>2</v>
      </c>
    </row>
    <row r="12" spans="1:20" s="176" customFormat="1" ht="8.4499999999999993" customHeight="1">
      <c r="A12" s="246" t="s">
        <v>560</v>
      </c>
      <c r="B12" s="172" t="s">
        <v>562</v>
      </c>
      <c r="C12" s="247">
        <v>125</v>
      </c>
      <c r="D12" s="247">
        <v>2</v>
      </c>
      <c r="E12" s="247">
        <v>44</v>
      </c>
      <c r="F12" s="247">
        <v>21</v>
      </c>
      <c r="G12" s="247">
        <v>14</v>
      </c>
      <c r="H12" s="247">
        <v>15</v>
      </c>
      <c r="I12" s="247">
        <v>7</v>
      </c>
      <c r="J12" s="248">
        <v>9</v>
      </c>
      <c r="K12" s="247">
        <v>5</v>
      </c>
      <c r="L12" s="247">
        <v>2</v>
      </c>
      <c r="M12" s="247">
        <v>4</v>
      </c>
      <c r="N12" s="247">
        <v>1</v>
      </c>
      <c r="O12" s="247" t="s">
        <v>28</v>
      </c>
      <c r="P12" s="247" t="s">
        <v>28</v>
      </c>
      <c r="Q12" s="247" t="s">
        <v>28</v>
      </c>
      <c r="R12" s="254">
        <v>1</v>
      </c>
    </row>
    <row r="13" spans="1:20" s="176" customFormat="1" ht="8.4499999999999993" customHeight="1">
      <c r="A13" s="246" t="s">
        <v>561</v>
      </c>
      <c r="B13" s="172" t="s">
        <v>563</v>
      </c>
      <c r="C13" s="247">
        <v>9</v>
      </c>
      <c r="D13" s="247">
        <v>1</v>
      </c>
      <c r="E13" s="247">
        <v>3</v>
      </c>
      <c r="F13" s="247">
        <v>1</v>
      </c>
      <c r="G13" s="247">
        <v>1</v>
      </c>
      <c r="H13" s="247">
        <v>2</v>
      </c>
      <c r="I13" s="247" t="s">
        <v>28</v>
      </c>
      <c r="J13" s="248" t="s">
        <v>28</v>
      </c>
      <c r="K13" s="247" t="s">
        <v>28</v>
      </c>
      <c r="L13" s="247" t="s">
        <v>28</v>
      </c>
      <c r="M13" s="247" t="s">
        <v>28</v>
      </c>
      <c r="N13" s="247" t="s">
        <v>28</v>
      </c>
      <c r="O13" s="247" t="s">
        <v>28</v>
      </c>
      <c r="P13" s="247" t="s">
        <v>28</v>
      </c>
      <c r="Q13" s="247" t="s">
        <v>28</v>
      </c>
      <c r="R13" s="254">
        <v>1</v>
      </c>
    </row>
    <row r="14" spans="1:20" s="176" customFormat="1" ht="8.4499999999999993" customHeight="1">
      <c r="A14" s="246" t="s">
        <v>194</v>
      </c>
      <c r="B14" s="172" t="s">
        <v>195</v>
      </c>
      <c r="C14" s="247">
        <v>17</v>
      </c>
      <c r="D14" s="247">
        <v>14</v>
      </c>
      <c r="E14" s="247">
        <v>1</v>
      </c>
      <c r="F14" s="247" t="s">
        <v>28</v>
      </c>
      <c r="G14" s="247" t="s">
        <v>28</v>
      </c>
      <c r="H14" s="247" t="s">
        <v>28</v>
      </c>
      <c r="I14" s="247" t="s">
        <v>28</v>
      </c>
      <c r="J14" s="248">
        <v>1</v>
      </c>
      <c r="K14" s="247" t="s">
        <v>28</v>
      </c>
      <c r="L14" s="247" t="s">
        <v>28</v>
      </c>
      <c r="M14" s="247" t="s">
        <v>28</v>
      </c>
      <c r="N14" s="247" t="s">
        <v>28</v>
      </c>
      <c r="O14" s="247" t="s">
        <v>28</v>
      </c>
      <c r="P14" s="247" t="s">
        <v>28</v>
      </c>
      <c r="Q14" s="247" t="s">
        <v>28</v>
      </c>
      <c r="R14" s="254">
        <v>1</v>
      </c>
    </row>
    <row r="15" spans="1:20" s="176" customFormat="1" ht="8.4499999999999993" customHeight="1">
      <c r="A15" s="246" t="s">
        <v>560</v>
      </c>
      <c r="B15" s="172" t="s">
        <v>562</v>
      </c>
      <c r="C15" s="247">
        <v>16</v>
      </c>
      <c r="D15" s="247">
        <v>14</v>
      </c>
      <c r="E15" s="247">
        <v>1</v>
      </c>
      <c r="F15" s="247" t="s">
        <v>28</v>
      </c>
      <c r="G15" s="247" t="s">
        <v>28</v>
      </c>
      <c r="H15" s="247" t="s">
        <v>28</v>
      </c>
      <c r="I15" s="247" t="s">
        <v>28</v>
      </c>
      <c r="J15" s="248">
        <v>1</v>
      </c>
      <c r="K15" s="247" t="s">
        <v>28</v>
      </c>
      <c r="L15" s="247" t="s">
        <v>28</v>
      </c>
      <c r="M15" s="247" t="s">
        <v>28</v>
      </c>
      <c r="N15" s="247" t="s">
        <v>28</v>
      </c>
      <c r="O15" s="247" t="s">
        <v>28</v>
      </c>
      <c r="P15" s="247" t="s">
        <v>28</v>
      </c>
      <c r="Q15" s="247" t="s">
        <v>28</v>
      </c>
      <c r="R15" s="254" t="s">
        <v>28</v>
      </c>
    </row>
    <row r="16" spans="1:20" s="176" customFormat="1" ht="8.4499999999999993" customHeight="1">
      <c r="A16" s="246" t="s">
        <v>561</v>
      </c>
      <c r="B16" s="172" t="s">
        <v>563</v>
      </c>
      <c r="C16" s="247">
        <v>1</v>
      </c>
      <c r="D16" s="247" t="s">
        <v>28</v>
      </c>
      <c r="E16" s="247" t="s">
        <v>28</v>
      </c>
      <c r="F16" s="247" t="s">
        <v>28</v>
      </c>
      <c r="G16" s="247" t="s">
        <v>28</v>
      </c>
      <c r="H16" s="247" t="s">
        <v>28</v>
      </c>
      <c r="I16" s="247" t="s">
        <v>28</v>
      </c>
      <c r="J16" s="248" t="s">
        <v>28</v>
      </c>
      <c r="K16" s="247" t="s">
        <v>28</v>
      </c>
      <c r="L16" s="247" t="s">
        <v>28</v>
      </c>
      <c r="M16" s="247" t="s">
        <v>28</v>
      </c>
      <c r="N16" s="247" t="s">
        <v>28</v>
      </c>
      <c r="O16" s="247" t="s">
        <v>28</v>
      </c>
      <c r="P16" s="247" t="s">
        <v>28</v>
      </c>
      <c r="Q16" s="247" t="s">
        <v>28</v>
      </c>
      <c r="R16" s="254">
        <v>1</v>
      </c>
    </row>
    <row r="17" spans="1:18" s="176" customFormat="1" ht="8.4499999999999993" customHeight="1">
      <c r="A17" s="102" t="s">
        <v>172</v>
      </c>
      <c r="B17" s="170" t="s">
        <v>160</v>
      </c>
      <c r="C17" s="243">
        <v>141</v>
      </c>
      <c r="D17" s="243">
        <v>18</v>
      </c>
      <c r="E17" s="243">
        <v>46</v>
      </c>
      <c r="F17" s="243">
        <v>30</v>
      </c>
      <c r="G17" s="243">
        <v>21</v>
      </c>
      <c r="H17" s="243">
        <v>11</v>
      </c>
      <c r="I17" s="243">
        <v>1</v>
      </c>
      <c r="J17" s="244">
        <v>1</v>
      </c>
      <c r="K17" s="243">
        <v>1</v>
      </c>
      <c r="L17" s="243">
        <v>1</v>
      </c>
      <c r="M17" s="243" t="s">
        <v>28</v>
      </c>
      <c r="N17" s="243" t="s">
        <v>28</v>
      </c>
      <c r="O17" s="243" t="s">
        <v>28</v>
      </c>
      <c r="P17" s="243" t="s">
        <v>28</v>
      </c>
      <c r="Q17" s="243">
        <v>1</v>
      </c>
      <c r="R17" s="253">
        <v>10</v>
      </c>
    </row>
    <row r="18" spans="1:18" s="176" customFormat="1" ht="8.4499999999999993" customHeight="1">
      <c r="A18" s="246" t="s">
        <v>192</v>
      </c>
      <c r="B18" s="172" t="s">
        <v>193</v>
      </c>
      <c r="C18" s="247">
        <v>118</v>
      </c>
      <c r="D18" s="247">
        <v>3</v>
      </c>
      <c r="E18" s="247">
        <v>45</v>
      </c>
      <c r="F18" s="247">
        <v>30</v>
      </c>
      <c r="G18" s="247">
        <v>19</v>
      </c>
      <c r="H18" s="247">
        <v>10</v>
      </c>
      <c r="I18" s="247" t="s">
        <v>28</v>
      </c>
      <c r="J18" s="248" t="s">
        <v>28</v>
      </c>
      <c r="K18" s="247" t="s">
        <v>28</v>
      </c>
      <c r="L18" s="247">
        <v>1</v>
      </c>
      <c r="M18" s="247" t="s">
        <v>28</v>
      </c>
      <c r="N18" s="247" t="s">
        <v>28</v>
      </c>
      <c r="O18" s="247" t="s">
        <v>28</v>
      </c>
      <c r="P18" s="247" t="s">
        <v>28</v>
      </c>
      <c r="Q18" s="247">
        <v>1</v>
      </c>
      <c r="R18" s="254">
        <v>9</v>
      </c>
    </row>
    <row r="19" spans="1:18" s="176" customFormat="1" ht="8.4499999999999993" customHeight="1">
      <c r="A19" s="246" t="s">
        <v>560</v>
      </c>
      <c r="B19" s="172" t="s">
        <v>562</v>
      </c>
      <c r="C19" s="247">
        <v>110</v>
      </c>
      <c r="D19" s="247" t="s">
        <v>28</v>
      </c>
      <c r="E19" s="247">
        <v>43</v>
      </c>
      <c r="F19" s="247">
        <v>29</v>
      </c>
      <c r="G19" s="247">
        <v>19</v>
      </c>
      <c r="H19" s="247">
        <v>8</v>
      </c>
      <c r="I19" s="247" t="s">
        <v>28</v>
      </c>
      <c r="J19" s="248" t="s">
        <v>28</v>
      </c>
      <c r="K19" s="247" t="s">
        <v>28</v>
      </c>
      <c r="L19" s="247">
        <v>1</v>
      </c>
      <c r="M19" s="247" t="s">
        <v>28</v>
      </c>
      <c r="N19" s="247" t="s">
        <v>28</v>
      </c>
      <c r="O19" s="247" t="s">
        <v>28</v>
      </c>
      <c r="P19" s="247" t="s">
        <v>28</v>
      </c>
      <c r="Q19" s="247">
        <v>1</v>
      </c>
      <c r="R19" s="254">
        <v>9</v>
      </c>
    </row>
    <row r="20" spans="1:18" s="176" customFormat="1" ht="8.4499999999999993" customHeight="1">
      <c r="A20" s="246" t="s">
        <v>561</v>
      </c>
      <c r="B20" s="172" t="s">
        <v>563</v>
      </c>
      <c r="C20" s="247">
        <v>8</v>
      </c>
      <c r="D20" s="247">
        <v>3</v>
      </c>
      <c r="E20" s="247">
        <v>2</v>
      </c>
      <c r="F20" s="247">
        <v>1</v>
      </c>
      <c r="G20" s="247" t="s">
        <v>28</v>
      </c>
      <c r="H20" s="247">
        <v>2</v>
      </c>
      <c r="I20" s="247" t="s">
        <v>28</v>
      </c>
      <c r="J20" s="248" t="s">
        <v>28</v>
      </c>
      <c r="K20" s="247" t="s">
        <v>28</v>
      </c>
      <c r="L20" s="247" t="s">
        <v>28</v>
      </c>
      <c r="M20" s="247" t="s">
        <v>28</v>
      </c>
      <c r="N20" s="247" t="s">
        <v>28</v>
      </c>
      <c r="O20" s="247" t="s">
        <v>28</v>
      </c>
      <c r="P20" s="247" t="s">
        <v>28</v>
      </c>
      <c r="Q20" s="247" t="s">
        <v>28</v>
      </c>
      <c r="R20" s="254" t="s">
        <v>28</v>
      </c>
    </row>
    <row r="21" spans="1:18" s="176" customFormat="1" ht="8.4499999999999993" customHeight="1">
      <c r="A21" s="246" t="s">
        <v>194</v>
      </c>
      <c r="B21" s="172" t="s">
        <v>195</v>
      </c>
      <c r="C21" s="247">
        <v>23</v>
      </c>
      <c r="D21" s="247">
        <v>15</v>
      </c>
      <c r="E21" s="247">
        <v>1</v>
      </c>
      <c r="F21" s="247" t="s">
        <v>28</v>
      </c>
      <c r="G21" s="247">
        <v>2</v>
      </c>
      <c r="H21" s="247">
        <v>1</v>
      </c>
      <c r="I21" s="247">
        <v>1</v>
      </c>
      <c r="J21" s="248">
        <v>1</v>
      </c>
      <c r="K21" s="247">
        <v>1</v>
      </c>
      <c r="L21" s="247" t="s">
        <v>28</v>
      </c>
      <c r="M21" s="247" t="s">
        <v>28</v>
      </c>
      <c r="N21" s="247" t="s">
        <v>28</v>
      </c>
      <c r="O21" s="247" t="s">
        <v>28</v>
      </c>
      <c r="P21" s="247" t="s">
        <v>28</v>
      </c>
      <c r="Q21" s="247" t="s">
        <v>28</v>
      </c>
      <c r="R21" s="254">
        <v>1</v>
      </c>
    </row>
    <row r="22" spans="1:18" s="176" customFormat="1" ht="8.4499999999999993" customHeight="1">
      <c r="A22" s="246" t="s">
        <v>560</v>
      </c>
      <c r="B22" s="172" t="s">
        <v>562</v>
      </c>
      <c r="C22" s="247">
        <v>22</v>
      </c>
      <c r="D22" s="247">
        <v>15</v>
      </c>
      <c r="E22" s="247">
        <v>1</v>
      </c>
      <c r="F22" s="247" t="s">
        <v>28</v>
      </c>
      <c r="G22" s="247">
        <v>1</v>
      </c>
      <c r="H22" s="247">
        <v>1</v>
      </c>
      <c r="I22" s="247">
        <v>1</v>
      </c>
      <c r="J22" s="248">
        <v>1</v>
      </c>
      <c r="K22" s="247">
        <v>1</v>
      </c>
      <c r="L22" s="247" t="s">
        <v>28</v>
      </c>
      <c r="M22" s="247" t="s">
        <v>28</v>
      </c>
      <c r="N22" s="247" t="s">
        <v>28</v>
      </c>
      <c r="O22" s="247" t="s">
        <v>28</v>
      </c>
      <c r="P22" s="247" t="s">
        <v>28</v>
      </c>
      <c r="Q22" s="247" t="s">
        <v>28</v>
      </c>
      <c r="R22" s="254">
        <v>1</v>
      </c>
    </row>
    <row r="23" spans="1:18" s="176" customFormat="1" ht="8.4499999999999993" customHeight="1">
      <c r="A23" s="246" t="s">
        <v>561</v>
      </c>
      <c r="B23" s="172" t="s">
        <v>563</v>
      </c>
      <c r="C23" s="247">
        <v>1</v>
      </c>
      <c r="D23" s="247" t="s">
        <v>28</v>
      </c>
      <c r="E23" s="247" t="s">
        <v>28</v>
      </c>
      <c r="F23" s="247" t="s">
        <v>28</v>
      </c>
      <c r="G23" s="247">
        <v>1</v>
      </c>
      <c r="H23" s="247" t="s">
        <v>28</v>
      </c>
      <c r="I23" s="247" t="s">
        <v>28</v>
      </c>
      <c r="J23" s="248" t="s">
        <v>28</v>
      </c>
      <c r="K23" s="247" t="s">
        <v>28</v>
      </c>
      <c r="L23" s="247" t="s">
        <v>28</v>
      </c>
      <c r="M23" s="247" t="s">
        <v>28</v>
      </c>
      <c r="N23" s="247" t="s">
        <v>28</v>
      </c>
      <c r="O23" s="247" t="s">
        <v>28</v>
      </c>
      <c r="P23" s="247" t="s">
        <v>28</v>
      </c>
      <c r="Q23" s="247" t="s">
        <v>28</v>
      </c>
      <c r="R23" s="254" t="s">
        <v>28</v>
      </c>
    </row>
    <row r="24" spans="1:18" s="176" customFormat="1" ht="8.4499999999999993" customHeight="1">
      <c r="A24" s="102" t="s">
        <v>428</v>
      </c>
      <c r="B24" s="403" t="s">
        <v>432</v>
      </c>
      <c r="C24" s="243">
        <v>8</v>
      </c>
      <c r="D24" s="243">
        <v>1</v>
      </c>
      <c r="E24" s="243" t="s">
        <v>28</v>
      </c>
      <c r="F24" s="243" t="s">
        <v>28</v>
      </c>
      <c r="G24" s="243">
        <v>1</v>
      </c>
      <c r="H24" s="243" t="s">
        <v>28</v>
      </c>
      <c r="I24" s="243" t="s">
        <v>28</v>
      </c>
      <c r="J24" s="244" t="s">
        <v>28</v>
      </c>
      <c r="K24" s="243" t="s">
        <v>28</v>
      </c>
      <c r="L24" s="243" t="s">
        <v>28</v>
      </c>
      <c r="M24" s="243" t="s">
        <v>28</v>
      </c>
      <c r="N24" s="243" t="s">
        <v>28</v>
      </c>
      <c r="O24" s="243">
        <v>1</v>
      </c>
      <c r="P24" s="243">
        <v>3</v>
      </c>
      <c r="Q24" s="243" t="s">
        <v>28</v>
      </c>
      <c r="R24" s="253">
        <v>2</v>
      </c>
    </row>
    <row r="25" spans="1:18" s="176" customFormat="1" ht="8.4499999999999993" customHeight="1">
      <c r="A25" s="246" t="s">
        <v>564</v>
      </c>
      <c r="B25" s="172" t="s">
        <v>30</v>
      </c>
      <c r="C25" s="247">
        <v>8</v>
      </c>
      <c r="D25" s="247">
        <v>1</v>
      </c>
      <c r="E25" s="247" t="s">
        <v>28</v>
      </c>
      <c r="F25" s="247" t="s">
        <v>28</v>
      </c>
      <c r="G25" s="247">
        <v>1</v>
      </c>
      <c r="H25" s="247" t="s">
        <v>28</v>
      </c>
      <c r="I25" s="247" t="s">
        <v>28</v>
      </c>
      <c r="J25" s="248" t="s">
        <v>28</v>
      </c>
      <c r="K25" s="247" t="s">
        <v>28</v>
      </c>
      <c r="L25" s="247" t="s">
        <v>28</v>
      </c>
      <c r="M25" s="247" t="s">
        <v>28</v>
      </c>
      <c r="N25" s="247" t="s">
        <v>28</v>
      </c>
      <c r="O25" s="247">
        <v>1</v>
      </c>
      <c r="P25" s="247">
        <v>3</v>
      </c>
      <c r="Q25" s="247" t="s">
        <v>28</v>
      </c>
      <c r="R25" s="254">
        <v>2</v>
      </c>
    </row>
    <row r="26" spans="1:18" s="176" customFormat="1" ht="8.4499999999999993" customHeight="1">
      <c r="A26" s="102" t="s">
        <v>1246</v>
      </c>
      <c r="B26" s="403" t="s">
        <v>693</v>
      </c>
      <c r="C26" s="243">
        <v>4011</v>
      </c>
      <c r="D26" s="243">
        <v>131</v>
      </c>
      <c r="E26" s="243">
        <v>133</v>
      </c>
      <c r="F26" s="243">
        <v>176</v>
      </c>
      <c r="G26" s="243">
        <v>216</v>
      </c>
      <c r="H26" s="243">
        <v>298</v>
      </c>
      <c r="I26" s="243">
        <v>250</v>
      </c>
      <c r="J26" s="244">
        <v>141</v>
      </c>
      <c r="K26" s="243">
        <v>116</v>
      </c>
      <c r="L26" s="243">
        <v>96</v>
      </c>
      <c r="M26" s="243">
        <v>72</v>
      </c>
      <c r="N26" s="243">
        <v>96</v>
      </c>
      <c r="O26" s="243">
        <v>73</v>
      </c>
      <c r="P26" s="243">
        <v>81</v>
      </c>
      <c r="Q26" s="243">
        <v>95</v>
      </c>
      <c r="R26" s="253">
        <v>2037</v>
      </c>
    </row>
    <row r="27" spans="1:18" s="176" customFormat="1" ht="8.4499999999999993" customHeight="1">
      <c r="A27" s="246" t="s">
        <v>564</v>
      </c>
      <c r="B27" s="172" t="s">
        <v>30</v>
      </c>
      <c r="C27" s="247">
        <v>3806</v>
      </c>
      <c r="D27" s="247">
        <v>124</v>
      </c>
      <c r="E27" s="247">
        <v>133</v>
      </c>
      <c r="F27" s="247">
        <v>169</v>
      </c>
      <c r="G27" s="247">
        <v>209</v>
      </c>
      <c r="H27" s="247">
        <v>279</v>
      </c>
      <c r="I27" s="247">
        <v>231</v>
      </c>
      <c r="J27" s="248">
        <v>130</v>
      </c>
      <c r="K27" s="247">
        <v>112</v>
      </c>
      <c r="L27" s="247">
        <v>95</v>
      </c>
      <c r="M27" s="247">
        <v>70</v>
      </c>
      <c r="N27" s="247">
        <v>94</v>
      </c>
      <c r="O27" s="247">
        <v>69</v>
      </c>
      <c r="P27" s="247">
        <v>78</v>
      </c>
      <c r="Q27" s="247">
        <v>91</v>
      </c>
      <c r="R27" s="254">
        <v>1922</v>
      </c>
    </row>
    <row r="28" spans="1:18" s="176" customFormat="1" ht="8.4499999999999993" customHeight="1">
      <c r="A28" s="246" t="s">
        <v>31</v>
      </c>
      <c r="B28" s="172" t="s">
        <v>32</v>
      </c>
      <c r="C28" s="247">
        <v>205</v>
      </c>
      <c r="D28" s="247">
        <v>7</v>
      </c>
      <c r="E28" s="247" t="s">
        <v>28</v>
      </c>
      <c r="F28" s="247">
        <v>7</v>
      </c>
      <c r="G28" s="247">
        <v>7</v>
      </c>
      <c r="H28" s="247">
        <v>19</v>
      </c>
      <c r="I28" s="247">
        <v>19</v>
      </c>
      <c r="J28" s="248">
        <v>11</v>
      </c>
      <c r="K28" s="247">
        <v>4</v>
      </c>
      <c r="L28" s="247">
        <v>1</v>
      </c>
      <c r="M28" s="247">
        <v>2</v>
      </c>
      <c r="N28" s="247">
        <v>2</v>
      </c>
      <c r="O28" s="247">
        <v>4</v>
      </c>
      <c r="P28" s="247">
        <v>3</v>
      </c>
      <c r="Q28" s="247">
        <v>4</v>
      </c>
      <c r="R28" s="254">
        <v>115</v>
      </c>
    </row>
    <row r="29" spans="1:18" s="176" customFormat="1" ht="8.4499999999999993" customHeight="1">
      <c r="A29" s="102" t="s">
        <v>1247</v>
      </c>
      <c r="B29" s="403" t="s">
        <v>694</v>
      </c>
      <c r="C29" s="243">
        <v>1457</v>
      </c>
      <c r="D29" s="243">
        <v>101</v>
      </c>
      <c r="E29" s="243">
        <v>118</v>
      </c>
      <c r="F29" s="243">
        <v>143</v>
      </c>
      <c r="G29" s="243">
        <v>162</v>
      </c>
      <c r="H29" s="243">
        <v>153</v>
      </c>
      <c r="I29" s="243">
        <v>151</v>
      </c>
      <c r="J29" s="244">
        <v>82</v>
      </c>
      <c r="K29" s="243">
        <v>77</v>
      </c>
      <c r="L29" s="243">
        <v>58</v>
      </c>
      <c r="M29" s="243">
        <v>49</v>
      </c>
      <c r="N29" s="243">
        <v>32</v>
      </c>
      <c r="O29" s="243">
        <v>36</v>
      </c>
      <c r="P29" s="243">
        <v>34</v>
      </c>
      <c r="Q29" s="243">
        <v>20</v>
      </c>
      <c r="R29" s="253">
        <v>241</v>
      </c>
    </row>
    <row r="30" spans="1:18" s="176" customFormat="1" ht="8.4499999999999993" customHeight="1">
      <c r="A30" s="246" t="s">
        <v>29</v>
      </c>
      <c r="B30" s="172" t="s">
        <v>30</v>
      </c>
      <c r="C30" s="247">
        <v>1402</v>
      </c>
      <c r="D30" s="247">
        <v>99</v>
      </c>
      <c r="E30" s="247">
        <v>115</v>
      </c>
      <c r="F30" s="247">
        <v>134</v>
      </c>
      <c r="G30" s="247">
        <v>154</v>
      </c>
      <c r="H30" s="247">
        <v>150</v>
      </c>
      <c r="I30" s="247">
        <v>147</v>
      </c>
      <c r="J30" s="248">
        <v>77</v>
      </c>
      <c r="K30" s="247">
        <v>77</v>
      </c>
      <c r="L30" s="247">
        <v>55</v>
      </c>
      <c r="M30" s="247">
        <v>45</v>
      </c>
      <c r="N30" s="247">
        <v>30</v>
      </c>
      <c r="O30" s="247">
        <v>34</v>
      </c>
      <c r="P30" s="247">
        <v>32</v>
      </c>
      <c r="Q30" s="247">
        <v>20</v>
      </c>
      <c r="R30" s="254">
        <v>233</v>
      </c>
    </row>
    <row r="31" spans="1:18" s="176" customFormat="1" ht="8.4499999999999993" customHeight="1">
      <c r="A31" s="246" t="s">
        <v>31</v>
      </c>
      <c r="B31" s="172" t="s">
        <v>32</v>
      </c>
      <c r="C31" s="247">
        <v>55</v>
      </c>
      <c r="D31" s="247">
        <v>2</v>
      </c>
      <c r="E31" s="247">
        <v>3</v>
      </c>
      <c r="F31" s="247">
        <v>9</v>
      </c>
      <c r="G31" s="247">
        <v>8</v>
      </c>
      <c r="H31" s="247">
        <v>3</v>
      </c>
      <c r="I31" s="247">
        <v>4</v>
      </c>
      <c r="J31" s="248">
        <v>5</v>
      </c>
      <c r="K31" s="247" t="s">
        <v>28</v>
      </c>
      <c r="L31" s="247">
        <v>3</v>
      </c>
      <c r="M31" s="247">
        <v>4</v>
      </c>
      <c r="N31" s="247">
        <v>2</v>
      </c>
      <c r="O31" s="247">
        <v>2</v>
      </c>
      <c r="P31" s="247">
        <v>2</v>
      </c>
      <c r="Q31" s="247" t="s">
        <v>28</v>
      </c>
      <c r="R31" s="254">
        <v>8</v>
      </c>
    </row>
    <row r="32" spans="1:18" s="176" customFormat="1" ht="8.4499999999999993" customHeight="1">
      <c r="A32" s="814" t="s">
        <v>1248</v>
      </c>
      <c r="B32" s="404" t="s">
        <v>991</v>
      </c>
      <c r="C32" s="1841">
        <v>1</v>
      </c>
      <c r="D32" s="1842" t="s">
        <v>28</v>
      </c>
      <c r="E32" s="1842" t="s">
        <v>28</v>
      </c>
      <c r="F32" s="1842" t="s">
        <v>28</v>
      </c>
      <c r="G32" s="1842" t="s">
        <v>28</v>
      </c>
      <c r="H32" s="1842" t="s">
        <v>28</v>
      </c>
      <c r="I32" s="1842" t="s">
        <v>28</v>
      </c>
      <c r="J32" s="1842" t="s">
        <v>28</v>
      </c>
      <c r="K32" s="1842" t="s">
        <v>28</v>
      </c>
      <c r="L32" s="1842" t="s">
        <v>28</v>
      </c>
      <c r="M32" s="1842" t="s">
        <v>28</v>
      </c>
      <c r="N32" s="1842" t="s">
        <v>28</v>
      </c>
      <c r="O32" s="1842" t="s">
        <v>28</v>
      </c>
      <c r="P32" s="1842" t="s">
        <v>28</v>
      </c>
      <c r="Q32" s="1842" t="s">
        <v>28</v>
      </c>
      <c r="R32" s="405">
        <v>1</v>
      </c>
    </row>
    <row r="33" spans="1:18" s="176" customFormat="1" ht="8.4499999999999993" customHeight="1">
      <c r="A33" s="1843" t="s">
        <v>431</v>
      </c>
      <c r="B33" s="1844" t="s">
        <v>992</v>
      </c>
      <c r="C33" s="1845">
        <v>1</v>
      </c>
      <c r="D33" s="1846" t="s">
        <v>28</v>
      </c>
      <c r="E33" s="1846" t="s">
        <v>28</v>
      </c>
      <c r="F33" s="1846" t="s">
        <v>28</v>
      </c>
      <c r="G33" s="1846" t="s">
        <v>28</v>
      </c>
      <c r="H33" s="1846" t="s">
        <v>28</v>
      </c>
      <c r="I33" s="1846" t="s">
        <v>28</v>
      </c>
      <c r="J33" s="1846" t="s">
        <v>28</v>
      </c>
      <c r="K33" s="1846" t="s">
        <v>28</v>
      </c>
      <c r="L33" s="1846" t="s">
        <v>28</v>
      </c>
      <c r="M33" s="1846" t="s">
        <v>28</v>
      </c>
      <c r="N33" s="1846" t="s">
        <v>28</v>
      </c>
      <c r="O33" s="1846" t="s">
        <v>28</v>
      </c>
      <c r="P33" s="1846" t="s">
        <v>28</v>
      </c>
      <c r="Q33" s="1846" t="s">
        <v>28</v>
      </c>
      <c r="R33" s="1847">
        <v>1</v>
      </c>
    </row>
    <row r="34" spans="1:18" s="176" customFormat="1" ht="8.4499999999999993" customHeight="1">
      <c r="A34" s="102" t="s">
        <v>558</v>
      </c>
      <c r="B34" s="170" t="s">
        <v>553</v>
      </c>
      <c r="C34" s="243">
        <v>109</v>
      </c>
      <c r="D34" s="243">
        <v>5</v>
      </c>
      <c r="E34" s="243">
        <v>19</v>
      </c>
      <c r="F34" s="243">
        <v>14</v>
      </c>
      <c r="G34" s="243">
        <v>10</v>
      </c>
      <c r="H34" s="243">
        <v>6</v>
      </c>
      <c r="I34" s="243">
        <v>8</v>
      </c>
      <c r="J34" s="244">
        <v>6</v>
      </c>
      <c r="K34" s="243">
        <v>6</v>
      </c>
      <c r="L34" s="243">
        <v>7</v>
      </c>
      <c r="M34" s="243">
        <v>5</v>
      </c>
      <c r="N34" s="243">
        <v>4</v>
      </c>
      <c r="O34" s="243">
        <v>2</v>
      </c>
      <c r="P34" s="243">
        <v>1</v>
      </c>
      <c r="Q34" s="243">
        <v>3</v>
      </c>
      <c r="R34" s="253">
        <v>13</v>
      </c>
    </row>
    <row r="35" spans="1:18" s="176" customFormat="1" ht="8.4499999999999993" customHeight="1">
      <c r="A35" s="246" t="s">
        <v>29</v>
      </c>
      <c r="B35" s="172" t="s">
        <v>30</v>
      </c>
      <c r="C35" s="247">
        <v>99</v>
      </c>
      <c r="D35" s="247">
        <v>5</v>
      </c>
      <c r="E35" s="247">
        <v>16</v>
      </c>
      <c r="F35" s="247">
        <v>14</v>
      </c>
      <c r="G35" s="247">
        <v>10</v>
      </c>
      <c r="H35" s="247">
        <v>6</v>
      </c>
      <c r="I35" s="247">
        <v>8</v>
      </c>
      <c r="J35" s="248">
        <v>6</v>
      </c>
      <c r="K35" s="247">
        <v>5</v>
      </c>
      <c r="L35" s="247">
        <v>4</v>
      </c>
      <c r="M35" s="247">
        <v>3</v>
      </c>
      <c r="N35" s="247">
        <v>4</v>
      </c>
      <c r="O35" s="247">
        <v>2</v>
      </c>
      <c r="P35" s="247">
        <v>1</v>
      </c>
      <c r="Q35" s="247">
        <v>3</v>
      </c>
      <c r="R35" s="254">
        <v>12</v>
      </c>
    </row>
    <row r="36" spans="1:18" s="176" customFormat="1" ht="8.4499999999999993" customHeight="1">
      <c r="A36" s="246" t="s">
        <v>31</v>
      </c>
      <c r="B36" s="172" t="s">
        <v>32</v>
      </c>
      <c r="C36" s="247">
        <v>10</v>
      </c>
      <c r="D36" s="247" t="s">
        <v>28</v>
      </c>
      <c r="E36" s="247">
        <v>3</v>
      </c>
      <c r="F36" s="247" t="s">
        <v>28</v>
      </c>
      <c r="G36" s="247" t="s">
        <v>28</v>
      </c>
      <c r="H36" s="247" t="s">
        <v>28</v>
      </c>
      <c r="I36" s="247" t="s">
        <v>28</v>
      </c>
      <c r="J36" s="248" t="s">
        <v>28</v>
      </c>
      <c r="K36" s="247">
        <v>1</v>
      </c>
      <c r="L36" s="247">
        <v>3</v>
      </c>
      <c r="M36" s="247">
        <v>2</v>
      </c>
      <c r="N36" s="247" t="s">
        <v>28</v>
      </c>
      <c r="O36" s="247" t="s">
        <v>28</v>
      </c>
      <c r="P36" s="247" t="s">
        <v>28</v>
      </c>
      <c r="Q36" s="247" t="s">
        <v>28</v>
      </c>
      <c r="R36" s="254">
        <v>1</v>
      </c>
    </row>
    <row r="37" spans="1:18" s="176" customFormat="1" ht="8.4499999999999993" customHeight="1">
      <c r="A37" s="102" t="s">
        <v>167</v>
      </c>
      <c r="B37" s="170" t="s">
        <v>164</v>
      </c>
      <c r="C37" s="243">
        <v>72</v>
      </c>
      <c r="D37" s="243">
        <v>6</v>
      </c>
      <c r="E37" s="243">
        <v>15</v>
      </c>
      <c r="F37" s="243">
        <v>12</v>
      </c>
      <c r="G37" s="243">
        <v>5</v>
      </c>
      <c r="H37" s="243">
        <v>5</v>
      </c>
      <c r="I37" s="243" t="s">
        <v>28</v>
      </c>
      <c r="J37" s="244">
        <v>2</v>
      </c>
      <c r="K37" s="243">
        <v>2</v>
      </c>
      <c r="L37" s="243" t="s">
        <v>28</v>
      </c>
      <c r="M37" s="243">
        <v>1</v>
      </c>
      <c r="N37" s="243">
        <v>1</v>
      </c>
      <c r="O37" s="243">
        <v>1</v>
      </c>
      <c r="P37" s="243" t="s">
        <v>28</v>
      </c>
      <c r="Q37" s="243">
        <v>3</v>
      </c>
      <c r="R37" s="253">
        <v>19</v>
      </c>
    </row>
    <row r="38" spans="1:18" s="176" customFormat="1" ht="8.4499999999999993" customHeight="1">
      <c r="A38" s="246" t="s">
        <v>29</v>
      </c>
      <c r="B38" s="172" t="s">
        <v>30</v>
      </c>
      <c r="C38" s="247">
        <v>72</v>
      </c>
      <c r="D38" s="247">
        <v>6</v>
      </c>
      <c r="E38" s="247">
        <v>15</v>
      </c>
      <c r="F38" s="247">
        <v>12</v>
      </c>
      <c r="G38" s="247">
        <v>5</v>
      </c>
      <c r="H38" s="247">
        <v>5</v>
      </c>
      <c r="I38" s="247" t="s">
        <v>28</v>
      </c>
      <c r="J38" s="248">
        <v>2</v>
      </c>
      <c r="K38" s="247">
        <v>2</v>
      </c>
      <c r="L38" s="247" t="s">
        <v>28</v>
      </c>
      <c r="M38" s="247">
        <v>1</v>
      </c>
      <c r="N38" s="247">
        <v>1</v>
      </c>
      <c r="O38" s="247">
        <v>1</v>
      </c>
      <c r="P38" s="247" t="s">
        <v>28</v>
      </c>
      <c r="Q38" s="247">
        <v>3</v>
      </c>
      <c r="R38" s="254">
        <v>19</v>
      </c>
    </row>
    <row r="39" spans="1:18" s="176" customFormat="1" ht="8.4499999999999993" customHeight="1">
      <c r="A39" s="102" t="s">
        <v>1400</v>
      </c>
      <c r="B39" s="170" t="s">
        <v>1401</v>
      </c>
      <c r="C39" s="243">
        <v>2</v>
      </c>
      <c r="D39" s="243" t="s">
        <v>28</v>
      </c>
      <c r="E39" s="243" t="s">
        <v>28</v>
      </c>
      <c r="F39" s="243" t="s">
        <v>28</v>
      </c>
      <c r="G39" s="243" t="s">
        <v>28</v>
      </c>
      <c r="H39" s="243" t="s">
        <v>28</v>
      </c>
      <c r="I39" s="243" t="s">
        <v>28</v>
      </c>
      <c r="J39" s="244" t="s">
        <v>28</v>
      </c>
      <c r="K39" s="243" t="s">
        <v>28</v>
      </c>
      <c r="L39" s="243" t="s">
        <v>28</v>
      </c>
      <c r="M39" s="243" t="s">
        <v>28</v>
      </c>
      <c r="N39" s="243" t="s">
        <v>28</v>
      </c>
      <c r="O39" s="243" t="s">
        <v>28</v>
      </c>
      <c r="P39" s="243" t="s">
        <v>28</v>
      </c>
      <c r="Q39" s="243" t="s">
        <v>28</v>
      </c>
      <c r="R39" s="253">
        <v>2</v>
      </c>
    </row>
    <row r="40" spans="1:18" s="176" customFormat="1" ht="8.4499999999999993" customHeight="1">
      <c r="A40" s="246" t="s">
        <v>1402</v>
      </c>
      <c r="B40" s="172" t="s">
        <v>1403</v>
      </c>
      <c r="C40" s="247">
        <v>2</v>
      </c>
      <c r="D40" s="247" t="s">
        <v>28</v>
      </c>
      <c r="E40" s="247" t="s">
        <v>28</v>
      </c>
      <c r="F40" s="247" t="s">
        <v>28</v>
      </c>
      <c r="G40" s="247" t="s">
        <v>28</v>
      </c>
      <c r="H40" s="247" t="s">
        <v>28</v>
      </c>
      <c r="I40" s="247" t="s">
        <v>28</v>
      </c>
      <c r="J40" s="248" t="s">
        <v>28</v>
      </c>
      <c r="K40" s="247" t="s">
        <v>28</v>
      </c>
      <c r="L40" s="247" t="s">
        <v>28</v>
      </c>
      <c r="M40" s="247" t="s">
        <v>28</v>
      </c>
      <c r="N40" s="247" t="s">
        <v>28</v>
      </c>
      <c r="O40" s="247" t="s">
        <v>28</v>
      </c>
      <c r="P40" s="247" t="s">
        <v>28</v>
      </c>
      <c r="Q40" s="247" t="s">
        <v>28</v>
      </c>
      <c r="R40" s="254">
        <v>2</v>
      </c>
    </row>
    <row r="41" spans="1:18" s="176" customFormat="1" ht="8.4499999999999993" customHeight="1">
      <c r="A41" s="102" t="s">
        <v>168</v>
      </c>
      <c r="B41" s="170" t="s">
        <v>555</v>
      </c>
      <c r="C41" s="243">
        <v>187</v>
      </c>
      <c r="D41" s="243">
        <v>7</v>
      </c>
      <c r="E41" s="243">
        <v>7</v>
      </c>
      <c r="F41" s="243">
        <v>5</v>
      </c>
      <c r="G41" s="243">
        <v>10</v>
      </c>
      <c r="H41" s="243">
        <v>15</v>
      </c>
      <c r="I41" s="243">
        <v>19</v>
      </c>
      <c r="J41" s="244">
        <v>4</v>
      </c>
      <c r="K41" s="243">
        <v>4</v>
      </c>
      <c r="L41" s="243">
        <v>2</v>
      </c>
      <c r="M41" s="243">
        <v>1</v>
      </c>
      <c r="N41" s="243">
        <v>4</v>
      </c>
      <c r="O41" s="243">
        <v>4</v>
      </c>
      <c r="P41" s="243">
        <v>5</v>
      </c>
      <c r="Q41" s="243">
        <v>10</v>
      </c>
      <c r="R41" s="253">
        <v>90</v>
      </c>
    </row>
    <row r="42" spans="1:18" s="176" customFormat="1" ht="8.4499999999999993" customHeight="1">
      <c r="A42" s="246" t="s">
        <v>29</v>
      </c>
      <c r="B42" s="172" t="s">
        <v>30</v>
      </c>
      <c r="C42" s="247">
        <v>176</v>
      </c>
      <c r="D42" s="247">
        <v>7</v>
      </c>
      <c r="E42" s="247">
        <v>6</v>
      </c>
      <c r="F42" s="247">
        <v>5</v>
      </c>
      <c r="G42" s="247">
        <v>10</v>
      </c>
      <c r="H42" s="247">
        <v>14</v>
      </c>
      <c r="I42" s="247">
        <v>17</v>
      </c>
      <c r="J42" s="248">
        <v>3</v>
      </c>
      <c r="K42" s="247">
        <v>4</v>
      </c>
      <c r="L42" s="247">
        <v>2</v>
      </c>
      <c r="M42" s="247">
        <v>1</v>
      </c>
      <c r="N42" s="247">
        <v>4</v>
      </c>
      <c r="O42" s="247">
        <v>3</v>
      </c>
      <c r="P42" s="247">
        <v>5</v>
      </c>
      <c r="Q42" s="247">
        <v>10</v>
      </c>
      <c r="R42" s="254">
        <v>85</v>
      </c>
    </row>
    <row r="43" spans="1:18" s="176" customFormat="1" ht="8.4499999999999993" customHeight="1">
      <c r="A43" s="246" t="s">
        <v>31</v>
      </c>
      <c r="B43" s="172" t="s">
        <v>32</v>
      </c>
      <c r="C43" s="247">
        <v>11</v>
      </c>
      <c r="D43" s="247" t="s">
        <v>28</v>
      </c>
      <c r="E43" s="247">
        <v>1</v>
      </c>
      <c r="F43" s="247" t="s">
        <v>28</v>
      </c>
      <c r="G43" s="247" t="s">
        <v>28</v>
      </c>
      <c r="H43" s="247">
        <v>1</v>
      </c>
      <c r="I43" s="247">
        <v>2</v>
      </c>
      <c r="J43" s="248">
        <v>1</v>
      </c>
      <c r="K43" s="247" t="s">
        <v>28</v>
      </c>
      <c r="L43" s="247" t="s">
        <v>28</v>
      </c>
      <c r="M43" s="247" t="s">
        <v>28</v>
      </c>
      <c r="N43" s="247" t="s">
        <v>28</v>
      </c>
      <c r="O43" s="247">
        <v>1</v>
      </c>
      <c r="P43" s="247" t="s">
        <v>28</v>
      </c>
      <c r="Q43" s="247" t="s">
        <v>28</v>
      </c>
      <c r="R43" s="254">
        <v>5</v>
      </c>
    </row>
    <row r="44" spans="1:18" s="242" customFormat="1" ht="10.5" customHeight="1">
      <c r="A44" s="102" t="s">
        <v>169</v>
      </c>
      <c r="B44" s="170" t="s">
        <v>1130</v>
      </c>
      <c r="C44" s="243">
        <v>46</v>
      </c>
      <c r="D44" s="243">
        <v>1</v>
      </c>
      <c r="E44" s="243">
        <v>4</v>
      </c>
      <c r="F44" s="243">
        <v>3</v>
      </c>
      <c r="G44" s="243">
        <v>8</v>
      </c>
      <c r="H44" s="243">
        <v>3</v>
      </c>
      <c r="I44" s="243">
        <v>4</v>
      </c>
      <c r="J44" s="244">
        <v>1</v>
      </c>
      <c r="K44" s="243">
        <v>1</v>
      </c>
      <c r="L44" s="243">
        <v>1</v>
      </c>
      <c r="M44" s="243">
        <v>2</v>
      </c>
      <c r="N44" s="243">
        <v>2</v>
      </c>
      <c r="O44" s="243" t="s">
        <v>28</v>
      </c>
      <c r="P44" s="243">
        <v>2</v>
      </c>
      <c r="Q44" s="243">
        <v>9</v>
      </c>
      <c r="R44" s="253">
        <v>5</v>
      </c>
    </row>
    <row r="45" spans="1:18" s="176" customFormat="1" ht="8.4499999999999993" customHeight="1" thickBot="1">
      <c r="A45" s="246" t="s">
        <v>29</v>
      </c>
      <c r="B45" s="172" t="s">
        <v>30</v>
      </c>
      <c r="C45" s="247">
        <v>46</v>
      </c>
      <c r="D45" s="247">
        <v>1</v>
      </c>
      <c r="E45" s="247">
        <v>4</v>
      </c>
      <c r="F45" s="247">
        <v>3</v>
      </c>
      <c r="G45" s="247">
        <v>8</v>
      </c>
      <c r="H45" s="247">
        <v>3</v>
      </c>
      <c r="I45" s="247">
        <v>4</v>
      </c>
      <c r="J45" s="248">
        <v>1</v>
      </c>
      <c r="K45" s="247">
        <v>1</v>
      </c>
      <c r="L45" s="247">
        <v>1</v>
      </c>
      <c r="M45" s="247">
        <v>2</v>
      </c>
      <c r="N45" s="247">
        <v>2</v>
      </c>
      <c r="O45" s="247" t="s">
        <v>28</v>
      </c>
      <c r="P45" s="247">
        <v>2</v>
      </c>
      <c r="Q45" s="247">
        <v>9</v>
      </c>
      <c r="R45" s="254">
        <v>5</v>
      </c>
    </row>
    <row r="46" spans="1:18" s="176" customFormat="1" ht="8.4499999999999993" customHeight="1" thickBot="1">
      <c r="A46" s="1123" t="s">
        <v>33</v>
      </c>
      <c r="B46" s="1123"/>
      <c r="C46" s="1123"/>
      <c r="D46" s="1123"/>
      <c r="E46" s="1123"/>
      <c r="F46" s="1123"/>
      <c r="G46" s="1123"/>
      <c r="H46" s="1123"/>
      <c r="I46" s="1123"/>
      <c r="J46" s="1123" t="s">
        <v>34</v>
      </c>
      <c r="K46" s="1123"/>
      <c r="L46" s="1123"/>
      <c r="M46" s="1123"/>
      <c r="N46" s="1123"/>
      <c r="O46" s="1123"/>
      <c r="P46" s="1123"/>
      <c r="Q46" s="1123"/>
      <c r="R46" s="1123"/>
    </row>
    <row r="47" spans="1:18" s="176" customFormat="1" ht="8.4499999999999993" customHeight="1">
      <c r="A47" s="102" t="s">
        <v>1179</v>
      </c>
      <c r="B47" s="170" t="s">
        <v>36</v>
      </c>
      <c r="C47" s="243">
        <v>1172</v>
      </c>
      <c r="D47" s="243">
        <v>68</v>
      </c>
      <c r="E47" s="243">
        <v>77</v>
      </c>
      <c r="F47" s="243">
        <v>104</v>
      </c>
      <c r="G47" s="243">
        <v>117</v>
      </c>
      <c r="H47" s="243">
        <v>120</v>
      </c>
      <c r="I47" s="252">
        <v>103</v>
      </c>
      <c r="J47" s="252">
        <v>46</v>
      </c>
      <c r="K47" s="243">
        <v>41</v>
      </c>
      <c r="L47" s="243">
        <v>31</v>
      </c>
      <c r="M47" s="243">
        <v>25</v>
      </c>
      <c r="N47" s="243">
        <v>22</v>
      </c>
      <c r="O47" s="243">
        <v>26</v>
      </c>
      <c r="P47" s="243">
        <v>27</v>
      </c>
      <c r="Q47" s="243">
        <v>17</v>
      </c>
      <c r="R47" s="245">
        <v>348</v>
      </c>
    </row>
    <row r="48" spans="1:18" s="176" customFormat="1" ht="8.4499999999999993" customHeight="1">
      <c r="A48" s="246" t="s">
        <v>29</v>
      </c>
      <c r="B48" s="172" t="s">
        <v>30</v>
      </c>
      <c r="C48" s="247">
        <v>970</v>
      </c>
      <c r="D48" s="247">
        <v>58</v>
      </c>
      <c r="E48" s="247">
        <v>70</v>
      </c>
      <c r="F48" s="247">
        <v>94</v>
      </c>
      <c r="G48" s="247">
        <v>106</v>
      </c>
      <c r="H48" s="247">
        <v>99</v>
      </c>
      <c r="I48" s="248">
        <v>83</v>
      </c>
      <c r="J48" s="248">
        <v>40</v>
      </c>
      <c r="K48" s="247">
        <v>39</v>
      </c>
      <c r="L48" s="247">
        <v>25</v>
      </c>
      <c r="M48" s="247">
        <v>20</v>
      </c>
      <c r="N48" s="247">
        <v>20</v>
      </c>
      <c r="O48" s="247">
        <v>20</v>
      </c>
      <c r="P48" s="247">
        <v>25</v>
      </c>
      <c r="Q48" s="247">
        <v>15</v>
      </c>
      <c r="R48" s="249">
        <v>256</v>
      </c>
    </row>
    <row r="49" spans="1:18" s="176" customFormat="1" ht="8.4499999999999993" customHeight="1">
      <c r="A49" s="246" t="s">
        <v>31</v>
      </c>
      <c r="B49" s="172" t="s">
        <v>32</v>
      </c>
      <c r="C49" s="247">
        <v>202</v>
      </c>
      <c r="D49" s="247">
        <v>10</v>
      </c>
      <c r="E49" s="247">
        <v>7</v>
      </c>
      <c r="F49" s="247">
        <v>10</v>
      </c>
      <c r="G49" s="247">
        <v>11</v>
      </c>
      <c r="H49" s="247">
        <v>21</v>
      </c>
      <c r="I49" s="248">
        <v>20</v>
      </c>
      <c r="J49" s="248">
        <v>6</v>
      </c>
      <c r="K49" s="247">
        <v>2</v>
      </c>
      <c r="L49" s="247">
        <v>6</v>
      </c>
      <c r="M49" s="247">
        <v>5</v>
      </c>
      <c r="N49" s="247">
        <v>2</v>
      </c>
      <c r="O49" s="247">
        <v>6</v>
      </c>
      <c r="P49" s="247">
        <v>2</v>
      </c>
      <c r="Q49" s="247">
        <v>2</v>
      </c>
      <c r="R49" s="249">
        <v>92</v>
      </c>
    </row>
    <row r="50" spans="1:18" s="176" customFormat="1" ht="8.4499999999999993" customHeight="1">
      <c r="A50" s="102" t="s">
        <v>37</v>
      </c>
      <c r="B50" s="170" t="s">
        <v>38</v>
      </c>
      <c r="C50" s="243">
        <v>1446</v>
      </c>
      <c r="D50" s="243">
        <v>55</v>
      </c>
      <c r="E50" s="243">
        <v>75</v>
      </c>
      <c r="F50" s="243">
        <v>83</v>
      </c>
      <c r="G50" s="243">
        <v>82</v>
      </c>
      <c r="H50" s="243">
        <v>95</v>
      </c>
      <c r="I50" s="244">
        <v>84</v>
      </c>
      <c r="J50" s="244">
        <v>42</v>
      </c>
      <c r="K50" s="243">
        <v>40</v>
      </c>
      <c r="L50" s="243">
        <v>38</v>
      </c>
      <c r="M50" s="243">
        <v>21</v>
      </c>
      <c r="N50" s="243">
        <v>32</v>
      </c>
      <c r="O50" s="243">
        <v>19</v>
      </c>
      <c r="P50" s="243">
        <v>24</v>
      </c>
      <c r="Q50" s="243">
        <v>27</v>
      </c>
      <c r="R50" s="245">
        <v>729</v>
      </c>
    </row>
    <row r="51" spans="1:18" s="176" customFormat="1" ht="8.4499999999999993" customHeight="1">
      <c r="A51" s="246" t="s">
        <v>29</v>
      </c>
      <c r="B51" s="172" t="s">
        <v>30</v>
      </c>
      <c r="C51" s="247">
        <v>1446</v>
      </c>
      <c r="D51" s="247">
        <v>55</v>
      </c>
      <c r="E51" s="247">
        <v>75</v>
      </c>
      <c r="F51" s="247">
        <v>83</v>
      </c>
      <c r="G51" s="247">
        <v>82</v>
      </c>
      <c r="H51" s="247">
        <v>95</v>
      </c>
      <c r="I51" s="248">
        <v>84</v>
      </c>
      <c r="J51" s="248">
        <v>42</v>
      </c>
      <c r="K51" s="247">
        <v>40</v>
      </c>
      <c r="L51" s="247">
        <v>38</v>
      </c>
      <c r="M51" s="247">
        <v>21</v>
      </c>
      <c r="N51" s="247">
        <v>32</v>
      </c>
      <c r="O51" s="247">
        <v>19</v>
      </c>
      <c r="P51" s="247">
        <v>24</v>
      </c>
      <c r="Q51" s="247">
        <v>27</v>
      </c>
      <c r="R51" s="249">
        <v>729</v>
      </c>
    </row>
    <row r="52" spans="1:18" s="176" customFormat="1" ht="8.4499999999999993" customHeight="1">
      <c r="A52" s="102" t="s">
        <v>39</v>
      </c>
      <c r="B52" s="170" t="s">
        <v>40</v>
      </c>
      <c r="C52" s="243">
        <v>2021</v>
      </c>
      <c r="D52" s="243">
        <v>78</v>
      </c>
      <c r="E52" s="243">
        <v>117</v>
      </c>
      <c r="F52" s="243">
        <v>111</v>
      </c>
      <c r="G52" s="243">
        <v>135</v>
      </c>
      <c r="H52" s="243">
        <v>173</v>
      </c>
      <c r="I52" s="244">
        <v>128</v>
      </c>
      <c r="J52" s="244">
        <v>84</v>
      </c>
      <c r="K52" s="243">
        <v>76</v>
      </c>
      <c r="L52" s="243">
        <v>43</v>
      </c>
      <c r="M52" s="243">
        <v>45</v>
      </c>
      <c r="N52" s="243">
        <v>47</v>
      </c>
      <c r="O52" s="243">
        <v>41</v>
      </c>
      <c r="P52" s="243">
        <v>47</v>
      </c>
      <c r="Q52" s="243">
        <v>59</v>
      </c>
      <c r="R52" s="245">
        <v>837</v>
      </c>
    </row>
    <row r="53" spans="1:18" s="176" customFormat="1" ht="8.4499999999999993" customHeight="1">
      <c r="A53" s="246" t="s">
        <v>29</v>
      </c>
      <c r="B53" s="172" t="s">
        <v>30</v>
      </c>
      <c r="C53" s="247">
        <v>1950</v>
      </c>
      <c r="D53" s="247">
        <v>75</v>
      </c>
      <c r="E53" s="247">
        <v>112</v>
      </c>
      <c r="F53" s="247">
        <v>104</v>
      </c>
      <c r="G53" s="247">
        <v>131</v>
      </c>
      <c r="H53" s="247">
        <v>168</v>
      </c>
      <c r="I53" s="248">
        <v>124</v>
      </c>
      <c r="J53" s="248">
        <v>74</v>
      </c>
      <c r="K53" s="247">
        <v>73</v>
      </c>
      <c r="L53" s="247">
        <v>42</v>
      </c>
      <c r="M53" s="247">
        <v>43</v>
      </c>
      <c r="N53" s="247">
        <v>46</v>
      </c>
      <c r="O53" s="247">
        <v>40</v>
      </c>
      <c r="P53" s="247">
        <v>45</v>
      </c>
      <c r="Q53" s="247">
        <v>59</v>
      </c>
      <c r="R53" s="249">
        <v>814</v>
      </c>
    </row>
    <row r="54" spans="1:18" s="176" customFormat="1" ht="8.4499999999999993" customHeight="1">
      <c r="A54" s="246" t="s">
        <v>31</v>
      </c>
      <c r="B54" s="172" t="s">
        <v>32</v>
      </c>
      <c r="C54" s="247">
        <v>71</v>
      </c>
      <c r="D54" s="247">
        <v>3</v>
      </c>
      <c r="E54" s="247">
        <v>5</v>
      </c>
      <c r="F54" s="247">
        <v>7</v>
      </c>
      <c r="G54" s="247">
        <v>4</v>
      </c>
      <c r="H54" s="247">
        <v>5</v>
      </c>
      <c r="I54" s="248">
        <v>4</v>
      </c>
      <c r="J54" s="248">
        <v>10</v>
      </c>
      <c r="K54" s="247">
        <v>3</v>
      </c>
      <c r="L54" s="247">
        <v>1</v>
      </c>
      <c r="M54" s="247">
        <v>2</v>
      </c>
      <c r="N54" s="247">
        <v>1</v>
      </c>
      <c r="O54" s="247">
        <v>1</v>
      </c>
      <c r="P54" s="247">
        <v>2</v>
      </c>
      <c r="Q54" s="247" t="s">
        <v>28</v>
      </c>
      <c r="R54" s="249">
        <v>23</v>
      </c>
    </row>
    <row r="55" spans="1:18" s="176" customFormat="1" ht="8.4499999999999993" customHeight="1">
      <c r="A55" s="102" t="s">
        <v>41</v>
      </c>
      <c r="B55" s="170" t="s">
        <v>42</v>
      </c>
      <c r="C55" s="243">
        <v>1376</v>
      </c>
      <c r="D55" s="243">
        <v>79</v>
      </c>
      <c r="E55" s="243">
        <v>110</v>
      </c>
      <c r="F55" s="243">
        <v>101</v>
      </c>
      <c r="G55" s="243">
        <v>106</v>
      </c>
      <c r="H55" s="243">
        <v>110</v>
      </c>
      <c r="I55" s="244">
        <v>113</v>
      </c>
      <c r="J55" s="244">
        <v>64</v>
      </c>
      <c r="K55" s="243">
        <v>51</v>
      </c>
      <c r="L55" s="243">
        <v>51</v>
      </c>
      <c r="M55" s="243">
        <v>40</v>
      </c>
      <c r="N55" s="243">
        <v>36</v>
      </c>
      <c r="O55" s="243">
        <v>25</v>
      </c>
      <c r="P55" s="243">
        <v>27</v>
      </c>
      <c r="Q55" s="243">
        <v>34</v>
      </c>
      <c r="R55" s="245">
        <v>429</v>
      </c>
    </row>
    <row r="56" spans="1:18" s="176" customFormat="1" ht="8.4499999999999993" customHeight="1">
      <c r="A56" s="246" t="s">
        <v>29</v>
      </c>
      <c r="B56" s="172" t="s">
        <v>30</v>
      </c>
      <c r="C56" s="247">
        <v>1376</v>
      </c>
      <c r="D56" s="247">
        <v>79</v>
      </c>
      <c r="E56" s="247">
        <v>110</v>
      </c>
      <c r="F56" s="247">
        <v>101</v>
      </c>
      <c r="G56" s="247">
        <v>106</v>
      </c>
      <c r="H56" s="247">
        <v>110</v>
      </c>
      <c r="I56" s="248">
        <v>113</v>
      </c>
      <c r="J56" s="248">
        <v>64</v>
      </c>
      <c r="K56" s="247">
        <v>51</v>
      </c>
      <c r="L56" s="247">
        <v>51</v>
      </c>
      <c r="M56" s="247">
        <v>40</v>
      </c>
      <c r="N56" s="247">
        <v>36</v>
      </c>
      <c r="O56" s="247">
        <v>25</v>
      </c>
      <c r="P56" s="247">
        <v>27</v>
      </c>
      <c r="Q56" s="247">
        <v>34</v>
      </c>
      <c r="R56" s="249">
        <v>429</v>
      </c>
    </row>
    <row r="57" spans="1:18" s="176" customFormat="1" ht="8.4499999999999993" customHeight="1">
      <c r="A57" s="102" t="s">
        <v>43</v>
      </c>
      <c r="B57" s="170" t="s">
        <v>44</v>
      </c>
      <c r="C57" s="243">
        <v>170</v>
      </c>
      <c r="D57" s="243">
        <v>7</v>
      </c>
      <c r="E57" s="243">
        <v>11</v>
      </c>
      <c r="F57" s="243">
        <v>6</v>
      </c>
      <c r="G57" s="243">
        <v>8</v>
      </c>
      <c r="H57" s="243">
        <v>10</v>
      </c>
      <c r="I57" s="244">
        <v>12</v>
      </c>
      <c r="J57" s="244">
        <v>11</v>
      </c>
      <c r="K57" s="243">
        <v>4</v>
      </c>
      <c r="L57" s="243">
        <v>4</v>
      </c>
      <c r="M57" s="243">
        <v>3</v>
      </c>
      <c r="N57" s="243">
        <v>3</v>
      </c>
      <c r="O57" s="243">
        <v>6</v>
      </c>
      <c r="P57" s="243">
        <v>1</v>
      </c>
      <c r="Q57" s="243">
        <v>4</v>
      </c>
      <c r="R57" s="245">
        <v>80</v>
      </c>
    </row>
    <row r="58" spans="1:18" s="242" customFormat="1" ht="10.5" customHeight="1">
      <c r="A58" s="246" t="s">
        <v>29</v>
      </c>
      <c r="B58" s="172" t="s">
        <v>30</v>
      </c>
      <c r="C58" s="247">
        <v>143</v>
      </c>
      <c r="D58" s="247">
        <v>7</v>
      </c>
      <c r="E58" s="247">
        <v>11</v>
      </c>
      <c r="F58" s="247">
        <v>5</v>
      </c>
      <c r="G58" s="247">
        <v>6</v>
      </c>
      <c r="H58" s="247">
        <v>9</v>
      </c>
      <c r="I58" s="248">
        <v>11</v>
      </c>
      <c r="J58" s="248">
        <v>10</v>
      </c>
      <c r="K58" s="247">
        <v>4</v>
      </c>
      <c r="L58" s="247">
        <v>4</v>
      </c>
      <c r="M58" s="247">
        <v>2</v>
      </c>
      <c r="N58" s="247">
        <v>2</v>
      </c>
      <c r="O58" s="247">
        <v>6</v>
      </c>
      <c r="P58" s="247" t="s">
        <v>28</v>
      </c>
      <c r="Q58" s="247">
        <v>2</v>
      </c>
      <c r="R58" s="254">
        <v>64</v>
      </c>
    </row>
    <row r="59" spans="1:18" s="176" customFormat="1" ht="8.4499999999999993" customHeight="1" thickBot="1">
      <c r="A59" s="406" t="s">
        <v>31</v>
      </c>
      <c r="B59" s="174" t="s">
        <v>32</v>
      </c>
      <c r="C59" s="250">
        <v>27</v>
      </c>
      <c r="D59" s="250" t="s">
        <v>28</v>
      </c>
      <c r="E59" s="250" t="s">
        <v>28</v>
      </c>
      <c r="F59" s="250">
        <v>1</v>
      </c>
      <c r="G59" s="250">
        <v>2</v>
      </c>
      <c r="H59" s="250">
        <v>1</v>
      </c>
      <c r="I59" s="251">
        <v>1</v>
      </c>
      <c r="J59" s="251">
        <v>1</v>
      </c>
      <c r="K59" s="250" t="s">
        <v>28</v>
      </c>
      <c r="L59" s="250" t="s">
        <v>28</v>
      </c>
      <c r="M59" s="250">
        <v>1</v>
      </c>
      <c r="N59" s="250">
        <v>1</v>
      </c>
      <c r="O59" s="250" t="s">
        <v>28</v>
      </c>
      <c r="P59" s="250">
        <v>1</v>
      </c>
      <c r="Q59" s="250">
        <v>2</v>
      </c>
      <c r="R59" s="255">
        <v>16</v>
      </c>
    </row>
    <row r="60" spans="1:18" s="176" customFormat="1" ht="8.4499999999999993" customHeight="1" thickBot="1">
      <c r="A60" s="1848" t="s">
        <v>45</v>
      </c>
      <c r="B60" s="1848"/>
      <c r="C60" s="1848"/>
      <c r="D60" s="1848"/>
      <c r="E60" s="1848"/>
      <c r="F60" s="1848"/>
      <c r="G60" s="1848"/>
      <c r="H60" s="1848"/>
      <c r="I60" s="1848"/>
      <c r="J60" s="1848" t="s">
        <v>46</v>
      </c>
      <c r="K60" s="1848"/>
      <c r="L60" s="1848"/>
      <c r="M60" s="1848"/>
      <c r="N60" s="1848"/>
      <c r="O60" s="1848"/>
      <c r="P60" s="1848"/>
      <c r="Q60" s="1848"/>
      <c r="R60" s="1848"/>
    </row>
    <row r="61" spans="1:18" s="176" customFormat="1" ht="8.4499999999999993" customHeight="1">
      <c r="A61" s="102" t="s">
        <v>47</v>
      </c>
      <c r="B61" s="170" t="s">
        <v>48</v>
      </c>
      <c r="C61" s="243">
        <v>439</v>
      </c>
      <c r="D61" s="243">
        <v>26</v>
      </c>
      <c r="E61" s="243">
        <v>38</v>
      </c>
      <c r="F61" s="243">
        <v>37</v>
      </c>
      <c r="G61" s="243">
        <v>44</v>
      </c>
      <c r="H61" s="243">
        <v>41</v>
      </c>
      <c r="I61" s="243">
        <v>35</v>
      </c>
      <c r="J61" s="252">
        <v>16</v>
      </c>
      <c r="K61" s="410">
        <v>14</v>
      </c>
      <c r="L61" s="410">
        <v>5</v>
      </c>
      <c r="M61" s="410">
        <v>13</v>
      </c>
      <c r="N61" s="410">
        <v>8</v>
      </c>
      <c r="O61" s="410">
        <v>13</v>
      </c>
      <c r="P61" s="410">
        <v>13</v>
      </c>
      <c r="Q61" s="410">
        <v>7</v>
      </c>
      <c r="R61" s="411">
        <v>129</v>
      </c>
    </row>
    <row r="62" spans="1:18" s="176" customFormat="1" ht="8.4499999999999993" customHeight="1">
      <c r="A62" s="246" t="s">
        <v>29</v>
      </c>
      <c r="B62" s="172" t="s">
        <v>30</v>
      </c>
      <c r="C62" s="247">
        <v>354</v>
      </c>
      <c r="D62" s="247">
        <v>21</v>
      </c>
      <c r="E62" s="247">
        <v>34</v>
      </c>
      <c r="F62" s="247">
        <v>34</v>
      </c>
      <c r="G62" s="247">
        <v>40</v>
      </c>
      <c r="H62" s="247">
        <v>35</v>
      </c>
      <c r="I62" s="409">
        <v>26</v>
      </c>
      <c r="J62" s="383">
        <v>15</v>
      </c>
      <c r="K62" s="247">
        <v>14</v>
      </c>
      <c r="L62" s="247">
        <v>4</v>
      </c>
      <c r="M62" s="247">
        <v>9</v>
      </c>
      <c r="N62" s="247">
        <v>8</v>
      </c>
      <c r="O62" s="247">
        <v>10</v>
      </c>
      <c r="P62" s="247">
        <v>11</v>
      </c>
      <c r="Q62" s="247">
        <v>6</v>
      </c>
      <c r="R62" s="249">
        <v>87</v>
      </c>
    </row>
    <row r="63" spans="1:18" s="176" customFormat="1" ht="8.4499999999999993" customHeight="1">
      <c r="A63" s="246" t="s">
        <v>31</v>
      </c>
      <c r="B63" s="172" t="s">
        <v>32</v>
      </c>
      <c r="C63" s="247">
        <v>85</v>
      </c>
      <c r="D63" s="247">
        <v>5</v>
      </c>
      <c r="E63" s="247">
        <v>4</v>
      </c>
      <c r="F63" s="247">
        <v>3</v>
      </c>
      <c r="G63" s="247">
        <v>4</v>
      </c>
      <c r="H63" s="247">
        <v>6</v>
      </c>
      <c r="I63" s="409">
        <v>9</v>
      </c>
      <c r="J63" s="383">
        <v>1</v>
      </c>
      <c r="K63" s="247" t="s">
        <v>28</v>
      </c>
      <c r="L63" s="247">
        <v>1</v>
      </c>
      <c r="M63" s="247">
        <v>4</v>
      </c>
      <c r="N63" s="247" t="s">
        <v>28</v>
      </c>
      <c r="O63" s="247">
        <v>3</v>
      </c>
      <c r="P63" s="247">
        <v>2</v>
      </c>
      <c r="Q63" s="247">
        <v>1</v>
      </c>
      <c r="R63" s="249">
        <v>42</v>
      </c>
    </row>
    <row r="64" spans="1:18" s="176" customFormat="1" ht="8.4499999999999993" customHeight="1">
      <c r="A64" s="102" t="s">
        <v>49</v>
      </c>
      <c r="B64" s="170" t="s">
        <v>50</v>
      </c>
      <c r="C64" s="243">
        <v>104</v>
      </c>
      <c r="D64" s="243">
        <v>5</v>
      </c>
      <c r="E64" s="243">
        <v>6</v>
      </c>
      <c r="F64" s="243">
        <v>5</v>
      </c>
      <c r="G64" s="243">
        <v>5</v>
      </c>
      <c r="H64" s="243">
        <v>18</v>
      </c>
      <c r="I64" s="407">
        <v>7</v>
      </c>
      <c r="J64" s="408">
        <v>2</v>
      </c>
      <c r="K64" s="243">
        <v>4</v>
      </c>
      <c r="L64" s="243">
        <v>3</v>
      </c>
      <c r="M64" s="243" t="s">
        <v>28</v>
      </c>
      <c r="N64" s="243">
        <v>1</v>
      </c>
      <c r="O64" s="243">
        <v>4</v>
      </c>
      <c r="P64" s="243" t="s">
        <v>28</v>
      </c>
      <c r="Q64" s="243">
        <v>1</v>
      </c>
      <c r="R64" s="245">
        <v>43</v>
      </c>
    </row>
    <row r="65" spans="1:18" s="176" customFormat="1" ht="8.4499999999999993" customHeight="1">
      <c r="A65" s="246" t="s">
        <v>29</v>
      </c>
      <c r="B65" s="172" t="s">
        <v>30</v>
      </c>
      <c r="C65" s="412">
        <v>35</v>
      </c>
      <c r="D65" s="247">
        <v>3</v>
      </c>
      <c r="E65" s="247">
        <v>4</v>
      </c>
      <c r="F65" s="247">
        <v>3</v>
      </c>
      <c r="G65" s="247">
        <v>2</v>
      </c>
      <c r="H65" s="247">
        <v>6</v>
      </c>
      <c r="I65" s="409">
        <v>1</v>
      </c>
      <c r="J65" s="383">
        <v>2</v>
      </c>
      <c r="K65" s="247">
        <v>2</v>
      </c>
      <c r="L65" s="247">
        <v>1</v>
      </c>
      <c r="M65" s="247" t="s">
        <v>28</v>
      </c>
      <c r="N65" s="247" t="s">
        <v>28</v>
      </c>
      <c r="O65" s="247">
        <v>1</v>
      </c>
      <c r="P65" s="247" t="s">
        <v>28</v>
      </c>
      <c r="Q65" s="247" t="s">
        <v>28</v>
      </c>
      <c r="R65" s="249">
        <v>10</v>
      </c>
    </row>
    <row r="66" spans="1:18" s="176" customFormat="1" ht="8.4499999999999993" customHeight="1">
      <c r="A66" s="246" t="s">
        <v>31</v>
      </c>
      <c r="B66" s="172" t="s">
        <v>32</v>
      </c>
      <c r="C66" s="247">
        <v>69</v>
      </c>
      <c r="D66" s="247">
        <v>2</v>
      </c>
      <c r="E66" s="247">
        <v>2</v>
      </c>
      <c r="F66" s="247">
        <v>2</v>
      </c>
      <c r="G66" s="247">
        <v>3</v>
      </c>
      <c r="H66" s="247">
        <v>12</v>
      </c>
      <c r="I66" s="409">
        <v>6</v>
      </c>
      <c r="J66" s="383" t="s">
        <v>28</v>
      </c>
      <c r="K66" s="247">
        <v>2</v>
      </c>
      <c r="L66" s="247">
        <v>2</v>
      </c>
      <c r="M66" s="247" t="s">
        <v>28</v>
      </c>
      <c r="N66" s="247">
        <v>1</v>
      </c>
      <c r="O66" s="247">
        <v>3</v>
      </c>
      <c r="P66" s="247" t="s">
        <v>28</v>
      </c>
      <c r="Q66" s="247">
        <v>1</v>
      </c>
      <c r="R66" s="249">
        <v>33</v>
      </c>
    </row>
    <row r="67" spans="1:18" s="176" customFormat="1" ht="8.4499999999999993" customHeight="1">
      <c r="A67" s="102" t="s">
        <v>963</v>
      </c>
      <c r="B67" s="170" t="s">
        <v>964</v>
      </c>
      <c r="C67" s="243">
        <v>579</v>
      </c>
      <c r="D67" s="243">
        <v>32</v>
      </c>
      <c r="E67" s="243">
        <v>29</v>
      </c>
      <c r="F67" s="243">
        <v>55</v>
      </c>
      <c r="G67" s="243">
        <v>65</v>
      </c>
      <c r="H67" s="243">
        <v>58</v>
      </c>
      <c r="I67" s="407">
        <v>56</v>
      </c>
      <c r="J67" s="408">
        <v>24</v>
      </c>
      <c r="K67" s="243">
        <v>23</v>
      </c>
      <c r="L67" s="243">
        <v>22</v>
      </c>
      <c r="M67" s="243">
        <v>12</v>
      </c>
      <c r="N67" s="243">
        <v>10</v>
      </c>
      <c r="O67" s="243">
        <v>9</v>
      </c>
      <c r="P67" s="243">
        <v>13</v>
      </c>
      <c r="Q67" s="243">
        <v>7</v>
      </c>
      <c r="R67" s="245">
        <v>164</v>
      </c>
    </row>
    <row r="68" spans="1:18" s="176" customFormat="1" ht="8.4499999999999993" customHeight="1">
      <c r="A68" s="246" t="s">
        <v>29</v>
      </c>
      <c r="B68" s="172" t="s">
        <v>30</v>
      </c>
      <c r="C68" s="247">
        <v>531</v>
      </c>
      <c r="D68" s="247">
        <v>29</v>
      </c>
      <c r="E68" s="247">
        <v>28</v>
      </c>
      <c r="F68" s="247">
        <v>50</v>
      </c>
      <c r="G68" s="247">
        <v>61</v>
      </c>
      <c r="H68" s="247">
        <v>55</v>
      </c>
      <c r="I68" s="409">
        <v>51</v>
      </c>
      <c r="J68" s="383">
        <v>19</v>
      </c>
      <c r="K68" s="247">
        <v>23</v>
      </c>
      <c r="L68" s="247">
        <v>19</v>
      </c>
      <c r="M68" s="247">
        <v>11</v>
      </c>
      <c r="N68" s="247">
        <v>9</v>
      </c>
      <c r="O68" s="247">
        <v>9</v>
      </c>
      <c r="P68" s="247">
        <v>13</v>
      </c>
      <c r="Q68" s="247">
        <v>7</v>
      </c>
      <c r="R68" s="249">
        <v>147</v>
      </c>
    </row>
    <row r="69" spans="1:18" s="176" customFormat="1" ht="8.4499999999999993" customHeight="1">
      <c r="A69" s="246" t="s">
        <v>31</v>
      </c>
      <c r="B69" s="172" t="s">
        <v>32</v>
      </c>
      <c r="C69" s="247">
        <v>48</v>
      </c>
      <c r="D69" s="247">
        <v>3</v>
      </c>
      <c r="E69" s="247">
        <v>1</v>
      </c>
      <c r="F69" s="247">
        <v>5</v>
      </c>
      <c r="G69" s="247">
        <v>4</v>
      </c>
      <c r="H69" s="247">
        <v>3</v>
      </c>
      <c r="I69" s="409">
        <v>5</v>
      </c>
      <c r="J69" s="383">
        <v>5</v>
      </c>
      <c r="K69" s="247" t="s">
        <v>28</v>
      </c>
      <c r="L69" s="247">
        <v>3</v>
      </c>
      <c r="M69" s="247">
        <v>1</v>
      </c>
      <c r="N69" s="247">
        <v>1</v>
      </c>
      <c r="O69" s="247" t="s">
        <v>28</v>
      </c>
      <c r="P69" s="247" t="s">
        <v>28</v>
      </c>
      <c r="Q69" s="247" t="s">
        <v>28</v>
      </c>
      <c r="R69" s="249">
        <v>17</v>
      </c>
    </row>
    <row r="70" spans="1:18" s="176" customFormat="1" ht="8.4499999999999993" customHeight="1">
      <c r="A70" s="102" t="s">
        <v>51</v>
      </c>
      <c r="B70" s="170" t="s">
        <v>52</v>
      </c>
      <c r="C70" s="243">
        <v>984</v>
      </c>
      <c r="D70" s="243">
        <v>37</v>
      </c>
      <c r="E70" s="243">
        <v>58</v>
      </c>
      <c r="F70" s="243">
        <v>58</v>
      </c>
      <c r="G70" s="243">
        <v>68</v>
      </c>
      <c r="H70" s="243">
        <v>79</v>
      </c>
      <c r="I70" s="407">
        <v>59</v>
      </c>
      <c r="J70" s="408">
        <v>41</v>
      </c>
      <c r="K70" s="243">
        <v>42</v>
      </c>
      <c r="L70" s="243">
        <v>19</v>
      </c>
      <c r="M70" s="243">
        <v>18</v>
      </c>
      <c r="N70" s="243">
        <v>17</v>
      </c>
      <c r="O70" s="243">
        <v>23</v>
      </c>
      <c r="P70" s="243">
        <v>26</v>
      </c>
      <c r="Q70" s="243">
        <v>25</v>
      </c>
      <c r="R70" s="245">
        <v>414</v>
      </c>
    </row>
    <row r="71" spans="1:18" s="176" customFormat="1" ht="8.4499999999999993" customHeight="1">
      <c r="A71" s="246" t="s">
        <v>29</v>
      </c>
      <c r="B71" s="172" t="s">
        <v>30</v>
      </c>
      <c r="C71" s="247">
        <v>938</v>
      </c>
      <c r="D71" s="247">
        <v>36</v>
      </c>
      <c r="E71" s="247">
        <v>56</v>
      </c>
      <c r="F71" s="247">
        <v>53</v>
      </c>
      <c r="G71" s="247">
        <v>64</v>
      </c>
      <c r="H71" s="247">
        <v>74</v>
      </c>
      <c r="I71" s="409">
        <v>57</v>
      </c>
      <c r="J71" s="383">
        <v>35</v>
      </c>
      <c r="K71" s="247">
        <v>39</v>
      </c>
      <c r="L71" s="247">
        <v>18</v>
      </c>
      <c r="M71" s="247">
        <v>16</v>
      </c>
      <c r="N71" s="247">
        <v>16</v>
      </c>
      <c r="O71" s="247">
        <v>22</v>
      </c>
      <c r="P71" s="247">
        <v>26</v>
      </c>
      <c r="Q71" s="247">
        <v>25</v>
      </c>
      <c r="R71" s="249">
        <v>401</v>
      </c>
    </row>
    <row r="72" spans="1:18" s="176" customFormat="1" ht="8.4499999999999993" customHeight="1">
      <c r="A72" s="246" t="s">
        <v>31</v>
      </c>
      <c r="B72" s="172" t="s">
        <v>32</v>
      </c>
      <c r="C72" s="247">
        <v>46</v>
      </c>
      <c r="D72" s="247">
        <v>1</v>
      </c>
      <c r="E72" s="247">
        <v>2</v>
      </c>
      <c r="F72" s="247">
        <v>5</v>
      </c>
      <c r="G72" s="247">
        <v>4</v>
      </c>
      <c r="H72" s="247">
        <v>5</v>
      </c>
      <c r="I72" s="409">
        <v>2</v>
      </c>
      <c r="J72" s="383">
        <v>6</v>
      </c>
      <c r="K72" s="247">
        <v>3</v>
      </c>
      <c r="L72" s="247">
        <v>1</v>
      </c>
      <c r="M72" s="247">
        <v>2</v>
      </c>
      <c r="N72" s="247">
        <v>1</v>
      </c>
      <c r="O72" s="247">
        <v>1</v>
      </c>
      <c r="P72" s="247" t="s">
        <v>28</v>
      </c>
      <c r="Q72" s="247" t="s">
        <v>28</v>
      </c>
      <c r="R72" s="249">
        <v>13</v>
      </c>
    </row>
    <row r="73" spans="1:18" s="176" customFormat="1" ht="8.4499999999999993" customHeight="1">
      <c r="A73" s="102" t="s">
        <v>53</v>
      </c>
      <c r="B73" s="170" t="s">
        <v>54</v>
      </c>
      <c r="C73" s="243">
        <v>1037</v>
      </c>
      <c r="D73" s="243">
        <v>41</v>
      </c>
      <c r="E73" s="243">
        <v>59</v>
      </c>
      <c r="F73" s="243">
        <v>53</v>
      </c>
      <c r="G73" s="243">
        <v>67</v>
      </c>
      <c r="H73" s="243">
        <v>94</v>
      </c>
      <c r="I73" s="407">
        <v>69</v>
      </c>
      <c r="J73" s="408">
        <v>43</v>
      </c>
      <c r="K73" s="243">
        <v>34</v>
      </c>
      <c r="L73" s="243">
        <v>24</v>
      </c>
      <c r="M73" s="243">
        <v>27</v>
      </c>
      <c r="N73" s="243">
        <v>30</v>
      </c>
      <c r="O73" s="243">
        <v>18</v>
      </c>
      <c r="P73" s="243">
        <v>21</v>
      </c>
      <c r="Q73" s="243">
        <v>34</v>
      </c>
      <c r="R73" s="245">
        <v>423</v>
      </c>
    </row>
    <row r="74" spans="1:18" s="176" customFormat="1" ht="8.4499999999999993" customHeight="1">
      <c r="A74" s="246" t="s">
        <v>29</v>
      </c>
      <c r="B74" s="172" t="s">
        <v>30</v>
      </c>
      <c r="C74" s="247">
        <v>1012</v>
      </c>
      <c r="D74" s="247">
        <v>39</v>
      </c>
      <c r="E74" s="247">
        <v>56</v>
      </c>
      <c r="F74" s="247">
        <v>51</v>
      </c>
      <c r="G74" s="247">
        <v>67</v>
      </c>
      <c r="H74" s="247">
        <v>94</v>
      </c>
      <c r="I74" s="409">
        <v>67</v>
      </c>
      <c r="J74" s="383">
        <v>39</v>
      </c>
      <c r="K74" s="247">
        <v>34</v>
      </c>
      <c r="L74" s="247">
        <v>24</v>
      </c>
      <c r="M74" s="247">
        <v>27</v>
      </c>
      <c r="N74" s="247">
        <v>30</v>
      </c>
      <c r="O74" s="247">
        <v>18</v>
      </c>
      <c r="P74" s="247">
        <v>19</v>
      </c>
      <c r="Q74" s="247">
        <v>34</v>
      </c>
      <c r="R74" s="249">
        <v>413</v>
      </c>
    </row>
    <row r="75" spans="1:18" s="176" customFormat="1" ht="8.4499999999999993" customHeight="1">
      <c r="A75" s="246" t="s">
        <v>31</v>
      </c>
      <c r="B75" s="172" t="s">
        <v>32</v>
      </c>
      <c r="C75" s="247">
        <v>25</v>
      </c>
      <c r="D75" s="247">
        <v>2</v>
      </c>
      <c r="E75" s="247">
        <v>3</v>
      </c>
      <c r="F75" s="247">
        <v>2</v>
      </c>
      <c r="G75" s="247" t="s">
        <v>28</v>
      </c>
      <c r="H75" s="247" t="s">
        <v>28</v>
      </c>
      <c r="I75" s="409">
        <v>2</v>
      </c>
      <c r="J75" s="383">
        <v>4</v>
      </c>
      <c r="K75" s="247" t="s">
        <v>28</v>
      </c>
      <c r="L75" s="247" t="s">
        <v>28</v>
      </c>
      <c r="M75" s="247" t="s">
        <v>28</v>
      </c>
      <c r="N75" s="247" t="s">
        <v>28</v>
      </c>
      <c r="O75" s="247" t="s">
        <v>28</v>
      </c>
      <c r="P75" s="247">
        <v>2</v>
      </c>
      <c r="Q75" s="247" t="s">
        <v>28</v>
      </c>
      <c r="R75" s="249">
        <v>10</v>
      </c>
    </row>
    <row r="76" spans="1:18" s="176" customFormat="1" ht="8.4499999999999993" customHeight="1">
      <c r="A76" s="102" t="s">
        <v>55</v>
      </c>
      <c r="B76" s="170" t="s">
        <v>56</v>
      </c>
      <c r="C76" s="243">
        <v>907</v>
      </c>
      <c r="D76" s="243">
        <v>40</v>
      </c>
      <c r="E76" s="243">
        <v>46</v>
      </c>
      <c r="F76" s="243">
        <v>49</v>
      </c>
      <c r="G76" s="243">
        <v>53</v>
      </c>
      <c r="H76" s="243">
        <v>54</v>
      </c>
      <c r="I76" s="407">
        <v>51</v>
      </c>
      <c r="J76" s="408">
        <v>30</v>
      </c>
      <c r="K76" s="243">
        <v>27</v>
      </c>
      <c r="L76" s="243">
        <v>19</v>
      </c>
      <c r="M76" s="243">
        <v>13</v>
      </c>
      <c r="N76" s="243">
        <v>22</v>
      </c>
      <c r="O76" s="243">
        <v>10</v>
      </c>
      <c r="P76" s="243">
        <v>13</v>
      </c>
      <c r="Q76" s="243">
        <v>20</v>
      </c>
      <c r="R76" s="245">
        <v>460</v>
      </c>
    </row>
    <row r="77" spans="1:18" s="176" customFormat="1" ht="8.4499999999999993" customHeight="1">
      <c r="A77" s="246" t="s">
        <v>29</v>
      </c>
      <c r="B77" s="172" t="s">
        <v>30</v>
      </c>
      <c r="C77" s="247">
        <v>907</v>
      </c>
      <c r="D77" s="247">
        <v>40</v>
      </c>
      <c r="E77" s="247">
        <v>46</v>
      </c>
      <c r="F77" s="247">
        <v>49</v>
      </c>
      <c r="G77" s="247">
        <v>53</v>
      </c>
      <c r="H77" s="247">
        <v>54</v>
      </c>
      <c r="I77" s="409">
        <v>51</v>
      </c>
      <c r="J77" s="383">
        <v>30</v>
      </c>
      <c r="K77" s="247">
        <v>27</v>
      </c>
      <c r="L77" s="247">
        <v>19</v>
      </c>
      <c r="M77" s="247">
        <v>13</v>
      </c>
      <c r="N77" s="247">
        <v>22</v>
      </c>
      <c r="O77" s="247">
        <v>10</v>
      </c>
      <c r="P77" s="247">
        <v>13</v>
      </c>
      <c r="Q77" s="247">
        <v>20</v>
      </c>
      <c r="R77" s="249">
        <v>460</v>
      </c>
    </row>
    <row r="78" spans="1:18" s="176" customFormat="1" ht="8.4499999999999993" customHeight="1">
      <c r="A78" s="102" t="s">
        <v>57</v>
      </c>
      <c r="B78" s="170" t="s">
        <v>58</v>
      </c>
      <c r="C78" s="243">
        <v>539</v>
      </c>
      <c r="D78" s="243">
        <v>15</v>
      </c>
      <c r="E78" s="243">
        <v>29</v>
      </c>
      <c r="F78" s="243">
        <v>34</v>
      </c>
      <c r="G78" s="243">
        <v>29</v>
      </c>
      <c r="H78" s="243">
        <v>41</v>
      </c>
      <c r="I78" s="407">
        <v>33</v>
      </c>
      <c r="J78" s="408">
        <v>12</v>
      </c>
      <c r="K78" s="243">
        <v>13</v>
      </c>
      <c r="L78" s="243">
        <v>19</v>
      </c>
      <c r="M78" s="243">
        <v>8</v>
      </c>
      <c r="N78" s="243">
        <v>10</v>
      </c>
      <c r="O78" s="243">
        <v>9</v>
      </c>
      <c r="P78" s="243">
        <v>11</v>
      </c>
      <c r="Q78" s="243">
        <v>7</v>
      </c>
      <c r="R78" s="245">
        <v>269</v>
      </c>
    </row>
    <row r="79" spans="1:18" s="176" customFormat="1" ht="8.4499999999999993" customHeight="1">
      <c r="A79" s="246" t="s">
        <v>29</v>
      </c>
      <c r="B79" s="172" t="s">
        <v>30</v>
      </c>
      <c r="C79" s="247">
        <v>539</v>
      </c>
      <c r="D79" s="247">
        <v>15</v>
      </c>
      <c r="E79" s="247">
        <v>29</v>
      </c>
      <c r="F79" s="247">
        <v>34</v>
      </c>
      <c r="G79" s="247">
        <v>29</v>
      </c>
      <c r="H79" s="247">
        <v>41</v>
      </c>
      <c r="I79" s="409">
        <v>33</v>
      </c>
      <c r="J79" s="383">
        <v>12</v>
      </c>
      <c r="K79" s="247">
        <v>13</v>
      </c>
      <c r="L79" s="247">
        <v>19</v>
      </c>
      <c r="M79" s="247">
        <v>8</v>
      </c>
      <c r="N79" s="247">
        <v>10</v>
      </c>
      <c r="O79" s="247">
        <v>9</v>
      </c>
      <c r="P79" s="247">
        <v>11</v>
      </c>
      <c r="Q79" s="247">
        <v>7</v>
      </c>
      <c r="R79" s="249">
        <v>269</v>
      </c>
    </row>
    <row r="80" spans="1:18" s="176" customFormat="1" ht="8.4499999999999993" customHeight="1">
      <c r="A80" s="102" t="s">
        <v>59</v>
      </c>
      <c r="B80" s="170" t="s">
        <v>60</v>
      </c>
      <c r="C80" s="243">
        <v>1376</v>
      </c>
      <c r="D80" s="243">
        <v>79</v>
      </c>
      <c r="E80" s="243">
        <v>110</v>
      </c>
      <c r="F80" s="243">
        <v>101</v>
      </c>
      <c r="G80" s="243">
        <v>106</v>
      </c>
      <c r="H80" s="243">
        <v>110</v>
      </c>
      <c r="I80" s="407">
        <v>113</v>
      </c>
      <c r="J80" s="408">
        <v>64</v>
      </c>
      <c r="K80" s="243">
        <v>51</v>
      </c>
      <c r="L80" s="243">
        <v>51</v>
      </c>
      <c r="M80" s="243">
        <v>40</v>
      </c>
      <c r="N80" s="243">
        <v>36</v>
      </c>
      <c r="O80" s="243">
        <v>25</v>
      </c>
      <c r="P80" s="243">
        <v>27</v>
      </c>
      <c r="Q80" s="243">
        <v>34</v>
      </c>
      <c r="R80" s="245">
        <v>429</v>
      </c>
    </row>
    <row r="81" spans="1:18" s="176" customFormat="1" ht="8.4499999999999993" customHeight="1">
      <c r="A81" s="246" t="s">
        <v>29</v>
      </c>
      <c r="B81" s="172" t="s">
        <v>30</v>
      </c>
      <c r="C81" s="247">
        <v>1376</v>
      </c>
      <c r="D81" s="247">
        <v>79</v>
      </c>
      <c r="E81" s="247">
        <v>110</v>
      </c>
      <c r="F81" s="247">
        <v>101</v>
      </c>
      <c r="G81" s="247">
        <v>106</v>
      </c>
      <c r="H81" s="247">
        <v>110</v>
      </c>
      <c r="I81" s="409">
        <v>113</v>
      </c>
      <c r="J81" s="383">
        <v>64</v>
      </c>
      <c r="K81" s="247">
        <v>51</v>
      </c>
      <c r="L81" s="247">
        <v>51</v>
      </c>
      <c r="M81" s="247">
        <v>40</v>
      </c>
      <c r="N81" s="247">
        <v>36</v>
      </c>
      <c r="O81" s="247">
        <v>25</v>
      </c>
      <c r="P81" s="247">
        <v>27</v>
      </c>
      <c r="Q81" s="247">
        <v>34</v>
      </c>
      <c r="R81" s="249">
        <v>429</v>
      </c>
    </row>
    <row r="82" spans="1:18" s="176" customFormat="1" ht="8.4499999999999993" customHeight="1">
      <c r="A82" s="102" t="s">
        <v>61</v>
      </c>
      <c r="B82" s="170" t="s">
        <v>62</v>
      </c>
      <c r="C82" s="243">
        <v>170</v>
      </c>
      <c r="D82" s="243">
        <v>7</v>
      </c>
      <c r="E82" s="243">
        <v>11</v>
      </c>
      <c r="F82" s="243">
        <v>6</v>
      </c>
      <c r="G82" s="243">
        <v>8</v>
      </c>
      <c r="H82" s="243">
        <v>10</v>
      </c>
      <c r="I82" s="407">
        <v>12</v>
      </c>
      <c r="J82" s="408">
        <v>11</v>
      </c>
      <c r="K82" s="243">
        <v>4</v>
      </c>
      <c r="L82" s="243">
        <v>4</v>
      </c>
      <c r="M82" s="243">
        <v>3</v>
      </c>
      <c r="N82" s="243">
        <v>3</v>
      </c>
      <c r="O82" s="243">
        <v>6</v>
      </c>
      <c r="P82" s="243">
        <v>1</v>
      </c>
      <c r="Q82" s="243">
        <v>4</v>
      </c>
      <c r="R82" s="245">
        <v>80</v>
      </c>
    </row>
    <row r="83" spans="1:18" s="176" customFormat="1" ht="8.4499999999999993" customHeight="1">
      <c r="A83" s="246" t="s">
        <v>29</v>
      </c>
      <c r="B83" s="172" t="s">
        <v>30</v>
      </c>
      <c r="C83" s="247">
        <v>143</v>
      </c>
      <c r="D83" s="247">
        <v>7</v>
      </c>
      <c r="E83" s="247">
        <v>11</v>
      </c>
      <c r="F83" s="247">
        <v>5</v>
      </c>
      <c r="G83" s="247">
        <v>6</v>
      </c>
      <c r="H83" s="247">
        <v>9</v>
      </c>
      <c r="I83" s="409">
        <v>11</v>
      </c>
      <c r="J83" s="383">
        <v>10</v>
      </c>
      <c r="K83" s="247">
        <v>4</v>
      </c>
      <c r="L83" s="247">
        <v>4</v>
      </c>
      <c r="M83" s="247">
        <v>2</v>
      </c>
      <c r="N83" s="247">
        <v>2</v>
      </c>
      <c r="O83" s="247">
        <v>6</v>
      </c>
      <c r="P83" s="247" t="s">
        <v>28</v>
      </c>
      <c r="Q83" s="247">
        <v>2</v>
      </c>
      <c r="R83" s="249">
        <v>64</v>
      </c>
    </row>
    <row r="84" spans="1:18" s="176" customFormat="1" ht="8.4499999999999993" customHeight="1">
      <c r="A84" s="246" t="s">
        <v>31</v>
      </c>
      <c r="B84" s="172" t="s">
        <v>32</v>
      </c>
      <c r="C84" s="247">
        <v>27</v>
      </c>
      <c r="D84" s="247" t="s">
        <v>28</v>
      </c>
      <c r="E84" s="247" t="s">
        <v>28</v>
      </c>
      <c r="F84" s="247">
        <v>1</v>
      </c>
      <c r="G84" s="247">
        <v>2</v>
      </c>
      <c r="H84" s="247">
        <v>1</v>
      </c>
      <c r="I84" s="409">
        <v>1</v>
      </c>
      <c r="J84" s="383">
        <v>1</v>
      </c>
      <c r="K84" s="247" t="s">
        <v>28</v>
      </c>
      <c r="L84" s="247" t="s">
        <v>28</v>
      </c>
      <c r="M84" s="247">
        <v>1</v>
      </c>
      <c r="N84" s="247">
        <v>1</v>
      </c>
      <c r="O84" s="247" t="s">
        <v>28</v>
      </c>
      <c r="P84" s="247">
        <v>1</v>
      </c>
      <c r="Q84" s="247">
        <v>2</v>
      </c>
      <c r="R84" s="249">
        <v>16</v>
      </c>
    </row>
    <row r="85" spans="1:18" ht="13.5" customHeight="1">
      <c r="A85" s="102" t="s">
        <v>63</v>
      </c>
      <c r="B85" s="170" t="s">
        <v>64</v>
      </c>
      <c r="C85" s="243">
        <v>50</v>
      </c>
      <c r="D85" s="243">
        <v>5</v>
      </c>
      <c r="E85" s="243">
        <v>4</v>
      </c>
      <c r="F85" s="243">
        <v>7</v>
      </c>
      <c r="G85" s="243">
        <v>3</v>
      </c>
      <c r="H85" s="243">
        <v>3</v>
      </c>
      <c r="I85" s="407">
        <v>5</v>
      </c>
      <c r="J85" s="408">
        <v>4</v>
      </c>
      <c r="K85" s="243" t="s">
        <v>28</v>
      </c>
      <c r="L85" s="243">
        <v>1</v>
      </c>
      <c r="M85" s="243" t="s">
        <v>28</v>
      </c>
      <c r="N85" s="243">
        <v>3</v>
      </c>
      <c r="O85" s="243" t="s">
        <v>28</v>
      </c>
      <c r="P85" s="243">
        <v>1</v>
      </c>
      <c r="Q85" s="243">
        <v>2</v>
      </c>
      <c r="R85" s="245">
        <v>12</v>
      </c>
    </row>
    <row r="86" spans="1:18" ht="14.25" thickBot="1">
      <c r="A86" s="406" t="s">
        <v>29</v>
      </c>
      <c r="B86" s="174" t="s">
        <v>30</v>
      </c>
      <c r="C86" s="250">
        <v>50</v>
      </c>
      <c r="D86" s="250">
        <v>5</v>
      </c>
      <c r="E86" s="250">
        <v>4</v>
      </c>
      <c r="F86" s="250">
        <v>7</v>
      </c>
      <c r="G86" s="250">
        <v>3</v>
      </c>
      <c r="H86" s="250">
        <v>3</v>
      </c>
      <c r="I86" s="1849">
        <v>5</v>
      </c>
      <c r="J86" s="1840">
        <v>4</v>
      </c>
      <c r="K86" s="250" t="s">
        <v>28</v>
      </c>
      <c r="L86" s="250">
        <v>1</v>
      </c>
      <c r="M86" s="250" t="s">
        <v>28</v>
      </c>
      <c r="N86" s="250">
        <v>3</v>
      </c>
      <c r="O86" s="250" t="s">
        <v>28</v>
      </c>
      <c r="P86" s="250">
        <v>1</v>
      </c>
      <c r="Q86" s="250">
        <v>2</v>
      </c>
      <c r="R86" s="413">
        <v>12</v>
      </c>
    </row>
    <row r="87" spans="1:18">
      <c r="A87" s="1342" t="s">
        <v>1065</v>
      </c>
      <c r="B87" s="1850"/>
      <c r="C87" s="1850"/>
      <c r="D87" s="1850"/>
      <c r="E87" s="1850"/>
      <c r="F87" s="1850"/>
      <c r="G87" s="1850"/>
      <c r="H87" s="1850"/>
      <c r="I87" s="1850"/>
      <c r="J87" s="1342" t="s">
        <v>1067</v>
      </c>
      <c r="K87" s="1850"/>
      <c r="L87" s="1850"/>
      <c r="M87" s="1850"/>
      <c r="N87" s="1850"/>
      <c r="O87" s="1850"/>
      <c r="P87" s="1850"/>
      <c r="Q87" s="1850"/>
      <c r="R87" s="1850"/>
    </row>
    <row r="90" spans="1:18">
      <c r="A90" s="414"/>
      <c r="B90" s="414"/>
    </row>
    <row r="91" spans="1:18">
      <c r="A91" s="414"/>
      <c r="B91" s="414"/>
    </row>
    <row r="92" spans="1:18">
      <c r="A92" s="415"/>
    </row>
  </sheetData>
  <mergeCells count="14">
    <mergeCell ref="A60:I60"/>
    <mergeCell ref="J60:R60"/>
    <mergeCell ref="A87:I87"/>
    <mergeCell ref="J87:R87"/>
    <mergeCell ref="A2:I2"/>
    <mergeCell ref="J2:R2"/>
    <mergeCell ref="A3:I3"/>
    <mergeCell ref="J3:R3"/>
    <mergeCell ref="A4:I4"/>
    <mergeCell ref="J4:R4"/>
    <mergeCell ref="A6:B6"/>
    <mergeCell ref="A5:B5"/>
    <mergeCell ref="A46:I46"/>
    <mergeCell ref="J46:R46"/>
  </mergeCells>
  <phoneticPr fontId="4" type="noConversion"/>
  <hyperlinks>
    <hyperlink ref="A1" location="목록!A1" display="목록!A1" xr:uid="{F4F73F3C-5A6E-4501-963F-1B53B5D45755}"/>
  </hyperlinks>
  <printOptions horizontalCentered="1"/>
  <pageMargins left="0.59055118110236227" right="0.59055118110236227" top="0.78740157480314965" bottom="0.23622047244094491" header="0.62992125984251968" footer="0.39370078740157483"/>
  <pageSetup paperSize="9" orientation="portrait" r:id="rId1"/>
  <rowBreaks count="1" manualBreakCount="1">
    <brk id="85" max="17" man="1"/>
  </rowBreaks>
  <colBreaks count="1" manualBreakCount="1">
    <brk id="9" min="1" max="84" man="1"/>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AB84"/>
  <sheetViews>
    <sheetView showGridLines="0" showWhiteSpace="0" view="pageBreakPreview" zoomScaleNormal="100" zoomScaleSheetLayoutView="100" workbookViewId="0">
      <selection activeCell="A2" sqref="A2:AB81"/>
    </sheetView>
  </sheetViews>
  <sheetFormatPr defaultRowHeight="16.5"/>
  <cols>
    <col min="1" max="1" width="7.77734375" style="425" customWidth="1"/>
    <col min="2" max="2" width="13" style="425" customWidth="1"/>
    <col min="3" max="12" width="5.77734375" style="425" customWidth="1"/>
    <col min="13" max="27" width="4.88671875" style="425" customWidth="1"/>
    <col min="28" max="28" width="4.88671875" style="426" customWidth="1"/>
    <col min="29" max="16384" width="8.88671875" style="418"/>
  </cols>
  <sheetData>
    <row r="1" spans="1:28" ht="22.5">
      <c r="A1" s="901" t="s">
        <v>1332</v>
      </c>
    </row>
    <row r="2" spans="1:28" s="416" customFormat="1" ht="13.5" customHeight="1">
      <c r="A2" s="1351" t="s">
        <v>975</v>
      </c>
      <c r="B2" s="1351"/>
      <c r="C2" s="1351"/>
      <c r="D2" s="1351"/>
      <c r="E2" s="1351"/>
      <c r="F2" s="1351"/>
      <c r="G2" s="1351"/>
      <c r="H2" s="1351"/>
      <c r="I2" s="1351"/>
      <c r="J2" s="1351"/>
      <c r="K2" s="1351"/>
      <c r="L2" s="1351"/>
      <c r="M2" s="1352" t="s">
        <v>976</v>
      </c>
      <c r="N2" s="1352"/>
      <c r="O2" s="1352"/>
      <c r="P2" s="1352"/>
      <c r="Q2" s="1352"/>
      <c r="R2" s="1352"/>
      <c r="S2" s="1352"/>
      <c r="T2" s="1352"/>
      <c r="U2" s="1352"/>
      <c r="V2" s="1352"/>
      <c r="W2" s="1352"/>
      <c r="X2" s="1352"/>
      <c r="Y2" s="1352"/>
      <c r="Z2" s="1352"/>
      <c r="AA2" s="1352"/>
      <c r="AB2" s="1352"/>
    </row>
    <row r="3" spans="1:28" s="417" customFormat="1" ht="22.5" customHeight="1">
      <c r="A3" s="1355" t="s">
        <v>920</v>
      </c>
      <c r="B3" s="1355"/>
      <c r="C3" s="1355"/>
      <c r="D3" s="1355"/>
      <c r="E3" s="1355"/>
      <c r="F3" s="1355"/>
      <c r="G3" s="1355"/>
      <c r="H3" s="1355"/>
      <c r="I3" s="1355"/>
      <c r="J3" s="1355"/>
      <c r="K3" s="1355"/>
      <c r="L3" s="1355"/>
      <c r="M3" s="1356" t="s">
        <v>1091</v>
      </c>
      <c r="N3" s="1356"/>
      <c r="O3" s="1356"/>
      <c r="P3" s="1356"/>
      <c r="Q3" s="1356"/>
      <c r="R3" s="1356"/>
      <c r="S3" s="1356"/>
      <c r="T3" s="1356"/>
      <c r="U3" s="1356"/>
      <c r="V3" s="1356"/>
      <c r="W3" s="1356"/>
      <c r="X3" s="1356"/>
      <c r="Y3" s="1356"/>
      <c r="Z3" s="1356"/>
      <c r="AA3" s="1356"/>
      <c r="AB3" s="1356"/>
    </row>
    <row r="4" spans="1:28" ht="13.5" customHeight="1" thickBot="1">
      <c r="A4" s="1357" t="s">
        <v>1404</v>
      </c>
      <c r="B4" s="1357"/>
      <c r="C4" s="1357"/>
      <c r="D4" s="1357"/>
      <c r="E4" s="1357"/>
      <c r="F4" s="1357"/>
      <c r="G4" s="1357"/>
      <c r="H4" s="1357"/>
      <c r="I4" s="1357"/>
      <c r="J4" s="1357"/>
      <c r="K4" s="1357"/>
      <c r="L4" s="1357"/>
      <c r="M4" s="1358"/>
      <c r="N4" s="1358"/>
      <c r="O4" s="1358"/>
      <c r="P4" s="1358"/>
      <c r="Q4" s="1358"/>
      <c r="R4" s="1358"/>
      <c r="S4" s="1358"/>
      <c r="T4" s="1358"/>
      <c r="U4" s="1358"/>
      <c r="V4" s="1358"/>
      <c r="W4" s="1358"/>
      <c r="X4" s="1358"/>
      <c r="Y4" s="1358"/>
      <c r="Z4" s="1358"/>
      <c r="AA4" s="1358"/>
      <c r="AB4" s="1358"/>
    </row>
    <row r="5" spans="1:28" ht="9" customHeight="1">
      <c r="A5" s="1353" t="s">
        <v>2</v>
      </c>
      <c r="B5" s="1354"/>
      <c r="C5" s="1347" t="s">
        <v>696</v>
      </c>
      <c r="D5" s="1348"/>
      <c r="E5" s="1347" t="s">
        <v>594</v>
      </c>
      <c r="F5" s="1348"/>
      <c r="G5" s="1347" t="s">
        <v>595</v>
      </c>
      <c r="H5" s="1348"/>
      <c r="I5" s="1347" t="s">
        <v>596</v>
      </c>
      <c r="J5" s="1348"/>
      <c r="K5" s="1347" t="s">
        <v>597</v>
      </c>
      <c r="L5" s="1348"/>
      <c r="M5" s="1347" t="s">
        <v>598</v>
      </c>
      <c r="N5" s="1348"/>
      <c r="O5" s="1347" t="s">
        <v>599</v>
      </c>
      <c r="P5" s="1348"/>
      <c r="Q5" s="1347" t="s">
        <v>600</v>
      </c>
      <c r="R5" s="1348"/>
      <c r="S5" s="1347" t="s">
        <v>601</v>
      </c>
      <c r="T5" s="1348"/>
      <c r="U5" s="1347" t="s">
        <v>602</v>
      </c>
      <c r="V5" s="1348"/>
      <c r="W5" s="1347" t="s">
        <v>603</v>
      </c>
      <c r="X5" s="1348"/>
      <c r="Y5" s="1347" t="s">
        <v>604</v>
      </c>
      <c r="Z5" s="1348"/>
      <c r="AA5" s="1347" t="s">
        <v>605</v>
      </c>
      <c r="AB5" s="1851"/>
    </row>
    <row r="6" spans="1:28" ht="10.5" customHeight="1">
      <c r="A6" s="1359" t="s">
        <v>7</v>
      </c>
      <c r="B6" s="1360"/>
      <c r="C6" s="1361" t="s">
        <v>606</v>
      </c>
      <c r="D6" s="1362"/>
      <c r="E6" s="1361" t="s">
        <v>607</v>
      </c>
      <c r="F6" s="1362"/>
      <c r="G6" s="1349"/>
      <c r="H6" s="1350"/>
      <c r="I6" s="1349"/>
      <c r="J6" s="1350"/>
      <c r="K6" s="1349"/>
      <c r="L6" s="1350"/>
      <c r="M6" s="1349"/>
      <c r="N6" s="1350"/>
      <c r="O6" s="1349"/>
      <c r="P6" s="1350"/>
      <c r="Q6" s="1349"/>
      <c r="R6" s="1350"/>
      <c r="S6" s="1349"/>
      <c r="T6" s="1350"/>
      <c r="U6" s="1349"/>
      <c r="V6" s="1350"/>
      <c r="W6" s="1349"/>
      <c r="X6" s="1350"/>
      <c r="Y6" s="1349"/>
      <c r="Z6" s="1350"/>
      <c r="AA6" s="1361" t="s">
        <v>608</v>
      </c>
      <c r="AB6" s="1363"/>
    </row>
    <row r="7" spans="1:28" ht="10.5" customHeight="1">
      <c r="A7" s="1364"/>
      <c r="B7" s="1365"/>
      <c r="C7" s="420" t="s">
        <v>13</v>
      </c>
      <c r="D7" s="420" t="s">
        <v>23</v>
      </c>
      <c r="E7" s="420" t="s">
        <v>13</v>
      </c>
      <c r="F7" s="420" t="s">
        <v>23</v>
      </c>
      <c r="G7" s="420" t="s">
        <v>13</v>
      </c>
      <c r="H7" s="420" t="s">
        <v>23</v>
      </c>
      <c r="I7" s="420" t="s">
        <v>13</v>
      </c>
      <c r="J7" s="420" t="s">
        <v>23</v>
      </c>
      <c r="K7" s="420" t="s">
        <v>13</v>
      </c>
      <c r="L7" s="420" t="s">
        <v>23</v>
      </c>
      <c r="M7" s="1852" t="s">
        <v>13</v>
      </c>
      <c r="N7" s="420" t="s">
        <v>23</v>
      </c>
      <c r="O7" s="420" t="s">
        <v>13</v>
      </c>
      <c r="P7" s="420" t="s">
        <v>23</v>
      </c>
      <c r="Q7" s="420" t="s">
        <v>13</v>
      </c>
      <c r="R7" s="420" t="s">
        <v>23</v>
      </c>
      <c r="S7" s="420" t="s">
        <v>13</v>
      </c>
      <c r="T7" s="420" t="s">
        <v>23</v>
      </c>
      <c r="U7" s="420" t="s">
        <v>13</v>
      </c>
      <c r="V7" s="420" t="s">
        <v>23</v>
      </c>
      <c r="W7" s="420" t="s">
        <v>13</v>
      </c>
      <c r="X7" s="420" t="s">
        <v>23</v>
      </c>
      <c r="Y7" s="420" t="s">
        <v>13</v>
      </c>
      <c r="Z7" s="420" t="s">
        <v>23</v>
      </c>
      <c r="AA7" s="420" t="s">
        <v>13</v>
      </c>
      <c r="AB7" s="1853" t="s">
        <v>23</v>
      </c>
    </row>
    <row r="8" spans="1:28" ht="9" customHeight="1">
      <c r="A8" s="1366"/>
      <c r="B8" s="1367"/>
      <c r="C8" s="971" t="s">
        <v>25</v>
      </c>
      <c r="D8" s="971" t="s">
        <v>26</v>
      </c>
      <c r="E8" s="971" t="s">
        <v>25</v>
      </c>
      <c r="F8" s="971" t="s">
        <v>26</v>
      </c>
      <c r="G8" s="971" t="s">
        <v>25</v>
      </c>
      <c r="H8" s="971" t="s">
        <v>26</v>
      </c>
      <c r="I8" s="971" t="s">
        <v>25</v>
      </c>
      <c r="J8" s="971" t="s">
        <v>26</v>
      </c>
      <c r="K8" s="971" t="s">
        <v>25</v>
      </c>
      <c r="L8" s="971" t="s">
        <v>26</v>
      </c>
      <c r="M8" s="421" t="s">
        <v>25</v>
      </c>
      <c r="N8" s="971" t="s">
        <v>26</v>
      </c>
      <c r="O8" s="971" t="s">
        <v>25</v>
      </c>
      <c r="P8" s="971" t="s">
        <v>26</v>
      </c>
      <c r="Q8" s="971" t="s">
        <v>25</v>
      </c>
      <c r="R8" s="971" t="s">
        <v>26</v>
      </c>
      <c r="S8" s="971" t="s">
        <v>25</v>
      </c>
      <c r="T8" s="971" t="s">
        <v>26</v>
      </c>
      <c r="U8" s="971" t="s">
        <v>25</v>
      </c>
      <c r="V8" s="971" t="s">
        <v>26</v>
      </c>
      <c r="W8" s="971" t="s">
        <v>25</v>
      </c>
      <c r="X8" s="971" t="s">
        <v>26</v>
      </c>
      <c r="Y8" s="971" t="s">
        <v>25</v>
      </c>
      <c r="Z8" s="971" t="s">
        <v>26</v>
      </c>
      <c r="AA8" s="971" t="s">
        <v>25</v>
      </c>
      <c r="AB8" s="970" t="s">
        <v>26</v>
      </c>
    </row>
    <row r="9" spans="1:28" ht="9" customHeight="1">
      <c r="A9" s="1854" t="s">
        <v>27</v>
      </c>
      <c r="B9" s="1855" t="s">
        <v>16</v>
      </c>
      <c r="C9" s="1856">
        <v>6185</v>
      </c>
      <c r="D9" s="1856">
        <v>4541</v>
      </c>
      <c r="E9" s="1856">
        <v>2134</v>
      </c>
      <c r="F9" s="1856">
        <v>1533</v>
      </c>
      <c r="G9" s="1856">
        <v>113</v>
      </c>
      <c r="H9" s="1856">
        <v>81</v>
      </c>
      <c r="I9" s="1856">
        <v>69</v>
      </c>
      <c r="J9" s="1856">
        <v>45</v>
      </c>
      <c r="K9" s="1856">
        <v>63</v>
      </c>
      <c r="L9" s="1856">
        <v>45</v>
      </c>
      <c r="M9" s="1856">
        <v>152</v>
      </c>
      <c r="N9" s="1856">
        <v>106</v>
      </c>
      <c r="O9" s="1856">
        <v>269</v>
      </c>
      <c r="P9" s="1856">
        <v>179</v>
      </c>
      <c r="Q9" s="1856">
        <v>432</v>
      </c>
      <c r="R9" s="1856">
        <v>330</v>
      </c>
      <c r="S9" s="1856">
        <v>525</v>
      </c>
      <c r="T9" s="1856">
        <v>404</v>
      </c>
      <c r="U9" s="1856">
        <v>472</v>
      </c>
      <c r="V9" s="1856">
        <v>332</v>
      </c>
      <c r="W9" s="1856">
        <v>376</v>
      </c>
      <c r="X9" s="1856">
        <v>275</v>
      </c>
      <c r="Y9" s="1856">
        <v>359</v>
      </c>
      <c r="Z9" s="1856">
        <v>284</v>
      </c>
      <c r="AA9" s="1856">
        <v>1221</v>
      </c>
      <c r="AB9" s="1857">
        <v>927</v>
      </c>
    </row>
    <row r="10" spans="1:28" ht="9" customHeight="1">
      <c r="A10" s="1858" t="s">
        <v>564</v>
      </c>
      <c r="B10" s="422" t="s">
        <v>30</v>
      </c>
      <c r="C10" s="1859">
        <v>5885</v>
      </c>
      <c r="D10" s="1859">
        <v>4389</v>
      </c>
      <c r="E10" s="1859">
        <v>2025</v>
      </c>
      <c r="F10" s="1859">
        <v>1459</v>
      </c>
      <c r="G10" s="1859">
        <v>111</v>
      </c>
      <c r="H10" s="1859">
        <v>81</v>
      </c>
      <c r="I10" s="1859">
        <v>66</v>
      </c>
      <c r="J10" s="1859">
        <v>45</v>
      </c>
      <c r="K10" s="1859">
        <v>61</v>
      </c>
      <c r="L10" s="1859">
        <v>45</v>
      </c>
      <c r="M10" s="1859">
        <v>143</v>
      </c>
      <c r="N10" s="1859">
        <v>104</v>
      </c>
      <c r="O10" s="1859">
        <v>252</v>
      </c>
      <c r="P10" s="1859">
        <v>175</v>
      </c>
      <c r="Q10" s="1859">
        <v>415</v>
      </c>
      <c r="R10" s="1859">
        <v>322</v>
      </c>
      <c r="S10" s="1859">
        <v>504</v>
      </c>
      <c r="T10" s="1859">
        <v>394</v>
      </c>
      <c r="U10" s="1859">
        <v>443</v>
      </c>
      <c r="V10" s="1859">
        <v>321</v>
      </c>
      <c r="W10" s="1859">
        <v>363</v>
      </c>
      <c r="X10" s="1859">
        <v>269</v>
      </c>
      <c r="Y10" s="1859">
        <v>344</v>
      </c>
      <c r="Z10" s="1859">
        <v>277</v>
      </c>
      <c r="AA10" s="1859">
        <v>1158</v>
      </c>
      <c r="AB10" s="1860">
        <v>897</v>
      </c>
    </row>
    <row r="11" spans="1:28" ht="9" customHeight="1">
      <c r="A11" s="1858" t="s">
        <v>31</v>
      </c>
      <c r="B11" s="422" t="s">
        <v>32</v>
      </c>
      <c r="C11" s="1859">
        <v>300</v>
      </c>
      <c r="D11" s="1859">
        <v>152</v>
      </c>
      <c r="E11" s="1859">
        <v>109</v>
      </c>
      <c r="F11" s="1859">
        <v>74</v>
      </c>
      <c r="G11" s="1859">
        <v>2</v>
      </c>
      <c r="H11" s="1859" t="s">
        <v>28</v>
      </c>
      <c r="I11" s="1859">
        <v>3</v>
      </c>
      <c r="J11" s="1859" t="s">
        <v>28</v>
      </c>
      <c r="K11" s="1859">
        <v>2</v>
      </c>
      <c r="L11" s="1859" t="s">
        <v>28</v>
      </c>
      <c r="M11" s="1859">
        <v>9</v>
      </c>
      <c r="N11" s="1859">
        <v>2</v>
      </c>
      <c r="O11" s="1859">
        <v>17</v>
      </c>
      <c r="P11" s="1859">
        <v>4</v>
      </c>
      <c r="Q11" s="1859">
        <v>17</v>
      </c>
      <c r="R11" s="1859">
        <v>8</v>
      </c>
      <c r="S11" s="1859">
        <v>21</v>
      </c>
      <c r="T11" s="1859">
        <v>10</v>
      </c>
      <c r="U11" s="1859">
        <v>29</v>
      </c>
      <c r="V11" s="1859">
        <v>11</v>
      </c>
      <c r="W11" s="1859">
        <v>13</v>
      </c>
      <c r="X11" s="1859">
        <v>6</v>
      </c>
      <c r="Y11" s="1859">
        <v>15</v>
      </c>
      <c r="Z11" s="1859">
        <v>7</v>
      </c>
      <c r="AA11" s="1859">
        <v>63</v>
      </c>
      <c r="AB11" s="1860">
        <v>30</v>
      </c>
    </row>
    <row r="12" spans="1:28" ht="9" customHeight="1">
      <c r="A12" s="1861" t="s">
        <v>171</v>
      </c>
      <c r="B12" s="818" t="s">
        <v>159</v>
      </c>
      <c r="C12" s="1856">
        <v>151</v>
      </c>
      <c r="D12" s="1856">
        <v>65</v>
      </c>
      <c r="E12" s="1856">
        <v>1</v>
      </c>
      <c r="F12" s="1856" t="s">
        <v>28</v>
      </c>
      <c r="G12" s="1856" t="s">
        <v>28</v>
      </c>
      <c r="H12" s="1856" t="s">
        <v>28</v>
      </c>
      <c r="I12" s="1856" t="s">
        <v>28</v>
      </c>
      <c r="J12" s="1856" t="s">
        <v>28</v>
      </c>
      <c r="K12" s="1856">
        <v>1</v>
      </c>
      <c r="L12" s="1856" t="s">
        <v>28</v>
      </c>
      <c r="M12" s="1856">
        <v>3</v>
      </c>
      <c r="N12" s="1856">
        <v>1</v>
      </c>
      <c r="O12" s="1856">
        <v>2</v>
      </c>
      <c r="P12" s="1856">
        <v>1</v>
      </c>
      <c r="Q12" s="1856">
        <v>3</v>
      </c>
      <c r="R12" s="1856">
        <v>2</v>
      </c>
      <c r="S12" s="1856">
        <v>5</v>
      </c>
      <c r="T12" s="1856" t="s">
        <v>28</v>
      </c>
      <c r="U12" s="1856">
        <v>16</v>
      </c>
      <c r="V12" s="1856">
        <v>5</v>
      </c>
      <c r="W12" s="1856">
        <v>10</v>
      </c>
      <c r="X12" s="1856">
        <v>3</v>
      </c>
      <c r="Y12" s="1856">
        <v>17</v>
      </c>
      <c r="Z12" s="1856">
        <v>9</v>
      </c>
      <c r="AA12" s="1856">
        <v>93</v>
      </c>
      <c r="AB12" s="1857">
        <v>44</v>
      </c>
    </row>
    <row r="13" spans="1:28" ht="9" customHeight="1">
      <c r="A13" s="1858" t="s">
        <v>564</v>
      </c>
      <c r="B13" s="422" t="s">
        <v>30</v>
      </c>
      <c r="C13" s="1859">
        <v>141</v>
      </c>
      <c r="D13" s="1859">
        <v>62</v>
      </c>
      <c r="E13" s="1859">
        <v>1</v>
      </c>
      <c r="F13" s="1859" t="s">
        <v>28</v>
      </c>
      <c r="G13" s="1859" t="s">
        <v>28</v>
      </c>
      <c r="H13" s="1859" t="s">
        <v>28</v>
      </c>
      <c r="I13" s="1859" t="s">
        <v>28</v>
      </c>
      <c r="J13" s="1859" t="s">
        <v>28</v>
      </c>
      <c r="K13" s="1859" t="s">
        <v>28</v>
      </c>
      <c r="L13" s="1859" t="s">
        <v>28</v>
      </c>
      <c r="M13" s="1859">
        <v>1</v>
      </c>
      <c r="N13" s="1859">
        <v>1</v>
      </c>
      <c r="O13" s="1859">
        <v>2</v>
      </c>
      <c r="P13" s="1859">
        <v>1</v>
      </c>
      <c r="Q13" s="1859">
        <v>3</v>
      </c>
      <c r="R13" s="1859">
        <v>2</v>
      </c>
      <c r="S13" s="1859">
        <v>5</v>
      </c>
      <c r="T13" s="1859" t="s">
        <v>28</v>
      </c>
      <c r="U13" s="1859">
        <v>16</v>
      </c>
      <c r="V13" s="1859">
        <v>5</v>
      </c>
      <c r="W13" s="1859">
        <v>10</v>
      </c>
      <c r="X13" s="1859">
        <v>3</v>
      </c>
      <c r="Y13" s="1859">
        <v>14</v>
      </c>
      <c r="Z13" s="1859">
        <v>8</v>
      </c>
      <c r="AA13" s="1859">
        <v>89</v>
      </c>
      <c r="AB13" s="1860">
        <v>42</v>
      </c>
    </row>
    <row r="14" spans="1:28" ht="9" customHeight="1">
      <c r="A14" s="1858" t="s">
        <v>31</v>
      </c>
      <c r="B14" s="422" t="s">
        <v>32</v>
      </c>
      <c r="C14" s="1859">
        <v>10</v>
      </c>
      <c r="D14" s="1859">
        <v>3</v>
      </c>
      <c r="E14" s="1859" t="s">
        <v>28</v>
      </c>
      <c r="F14" s="1859" t="s">
        <v>28</v>
      </c>
      <c r="G14" s="1859" t="s">
        <v>28</v>
      </c>
      <c r="H14" s="1859" t="s">
        <v>28</v>
      </c>
      <c r="I14" s="1859" t="s">
        <v>28</v>
      </c>
      <c r="J14" s="1859" t="s">
        <v>28</v>
      </c>
      <c r="K14" s="1859">
        <v>1</v>
      </c>
      <c r="L14" s="1859" t="s">
        <v>28</v>
      </c>
      <c r="M14" s="1859">
        <v>2</v>
      </c>
      <c r="N14" s="1859" t="s">
        <v>28</v>
      </c>
      <c r="O14" s="1859" t="s">
        <v>28</v>
      </c>
      <c r="P14" s="1859" t="s">
        <v>28</v>
      </c>
      <c r="Q14" s="1859" t="s">
        <v>28</v>
      </c>
      <c r="R14" s="1859" t="s">
        <v>28</v>
      </c>
      <c r="S14" s="1859" t="s">
        <v>28</v>
      </c>
      <c r="T14" s="1859" t="s">
        <v>28</v>
      </c>
      <c r="U14" s="1859" t="s">
        <v>28</v>
      </c>
      <c r="V14" s="1859" t="s">
        <v>28</v>
      </c>
      <c r="W14" s="1859" t="s">
        <v>28</v>
      </c>
      <c r="X14" s="1859" t="s">
        <v>28</v>
      </c>
      <c r="Y14" s="1859">
        <v>3</v>
      </c>
      <c r="Z14" s="1859">
        <v>1</v>
      </c>
      <c r="AA14" s="1859">
        <v>4</v>
      </c>
      <c r="AB14" s="1860">
        <v>2</v>
      </c>
    </row>
    <row r="15" spans="1:28" ht="9" customHeight="1">
      <c r="A15" s="1861" t="s">
        <v>172</v>
      </c>
      <c r="B15" s="818" t="s">
        <v>160</v>
      </c>
      <c r="C15" s="1856">
        <v>141</v>
      </c>
      <c r="D15" s="1856">
        <v>63</v>
      </c>
      <c r="E15" s="1856">
        <v>5</v>
      </c>
      <c r="F15" s="1856">
        <v>2</v>
      </c>
      <c r="G15" s="1856" t="s">
        <v>28</v>
      </c>
      <c r="H15" s="1856" t="s">
        <v>28</v>
      </c>
      <c r="I15" s="1856" t="s">
        <v>28</v>
      </c>
      <c r="J15" s="1856" t="s">
        <v>28</v>
      </c>
      <c r="K15" s="1856" t="s">
        <v>28</v>
      </c>
      <c r="L15" s="1856" t="s">
        <v>28</v>
      </c>
      <c r="M15" s="1856">
        <v>4</v>
      </c>
      <c r="N15" s="1856">
        <v>1</v>
      </c>
      <c r="O15" s="1856">
        <v>5</v>
      </c>
      <c r="P15" s="1856" t="s">
        <v>28</v>
      </c>
      <c r="Q15" s="1856">
        <v>8</v>
      </c>
      <c r="R15" s="1856">
        <v>4</v>
      </c>
      <c r="S15" s="1856">
        <v>15</v>
      </c>
      <c r="T15" s="1856">
        <v>6</v>
      </c>
      <c r="U15" s="1856">
        <v>13</v>
      </c>
      <c r="V15" s="1856">
        <v>5</v>
      </c>
      <c r="W15" s="1856">
        <v>16</v>
      </c>
      <c r="X15" s="1856">
        <v>5</v>
      </c>
      <c r="Y15" s="1856">
        <v>10</v>
      </c>
      <c r="Z15" s="1856">
        <v>9</v>
      </c>
      <c r="AA15" s="1856">
        <v>65</v>
      </c>
      <c r="AB15" s="1857">
        <v>31</v>
      </c>
    </row>
    <row r="16" spans="1:28" ht="9" customHeight="1">
      <c r="A16" s="1858" t="s">
        <v>564</v>
      </c>
      <c r="B16" s="422" t="s">
        <v>30</v>
      </c>
      <c r="C16" s="1859">
        <v>132</v>
      </c>
      <c r="D16" s="1859">
        <v>62</v>
      </c>
      <c r="E16" s="1859">
        <v>5</v>
      </c>
      <c r="F16" s="1859">
        <v>2</v>
      </c>
      <c r="G16" s="1859" t="s">
        <v>28</v>
      </c>
      <c r="H16" s="1859" t="s">
        <v>28</v>
      </c>
      <c r="I16" s="1859" t="s">
        <v>28</v>
      </c>
      <c r="J16" s="1859" t="s">
        <v>28</v>
      </c>
      <c r="K16" s="1859" t="s">
        <v>28</v>
      </c>
      <c r="L16" s="1859" t="s">
        <v>28</v>
      </c>
      <c r="M16" s="1859">
        <v>4</v>
      </c>
      <c r="N16" s="1859">
        <v>1</v>
      </c>
      <c r="O16" s="1859">
        <v>3</v>
      </c>
      <c r="P16" s="1859" t="s">
        <v>28</v>
      </c>
      <c r="Q16" s="1859">
        <v>8</v>
      </c>
      <c r="R16" s="1859">
        <v>4</v>
      </c>
      <c r="S16" s="1859">
        <v>12</v>
      </c>
      <c r="T16" s="1859">
        <v>6</v>
      </c>
      <c r="U16" s="1859">
        <v>12</v>
      </c>
      <c r="V16" s="1859">
        <v>5</v>
      </c>
      <c r="W16" s="1859">
        <v>15</v>
      </c>
      <c r="X16" s="1859">
        <v>5</v>
      </c>
      <c r="Y16" s="1859">
        <v>10</v>
      </c>
      <c r="Z16" s="1859">
        <v>9</v>
      </c>
      <c r="AA16" s="1859">
        <v>63</v>
      </c>
      <c r="AB16" s="1860">
        <v>30</v>
      </c>
    </row>
    <row r="17" spans="1:28" ht="9" customHeight="1">
      <c r="A17" s="1858" t="s">
        <v>31</v>
      </c>
      <c r="B17" s="422" t="s">
        <v>32</v>
      </c>
      <c r="C17" s="1859">
        <v>9</v>
      </c>
      <c r="D17" s="1859">
        <v>1</v>
      </c>
      <c r="E17" s="1859" t="s">
        <v>28</v>
      </c>
      <c r="F17" s="1859" t="s">
        <v>28</v>
      </c>
      <c r="G17" s="1859" t="s">
        <v>28</v>
      </c>
      <c r="H17" s="1859" t="s">
        <v>28</v>
      </c>
      <c r="I17" s="1859" t="s">
        <v>28</v>
      </c>
      <c r="J17" s="1859" t="s">
        <v>28</v>
      </c>
      <c r="K17" s="1859" t="s">
        <v>28</v>
      </c>
      <c r="L17" s="1859" t="s">
        <v>28</v>
      </c>
      <c r="M17" s="1859" t="s">
        <v>28</v>
      </c>
      <c r="N17" s="1859" t="s">
        <v>28</v>
      </c>
      <c r="O17" s="1859">
        <v>2</v>
      </c>
      <c r="P17" s="1859" t="s">
        <v>28</v>
      </c>
      <c r="Q17" s="1859" t="s">
        <v>28</v>
      </c>
      <c r="R17" s="1859" t="s">
        <v>28</v>
      </c>
      <c r="S17" s="1859">
        <v>3</v>
      </c>
      <c r="T17" s="1859" t="s">
        <v>28</v>
      </c>
      <c r="U17" s="1859">
        <v>1</v>
      </c>
      <c r="V17" s="1859" t="s">
        <v>28</v>
      </c>
      <c r="W17" s="1859">
        <v>1</v>
      </c>
      <c r="X17" s="1859" t="s">
        <v>28</v>
      </c>
      <c r="Y17" s="1859" t="s">
        <v>28</v>
      </c>
      <c r="Z17" s="1859" t="s">
        <v>28</v>
      </c>
      <c r="AA17" s="1859">
        <v>2</v>
      </c>
      <c r="AB17" s="1860">
        <v>1</v>
      </c>
    </row>
    <row r="18" spans="1:28" ht="9" customHeight="1">
      <c r="A18" s="1861" t="s">
        <v>609</v>
      </c>
      <c r="B18" s="819" t="s">
        <v>610</v>
      </c>
      <c r="C18" s="1856">
        <v>8</v>
      </c>
      <c r="D18" s="1856">
        <v>6</v>
      </c>
      <c r="E18" s="1856" t="s">
        <v>28</v>
      </c>
      <c r="F18" s="1856" t="s">
        <v>28</v>
      </c>
      <c r="G18" s="1856" t="s">
        <v>28</v>
      </c>
      <c r="H18" s="1856" t="s">
        <v>28</v>
      </c>
      <c r="I18" s="1856" t="s">
        <v>28</v>
      </c>
      <c r="J18" s="1856" t="s">
        <v>28</v>
      </c>
      <c r="K18" s="1856" t="s">
        <v>28</v>
      </c>
      <c r="L18" s="1856" t="s">
        <v>28</v>
      </c>
      <c r="M18" s="1856" t="s">
        <v>28</v>
      </c>
      <c r="N18" s="1856" t="s">
        <v>28</v>
      </c>
      <c r="O18" s="1856" t="s">
        <v>28</v>
      </c>
      <c r="P18" s="1856" t="s">
        <v>28</v>
      </c>
      <c r="Q18" s="1856" t="s">
        <v>28</v>
      </c>
      <c r="R18" s="1856" t="s">
        <v>28</v>
      </c>
      <c r="S18" s="1856">
        <v>1</v>
      </c>
      <c r="T18" s="1856" t="s">
        <v>28</v>
      </c>
      <c r="U18" s="1856" t="s">
        <v>28</v>
      </c>
      <c r="V18" s="1856" t="s">
        <v>28</v>
      </c>
      <c r="W18" s="1856">
        <v>1</v>
      </c>
      <c r="X18" s="1856">
        <v>1</v>
      </c>
      <c r="Y18" s="1856" t="s">
        <v>28</v>
      </c>
      <c r="Z18" s="1856" t="s">
        <v>28</v>
      </c>
      <c r="AA18" s="1856">
        <v>6</v>
      </c>
      <c r="AB18" s="1857">
        <v>5</v>
      </c>
    </row>
    <row r="19" spans="1:28" ht="9" customHeight="1">
      <c r="A19" s="1858" t="s">
        <v>29</v>
      </c>
      <c r="B19" s="422" t="s">
        <v>30</v>
      </c>
      <c r="C19" s="1859">
        <v>8</v>
      </c>
      <c r="D19" s="1859">
        <v>6</v>
      </c>
      <c r="E19" s="1859" t="s">
        <v>28</v>
      </c>
      <c r="F19" s="1859" t="s">
        <v>28</v>
      </c>
      <c r="G19" s="1859" t="s">
        <v>28</v>
      </c>
      <c r="H19" s="1859" t="s">
        <v>28</v>
      </c>
      <c r="I19" s="1859" t="s">
        <v>28</v>
      </c>
      <c r="J19" s="1859" t="s">
        <v>28</v>
      </c>
      <c r="K19" s="1859" t="s">
        <v>28</v>
      </c>
      <c r="L19" s="1859" t="s">
        <v>28</v>
      </c>
      <c r="M19" s="1859" t="s">
        <v>28</v>
      </c>
      <c r="N19" s="1859" t="s">
        <v>28</v>
      </c>
      <c r="O19" s="1859" t="s">
        <v>28</v>
      </c>
      <c r="P19" s="1859" t="s">
        <v>28</v>
      </c>
      <c r="Q19" s="1859" t="s">
        <v>28</v>
      </c>
      <c r="R19" s="1859" t="s">
        <v>28</v>
      </c>
      <c r="S19" s="1859">
        <v>1</v>
      </c>
      <c r="T19" s="1859" t="s">
        <v>28</v>
      </c>
      <c r="U19" s="1859" t="s">
        <v>28</v>
      </c>
      <c r="V19" s="1859" t="s">
        <v>28</v>
      </c>
      <c r="W19" s="1859">
        <v>1</v>
      </c>
      <c r="X19" s="1859">
        <v>1</v>
      </c>
      <c r="Y19" s="1859" t="s">
        <v>28</v>
      </c>
      <c r="Z19" s="1859" t="s">
        <v>28</v>
      </c>
      <c r="AA19" s="1859">
        <v>6</v>
      </c>
      <c r="AB19" s="1860">
        <v>5</v>
      </c>
    </row>
    <row r="20" spans="1:28" ht="9" customHeight="1">
      <c r="A20" s="1861" t="s">
        <v>1246</v>
      </c>
      <c r="B20" s="819" t="s">
        <v>693</v>
      </c>
      <c r="C20" s="1856">
        <v>4011</v>
      </c>
      <c r="D20" s="1856">
        <v>3076</v>
      </c>
      <c r="E20" s="1856">
        <v>1027</v>
      </c>
      <c r="F20" s="1856">
        <v>752</v>
      </c>
      <c r="G20" s="1856">
        <v>40</v>
      </c>
      <c r="H20" s="1856">
        <v>36</v>
      </c>
      <c r="I20" s="1856">
        <v>41</v>
      </c>
      <c r="J20" s="1856">
        <v>30</v>
      </c>
      <c r="K20" s="1856">
        <v>47</v>
      </c>
      <c r="L20" s="1856">
        <v>37</v>
      </c>
      <c r="M20" s="1856">
        <v>115</v>
      </c>
      <c r="N20" s="1856">
        <v>89</v>
      </c>
      <c r="O20" s="1856">
        <v>218</v>
      </c>
      <c r="P20" s="1856">
        <v>153</v>
      </c>
      <c r="Q20" s="1856">
        <v>361</v>
      </c>
      <c r="R20" s="1856">
        <v>279</v>
      </c>
      <c r="S20" s="1856">
        <v>433</v>
      </c>
      <c r="T20" s="1856">
        <v>345</v>
      </c>
      <c r="U20" s="1856">
        <v>374</v>
      </c>
      <c r="V20" s="1856">
        <v>274</v>
      </c>
      <c r="W20" s="1856">
        <v>280</v>
      </c>
      <c r="X20" s="1856">
        <v>216</v>
      </c>
      <c r="Y20" s="1856">
        <v>263</v>
      </c>
      <c r="Z20" s="1856">
        <v>208</v>
      </c>
      <c r="AA20" s="1856">
        <v>812</v>
      </c>
      <c r="AB20" s="1857">
        <v>657</v>
      </c>
    </row>
    <row r="21" spans="1:28" ht="9" customHeight="1">
      <c r="A21" s="1858" t="s">
        <v>564</v>
      </c>
      <c r="B21" s="422" t="s">
        <v>30</v>
      </c>
      <c r="C21" s="1859">
        <v>3806</v>
      </c>
      <c r="D21" s="1859">
        <v>2982</v>
      </c>
      <c r="E21" s="1859">
        <v>978</v>
      </c>
      <c r="F21" s="1859">
        <v>721</v>
      </c>
      <c r="G21" s="1859">
        <v>38</v>
      </c>
      <c r="H21" s="1859">
        <v>36</v>
      </c>
      <c r="I21" s="1859">
        <v>38</v>
      </c>
      <c r="J21" s="1859">
        <v>30</v>
      </c>
      <c r="K21" s="1859">
        <v>46</v>
      </c>
      <c r="L21" s="1859">
        <v>37</v>
      </c>
      <c r="M21" s="1859">
        <v>110</v>
      </c>
      <c r="N21" s="1859">
        <v>87</v>
      </c>
      <c r="O21" s="1859">
        <v>204</v>
      </c>
      <c r="P21" s="1859">
        <v>150</v>
      </c>
      <c r="Q21" s="1859">
        <v>344</v>
      </c>
      <c r="R21" s="1859">
        <v>271</v>
      </c>
      <c r="S21" s="1859">
        <v>415</v>
      </c>
      <c r="T21" s="1859">
        <v>335</v>
      </c>
      <c r="U21" s="1859">
        <v>346</v>
      </c>
      <c r="V21" s="1859">
        <v>263</v>
      </c>
      <c r="W21" s="1859">
        <v>269</v>
      </c>
      <c r="X21" s="1859">
        <v>211</v>
      </c>
      <c r="Y21" s="1859">
        <v>255</v>
      </c>
      <c r="Z21" s="1859">
        <v>205</v>
      </c>
      <c r="AA21" s="1859">
        <v>763</v>
      </c>
      <c r="AB21" s="1860">
        <v>636</v>
      </c>
    </row>
    <row r="22" spans="1:28" ht="9" customHeight="1">
      <c r="A22" s="1858" t="s">
        <v>31</v>
      </c>
      <c r="B22" s="422" t="s">
        <v>32</v>
      </c>
      <c r="C22" s="1859">
        <v>205</v>
      </c>
      <c r="D22" s="1859">
        <v>94</v>
      </c>
      <c r="E22" s="1859">
        <v>49</v>
      </c>
      <c r="F22" s="1859">
        <v>31</v>
      </c>
      <c r="G22" s="1859">
        <v>2</v>
      </c>
      <c r="H22" s="1859" t="s">
        <v>28</v>
      </c>
      <c r="I22" s="1859">
        <v>3</v>
      </c>
      <c r="J22" s="1859" t="s">
        <v>28</v>
      </c>
      <c r="K22" s="1859">
        <v>1</v>
      </c>
      <c r="L22" s="1859" t="s">
        <v>28</v>
      </c>
      <c r="M22" s="1859">
        <v>5</v>
      </c>
      <c r="N22" s="1859">
        <v>2</v>
      </c>
      <c r="O22" s="1859">
        <v>14</v>
      </c>
      <c r="P22" s="1859">
        <v>3</v>
      </c>
      <c r="Q22" s="1859">
        <v>17</v>
      </c>
      <c r="R22" s="1859">
        <v>8</v>
      </c>
      <c r="S22" s="1859">
        <v>18</v>
      </c>
      <c r="T22" s="1859">
        <v>10</v>
      </c>
      <c r="U22" s="1859">
        <v>28</v>
      </c>
      <c r="V22" s="1859">
        <v>11</v>
      </c>
      <c r="W22" s="1859">
        <v>11</v>
      </c>
      <c r="X22" s="1859">
        <v>5</v>
      </c>
      <c r="Y22" s="1859">
        <v>8</v>
      </c>
      <c r="Z22" s="1859">
        <v>3</v>
      </c>
      <c r="AA22" s="1859">
        <v>49</v>
      </c>
      <c r="AB22" s="1860">
        <v>21</v>
      </c>
    </row>
    <row r="23" spans="1:28" ht="9" customHeight="1">
      <c r="A23" s="1861" t="s">
        <v>1247</v>
      </c>
      <c r="B23" s="819" t="s">
        <v>694</v>
      </c>
      <c r="C23" s="1856">
        <v>1457</v>
      </c>
      <c r="D23" s="1856">
        <v>934</v>
      </c>
      <c r="E23" s="1856">
        <v>923</v>
      </c>
      <c r="F23" s="1856">
        <v>610</v>
      </c>
      <c r="G23" s="1856">
        <v>72</v>
      </c>
      <c r="H23" s="1856">
        <v>44</v>
      </c>
      <c r="I23" s="1856">
        <v>25</v>
      </c>
      <c r="J23" s="1856">
        <v>12</v>
      </c>
      <c r="K23" s="1856">
        <v>9</v>
      </c>
      <c r="L23" s="1856">
        <v>4</v>
      </c>
      <c r="M23" s="1856">
        <v>25</v>
      </c>
      <c r="N23" s="1856">
        <v>10</v>
      </c>
      <c r="O23" s="1856">
        <v>33</v>
      </c>
      <c r="P23" s="1856">
        <v>15</v>
      </c>
      <c r="Q23" s="1856">
        <v>40</v>
      </c>
      <c r="R23" s="1856">
        <v>26</v>
      </c>
      <c r="S23" s="1856">
        <v>54</v>
      </c>
      <c r="T23" s="1856">
        <v>36</v>
      </c>
      <c r="U23" s="1856">
        <v>44</v>
      </c>
      <c r="V23" s="1856">
        <v>24</v>
      </c>
      <c r="W23" s="1856">
        <v>48</v>
      </c>
      <c r="X23" s="1856">
        <v>30</v>
      </c>
      <c r="Y23" s="1856">
        <v>45</v>
      </c>
      <c r="Z23" s="1856">
        <v>36</v>
      </c>
      <c r="AA23" s="1856">
        <v>139</v>
      </c>
      <c r="AB23" s="1857">
        <v>87</v>
      </c>
    </row>
    <row r="24" spans="1:28" ht="9" customHeight="1">
      <c r="A24" s="1858" t="s">
        <v>29</v>
      </c>
      <c r="B24" s="422" t="s">
        <v>30</v>
      </c>
      <c r="C24" s="1859">
        <v>1402</v>
      </c>
      <c r="D24" s="1859">
        <v>899</v>
      </c>
      <c r="E24" s="1859">
        <v>878</v>
      </c>
      <c r="F24" s="1859">
        <v>580</v>
      </c>
      <c r="G24" s="1859">
        <v>72</v>
      </c>
      <c r="H24" s="1859">
        <v>44</v>
      </c>
      <c r="I24" s="1859">
        <v>25</v>
      </c>
      <c r="J24" s="1859">
        <v>12</v>
      </c>
      <c r="K24" s="1859">
        <v>9</v>
      </c>
      <c r="L24" s="1859">
        <v>4</v>
      </c>
      <c r="M24" s="1859">
        <v>23</v>
      </c>
      <c r="N24" s="1859">
        <v>10</v>
      </c>
      <c r="O24" s="1859">
        <v>32</v>
      </c>
      <c r="P24" s="1859">
        <v>14</v>
      </c>
      <c r="Q24" s="1859">
        <v>40</v>
      </c>
      <c r="R24" s="1859">
        <v>26</v>
      </c>
      <c r="S24" s="1859">
        <v>54</v>
      </c>
      <c r="T24" s="1859">
        <v>36</v>
      </c>
      <c r="U24" s="1859">
        <v>44</v>
      </c>
      <c r="V24" s="1859">
        <v>24</v>
      </c>
      <c r="W24" s="1859">
        <v>47</v>
      </c>
      <c r="X24" s="1859">
        <v>29</v>
      </c>
      <c r="Y24" s="1859">
        <v>43</v>
      </c>
      <c r="Z24" s="1859">
        <v>35</v>
      </c>
      <c r="AA24" s="1859">
        <v>135</v>
      </c>
      <c r="AB24" s="1860">
        <v>85</v>
      </c>
    </row>
    <row r="25" spans="1:28" ht="9" customHeight="1">
      <c r="A25" s="1858" t="s">
        <v>31</v>
      </c>
      <c r="B25" s="422" t="s">
        <v>32</v>
      </c>
      <c r="C25" s="1859">
        <v>55</v>
      </c>
      <c r="D25" s="1859">
        <v>35</v>
      </c>
      <c r="E25" s="1859">
        <v>45</v>
      </c>
      <c r="F25" s="1859">
        <v>30</v>
      </c>
      <c r="G25" s="1859" t="s">
        <v>28</v>
      </c>
      <c r="H25" s="1859" t="s">
        <v>28</v>
      </c>
      <c r="I25" s="1859" t="s">
        <v>28</v>
      </c>
      <c r="J25" s="1859" t="s">
        <v>28</v>
      </c>
      <c r="K25" s="1859" t="s">
        <v>28</v>
      </c>
      <c r="L25" s="1859" t="s">
        <v>28</v>
      </c>
      <c r="M25" s="1859">
        <v>2</v>
      </c>
      <c r="N25" s="1859" t="s">
        <v>28</v>
      </c>
      <c r="O25" s="1859">
        <v>1</v>
      </c>
      <c r="P25" s="1859">
        <v>1</v>
      </c>
      <c r="Q25" s="1859" t="s">
        <v>28</v>
      </c>
      <c r="R25" s="1859" t="s">
        <v>28</v>
      </c>
      <c r="S25" s="1859" t="s">
        <v>28</v>
      </c>
      <c r="T25" s="1859" t="s">
        <v>28</v>
      </c>
      <c r="U25" s="1859" t="s">
        <v>28</v>
      </c>
      <c r="V25" s="1859" t="s">
        <v>28</v>
      </c>
      <c r="W25" s="1859">
        <v>1</v>
      </c>
      <c r="X25" s="1859">
        <v>1</v>
      </c>
      <c r="Y25" s="1859">
        <v>2</v>
      </c>
      <c r="Z25" s="1859">
        <v>1</v>
      </c>
      <c r="AA25" s="1859">
        <v>4</v>
      </c>
      <c r="AB25" s="1860">
        <v>2</v>
      </c>
    </row>
    <row r="26" spans="1:28" ht="9" customHeight="1">
      <c r="A26" s="1862" t="s">
        <v>1248</v>
      </c>
      <c r="B26" s="820" t="s">
        <v>170</v>
      </c>
      <c r="C26" s="821">
        <v>1</v>
      </c>
      <c r="D26" s="821">
        <v>1</v>
      </c>
      <c r="E26" s="821">
        <v>1</v>
      </c>
      <c r="F26" s="821">
        <v>1</v>
      </c>
      <c r="G26" s="821" t="s">
        <v>28</v>
      </c>
      <c r="H26" s="821" t="s">
        <v>28</v>
      </c>
      <c r="I26" s="821" t="s">
        <v>28</v>
      </c>
      <c r="J26" s="821" t="s">
        <v>28</v>
      </c>
      <c r="K26" s="821" t="s">
        <v>28</v>
      </c>
      <c r="L26" s="821" t="s">
        <v>28</v>
      </c>
      <c r="M26" s="821" t="s">
        <v>28</v>
      </c>
      <c r="N26" s="821" t="s">
        <v>28</v>
      </c>
      <c r="O26" s="821" t="s">
        <v>28</v>
      </c>
      <c r="P26" s="821" t="s">
        <v>28</v>
      </c>
      <c r="Q26" s="821" t="s">
        <v>28</v>
      </c>
      <c r="R26" s="821" t="s">
        <v>28</v>
      </c>
      <c r="S26" s="821" t="s">
        <v>28</v>
      </c>
      <c r="T26" s="821" t="s">
        <v>28</v>
      </c>
      <c r="U26" s="821" t="s">
        <v>28</v>
      </c>
      <c r="V26" s="821" t="s">
        <v>28</v>
      </c>
      <c r="W26" s="821" t="s">
        <v>28</v>
      </c>
      <c r="X26" s="821" t="s">
        <v>28</v>
      </c>
      <c r="Y26" s="821" t="s">
        <v>28</v>
      </c>
      <c r="Z26" s="821" t="s">
        <v>28</v>
      </c>
      <c r="AA26" s="821" t="s">
        <v>28</v>
      </c>
      <c r="AB26" s="822" t="s">
        <v>28</v>
      </c>
    </row>
    <row r="27" spans="1:28" ht="9" customHeight="1">
      <c r="A27" s="1843" t="s">
        <v>993</v>
      </c>
      <c r="B27" s="1844" t="s">
        <v>994</v>
      </c>
      <c r="C27" s="1863">
        <v>1</v>
      </c>
      <c r="D27" s="1863">
        <v>1</v>
      </c>
      <c r="E27" s="1863">
        <v>1</v>
      </c>
      <c r="F27" s="1863">
        <v>1</v>
      </c>
      <c r="G27" s="1863" t="s">
        <v>28</v>
      </c>
      <c r="H27" s="1863" t="s">
        <v>28</v>
      </c>
      <c r="I27" s="1863" t="s">
        <v>28</v>
      </c>
      <c r="J27" s="1863" t="s">
        <v>28</v>
      </c>
      <c r="K27" s="1863" t="s">
        <v>28</v>
      </c>
      <c r="L27" s="1863" t="s">
        <v>28</v>
      </c>
      <c r="M27" s="1863" t="s">
        <v>28</v>
      </c>
      <c r="N27" s="1863" t="s">
        <v>28</v>
      </c>
      <c r="O27" s="1863" t="s">
        <v>28</v>
      </c>
      <c r="P27" s="1863" t="s">
        <v>28</v>
      </c>
      <c r="Q27" s="1863" t="s">
        <v>28</v>
      </c>
      <c r="R27" s="1863" t="s">
        <v>28</v>
      </c>
      <c r="S27" s="1863" t="s">
        <v>28</v>
      </c>
      <c r="T27" s="1863" t="s">
        <v>28</v>
      </c>
      <c r="U27" s="1863" t="s">
        <v>28</v>
      </c>
      <c r="V27" s="1863" t="s">
        <v>28</v>
      </c>
      <c r="W27" s="1863" t="s">
        <v>28</v>
      </c>
      <c r="X27" s="1863" t="s">
        <v>28</v>
      </c>
      <c r="Y27" s="1863" t="s">
        <v>28</v>
      </c>
      <c r="Z27" s="1863" t="s">
        <v>28</v>
      </c>
      <c r="AA27" s="1863" t="s">
        <v>28</v>
      </c>
      <c r="AB27" s="1864" t="s">
        <v>28</v>
      </c>
    </row>
    <row r="28" spans="1:28" ht="9" customHeight="1">
      <c r="A28" s="1861" t="s">
        <v>558</v>
      </c>
      <c r="B28" s="818" t="s">
        <v>553</v>
      </c>
      <c r="C28" s="1856">
        <v>109</v>
      </c>
      <c r="D28" s="1856">
        <v>95</v>
      </c>
      <c r="E28" s="1856">
        <v>36</v>
      </c>
      <c r="F28" s="1856">
        <v>31</v>
      </c>
      <c r="G28" s="1856" t="s">
        <v>28</v>
      </c>
      <c r="H28" s="1856" t="s">
        <v>28</v>
      </c>
      <c r="I28" s="1856">
        <v>1</v>
      </c>
      <c r="J28" s="1856">
        <v>1</v>
      </c>
      <c r="K28" s="1856">
        <v>2</v>
      </c>
      <c r="L28" s="1856">
        <v>1</v>
      </c>
      <c r="M28" s="1856">
        <v>2</v>
      </c>
      <c r="N28" s="1856">
        <v>2</v>
      </c>
      <c r="O28" s="1856">
        <v>4</v>
      </c>
      <c r="P28" s="1856">
        <v>3</v>
      </c>
      <c r="Q28" s="1856">
        <v>9</v>
      </c>
      <c r="R28" s="1856">
        <v>8</v>
      </c>
      <c r="S28" s="1856">
        <v>10</v>
      </c>
      <c r="T28" s="1856">
        <v>10</v>
      </c>
      <c r="U28" s="1856">
        <v>9</v>
      </c>
      <c r="V28" s="1856">
        <v>8</v>
      </c>
      <c r="W28" s="1856">
        <v>7</v>
      </c>
      <c r="X28" s="1856">
        <v>6</v>
      </c>
      <c r="Y28" s="1856">
        <v>11</v>
      </c>
      <c r="Z28" s="1856">
        <v>9</v>
      </c>
      <c r="AA28" s="1856">
        <v>18</v>
      </c>
      <c r="AB28" s="1857">
        <v>16</v>
      </c>
    </row>
    <row r="29" spans="1:28" ht="9" customHeight="1">
      <c r="A29" s="1858" t="s">
        <v>29</v>
      </c>
      <c r="B29" s="422" t="s">
        <v>30</v>
      </c>
      <c r="C29" s="1859">
        <v>99</v>
      </c>
      <c r="D29" s="1859">
        <v>87</v>
      </c>
      <c r="E29" s="1859">
        <v>29</v>
      </c>
      <c r="F29" s="1859">
        <v>26</v>
      </c>
      <c r="G29" s="1859" t="s">
        <v>28</v>
      </c>
      <c r="H29" s="1859" t="s">
        <v>28</v>
      </c>
      <c r="I29" s="1859">
        <v>1</v>
      </c>
      <c r="J29" s="1859">
        <v>1</v>
      </c>
      <c r="K29" s="1859">
        <v>2</v>
      </c>
      <c r="L29" s="1859">
        <v>1</v>
      </c>
      <c r="M29" s="1859">
        <v>2</v>
      </c>
      <c r="N29" s="1859">
        <v>2</v>
      </c>
      <c r="O29" s="1859">
        <v>4</v>
      </c>
      <c r="P29" s="1859">
        <v>3</v>
      </c>
      <c r="Q29" s="1859">
        <v>9</v>
      </c>
      <c r="R29" s="1859">
        <v>8</v>
      </c>
      <c r="S29" s="1859">
        <v>10</v>
      </c>
      <c r="T29" s="1859">
        <v>10</v>
      </c>
      <c r="U29" s="1859">
        <v>9</v>
      </c>
      <c r="V29" s="1859">
        <v>8</v>
      </c>
      <c r="W29" s="1859">
        <v>7</v>
      </c>
      <c r="X29" s="1859">
        <v>6</v>
      </c>
      <c r="Y29" s="1859">
        <v>10</v>
      </c>
      <c r="Z29" s="1859">
        <v>8</v>
      </c>
      <c r="AA29" s="1859">
        <v>16</v>
      </c>
      <c r="AB29" s="1860">
        <v>14</v>
      </c>
    </row>
    <row r="30" spans="1:28" ht="9" customHeight="1">
      <c r="A30" s="1858" t="s">
        <v>31</v>
      </c>
      <c r="B30" s="422" t="s">
        <v>32</v>
      </c>
      <c r="C30" s="1859">
        <v>10</v>
      </c>
      <c r="D30" s="1859">
        <v>8</v>
      </c>
      <c r="E30" s="1859">
        <v>7</v>
      </c>
      <c r="F30" s="1859">
        <v>5</v>
      </c>
      <c r="G30" s="1859" t="s">
        <v>28</v>
      </c>
      <c r="H30" s="1859" t="s">
        <v>28</v>
      </c>
      <c r="I30" s="1859" t="s">
        <v>28</v>
      </c>
      <c r="J30" s="1859" t="s">
        <v>28</v>
      </c>
      <c r="K30" s="1859" t="s">
        <v>28</v>
      </c>
      <c r="L30" s="1859" t="s">
        <v>28</v>
      </c>
      <c r="M30" s="1859" t="s">
        <v>28</v>
      </c>
      <c r="N30" s="1859" t="s">
        <v>28</v>
      </c>
      <c r="O30" s="1859" t="s">
        <v>28</v>
      </c>
      <c r="P30" s="1859" t="s">
        <v>28</v>
      </c>
      <c r="Q30" s="1859" t="s">
        <v>28</v>
      </c>
      <c r="R30" s="1859" t="s">
        <v>28</v>
      </c>
      <c r="S30" s="1859" t="s">
        <v>28</v>
      </c>
      <c r="T30" s="1859" t="s">
        <v>28</v>
      </c>
      <c r="U30" s="1859" t="s">
        <v>28</v>
      </c>
      <c r="V30" s="1859" t="s">
        <v>28</v>
      </c>
      <c r="W30" s="1859" t="s">
        <v>28</v>
      </c>
      <c r="X30" s="1859" t="s">
        <v>28</v>
      </c>
      <c r="Y30" s="1859">
        <v>1</v>
      </c>
      <c r="Z30" s="1859">
        <v>1</v>
      </c>
      <c r="AA30" s="1859">
        <v>2</v>
      </c>
      <c r="AB30" s="1860">
        <v>2</v>
      </c>
    </row>
    <row r="31" spans="1:28" ht="9" customHeight="1">
      <c r="A31" s="1861" t="s">
        <v>611</v>
      </c>
      <c r="B31" s="818" t="s">
        <v>612</v>
      </c>
      <c r="C31" s="1856">
        <v>72</v>
      </c>
      <c r="D31" s="1856">
        <v>68</v>
      </c>
      <c r="E31" s="1856">
        <v>46</v>
      </c>
      <c r="F31" s="1856">
        <v>43</v>
      </c>
      <c r="G31" s="1856" t="s">
        <v>28</v>
      </c>
      <c r="H31" s="1856" t="s">
        <v>28</v>
      </c>
      <c r="I31" s="1856" t="s">
        <v>28</v>
      </c>
      <c r="J31" s="1856" t="s">
        <v>28</v>
      </c>
      <c r="K31" s="1856">
        <v>2</v>
      </c>
      <c r="L31" s="1856">
        <v>1</v>
      </c>
      <c r="M31" s="1856">
        <v>1</v>
      </c>
      <c r="N31" s="1856">
        <v>1</v>
      </c>
      <c r="O31" s="1856">
        <v>1</v>
      </c>
      <c r="P31" s="1856">
        <v>1</v>
      </c>
      <c r="Q31" s="1856">
        <v>2</v>
      </c>
      <c r="R31" s="1856">
        <v>2</v>
      </c>
      <c r="S31" s="1856" t="s">
        <v>28</v>
      </c>
      <c r="T31" s="1856" t="s">
        <v>28</v>
      </c>
      <c r="U31" s="1856">
        <v>3</v>
      </c>
      <c r="V31" s="1856">
        <v>3</v>
      </c>
      <c r="W31" s="1856">
        <v>2</v>
      </c>
      <c r="X31" s="1856">
        <v>2</v>
      </c>
      <c r="Y31" s="1856">
        <v>3</v>
      </c>
      <c r="Z31" s="1856">
        <v>3</v>
      </c>
      <c r="AA31" s="1856">
        <v>12</v>
      </c>
      <c r="AB31" s="1857">
        <v>12</v>
      </c>
    </row>
    <row r="32" spans="1:28" ht="9" customHeight="1">
      <c r="A32" s="1858" t="s">
        <v>29</v>
      </c>
      <c r="B32" s="422" t="s">
        <v>30</v>
      </c>
      <c r="C32" s="1859">
        <v>72</v>
      </c>
      <c r="D32" s="1859">
        <v>68</v>
      </c>
      <c r="E32" s="1859">
        <v>46</v>
      </c>
      <c r="F32" s="1859">
        <v>43</v>
      </c>
      <c r="G32" s="1859" t="s">
        <v>28</v>
      </c>
      <c r="H32" s="1859" t="s">
        <v>28</v>
      </c>
      <c r="I32" s="1859" t="s">
        <v>28</v>
      </c>
      <c r="J32" s="1859" t="s">
        <v>28</v>
      </c>
      <c r="K32" s="1859">
        <v>2</v>
      </c>
      <c r="L32" s="1859">
        <v>1</v>
      </c>
      <c r="M32" s="1859">
        <v>1</v>
      </c>
      <c r="N32" s="1859">
        <v>1</v>
      </c>
      <c r="O32" s="1859">
        <v>1</v>
      </c>
      <c r="P32" s="1859">
        <v>1</v>
      </c>
      <c r="Q32" s="1859">
        <v>2</v>
      </c>
      <c r="R32" s="1859">
        <v>2</v>
      </c>
      <c r="S32" s="1859" t="s">
        <v>28</v>
      </c>
      <c r="T32" s="1859" t="s">
        <v>28</v>
      </c>
      <c r="U32" s="1859">
        <v>3</v>
      </c>
      <c r="V32" s="1859">
        <v>3</v>
      </c>
      <c r="W32" s="1859">
        <v>2</v>
      </c>
      <c r="X32" s="1859">
        <v>2</v>
      </c>
      <c r="Y32" s="1859">
        <v>3</v>
      </c>
      <c r="Z32" s="1859">
        <v>3</v>
      </c>
      <c r="AA32" s="1859">
        <v>12</v>
      </c>
      <c r="AB32" s="1860">
        <v>12</v>
      </c>
    </row>
    <row r="33" spans="1:28" ht="9" customHeight="1">
      <c r="A33" s="1861" t="s">
        <v>1400</v>
      </c>
      <c r="B33" s="818" t="s">
        <v>1401</v>
      </c>
      <c r="C33" s="1856">
        <v>2</v>
      </c>
      <c r="D33" s="1856">
        <v>2</v>
      </c>
      <c r="E33" s="1856">
        <v>2</v>
      </c>
      <c r="F33" s="1856">
        <v>2</v>
      </c>
      <c r="G33" s="1856" t="s">
        <v>28</v>
      </c>
      <c r="H33" s="1856" t="s">
        <v>28</v>
      </c>
      <c r="I33" s="1856" t="s">
        <v>28</v>
      </c>
      <c r="J33" s="1856" t="s">
        <v>28</v>
      </c>
      <c r="K33" s="1856" t="s">
        <v>28</v>
      </c>
      <c r="L33" s="1856" t="s">
        <v>28</v>
      </c>
      <c r="M33" s="1856" t="s">
        <v>28</v>
      </c>
      <c r="N33" s="1856" t="s">
        <v>28</v>
      </c>
      <c r="O33" s="1856" t="s">
        <v>28</v>
      </c>
      <c r="P33" s="1856" t="s">
        <v>28</v>
      </c>
      <c r="Q33" s="1856" t="s">
        <v>28</v>
      </c>
      <c r="R33" s="1856" t="s">
        <v>28</v>
      </c>
      <c r="S33" s="1856" t="s">
        <v>28</v>
      </c>
      <c r="T33" s="1856" t="s">
        <v>28</v>
      </c>
      <c r="U33" s="1856" t="s">
        <v>28</v>
      </c>
      <c r="V33" s="1856" t="s">
        <v>28</v>
      </c>
      <c r="W33" s="1856" t="s">
        <v>28</v>
      </c>
      <c r="X33" s="1856" t="s">
        <v>28</v>
      </c>
      <c r="Y33" s="1856" t="s">
        <v>28</v>
      </c>
      <c r="Z33" s="1856" t="s">
        <v>28</v>
      </c>
      <c r="AA33" s="1856" t="s">
        <v>28</v>
      </c>
      <c r="AB33" s="1857" t="s">
        <v>28</v>
      </c>
    </row>
    <row r="34" spans="1:28" ht="9" customHeight="1">
      <c r="A34" s="1858" t="s">
        <v>1402</v>
      </c>
      <c r="B34" s="422" t="s">
        <v>1403</v>
      </c>
      <c r="C34" s="1859">
        <v>2</v>
      </c>
      <c r="D34" s="1859">
        <v>2</v>
      </c>
      <c r="E34" s="1859">
        <v>2</v>
      </c>
      <c r="F34" s="1859">
        <v>2</v>
      </c>
      <c r="G34" s="1859" t="s">
        <v>28</v>
      </c>
      <c r="H34" s="1859" t="s">
        <v>28</v>
      </c>
      <c r="I34" s="1859" t="s">
        <v>28</v>
      </c>
      <c r="J34" s="1859" t="s">
        <v>28</v>
      </c>
      <c r="K34" s="1859" t="s">
        <v>28</v>
      </c>
      <c r="L34" s="1859" t="s">
        <v>28</v>
      </c>
      <c r="M34" s="1859" t="s">
        <v>28</v>
      </c>
      <c r="N34" s="1859" t="s">
        <v>28</v>
      </c>
      <c r="O34" s="1859" t="s">
        <v>28</v>
      </c>
      <c r="P34" s="1859" t="s">
        <v>28</v>
      </c>
      <c r="Q34" s="1859" t="s">
        <v>28</v>
      </c>
      <c r="R34" s="1859" t="s">
        <v>28</v>
      </c>
      <c r="S34" s="1859" t="s">
        <v>28</v>
      </c>
      <c r="T34" s="1859" t="s">
        <v>28</v>
      </c>
      <c r="U34" s="1859" t="s">
        <v>28</v>
      </c>
      <c r="V34" s="1859" t="s">
        <v>28</v>
      </c>
      <c r="W34" s="1859" t="s">
        <v>28</v>
      </c>
      <c r="X34" s="1859" t="s">
        <v>28</v>
      </c>
      <c r="Y34" s="1859" t="s">
        <v>28</v>
      </c>
      <c r="Z34" s="1859" t="s">
        <v>28</v>
      </c>
      <c r="AA34" s="1859" t="s">
        <v>28</v>
      </c>
      <c r="AB34" s="1860" t="s">
        <v>28</v>
      </c>
    </row>
    <row r="35" spans="1:28" ht="9" customHeight="1">
      <c r="A35" s="1861" t="s">
        <v>168</v>
      </c>
      <c r="B35" s="818" t="s">
        <v>613</v>
      </c>
      <c r="C35" s="1856">
        <v>187</v>
      </c>
      <c r="D35" s="1856">
        <v>186</v>
      </c>
      <c r="E35" s="1856">
        <v>80</v>
      </c>
      <c r="F35" s="1856">
        <v>79</v>
      </c>
      <c r="G35" s="1856" t="s">
        <v>28</v>
      </c>
      <c r="H35" s="1856" t="s">
        <v>28</v>
      </c>
      <c r="I35" s="1856">
        <v>1</v>
      </c>
      <c r="J35" s="1856">
        <v>1</v>
      </c>
      <c r="K35" s="1856" t="s">
        <v>28</v>
      </c>
      <c r="L35" s="1856" t="s">
        <v>28</v>
      </c>
      <c r="M35" s="1856">
        <v>2</v>
      </c>
      <c r="N35" s="1856">
        <v>2</v>
      </c>
      <c r="O35" s="1856">
        <v>2</v>
      </c>
      <c r="P35" s="1856">
        <v>2</v>
      </c>
      <c r="Q35" s="1856">
        <v>3</v>
      </c>
      <c r="R35" s="1856">
        <v>3</v>
      </c>
      <c r="S35" s="1856">
        <v>4</v>
      </c>
      <c r="T35" s="1856">
        <v>4</v>
      </c>
      <c r="U35" s="1856">
        <v>9</v>
      </c>
      <c r="V35" s="1856">
        <v>9</v>
      </c>
      <c r="W35" s="1856">
        <v>11</v>
      </c>
      <c r="X35" s="1856">
        <v>11</v>
      </c>
      <c r="Y35" s="1856">
        <v>7</v>
      </c>
      <c r="Z35" s="1856">
        <v>7</v>
      </c>
      <c r="AA35" s="1856">
        <v>68</v>
      </c>
      <c r="AB35" s="1857">
        <v>68</v>
      </c>
    </row>
    <row r="36" spans="1:28" ht="9" customHeight="1">
      <c r="A36" s="1858" t="s">
        <v>564</v>
      </c>
      <c r="B36" s="422" t="s">
        <v>30</v>
      </c>
      <c r="C36" s="1859">
        <v>176</v>
      </c>
      <c r="D36" s="1859">
        <v>175</v>
      </c>
      <c r="E36" s="1859">
        <v>72</v>
      </c>
      <c r="F36" s="1859">
        <v>71</v>
      </c>
      <c r="G36" s="1859" t="s">
        <v>28</v>
      </c>
      <c r="H36" s="1859" t="s">
        <v>28</v>
      </c>
      <c r="I36" s="1859">
        <v>1</v>
      </c>
      <c r="J36" s="1859">
        <v>1</v>
      </c>
      <c r="K36" s="1859" t="s">
        <v>28</v>
      </c>
      <c r="L36" s="1859" t="s">
        <v>28</v>
      </c>
      <c r="M36" s="1859">
        <v>2</v>
      </c>
      <c r="N36" s="1859">
        <v>2</v>
      </c>
      <c r="O36" s="1859">
        <v>2</v>
      </c>
      <c r="P36" s="1859">
        <v>2</v>
      </c>
      <c r="Q36" s="1859">
        <v>3</v>
      </c>
      <c r="R36" s="1859">
        <v>3</v>
      </c>
      <c r="S36" s="1859">
        <v>4</v>
      </c>
      <c r="T36" s="1859">
        <v>4</v>
      </c>
      <c r="U36" s="1859">
        <v>9</v>
      </c>
      <c r="V36" s="1859">
        <v>9</v>
      </c>
      <c r="W36" s="1859">
        <v>11</v>
      </c>
      <c r="X36" s="1859">
        <v>11</v>
      </c>
      <c r="Y36" s="1859">
        <v>6</v>
      </c>
      <c r="Z36" s="1859">
        <v>6</v>
      </c>
      <c r="AA36" s="1859">
        <v>66</v>
      </c>
      <c r="AB36" s="1860">
        <v>66</v>
      </c>
    </row>
    <row r="37" spans="1:28" ht="9" customHeight="1">
      <c r="A37" s="1858" t="s">
        <v>31</v>
      </c>
      <c r="B37" s="422" t="s">
        <v>32</v>
      </c>
      <c r="C37" s="1859">
        <v>11</v>
      </c>
      <c r="D37" s="1859">
        <v>11</v>
      </c>
      <c r="E37" s="1859">
        <v>8</v>
      </c>
      <c r="F37" s="1859">
        <v>8</v>
      </c>
      <c r="G37" s="1859" t="s">
        <v>28</v>
      </c>
      <c r="H37" s="1859" t="s">
        <v>28</v>
      </c>
      <c r="I37" s="1859" t="s">
        <v>28</v>
      </c>
      <c r="J37" s="1859" t="s">
        <v>28</v>
      </c>
      <c r="K37" s="1859" t="s">
        <v>28</v>
      </c>
      <c r="L37" s="1859" t="s">
        <v>28</v>
      </c>
      <c r="M37" s="1859" t="s">
        <v>28</v>
      </c>
      <c r="N37" s="1859" t="s">
        <v>28</v>
      </c>
      <c r="O37" s="1859" t="s">
        <v>28</v>
      </c>
      <c r="P37" s="1859" t="s">
        <v>28</v>
      </c>
      <c r="Q37" s="1859" t="s">
        <v>28</v>
      </c>
      <c r="R37" s="1859" t="s">
        <v>28</v>
      </c>
      <c r="S37" s="1859" t="s">
        <v>28</v>
      </c>
      <c r="T37" s="1859" t="s">
        <v>28</v>
      </c>
      <c r="U37" s="1859" t="s">
        <v>28</v>
      </c>
      <c r="V37" s="1859" t="s">
        <v>28</v>
      </c>
      <c r="W37" s="1859" t="s">
        <v>28</v>
      </c>
      <c r="X37" s="1859" t="s">
        <v>28</v>
      </c>
      <c r="Y37" s="1859">
        <v>1</v>
      </c>
      <c r="Z37" s="1859">
        <v>1</v>
      </c>
      <c r="AA37" s="1859">
        <v>2</v>
      </c>
      <c r="AB37" s="1860">
        <v>2</v>
      </c>
    </row>
    <row r="38" spans="1:28" s="419" customFormat="1" ht="10.5" customHeight="1">
      <c r="A38" s="1861" t="s">
        <v>169</v>
      </c>
      <c r="B38" s="818" t="s">
        <v>1130</v>
      </c>
      <c r="C38" s="1856">
        <v>46</v>
      </c>
      <c r="D38" s="1856">
        <v>45</v>
      </c>
      <c r="E38" s="1856">
        <v>13</v>
      </c>
      <c r="F38" s="1856">
        <v>13</v>
      </c>
      <c r="G38" s="1856">
        <v>1</v>
      </c>
      <c r="H38" s="1856">
        <v>1</v>
      </c>
      <c r="I38" s="1856">
        <v>1</v>
      </c>
      <c r="J38" s="1856">
        <v>1</v>
      </c>
      <c r="K38" s="1856">
        <v>2</v>
      </c>
      <c r="L38" s="1856">
        <v>2</v>
      </c>
      <c r="M38" s="1856" t="s">
        <v>28</v>
      </c>
      <c r="N38" s="1856" t="s">
        <v>28</v>
      </c>
      <c r="O38" s="1856">
        <v>4</v>
      </c>
      <c r="P38" s="1856">
        <v>4</v>
      </c>
      <c r="Q38" s="1856">
        <v>6</v>
      </c>
      <c r="R38" s="1856">
        <v>6</v>
      </c>
      <c r="S38" s="1856">
        <v>3</v>
      </c>
      <c r="T38" s="1856">
        <v>3</v>
      </c>
      <c r="U38" s="1856">
        <v>4</v>
      </c>
      <c r="V38" s="1856">
        <v>4</v>
      </c>
      <c r="W38" s="1856">
        <v>1</v>
      </c>
      <c r="X38" s="1856">
        <v>1</v>
      </c>
      <c r="Y38" s="1856">
        <v>3</v>
      </c>
      <c r="Z38" s="1856">
        <v>3</v>
      </c>
      <c r="AA38" s="1856">
        <v>8</v>
      </c>
      <c r="AB38" s="1857">
        <v>7</v>
      </c>
    </row>
    <row r="39" spans="1:28" ht="9" customHeight="1" thickBot="1">
      <c r="A39" s="1858" t="s">
        <v>29</v>
      </c>
      <c r="B39" s="422" t="s">
        <v>30</v>
      </c>
      <c r="C39" s="1859">
        <v>46</v>
      </c>
      <c r="D39" s="1859">
        <v>45</v>
      </c>
      <c r="E39" s="1859">
        <v>13</v>
      </c>
      <c r="F39" s="1859">
        <v>13</v>
      </c>
      <c r="G39" s="1859">
        <v>1</v>
      </c>
      <c r="H39" s="1859">
        <v>1</v>
      </c>
      <c r="I39" s="1859">
        <v>1</v>
      </c>
      <c r="J39" s="1859">
        <v>1</v>
      </c>
      <c r="K39" s="1859">
        <v>2</v>
      </c>
      <c r="L39" s="1859">
        <v>2</v>
      </c>
      <c r="M39" s="1859" t="s">
        <v>28</v>
      </c>
      <c r="N39" s="1859" t="s">
        <v>28</v>
      </c>
      <c r="O39" s="1859">
        <v>4</v>
      </c>
      <c r="P39" s="1859">
        <v>4</v>
      </c>
      <c r="Q39" s="1859">
        <v>6</v>
      </c>
      <c r="R39" s="1859">
        <v>6</v>
      </c>
      <c r="S39" s="1859">
        <v>3</v>
      </c>
      <c r="T39" s="1859">
        <v>3</v>
      </c>
      <c r="U39" s="1859">
        <v>4</v>
      </c>
      <c r="V39" s="1859">
        <v>4</v>
      </c>
      <c r="W39" s="1859">
        <v>1</v>
      </c>
      <c r="X39" s="1859">
        <v>1</v>
      </c>
      <c r="Y39" s="1859">
        <v>3</v>
      </c>
      <c r="Z39" s="1859">
        <v>3</v>
      </c>
      <c r="AA39" s="1859">
        <v>8</v>
      </c>
      <c r="AB39" s="1860">
        <v>7</v>
      </c>
    </row>
    <row r="40" spans="1:28" ht="9" customHeight="1" thickBot="1">
      <c r="A40" s="1123" t="s">
        <v>33</v>
      </c>
      <c r="B40" s="1123"/>
      <c r="C40" s="1123"/>
      <c r="D40" s="1123"/>
      <c r="E40" s="1123"/>
      <c r="F40" s="1123"/>
      <c r="G40" s="1123"/>
      <c r="H40" s="1123"/>
      <c r="I40" s="1123"/>
      <c r="J40" s="1123"/>
      <c r="K40" s="1123"/>
      <c r="L40" s="1123"/>
      <c r="M40" s="1123" t="s">
        <v>34</v>
      </c>
      <c r="N40" s="1123"/>
      <c r="O40" s="1123"/>
      <c r="P40" s="1123"/>
      <c r="Q40" s="1123"/>
      <c r="R40" s="1123"/>
      <c r="S40" s="1123"/>
      <c r="T40" s="1123"/>
      <c r="U40" s="1123"/>
      <c r="V40" s="1123"/>
      <c r="W40" s="1123"/>
      <c r="X40" s="1123"/>
      <c r="Y40" s="1123"/>
      <c r="Z40" s="1123"/>
      <c r="AA40" s="1123"/>
      <c r="AB40" s="1123"/>
    </row>
    <row r="41" spans="1:28" ht="9" customHeight="1">
      <c r="A41" s="1861" t="s">
        <v>35</v>
      </c>
      <c r="B41" s="818" t="s">
        <v>36</v>
      </c>
      <c r="C41" s="1856">
        <v>1172</v>
      </c>
      <c r="D41" s="1856">
        <v>788</v>
      </c>
      <c r="E41" s="1856">
        <v>443</v>
      </c>
      <c r="F41" s="1856">
        <v>323</v>
      </c>
      <c r="G41" s="1856">
        <v>36</v>
      </c>
      <c r="H41" s="1856">
        <v>24</v>
      </c>
      <c r="I41" s="1856">
        <v>16</v>
      </c>
      <c r="J41" s="1856">
        <v>10</v>
      </c>
      <c r="K41" s="1856">
        <v>10</v>
      </c>
      <c r="L41" s="1856">
        <v>7</v>
      </c>
      <c r="M41" s="1856">
        <v>13</v>
      </c>
      <c r="N41" s="1856">
        <v>7</v>
      </c>
      <c r="O41" s="1856">
        <v>33</v>
      </c>
      <c r="P41" s="1856">
        <v>17</v>
      </c>
      <c r="Q41" s="1856">
        <v>41</v>
      </c>
      <c r="R41" s="1856">
        <v>25</v>
      </c>
      <c r="S41" s="1856">
        <v>69</v>
      </c>
      <c r="T41" s="1856">
        <v>46</v>
      </c>
      <c r="U41" s="1856">
        <v>88</v>
      </c>
      <c r="V41" s="1856">
        <v>44</v>
      </c>
      <c r="W41" s="1856">
        <v>65</v>
      </c>
      <c r="X41" s="1856">
        <v>38</v>
      </c>
      <c r="Y41" s="1856">
        <v>67</v>
      </c>
      <c r="Z41" s="1856">
        <v>49</v>
      </c>
      <c r="AA41" s="1856">
        <v>291</v>
      </c>
      <c r="AB41" s="1857">
        <v>198</v>
      </c>
    </row>
    <row r="42" spans="1:28" ht="9" customHeight="1">
      <c r="A42" s="1858" t="s">
        <v>29</v>
      </c>
      <c r="B42" s="422" t="s">
        <v>30</v>
      </c>
      <c r="C42" s="1859">
        <v>970</v>
      </c>
      <c r="D42" s="1859">
        <v>693</v>
      </c>
      <c r="E42" s="1859">
        <v>372</v>
      </c>
      <c r="F42" s="1859">
        <v>277</v>
      </c>
      <c r="G42" s="1859">
        <v>34</v>
      </c>
      <c r="H42" s="1859">
        <v>24</v>
      </c>
      <c r="I42" s="1859">
        <v>14</v>
      </c>
      <c r="J42" s="1859">
        <v>10</v>
      </c>
      <c r="K42" s="1859">
        <v>9</v>
      </c>
      <c r="L42" s="1859">
        <v>7</v>
      </c>
      <c r="M42" s="1859">
        <v>8</v>
      </c>
      <c r="N42" s="1859">
        <v>6</v>
      </c>
      <c r="O42" s="1859">
        <v>24</v>
      </c>
      <c r="P42" s="1859">
        <v>16</v>
      </c>
      <c r="Q42" s="1859">
        <v>28</v>
      </c>
      <c r="R42" s="1859">
        <v>21</v>
      </c>
      <c r="S42" s="1859">
        <v>54</v>
      </c>
      <c r="T42" s="1859">
        <v>39</v>
      </c>
      <c r="U42" s="1859">
        <v>63</v>
      </c>
      <c r="V42" s="1859">
        <v>35</v>
      </c>
      <c r="W42" s="1859">
        <v>55</v>
      </c>
      <c r="X42" s="1859">
        <v>34</v>
      </c>
      <c r="Y42" s="1859">
        <v>58</v>
      </c>
      <c r="Z42" s="1859">
        <v>44</v>
      </c>
      <c r="AA42" s="1859">
        <v>251</v>
      </c>
      <c r="AB42" s="1860">
        <v>180</v>
      </c>
    </row>
    <row r="43" spans="1:28" ht="9" customHeight="1">
      <c r="A43" s="1858" t="s">
        <v>31</v>
      </c>
      <c r="B43" s="422" t="s">
        <v>32</v>
      </c>
      <c r="C43" s="1859">
        <v>202</v>
      </c>
      <c r="D43" s="1859">
        <v>95</v>
      </c>
      <c r="E43" s="1859">
        <v>71</v>
      </c>
      <c r="F43" s="1859">
        <v>46</v>
      </c>
      <c r="G43" s="1859">
        <v>2</v>
      </c>
      <c r="H43" s="1859" t="s">
        <v>28</v>
      </c>
      <c r="I43" s="1859">
        <v>2</v>
      </c>
      <c r="J43" s="1859" t="s">
        <v>28</v>
      </c>
      <c r="K43" s="1859">
        <v>1</v>
      </c>
      <c r="L43" s="1859" t="s">
        <v>28</v>
      </c>
      <c r="M43" s="1859">
        <v>5</v>
      </c>
      <c r="N43" s="1859">
        <v>1</v>
      </c>
      <c r="O43" s="1859">
        <v>9</v>
      </c>
      <c r="P43" s="1859">
        <v>1</v>
      </c>
      <c r="Q43" s="1859">
        <v>13</v>
      </c>
      <c r="R43" s="1859">
        <v>4</v>
      </c>
      <c r="S43" s="1859">
        <v>15</v>
      </c>
      <c r="T43" s="1859">
        <v>7</v>
      </c>
      <c r="U43" s="1859">
        <v>25</v>
      </c>
      <c r="V43" s="1859">
        <v>9</v>
      </c>
      <c r="W43" s="1859">
        <v>10</v>
      </c>
      <c r="X43" s="1859">
        <v>4</v>
      </c>
      <c r="Y43" s="1859">
        <v>9</v>
      </c>
      <c r="Z43" s="1859">
        <v>5</v>
      </c>
      <c r="AA43" s="1859">
        <v>40</v>
      </c>
      <c r="AB43" s="1860">
        <v>18</v>
      </c>
    </row>
    <row r="44" spans="1:28" ht="9" customHeight="1">
      <c r="A44" s="1861" t="s">
        <v>37</v>
      </c>
      <c r="B44" s="818" t="s">
        <v>38</v>
      </c>
      <c r="C44" s="1856">
        <v>1446</v>
      </c>
      <c r="D44" s="1856">
        <v>1133</v>
      </c>
      <c r="E44" s="1856">
        <v>398</v>
      </c>
      <c r="F44" s="1856">
        <v>288</v>
      </c>
      <c r="G44" s="1856">
        <v>7</v>
      </c>
      <c r="H44" s="1856">
        <v>7</v>
      </c>
      <c r="I44" s="1856">
        <v>10</v>
      </c>
      <c r="J44" s="1856">
        <v>9</v>
      </c>
      <c r="K44" s="1856">
        <v>21</v>
      </c>
      <c r="L44" s="1856">
        <v>14</v>
      </c>
      <c r="M44" s="1856">
        <v>47</v>
      </c>
      <c r="N44" s="1856">
        <v>37</v>
      </c>
      <c r="O44" s="1856">
        <v>77</v>
      </c>
      <c r="P44" s="1856">
        <v>59</v>
      </c>
      <c r="Q44" s="1856">
        <v>138</v>
      </c>
      <c r="R44" s="1856">
        <v>110</v>
      </c>
      <c r="S44" s="1856">
        <v>148</v>
      </c>
      <c r="T44" s="1856">
        <v>117</v>
      </c>
      <c r="U44" s="1856">
        <v>113</v>
      </c>
      <c r="V44" s="1856">
        <v>89</v>
      </c>
      <c r="W44" s="1856">
        <v>113</v>
      </c>
      <c r="X44" s="1856">
        <v>95</v>
      </c>
      <c r="Y44" s="1856">
        <v>80</v>
      </c>
      <c r="Z44" s="1856">
        <v>68</v>
      </c>
      <c r="AA44" s="1856">
        <v>294</v>
      </c>
      <c r="AB44" s="1857">
        <v>240</v>
      </c>
    </row>
    <row r="45" spans="1:28" ht="9" customHeight="1">
      <c r="A45" s="1858" t="s">
        <v>29</v>
      </c>
      <c r="B45" s="422" t="s">
        <v>30</v>
      </c>
      <c r="C45" s="1859">
        <v>1446</v>
      </c>
      <c r="D45" s="1859">
        <v>1133</v>
      </c>
      <c r="E45" s="1859">
        <v>398</v>
      </c>
      <c r="F45" s="1859">
        <v>288</v>
      </c>
      <c r="G45" s="1859">
        <v>7</v>
      </c>
      <c r="H45" s="1859">
        <v>7</v>
      </c>
      <c r="I45" s="1859">
        <v>10</v>
      </c>
      <c r="J45" s="1859">
        <v>9</v>
      </c>
      <c r="K45" s="1859">
        <v>21</v>
      </c>
      <c r="L45" s="1859">
        <v>14</v>
      </c>
      <c r="M45" s="1859">
        <v>47</v>
      </c>
      <c r="N45" s="1859">
        <v>37</v>
      </c>
      <c r="O45" s="1859">
        <v>77</v>
      </c>
      <c r="P45" s="1859">
        <v>59</v>
      </c>
      <c r="Q45" s="1859">
        <v>138</v>
      </c>
      <c r="R45" s="1859">
        <v>110</v>
      </c>
      <c r="S45" s="1859">
        <v>148</v>
      </c>
      <c r="T45" s="1859">
        <v>117</v>
      </c>
      <c r="U45" s="1859">
        <v>113</v>
      </c>
      <c r="V45" s="1859">
        <v>89</v>
      </c>
      <c r="W45" s="1859">
        <v>113</v>
      </c>
      <c r="X45" s="1859">
        <v>95</v>
      </c>
      <c r="Y45" s="1859">
        <v>80</v>
      </c>
      <c r="Z45" s="1859">
        <v>68</v>
      </c>
      <c r="AA45" s="1859">
        <v>294</v>
      </c>
      <c r="AB45" s="1860">
        <v>240</v>
      </c>
    </row>
    <row r="46" spans="1:28" ht="9" customHeight="1">
      <c r="A46" s="1861" t="s">
        <v>615</v>
      </c>
      <c r="B46" s="818" t="s">
        <v>40</v>
      </c>
      <c r="C46" s="1856">
        <v>2021</v>
      </c>
      <c r="D46" s="1856">
        <v>1546</v>
      </c>
      <c r="E46" s="1856">
        <v>699</v>
      </c>
      <c r="F46" s="1856">
        <v>514</v>
      </c>
      <c r="G46" s="1856">
        <v>35</v>
      </c>
      <c r="H46" s="1856">
        <v>26</v>
      </c>
      <c r="I46" s="1856">
        <v>16</v>
      </c>
      <c r="J46" s="1856">
        <v>11</v>
      </c>
      <c r="K46" s="1856">
        <v>13</v>
      </c>
      <c r="L46" s="1856">
        <v>11</v>
      </c>
      <c r="M46" s="1856">
        <v>43</v>
      </c>
      <c r="N46" s="1856">
        <v>36</v>
      </c>
      <c r="O46" s="1856">
        <v>90</v>
      </c>
      <c r="P46" s="1856">
        <v>67</v>
      </c>
      <c r="Q46" s="1856">
        <v>141</v>
      </c>
      <c r="R46" s="1856">
        <v>109</v>
      </c>
      <c r="S46" s="1856">
        <v>182</v>
      </c>
      <c r="T46" s="1856">
        <v>141</v>
      </c>
      <c r="U46" s="1856">
        <v>166</v>
      </c>
      <c r="V46" s="1856">
        <v>129</v>
      </c>
      <c r="W46" s="1856">
        <v>125</v>
      </c>
      <c r="X46" s="1856">
        <v>98</v>
      </c>
      <c r="Y46" s="1856">
        <v>129</v>
      </c>
      <c r="Z46" s="1856">
        <v>102</v>
      </c>
      <c r="AA46" s="1856">
        <v>382</v>
      </c>
      <c r="AB46" s="1857">
        <v>302</v>
      </c>
    </row>
    <row r="47" spans="1:28" ht="9" customHeight="1">
      <c r="A47" s="1858" t="s">
        <v>29</v>
      </c>
      <c r="B47" s="422" t="s">
        <v>30</v>
      </c>
      <c r="C47" s="1859">
        <v>1950</v>
      </c>
      <c r="D47" s="1859">
        <v>1501</v>
      </c>
      <c r="E47" s="1859">
        <v>671</v>
      </c>
      <c r="F47" s="1859">
        <v>492</v>
      </c>
      <c r="G47" s="1859">
        <v>35</v>
      </c>
      <c r="H47" s="1859">
        <v>26</v>
      </c>
      <c r="I47" s="1859">
        <v>15</v>
      </c>
      <c r="J47" s="1859">
        <v>11</v>
      </c>
      <c r="K47" s="1859">
        <v>12</v>
      </c>
      <c r="L47" s="1859">
        <v>11</v>
      </c>
      <c r="M47" s="1859">
        <v>40</v>
      </c>
      <c r="N47" s="1859">
        <v>35</v>
      </c>
      <c r="O47" s="1859">
        <v>84</v>
      </c>
      <c r="P47" s="1859">
        <v>64</v>
      </c>
      <c r="Q47" s="1859">
        <v>137</v>
      </c>
      <c r="R47" s="1859">
        <v>105</v>
      </c>
      <c r="S47" s="1859">
        <v>177</v>
      </c>
      <c r="T47" s="1859">
        <v>139</v>
      </c>
      <c r="U47" s="1859">
        <v>163</v>
      </c>
      <c r="V47" s="1859">
        <v>128</v>
      </c>
      <c r="W47" s="1859">
        <v>122</v>
      </c>
      <c r="X47" s="1859">
        <v>96</v>
      </c>
      <c r="Y47" s="1859">
        <v>125</v>
      </c>
      <c r="Z47" s="1859">
        <v>101</v>
      </c>
      <c r="AA47" s="1859">
        <v>369</v>
      </c>
      <c r="AB47" s="1860">
        <v>293</v>
      </c>
    </row>
    <row r="48" spans="1:28" ht="9" customHeight="1">
      <c r="A48" s="1858" t="s">
        <v>31</v>
      </c>
      <c r="B48" s="422" t="s">
        <v>616</v>
      </c>
      <c r="C48" s="1859">
        <v>71</v>
      </c>
      <c r="D48" s="1859">
        <v>45</v>
      </c>
      <c r="E48" s="1859">
        <v>28</v>
      </c>
      <c r="F48" s="1859">
        <v>22</v>
      </c>
      <c r="G48" s="1859" t="s">
        <v>28</v>
      </c>
      <c r="H48" s="1859" t="s">
        <v>28</v>
      </c>
      <c r="I48" s="1859">
        <v>1</v>
      </c>
      <c r="J48" s="1859" t="s">
        <v>28</v>
      </c>
      <c r="K48" s="1859">
        <v>1</v>
      </c>
      <c r="L48" s="1859" t="s">
        <v>28</v>
      </c>
      <c r="M48" s="1859">
        <v>3</v>
      </c>
      <c r="N48" s="1859">
        <v>1</v>
      </c>
      <c r="O48" s="1859">
        <v>6</v>
      </c>
      <c r="P48" s="1859">
        <v>3</v>
      </c>
      <c r="Q48" s="1859">
        <v>4</v>
      </c>
      <c r="R48" s="1859">
        <v>4</v>
      </c>
      <c r="S48" s="1859">
        <v>5</v>
      </c>
      <c r="T48" s="1859">
        <v>2</v>
      </c>
      <c r="U48" s="1859">
        <v>3</v>
      </c>
      <c r="V48" s="1859">
        <v>1</v>
      </c>
      <c r="W48" s="1859">
        <v>3</v>
      </c>
      <c r="X48" s="1859">
        <v>2</v>
      </c>
      <c r="Y48" s="1859">
        <v>4</v>
      </c>
      <c r="Z48" s="1859">
        <v>1</v>
      </c>
      <c r="AA48" s="1859">
        <v>13</v>
      </c>
      <c r="AB48" s="1860">
        <v>9</v>
      </c>
    </row>
    <row r="49" spans="1:28" ht="9" customHeight="1">
      <c r="A49" s="1861" t="s">
        <v>41</v>
      </c>
      <c r="B49" s="818" t="s">
        <v>42</v>
      </c>
      <c r="C49" s="1856">
        <v>1376</v>
      </c>
      <c r="D49" s="1856">
        <v>983</v>
      </c>
      <c r="E49" s="1856">
        <v>557</v>
      </c>
      <c r="F49" s="1856">
        <v>389</v>
      </c>
      <c r="G49" s="1856">
        <v>32</v>
      </c>
      <c r="H49" s="1856">
        <v>22</v>
      </c>
      <c r="I49" s="1856">
        <v>24</v>
      </c>
      <c r="J49" s="1856">
        <v>13</v>
      </c>
      <c r="K49" s="1856">
        <v>16</v>
      </c>
      <c r="L49" s="1856">
        <v>11</v>
      </c>
      <c r="M49" s="1856">
        <v>43</v>
      </c>
      <c r="N49" s="1856">
        <v>25</v>
      </c>
      <c r="O49" s="1856">
        <v>56</v>
      </c>
      <c r="P49" s="1856">
        <v>30</v>
      </c>
      <c r="Q49" s="1856">
        <v>106</v>
      </c>
      <c r="R49" s="1856">
        <v>84</v>
      </c>
      <c r="S49" s="1856">
        <v>117</v>
      </c>
      <c r="T49" s="1856">
        <v>93</v>
      </c>
      <c r="U49" s="1856">
        <v>90</v>
      </c>
      <c r="V49" s="1856">
        <v>62</v>
      </c>
      <c r="W49" s="1856">
        <v>54</v>
      </c>
      <c r="X49" s="1856">
        <v>34</v>
      </c>
      <c r="Y49" s="1856">
        <v>67</v>
      </c>
      <c r="Z49" s="1856">
        <v>55</v>
      </c>
      <c r="AA49" s="1856">
        <v>214</v>
      </c>
      <c r="AB49" s="1857">
        <v>165</v>
      </c>
    </row>
    <row r="50" spans="1:28" ht="9" customHeight="1">
      <c r="A50" s="1858" t="s">
        <v>29</v>
      </c>
      <c r="B50" s="422" t="s">
        <v>30</v>
      </c>
      <c r="C50" s="1859">
        <v>1376</v>
      </c>
      <c r="D50" s="1859">
        <v>983</v>
      </c>
      <c r="E50" s="1859">
        <v>557</v>
      </c>
      <c r="F50" s="1859">
        <v>389</v>
      </c>
      <c r="G50" s="1859">
        <v>32</v>
      </c>
      <c r="H50" s="1859">
        <v>22</v>
      </c>
      <c r="I50" s="1859">
        <v>24</v>
      </c>
      <c r="J50" s="1859">
        <v>13</v>
      </c>
      <c r="K50" s="1859">
        <v>16</v>
      </c>
      <c r="L50" s="1859">
        <v>11</v>
      </c>
      <c r="M50" s="1859">
        <v>43</v>
      </c>
      <c r="N50" s="1859">
        <v>25</v>
      </c>
      <c r="O50" s="1859">
        <v>56</v>
      </c>
      <c r="P50" s="1859">
        <v>30</v>
      </c>
      <c r="Q50" s="1859">
        <v>106</v>
      </c>
      <c r="R50" s="1859">
        <v>84</v>
      </c>
      <c r="S50" s="1859">
        <v>117</v>
      </c>
      <c r="T50" s="1859">
        <v>93</v>
      </c>
      <c r="U50" s="1859">
        <v>90</v>
      </c>
      <c r="V50" s="1859">
        <v>62</v>
      </c>
      <c r="W50" s="1859">
        <v>54</v>
      </c>
      <c r="X50" s="1859">
        <v>34</v>
      </c>
      <c r="Y50" s="1859">
        <v>67</v>
      </c>
      <c r="Z50" s="1859">
        <v>55</v>
      </c>
      <c r="AA50" s="1859">
        <v>214</v>
      </c>
      <c r="AB50" s="1860">
        <v>165</v>
      </c>
    </row>
    <row r="51" spans="1:28" ht="9" customHeight="1">
      <c r="A51" s="1861" t="s">
        <v>43</v>
      </c>
      <c r="B51" s="818" t="s">
        <v>44</v>
      </c>
      <c r="C51" s="1856">
        <v>170</v>
      </c>
      <c r="D51" s="1856">
        <v>91</v>
      </c>
      <c r="E51" s="1856">
        <v>37</v>
      </c>
      <c r="F51" s="1856">
        <v>19</v>
      </c>
      <c r="G51" s="1856">
        <v>3</v>
      </c>
      <c r="H51" s="1856">
        <v>2</v>
      </c>
      <c r="I51" s="1856">
        <v>3</v>
      </c>
      <c r="J51" s="1856">
        <v>2</v>
      </c>
      <c r="K51" s="1856">
        <v>3</v>
      </c>
      <c r="L51" s="1856">
        <v>2</v>
      </c>
      <c r="M51" s="1856">
        <v>6</v>
      </c>
      <c r="N51" s="1856">
        <v>1</v>
      </c>
      <c r="O51" s="1856">
        <v>13</v>
      </c>
      <c r="P51" s="1856">
        <v>6</v>
      </c>
      <c r="Q51" s="1856">
        <v>6</v>
      </c>
      <c r="R51" s="1856">
        <v>2</v>
      </c>
      <c r="S51" s="1856">
        <v>9</v>
      </c>
      <c r="T51" s="1856">
        <v>7</v>
      </c>
      <c r="U51" s="1856">
        <v>15</v>
      </c>
      <c r="V51" s="1856">
        <v>8</v>
      </c>
      <c r="W51" s="1856">
        <v>19</v>
      </c>
      <c r="X51" s="1856">
        <v>10</v>
      </c>
      <c r="Y51" s="1856">
        <v>16</v>
      </c>
      <c r="Z51" s="1856">
        <v>10</v>
      </c>
      <c r="AA51" s="1856">
        <v>40</v>
      </c>
      <c r="AB51" s="1857">
        <v>22</v>
      </c>
    </row>
    <row r="52" spans="1:28" s="419" customFormat="1" ht="10.5" customHeight="1">
      <c r="A52" s="1858" t="s">
        <v>29</v>
      </c>
      <c r="B52" s="422" t="s">
        <v>30</v>
      </c>
      <c r="C52" s="1859">
        <v>143</v>
      </c>
      <c r="D52" s="1859">
        <v>79</v>
      </c>
      <c r="E52" s="1859">
        <v>27</v>
      </c>
      <c r="F52" s="1859">
        <v>13</v>
      </c>
      <c r="G52" s="1859">
        <v>3</v>
      </c>
      <c r="H52" s="1859">
        <v>2</v>
      </c>
      <c r="I52" s="1859">
        <v>3</v>
      </c>
      <c r="J52" s="1859">
        <v>2</v>
      </c>
      <c r="K52" s="1859">
        <v>3</v>
      </c>
      <c r="L52" s="1859">
        <v>2</v>
      </c>
      <c r="M52" s="1859">
        <v>5</v>
      </c>
      <c r="N52" s="1859">
        <v>1</v>
      </c>
      <c r="O52" s="1859">
        <v>11</v>
      </c>
      <c r="P52" s="1859">
        <v>6</v>
      </c>
      <c r="Q52" s="1859">
        <v>6</v>
      </c>
      <c r="R52" s="1859">
        <v>2</v>
      </c>
      <c r="S52" s="1859">
        <v>8</v>
      </c>
      <c r="T52" s="1859">
        <v>6</v>
      </c>
      <c r="U52" s="1859">
        <v>14</v>
      </c>
      <c r="V52" s="1859">
        <v>7</v>
      </c>
      <c r="W52" s="1859">
        <v>19</v>
      </c>
      <c r="X52" s="1859">
        <v>10</v>
      </c>
      <c r="Y52" s="1859">
        <v>14</v>
      </c>
      <c r="Z52" s="1859">
        <v>9</v>
      </c>
      <c r="AA52" s="1859">
        <v>30</v>
      </c>
      <c r="AB52" s="1860">
        <v>19</v>
      </c>
    </row>
    <row r="53" spans="1:28" ht="9" customHeight="1" thickBot="1">
      <c r="A53" s="423" t="s">
        <v>617</v>
      </c>
      <c r="B53" s="1865" t="s">
        <v>616</v>
      </c>
      <c r="C53" s="1866">
        <v>27</v>
      </c>
      <c r="D53" s="1866">
        <v>12</v>
      </c>
      <c r="E53" s="1866">
        <v>10</v>
      </c>
      <c r="F53" s="1866">
        <v>6</v>
      </c>
      <c r="G53" s="1866" t="s">
        <v>28</v>
      </c>
      <c r="H53" s="1866" t="s">
        <v>28</v>
      </c>
      <c r="I53" s="1866" t="s">
        <v>28</v>
      </c>
      <c r="J53" s="1866" t="s">
        <v>28</v>
      </c>
      <c r="K53" s="1866" t="s">
        <v>28</v>
      </c>
      <c r="L53" s="1866" t="s">
        <v>28</v>
      </c>
      <c r="M53" s="1866">
        <v>1</v>
      </c>
      <c r="N53" s="1866" t="s">
        <v>28</v>
      </c>
      <c r="O53" s="1866">
        <v>2</v>
      </c>
      <c r="P53" s="1866" t="s">
        <v>28</v>
      </c>
      <c r="Q53" s="1866" t="s">
        <v>28</v>
      </c>
      <c r="R53" s="1866" t="s">
        <v>28</v>
      </c>
      <c r="S53" s="1866">
        <v>1</v>
      </c>
      <c r="T53" s="1866">
        <v>1</v>
      </c>
      <c r="U53" s="1866">
        <v>1</v>
      </c>
      <c r="V53" s="1866">
        <v>1</v>
      </c>
      <c r="W53" s="1866" t="s">
        <v>28</v>
      </c>
      <c r="X53" s="1866" t="s">
        <v>28</v>
      </c>
      <c r="Y53" s="1866">
        <v>2</v>
      </c>
      <c r="Z53" s="1866">
        <v>1</v>
      </c>
      <c r="AA53" s="1866">
        <v>10</v>
      </c>
      <c r="AB53" s="1867">
        <v>3</v>
      </c>
    </row>
    <row r="54" spans="1:28" ht="9" customHeight="1" thickBot="1">
      <c r="A54" s="1868" t="s">
        <v>45</v>
      </c>
      <c r="B54" s="1868"/>
      <c r="C54" s="1868"/>
      <c r="D54" s="1868"/>
      <c r="E54" s="1868"/>
      <c r="F54" s="1868"/>
      <c r="G54" s="1868"/>
      <c r="H54" s="1868"/>
      <c r="I54" s="1868"/>
      <c r="J54" s="1868"/>
      <c r="K54" s="1868"/>
      <c r="L54" s="1868"/>
      <c r="M54" s="1868" t="s">
        <v>46</v>
      </c>
      <c r="N54" s="1868"/>
      <c r="O54" s="1868"/>
      <c r="P54" s="1868"/>
      <c r="Q54" s="1868"/>
      <c r="R54" s="1868"/>
      <c r="S54" s="1868"/>
      <c r="T54" s="1868"/>
      <c r="U54" s="1868"/>
      <c r="V54" s="1868"/>
      <c r="W54" s="1868"/>
      <c r="X54" s="1868"/>
      <c r="Y54" s="1868"/>
      <c r="Z54" s="1868"/>
      <c r="AA54" s="1868"/>
      <c r="AB54" s="1868"/>
    </row>
    <row r="55" spans="1:28" ht="9" customHeight="1">
      <c r="A55" s="1869" t="s">
        <v>614</v>
      </c>
      <c r="B55" s="823" t="s">
        <v>48</v>
      </c>
      <c r="C55" s="824">
        <v>439</v>
      </c>
      <c r="D55" s="824">
        <v>302</v>
      </c>
      <c r="E55" s="824">
        <v>162</v>
      </c>
      <c r="F55" s="824">
        <v>119</v>
      </c>
      <c r="G55" s="824">
        <v>13</v>
      </c>
      <c r="H55" s="824">
        <v>9</v>
      </c>
      <c r="I55" s="824">
        <v>8</v>
      </c>
      <c r="J55" s="824">
        <v>5</v>
      </c>
      <c r="K55" s="824">
        <v>4</v>
      </c>
      <c r="L55" s="824">
        <v>2</v>
      </c>
      <c r="M55" s="824">
        <v>6</v>
      </c>
      <c r="N55" s="824">
        <v>3</v>
      </c>
      <c r="O55" s="824">
        <v>15</v>
      </c>
      <c r="P55" s="824">
        <v>8</v>
      </c>
      <c r="Q55" s="824">
        <v>18</v>
      </c>
      <c r="R55" s="824">
        <v>12</v>
      </c>
      <c r="S55" s="824">
        <v>30</v>
      </c>
      <c r="T55" s="824">
        <v>22</v>
      </c>
      <c r="U55" s="824">
        <v>33</v>
      </c>
      <c r="V55" s="824">
        <v>17</v>
      </c>
      <c r="W55" s="824">
        <v>30</v>
      </c>
      <c r="X55" s="824">
        <v>20</v>
      </c>
      <c r="Y55" s="824">
        <v>27</v>
      </c>
      <c r="Z55" s="824">
        <v>21</v>
      </c>
      <c r="AA55" s="824">
        <v>93</v>
      </c>
      <c r="AB55" s="825">
        <v>64</v>
      </c>
    </row>
    <row r="56" spans="1:28" ht="9" customHeight="1">
      <c r="A56" s="1858" t="s">
        <v>29</v>
      </c>
      <c r="B56" s="422" t="s">
        <v>30</v>
      </c>
      <c r="C56" s="816">
        <v>354</v>
      </c>
      <c r="D56" s="816">
        <v>255</v>
      </c>
      <c r="E56" s="816">
        <v>132</v>
      </c>
      <c r="F56" s="816">
        <v>98</v>
      </c>
      <c r="G56" s="816">
        <v>13</v>
      </c>
      <c r="H56" s="816">
        <v>9</v>
      </c>
      <c r="I56" s="816">
        <v>7</v>
      </c>
      <c r="J56" s="816">
        <v>5</v>
      </c>
      <c r="K56" s="816">
        <v>3</v>
      </c>
      <c r="L56" s="816">
        <v>2</v>
      </c>
      <c r="M56" s="816">
        <v>3</v>
      </c>
      <c r="N56" s="816">
        <v>2</v>
      </c>
      <c r="O56" s="816">
        <v>10</v>
      </c>
      <c r="P56" s="816">
        <v>7</v>
      </c>
      <c r="Q56" s="816">
        <v>15</v>
      </c>
      <c r="R56" s="816">
        <v>11</v>
      </c>
      <c r="S56" s="816">
        <v>22</v>
      </c>
      <c r="T56" s="816">
        <v>17</v>
      </c>
      <c r="U56" s="816">
        <v>23</v>
      </c>
      <c r="V56" s="816">
        <v>11</v>
      </c>
      <c r="W56" s="816">
        <v>24</v>
      </c>
      <c r="X56" s="816">
        <v>16</v>
      </c>
      <c r="Y56" s="816">
        <v>23</v>
      </c>
      <c r="Z56" s="816">
        <v>18</v>
      </c>
      <c r="AA56" s="816">
        <v>79</v>
      </c>
      <c r="AB56" s="817">
        <v>59</v>
      </c>
    </row>
    <row r="57" spans="1:28" ht="9" customHeight="1">
      <c r="A57" s="1858" t="s">
        <v>31</v>
      </c>
      <c r="B57" s="422" t="s">
        <v>32</v>
      </c>
      <c r="C57" s="816">
        <v>85</v>
      </c>
      <c r="D57" s="816">
        <v>47</v>
      </c>
      <c r="E57" s="816">
        <v>30</v>
      </c>
      <c r="F57" s="816">
        <v>21</v>
      </c>
      <c r="G57" s="816" t="s">
        <v>28</v>
      </c>
      <c r="H57" s="816" t="s">
        <v>28</v>
      </c>
      <c r="I57" s="816">
        <v>1</v>
      </c>
      <c r="J57" s="816" t="s">
        <v>28</v>
      </c>
      <c r="K57" s="816">
        <v>1</v>
      </c>
      <c r="L57" s="816" t="s">
        <v>28</v>
      </c>
      <c r="M57" s="816">
        <v>3</v>
      </c>
      <c r="N57" s="816">
        <v>1</v>
      </c>
      <c r="O57" s="816">
        <v>5</v>
      </c>
      <c r="P57" s="816">
        <v>1</v>
      </c>
      <c r="Q57" s="816">
        <v>3</v>
      </c>
      <c r="R57" s="816">
        <v>1</v>
      </c>
      <c r="S57" s="816">
        <v>8</v>
      </c>
      <c r="T57" s="816">
        <v>5</v>
      </c>
      <c r="U57" s="816">
        <v>10</v>
      </c>
      <c r="V57" s="816">
        <v>6</v>
      </c>
      <c r="W57" s="816">
        <v>6</v>
      </c>
      <c r="X57" s="816">
        <v>4</v>
      </c>
      <c r="Y57" s="816">
        <v>4</v>
      </c>
      <c r="Z57" s="816">
        <v>3</v>
      </c>
      <c r="AA57" s="816">
        <v>14</v>
      </c>
      <c r="AB57" s="817">
        <v>5</v>
      </c>
    </row>
    <row r="58" spans="1:28" ht="9" customHeight="1">
      <c r="A58" s="1861" t="s">
        <v>49</v>
      </c>
      <c r="B58" s="818" t="s">
        <v>50</v>
      </c>
      <c r="C58" s="826">
        <v>104</v>
      </c>
      <c r="D58" s="826">
        <v>51</v>
      </c>
      <c r="E58" s="826">
        <v>38</v>
      </c>
      <c r="F58" s="826">
        <v>25</v>
      </c>
      <c r="G58" s="826">
        <v>1</v>
      </c>
      <c r="H58" s="826" t="s">
        <v>28</v>
      </c>
      <c r="I58" s="826">
        <v>2</v>
      </c>
      <c r="J58" s="826">
        <v>1</v>
      </c>
      <c r="K58" s="826">
        <v>1</v>
      </c>
      <c r="L58" s="826">
        <v>1</v>
      </c>
      <c r="M58" s="826">
        <v>1</v>
      </c>
      <c r="N58" s="826" t="s">
        <v>28</v>
      </c>
      <c r="O58" s="826">
        <v>6</v>
      </c>
      <c r="P58" s="826">
        <v>2</v>
      </c>
      <c r="Q58" s="826">
        <v>4</v>
      </c>
      <c r="R58" s="826">
        <v>1</v>
      </c>
      <c r="S58" s="826">
        <v>6</v>
      </c>
      <c r="T58" s="826">
        <v>3</v>
      </c>
      <c r="U58" s="826">
        <v>13</v>
      </c>
      <c r="V58" s="826">
        <v>2</v>
      </c>
      <c r="W58" s="826">
        <v>6</v>
      </c>
      <c r="X58" s="826">
        <v>1</v>
      </c>
      <c r="Y58" s="826">
        <v>7</v>
      </c>
      <c r="Z58" s="826">
        <v>4</v>
      </c>
      <c r="AA58" s="826">
        <v>19</v>
      </c>
      <c r="AB58" s="827">
        <v>11</v>
      </c>
    </row>
    <row r="59" spans="1:28" ht="9" customHeight="1">
      <c r="A59" s="1858" t="s">
        <v>29</v>
      </c>
      <c r="B59" s="422" t="s">
        <v>30</v>
      </c>
      <c r="C59" s="816">
        <v>35</v>
      </c>
      <c r="D59" s="816">
        <v>28</v>
      </c>
      <c r="E59" s="816">
        <v>16</v>
      </c>
      <c r="F59" s="816">
        <v>12</v>
      </c>
      <c r="G59" s="816" t="s">
        <v>28</v>
      </c>
      <c r="H59" s="816" t="s">
        <v>28</v>
      </c>
      <c r="I59" s="816">
        <v>1</v>
      </c>
      <c r="J59" s="816">
        <v>1</v>
      </c>
      <c r="K59" s="816">
        <v>1</v>
      </c>
      <c r="L59" s="816">
        <v>1</v>
      </c>
      <c r="M59" s="816" t="s">
        <v>28</v>
      </c>
      <c r="N59" s="816" t="s">
        <v>28</v>
      </c>
      <c r="O59" s="816">
        <v>2</v>
      </c>
      <c r="P59" s="816">
        <v>2</v>
      </c>
      <c r="Q59" s="816" t="s">
        <v>28</v>
      </c>
      <c r="R59" s="816" t="s">
        <v>28</v>
      </c>
      <c r="S59" s="816">
        <v>2</v>
      </c>
      <c r="T59" s="816">
        <v>2</v>
      </c>
      <c r="U59" s="816">
        <v>1</v>
      </c>
      <c r="V59" s="816">
        <v>1</v>
      </c>
      <c r="W59" s="816">
        <v>2</v>
      </c>
      <c r="X59" s="816">
        <v>1</v>
      </c>
      <c r="Y59" s="816">
        <v>4</v>
      </c>
      <c r="Z59" s="816">
        <v>3</v>
      </c>
      <c r="AA59" s="816">
        <v>6</v>
      </c>
      <c r="AB59" s="817">
        <v>5</v>
      </c>
    </row>
    <row r="60" spans="1:28" ht="9" customHeight="1">
      <c r="A60" s="1858" t="s">
        <v>31</v>
      </c>
      <c r="B60" s="422" t="s">
        <v>32</v>
      </c>
      <c r="C60" s="816">
        <v>69</v>
      </c>
      <c r="D60" s="816">
        <v>23</v>
      </c>
      <c r="E60" s="816">
        <v>22</v>
      </c>
      <c r="F60" s="816">
        <v>13</v>
      </c>
      <c r="G60" s="816">
        <v>1</v>
      </c>
      <c r="H60" s="816" t="s">
        <v>28</v>
      </c>
      <c r="I60" s="816">
        <v>1</v>
      </c>
      <c r="J60" s="816" t="s">
        <v>28</v>
      </c>
      <c r="K60" s="816" t="s">
        <v>28</v>
      </c>
      <c r="L60" s="816" t="s">
        <v>28</v>
      </c>
      <c r="M60" s="816">
        <v>1</v>
      </c>
      <c r="N60" s="816" t="s">
        <v>28</v>
      </c>
      <c r="O60" s="816">
        <v>4</v>
      </c>
      <c r="P60" s="816" t="s">
        <v>28</v>
      </c>
      <c r="Q60" s="816">
        <v>4</v>
      </c>
      <c r="R60" s="816">
        <v>1</v>
      </c>
      <c r="S60" s="816">
        <v>4</v>
      </c>
      <c r="T60" s="816">
        <v>1</v>
      </c>
      <c r="U60" s="816">
        <v>12</v>
      </c>
      <c r="V60" s="816">
        <v>1</v>
      </c>
      <c r="W60" s="816">
        <v>4</v>
      </c>
      <c r="X60" s="816" t="s">
        <v>28</v>
      </c>
      <c r="Y60" s="816">
        <v>3</v>
      </c>
      <c r="Z60" s="816">
        <v>1</v>
      </c>
      <c r="AA60" s="816">
        <v>13</v>
      </c>
      <c r="AB60" s="817">
        <v>6</v>
      </c>
    </row>
    <row r="61" spans="1:28" ht="9" customHeight="1">
      <c r="A61" s="1861" t="s">
        <v>963</v>
      </c>
      <c r="B61" s="818" t="s">
        <v>964</v>
      </c>
      <c r="C61" s="826">
        <v>579</v>
      </c>
      <c r="D61" s="826">
        <v>403</v>
      </c>
      <c r="E61" s="826">
        <v>238</v>
      </c>
      <c r="F61" s="826">
        <v>175</v>
      </c>
      <c r="G61" s="826">
        <v>8</v>
      </c>
      <c r="H61" s="826">
        <v>5</v>
      </c>
      <c r="I61" s="826">
        <v>5</v>
      </c>
      <c r="J61" s="826">
        <v>4</v>
      </c>
      <c r="K61" s="826">
        <v>2</v>
      </c>
      <c r="L61" s="826">
        <v>2</v>
      </c>
      <c r="M61" s="826">
        <v>5</v>
      </c>
      <c r="N61" s="826">
        <v>3</v>
      </c>
      <c r="O61" s="826">
        <v>10</v>
      </c>
      <c r="P61" s="826">
        <v>6</v>
      </c>
      <c r="Q61" s="826">
        <v>17</v>
      </c>
      <c r="R61" s="826">
        <v>10</v>
      </c>
      <c r="S61" s="826">
        <v>28</v>
      </c>
      <c r="T61" s="826">
        <v>17</v>
      </c>
      <c r="U61" s="826">
        <v>38</v>
      </c>
      <c r="V61" s="826">
        <v>24</v>
      </c>
      <c r="W61" s="826">
        <v>28</v>
      </c>
      <c r="X61" s="826">
        <v>16</v>
      </c>
      <c r="Y61" s="826">
        <v>32</v>
      </c>
      <c r="Z61" s="826">
        <v>23</v>
      </c>
      <c r="AA61" s="826">
        <v>168</v>
      </c>
      <c r="AB61" s="827">
        <v>118</v>
      </c>
    </row>
    <row r="62" spans="1:28" ht="9" customHeight="1">
      <c r="A62" s="1858" t="s">
        <v>29</v>
      </c>
      <c r="B62" s="422" t="s">
        <v>30</v>
      </c>
      <c r="C62" s="816">
        <v>531</v>
      </c>
      <c r="D62" s="816">
        <v>378</v>
      </c>
      <c r="E62" s="816">
        <v>219</v>
      </c>
      <c r="F62" s="816">
        <v>163</v>
      </c>
      <c r="G62" s="816">
        <v>7</v>
      </c>
      <c r="H62" s="816">
        <v>5</v>
      </c>
      <c r="I62" s="816">
        <v>5</v>
      </c>
      <c r="J62" s="816">
        <v>4</v>
      </c>
      <c r="K62" s="816">
        <v>2</v>
      </c>
      <c r="L62" s="816">
        <v>2</v>
      </c>
      <c r="M62" s="816">
        <v>4</v>
      </c>
      <c r="N62" s="816">
        <v>3</v>
      </c>
      <c r="O62" s="816">
        <v>10</v>
      </c>
      <c r="P62" s="816">
        <v>6</v>
      </c>
      <c r="Q62" s="816">
        <v>11</v>
      </c>
      <c r="R62" s="816">
        <v>8</v>
      </c>
      <c r="S62" s="816">
        <v>25</v>
      </c>
      <c r="T62" s="816">
        <v>16</v>
      </c>
      <c r="U62" s="816">
        <v>35</v>
      </c>
      <c r="V62" s="816">
        <v>22</v>
      </c>
      <c r="W62" s="816">
        <v>28</v>
      </c>
      <c r="X62" s="816">
        <v>16</v>
      </c>
      <c r="Y62" s="816">
        <v>30</v>
      </c>
      <c r="Z62" s="816">
        <v>22</v>
      </c>
      <c r="AA62" s="816">
        <v>155</v>
      </c>
      <c r="AB62" s="817">
        <v>111</v>
      </c>
    </row>
    <row r="63" spans="1:28" ht="9" customHeight="1">
      <c r="A63" s="1858" t="s">
        <v>31</v>
      </c>
      <c r="B63" s="422" t="s">
        <v>32</v>
      </c>
      <c r="C63" s="816">
        <v>48</v>
      </c>
      <c r="D63" s="816">
        <v>25</v>
      </c>
      <c r="E63" s="816">
        <v>19</v>
      </c>
      <c r="F63" s="816">
        <v>12</v>
      </c>
      <c r="G63" s="816">
        <v>1</v>
      </c>
      <c r="H63" s="816" t="s">
        <v>28</v>
      </c>
      <c r="I63" s="816" t="s">
        <v>28</v>
      </c>
      <c r="J63" s="816" t="s">
        <v>28</v>
      </c>
      <c r="K63" s="816" t="s">
        <v>28</v>
      </c>
      <c r="L63" s="816" t="s">
        <v>28</v>
      </c>
      <c r="M63" s="816">
        <v>1</v>
      </c>
      <c r="N63" s="816" t="s">
        <v>28</v>
      </c>
      <c r="O63" s="816" t="s">
        <v>28</v>
      </c>
      <c r="P63" s="816" t="s">
        <v>28</v>
      </c>
      <c r="Q63" s="816">
        <v>6</v>
      </c>
      <c r="R63" s="816">
        <v>2</v>
      </c>
      <c r="S63" s="816">
        <v>3</v>
      </c>
      <c r="T63" s="816">
        <v>1</v>
      </c>
      <c r="U63" s="816">
        <v>3</v>
      </c>
      <c r="V63" s="816">
        <v>2</v>
      </c>
      <c r="W63" s="816" t="s">
        <v>28</v>
      </c>
      <c r="X63" s="816" t="s">
        <v>28</v>
      </c>
      <c r="Y63" s="816">
        <v>2</v>
      </c>
      <c r="Z63" s="816">
        <v>1</v>
      </c>
      <c r="AA63" s="816">
        <v>13</v>
      </c>
      <c r="AB63" s="817">
        <v>7</v>
      </c>
    </row>
    <row r="64" spans="1:28" ht="9" customHeight="1">
      <c r="A64" s="1861" t="s">
        <v>51</v>
      </c>
      <c r="B64" s="818" t="s">
        <v>52</v>
      </c>
      <c r="C64" s="826">
        <v>984</v>
      </c>
      <c r="D64" s="826">
        <v>750</v>
      </c>
      <c r="E64" s="826">
        <v>347</v>
      </c>
      <c r="F64" s="826">
        <v>261</v>
      </c>
      <c r="G64" s="826">
        <v>13</v>
      </c>
      <c r="H64" s="826">
        <v>10</v>
      </c>
      <c r="I64" s="826">
        <v>11</v>
      </c>
      <c r="J64" s="826">
        <v>7</v>
      </c>
      <c r="K64" s="826">
        <v>8</v>
      </c>
      <c r="L64" s="826">
        <v>6</v>
      </c>
      <c r="M64" s="826">
        <v>19</v>
      </c>
      <c r="N64" s="826">
        <v>15</v>
      </c>
      <c r="O64" s="826">
        <v>42</v>
      </c>
      <c r="P64" s="826">
        <v>32</v>
      </c>
      <c r="Q64" s="826">
        <v>54</v>
      </c>
      <c r="R64" s="826">
        <v>43</v>
      </c>
      <c r="S64" s="826">
        <v>79</v>
      </c>
      <c r="T64" s="826">
        <v>54</v>
      </c>
      <c r="U64" s="826">
        <v>73</v>
      </c>
      <c r="V64" s="826">
        <v>53</v>
      </c>
      <c r="W64" s="826">
        <v>67</v>
      </c>
      <c r="X64" s="826">
        <v>56</v>
      </c>
      <c r="Y64" s="826">
        <v>66</v>
      </c>
      <c r="Z64" s="826">
        <v>54</v>
      </c>
      <c r="AA64" s="826">
        <v>205</v>
      </c>
      <c r="AB64" s="827">
        <v>159</v>
      </c>
    </row>
    <row r="65" spans="1:28" ht="9" customHeight="1">
      <c r="A65" s="1858" t="s">
        <v>29</v>
      </c>
      <c r="B65" s="422" t="s">
        <v>30</v>
      </c>
      <c r="C65" s="816">
        <v>938</v>
      </c>
      <c r="D65" s="816">
        <v>722</v>
      </c>
      <c r="E65" s="816">
        <v>329</v>
      </c>
      <c r="F65" s="816">
        <v>247</v>
      </c>
      <c r="G65" s="816">
        <v>13</v>
      </c>
      <c r="H65" s="816">
        <v>10</v>
      </c>
      <c r="I65" s="816">
        <v>10</v>
      </c>
      <c r="J65" s="816">
        <v>7</v>
      </c>
      <c r="K65" s="816">
        <v>7</v>
      </c>
      <c r="L65" s="816">
        <v>6</v>
      </c>
      <c r="M65" s="816">
        <v>17</v>
      </c>
      <c r="N65" s="816">
        <v>14</v>
      </c>
      <c r="O65" s="816">
        <v>38</v>
      </c>
      <c r="P65" s="816">
        <v>30</v>
      </c>
      <c r="Q65" s="816">
        <v>50</v>
      </c>
      <c r="R65" s="816">
        <v>39</v>
      </c>
      <c r="S65" s="816">
        <v>77</v>
      </c>
      <c r="T65" s="816">
        <v>54</v>
      </c>
      <c r="U65" s="816">
        <v>71</v>
      </c>
      <c r="V65" s="816">
        <v>52</v>
      </c>
      <c r="W65" s="816">
        <v>66</v>
      </c>
      <c r="X65" s="816">
        <v>56</v>
      </c>
      <c r="Y65" s="816">
        <v>65</v>
      </c>
      <c r="Z65" s="816">
        <v>54</v>
      </c>
      <c r="AA65" s="816">
        <v>195</v>
      </c>
      <c r="AB65" s="817">
        <v>153</v>
      </c>
    </row>
    <row r="66" spans="1:28" ht="9" customHeight="1">
      <c r="A66" s="1858" t="s">
        <v>31</v>
      </c>
      <c r="B66" s="422" t="s">
        <v>32</v>
      </c>
      <c r="C66" s="816">
        <v>46</v>
      </c>
      <c r="D66" s="816">
        <v>28</v>
      </c>
      <c r="E66" s="816">
        <v>18</v>
      </c>
      <c r="F66" s="816">
        <v>14</v>
      </c>
      <c r="G66" s="816" t="s">
        <v>28</v>
      </c>
      <c r="H66" s="816" t="s">
        <v>28</v>
      </c>
      <c r="I66" s="816">
        <v>1</v>
      </c>
      <c r="J66" s="816" t="s">
        <v>28</v>
      </c>
      <c r="K66" s="816">
        <v>1</v>
      </c>
      <c r="L66" s="816" t="s">
        <v>28</v>
      </c>
      <c r="M66" s="816">
        <v>2</v>
      </c>
      <c r="N66" s="816">
        <v>1</v>
      </c>
      <c r="O66" s="816">
        <v>4</v>
      </c>
      <c r="P66" s="816">
        <v>2</v>
      </c>
      <c r="Q66" s="816">
        <v>4</v>
      </c>
      <c r="R66" s="816">
        <v>4</v>
      </c>
      <c r="S66" s="816">
        <v>2</v>
      </c>
      <c r="T66" s="816" t="s">
        <v>28</v>
      </c>
      <c r="U66" s="816">
        <v>2</v>
      </c>
      <c r="V66" s="816">
        <v>1</v>
      </c>
      <c r="W66" s="816">
        <v>1</v>
      </c>
      <c r="X66" s="816" t="s">
        <v>28</v>
      </c>
      <c r="Y66" s="816">
        <v>1</v>
      </c>
      <c r="Z66" s="816" t="s">
        <v>28</v>
      </c>
      <c r="AA66" s="816">
        <v>10</v>
      </c>
      <c r="AB66" s="817">
        <v>6</v>
      </c>
    </row>
    <row r="67" spans="1:28" ht="9" customHeight="1">
      <c r="A67" s="1861" t="s">
        <v>53</v>
      </c>
      <c r="B67" s="818" t="s">
        <v>54</v>
      </c>
      <c r="C67" s="826">
        <v>1037</v>
      </c>
      <c r="D67" s="826">
        <v>796</v>
      </c>
      <c r="E67" s="826">
        <v>352</v>
      </c>
      <c r="F67" s="826">
        <v>253</v>
      </c>
      <c r="G67" s="826">
        <v>22</v>
      </c>
      <c r="H67" s="826">
        <v>16</v>
      </c>
      <c r="I67" s="826">
        <v>5</v>
      </c>
      <c r="J67" s="826">
        <v>4</v>
      </c>
      <c r="K67" s="826">
        <v>5</v>
      </c>
      <c r="L67" s="826">
        <v>5</v>
      </c>
      <c r="M67" s="826">
        <v>24</v>
      </c>
      <c r="N67" s="826">
        <v>21</v>
      </c>
      <c r="O67" s="826">
        <v>48</v>
      </c>
      <c r="P67" s="826">
        <v>35</v>
      </c>
      <c r="Q67" s="826">
        <v>87</v>
      </c>
      <c r="R67" s="826">
        <v>66</v>
      </c>
      <c r="S67" s="826">
        <v>103</v>
      </c>
      <c r="T67" s="826">
        <v>87</v>
      </c>
      <c r="U67" s="826">
        <v>93</v>
      </c>
      <c r="V67" s="826">
        <v>76</v>
      </c>
      <c r="W67" s="826">
        <v>58</v>
      </c>
      <c r="X67" s="826">
        <v>42</v>
      </c>
      <c r="Y67" s="826">
        <v>63</v>
      </c>
      <c r="Z67" s="826">
        <v>48</v>
      </c>
      <c r="AA67" s="826">
        <v>177</v>
      </c>
      <c r="AB67" s="827">
        <v>143</v>
      </c>
    </row>
    <row r="68" spans="1:28" ht="9" customHeight="1">
      <c r="A68" s="1858" t="s">
        <v>29</v>
      </c>
      <c r="B68" s="422" t="s">
        <v>30</v>
      </c>
      <c r="C68" s="816">
        <v>1012</v>
      </c>
      <c r="D68" s="816">
        <v>779</v>
      </c>
      <c r="E68" s="816">
        <v>342</v>
      </c>
      <c r="F68" s="816">
        <v>245</v>
      </c>
      <c r="G68" s="816">
        <v>22</v>
      </c>
      <c r="H68" s="816">
        <v>16</v>
      </c>
      <c r="I68" s="816">
        <v>5</v>
      </c>
      <c r="J68" s="816">
        <v>4</v>
      </c>
      <c r="K68" s="816">
        <v>5</v>
      </c>
      <c r="L68" s="816">
        <v>5</v>
      </c>
      <c r="M68" s="816">
        <v>23</v>
      </c>
      <c r="N68" s="816">
        <v>21</v>
      </c>
      <c r="O68" s="816">
        <v>46</v>
      </c>
      <c r="P68" s="816">
        <v>34</v>
      </c>
      <c r="Q68" s="816">
        <v>87</v>
      </c>
      <c r="R68" s="816">
        <v>66</v>
      </c>
      <c r="S68" s="816">
        <v>100</v>
      </c>
      <c r="T68" s="816">
        <v>85</v>
      </c>
      <c r="U68" s="816">
        <v>92</v>
      </c>
      <c r="V68" s="816">
        <v>76</v>
      </c>
      <c r="W68" s="816">
        <v>56</v>
      </c>
      <c r="X68" s="816">
        <v>40</v>
      </c>
      <c r="Y68" s="816">
        <v>60</v>
      </c>
      <c r="Z68" s="816">
        <v>47</v>
      </c>
      <c r="AA68" s="816">
        <v>174</v>
      </c>
      <c r="AB68" s="817">
        <v>140</v>
      </c>
    </row>
    <row r="69" spans="1:28" ht="9" customHeight="1">
      <c r="A69" s="1858" t="s">
        <v>31</v>
      </c>
      <c r="B69" s="422" t="s">
        <v>32</v>
      </c>
      <c r="C69" s="816">
        <v>25</v>
      </c>
      <c r="D69" s="816">
        <v>17</v>
      </c>
      <c r="E69" s="816">
        <v>10</v>
      </c>
      <c r="F69" s="816">
        <v>8</v>
      </c>
      <c r="G69" s="816" t="s">
        <v>28</v>
      </c>
      <c r="H69" s="816" t="s">
        <v>28</v>
      </c>
      <c r="I69" s="816" t="s">
        <v>28</v>
      </c>
      <c r="J69" s="816" t="s">
        <v>28</v>
      </c>
      <c r="K69" s="816" t="s">
        <v>28</v>
      </c>
      <c r="L69" s="816" t="s">
        <v>28</v>
      </c>
      <c r="M69" s="816">
        <v>1</v>
      </c>
      <c r="N69" s="816" t="s">
        <v>28</v>
      </c>
      <c r="O69" s="816">
        <v>2</v>
      </c>
      <c r="P69" s="816">
        <v>1</v>
      </c>
      <c r="Q69" s="816" t="s">
        <v>28</v>
      </c>
      <c r="R69" s="816" t="s">
        <v>28</v>
      </c>
      <c r="S69" s="816">
        <v>3</v>
      </c>
      <c r="T69" s="816">
        <v>2</v>
      </c>
      <c r="U69" s="816">
        <v>1</v>
      </c>
      <c r="V69" s="816" t="s">
        <v>28</v>
      </c>
      <c r="W69" s="816">
        <v>2</v>
      </c>
      <c r="X69" s="816">
        <v>2</v>
      </c>
      <c r="Y69" s="816">
        <v>3</v>
      </c>
      <c r="Z69" s="816">
        <v>1</v>
      </c>
      <c r="AA69" s="816">
        <v>3</v>
      </c>
      <c r="AB69" s="817">
        <v>3</v>
      </c>
    </row>
    <row r="70" spans="1:28" ht="9" customHeight="1">
      <c r="A70" s="1861" t="s">
        <v>55</v>
      </c>
      <c r="B70" s="818" t="s">
        <v>56</v>
      </c>
      <c r="C70" s="826">
        <v>907</v>
      </c>
      <c r="D70" s="826">
        <v>708</v>
      </c>
      <c r="E70" s="826">
        <v>255</v>
      </c>
      <c r="F70" s="826">
        <v>179</v>
      </c>
      <c r="G70" s="826">
        <v>4</v>
      </c>
      <c r="H70" s="826">
        <v>4</v>
      </c>
      <c r="I70" s="826">
        <v>10</v>
      </c>
      <c r="J70" s="826">
        <v>9</v>
      </c>
      <c r="K70" s="826">
        <v>14</v>
      </c>
      <c r="L70" s="826">
        <v>8</v>
      </c>
      <c r="M70" s="826">
        <v>32</v>
      </c>
      <c r="N70" s="826">
        <v>26</v>
      </c>
      <c r="O70" s="826">
        <v>56</v>
      </c>
      <c r="P70" s="826">
        <v>42</v>
      </c>
      <c r="Q70" s="826">
        <v>87</v>
      </c>
      <c r="R70" s="826">
        <v>70</v>
      </c>
      <c r="S70" s="826">
        <v>88</v>
      </c>
      <c r="T70" s="826">
        <v>72</v>
      </c>
      <c r="U70" s="826">
        <v>67</v>
      </c>
      <c r="V70" s="826">
        <v>50</v>
      </c>
      <c r="W70" s="826">
        <v>66</v>
      </c>
      <c r="X70" s="826">
        <v>58</v>
      </c>
      <c r="Y70" s="826">
        <v>52</v>
      </c>
      <c r="Z70" s="826">
        <v>45</v>
      </c>
      <c r="AA70" s="826">
        <v>176</v>
      </c>
      <c r="AB70" s="827">
        <v>145</v>
      </c>
    </row>
    <row r="71" spans="1:28" ht="9" customHeight="1">
      <c r="A71" s="1858" t="s">
        <v>29</v>
      </c>
      <c r="B71" s="422" t="s">
        <v>30</v>
      </c>
      <c r="C71" s="816">
        <v>907</v>
      </c>
      <c r="D71" s="816">
        <v>708</v>
      </c>
      <c r="E71" s="816">
        <v>255</v>
      </c>
      <c r="F71" s="816">
        <v>179</v>
      </c>
      <c r="G71" s="816">
        <v>4</v>
      </c>
      <c r="H71" s="816">
        <v>4</v>
      </c>
      <c r="I71" s="816">
        <v>10</v>
      </c>
      <c r="J71" s="816">
        <v>9</v>
      </c>
      <c r="K71" s="816">
        <v>14</v>
      </c>
      <c r="L71" s="816">
        <v>8</v>
      </c>
      <c r="M71" s="816">
        <v>32</v>
      </c>
      <c r="N71" s="816">
        <v>26</v>
      </c>
      <c r="O71" s="816">
        <v>56</v>
      </c>
      <c r="P71" s="816">
        <v>42</v>
      </c>
      <c r="Q71" s="816">
        <v>87</v>
      </c>
      <c r="R71" s="816">
        <v>70</v>
      </c>
      <c r="S71" s="816">
        <v>88</v>
      </c>
      <c r="T71" s="816">
        <v>72</v>
      </c>
      <c r="U71" s="816">
        <v>67</v>
      </c>
      <c r="V71" s="816">
        <v>50</v>
      </c>
      <c r="W71" s="816">
        <v>66</v>
      </c>
      <c r="X71" s="816">
        <v>58</v>
      </c>
      <c r="Y71" s="816">
        <v>52</v>
      </c>
      <c r="Z71" s="816">
        <v>45</v>
      </c>
      <c r="AA71" s="816">
        <v>176</v>
      </c>
      <c r="AB71" s="817">
        <v>145</v>
      </c>
    </row>
    <row r="72" spans="1:28" ht="9" customHeight="1">
      <c r="A72" s="1861" t="s">
        <v>57</v>
      </c>
      <c r="B72" s="818" t="s">
        <v>58</v>
      </c>
      <c r="C72" s="826">
        <v>539</v>
      </c>
      <c r="D72" s="826">
        <v>425</v>
      </c>
      <c r="E72" s="826">
        <v>143</v>
      </c>
      <c r="F72" s="826">
        <v>109</v>
      </c>
      <c r="G72" s="826">
        <v>3</v>
      </c>
      <c r="H72" s="826">
        <v>3</v>
      </c>
      <c r="I72" s="826" t="s">
        <v>28</v>
      </c>
      <c r="J72" s="826" t="s">
        <v>28</v>
      </c>
      <c r="K72" s="826">
        <v>7</v>
      </c>
      <c r="L72" s="826">
        <v>6</v>
      </c>
      <c r="M72" s="826">
        <v>15</v>
      </c>
      <c r="N72" s="826">
        <v>11</v>
      </c>
      <c r="O72" s="826">
        <v>21</v>
      </c>
      <c r="P72" s="826">
        <v>17</v>
      </c>
      <c r="Q72" s="826">
        <v>51</v>
      </c>
      <c r="R72" s="826">
        <v>40</v>
      </c>
      <c r="S72" s="826">
        <v>60</v>
      </c>
      <c r="T72" s="826">
        <v>45</v>
      </c>
      <c r="U72" s="826">
        <v>46</v>
      </c>
      <c r="V72" s="826">
        <v>39</v>
      </c>
      <c r="W72" s="826">
        <v>47</v>
      </c>
      <c r="X72" s="826">
        <v>37</v>
      </c>
      <c r="Y72" s="826">
        <v>28</v>
      </c>
      <c r="Z72" s="826">
        <v>23</v>
      </c>
      <c r="AA72" s="826">
        <v>118</v>
      </c>
      <c r="AB72" s="827">
        <v>95</v>
      </c>
    </row>
    <row r="73" spans="1:28" ht="9" customHeight="1">
      <c r="A73" s="1858" t="s">
        <v>29</v>
      </c>
      <c r="B73" s="422" t="s">
        <v>30</v>
      </c>
      <c r="C73" s="816">
        <v>539</v>
      </c>
      <c r="D73" s="816">
        <v>425</v>
      </c>
      <c r="E73" s="816">
        <v>143</v>
      </c>
      <c r="F73" s="816">
        <v>109</v>
      </c>
      <c r="G73" s="816">
        <v>3</v>
      </c>
      <c r="H73" s="816">
        <v>3</v>
      </c>
      <c r="I73" s="816" t="s">
        <v>28</v>
      </c>
      <c r="J73" s="816" t="s">
        <v>28</v>
      </c>
      <c r="K73" s="816">
        <v>7</v>
      </c>
      <c r="L73" s="816">
        <v>6</v>
      </c>
      <c r="M73" s="816">
        <v>15</v>
      </c>
      <c r="N73" s="816">
        <v>11</v>
      </c>
      <c r="O73" s="816">
        <v>21</v>
      </c>
      <c r="P73" s="816">
        <v>17</v>
      </c>
      <c r="Q73" s="816">
        <v>51</v>
      </c>
      <c r="R73" s="816">
        <v>40</v>
      </c>
      <c r="S73" s="816">
        <v>60</v>
      </c>
      <c r="T73" s="816">
        <v>45</v>
      </c>
      <c r="U73" s="816">
        <v>46</v>
      </c>
      <c r="V73" s="816">
        <v>39</v>
      </c>
      <c r="W73" s="816">
        <v>47</v>
      </c>
      <c r="X73" s="816">
        <v>37</v>
      </c>
      <c r="Y73" s="816">
        <v>28</v>
      </c>
      <c r="Z73" s="816">
        <v>23</v>
      </c>
      <c r="AA73" s="816">
        <v>118</v>
      </c>
      <c r="AB73" s="817">
        <v>95</v>
      </c>
    </row>
    <row r="74" spans="1:28" ht="9" customHeight="1">
      <c r="A74" s="1861" t="s">
        <v>59</v>
      </c>
      <c r="B74" s="818" t="s">
        <v>60</v>
      </c>
      <c r="C74" s="826">
        <v>1376</v>
      </c>
      <c r="D74" s="826">
        <v>983</v>
      </c>
      <c r="E74" s="826">
        <v>557</v>
      </c>
      <c r="F74" s="826">
        <v>389</v>
      </c>
      <c r="G74" s="826">
        <v>32</v>
      </c>
      <c r="H74" s="826">
        <v>22</v>
      </c>
      <c r="I74" s="826">
        <v>24</v>
      </c>
      <c r="J74" s="826">
        <v>13</v>
      </c>
      <c r="K74" s="826">
        <v>16</v>
      </c>
      <c r="L74" s="826">
        <v>11</v>
      </c>
      <c r="M74" s="826">
        <v>43</v>
      </c>
      <c r="N74" s="826">
        <v>25</v>
      </c>
      <c r="O74" s="826">
        <v>56</v>
      </c>
      <c r="P74" s="826">
        <v>30</v>
      </c>
      <c r="Q74" s="826">
        <v>106</v>
      </c>
      <c r="R74" s="826">
        <v>84</v>
      </c>
      <c r="S74" s="826">
        <v>117</v>
      </c>
      <c r="T74" s="826">
        <v>93</v>
      </c>
      <c r="U74" s="826">
        <v>90</v>
      </c>
      <c r="V74" s="826">
        <v>62</v>
      </c>
      <c r="W74" s="826">
        <v>54</v>
      </c>
      <c r="X74" s="826">
        <v>34</v>
      </c>
      <c r="Y74" s="826">
        <v>67</v>
      </c>
      <c r="Z74" s="826">
        <v>55</v>
      </c>
      <c r="AA74" s="826">
        <v>214</v>
      </c>
      <c r="AB74" s="827">
        <v>165</v>
      </c>
    </row>
    <row r="75" spans="1:28" ht="9" customHeight="1">
      <c r="A75" s="1858" t="s">
        <v>29</v>
      </c>
      <c r="B75" s="422" t="s">
        <v>30</v>
      </c>
      <c r="C75" s="816">
        <v>1376</v>
      </c>
      <c r="D75" s="816">
        <v>983</v>
      </c>
      <c r="E75" s="816">
        <v>557</v>
      </c>
      <c r="F75" s="816">
        <v>389</v>
      </c>
      <c r="G75" s="816">
        <v>32</v>
      </c>
      <c r="H75" s="816">
        <v>22</v>
      </c>
      <c r="I75" s="816">
        <v>24</v>
      </c>
      <c r="J75" s="816">
        <v>13</v>
      </c>
      <c r="K75" s="816">
        <v>16</v>
      </c>
      <c r="L75" s="816">
        <v>11</v>
      </c>
      <c r="M75" s="816">
        <v>43</v>
      </c>
      <c r="N75" s="816">
        <v>25</v>
      </c>
      <c r="O75" s="816">
        <v>56</v>
      </c>
      <c r="P75" s="816">
        <v>30</v>
      </c>
      <c r="Q75" s="816">
        <v>106</v>
      </c>
      <c r="R75" s="816">
        <v>84</v>
      </c>
      <c r="S75" s="816">
        <v>117</v>
      </c>
      <c r="T75" s="816">
        <v>93</v>
      </c>
      <c r="U75" s="816">
        <v>90</v>
      </c>
      <c r="V75" s="816">
        <v>62</v>
      </c>
      <c r="W75" s="816">
        <v>54</v>
      </c>
      <c r="X75" s="816">
        <v>34</v>
      </c>
      <c r="Y75" s="816">
        <v>67</v>
      </c>
      <c r="Z75" s="816">
        <v>55</v>
      </c>
      <c r="AA75" s="816">
        <v>214</v>
      </c>
      <c r="AB75" s="817">
        <v>165</v>
      </c>
    </row>
    <row r="76" spans="1:28" ht="9" customHeight="1">
      <c r="A76" s="1861" t="s">
        <v>61</v>
      </c>
      <c r="B76" s="818" t="s">
        <v>62</v>
      </c>
      <c r="C76" s="826">
        <v>170</v>
      </c>
      <c r="D76" s="826">
        <v>91</v>
      </c>
      <c r="E76" s="826">
        <v>37</v>
      </c>
      <c r="F76" s="826">
        <v>19</v>
      </c>
      <c r="G76" s="826">
        <v>3</v>
      </c>
      <c r="H76" s="826">
        <v>2</v>
      </c>
      <c r="I76" s="826">
        <v>3</v>
      </c>
      <c r="J76" s="826">
        <v>2</v>
      </c>
      <c r="K76" s="826">
        <v>3</v>
      </c>
      <c r="L76" s="826">
        <v>2</v>
      </c>
      <c r="M76" s="826">
        <v>6</v>
      </c>
      <c r="N76" s="826">
        <v>1</v>
      </c>
      <c r="O76" s="826">
        <v>13</v>
      </c>
      <c r="P76" s="826">
        <v>6</v>
      </c>
      <c r="Q76" s="826">
        <v>6</v>
      </c>
      <c r="R76" s="826">
        <v>2</v>
      </c>
      <c r="S76" s="826">
        <v>9</v>
      </c>
      <c r="T76" s="826">
        <v>7</v>
      </c>
      <c r="U76" s="826">
        <v>15</v>
      </c>
      <c r="V76" s="826">
        <v>8</v>
      </c>
      <c r="W76" s="826">
        <v>19</v>
      </c>
      <c r="X76" s="826">
        <v>10</v>
      </c>
      <c r="Y76" s="826">
        <v>16</v>
      </c>
      <c r="Z76" s="826">
        <v>10</v>
      </c>
      <c r="AA76" s="826">
        <v>40</v>
      </c>
      <c r="AB76" s="827">
        <v>22</v>
      </c>
    </row>
    <row r="77" spans="1:28" ht="9" customHeight="1">
      <c r="A77" s="1858" t="s">
        <v>29</v>
      </c>
      <c r="B77" s="422" t="s">
        <v>30</v>
      </c>
      <c r="C77" s="816">
        <v>143</v>
      </c>
      <c r="D77" s="816">
        <v>79</v>
      </c>
      <c r="E77" s="816">
        <v>27</v>
      </c>
      <c r="F77" s="816">
        <v>13</v>
      </c>
      <c r="G77" s="816">
        <v>3</v>
      </c>
      <c r="H77" s="816">
        <v>2</v>
      </c>
      <c r="I77" s="816">
        <v>3</v>
      </c>
      <c r="J77" s="816">
        <v>2</v>
      </c>
      <c r="K77" s="816">
        <v>3</v>
      </c>
      <c r="L77" s="816">
        <v>2</v>
      </c>
      <c r="M77" s="816">
        <v>5</v>
      </c>
      <c r="N77" s="816">
        <v>1</v>
      </c>
      <c r="O77" s="816">
        <v>11</v>
      </c>
      <c r="P77" s="816">
        <v>6</v>
      </c>
      <c r="Q77" s="816">
        <v>6</v>
      </c>
      <c r="R77" s="816">
        <v>2</v>
      </c>
      <c r="S77" s="816">
        <v>8</v>
      </c>
      <c r="T77" s="816">
        <v>6</v>
      </c>
      <c r="U77" s="816">
        <v>14</v>
      </c>
      <c r="V77" s="816">
        <v>7</v>
      </c>
      <c r="W77" s="816">
        <v>19</v>
      </c>
      <c r="X77" s="816">
        <v>10</v>
      </c>
      <c r="Y77" s="816">
        <v>14</v>
      </c>
      <c r="Z77" s="816">
        <v>9</v>
      </c>
      <c r="AA77" s="816">
        <v>30</v>
      </c>
      <c r="AB77" s="817">
        <v>19</v>
      </c>
    </row>
    <row r="78" spans="1:28" ht="9" customHeight="1">
      <c r="A78" s="1858" t="s">
        <v>31</v>
      </c>
      <c r="B78" s="422" t="s">
        <v>32</v>
      </c>
      <c r="C78" s="816">
        <v>27</v>
      </c>
      <c r="D78" s="816">
        <v>12</v>
      </c>
      <c r="E78" s="816">
        <v>10</v>
      </c>
      <c r="F78" s="816">
        <v>6</v>
      </c>
      <c r="G78" s="816" t="s">
        <v>28</v>
      </c>
      <c r="H78" s="816" t="s">
        <v>28</v>
      </c>
      <c r="I78" s="816" t="s">
        <v>28</v>
      </c>
      <c r="J78" s="816" t="s">
        <v>28</v>
      </c>
      <c r="K78" s="816" t="s">
        <v>28</v>
      </c>
      <c r="L78" s="816" t="s">
        <v>28</v>
      </c>
      <c r="M78" s="816">
        <v>1</v>
      </c>
      <c r="N78" s="816" t="s">
        <v>28</v>
      </c>
      <c r="O78" s="816">
        <v>2</v>
      </c>
      <c r="P78" s="816" t="s">
        <v>28</v>
      </c>
      <c r="Q78" s="816" t="s">
        <v>28</v>
      </c>
      <c r="R78" s="816" t="s">
        <v>28</v>
      </c>
      <c r="S78" s="816">
        <v>1</v>
      </c>
      <c r="T78" s="816">
        <v>1</v>
      </c>
      <c r="U78" s="816">
        <v>1</v>
      </c>
      <c r="V78" s="816">
        <v>1</v>
      </c>
      <c r="W78" s="816" t="s">
        <v>28</v>
      </c>
      <c r="X78" s="816" t="s">
        <v>28</v>
      </c>
      <c r="Y78" s="816">
        <v>2</v>
      </c>
      <c r="Z78" s="816">
        <v>1</v>
      </c>
      <c r="AA78" s="816">
        <v>10</v>
      </c>
      <c r="AB78" s="817">
        <v>3</v>
      </c>
    </row>
    <row r="79" spans="1:28" ht="15.75" customHeight="1">
      <c r="A79" s="1861" t="s">
        <v>63</v>
      </c>
      <c r="B79" s="818" t="s">
        <v>64</v>
      </c>
      <c r="C79" s="826">
        <v>50</v>
      </c>
      <c r="D79" s="826">
        <v>32</v>
      </c>
      <c r="E79" s="826">
        <v>5</v>
      </c>
      <c r="F79" s="826">
        <v>4</v>
      </c>
      <c r="G79" s="826">
        <v>14</v>
      </c>
      <c r="H79" s="826">
        <v>10</v>
      </c>
      <c r="I79" s="826">
        <v>1</v>
      </c>
      <c r="J79" s="826" t="s">
        <v>28</v>
      </c>
      <c r="K79" s="826">
        <v>3</v>
      </c>
      <c r="L79" s="826">
        <v>2</v>
      </c>
      <c r="M79" s="826">
        <v>1</v>
      </c>
      <c r="N79" s="826">
        <v>1</v>
      </c>
      <c r="O79" s="826">
        <v>2</v>
      </c>
      <c r="P79" s="826">
        <v>1</v>
      </c>
      <c r="Q79" s="826">
        <v>2</v>
      </c>
      <c r="R79" s="826">
        <v>2</v>
      </c>
      <c r="S79" s="826">
        <v>5</v>
      </c>
      <c r="T79" s="826">
        <v>4</v>
      </c>
      <c r="U79" s="826">
        <v>4</v>
      </c>
      <c r="V79" s="826">
        <v>1</v>
      </c>
      <c r="W79" s="826">
        <v>1</v>
      </c>
      <c r="X79" s="826">
        <v>1</v>
      </c>
      <c r="Y79" s="826">
        <v>1</v>
      </c>
      <c r="Z79" s="826">
        <v>1</v>
      </c>
      <c r="AA79" s="826">
        <v>11</v>
      </c>
      <c r="AB79" s="827">
        <v>5</v>
      </c>
    </row>
    <row r="80" spans="1:28" ht="17.25" thickBot="1">
      <c r="A80" s="423" t="s">
        <v>29</v>
      </c>
      <c r="B80" s="1865" t="s">
        <v>30</v>
      </c>
      <c r="C80" s="1870">
        <v>50</v>
      </c>
      <c r="D80" s="1870">
        <v>32</v>
      </c>
      <c r="E80" s="1870">
        <v>5</v>
      </c>
      <c r="F80" s="1870">
        <v>4</v>
      </c>
      <c r="G80" s="1870">
        <v>14</v>
      </c>
      <c r="H80" s="1870">
        <v>10</v>
      </c>
      <c r="I80" s="1870">
        <v>1</v>
      </c>
      <c r="J80" s="1870" t="s">
        <v>28</v>
      </c>
      <c r="K80" s="1870">
        <v>3</v>
      </c>
      <c r="L80" s="1870">
        <v>2</v>
      </c>
      <c r="M80" s="1870">
        <v>1</v>
      </c>
      <c r="N80" s="1870">
        <v>1</v>
      </c>
      <c r="O80" s="1870">
        <v>2</v>
      </c>
      <c r="P80" s="1870">
        <v>1</v>
      </c>
      <c r="Q80" s="1870">
        <v>2</v>
      </c>
      <c r="R80" s="1870">
        <v>2</v>
      </c>
      <c r="S80" s="1870">
        <v>5</v>
      </c>
      <c r="T80" s="1870">
        <v>4</v>
      </c>
      <c r="U80" s="1870">
        <v>4</v>
      </c>
      <c r="V80" s="1870">
        <v>1</v>
      </c>
      <c r="W80" s="1870">
        <v>1</v>
      </c>
      <c r="X80" s="1870">
        <v>1</v>
      </c>
      <c r="Y80" s="1870">
        <v>1</v>
      </c>
      <c r="Z80" s="1870">
        <v>1</v>
      </c>
      <c r="AA80" s="1870">
        <v>11</v>
      </c>
      <c r="AB80" s="1871">
        <v>5</v>
      </c>
    </row>
    <row r="81" spans="1:28">
      <c r="A81" s="1872" t="s">
        <v>1066</v>
      </c>
      <c r="B81" s="1872"/>
      <c r="C81" s="1872"/>
      <c r="D81" s="1872"/>
      <c r="E81" s="1872"/>
      <c r="F81" s="1872"/>
      <c r="G81" s="1872"/>
      <c r="H81" s="1872"/>
      <c r="I81" s="1872"/>
      <c r="J81" s="1872"/>
      <c r="K81" s="1872"/>
      <c r="L81" s="1872"/>
      <c r="M81" s="1873" t="s">
        <v>1067</v>
      </c>
      <c r="N81" s="1873"/>
      <c r="O81" s="1873"/>
      <c r="P81" s="1873"/>
      <c r="Q81" s="1873"/>
      <c r="R81" s="1873"/>
      <c r="S81" s="1873"/>
      <c r="T81" s="1873"/>
      <c r="U81" s="1873"/>
      <c r="V81" s="1873"/>
      <c r="W81" s="1873"/>
      <c r="X81" s="1873"/>
      <c r="Y81" s="1873"/>
      <c r="Z81" s="1873"/>
      <c r="AA81" s="1873"/>
      <c r="AB81" s="1873"/>
    </row>
    <row r="82" spans="1:28">
      <c r="A82" s="414"/>
      <c r="B82" s="414"/>
      <c r="C82" s="175"/>
      <c r="D82" s="424"/>
      <c r="E82" s="424"/>
    </row>
    <row r="83" spans="1:28">
      <c r="A83" s="414"/>
      <c r="B83" s="414"/>
      <c r="C83" s="175"/>
      <c r="D83" s="424"/>
      <c r="E83" s="424"/>
    </row>
    <row r="84" spans="1:28">
      <c r="A84" s="427"/>
      <c r="B84" s="424"/>
      <c r="C84" s="424"/>
      <c r="D84" s="424"/>
      <c r="E84" s="424"/>
    </row>
  </sheetData>
  <mergeCells count="32">
    <mergeCell ref="A40:L40"/>
    <mergeCell ref="M40:AB40"/>
    <mergeCell ref="A54:L54"/>
    <mergeCell ref="M54:AB54"/>
    <mergeCell ref="A81:L81"/>
    <mergeCell ref="M81:AB81"/>
    <mergeCell ref="C6:D6"/>
    <mergeCell ref="I5:J6"/>
    <mergeCell ref="Y5:Z6"/>
    <mergeCell ref="E6:F6"/>
    <mergeCell ref="AA6:AB6"/>
    <mergeCell ref="A7:B7"/>
    <mergeCell ref="A8:B8"/>
    <mergeCell ref="U5:V6"/>
    <mergeCell ref="S5:T6"/>
    <mergeCell ref="Q5:R6"/>
    <mergeCell ref="O5:P6"/>
    <mergeCell ref="G5:H6"/>
    <mergeCell ref="M5:N6"/>
    <mergeCell ref="W5:X6"/>
    <mergeCell ref="A2:L2"/>
    <mergeCell ref="M2:AB2"/>
    <mergeCell ref="A5:B5"/>
    <mergeCell ref="C5:D5"/>
    <mergeCell ref="E5:F5"/>
    <mergeCell ref="A3:L3"/>
    <mergeCell ref="M3:AB3"/>
    <mergeCell ref="A4:L4"/>
    <mergeCell ref="AA5:AB5"/>
    <mergeCell ref="K5:L6"/>
    <mergeCell ref="M4:AB4"/>
    <mergeCell ref="A6:B6"/>
  </mergeCells>
  <phoneticPr fontId="4" type="noConversion"/>
  <hyperlinks>
    <hyperlink ref="A1" location="목록!A1" display="목록!A1" xr:uid="{9E88026E-928F-4F13-AE75-1104155C59A1}"/>
  </hyperlinks>
  <printOptions horizontalCentered="1"/>
  <pageMargins left="0.59055118110236227" right="0.59055118110236227" top="0.78740157480314965" bottom="0.23622047244094491" header="0.62992125984251968" footer="0.39370078740157483"/>
  <pageSetup paperSize="9" scale="99" orientation="portrait" r:id="rId1"/>
  <rowBreaks count="1" manualBreakCount="1">
    <brk id="79" max="27" man="1"/>
  </rowBreaks>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AH59"/>
  <sheetViews>
    <sheetView showGridLines="0" showWhiteSpace="0" view="pageBreakPreview" zoomScaleNormal="100" zoomScaleSheetLayoutView="100" workbookViewId="0">
      <selection activeCell="A2" sqref="A2:AH59"/>
    </sheetView>
  </sheetViews>
  <sheetFormatPr defaultRowHeight="16.5"/>
  <cols>
    <col min="1" max="1" width="6.109375" style="359" customWidth="1"/>
    <col min="2" max="2" width="9.77734375" style="358" customWidth="1"/>
    <col min="3" max="3" width="5.77734375" style="359" customWidth="1"/>
    <col min="4" max="4" width="5.77734375" style="360" customWidth="1"/>
    <col min="5" max="5" width="5.109375" style="359" customWidth="1"/>
    <col min="6" max="6" width="5.109375" style="360" customWidth="1"/>
    <col min="7" max="7" width="5.109375" style="359" customWidth="1"/>
    <col min="8" max="8" width="5.109375" style="360" customWidth="1"/>
    <col min="9" max="9" width="5.109375" style="359" customWidth="1"/>
    <col min="10" max="10" width="5.109375" style="360" customWidth="1"/>
    <col min="11" max="14" width="5.109375" style="359" customWidth="1"/>
    <col min="15" max="15" width="6.44140625" style="359" customWidth="1"/>
    <col min="16" max="16" width="6.44140625" style="360" customWidth="1"/>
    <col min="17" max="19" width="6.44140625" style="359" customWidth="1"/>
    <col min="20" max="20" width="6.44140625" style="360" customWidth="1"/>
    <col min="21" max="21" width="6.44140625" style="359" customWidth="1"/>
    <col min="22" max="22" width="6.44140625" style="360" customWidth="1"/>
    <col min="23" max="23" width="6.6640625" style="359" customWidth="1"/>
    <col min="24" max="24" width="6.77734375" style="360" customWidth="1"/>
    <col min="25" max="25" width="6.77734375" style="359" customWidth="1"/>
    <col min="26" max="26" width="6.77734375" style="360" customWidth="1"/>
    <col min="27" max="16384" width="8.88671875" style="114"/>
  </cols>
  <sheetData>
    <row r="1" spans="1:34" ht="22.5">
      <c r="A1" s="901" t="s">
        <v>1332</v>
      </c>
    </row>
    <row r="2" spans="1:34" s="112" customFormat="1" ht="13.5" customHeight="1">
      <c r="A2" s="1035" t="s">
        <v>977</v>
      </c>
      <c r="B2" s="1035"/>
      <c r="C2" s="1035"/>
      <c r="D2" s="1035"/>
      <c r="E2" s="1035"/>
      <c r="F2" s="1035"/>
      <c r="G2" s="1035"/>
      <c r="H2" s="1035"/>
      <c r="I2" s="1035"/>
      <c r="J2" s="1035"/>
      <c r="K2" s="1035"/>
      <c r="L2" s="1035"/>
      <c r="M2" s="1035"/>
      <c r="N2" s="1035"/>
      <c r="O2" s="1035"/>
      <c r="P2" s="1035"/>
      <c r="Q2" s="1036" t="s">
        <v>1036</v>
      </c>
      <c r="R2" s="1036"/>
      <c r="S2" s="1036"/>
      <c r="T2" s="1036"/>
      <c r="U2" s="1036"/>
      <c r="V2" s="1036"/>
      <c r="W2" s="1036"/>
      <c r="X2" s="1036"/>
      <c r="Y2" s="1036"/>
      <c r="Z2" s="1036"/>
      <c r="AA2" s="1036"/>
      <c r="AB2" s="1036"/>
      <c r="AC2" s="1036"/>
      <c r="AD2" s="1036"/>
      <c r="AE2" s="1036"/>
      <c r="AF2" s="1036"/>
      <c r="AG2" s="1036"/>
      <c r="AH2" s="1036"/>
    </row>
    <row r="3" spans="1:34" ht="22.5" customHeight="1">
      <c r="A3" s="1037" t="s">
        <v>919</v>
      </c>
      <c r="B3" s="1037"/>
      <c r="C3" s="1037"/>
      <c r="D3" s="1037"/>
      <c r="E3" s="1037"/>
      <c r="F3" s="1037"/>
      <c r="G3" s="1037"/>
      <c r="H3" s="1037"/>
      <c r="I3" s="1037"/>
      <c r="J3" s="1037"/>
      <c r="K3" s="1037"/>
      <c r="L3" s="1037"/>
      <c r="M3" s="1037"/>
      <c r="N3" s="1037"/>
      <c r="O3" s="1037"/>
      <c r="P3" s="1037"/>
      <c r="Q3" s="1037" t="s">
        <v>918</v>
      </c>
      <c r="R3" s="1037"/>
      <c r="S3" s="1037"/>
      <c r="T3" s="1037"/>
      <c r="U3" s="1037"/>
      <c r="V3" s="1037"/>
      <c r="W3" s="1060"/>
      <c r="X3" s="1060"/>
      <c r="Y3" s="1060"/>
      <c r="Z3" s="1060"/>
      <c r="AA3" s="1060"/>
      <c r="AB3" s="1060"/>
      <c r="AC3" s="1060"/>
      <c r="AD3" s="1060"/>
      <c r="AE3" s="1060"/>
      <c r="AF3" s="1060"/>
      <c r="AG3" s="1060"/>
      <c r="AH3" s="1060"/>
    </row>
    <row r="4" spans="1:34" ht="13.5" customHeight="1" thickBot="1">
      <c r="A4" s="1061"/>
      <c r="B4" s="1061"/>
      <c r="C4" s="1061"/>
      <c r="D4" s="1061"/>
      <c r="E4" s="1061"/>
      <c r="F4" s="1061"/>
      <c r="G4" s="1061"/>
      <c r="H4" s="1061"/>
      <c r="I4" s="1061"/>
      <c r="J4" s="1061"/>
      <c r="K4" s="1061"/>
      <c r="L4" s="1061"/>
      <c r="M4" s="1061"/>
      <c r="N4" s="1061"/>
      <c r="O4" s="1061"/>
      <c r="P4" s="1061"/>
      <c r="Q4" s="1818"/>
      <c r="R4" s="1818"/>
      <c r="S4" s="1818"/>
      <c r="T4" s="1818"/>
      <c r="U4" s="1818"/>
      <c r="V4" s="1818"/>
      <c r="W4" s="1818"/>
      <c r="X4" s="1818"/>
      <c r="Y4" s="1818"/>
      <c r="Z4" s="1818"/>
      <c r="AA4" s="1818"/>
      <c r="AB4" s="1818"/>
      <c r="AC4" s="1818"/>
      <c r="AD4" s="1818"/>
      <c r="AE4" s="1818"/>
      <c r="AF4" s="1818"/>
      <c r="AG4" s="1818"/>
      <c r="AH4" s="1818"/>
    </row>
    <row r="5" spans="1:34" s="169" customFormat="1" ht="12" customHeight="1">
      <c r="A5" s="1004" t="s">
        <v>2</v>
      </c>
      <c r="B5" s="1015"/>
      <c r="C5" s="1003" t="s">
        <v>13</v>
      </c>
      <c r="D5" s="1015"/>
      <c r="E5" s="1003" t="s">
        <v>197</v>
      </c>
      <c r="F5" s="1015"/>
      <c r="G5" s="1003" t="s">
        <v>198</v>
      </c>
      <c r="H5" s="1015"/>
      <c r="I5" s="1003" t="s">
        <v>697</v>
      </c>
      <c r="J5" s="1015"/>
      <c r="K5" s="1003" t="s">
        <v>199</v>
      </c>
      <c r="L5" s="1015"/>
      <c r="M5" s="1012" t="s">
        <v>200</v>
      </c>
      <c r="N5" s="1011"/>
      <c r="O5" s="1003" t="s">
        <v>201</v>
      </c>
      <c r="P5" s="1015"/>
      <c r="Q5" s="1012" t="s">
        <v>1405</v>
      </c>
      <c r="R5" s="1011"/>
      <c r="S5" s="1003" t="s">
        <v>202</v>
      </c>
      <c r="T5" s="1015"/>
      <c r="U5" s="1003" t="s">
        <v>203</v>
      </c>
      <c r="V5" s="1015"/>
      <c r="W5" s="1003" t="s">
        <v>204</v>
      </c>
      <c r="X5" s="1015"/>
      <c r="Y5" s="1003" t="s">
        <v>1406</v>
      </c>
      <c r="Z5" s="1015"/>
      <c r="AA5" s="1003" t="s">
        <v>1407</v>
      </c>
      <c r="AB5" s="1015"/>
      <c r="AC5" s="1003" t="s">
        <v>1408</v>
      </c>
      <c r="AD5" s="1015"/>
      <c r="AE5" s="1012" t="s">
        <v>148</v>
      </c>
      <c r="AF5" s="1381"/>
      <c r="AG5" s="1012" t="s">
        <v>1409</v>
      </c>
      <c r="AH5" s="1381"/>
    </row>
    <row r="6" spans="1:34" s="241" customFormat="1" ht="9.75" customHeight="1">
      <c r="A6" s="1039" t="s">
        <v>7</v>
      </c>
      <c r="B6" s="1010"/>
      <c r="C6" s="1009" t="s">
        <v>16</v>
      </c>
      <c r="D6" s="1010"/>
      <c r="E6" s="1009" t="s">
        <v>205</v>
      </c>
      <c r="F6" s="1010"/>
      <c r="G6" s="1009" t="s">
        <v>698</v>
      </c>
      <c r="H6" s="1010"/>
      <c r="I6" s="1009" t="s">
        <v>206</v>
      </c>
      <c r="J6" s="1010"/>
      <c r="K6" s="1009" t="s">
        <v>207</v>
      </c>
      <c r="L6" s="1010"/>
      <c r="M6" s="1009" t="s">
        <v>208</v>
      </c>
      <c r="N6" s="1010"/>
      <c r="O6" s="1009" t="s">
        <v>209</v>
      </c>
      <c r="P6" s="1010"/>
      <c r="Q6" s="1009" t="s">
        <v>1410</v>
      </c>
      <c r="R6" s="1010"/>
      <c r="S6" s="1009" t="s">
        <v>210</v>
      </c>
      <c r="T6" s="1010"/>
      <c r="U6" s="1009" t="s">
        <v>211</v>
      </c>
      <c r="V6" s="1010"/>
      <c r="W6" s="1009" t="s">
        <v>212</v>
      </c>
      <c r="X6" s="1010"/>
      <c r="Y6" s="1009" t="s">
        <v>1411</v>
      </c>
      <c r="Z6" s="1010"/>
      <c r="AA6" s="1009" t="s">
        <v>1412</v>
      </c>
      <c r="AB6" s="1010"/>
      <c r="AC6" s="1009" t="s">
        <v>1413</v>
      </c>
      <c r="AD6" s="1010"/>
      <c r="AE6" s="1009" t="s">
        <v>450</v>
      </c>
      <c r="AF6" s="1005"/>
      <c r="AG6" s="1009" t="s">
        <v>1414</v>
      </c>
      <c r="AH6" s="1005"/>
    </row>
    <row r="7" spans="1:34" s="241" customFormat="1" ht="9.75" customHeight="1">
      <c r="A7" s="1007"/>
      <c r="B7" s="1008"/>
      <c r="C7" s="1013"/>
      <c r="D7" s="1008"/>
      <c r="E7" s="1013" t="s">
        <v>213</v>
      </c>
      <c r="F7" s="1008"/>
      <c r="G7" s="1013"/>
      <c r="H7" s="1008"/>
      <c r="I7" s="1013" t="s">
        <v>215</v>
      </c>
      <c r="J7" s="1008"/>
      <c r="K7" s="1013"/>
      <c r="L7" s="1008"/>
      <c r="M7" s="909"/>
      <c r="N7" s="909"/>
      <c r="O7" s="1013" t="s">
        <v>1415</v>
      </c>
      <c r="P7" s="1008"/>
      <c r="Q7" s="1013"/>
      <c r="R7" s="1008"/>
      <c r="S7" s="1013" t="s">
        <v>214</v>
      </c>
      <c r="T7" s="1008"/>
      <c r="U7" s="1013"/>
      <c r="V7" s="1008"/>
      <c r="W7" s="1013"/>
      <c r="X7" s="1008"/>
      <c r="Y7" s="1013"/>
      <c r="Z7" s="1008"/>
      <c r="AA7" s="1013" t="s">
        <v>1416</v>
      </c>
      <c r="AB7" s="1008"/>
      <c r="AC7" s="1013" t="s">
        <v>1417</v>
      </c>
      <c r="AD7" s="1008"/>
      <c r="AE7" s="1013"/>
      <c r="AF7" s="1008"/>
      <c r="AG7" s="1013"/>
      <c r="AH7" s="1007"/>
    </row>
    <row r="8" spans="1:34" ht="12.6" customHeight="1">
      <c r="A8" s="89" t="s">
        <v>27</v>
      </c>
      <c r="B8" s="170" t="s">
        <v>16</v>
      </c>
      <c r="C8" s="91">
        <v>6185</v>
      </c>
      <c r="D8" s="91" t="s">
        <v>1347</v>
      </c>
      <c r="E8" s="91">
        <v>697</v>
      </c>
      <c r="F8" s="91" t="s">
        <v>1167</v>
      </c>
      <c r="G8" s="91">
        <v>244</v>
      </c>
      <c r="H8" s="91" t="s">
        <v>477</v>
      </c>
      <c r="I8" s="91">
        <v>555</v>
      </c>
      <c r="J8" s="91" t="s">
        <v>1127</v>
      </c>
      <c r="K8" s="91">
        <v>639</v>
      </c>
      <c r="L8" s="91" t="s">
        <v>995</v>
      </c>
      <c r="M8" s="91">
        <v>605</v>
      </c>
      <c r="N8" s="91" t="s">
        <v>995</v>
      </c>
      <c r="O8" s="91">
        <v>379</v>
      </c>
      <c r="P8" s="91" t="s">
        <v>1068</v>
      </c>
      <c r="Q8" s="92">
        <v>128</v>
      </c>
      <c r="R8" s="92" t="s">
        <v>1063</v>
      </c>
      <c r="S8" s="91">
        <v>508</v>
      </c>
      <c r="T8" s="91" t="s">
        <v>990</v>
      </c>
      <c r="U8" s="91">
        <v>250</v>
      </c>
      <c r="V8" s="91" t="s">
        <v>1160</v>
      </c>
      <c r="W8" s="91">
        <v>234</v>
      </c>
      <c r="X8" s="91" t="s">
        <v>476</v>
      </c>
      <c r="Y8" s="91">
        <v>595</v>
      </c>
      <c r="Z8" s="91" t="s">
        <v>1375</v>
      </c>
      <c r="AA8" s="91">
        <v>66</v>
      </c>
      <c r="AB8" s="91" t="s">
        <v>416</v>
      </c>
      <c r="AC8" s="91">
        <v>98</v>
      </c>
      <c r="AD8" s="91" t="s">
        <v>414</v>
      </c>
      <c r="AE8" s="91">
        <v>974</v>
      </c>
      <c r="AF8" s="91" t="s">
        <v>1418</v>
      </c>
      <c r="AG8" s="92">
        <v>213</v>
      </c>
      <c r="AH8" s="171" t="s">
        <v>1113</v>
      </c>
    </row>
    <row r="9" spans="1:34" ht="12.6" customHeight="1">
      <c r="A9" s="94" t="s">
        <v>29</v>
      </c>
      <c r="B9" s="172" t="s">
        <v>30</v>
      </c>
      <c r="C9" s="95">
        <v>5885</v>
      </c>
      <c r="D9" s="95" t="s">
        <v>1353</v>
      </c>
      <c r="E9" s="95">
        <v>661</v>
      </c>
      <c r="F9" s="95" t="s">
        <v>1419</v>
      </c>
      <c r="G9" s="95">
        <v>234</v>
      </c>
      <c r="H9" s="95" t="s">
        <v>477</v>
      </c>
      <c r="I9" s="95">
        <v>525</v>
      </c>
      <c r="J9" s="95" t="s">
        <v>1419</v>
      </c>
      <c r="K9" s="95">
        <v>607</v>
      </c>
      <c r="L9" s="95" t="s">
        <v>1168</v>
      </c>
      <c r="M9" s="95">
        <v>576</v>
      </c>
      <c r="N9" s="95" t="s">
        <v>995</v>
      </c>
      <c r="O9" s="95">
        <v>359</v>
      </c>
      <c r="P9" s="95" t="s">
        <v>1068</v>
      </c>
      <c r="Q9" s="96">
        <v>123</v>
      </c>
      <c r="R9" s="96" t="s">
        <v>1063</v>
      </c>
      <c r="S9" s="95">
        <v>483</v>
      </c>
      <c r="T9" s="95" t="s">
        <v>990</v>
      </c>
      <c r="U9" s="95">
        <v>236</v>
      </c>
      <c r="V9" s="95" t="s">
        <v>1160</v>
      </c>
      <c r="W9" s="95">
        <v>223</v>
      </c>
      <c r="X9" s="95" t="s">
        <v>476</v>
      </c>
      <c r="Y9" s="95">
        <v>565</v>
      </c>
      <c r="Z9" s="95" t="s">
        <v>1377</v>
      </c>
      <c r="AA9" s="95">
        <v>62</v>
      </c>
      <c r="AB9" s="95" t="s">
        <v>416</v>
      </c>
      <c r="AC9" s="95">
        <v>96</v>
      </c>
      <c r="AD9" s="95" t="s">
        <v>414</v>
      </c>
      <c r="AE9" s="95">
        <v>924</v>
      </c>
      <c r="AF9" s="95" t="s">
        <v>1420</v>
      </c>
      <c r="AG9" s="96">
        <v>211</v>
      </c>
      <c r="AH9" s="173" t="s">
        <v>810</v>
      </c>
    </row>
    <row r="10" spans="1:34" ht="12.6" customHeight="1" thickBot="1">
      <c r="A10" s="1826" t="s">
        <v>31</v>
      </c>
      <c r="B10" s="174" t="s">
        <v>32</v>
      </c>
      <c r="C10" s="99">
        <v>300</v>
      </c>
      <c r="D10" s="99" t="s">
        <v>809</v>
      </c>
      <c r="E10" s="99">
        <v>36</v>
      </c>
      <c r="F10" s="99" t="s">
        <v>395</v>
      </c>
      <c r="G10" s="99">
        <v>10</v>
      </c>
      <c r="H10" s="99" t="s">
        <v>1129</v>
      </c>
      <c r="I10" s="99">
        <v>30</v>
      </c>
      <c r="J10" s="99" t="s">
        <v>418</v>
      </c>
      <c r="K10" s="99">
        <v>32</v>
      </c>
      <c r="L10" s="99" t="s">
        <v>417</v>
      </c>
      <c r="M10" s="99">
        <v>29</v>
      </c>
      <c r="N10" s="99" t="s">
        <v>1063</v>
      </c>
      <c r="O10" s="99">
        <v>20</v>
      </c>
      <c r="P10" s="99" t="s">
        <v>1063</v>
      </c>
      <c r="Q10" s="100">
        <v>5</v>
      </c>
      <c r="R10" s="100" t="s">
        <v>1063</v>
      </c>
      <c r="S10" s="99">
        <v>25</v>
      </c>
      <c r="T10" s="99" t="s">
        <v>1063</v>
      </c>
      <c r="U10" s="99">
        <v>14</v>
      </c>
      <c r="V10" s="99" t="s">
        <v>1063</v>
      </c>
      <c r="W10" s="99">
        <v>11</v>
      </c>
      <c r="X10" s="99" t="s">
        <v>1063</v>
      </c>
      <c r="Y10" s="99">
        <v>30</v>
      </c>
      <c r="Z10" s="99" t="s">
        <v>417</v>
      </c>
      <c r="AA10" s="99">
        <v>4</v>
      </c>
      <c r="AB10" s="99" t="s">
        <v>1063</v>
      </c>
      <c r="AC10" s="99">
        <v>2</v>
      </c>
      <c r="AD10" s="99" t="s">
        <v>1063</v>
      </c>
      <c r="AE10" s="99">
        <v>50</v>
      </c>
      <c r="AF10" s="99" t="s">
        <v>395</v>
      </c>
      <c r="AG10" s="100">
        <v>2</v>
      </c>
      <c r="AH10" s="1827" t="s">
        <v>395</v>
      </c>
    </row>
    <row r="11" spans="1:34" s="169" customFormat="1" ht="14.25" customHeight="1" thickBot="1">
      <c r="A11" s="1062" t="s">
        <v>363</v>
      </c>
      <c r="B11" s="1062"/>
      <c r="C11" s="1062"/>
      <c r="D11" s="1062"/>
      <c r="E11" s="1062"/>
      <c r="F11" s="1062"/>
      <c r="G11" s="1062"/>
      <c r="H11" s="1062"/>
      <c r="I11" s="1062"/>
      <c r="J11" s="1062"/>
      <c r="K11" s="1062"/>
      <c r="L11" s="1062"/>
      <c r="M11" s="1062"/>
      <c r="N11" s="1062"/>
      <c r="O11" s="1062"/>
      <c r="P11" s="1062"/>
      <c r="Q11" s="1062" t="s">
        <v>34</v>
      </c>
      <c r="R11" s="1062"/>
      <c r="S11" s="1062"/>
      <c r="T11" s="1062"/>
      <c r="U11" s="1062"/>
      <c r="V11" s="1062"/>
      <c r="W11" s="1062"/>
      <c r="X11" s="1062"/>
      <c r="Y11" s="1062"/>
      <c r="Z11" s="1062"/>
      <c r="AA11" s="1062"/>
      <c r="AB11" s="1062"/>
      <c r="AC11" s="1062"/>
      <c r="AD11" s="1062"/>
      <c r="AE11" s="1062"/>
      <c r="AF11" s="1062"/>
      <c r="AG11" s="1062"/>
      <c r="AH11" s="1062"/>
    </row>
    <row r="12" spans="1:34" ht="12.6" customHeight="1">
      <c r="A12" s="89" t="s">
        <v>35</v>
      </c>
      <c r="B12" s="170" t="s">
        <v>36</v>
      </c>
      <c r="C12" s="91">
        <v>1172</v>
      </c>
      <c r="D12" s="1874" t="s">
        <v>1421</v>
      </c>
      <c r="E12" s="91">
        <v>132</v>
      </c>
      <c r="F12" s="1874" t="s">
        <v>1422</v>
      </c>
      <c r="G12" s="91">
        <v>45</v>
      </c>
      <c r="H12" s="91" t="s">
        <v>395</v>
      </c>
      <c r="I12" s="91">
        <v>109</v>
      </c>
      <c r="J12" s="1875" t="s">
        <v>1423</v>
      </c>
      <c r="K12" s="91">
        <v>123</v>
      </c>
      <c r="L12" s="91" t="s">
        <v>419</v>
      </c>
      <c r="M12" s="91">
        <v>115</v>
      </c>
      <c r="N12" s="91" t="s">
        <v>395</v>
      </c>
      <c r="O12" s="91">
        <v>76</v>
      </c>
      <c r="P12" s="91" t="s">
        <v>395</v>
      </c>
      <c r="Q12" s="93">
        <v>23</v>
      </c>
      <c r="R12" s="91" t="s">
        <v>1063</v>
      </c>
      <c r="S12" s="91">
        <v>95</v>
      </c>
      <c r="T12" s="91" t="s">
        <v>1063</v>
      </c>
      <c r="U12" s="91">
        <v>46</v>
      </c>
      <c r="V12" s="91" t="s">
        <v>413</v>
      </c>
      <c r="W12" s="91">
        <v>42</v>
      </c>
      <c r="X12" s="91" t="s">
        <v>395</v>
      </c>
      <c r="Y12" s="91">
        <v>112</v>
      </c>
      <c r="Z12" s="1875" t="s">
        <v>1424</v>
      </c>
      <c r="AA12" s="91">
        <v>10</v>
      </c>
      <c r="AB12" s="91" t="s">
        <v>1063</v>
      </c>
      <c r="AC12" s="91">
        <v>15</v>
      </c>
      <c r="AD12" s="91" t="s">
        <v>1063</v>
      </c>
      <c r="AE12" s="91">
        <v>192</v>
      </c>
      <c r="AF12" s="1875" t="s">
        <v>1425</v>
      </c>
      <c r="AG12" s="91">
        <v>37</v>
      </c>
      <c r="AH12" s="1876" t="s">
        <v>1423</v>
      </c>
    </row>
    <row r="13" spans="1:34" ht="12.6" customHeight="1">
      <c r="A13" s="94" t="s">
        <v>29</v>
      </c>
      <c r="B13" s="172" t="s">
        <v>30</v>
      </c>
      <c r="C13" s="95">
        <v>970</v>
      </c>
      <c r="D13" s="1877" t="s">
        <v>1426</v>
      </c>
      <c r="E13" s="95">
        <v>107</v>
      </c>
      <c r="F13" s="1877" t="s">
        <v>1423</v>
      </c>
      <c r="G13" s="95">
        <v>37</v>
      </c>
      <c r="H13" s="95" t="s">
        <v>395</v>
      </c>
      <c r="I13" s="95">
        <v>88</v>
      </c>
      <c r="J13" s="1877" t="s">
        <v>1427</v>
      </c>
      <c r="K13" s="95">
        <v>103</v>
      </c>
      <c r="L13" s="95" t="s">
        <v>419</v>
      </c>
      <c r="M13" s="95">
        <v>94</v>
      </c>
      <c r="N13" s="95" t="s">
        <v>395</v>
      </c>
      <c r="O13" s="95">
        <v>63</v>
      </c>
      <c r="P13" s="95" t="s">
        <v>395</v>
      </c>
      <c r="Q13" s="96">
        <v>19</v>
      </c>
      <c r="R13" s="95" t="s">
        <v>1063</v>
      </c>
      <c r="S13" s="95">
        <v>77</v>
      </c>
      <c r="T13" s="95" t="s">
        <v>1063</v>
      </c>
      <c r="U13" s="95">
        <v>37</v>
      </c>
      <c r="V13" s="95" t="s">
        <v>413</v>
      </c>
      <c r="W13" s="95">
        <v>35</v>
      </c>
      <c r="X13" s="95" t="s">
        <v>395</v>
      </c>
      <c r="Y13" s="95">
        <v>90</v>
      </c>
      <c r="Z13" s="1877" t="s">
        <v>1428</v>
      </c>
      <c r="AA13" s="95">
        <v>7</v>
      </c>
      <c r="AB13" s="95" t="s">
        <v>1063</v>
      </c>
      <c r="AC13" s="95">
        <v>14</v>
      </c>
      <c r="AD13" s="95" t="s">
        <v>1063</v>
      </c>
      <c r="AE13" s="95">
        <v>162</v>
      </c>
      <c r="AF13" s="1877" t="s">
        <v>1425</v>
      </c>
      <c r="AG13" s="95">
        <v>37</v>
      </c>
      <c r="AH13" s="1878" t="s">
        <v>1423</v>
      </c>
    </row>
    <row r="14" spans="1:34" ht="12.6" customHeight="1">
      <c r="A14" s="94" t="s">
        <v>31</v>
      </c>
      <c r="B14" s="172" t="s">
        <v>32</v>
      </c>
      <c r="C14" s="95">
        <v>202</v>
      </c>
      <c r="D14" s="1877" t="s">
        <v>1428</v>
      </c>
      <c r="E14" s="95">
        <v>25</v>
      </c>
      <c r="F14" s="1877" t="s">
        <v>1427</v>
      </c>
      <c r="G14" s="95">
        <v>8</v>
      </c>
      <c r="H14" s="95" t="s">
        <v>1063</v>
      </c>
      <c r="I14" s="95">
        <v>21</v>
      </c>
      <c r="J14" s="1877" t="s">
        <v>1429</v>
      </c>
      <c r="K14" s="95">
        <v>20</v>
      </c>
      <c r="L14" s="95" t="s">
        <v>1063</v>
      </c>
      <c r="M14" s="95">
        <v>21</v>
      </c>
      <c r="N14" s="95" t="s">
        <v>1063</v>
      </c>
      <c r="O14" s="95">
        <v>13</v>
      </c>
      <c r="P14" s="96" t="s">
        <v>1063</v>
      </c>
      <c r="Q14" s="96">
        <v>4</v>
      </c>
      <c r="R14" s="95" t="s">
        <v>1063</v>
      </c>
      <c r="S14" s="95">
        <v>18</v>
      </c>
      <c r="T14" s="95" t="s">
        <v>1063</v>
      </c>
      <c r="U14" s="95">
        <v>9</v>
      </c>
      <c r="V14" s="95" t="s">
        <v>1063</v>
      </c>
      <c r="W14" s="95">
        <v>7</v>
      </c>
      <c r="X14" s="95" t="s">
        <v>1063</v>
      </c>
      <c r="Y14" s="95">
        <v>22</v>
      </c>
      <c r="Z14" s="1877" t="s">
        <v>1429</v>
      </c>
      <c r="AA14" s="95">
        <v>3</v>
      </c>
      <c r="AB14" s="95" t="s">
        <v>1063</v>
      </c>
      <c r="AC14" s="95">
        <v>1</v>
      </c>
      <c r="AD14" s="95" t="s">
        <v>1063</v>
      </c>
      <c r="AE14" s="95">
        <v>30</v>
      </c>
      <c r="AF14" s="95" t="s">
        <v>1063</v>
      </c>
      <c r="AG14" s="95">
        <v>0</v>
      </c>
      <c r="AH14" s="97" t="s">
        <v>1063</v>
      </c>
    </row>
    <row r="15" spans="1:34" ht="12.6" customHeight="1">
      <c r="A15" s="89" t="s">
        <v>37</v>
      </c>
      <c r="B15" s="170" t="s">
        <v>38</v>
      </c>
      <c r="C15" s="91">
        <v>1446</v>
      </c>
      <c r="D15" s="1875" t="s">
        <v>1430</v>
      </c>
      <c r="E15" s="91">
        <v>158</v>
      </c>
      <c r="F15" s="1875" t="s">
        <v>1428</v>
      </c>
      <c r="G15" s="91">
        <v>58</v>
      </c>
      <c r="H15" s="1875" t="s">
        <v>1428</v>
      </c>
      <c r="I15" s="91">
        <v>128</v>
      </c>
      <c r="J15" s="1875" t="s">
        <v>1424</v>
      </c>
      <c r="K15" s="91">
        <v>142</v>
      </c>
      <c r="L15" s="1875" t="s">
        <v>1423</v>
      </c>
      <c r="M15" s="91">
        <v>139</v>
      </c>
      <c r="N15" s="1875" t="s">
        <v>1424</v>
      </c>
      <c r="O15" s="91">
        <v>86</v>
      </c>
      <c r="P15" s="1879" t="s">
        <v>1429</v>
      </c>
      <c r="Q15" s="92">
        <v>33</v>
      </c>
      <c r="R15" s="91" t="s">
        <v>1063</v>
      </c>
      <c r="S15" s="91">
        <v>114</v>
      </c>
      <c r="T15" s="1875" t="s">
        <v>1422</v>
      </c>
      <c r="U15" s="91">
        <v>56</v>
      </c>
      <c r="V15" s="1875" t="s">
        <v>1428</v>
      </c>
      <c r="W15" s="91">
        <v>55</v>
      </c>
      <c r="X15" s="1875" t="s">
        <v>1431</v>
      </c>
      <c r="Y15" s="91">
        <v>150</v>
      </c>
      <c r="Z15" s="1875" t="s">
        <v>1432</v>
      </c>
      <c r="AA15" s="91">
        <v>7</v>
      </c>
      <c r="AB15" s="91" t="s">
        <v>395</v>
      </c>
      <c r="AC15" s="91">
        <v>32</v>
      </c>
      <c r="AD15" s="91" t="s">
        <v>413</v>
      </c>
      <c r="AE15" s="91">
        <v>237</v>
      </c>
      <c r="AF15" s="1875" t="s">
        <v>1433</v>
      </c>
      <c r="AG15" s="91">
        <v>51</v>
      </c>
      <c r="AH15" s="98" t="s">
        <v>416</v>
      </c>
    </row>
    <row r="16" spans="1:34" ht="12.6" customHeight="1">
      <c r="A16" s="94" t="s">
        <v>29</v>
      </c>
      <c r="B16" s="172" t="s">
        <v>30</v>
      </c>
      <c r="C16" s="95">
        <v>1446</v>
      </c>
      <c r="D16" s="95" t="s">
        <v>1361</v>
      </c>
      <c r="E16" s="95">
        <v>158</v>
      </c>
      <c r="F16" s="1880" t="s">
        <v>1428</v>
      </c>
      <c r="G16" s="95">
        <v>58</v>
      </c>
      <c r="H16" s="1877" t="s">
        <v>1428</v>
      </c>
      <c r="I16" s="95">
        <v>128</v>
      </c>
      <c r="J16" s="1877" t="s">
        <v>1424</v>
      </c>
      <c r="K16" s="95">
        <v>142</v>
      </c>
      <c r="L16" s="1877" t="s">
        <v>1423</v>
      </c>
      <c r="M16" s="95">
        <v>139</v>
      </c>
      <c r="N16" s="1877" t="s">
        <v>1424</v>
      </c>
      <c r="O16" s="95">
        <v>86</v>
      </c>
      <c r="P16" s="1881" t="s">
        <v>1429</v>
      </c>
      <c r="Q16" s="96">
        <v>33</v>
      </c>
      <c r="R16" s="95" t="s">
        <v>1063</v>
      </c>
      <c r="S16" s="95">
        <v>114</v>
      </c>
      <c r="T16" s="1877" t="s">
        <v>1422</v>
      </c>
      <c r="U16" s="95">
        <v>56</v>
      </c>
      <c r="V16" s="1877" t="s">
        <v>1428</v>
      </c>
      <c r="W16" s="95">
        <v>55</v>
      </c>
      <c r="X16" s="1877" t="s">
        <v>1431</v>
      </c>
      <c r="Y16" s="95">
        <v>150</v>
      </c>
      <c r="Z16" s="1877" t="s">
        <v>1432</v>
      </c>
      <c r="AA16" s="95">
        <v>7</v>
      </c>
      <c r="AB16" s="95" t="s">
        <v>395</v>
      </c>
      <c r="AC16" s="95">
        <v>32</v>
      </c>
      <c r="AD16" s="95" t="s">
        <v>413</v>
      </c>
      <c r="AE16" s="95">
        <v>237</v>
      </c>
      <c r="AF16" s="1877" t="s">
        <v>1433</v>
      </c>
      <c r="AG16" s="95">
        <v>51</v>
      </c>
      <c r="AH16" s="97" t="s">
        <v>416</v>
      </c>
    </row>
    <row r="17" spans="1:34" ht="12.6" customHeight="1">
      <c r="A17" s="94" t="s">
        <v>31</v>
      </c>
      <c r="B17" s="172" t="s">
        <v>32</v>
      </c>
      <c r="C17" s="95" t="s">
        <v>1176</v>
      </c>
      <c r="D17" s="95" t="s">
        <v>1129</v>
      </c>
      <c r="E17" s="95" t="s">
        <v>1176</v>
      </c>
      <c r="F17" s="95" t="s">
        <v>1063</v>
      </c>
      <c r="G17" s="95" t="s">
        <v>1176</v>
      </c>
      <c r="H17" s="95" t="s">
        <v>1063</v>
      </c>
      <c r="I17" s="95" t="s">
        <v>1176</v>
      </c>
      <c r="J17" s="95" t="s">
        <v>1063</v>
      </c>
      <c r="K17" s="95" t="s">
        <v>1176</v>
      </c>
      <c r="L17" s="95" t="s">
        <v>1063</v>
      </c>
      <c r="M17" s="95" t="s">
        <v>1176</v>
      </c>
      <c r="N17" s="95" t="s">
        <v>1063</v>
      </c>
      <c r="O17" s="95" t="s">
        <v>1176</v>
      </c>
      <c r="P17" s="96" t="s">
        <v>1063</v>
      </c>
      <c r="Q17" s="96"/>
      <c r="R17" s="95" t="s">
        <v>1063</v>
      </c>
      <c r="S17" s="95" t="s">
        <v>1176</v>
      </c>
      <c r="T17" s="95" t="s">
        <v>1063</v>
      </c>
      <c r="U17" s="95" t="s">
        <v>1176</v>
      </c>
      <c r="V17" s="95" t="s">
        <v>1063</v>
      </c>
      <c r="W17" s="95" t="s">
        <v>1176</v>
      </c>
      <c r="X17" s="95" t="s">
        <v>1063</v>
      </c>
      <c r="Y17" s="95" t="s">
        <v>1176</v>
      </c>
      <c r="Z17" s="95" t="s">
        <v>1063</v>
      </c>
      <c r="AA17" s="95" t="s">
        <v>1176</v>
      </c>
      <c r="AB17" s="95" t="s">
        <v>1063</v>
      </c>
      <c r="AC17" s="95" t="s">
        <v>1176</v>
      </c>
      <c r="AD17" s="95" t="s">
        <v>1063</v>
      </c>
      <c r="AE17" s="95" t="s">
        <v>1176</v>
      </c>
      <c r="AF17" s="95" t="s">
        <v>1063</v>
      </c>
      <c r="AG17" s="95" t="s">
        <v>1176</v>
      </c>
      <c r="AH17" s="97" t="s">
        <v>1063</v>
      </c>
    </row>
    <row r="18" spans="1:34" ht="12.6" customHeight="1">
      <c r="A18" s="89" t="s">
        <v>39</v>
      </c>
      <c r="B18" s="170" t="s">
        <v>40</v>
      </c>
      <c r="C18" s="91">
        <v>2021</v>
      </c>
      <c r="D18" s="1874" t="s">
        <v>1434</v>
      </c>
      <c r="E18" s="91">
        <v>231</v>
      </c>
      <c r="F18" s="1874" t="s">
        <v>1435</v>
      </c>
      <c r="G18" s="91">
        <v>82</v>
      </c>
      <c r="H18" s="1875" t="s">
        <v>1429</v>
      </c>
      <c r="I18" s="91">
        <v>179</v>
      </c>
      <c r="J18" s="1875" t="s">
        <v>1436</v>
      </c>
      <c r="K18" s="91">
        <v>209</v>
      </c>
      <c r="L18" s="1875" t="s">
        <v>1437</v>
      </c>
      <c r="M18" s="91">
        <v>197</v>
      </c>
      <c r="N18" s="1875" t="s">
        <v>1435</v>
      </c>
      <c r="O18" s="91">
        <v>124</v>
      </c>
      <c r="P18" s="1875" t="s">
        <v>1436</v>
      </c>
      <c r="Q18" s="92">
        <v>40</v>
      </c>
      <c r="R18" s="91" t="s">
        <v>1063</v>
      </c>
      <c r="S18" s="91">
        <v>168</v>
      </c>
      <c r="T18" s="1875" t="s">
        <v>1424</v>
      </c>
      <c r="U18" s="91">
        <v>86</v>
      </c>
      <c r="V18" s="1875" t="s">
        <v>1424</v>
      </c>
      <c r="W18" s="91">
        <v>78</v>
      </c>
      <c r="X18" s="1875" t="s">
        <v>1422</v>
      </c>
      <c r="Y18" s="91">
        <v>191</v>
      </c>
      <c r="Z18" s="91" t="s">
        <v>990</v>
      </c>
      <c r="AA18" s="91">
        <v>17</v>
      </c>
      <c r="AB18" s="91" t="s">
        <v>395</v>
      </c>
      <c r="AC18" s="91">
        <v>36</v>
      </c>
      <c r="AD18" s="91" t="s">
        <v>413</v>
      </c>
      <c r="AE18" s="91">
        <v>308</v>
      </c>
      <c r="AF18" s="1875" t="s">
        <v>1438</v>
      </c>
      <c r="AG18" s="91">
        <v>75</v>
      </c>
      <c r="AH18" s="1882" t="s">
        <v>1439</v>
      </c>
    </row>
    <row r="19" spans="1:34" ht="12.6" customHeight="1">
      <c r="A19" s="94" t="s">
        <v>29</v>
      </c>
      <c r="B19" s="172" t="s">
        <v>30</v>
      </c>
      <c r="C19" s="95">
        <v>1950</v>
      </c>
      <c r="D19" s="1877" t="s">
        <v>1440</v>
      </c>
      <c r="E19" s="95">
        <v>223</v>
      </c>
      <c r="F19" s="1877" t="s">
        <v>1435</v>
      </c>
      <c r="G19" s="95">
        <v>80</v>
      </c>
      <c r="H19" s="1877" t="s">
        <v>1429</v>
      </c>
      <c r="I19" s="95">
        <v>173</v>
      </c>
      <c r="J19" s="1877" t="s">
        <v>1436</v>
      </c>
      <c r="K19" s="95">
        <v>199</v>
      </c>
      <c r="L19" s="1877" t="s">
        <v>1436</v>
      </c>
      <c r="M19" s="95">
        <v>191</v>
      </c>
      <c r="N19" s="1877" t="s">
        <v>1435</v>
      </c>
      <c r="O19" s="95">
        <v>119</v>
      </c>
      <c r="P19" s="1877" t="s">
        <v>1436</v>
      </c>
      <c r="Q19" s="96">
        <v>39</v>
      </c>
      <c r="R19" s="95" t="s">
        <v>1063</v>
      </c>
      <c r="S19" s="95">
        <v>163</v>
      </c>
      <c r="T19" s="1877" t="s">
        <v>1424</v>
      </c>
      <c r="U19" s="95">
        <v>83</v>
      </c>
      <c r="V19" s="1877" t="s">
        <v>1424</v>
      </c>
      <c r="W19" s="95">
        <v>75</v>
      </c>
      <c r="X19" s="1877" t="s">
        <v>1422</v>
      </c>
      <c r="Y19" s="95">
        <v>185</v>
      </c>
      <c r="Z19" s="95" t="s">
        <v>990</v>
      </c>
      <c r="AA19" s="95">
        <v>16</v>
      </c>
      <c r="AB19" s="95" t="s">
        <v>395</v>
      </c>
      <c r="AC19" s="95">
        <v>35</v>
      </c>
      <c r="AD19" s="95" t="s">
        <v>413</v>
      </c>
      <c r="AE19" s="95">
        <v>296</v>
      </c>
      <c r="AF19" s="1877" t="s">
        <v>1441</v>
      </c>
      <c r="AG19" s="95">
        <v>73</v>
      </c>
      <c r="AH19" s="1878" t="s">
        <v>1437</v>
      </c>
    </row>
    <row r="20" spans="1:34" ht="12.6" customHeight="1">
      <c r="A20" s="94" t="s">
        <v>31</v>
      </c>
      <c r="B20" s="172" t="s">
        <v>32</v>
      </c>
      <c r="C20" s="95">
        <v>71</v>
      </c>
      <c r="D20" s="1877" t="s">
        <v>1442</v>
      </c>
      <c r="E20" s="95">
        <v>8</v>
      </c>
      <c r="F20" s="1877" t="s">
        <v>1063</v>
      </c>
      <c r="G20" s="95">
        <v>2</v>
      </c>
      <c r="H20" s="95" t="s">
        <v>1063</v>
      </c>
      <c r="I20" s="95">
        <v>6</v>
      </c>
      <c r="J20" s="95" t="s">
        <v>1063</v>
      </c>
      <c r="K20" s="95">
        <v>10</v>
      </c>
      <c r="L20" s="1877" t="s">
        <v>1429</v>
      </c>
      <c r="M20" s="95">
        <v>6</v>
      </c>
      <c r="N20" s="95" t="s">
        <v>1063</v>
      </c>
      <c r="O20" s="95">
        <v>5</v>
      </c>
      <c r="P20" s="96" t="s">
        <v>1063</v>
      </c>
      <c r="Q20" s="96">
        <v>1</v>
      </c>
      <c r="R20" s="95" t="s">
        <v>1063</v>
      </c>
      <c r="S20" s="95">
        <v>5</v>
      </c>
      <c r="T20" s="95" t="s">
        <v>1063</v>
      </c>
      <c r="U20" s="95">
        <v>3</v>
      </c>
      <c r="V20" s="95" t="s">
        <v>1063</v>
      </c>
      <c r="W20" s="95">
        <v>3</v>
      </c>
      <c r="X20" s="95" t="s">
        <v>1063</v>
      </c>
      <c r="Y20" s="95">
        <v>6</v>
      </c>
      <c r="Z20" s="95" t="s">
        <v>1063</v>
      </c>
      <c r="AA20" s="95">
        <v>1</v>
      </c>
      <c r="AB20" s="95" t="s">
        <v>1063</v>
      </c>
      <c r="AC20" s="95">
        <v>1</v>
      </c>
      <c r="AD20" s="95" t="s">
        <v>1063</v>
      </c>
      <c r="AE20" s="95">
        <v>12</v>
      </c>
      <c r="AF20" s="1877" t="s">
        <v>1427</v>
      </c>
      <c r="AG20" s="95">
        <v>2</v>
      </c>
      <c r="AH20" s="1878" t="s">
        <v>1427</v>
      </c>
    </row>
    <row r="21" spans="1:34" ht="12.6" customHeight="1">
      <c r="A21" s="89" t="s">
        <v>41</v>
      </c>
      <c r="B21" s="170" t="s">
        <v>42</v>
      </c>
      <c r="C21" s="91">
        <v>1376</v>
      </c>
      <c r="D21" s="91" t="s">
        <v>1373</v>
      </c>
      <c r="E21" s="91">
        <v>159</v>
      </c>
      <c r="F21" s="91" t="s">
        <v>416</v>
      </c>
      <c r="G21" s="91">
        <v>53</v>
      </c>
      <c r="H21" s="91" t="s">
        <v>395</v>
      </c>
      <c r="I21" s="91">
        <v>125</v>
      </c>
      <c r="J21" s="91" t="s">
        <v>419</v>
      </c>
      <c r="K21" s="91">
        <v>148</v>
      </c>
      <c r="L21" s="91" t="s">
        <v>419</v>
      </c>
      <c r="M21" s="91">
        <v>141</v>
      </c>
      <c r="N21" s="91" t="s">
        <v>477</v>
      </c>
      <c r="O21" s="91">
        <v>83</v>
      </c>
      <c r="P21" s="91" t="s">
        <v>1063</v>
      </c>
      <c r="Q21" s="92">
        <v>30</v>
      </c>
      <c r="R21" s="91" t="s">
        <v>1063</v>
      </c>
      <c r="S21" s="91">
        <v>119</v>
      </c>
      <c r="T21" s="91" t="s">
        <v>413</v>
      </c>
      <c r="U21" s="91">
        <v>54</v>
      </c>
      <c r="V21" s="91" t="s">
        <v>418</v>
      </c>
      <c r="W21" s="91">
        <v>53</v>
      </c>
      <c r="X21" s="91" t="s">
        <v>417</v>
      </c>
      <c r="Y21" s="91">
        <v>129</v>
      </c>
      <c r="Z21" s="91" t="s">
        <v>419</v>
      </c>
      <c r="AA21" s="91">
        <v>30</v>
      </c>
      <c r="AB21" s="91" t="s">
        <v>418</v>
      </c>
      <c r="AC21" s="91">
        <v>14</v>
      </c>
      <c r="AD21" s="91" t="s">
        <v>1063</v>
      </c>
      <c r="AE21" s="91">
        <v>196</v>
      </c>
      <c r="AF21" s="91" t="s">
        <v>1378</v>
      </c>
      <c r="AG21" s="91">
        <v>42</v>
      </c>
      <c r="AH21" s="98" t="s">
        <v>417</v>
      </c>
    </row>
    <row r="22" spans="1:34" ht="12.6" customHeight="1">
      <c r="A22" s="94" t="s">
        <v>29</v>
      </c>
      <c r="B22" s="172" t="s">
        <v>30</v>
      </c>
      <c r="C22" s="95">
        <v>1376</v>
      </c>
      <c r="D22" s="95" t="s">
        <v>1373</v>
      </c>
      <c r="E22" s="95">
        <v>159</v>
      </c>
      <c r="F22" s="95" t="s">
        <v>416</v>
      </c>
      <c r="G22" s="95">
        <v>53</v>
      </c>
      <c r="H22" s="95" t="s">
        <v>395</v>
      </c>
      <c r="I22" s="95">
        <v>125</v>
      </c>
      <c r="J22" s="95" t="s">
        <v>419</v>
      </c>
      <c r="K22" s="95">
        <v>148</v>
      </c>
      <c r="L22" s="95" t="s">
        <v>419</v>
      </c>
      <c r="M22" s="95">
        <v>141</v>
      </c>
      <c r="N22" s="95" t="s">
        <v>477</v>
      </c>
      <c r="O22" s="95">
        <v>83</v>
      </c>
      <c r="P22" s="95" t="s">
        <v>1063</v>
      </c>
      <c r="Q22" s="96">
        <v>30</v>
      </c>
      <c r="R22" s="95" t="s">
        <v>1063</v>
      </c>
      <c r="S22" s="95">
        <v>119</v>
      </c>
      <c r="T22" s="95" t="s">
        <v>413</v>
      </c>
      <c r="U22" s="95">
        <v>54</v>
      </c>
      <c r="V22" s="95" t="s">
        <v>418</v>
      </c>
      <c r="W22" s="95">
        <v>53</v>
      </c>
      <c r="X22" s="95" t="s">
        <v>417</v>
      </c>
      <c r="Y22" s="95">
        <v>129</v>
      </c>
      <c r="Z22" s="95" t="s">
        <v>419</v>
      </c>
      <c r="AA22" s="95">
        <v>30</v>
      </c>
      <c r="AB22" s="95" t="s">
        <v>418</v>
      </c>
      <c r="AC22" s="95">
        <v>14</v>
      </c>
      <c r="AD22" s="95" t="s">
        <v>1063</v>
      </c>
      <c r="AE22" s="95">
        <v>196</v>
      </c>
      <c r="AF22" s="95" t="s">
        <v>1378</v>
      </c>
      <c r="AG22" s="95">
        <v>42</v>
      </c>
      <c r="AH22" s="97" t="s">
        <v>417</v>
      </c>
    </row>
    <row r="23" spans="1:34" ht="12.6" customHeight="1">
      <c r="A23" s="94" t="s">
        <v>31</v>
      </c>
      <c r="B23" s="172" t="s">
        <v>32</v>
      </c>
      <c r="C23" s="95" t="s">
        <v>28</v>
      </c>
      <c r="D23" s="95" t="s">
        <v>1129</v>
      </c>
      <c r="E23" s="95" t="s">
        <v>28</v>
      </c>
      <c r="F23" s="95" t="s">
        <v>1063</v>
      </c>
      <c r="G23" s="95" t="s">
        <v>28</v>
      </c>
      <c r="H23" s="95" t="s">
        <v>1063</v>
      </c>
      <c r="I23" s="95" t="s">
        <v>28</v>
      </c>
      <c r="J23" s="95" t="s">
        <v>1063</v>
      </c>
      <c r="K23" s="95" t="s">
        <v>28</v>
      </c>
      <c r="L23" s="95" t="s">
        <v>1063</v>
      </c>
      <c r="M23" s="95" t="s">
        <v>28</v>
      </c>
      <c r="N23" s="95" t="s">
        <v>1063</v>
      </c>
      <c r="O23" s="95" t="s">
        <v>28</v>
      </c>
      <c r="P23" s="96" t="s">
        <v>1063</v>
      </c>
      <c r="Q23" s="96" t="s">
        <v>28</v>
      </c>
      <c r="R23" s="95" t="s">
        <v>1063</v>
      </c>
      <c r="S23" s="95" t="s">
        <v>28</v>
      </c>
      <c r="T23" s="95" t="s">
        <v>1063</v>
      </c>
      <c r="U23" s="95" t="s">
        <v>28</v>
      </c>
      <c r="V23" s="95" t="s">
        <v>1063</v>
      </c>
      <c r="W23" s="95" t="s">
        <v>28</v>
      </c>
      <c r="X23" s="95" t="s">
        <v>1063</v>
      </c>
      <c r="Y23" s="95" t="s">
        <v>28</v>
      </c>
      <c r="Z23" s="95" t="s">
        <v>1063</v>
      </c>
      <c r="AA23" s="95" t="s">
        <v>28</v>
      </c>
      <c r="AB23" s="95" t="s">
        <v>1063</v>
      </c>
      <c r="AC23" s="95" t="s">
        <v>28</v>
      </c>
      <c r="AD23" s="95" t="s">
        <v>1063</v>
      </c>
      <c r="AE23" s="95" t="s">
        <v>28</v>
      </c>
      <c r="AF23" s="95" t="s">
        <v>1063</v>
      </c>
      <c r="AG23" s="95" t="s">
        <v>28</v>
      </c>
      <c r="AH23" s="97" t="s">
        <v>1063</v>
      </c>
    </row>
    <row r="24" spans="1:34" ht="12.6" customHeight="1">
      <c r="A24" s="89" t="s">
        <v>43</v>
      </c>
      <c r="B24" s="170" t="s">
        <v>44</v>
      </c>
      <c r="C24" s="91">
        <v>170</v>
      </c>
      <c r="D24" s="91" t="s">
        <v>416</v>
      </c>
      <c r="E24" s="91">
        <v>17</v>
      </c>
      <c r="F24" s="91" t="s">
        <v>1063</v>
      </c>
      <c r="G24" s="91">
        <v>6</v>
      </c>
      <c r="H24" s="91" t="s">
        <v>1063</v>
      </c>
      <c r="I24" s="91">
        <v>14</v>
      </c>
      <c r="J24" s="91" t="s">
        <v>395</v>
      </c>
      <c r="K24" s="91">
        <v>17</v>
      </c>
      <c r="L24" s="91" t="s">
        <v>395</v>
      </c>
      <c r="M24" s="91">
        <v>13</v>
      </c>
      <c r="N24" s="91" t="s">
        <v>1063</v>
      </c>
      <c r="O24" s="91">
        <v>10</v>
      </c>
      <c r="P24" s="92" t="s">
        <v>1063</v>
      </c>
      <c r="Q24" s="92">
        <v>2</v>
      </c>
      <c r="R24" s="91" t="s">
        <v>1063</v>
      </c>
      <c r="S24" s="91">
        <v>12</v>
      </c>
      <c r="T24" s="91" t="s">
        <v>1063</v>
      </c>
      <c r="U24" s="91">
        <v>8</v>
      </c>
      <c r="V24" s="91" t="s">
        <v>1063</v>
      </c>
      <c r="W24" s="91">
        <v>6</v>
      </c>
      <c r="X24" s="91" t="s">
        <v>1063</v>
      </c>
      <c r="Y24" s="91">
        <v>13</v>
      </c>
      <c r="Z24" s="91" t="s">
        <v>1063</v>
      </c>
      <c r="AA24" s="91">
        <v>2</v>
      </c>
      <c r="AB24" s="91" t="s">
        <v>1063</v>
      </c>
      <c r="AC24" s="91">
        <v>1</v>
      </c>
      <c r="AD24" s="91" t="s">
        <v>1063</v>
      </c>
      <c r="AE24" s="91">
        <v>41</v>
      </c>
      <c r="AF24" s="91" t="s">
        <v>418</v>
      </c>
      <c r="AG24" s="91">
        <v>8</v>
      </c>
      <c r="AH24" s="98" t="s">
        <v>1063</v>
      </c>
    </row>
    <row r="25" spans="1:34" ht="12.6" customHeight="1">
      <c r="A25" s="94" t="s">
        <v>29</v>
      </c>
      <c r="B25" s="172" t="s">
        <v>30</v>
      </c>
      <c r="C25" s="95">
        <v>143</v>
      </c>
      <c r="D25" s="95" t="s">
        <v>413</v>
      </c>
      <c r="E25" s="95">
        <v>14</v>
      </c>
      <c r="F25" s="95" t="s">
        <v>1063</v>
      </c>
      <c r="G25" s="95">
        <v>6</v>
      </c>
      <c r="H25" s="95" t="s">
        <v>1063</v>
      </c>
      <c r="I25" s="95">
        <v>11</v>
      </c>
      <c r="J25" s="95" t="s">
        <v>1063</v>
      </c>
      <c r="K25" s="95">
        <v>15</v>
      </c>
      <c r="L25" s="95" t="s">
        <v>395</v>
      </c>
      <c r="M25" s="95">
        <v>11</v>
      </c>
      <c r="N25" s="95" t="s">
        <v>1063</v>
      </c>
      <c r="O25" s="95">
        <v>8</v>
      </c>
      <c r="P25" s="96" t="s">
        <v>1063</v>
      </c>
      <c r="Q25" s="96">
        <v>2</v>
      </c>
      <c r="R25" s="95" t="s">
        <v>1063</v>
      </c>
      <c r="S25" s="95">
        <v>10</v>
      </c>
      <c r="T25" s="95" t="s">
        <v>1063</v>
      </c>
      <c r="U25" s="95">
        <v>6</v>
      </c>
      <c r="V25" s="95" t="s">
        <v>1063</v>
      </c>
      <c r="W25" s="95">
        <v>5</v>
      </c>
      <c r="X25" s="95" t="s">
        <v>1063</v>
      </c>
      <c r="Y25" s="95">
        <v>11</v>
      </c>
      <c r="Z25" s="95" t="s">
        <v>1063</v>
      </c>
      <c r="AA25" s="95">
        <v>2</v>
      </c>
      <c r="AB25" s="95" t="s">
        <v>1063</v>
      </c>
      <c r="AC25" s="95">
        <v>1</v>
      </c>
      <c r="AD25" s="95" t="s">
        <v>1063</v>
      </c>
      <c r="AE25" s="95">
        <v>33</v>
      </c>
      <c r="AF25" s="95" t="s">
        <v>418</v>
      </c>
      <c r="AG25" s="95">
        <v>8</v>
      </c>
      <c r="AH25" s="97" t="s">
        <v>1063</v>
      </c>
    </row>
    <row r="26" spans="1:34" ht="12.6" customHeight="1" thickBot="1">
      <c r="A26" s="1826" t="s">
        <v>31</v>
      </c>
      <c r="B26" s="174" t="s">
        <v>32</v>
      </c>
      <c r="C26" s="99">
        <v>27</v>
      </c>
      <c r="D26" s="99" t="s">
        <v>395</v>
      </c>
      <c r="E26" s="99">
        <v>3</v>
      </c>
      <c r="F26" s="99" t="s">
        <v>1063</v>
      </c>
      <c r="G26" s="99" t="s">
        <v>28</v>
      </c>
      <c r="H26" s="99" t="s">
        <v>1063</v>
      </c>
      <c r="I26" s="99">
        <v>3</v>
      </c>
      <c r="J26" s="99" t="s">
        <v>395</v>
      </c>
      <c r="K26" s="99">
        <v>2</v>
      </c>
      <c r="L26" s="99" t="s">
        <v>1063</v>
      </c>
      <c r="M26" s="99">
        <v>2</v>
      </c>
      <c r="N26" s="99" t="s">
        <v>1063</v>
      </c>
      <c r="O26" s="99">
        <v>2</v>
      </c>
      <c r="P26" s="100" t="s">
        <v>1063</v>
      </c>
      <c r="Q26" s="100" t="s">
        <v>28</v>
      </c>
      <c r="R26" s="99" t="s">
        <v>1063</v>
      </c>
      <c r="S26" s="99">
        <v>2</v>
      </c>
      <c r="T26" s="99" t="s">
        <v>1063</v>
      </c>
      <c r="U26" s="99">
        <v>2</v>
      </c>
      <c r="V26" s="99" t="s">
        <v>1063</v>
      </c>
      <c r="W26" s="99">
        <v>1</v>
      </c>
      <c r="X26" s="99" t="s">
        <v>1063</v>
      </c>
      <c r="Y26" s="99">
        <v>2</v>
      </c>
      <c r="Z26" s="99" t="s">
        <v>1063</v>
      </c>
      <c r="AA26" s="99" t="s">
        <v>28</v>
      </c>
      <c r="AB26" s="99" t="s">
        <v>1063</v>
      </c>
      <c r="AC26" s="99" t="s">
        <v>28</v>
      </c>
      <c r="AD26" s="99" t="s">
        <v>1063</v>
      </c>
      <c r="AE26" s="99">
        <v>8</v>
      </c>
      <c r="AF26" s="99" t="s">
        <v>1063</v>
      </c>
      <c r="AG26" s="100" t="s">
        <v>28</v>
      </c>
      <c r="AH26" s="101" t="s">
        <v>1063</v>
      </c>
    </row>
    <row r="27" spans="1:34" s="169" customFormat="1" ht="14.25" customHeight="1" thickBot="1">
      <c r="A27" s="1063" t="s">
        <v>45</v>
      </c>
      <c r="B27" s="1063"/>
      <c r="C27" s="1063"/>
      <c r="D27" s="1063"/>
      <c r="E27" s="1063"/>
      <c r="F27" s="1063"/>
      <c r="G27" s="1063"/>
      <c r="H27" s="1063"/>
      <c r="I27" s="1063"/>
      <c r="J27" s="1063"/>
      <c r="K27" s="1063"/>
      <c r="L27" s="1063"/>
      <c r="M27" s="1063"/>
      <c r="N27" s="1063"/>
      <c r="O27" s="1063"/>
      <c r="P27" s="1063"/>
      <c r="Q27" s="1063" t="s">
        <v>46</v>
      </c>
      <c r="R27" s="1063"/>
      <c r="S27" s="1063"/>
      <c r="T27" s="1063"/>
      <c r="U27" s="1063"/>
      <c r="V27" s="1063"/>
      <c r="W27" s="1063"/>
      <c r="X27" s="1063"/>
      <c r="Y27" s="1063"/>
      <c r="Z27" s="1063"/>
      <c r="AA27" s="1063"/>
      <c r="AB27" s="1063"/>
      <c r="AC27" s="1063"/>
      <c r="AD27" s="1063"/>
      <c r="AE27" s="1063"/>
      <c r="AF27" s="1063"/>
      <c r="AG27" s="1063"/>
      <c r="AH27" s="1063"/>
    </row>
    <row r="28" spans="1:34" ht="12.6" customHeight="1">
      <c r="A28" s="89" t="s">
        <v>47</v>
      </c>
      <c r="B28" s="170" t="s">
        <v>48</v>
      </c>
      <c r="C28" s="91">
        <v>439</v>
      </c>
      <c r="D28" s="91" t="s">
        <v>618</v>
      </c>
      <c r="E28" s="91">
        <v>49</v>
      </c>
      <c r="F28" s="91" t="s">
        <v>1063</v>
      </c>
      <c r="G28" s="91">
        <v>18</v>
      </c>
      <c r="H28" s="91" t="s">
        <v>1063</v>
      </c>
      <c r="I28" s="91">
        <v>39</v>
      </c>
      <c r="J28" s="91" t="s">
        <v>1063</v>
      </c>
      <c r="K28" s="91">
        <v>43</v>
      </c>
      <c r="L28" s="91" t="s">
        <v>1063</v>
      </c>
      <c r="M28" s="91">
        <v>44</v>
      </c>
      <c r="N28" s="91" t="s">
        <v>395</v>
      </c>
      <c r="O28" s="91">
        <v>25</v>
      </c>
      <c r="P28" s="91" t="s">
        <v>1063</v>
      </c>
      <c r="Q28" s="93">
        <v>10</v>
      </c>
      <c r="R28" s="91" t="s">
        <v>1063</v>
      </c>
      <c r="S28" s="91">
        <v>37</v>
      </c>
      <c r="T28" s="91" t="s">
        <v>1063</v>
      </c>
      <c r="U28" s="91">
        <v>16</v>
      </c>
      <c r="V28" s="91" t="s">
        <v>1063</v>
      </c>
      <c r="W28" s="91">
        <v>15</v>
      </c>
      <c r="X28" s="91" t="s">
        <v>1063</v>
      </c>
      <c r="Y28" s="91">
        <v>43</v>
      </c>
      <c r="Z28" s="91" t="s">
        <v>395</v>
      </c>
      <c r="AA28" s="91">
        <v>2</v>
      </c>
      <c r="AB28" s="91" t="s">
        <v>1063</v>
      </c>
      <c r="AC28" s="91">
        <v>6</v>
      </c>
      <c r="AD28" s="91" t="s">
        <v>1063</v>
      </c>
      <c r="AE28" s="91">
        <v>78</v>
      </c>
      <c r="AF28" s="91" t="s">
        <v>809</v>
      </c>
      <c r="AG28" s="91">
        <v>14</v>
      </c>
      <c r="AH28" s="107" t="s">
        <v>417</v>
      </c>
    </row>
    <row r="29" spans="1:34" ht="12.6" customHeight="1">
      <c r="A29" s="94" t="s">
        <v>29</v>
      </c>
      <c r="B29" s="172" t="s">
        <v>30</v>
      </c>
      <c r="C29" s="95">
        <v>354</v>
      </c>
      <c r="D29" s="95" t="s">
        <v>476</v>
      </c>
      <c r="E29" s="95">
        <v>38</v>
      </c>
      <c r="F29" s="95" t="s">
        <v>1063</v>
      </c>
      <c r="G29" s="95">
        <v>14</v>
      </c>
      <c r="H29" s="95" t="s">
        <v>1063</v>
      </c>
      <c r="I29" s="95">
        <v>32</v>
      </c>
      <c r="J29" s="95" t="s">
        <v>1063</v>
      </c>
      <c r="K29" s="95">
        <v>35</v>
      </c>
      <c r="L29" s="95" t="s">
        <v>1063</v>
      </c>
      <c r="M29" s="95">
        <v>36</v>
      </c>
      <c r="N29" s="95" t="s">
        <v>395</v>
      </c>
      <c r="O29" s="95">
        <v>21</v>
      </c>
      <c r="P29" s="95" t="s">
        <v>1063</v>
      </c>
      <c r="Q29" s="96">
        <v>8</v>
      </c>
      <c r="R29" s="95" t="s">
        <v>1063</v>
      </c>
      <c r="S29" s="95">
        <v>30</v>
      </c>
      <c r="T29" s="95" t="s">
        <v>1063</v>
      </c>
      <c r="U29" s="95">
        <v>12</v>
      </c>
      <c r="V29" s="95" t="s">
        <v>1063</v>
      </c>
      <c r="W29" s="95">
        <v>12</v>
      </c>
      <c r="X29" s="95" t="s">
        <v>1063</v>
      </c>
      <c r="Y29" s="95">
        <v>33</v>
      </c>
      <c r="Z29" s="95" t="s">
        <v>1063</v>
      </c>
      <c r="AA29" s="95" t="s">
        <v>28</v>
      </c>
      <c r="AB29" s="95" t="s">
        <v>1063</v>
      </c>
      <c r="AC29" s="95">
        <v>6</v>
      </c>
      <c r="AD29" s="95" t="s">
        <v>1063</v>
      </c>
      <c r="AE29" s="95">
        <v>63</v>
      </c>
      <c r="AF29" s="95" t="s">
        <v>809</v>
      </c>
      <c r="AG29" s="95">
        <v>14</v>
      </c>
      <c r="AH29" s="97" t="s">
        <v>417</v>
      </c>
    </row>
    <row r="30" spans="1:34" ht="12.6" customHeight="1">
      <c r="A30" s="94" t="s">
        <v>31</v>
      </c>
      <c r="B30" s="172" t="s">
        <v>32</v>
      </c>
      <c r="C30" s="95">
        <v>85</v>
      </c>
      <c r="D30" s="95" t="s">
        <v>395</v>
      </c>
      <c r="E30" s="95">
        <v>11</v>
      </c>
      <c r="F30" s="95" t="s">
        <v>1063</v>
      </c>
      <c r="G30" s="95">
        <v>4</v>
      </c>
      <c r="H30" s="95" t="s">
        <v>1063</v>
      </c>
      <c r="I30" s="95">
        <v>7</v>
      </c>
      <c r="J30" s="95" t="s">
        <v>1063</v>
      </c>
      <c r="K30" s="95">
        <v>8</v>
      </c>
      <c r="L30" s="95" t="s">
        <v>1063</v>
      </c>
      <c r="M30" s="95">
        <v>8</v>
      </c>
      <c r="N30" s="95" t="s">
        <v>1063</v>
      </c>
      <c r="O30" s="95">
        <v>4</v>
      </c>
      <c r="P30" s="95" t="s">
        <v>1063</v>
      </c>
      <c r="Q30" s="96">
        <v>2</v>
      </c>
      <c r="R30" s="95" t="s">
        <v>1063</v>
      </c>
      <c r="S30" s="95">
        <v>7</v>
      </c>
      <c r="T30" s="95" t="s">
        <v>1063</v>
      </c>
      <c r="U30" s="95">
        <v>4</v>
      </c>
      <c r="V30" s="95" t="s">
        <v>1063</v>
      </c>
      <c r="W30" s="95">
        <v>3</v>
      </c>
      <c r="X30" s="95" t="s">
        <v>1063</v>
      </c>
      <c r="Y30" s="95">
        <v>10</v>
      </c>
      <c r="Z30" s="95" t="s">
        <v>395</v>
      </c>
      <c r="AA30" s="95">
        <v>2</v>
      </c>
      <c r="AB30" s="95" t="s">
        <v>1063</v>
      </c>
      <c r="AC30" s="95" t="s">
        <v>28</v>
      </c>
      <c r="AD30" s="95" t="s">
        <v>1063</v>
      </c>
      <c r="AE30" s="95">
        <v>15</v>
      </c>
      <c r="AF30" s="95" t="s">
        <v>1063</v>
      </c>
      <c r="AG30" s="95" t="s">
        <v>28</v>
      </c>
      <c r="AH30" s="97" t="s">
        <v>1063</v>
      </c>
    </row>
    <row r="31" spans="1:34" ht="12.6" customHeight="1">
      <c r="A31" s="89" t="s">
        <v>49</v>
      </c>
      <c r="B31" s="170" t="s">
        <v>50</v>
      </c>
      <c r="C31" s="91">
        <v>104</v>
      </c>
      <c r="D31" s="91" t="s">
        <v>417</v>
      </c>
      <c r="E31" s="91">
        <v>11</v>
      </c>
      <c r="F31" s="91" t="s">
        <v>1063</v>
      </c>
      <c r="G31" s="91">
        <v>3</v>
      </c>
      <c r="H31" s="91" t="s">
        <v>1063</v>
      </c>
      <c r="I31" s="91">
        <v>12</v>
      </c>
      <c r="J31" s="91" t="s">
        <v>395</v>
      </c>
      <c r="K31" s="91">
        <v>10</v>
      </c>
      <c r="L31" s="91" t="s">
        <v>1063</v>
      </c>
      <c r="M31" s="91">
        <v>11</v>
      </c>
      <c r="N31" s="91" t="s">
        <v>1063</v>
      </c>
      <c r="O31" s="91">
        <v>7</v>
      </c>
      <c r="P31" s="91" t="s">
        <v>1063</v>
      </c>
      <c r="Q31" s="92">
        <v>1</v>
      </c>
      <c r="R31" s="91" t="s">
        <v>1063</v>
      </c>
      <c r="S31" s="91">
        <v>10</v>
      </c>
      <c r="T31" s="91" t="s">
        <v>1063</v>
      </c>
      <c r="U31" s="91">
        <v>4</v>
      </c>
      <c r="V31" s="91" t="s">
        <v>1063</v>
      </c>
      <c r="W31" s="91">
        <v>3</v>
      </c>
      <c r="X31" s="91" t="s">
        <v>1063</v>
      </c>
      <c r="Y31" s="91">
        <v>11</v>
      </c>
      <c r="Z31" s="91" t="s">
        <v>395</v>
      </c>
      <c r="AA31" s="91" t="s">
        <v>28</v>
      </c>
      <c r="AB31" s="91" t="s">
        <v>1063</v>
      </c>
      <c r="AC31" s="91">
        <v>2</v>
      </c>
      <c r="AD31" s="91" t="s">
        <v>1063</v>
      </c>
      <c r="AE31" s="91">
        <v>15</v>
      </c>
      <c r="AF31" s="91" t="s">
        <v>1063</v>
      </c>
      <c r="AG31" s="91">
        <v>4</v>
      </c>
      <c r="AH31" s="98" t="s">
        <v>1063</v>
      </c>
    </row>
    <row r="32" spans="1:34" ht="12.6" customHeight="1">
      <c r="A32" s="94" t="s">
        <v>29</v>
      </c>
      <c r="B32" s="172" t="s">
        <v>30</v>
      </c>
      <c r="C32" s="95">
        <v>35</v>
      </c>
      <c r="D32" s="95" t="s">
        <v>1063</v>
      </c>
      <c r="E32" s="95">
        <v>4</v>
      </c>
      <c r="F32" s="95" t="s">
        <v>1063</v>
      </c>
      <c r="G32" s="95">
        <v>1</v>
      </c>
      <c r="H32" s="95" t="s">
        <v>1063</v>
      </c>
      <c r="I32" s="95">
        <v>4</v>
      </c>
      <c r="J32" s="95" t="s">
        <v>1063</v>
      </c>
      <c r="K32" s="95">
        <v>3</v>
      </c>
      <c r="L32" s="95" t="s">
        <v>1063</v>
      </c>
      <c r="M32" s="95">
        <v>3</v>
      </c>
      <c r="N32" s="95" t="s">
        <v>1063</v>
      </c>
      <c r="O32" s="95">
        <v>2</v>
      </c>
      <c r="P32" s="95" t="s">
        <v>1063</v>
      </c>
      <c r="Q32" s="96" t="s">
        <v>28</v>
      </c>
      <c r="R32" s="95" t="s">
        <v>1063</v>
      </c>
      <c r="S32" s="95">
        <v>3</v>
      </c>
      <c r="T32" s="95" t="s">
        <v>1063</v>
      </c>
      <c r="U32" s="95">
        <v>1</v>
      </c>
      <c r="V32" s="95" t="s">
        <v>1063</v>
      </c>
      <c r="W32" s="95">
        <v>1</v>
      </c>
      <c r="X32" s="95" t="s">
        <v>1063</v>
      </c>
      <c r="Y32" s="95">
        <v>3</v>
      </c>
      <c r="Z32" s="95" t="s">
        <v>1063</v>
      </c>
      <c r="AA32" s="95" t="s">
        <v>28</v>
      </c>
      <c r="AB32" s="95" t="s">
        <v>1063</v>
      </c>
      <c r="AC32" s="95">
        <v>1</v>
      </c>
      <c r="AD32" s="95" t="s">
        <v>1063</v>
      </c>
      <c r="AE32" s="95">
        <v>5</v>
      </c>
      <c r="AF32" s="95" t="s">
        <v>1063</v>
      </c>
      <c r="AG32" s="95">
        <v>4</v>
      </c>
      <c r="AH32" s="97" t="s">
        <v>1063</v>
      </c>
    </row>
    <row r="33" spans="1:34" ht="12.6" customHeight="1">
      <c r="A33" s="94" t="s">
        <v>31</v>
      </c>
      <c r="B33" s="172" t="s">
        <v>32</v>
      </c>
      <c r="C33" s="95">
        <v>69</v>
      </c>
      <c r="D33" s="95" t="s">
        <v>417</v>
      </c>
      <c r="E33" s="95">
        <v>7</v>
      </c>
      <c r="F33" s="95" t="s">
        <v>1063</v>
      </c>
      <c r="G33" s="95">
        <v>2</v>
      </c>
      <c r="H33" s="95" t="s">
        <v>1063</v>
      </c>
      <c r="I33" s="95">
        <v>8</v>
      </c>
      <c r="J33" s="95" t="s">
        <v>395</v>
      </c>
      <c r="K33" s="95">
        <v>7</v>
      </c>
      <c r="L33" s="95" t="s">
        <v>1063</v>
      </c>
      <c r="M33" s="95">
        <v>8</v>
      </c>
      <c r="N33" s="95" t="s">
        <v>1063</v>
      </c>
      <c r="O33" s="95">
        <v>5</v>
      </c>
      <c r="P33" s="95" t="s">
        <v>1063</v>
      </c>
      <c r="Q33" s="96">
        <v>1</v>
      </c>
      <c r="R33" s="95" t="s">
        <v>1063</v>
      </c>
      <c r="S33" s="95">
        <v>7</v>
      </c>
      <c r="T33" s="95" t="s">
        <v>1063</v>
      </c>
      <c r="U33" s="95">
        <v>3</v>
      </c>
      <c r="V33" s="95" t="s">
        <v>1063</v>
      </c>
      <c r="W33" s="95">
        <v>2</v>
      </c>
      <c r="X33" s="95" t="s">
        <v>1063</v>
      </c>
      <c r="Y33" s="95">
        <v>8</v>
      </c>
      <c r="Z33" s="95" t="s">
        <v>395</v>
      </c>
      <c r="AA33" s="95" t="s">
        <v>28</v>
      </c>
      <c r="AB33" s="95" t="s">
        <v>1063</v>
      </c>
      <c r="AC33" s="95">
        <v>1</v>
      </c>
      <c r="AD33" s="95" t="s">
        <v>1063</v>
      </c>
      <c r="AE33" s="95">
        <v>10</v>
      </c>
      <c r="AF33" s="95" t="s">
        <v>1063</v>
      </c>
      <c r="AG33" s="95" t="s">
        <v>28</v>
      </c>
      <c r="AH33" s="97" t="s">
        <v>1063</v>
      </c>
    </row>
    <row r="34" spans="1:34" ht="12.6" customHeight="1">
      <c r="A34" s="89" t="s">
        <v>963</v>
      </c>
      <c r="B34" s="170" t="s">
        <v>964</v>
      </c>
      <c r="C34" s="91">
        <v>579</v>
      </c>
      <c r="D34" s="91" t="s">
        <v>1375</v>
      </c>
      <c r="E34" s="91">
        <v>65</v>
      </c>
      <c r="F34" s="91" t="s">
        <v>413</v>
      </c>
      <c r="G34" s="91">
        <v>22</v>
      </c>
      <c r="H34" s="91" t="s">
        <v>395</v>
      </c>
      <c r="I34" s="91">
        <v>53</v>
      </c>
      <c r="J34" s="91" t="s">
        <v>417</v>
      </c>
      <c r="K34" s="91">
        <v>63</v>
      </c>
      <c r="L34" s="91" t="s">
        <v>419</v>
      </c>
      <c r="M34" s="91">
        <v>55</v>
      </c>
      <c r="N34" s="91" t="s">
        <v>1063</v>
      </c>
      <c r="O34" s="91">
        <v>39</v>
      </c>
      <c r="P34" s="91" t="s">
        <v>395</v>
      </c>
      <c r="Q34" s="92">
        <v>11</v>
      </c>
      <c r="R34" s="91" t="s">
        <v>1063</v>
      </c>
      <c r="S34" s="91">
        <v>45</v>
      </c>
      <c r="T34" s="91" t="s">
        <v>1063</v>
      </c>
      <c r="U34" s="91">
        <v>25</v>
      </c>
      <c r="V34" s="91" t="s">
        <v>413</v>
      </c>
      <c r="W34" s="91">
        <v>22</v>
      </c>
      <c r="X34" s="91" t="s">
        <v>395</v>
      </c>
      <c r="Y34" s="91">
        <v>52</v>
      </c>
      <c r="Z34" s="91" t="s">
        <v>416</v>
      </c>
      <c r="AA34" s="91">
        <v>7</v>
      </c>
      <c r="AB34" s="91" t="s">
        <v>1063</v>
      </c>
      <c r="AC34" s="91">
        <v>7</v>
      </c>
      <c r="AD34" s="91" t="s">
        <v>1063</v>
      </c>
      <c r="AE34" s="91">
        <v>96</v>
      </c>
      <c r="AF34" s="91" t="s">
        <v>808</v>
      </c>
      <c r="AG34" s="91">
        <v>17</v>
      </c>
      <c r="AH34" s="98" t="s">
        <v>395</v>
      </c>
    </row>
    <row r="35" spans="1:34" ht="12.6" customHeight="1">
      <c r="A35" s="94" t="s">
        <v>29</v>
      </c>
      <c r="B35" s="172" t="s">
        <v>30</v>
      </c>
      <c r="C35" s="95">
        <v>531</v>
      </c>
      <c r="D35" s="95" t="s">
        <v>1377</v>
      </c>
      <c r="E35" s="95">
        <v>58</v>
      </c>
      <c r="F35" s="95" t="s">
        <v>418</v>
      </c>
      <c r="G35" s="95">
        <v>20</v>
      </c>
      <c r="H35" s="95" t="s">
        <v>395</v>
      </c>
      <c r="I35" s="95">
        <v>47</v>
      </c>
      <c r="J35" s="95" t="s">
        <v>395</v>
      </c>
      <c r="K35" s="95">
        <v>58</v>
      </c>
      <c r="L35" s="95" t="s">
        <v>419</v>
      </c>
      <c r="M35" s="95">
        <v>50</v>
      </c>
      <c r="N35" s="95" t="s">
        <v>1063</v>
      </c>
      <c r="O35" s="95">
        <v>35</v>
      </c>
      <c r="P35" s="95" t="s">
        <v>395</v>
      </c>
      <c r="Q35" s="96">
        <v>10</v>
      </c>
      <c r="R35" s="95" t="s">
        <v>1063</v>
      </c>
      <c r="S35" s="95">
        <v>41</v>
      </c>
      <c r="T35" s="95" t="s">
        <v>1063</v>
      </c>
      <c r="U35" s="95">
        <v>23</v>
      </c>
      <c r="V35" s="95" t="s">
        <v>413</v>
      </c>
      <c r="W35" s="95">
        <v>20</v>
      </c>
      <c r="X35" s="95" t="s">
        <v>395</v>
      </c>
      <c r="Y35" s="95">
        <v>48</v>
      </c>
      <c r="Z35" s="95" t="s">
        <v>416</v>
      </c>
      <c r="AA35" s="95">
        <v>6</v>
      </c>
      <c r="AB35" s="95" t="s">
        <v>1063</v>
      </c>
      <c r="AC35" s="95">
        <v>7</v>
      </c>
      <c r="AD35" s="95" t="s">
        <v>1063</v>
      </c>
      <c r="AE35" s="95">
        <v>91</v>
      </c>
      <c r="AF35" s="95" t="s">
        <v>808</v>
      </c>
      <c r="AG35" s="95">
        <v>17</v>
      </c>
      <c r="AH35" s="97" t="s">
        <v>395</v>
      </c>
    </row>
    <row r="36" spans="1:34" ht="12.6" customHeight="1">
      <c r="A36" s="94" t="s">
        <v>31</v>
      </c>
      <c r="B36" s="172" t="s">
        <v>32</v>
      </c>
      <c r="C36" s="95">
        <v>48</v>
      </c>
      <c r="D36" s="95" t="s">
        <v>417</v>
      </c>
      <c r="E36" s="95">
        <v>7</v>
      </c>
      <c r="F36" s="95" t="s">
        <v>395</v>
      </c>
      <c r="G36" s="95">
        <v>2</v>
      </c>
      <c r="H36" s="95" t="s">
        <v>1063</v>
      </c>
      <c r="I36" s="95">
        <v>6</v>
      </c>
      <c r="J36" s="95" t="s">
        <v>395</v>
      </c>
      <c r="K36" s="95">
        <v>5</v>
      </c>
      <c r="L36" s="95" t="s">
        <v>1063</v>
      </c>
      <c r="M36" s="95">
        <v>5</v>
      </c>
      <c r="N36" s="95" t="s">
        <v>1063</v>
      </c>
      <c r="O36" s="95">
        <v>4</v>
      </c>
      <c r="P36" s="95" t="s">
        <v>1063</v>
      </c>
      <c r="Q36" s="96">
        <v>1</v>
      </c>
      <c r="R36" s="95" t="s">
        <v>1063</v>
      </c>
      <c r="S36" s="95">
        <v>4</v>
      </c>
      <c r="T36" s="95" t="s">
        <v>1063</v>
      </c>
      <c r="U36" s="95">
        <v>2</v>
      </c>
      <c r="V36" s="95" t="s">
        <v>1063</v>
      </c>
      <c r="W36" s="95">
        <v>2</v>
      </c>
      <c r="X36" s="95" t="s">
        <v>1063</v>
      </c>
      <c r="Y36" s="95">
        <v>4</v>
      </c>
      <c r="Z36" s="95" t="s">
        <v>1063</v>
      </c>
      <c r="AA36" s="95">
        <v>1</v>
      </c>
      <c r="AB36" s="95" t="s">
        <v>1063</v>
      </c>
      <c r="AC36" s="95" t="s">
        <v>28</v>
      </c>
      <c r="AD36" s="95" t="s">
        <v>1063</v>
      </c>
      <c r="AE36" s="95">
        <v>5</v>
      </c>
      <c r="AF36" s="95" t="s">
        <v>1063</v>
      </c>
      <c r="AG36" s="95" t="s">
        <v>28</v>
      </c>
      <c r="AH36" s="97" t="s">
        <v>1063</v>
      </c>
    </row>
    <row r="37" spans="1:34" ht="12.6" customHeight="1">
      <c r="A37" s="89" t="s">
        <v>51</v>
      </c>
      <c r="B37" s="170" t="s">
        <v>52</v>
      </c>
      <c r="C37" s="91">
        <v>984</v>
      </c>
      <c r="D37" s="91" t="s">
        <v>1379</v>
      </c>
      <c r="E37" s="91">
        <v>118</v>
      </c>
      <c r="F37" s="91" t="s">
        <v>419</v>
      </c>
      <c r="G37" s="91">
        <v>39</v>
      </c>
      <c r="H37" s="91" t="s">
        <v>395</v>
      </c>
      <c r="I37" s="91">
        <v>88</v>
      </c>
      <c r="J37" s="91" t="s">
        <v>416</v>
      </c>
      <c r="K37" s="91">
        <v>100</v>
      </c>
      <c r="L37" s="91" t="s">
        <v>413</v>
      </c>
      <c r="M37" s="91">
        <v>99</v>
      </c>
      <c r="N37" s="91" t="s">
        <v>419</v>
      </c>
      <c r="O37" s="91">
        <v>60</v>
      </c>
      <c r="P37" s="91" t="s">
        <v>416</v>
      </c>
      <c r="Q37" s="92">
        <v>20</v>
      </c>
      <c r="R37" s="91" t="s">
        <v>1063</v>
      </c>
      <c r="S37" s="91">
        <v>82</v>
      </c>
      <c r="T37" s="91" t="s">
        <v>413</v>
      </c>
      <c r="U37" s="91">
        <v>42</v>
      </c>
      <c r="V37" s="91" t="s">
        <v>417</v>
      </c>
      <c r="W37" s="91">
        <v>39</v>
      </c>
      <c r="X37" s="91" t="s">
        <v>417</v>
      </c>
      <c r="Y37" s="91">
        <v>92</v>
      </c>
      <c r="Z37" s="91" t="s">
        <v>477</v>
      </c>
      <c r="AA37" s="91">
        <v>9</v>
      </c>
      <c r="AB37" s="91" t="s">
        <v>1063</v>
      </c>
      <c r="AC37" s="91">
        <v>17</v>
      </c>
      <c r="AD37" s="91" t="s">
        <v>417</v>
      </c>
      <c r="AE37" s="91">
        <v>149</v>
      </c>
      <c r="AF37" s="91" t="s">
        <v>1168</v>
      </c>
      <c r="AG37" s="91">
        <v>30</v>
      </c>
      <c r="AH37" s="98" t="s">
        <v>416</v>
      </c>
    </row>
    <row r="38" spans="1:34" ht="12.6" customHeight="1">
      <c r="A38" s="94" t="s">
        <v>29</v>
      </c>
      <c r="B38" s="172" t="s">
        <v>30</v>
      </c>
      <c r="C38" s="95">
        <v>938</v>
      </c>
      <c r="D38" s="95" t="s">
        <v>1163</v>
      </c>
      <c r="E38" s="95">
        <v>113</v>
      </c>
      <c r="F38" s="95" t="s">
        <v>419</v>
      </c>
      <c r="G38" s="95">
        <v>37</v>
      </c>
      <c r="H38" s="95" t="s">
        <v>395</v>
      </c>
      <c r="I38" s="95">
        <v>84</v>
      </c>
      <c r="J38" s="95" t="s">
        <v>416</v>
      </c>
      <c r="K38" s="95">
        <v>93</v>
      </c>
      <c r="L38" s="95" t="s">
        <v>417</v>
      </c>
      <c r="M38" s="95">
        <v>95</v>
      </c>
      <c r="N38" s="95" t="s">
        <v>419</v>
      </c>
      <c r="O38" s="95">
        <v>57</v>
      </c>
      <c r="P38" s="95" t="s">
        <v>416</v>
      </c>
      <c r="Q38" s="96">
        <v>19</v>
      </c>
      <c r="R38" s="95" t="s">
        <v>1063</v>
      </c>
      <c r="S38" s="95">
        <v>79</v>
      </c>
      <c r="T38" s="95" t="s">
        <v>413</v>
      </c>
      <c r="U38" s="95">
        <v>40</v>
      </c>
      <c r="V38" s="95" t="s">
        <v>417</v>
      </c>
      <c r="W38" s="95">
        <v>37</v>
      </c>
      <c r="X38" s="95" t="s">
        <v>417</v>
      </c>
      <c r="Y38" s="95">
        <v>88</v>
      </c>
      <c r="Z38" s="95" t="s">
        <v>477</v>
      </c>
      <c r="AA38" s="95">
        <v>8</v>
      </c>
      <c r="AB38" s="95" t="s">
        <v>1063</v>
      </c>
      <c r="AC38" s="95">
        <v>17</v>
      </c>
      <c r="AD38" s="95" t="s">
        <v>417</v>
      </c>
      <c r="AE38" s="95">
        <v>141</v>
      </c>
      <c r="AF38" s="95" t="s">
        <v>1167</v>
      </c>
      <c r="AG38" s="95">
        <v>30</v>
      </c>
      <c r="AH38" s="97" t="s">
        <v>416</v>
      </c>
    </row>
    <row r="39" spans="1:34" ht="12.6" customHeight="1">
      <c r="A39" s="94" t="s">
        <v>31</v>
      </c>
      <c r="B39" s="172" t="s">
        <v>32</v>
      </c>
      <c r="C39" s="95">
        <v>46</v>
      </c>
      <c r="D39" s="95" t="s">
        <v>418</v>
      </c>
      <c r="E39" s="95">
        <v>5</v>
      </c>
      <c r="F39" s="95" t="s">
        <v>1063</v>
      </c>
      <c r="G39" s="95">
        <v>2</v>
      </c>
      <c r="H39" s="95" t="s">
        <v>1063</v>
      </c>
      <c r="I39" s="95">
        <v>4</v>
      </c>
      <c r="J39" s="95" t="s">
        <v>1063</v>
      </c>
      <c r="K39" s="95">
        <v>7</v>
      </c>
      <c r="L39" s="95" t="s">
        <v>417</v>
      </c>
      <c r="M39" s="95">
        <v>4</v>
      </c>
      <c r="N39" s="95" t="s">
        <v>1063</v>
      </c>
      <c r="O39" s="95">
        <v>3</v>
      </c>
      <c r="P39" s="95" t="s">
        <v>1063</v>
      </c>
      <c r="Q39" s="96">
        <v>1</v>
      </c>
      <c r="R39" s="95" t="s">
        <v>1063</v>
      </c>
      <c r="S39" s="95">
        <v>3</v>
      </c>
      <c r="T39" s="95" t="s">
        <v>1063</v>
      </c>
      <c r="U39" s="95">
        <v>2</v>
      </c>
      <c r="V39" s="95" t="s">
        <v>1063</v>
      </c>
      <c r="W39" s="95">
        <v>2</v>
      </c>
      <c r="X39" s="95" t="s">
        <v>1063</v>
      </c>
      <c r="Y39" s="95">
        <v>4</v>
      </c>
      <c r="Z39" s="95" t="s">
        <v>1063</v>
      </c>
      <c r="AA39" s="95">
        <v>1</v>
      </c>
      <c r="AB39" s="95" t="s">
        <v>1063</v>
      </c>
      <c r="AC39" s="95" t="s">
        <v>28</v>
      </c>
      <c r="AD39" s="95" t="s">
        <v>1063</v>
      </c>
      <c r="AE39" s="95">
        <v>8</v>
      </c>
      <c r="AF39" s="95" t="s">
        <v>395</v>
      </c>
      <c r="AG39" s="95" t="s">
        <v>28</v>
      </c>
      <c r="AH39" s="97" t="s">
        <v>1063</v>
      </c>
    </row>
    <row r="40" spans="1:34" ht="12.6" customHeight="1">
      <c r="A40" s="89" t="s">
        <v>53</v>
      </c>
      <c r="B40" s="170" t="s">
        <v>54</v>
      </c>
      <c r="C40" s="91">
        <v>1037</v>
      </c>
      <c r="D40" s="91" t="s">
        <v>1382</v>
      </c>
      <c r="E40" s="91">
        <v>113</v>
      </c>
      <c r="F40" s="91" t="s">
        <v>418</v>
      </c>
      <c r="G40" s="91">
        <v>43</v>
      </c>
      <c r="H40" s="91" t="s">
        <v>395</v>
      </c>
      <c r="I40" s="91">
        <v>91</v>
      </c>
      <c r="J40" s="91" t="s">
        <v>418</v>
      </c>
      <c r="K40" s="91">
        <v>109</v>
      </c>
      <c r="L40" s="91" t="s">
        <v>419</v>
      </c>
      <c r="M40" s="91">
        <v>98</v>
      </c>
      <c r="N40" s="91" t="s">
        <v>418</v>
      </c>
      <c r="O40" s="91">
        <v>64</v>
      </c>
      <c r="P40" s="91" t="s">
        <v>418</v>
      </c>
      <c r="Q40" s="92">
        <v>20</v>
      </c>
      <c r="R40" s="91" t="s">
        <v>1063</v>
      </c>
      <c r="S40" s="91">
        <v>86</v>
      </c>
      <c r="T40" s="91" t="s">
        <v>418</v>
      </c>
      <c r="U40" s="91">
        <v>44</v>
      </c>
      <c r="V40" s="91" t="s">
        <v>416</v>
      </c>
      <c r="W40" s="91">
        <v>39</v>
      </c>
      <c r="X40" s="91" t="s">
        <v>417</v>
      </c>
      <c r="Y40" s="91">
        <v>99</v>
      </c>
      <c r="Z40" s="91" t="s">
        <v>419</v>
      </c>
      <c r="AA40" s="91">
        <v>8</v>
      </c>
      <c r="AB40" s="91" t="s">
        <v>395</v>
      </c>
      <c r="AC40" s="91">
        <v>19</v>
      </c>
      <c r="AD40" s="91" t="s">
        <v>417</v>
      </c>
      <c r="AE40" s="91">
        <v>159</v>
      </c>
      <c r="AF40" s="91" t="s">
        <v>1064</v>
      </c>
      <c r="AG40" s="91">
        <v>45</v>
      </c>
      <c r="AH40" s="98" t="s">
        <v>419</v>
      </c>
    </row>
    <row r="41" spans="1:34" ht="12.6" customHeight="1">
      <c r="A41" s="94" t="s">
        <v>29</v>
      </c>
      <c r="B41" s="172" t="s">
        <v>30</v>
      </c>
      <c r="C41" s="95">
        <v>1012</v>
      </c>
      <c r="D41" s="95" t="s">
        <v>1384</v>
      </c>
      <c r="E41" s="95">
        <v>110</v>
      </c>
      <c r="F41" s="95" t="s">
        <v>418</v>
      </c>
      <c r="G41" s="95">
        <v>43</v>
      </c>
      <c r="H41" s="95" t="s">
        <v>395</v>
      </c>
      <c r="I41" s="95">
        <v>89</v>
      </c>
      <c r="J41" s="95" t="s">
        <v>418</v>
      </c>
      <c r="K41" s="95">
        <v>106</v>
      </c>
      <c r="L41" s="95" t="s">
        <v>419</v>
      </c>
      <c r="M41" s="95">
        <v>96</v>
      </c>
      <c r="N41" s="95" t="s">
        <v>418</v>
      </c>
      <c r="O41" s="95">
        <v>62</v>
      </c>
      <c r="P41" s="95" t="s">
        <v>418</v>
      </c>
      <c r="Q41" s="96">
        <v>20</v>
      </c>
      <c r="R41" s="95" t="s">
        <v>1063</v>
      </c>
      <c r="S41" s="95">
        <v>84</v>
      </c>
      <c r="T41" s="95" t="s">
        <v>418</v>
      </c>
      <c r="U41" s="95">
        <v>43</v>
      </c>
      <c r="V41" s="95" t="s">
        <v>416</v>
      </c>
      <c r="W41" s="95">
        <v>38</v>
      </c>
      <c r="X41" s="95" t="s">
        <v>417</v>
      </c>
      <c r="Y41" s="95">
        <v>97</v>
      </c>
      <c r="Z41" s="95" t="s">
        <v>419</v>
      </c>
      <c r="AA41" s="95">
        <v>8</v>
      </c>
      <c r="AB41" s="95" t="s">
        <v>395</v>
      </c>
      <c r="AC41" s="95">
        <v>18</v>
      </c>
      <c r="AD41" s="95" t="s">
        <v>417</v>
      </c>
      <c r="AE41" s="95">
        <v>155</v>
      </c>
      <c r="AF41" s="95" t="s">
        <v>1064</v>
      </c>
      <c r="AG41" s="95">
        <v>43</v>
      </c>
      <c r="AH41" s="97" t="s">
        <v>416</v>
      </c>
    </row>
    <row r="42" spans="1:34" ht="12.6" customHeight="1">
      <c r="A42" s="94" t="s">
        <v>31</v>
      </c>
      <c r="B42" s="172" t="s">
        <v>32</v>
      </c>
      <c r="C42" s="95">
        <v>25</v>
      </c>
      <c r="D42" s="95" t="s">
        <v>395</v>
      </c>
      <c r="E42" s="95">
        <v>3</v>
      </c>
      <c r="F42" s="95" t="s">
        <v>1063</v>
      </c>
      <c r="G42" s="95" t="s">
        <v>28</v>
      </c>
      <c r="H42" s="95" t="s">
        <v>1063</v>
      </c>
      <c r="I42" s="95">
        <v>2</v>
      </c>
      <c r="J42" s="95" t="s">
        <v>1063</v>
      </c>
      <c r="K42" s="95">
        <v>3</v>
      </c>
      <c r="L42" s="95" t="s">
        <v>1063</v>
      </c>
      <c r="M42" s="95">
        <v>2</v>
      </c>
      <c r="N42" s="95" t="s">
        <v>1063</v>
      </c>
      <c r="O42" s="95">
        <v>2</v>
      </c>
      <c r="P42" s="95" t="s">
        <v>1063</v>
      </c>
      <c r="Q42" s="96" t="s">
        <v>28</v>
      </c>
      <c r="R42" s="95" t="s">
        <v>1063</v>
      </c>
      <c r="S42" s="95">
        <v>2</v>
      </c>
      <c r="T42" s="95" t="s">
        <v>1063</v>
      </c>
      <c r="U42" s="95">
        <v>1</v>
      </c>
      <c r="V42" s="95" t="s">
        <v>1063</v>
      </c>
      <c r="W42" s="95">
        <v>1</v>
      </c>
      <c r="X42" s="95" t="s">
        <v>1063</v>
      </c>
      <c r="Y42" s="95">
        <v>2</v>
      </c>
      <c r="Z42" s="95" t="s">
        <v>1063</v>
      </c>
      <c r="AA42" s="95" t="s">
        <v>28</v>
      </c>
      <c r="AB42" s="95" t="s">
        <v>1063</v>
      </c>
      <c r="AC42" s="95">
        <v>1</v>
      </c>
      <c r="AD42" s="95" t="s">
        <v>1063</v>
      </c>
      <c r="AE42" s="95">
        <v>4</v>
      </c>
      <c r="AF42" s="95" t="s">
        <v>1063</v>
      </c>
      <c r="AG42" s="95">
        <v>2</v>
      </c>
      <c r="AH42" s="97" t="s">
        <v>395</v>
      </c>
    </row>
    <row r="43" spans="1:34" ht="12.6" customHeight="1">
      <c r="A43" s="89" t="s">
        <v>55</v>
      </c>
      <c r="B43" s="170" t="s">
        <v>56</v>
      </c>
      <c r="C43" s="91">
        <v>907</v>
      </c>
      <c r="D43" s="91" t="s">
        <v>1125</v>
      </c>
      <c r="E43" s="91">
        <v>101</v>
      </c>
      <c r="F43" s="91" t="s">
        <v>413</v>
      </c>
      <c r="G43" s="91">
        <v>35</v>
      </c>
      <c r="H43" s="91" t="s">
        <v>413</v>
      </c>
      <c r="I43" s="91">
        <v>83</v>
      </c>
      <c r="J43" s="91" t="s">
        <v>419</v>
      </c>
      <c r="K43" s="91">
        <v>92</v>
      </c>
      <c r="L43" s="91" t="s">
        <v>417</v>
      </c>
      <c r="M43" s="91">
        <v>89</v>
      </c>
      <c r="N43" s="91" t="s">
        <v>416</v>
      </c>
      <c r="O43" s="91">
        <v>57</v>
      </c>
      <c r="P43" s="91" t="s">
        <v>395</v>
      </c>
      <c r="Q43" s="92">
        <v>20</v>
      </c>
      <c r="R43" s="91" t="s">
        <v>1063</v>
      </c>
      <c r="S43" s="91">
        <v>71</v>
      </c>
      <c r="T43" s="91" t="s">
        <v>417</v>
      </c>
      <c r="U43" s="91">
        <v>36</v>
      </c>
      <c r="V43" s="91" t="s">
        <v>418</v>
      </c>
      <c r="W43" s="91">
        <v>35</v>
      </c>
      <c r="X43" s="91" t="s">
        <v>413</v>
      </c>
      <c r="Y43" s="91">
        <v>96</v>
      </c>
      <c r="Z43" s="91" t="s">
        <v>447</v>
      </c>
      <c r="AA43" s="91">
        <v>3</v>
      </c>
      <c r="AB43" s="91" t="s">
        <v>395</v>
      </c>
      <c r="AC43" s="91">
        <v>24</v>
      </c>
      <c r="AD43" s="91" t="s">
        <v>413</v>
      </c>
      <c r="AE43" s="91">
        <v>133</v>
      </c>
      <c r="AF43" s="91" t="s">
        <v>476</v>
      </c>
      <c r="AG43" s="91">
        <v>32</v>
      </c>
      <c r="AH43" s="98" t="s">
        <v>416</v>
      </c>
    </row>
    <row r="44" spans="1:34" ht="12.6" customHeight="1">
      <c r="A44" s="94" t="s">
        <v>29</v>
      </c>
      <c r="B44" s="172" t="s">
        <v>30</v>
      </c>
      <c r="C44" s="95">
        <v>907</v>
      </c>
      <c r="D44" s="95" t="s">
        <v>1125</v>
      </c>
      <c r="E44" s="95">
        <v>101</v>
      </c>
      <c r="F44" s="95" t="s">
        <v>413</v>
      </c>
      <c r="G44" s="95">
        <v>35</v>
      </c>
      <c r="H44" s="95" t="s">
        <v>413</v>
      </c>
      <c r="I44" s="95">
        <v>83</v>
      </c>
      <c r="J44" s="95" t="s">
        <v>419</v>
      </c>
      <c r="K44" s="95">
        <v>92</v>
      </c>
      <c r="L44" s="95" t="s">
        <v>417</v>
      </c>
      <c r="M44" s="95">
        <v>89</v>
      </c>
      <c r="N44" s="95" t="s">
        <v>416</v>
      </c>
      <c r="O44" s="95">
        <v>57</v>
      </c>
      <c r="P44" s="95" t="s">
        <v>395</v>
      </c>
      <c r="Q44" s="96">
        <v>20</v>
      </c>
      <c r="R44" s="95" t="s">
        <v>1063</v>
      </c>
      <c r="S44" s="95">
        <v>71</v>
      </c>
      <c r="T44" s="95" t="s">
        <v>417</v>
      </c>
      <c r="U44" s="95">
        <v>36</v>
      </c>
      <c r="V44" s="95" t="s">
        <v>418</v>
      </c>
      <c r="W44" s="95">
        <v>35</v>
      </c>
      <c r="X44" s="95" t="s">
        <v>413</v>
      </c>
      <c r="Y44" s="95">
        <v>96</v>
      </c>
      <c r="Z44" s="95" t="s">
        <v>447</v>
      </c>
      <c r="AA44" s="95">
        <v>3</v>
      </c>
      <c r="AB44" s="95" t="s">
        <v>395</v>
      </c>
      <c r="AC44" s="95">
        <v>24</v>
      </c>
      <c r="AD44" s="95" t="s">
        <v>413</v>
      </c>
      <c r="AE44" s="95">
        <v>133</v>
      </c>
      <c r="AF44" s="95" t="s">
        <v>476</v>
      </c>
      <c r="AG44" s="95">
        <v>32</v>
      </c>
      <c r="AH44" s="97" t="s">
        <v>416</v>
      </c>
    </row>
    <row r="45" spans="1:34" ht="12.6" customHeight="1">
      <c r="A45" s="94" t="s">
        <v>31</v>
      </c>
      <c r="B45" s="172" t="s">
        <v>32</v>
      </c>
      <c r="C45" s="95" t="s">
        <v>28</v>
      </c>
      <c r="D45" s="95" t="s">
        <v>1063</v>
      </c>
      <c r="E45" s="95" t="s">
        <v>28</v>
      </c>
      <c r="F45" s="95" t="s">
        <v>1063</v>
      </c>
      <c r="G45" s="95" t="s">
        <v>28</v>
      </c>
      <c r="H45" s="95" t="s">
        <v>1063</v>
      </c>
      <c r="I45" s="95" t="s">
        <v>28</v>
      </c>
      <c r="J45" s="95" t="s">
        <v>1063</v>
      </c>
      <c r="K45" s="95" t="s">
        <v>28</v>
      </c>
      <c r="L45" s="95" t="s">
        <v>1063</v>
      </c>
      <c r="M45" s="95" t="s">
        <v>28</v>
      </c>
      <c r="N45" s="95" t="s">
        <v>1063</v>
      </c>
      <c r="O45" s="95" t="s">
        <v>28</v>
      </c>
      <c r="P45" s="95" t="s">
        <v>1063</v>
      </c>
      <c r="Q45" s="96" t="s">
        <v>28</v>
      </c>
      <c r="R45" s="95" t="s">
        <v>1063</v>
      </c>
      <c r="S45" s="95" t="s">
        <v>28</v>
      </c>
      <c r="T45" s="95" t="s">
        <v>1063</v>
      </c>
      <c r="U45" s="95" t="s">
        <v>28</v>
      </c>
      <c r="V45" s="95" t="s">
        <v>1063</v>
      </c>
      <c r="W45" s="95" t="s">
        <v>28</v>
      </c>
      <c r="X45" s="95" t="s">
        <v>1063</v>
      </c>
      <c r="Y45" s="95" t="s">
        <v>28</v>
      </c>
      <c r="Z45" s="95" t="s">
        <v>1063</v>
      </c>
      <c r="AA45" s="95" t="s">
        <v>28</v>
      </c>
      <c r="AB45" s="95" t="s">
        <v>1063</v>
      </c>
      <c r="AC45" s="95" t="s">
        <v>28</v>
      </c>
      <c r="AD45" s="95" t="s">
        <v>1063</v>
      </c>
      <c r="AE45" s="95" t="s">
        <v>28</v>
      </c>
      <c r="AF45" s="95" t="s">
        <v>1063</v>
      </c>
      <c r="AG45" s="95" t="s">
        <v>28</v>
      </c>
      <c r="AH45" s="97" t="s">
        <v>1063</v>
      </c>
    </row>
    <row r="46" spans="1:34" ht="12.6" customHeight="1">
      <c r="A46" s="89" t="s">
        <v>57</v>
      </c>
      <c r="B46" s="170" t="s">
        <v>58</v>
      </c>
      <c r="C46" s="91">
        <v>539</v>
      </c>
      <c r="D46" s="91" t="s">
        <v>1376</v>
      </c>
      <c r="E46" s="91">
        <v>57</v>
      </c>
      <c r="F46" s="91" t="s">
        <v>395</v>
      </c>
      <c r="G46" s="91">
        <v>23</v>
      </c>
      <c r="H46" s="91" t="s">
        <v>395</v>
      </c>
      <c r="I46" s="91">
        <v>45</v>
      </c>
      <c r="J46" s="91" t="s">
        <v>395</v>
      </c>
      <c r="K46" s="91">
        <v>50</v>
      </c>
      <c r="L46" s="91" t="s">
        <v>395</v>
      </c>
      <c r="M46" s="91">
        <v>50</v>
      </c>
      <c r="N46" s="91" t="s">
        <v>417</v>
      </c>
      <c r="O46" s="91">
        <v>29</v>
      </c>
      <c r="P46" s="91" t="s">
        <v>395</v>
      </c>
      <c r="Q46" s="92">
        <v>13</v>
      </c>
      <c r="R46" s="91" t="s">
        <v>1063</v>
      </c>
      <c r="S46" s="91">
        <v>43</v>
      </c>
      <c r="T46" s="91" t="s">
        <v>417</v>
      </c>
      <c r="U46" s="91">
        <v>20</v>
      </c>
      <c r="V46" s="91" t="s">
        <v>417</v>
      </c>
      <c r="W46" s="91">
        <v>20</v>
      </c>
      <c r="X46" s="91" t="s">
        <v>417</v>
      </c>
      <c r="Y46" s="91">
        <v>54</v>
      </c>
      <c r="Z46" s="91" t="s">
        <v>418</v>
      </c>
      <c r="AA46" s="91">
        <v>4</v>
      </c>
      <c r="AB46" s="91" t="s">
        <v>1063</v>
      </c>
      <c r="AC46" s="91">
        <v>8</v>
      </c>
      <c r="AD46" s="91" t="s">
        <v>1063</v>
      </c>
      <c r="AE46" s="91">
        <v>104</v>
      </c>
      <c r="AF46" s="91" t="s">
        <v>810</v>
      </c>
      <c r="AG46" s="91">
        <v>19</v>
      </c>
      <c r="AH46" s="98" t="s">
        <v>1063</v>
      </c>
    </row>
    <row r="47" spans="1:34" ht="12.6" customHeight="1">
      <c r="A47" s="94" t="s">
        <v>29</v>
      </c>
      <c r="B47" s="172" t="s">
        <v>30</v>
      </c>
      <c r="C47" s="95">
        <v>539</v>
      </c>
      <c r="D47" s="95" t="s">
        <v>1376</v>
      </c>
      <c r="E47" s="95">
        <v>57</v>
      </c>
      <c r="F47" s="95" t="s">
        <v>395</v>
      </c>
      <c r="G47" s="95">
        <v>23</v>
      </c>
      <c r="H47" s="95" t="s">
        <v>395</v>
      </c>
      <c r="I47" s="95">
        <v>45</v>
      </c>
      <c r="J47" s="95" t="s">
        <v>395</v>
      </c>
      <c r="K47" s="95">
        <v>50</v>
      </c>
      <c r="L47" s="95" t="s">
        <v>395</v>
      </c>
      <c r="M47" s="95">
        <v>50</v>
      </c>
      <c r="N47" s="95" t="s">
        <v>417</v>
      </c>
      <c r="O47" s="95">
        <v>29</v>
      </c>
      <c r="P47" s="95" t="s">
        <v>395</v>
      </c>
      <c r="Q47" s="96">
        <v>13</v>
      </c>
      <c r="R47" s="95" t="s">
        <v>1063</v>
      </c>
      <c r="S47" s="95">
        <v>43</v>
      </c>
      <c r="T47" s="95" t="s">
        <v>417</v>
      </c>
      <c r="U47" s="95">
        <v>20</v>
      </c>
      <c r="V47" s="95" t="s">
        <v>417</v>
      </c>
      <c r="W47" s="95">
        <v>20</v>
      </c>
      <c r="X47" s="95" t="s">
        <v>417</v>
      </c>
      <c r="Y47" s="95">
        <v>54</v>
      </c>
      <c r="Z47" s="95" t="s">
        <v>418</v>
      </c>
      <c r="AA47" s="95">
        <v>4</v>
      </c>
      <c r="AB47" s="95" t="s">
        <v>1063</v>
      </c>
      <c r="AC47" s="95">
        <v>8</v>
      </c>
      <c r="AD47" s="95" t="s">
        <v>1063</v>
      </c>
      <c r="AE47" s="95">
        <v>104</v>
      </c>
      <c r="AF47" s="95" t="s">
        <v>810</v>
      </c>
      <c r="AG47" s="95">
        <v>19</v>
      </c>
      <c r="AH47" s="97" t="s">
        <v>1063</v>
      </c>
    </row>
    <row r="48" spans="1:34" ht="12.6" customHeight="1">
      <c r="A48" s="94" t="s">
        <v>31</v>
      </c>
      <c r="B48" s="172" t="s">
        <v>32</v>
      </c>
      <c r="C48" s="95" t="s">
        <v>28</v>
      </c>
      <c r="D48" s="95" t="s">
        <v>1063</v>
      </c>
      <c r="E48" s="95" t="s">
        <v>28</v>
      </c>
      <c r="F48" s="95" t="s">
        <v>1063</v>
      </c>
      <c r="G48" s="95" t="s">
        <v>28</v>
      </c>
      <c r="H48" s="95" t="s">
        <v>1063</v>
      </c>
      <c r="I48" s="95" t="s">
        <v>28</v>
      </c>
      <c r="J48" s="95" t="s">
        <v>1063</v>
      </c>
      <c r="K48" s="95" t="s">
        <v>28</v>
      </c>
      <c r="L48" s="95" t="s">
        <v>1063</v>
      </c>
      <c r="M48" s="95" t="s">
        <v>28</v>
      </c>
      <c r="N48" s="95" t="s">
        <v>1063</v>
      </c>
      <c r="O48" s="95" t="s">
        <v>28</v>
      </c>
      <c r="P48" s="95" t="s">
        <v>1063</v>
      </c>
      <c r="Q48" s="96" t="s">
        <v>28</v>
      </c>
      <c r="R48" s="95" t="s">
        <v>1063</v>
      </c>
      <c r="S48" s="95" t="s">
        <v>28</v>
      </c>
      <c r="T48" s="95" t="s">
        <v>1063</v>
      </c>
      <c r="U48" s="95" t="s">
        <v>28</v>
      </c>
      <c r="V48" s="95" t="s">
        <v>1063</v>
      </c>
      <c r="W48" s="95" t="s">
        <v>28</v>
      </c>
      <c r="X48" s="95" t="s">
        <v>1063</v>
      </c>
      <c r="Y48" s="95" t="s">
        <v>28</v>
      </c>
      <c r="Z48" s="95" t="s">
        <v>1063</v>
      </c>
      <c r="AA48" s="95" t="s">
        <v>28</v>
      </c>
      <c r="AB48" s="95" t="s">
        <v>1063</v>
      </c>
      <c r="AC48" s="95" t="s">
        <v>28</v>
      </c>
      <c r="AD48" s="95" t="s">
        <v>1063</v>
      </c>
      <c r="AE48" s="95" t="s">
        <v>28</v>
      </c>
      <c r="AF48" s="95" t="s">
        <v>1063</v>
      </c>
      <c r="AG48" s="95" t="s">
        <v>28</v>
      </c>
      <c r="AH48" s="97" t="s">
        <v>1063</v>
      </c>
    </row>
    <row r="49" spans="1:34" ht="12.6" customHeight="1">
      <c r="A49" s="89" t="s">
        <v>59</v>
      </c>
      <c r="B49" s="170" t="s">
        <v>60</v>
      </c>
      <c r="C49" s="91">
        <v>1376</v>
      </c>
      <c r="D49" s="91" t="s">
        <v>1373</v>
      </c>
      <c r="E49" s="91">
        <v>159</v>
      </c>
      <c r="F49" s="91" t="s">
        <v>416</v>
      </c>
      <c r="G49" s="91">
        <v>53</v>
      </c>
      <c r="H49" s="91" t="s">
        <v>395</v>
      </c>
      <c r="I49" s="91">
        <v>125</v>
      </c>
      <c r="J49" s="91" t="s">
        <v>419</v>
      </c>
      <c r="K49" s="91">
        <v>148</v>
      </c>
      <c r="L49" s="91" t="s">
        <v>419</v>
      </c>
      <c r="M49" s="91">
        <v>141</v>
      </c>
      <c r="N49" s="91" t="s">
        <v>477</v>
      </c>
      <c r="O49" s="91">
        <v>83</v>
      </c>
      <c r="P49" s="91" t="s">
        <v>1063</v>
      </c>
      <c r="Q49" s="92">
        <v>30</v>
      </c>
      <c r="R49" s="91" t="s">
        <v>1063</v>
      </c>
      <c r="S49" s="91">
        <v>119</v>
      </c>
      <c r="T49" s="91" t="s">
        <v>413</v>
      </c>
      <c r="U49" s="91">
        <v>54</v>
      </c>
      <c r="V49" s="91" t="s">
        <v>418</v>
      </c>
      <c r="W49" s="91">
        <v>53</v>
      </c>
      <c r="X49" s="91" t="s">
        <v>417</v>
      </c>
      <c r="Y49" s="91">
        <v>129</v>
      </c>
      <c r="Z49" s="91" t="s">
        <v>419</v>
      </c>
      <c r="AA49" s="91">
        <v>30</v>
      </c>
      <c r="AB49" s="91" t="s">
        <v>418</v>
      </c>
      <c r="AC49" s="91">
        <v>14</v>
      </c>
      <c r="AD49" s="91" t="s">
        <v>1063</v>
      </c>
      <c r="AE49" s="91">
        <v>196</v>
      </c>
      <c r="AF49" s="91" t="s">
        <v>1378</v>
      </c>
      <c r="AG49" s="91">
        <v>42</v>
      </c>
      <c r="AH49" s="98" t="s">
        <v>417</v>
      </c>
    </row>
    <row r="50" spans="1:34" ht="12.6" customHeight="1">
      <c r="A50" s="94" t="s">
        <v>29</v>
      </c>
      <c r="B50" s="172" t="s">
        <v>30</v>
      </c>
      <c r="C50" s="95">
        <v>1376</v>
      </c>
      <c r="D50" s="95" t="s">
        <v>1373</v>
      </c>
      <c r="E50" s="95">
        <v>159</v>
      </c>
      <c r="F50" s="95" t="s">
        <v>416</v>
      </c>
      <c r="G50" s="95">
        <v>53</v>
      </c>
      <c r="H50" s="95" t="s">
        <v>395</v>
      </c>
      <c r="I50" s="95">
        <v>125</v>
      </c>
      <c r="J50" s="95" t="s">
        <v>419</v>
      </c>
      <c r="K50" s="95">
        <v>148</v>
      </c>
      <c r="L50" s="95" t="s">
        <v>419</v>
      </c>
      <c r="M50" s="95">
        <v>141</v>
      </c>
      <c r="N50" s="95" t="s">
        <v>477</v>
      </c>
      <c r="O50" s="95">
        <v>83</v>
      </c>
      <c r="P50" s="95" t="s">
        <v>1063</v>
      </c>
      <c r="Q50" s="96">
        <v>30</v>
      </c>
      <c r="R50" s="95" t="s">
        <v>1063</v>
      </c>
      <c r="S50" s="95">
        <v>119</v>
      </c>
      <c r="T50" s="95" t="s">
        <v>413</v>
      </c>
      <c r="U50" s="95">
        <v>54</v>
      </c>
      <c r="V50" s="95" t="s">
        <v>418</v>
      </c>
      <c r="W50" s="95">
        <v>53</v>
      </c>
      <c r="X50" s="95" t="s">
        <v>417</v>
      </c>
      <c r="Y50" s="95">
        <v>129</v>
      </c>
      <c r="Z50" s="95" t="s">
        <v>419</v>
      </c>
      <c r="AA50" s="95">
        <v>30</v>
      </c>
      <c r="AB50" s="95" t="s">
        <v>418</v>
      </c>
      <c r="AC50" s="95">
        <v>14</v>
      </c>
      <c r="AD50" s="95" t="s">
        <v>1063</v>
      </c>
      <c r="AE50" s="95">
        <v>196</v>
      </c>
      <c r="AF50" s="95" t="s">
        <v>1378</v>
      </c>
      <c r="AG50" s="95">
        <v>42</v>
      </c>
      <c r="AH50" s="97" t="s">
        <v>417</v>
      </c>
    </row>
    <row r="51" spans="1:34" ht="12.6" customHeight="1">
      <c r="A51" s="94" t="s">
        <v>31</v>
      </c>
      <c r="B51" s="172" t="s">
        <v>32</v>
      </c>
      <c r="C51" s="95" t="s">
        <v>28</v>
      </c>
      <c r="D51" s="95" t="s">
        <v>1063</v>
      </c>
      <c r="E51" s="95" t="s">
        <v>28</v>
      </c>
      <c r="F51" s="95" t="s">
        <v>1063</v>
      </c>
      <c r="G51" s="95" t="s">
        <v>28</v>
      </c>
      <c r="H51" s="95" t="s">
        <v>1063</v>
      </c>
      <c r="I51" s="95" t="s">
        <v>28</v>
      </c>
      <c r="J51" s="95" t="s">
        <v>1063</v>
      </c>
      <c r="K51" s="95" t="s">
        <v>28</v>
      </c>
      <c r="L51" s="95" t="s">
        <v>1063</v>
      </c>
      <c r="M51" s="95" t="s">
        <v>28</v>
      </c>
      <c r="N51" s="95" t="s">
        <v>1063</v>
      </c>
      <c r="O51" s="95" t="s">
        <v>28</v>
      </c>
      <c r="P51" s="95" t="s">
        <v>1063</v>
      </c>
      <c r="Q51" s="96" t="s">
        <v>28</v>
      </c>
      <c r="R51" s="95" t="s">
        <v>1063</v>
      </c>
      <c r="S51" s="95" t="s">
        <v>28</v>
      </c>
      <c r="T51" s="95" t="s">
        <v>1063</v>
      </c>
      <c r="U51" s="95" t="s">
        <v>28</v>
      </c>
      <c r="V51" s="95" t="s">
        <v>1063</v>
      </c>
      <c r="W51" s="95" t="s">
        <v>28</v>
      </c>
      <c r="X51" s="95" t="s">
        <v>1063</v>
      </c>
      <c r="Y51" s="95" t="s">
        <v>28</v>
      </c>
      <c r="Z51" s="95" t="s">
        <v>1063</v>
      </c>
      <c r="AA51" s="95" t="s">
        <v>28</v>
      </c>
      <c r="AB51" s="95" t="s">
        <v>1063</v>
      </c>
      <c r="AC51" s="95" t="s">
        <v>28</v>
      </c>
      <c r="AD51" s="95" t="s">
        <v>1063</v>
      </c>
      <c r="AE51" s="95" t="s">
        <v>28</v>
      </c>
      <c r="AF51" s="95" t="s">
        <v>1063</v>
      </c>
      <c r="AG51" s="95" t="s">
        <v>28</v>
      </c>
      <c r="AH51" s="97" t="s">
        <v>1063</v>
      </c>
    </row>
    <row r="52" spans="1:34" ht="12.6" customHeight="1">
      <c r="A52" s="89" t="s">
        <v>61</v>
      </c>
      <c r="B52" s="170" t="s">
        <v>62</v>
      </c>
      <c r="C52" s="91">
        <v>170</v>
      </c>
      <c r="D52" s="91" t="s">
        <v>416</v>
      </c>
      <c r="E52" s="91">
        <v>17</v>
      </c>
      <c r="F52" s="91" t="s">
        <v>1063</v>
      </c>
      <c r="G52" s="91">
        <v>6</v>
      </c>
      <c r="H52" s="91" t="s">
        <v>1063</v>
      </c>
      <c r="I52" s="91">
        <v>14</v>
      </c>
      <c r="J52" s="91" t="s">
        <v>395</v>
      </c>
      <c r="K52" s="91">
        <v>17</v>
      </c>
      <c r="L52" s="91" t="s">
        <v>395</v>
      </c>
      <c r="M52" s="91">
        <v>13</v>
      </c>
      <c r="N52" s="91" t="s">
        <v>1063</v>
      </c>
      <c r="O52" s="91">
        <v>10</v>
      </c>
      <c r="P52" s="91" t="s">
        <v>1063</v>
      </c>
      <c r="Q52" s="92">
        <v>2</v>
      </c>
      <c r="R52" s="91" t="s">
        <v>1063</v>
      </c>
      <c r="S52" s="91">
        <v>12</v>
      </c>
      <c r="T52" s="91" t="s">
        <v>1063</v>
      </c>
      <c r="U52" s="91">
        <v>8</v>
      </c>
      <c r="V52" s="91" t="s">
        <v>1063</v>
      </c>
      <c r="W52" s="91">
        <v>6</v>
      </c>
      <c r="X52" s="91" t="s">
        <v>1063</v>
      </c>
      <c r="Y52" s="91">
        <v>13</v>
      </c>
      <c r="Z52" s="91" t="s">
        <v>1063</v>
      </c>
      <c r="AA52" s="91">
        <v>2</v>
      </c>
      <c r="AB52" s="91" t="s">
        <v>1063</v>
      </c>
      <c r="AC52" s="91">
        <v>1</v>
      </c>
      <c r="AD52" s="91" t="s">
        <v>1063</v>
      </c>
      <c r="AE52" s="91">
        <v>41</v>
      </c>
      <c r="AF52" s="91" t="s">
        <v>418</v>
      </c>
      <c r="AG52" s="91">
        <v>8</v>
      </c>
      <c r="AH52" s="98" t="s">
        <v>1063</v>
      </c>
    </row>
    <row r="53" spans="1:34" ht="12.6" customHeight="1">
      <c r="A53" s="94" t="s">
        <v>29</v>
      </c>
      <c r="B53" s="172" t="s">
        <v>30</v>
      </c>
      <c r="C53" s="95">
        <v>143</v>
      </c>
      <c r="D53" s="95" t="s">
        <v>413</v>
      </c>
      <c r="E53" s="95">
        <v>14</v>
      </c>
      <c r="F53" s="95" t="s">
        <v>1063</v>
      </c>
      <c r="G53" s="95">
        <v>6</v>
      </c>
      <c r="H53" s="95" t="s">
        <v>1063</v>
      </c>
      <c r="I53" s="95">
        <v>11</v>
      </c>
      <c r="J53" s="95" t="s">
        <v>1063</v>
      </c>
      <c r="K53" s="95">
        <v>15</v>
      </c>
      <c r="L53" s="95" t="s">
        <v>395</v>
      </c>
      <c r="M53" s="95">
        <v>11</v>
      </c>
      <c r="N53" s="95" t="s">
        <v>1063</v>
      </c>
      <c r="O53" s="95">
        <v>8</v>
      </c>
      <c r="P53" s="95" t="s">
        <v>1063</v>
      </c>
      <c r="Q53" s="96">
        <v>2</v>
      </c>
      <c r="R53" s="95" t="s">
        <v>1063</v>
      </c>
      <c r="S53" s="95">
        <v>10</v>
      </c>
      <c r="T53" s="95" t="s">
        <v>1063</v>
      </c>
      <c r="U53" s="95">
        <v>6</v>
      </c>
      <c r="V53" s="95" t="s">
        <v>1063</v>
      </c>
      <c r="W53" s="95">
        <v>5</v>
      </c>
      <c r="X53" s="95" t="s">
        <v>1063</v>
      </c>
      <c r="Y53" s="95">
        <v>11</v>
      </c>
      <c r="Z53" s="95" t="s">
        <v>1063</v>
      </c>
      <c r="AA53" s="95">
        <v>2</v>
      </c>
      <c r="AB53" s="95" t="s">
        <v>1063</v>
      </c>
      <c r="AC53" s="95">
        <v>1</v>
      </c>
      <c r="AD53" s="95" t="s">
        <v>1063</v>
      </c>
      <c r="AE53" s="95">
        <v>33</v>
      </c>
      <c r="AF53" s="95" t="s">
        <v>418</v>
      </c>
      <c r="AG53" s="95">
        <v>8</v>
      </c>
      <c r="AH53" s="97" t="s">
        <v>1063</v>
      </c>
    </row>
    <row r="54" spans="1:34" ht="12.6" customHeight="1">
      <c r="A54" s="94" t="s">
        <v>31</v>
      </c>
      <c r="B54" s="172" t="s">
        <v>32</v>
      </c>
      <c r="C54" s="95">
        <v>27</v>
      </c>
      <c r="D54" s="95" t="s">
        <v>395</v>
      </c>
      <c r="E54" s="95">
        <v>3</v>
      </c>
      <c r="F54" s="95" t="s">
        <v>1063</v>
      </c>
      <c r="G54" s="95" t="s">
        <v>28</v>
      </c>
      <c r="H54" s="95" t="s">
        <v>1063</v>
      </c>
      <c r="I54" s="95">
        <v>3</v>
      </c>
      <c r="J54" s="95" t="s">
        <v>395</v>
      </c>
      <c r="K54" s="95">
        <v>2</v>
      </c>
      <c r="L54" s="95" t="s">
        <v>1063</v>
      </c>
      <c r="M54" s="95">
        <v>2</v>
      </c>
      <c r="N54" s="95" t="s">
        <v>1063</v>
      </c>
      <c r="O54" s="95">
        <v>2</v>
      </c>
      <c r="P54" s="95" t="s">
        <v>1063</v>
      </c>
      <c r="Q54" s="96" t="s">
        <v>28</v>
      </c>
      <c r="R54" s="95" t="s">
        <v>1063</v>
      </c>
      <c r="S54" s="95">
        <v>2</v>
      </c>
      <c r="T54" s="95" t="s">
        <v>1063</v>
      </c>
      <c r="U54" s="95">
        <v>2</v>
      </c>
      <c r="V54" s="95" t="s">
        <v>1063</v>
      </c>
      <c r="W54" s="95">
        <v>1</v>
      </c>
      <c r="X54" s="95" t="s">
        <v>1063</v>
      </c>
      <c r="Y54" s="95">
        <v>2</v>
      </c>
      <c r="Z54" s="95" t="s">
        <v>1063</v>
      </c>
      <c r="AA54" s="95" t="s">
        <v>28</v>
      </c>
      <c r="AB54" s="95" t="s">
        <v>1063</v>
      </c>
      <c r="AC54" s="95" t="s">
        <v>28</v>
      </c>
      <c r="AD54" s="95" t="s">
        <v>1063</v>
      </c>
      <c r="AE54" s="95">
        <v>8</v>
      </c>
      <c r="AF54" s="95" t="s">
        <v>1063</v>
      </c>
      <c r="AG54" s="95" t="s">
        <v>28</v>
      </c>
      <c r="AH54" s="97" t="s">
        <v>1063</v>
      </c>
    </row>
    <row r="55" spans="1:34" ht="12.6" customHeight="1">
      <c r="A55" s="89" t="s">
        <v>63</v>
      </c>
      <c r="B55" s="170" t="s">
        <v>64</v>
      </c>
      <c r="C55" s="91">
        <v>50</v>
      </c>
      <c r="D55" s="91" t="s">
        <v>395</v>
      </c>
      <c r="E55" s="91">
        <v>7</v>
      </c>
      <c r="F55" s="91" t="s">
        <v>1063</v>
      </c>
      <c r="G55" s="91">
        <v>2</v>
      </c>
      <c r="H55" s="91" t="s">
        <v>1063</v>
      </c>
      <c r="I55" s="91">
        <v>5</v>
      </c>
      <c r="J55" s="91" t="s">
        <v>1063</v>
      </c>
      <c r="K55" s="91">
        <v>7</v>
      </c>
      <c r="L55" s="91" t="s">
        <v>1063</v>
      </c>
      <c r="M55" s="91">
        <v>5</v>
      </c>
      <c r="N55" s="91" t="s">
        <v>1063</v>
      </c>
      <c r="O55" s="91">
        <v>5</v>
      </c>
      <c r="P55" s="91" t="s">
        <v>1063</v>
      </c>
      <c r="Q55" s="92">
        <v>1</v>
      </c>
      <c r="R55" s="91" t="s">
        <v>1063</v>
      </c>
      <c r="S55" s="91">
        <v>3</v>
      </c>
      <c r="T55" s="91" t="s">
        <v>1063</v>
      </c>
      <c r="U55" s="91">
        <v>1</v>
      </c>
      <c r="V55" s="91" t="s">
        <v>1063</v>
      </c>
      <c r="W55" s="91">
        <v>2</v>
      </c>
      <c r="X55" s="91" t="s">
        <v>1063</v>
      </c>
      <c r="Y55" s="91">
        <v>6</v>
      </c>
      <c r="Z55" s="91" t="s">
        <v>1063</v>
      </c>
      <c r="AA55" s="91">
        <v>1</v>
      </c>
      <c r="AB55" s="91" t="s">
        <v>1063</v>
      </c>
      <c r="AC55" s="91" t="s">
        <v>28</v>
      </c>
      <c r="AD55" s="91" t="s">
        <v>1063</v>
      </c>
      <c r="AE55" s="91">
        <v>3</v>
      </c>
      <c r="AF55" s="91" t="s">
        <v>395</v>
      </c>
      <c r="AG55" s="91">
        <v>2</v>
      </c>
      <c r="AH55" s="98" t="s">
        <v>1063</v>
      </c>
    </row>
    <row r="56" spans="1:34" ht="12.6" customHeight="1">
      <c r="A56" s="94" t="s">
        <v>29</v>
      </c>
      <c r="B56" s="172" t="s">
        <v>30</v>
      </c>
      <c r="C56" s="95">
        <v>50</v>
      </c>
      <c r="D56" s="95" t="s">
        <v>395</v>
      </c>
      <c r="E56" s="95">
        <v>7</v>
      </c>
      <c r="F56" s="95" t="s">
        <v>1063</v>
      </c>
      <c r="G56" s="95">
        <v>2</v>
      </c>
      <c r="H56" s="95" t="s">
        <v>1063</v>
      </c>
      <c r="I56" s="95">
        <v>5</v>
      </c>
      <c r="J56" s="95" t="s">
        <v>1063</v>
      </c>
      <c r="K56" s="95">
        <v>7</v>
      </c>
      <c r="L56" s="95" t="s">
        <v>1063</v>
      </c>
      <c r="M56" s="95">
        <v>5</v>
      </c>
      <c r="N56" s="95" t="s">
        <v>1063</v>
      </c>
      <c r="O56" s="95">
        <v>5</v>
      </c>
      <c r="P56" s="95" t="s">
        <v>1063</v>
      </c>
      <c r="Q56" s="96">
        <v>1</v>
      </c>
      <c r="R56" s="95" t="s">
        <v>1063</v>
      </c>
      <c r="S56" s="95">
        <v>3</v>
      </c>
      <c r="T56" s="95" t="s">
        <v>1063</v>
      </c>
      <c r="U56" s="95">
        <v>1</v>
      </c>
      <c r="V56" s="95" t="s">
        <v>1063</v>
      </c>
      <c r="W56" s="95">
        <v>2</v>
      </c>
      <c r="X56" s="95" t="s">
        <v>1063</v>
      </c>
      <c r="Y56" s="95">
        <v>6</v>
      </c>
      <c r="Z56" s="95" t="s">
        <v>1063</v>
      </c>
      <c r="AA56" s="95">
        <v>1</v>
      </c>
      <c r="AB56" s="95" t="s">
        <v>1063</v>
      </c>
      <c r="AC56" s="95" t="s">
        <v>28</v>
      </c>
      <c r="AD56" s="95" t="s">
        <v>1063</v>
      </c>
      <c r="AE56" s="95">
        <v>3</v>
      </c>
      <c r="AF56" s="95" t="s">
        <v>395</v>
      </c>
      <c r="AG56" s="95">
        <v>2</v>
      </c>
      <c r="AH56" s="97" t="s">
        <v>1063</v>
      </c>
    </row>
    <row r="57" spans="1:34" ht="12.6" customHeight="1" thickBot="1">
      <c r="A57" s="1826" t="s">
        <v>31</v>
      </c>
      <c r="B57" s="174" t="s">
        <v>32</v>
      </c>
      <c r="C57" s="99" t="s">
        <v>28</v>
      </c>
      <c r="D57" s="99" t="s">
        <v>1063</v>
      </c>
      <c r="E57" s="99" t="s">
        <v>28</v>
      </c>
      <c r="F57" s="99" t="s">
        <v>1063</v>
      </c>
      <c r="G57" s="99" t="s">
        <v>28</v>
      </c>
      <c r="H57" s="99" t="s">
        <v>1063</v>
      </c>
      <c r="I57" s="99" t="s">
        <v>28</v>
      </c>
      <c r="J57" s="99" t="s">
        <v>1063</v>
      </c>
      <c r="K57" s="99" t="s">
        <v>28</v>
      </c>
      <c r="L57" s="99" t="s">
        <v>1063</v>
      </c>
      <c r="M57" s="99" t="s">
        <v>28</v>
      </c>
      <c r="N57" s="99" t="s">
        <v>1063</v>
      </c>
      <c r="O57" s="99" t="s">
        <v>28</v>
      </c>
      <c r="P57" s="99" t="s">
        <v>1063</v>
      </c>
      <c r="Q57" s="100" t="s">
        <v>28</v>
      </c>
      <c r="R57" s="99" t="s">
        <v>1063</v>
      </c>
      <c r="S57" s="99" t="s">
        <v>28</v>
      </c>
      <c r="T57" s="99" t="s">
        <v>1063</v>
      </c>
      <c r="U57" s="99" t="s">
        <v>28</v>
      </c>
      <c r="V57" s="99" t="s">
        <v>1063</v>
      </c>
      <c r="W57" s="99" t="s">
        <v>28</v>
      </c>
      <c r="X57" s="99" t="s">
        <v>1063</v>
      </c>
      <c r="Y57" s="99" t="s">
        <v>28</v>
      </c>
      <c r="Z57" s="99" t="s">
        <v>1063</v>
      </c>
      <c r="AA57" s="99" t="s">
        <v>28</v>
      </c>
      <c r="AB57" s="99" t="s">
        <v>1063</v>
      </c>
      <c r="AC57" s="99" t="s">
        <v>28</v>
      </c>
      <c r="AD57" s="99" t="s">
        <v>1063</v>
      </c>
      <c r="AE57" s="99" t="s">
        <v>28</v>
      </c>
      <c r="AF57" s="99" t="s">
        <v>1063</v>
      </c>
      <c r="AG57" s="99" t="s">
        <v>28</v>
      </c>
      <c r="AH57" s="101" t="s">
        <v>1063</v>
      </c>
    </row>
    <row r="58" spans="1:34" s="176" customFormat="1" ht="14.1" customHeight="1">
      <c r="A58" s="1328" t="s">
        <v>1097</v>
      </c>
      <c r="B58" s="1328"/>
      <c r="C58" s="1328"/>
      <c r="D58" s="1328"/>
      <c r="E58" s="1328"/>
      <c r="F58" s="1328"/>
      <c r="G58" s="1328"/>
      <c r="H58" s="1328"/>
      <c r="I58" s="1328"/>
      <c r="J58" s="1328"/>
      <c r="K58" s="1328"/>
      <c r="L58" s="1328"/>
      <c r="M58" s="1328"/>
      <c r="N58" s="1328"/>
      <c r="O58" s="1328"/>
      <c r="P58" s="1328"/>
      <c r="Q58" s="1328" t="s">
        <v>478</v>
      </c>
      <c r="R58" s="1328"/>
      <c r="S58" s="1328"/>
      <c r="T58" s="1328"/>
      <c r="U58" s="1328"/>
      <c r="V58" s="1328"/>
      <c r="W58" s="1328"/>
      <c r="X58" s="1328"/>
      <c r="Y58" s="1328"/>
      <c r="Z58" s="1328"/>
      <c r="AA58" s="1328"/>
      <c r="AB58" s="1328"/>
      <c r="AC58" s="1328"/>
      <c r="AD58" s="1328"/>
      <c r="AE58" s="1328"/>
      <c r="AF58" s="1328"/>
      <c r="AG58" s="1328"/>
      <c r="AH58" s="1328"/>
    </row>
    <row r="59" spans="1:34" s="176" customFormat="1" ht="14.1" customHeight="1">
      <c r="A59" s="1368" t="s">
        <v>1443</v>
      </c>
      <c r="B59" s="1368"/>
      <c r="C59" s="1368"/>
      <c r="D59" s="1368"/>
      <c r="E59" s="1368"/>
      <c r="F59" s="1368"/>
      <c r="G59" s="1368"/>
      <c r="H59" s="1368"/>
      <c r="I59" s="1368"/>
      <c r="J59" s="1368"/>
      <c r="K59" s="1368"/>
      <c r="L59" s="1368"/>
      <c r="M59" s="1368"/>
      <c r="N59" s="1368"/>
      <c r="O59" s="1368"/>
      <c r="P59" s="1368"/>
      <c r="Q59" s="1368" t="s">
        <v>1444</v>
      </c>
      <c r="R59" s="1368"/>
      <c r="S59" s="1368"/>
      <c r="T59" s="1368"/>
      <c r="U59" s="1368"/>
      <c r="V59" s="1368"/>
      <c r="W59" s="1368"/>
      <c r="X59" s="1368"/>
      <c r="Y59" s="1368"/>
      <c r="Z59" s="1368"/>
      <c r="AA59" s="1368"/>
      <c r="AB59" s="1368"/>
      <c r="AC59" s="1368"/>
      <c r="AD59" s="1368"/>
      <c r="AE59" s="1368"/>
      <c r="AF59" s="1368"/>
      <c r="AG59" s="1368"/>
      <c r="AH59" s="1368"/>
    </row>
  </sheetData>
  <mergeCells count="64">
    <mergeCell ref="A27:P27"/>
    <mergeCell ref="Q27:AH27"/>
    <mergeCell ref="A58:P58"/>
    <mergeCell ref="Q58:AH58"/>
    <mergeCell ref="A59:P59"/>
    <mergeCell ref="Q59:AH59"/>
    <mergeCell ref="AA7:AB7"/>
    <mergeCell ref="AC7:AD7"/>
    <mergeCell ref="AE7:AF7"/>
    <mergeCell ref="AG7:AH7"/>
    <mergeCell ref="A11:P11"/>
    <mergeCell ref="Q11:AH11"/>
    <mergeCell ref="AA5:AB5"/>
    <mergeCell ref="AC5:AD5"/>
    <mergeCell ref="AE5:AF5"/>
    <mergeCell ref="AG5:AH5"/>
    <mergeCell ref="AA6:AB6"/>
    <mergeCell ref="AC6:AD6"/>
    <mergeCell ref="AE6:AF6"/>
    <mergeCell ref="AG6:AH6"/>
    <mergeCell ref="U7:V7"/>
    <mergeCell ref="W7:X7"/>
    <mergeCell ref="C7:D7"/>
    <mergeCell ref="Y7:Z7"/>
    <mergeCell ref="I7:J7"/>
    <mergeCell ref="K7:L7"/>
    <mergeCell ref="O7:P7"/>
    <mergeCell ref="Q7:R7"/>
    <mergeCell ref="S7:T7"/>
    <mergeCell ref="E7:F7"/>
    <mergeCell ref="G7:H7"/>
    <mergeCell ref="U5:V5"/>
    <mergeCell ref="W5:X5"/>
    <mergeCell ref="I6:J6"/>
    <mergeCell ref="S6:T6"/>
    <mergeCell ref="U6:V6"/>
    <mergeCell ref="W6:X6"/>
    <mergeCell ref="K6:L6"/>
    <mergeCell ref="M6:N6"/>
    <mergeCell ref="O6:P6"/>
    <mergeCell ref="Q6:R6"/>
    <mergeCell ref="M5:N5"/>
    <mergeCell ref="A6:B6"/>
    <mergeCell ref="C6:D6"/>
    <mergeCell ref="E6:F6"/>
    <mergeCell ref="G6:H6"/>
    <mergeCell ref="A2:P2"/>
    <mergeCell ref="A3:P3"/>
    <mergeCell ref="A4:P4"/>
    <mergeCell ref="Q2:AH2"/>
    <mergeCell ref="Q3:AH3"/>
    <mergeCell ref="Q4:AH4"/>
    <mergeCell ref="A5:B5"/>
    <mergeCell ref="I5:J5"/>
    <mergeCell ref="K5:L5"/>
    <mergeCell ref="O5:P5"/>
    <mergeCell ref="S5:T5"/>
    <mergeCell ref="Q5:R5"/>
    <mergeCell ref="C5:D5"/>
    <mergeCell ref="E5:F5"/>
    <mergeCell ref="G5:H5"/>
    <mergeCell ref="Y5:Z5"/>
    <mergeCell ref="Y6:Z6"/>
    <mergeCell ref="A7:B7"/>
  </mergeCells>
  <phoneticPr fontId="4" type="noConversion"/>
  <hyperlinks>
    <hyperlink ref="A1" location="목록!A1" display="목록!A1" xr:uid="{74C53041-23F8-4D5B-A198-C06A8FAA2CD9}"/>
  </hyperlinks>
  <printOptions horizontalCentered="1"/>
  <pageMargins left="0.59055118110236227" right="0.59055118110236227" top="0.78740157480314965" bottom="0.59055118110236227" header="0.62992125984251968" footer="0.39370078740157483"/>
  <pageSetup paperSize="9" scale="99" orientation="portrait" r:id="rId1"/>
  <colBreaks count="1" manualBreakCount="1">
    <brk id="14" max="1048575" man="1"/>
  </colBreaks>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AJ85"/>
  <sheetViews>
    <sheetView showGridLines="0" showWhiteSpace="0" view="pageBreakPreview" zoomScaleNormal="100" zoomScaleSheetLayoutView="100" workbookViewId="0">
      <selection activeCell="AA26" sqref="AA26"/>
    </sheetView>
  </sheetViews>
  <sheetFormatPr defaultColWidth="8.88671875" defaultRowHeight="16.5"/>
  <cols>
    <col min="1" max="1" width="7.44140625" style="444" customWidth="1"/>
    <col min="2" max="2" width="14" style="444" customWidth="1"/>
    <col min="3" max="16" width="4.33203125" style="152" customWidth="1"/>
    <col min="17" max="17" width="4.21875" style="152" customWidth="1"/>
    <col min="18" max="24" width="3.88671875" style="152" customWidth="1"/>
    <col min="25" max="32" width="3.77734375" style="152" customWidth="1"/>
    <col min="33" max="34" width="3.6640625" style="152" customWidth="1"/>
    <col min="35" max="36" width="4.77734375" style="152" customWidth="1"/>
    <col min="37" max="16384" width="8.88671875" style="60"/>
  </cols>
  <sheetData>
    <row r="1" spans="1:36" ht="22.5">
      <c r="A1" s="901" t="s">
        <v>1332</v>
      </c>
    </row>
    <row r="2" spans="1:36" s="122" customFormat="1" ht="13.5" customHeight="1">
      <c r="A2" s="1046" t="s">
        <v>961</v>
      </c>
      <c r="B2" s="1046"/>
      <c r="C2" s="1046"/>
      <c r="D2" s="1046"/>
      <c r="E2" s="1046"/>
      <c r="F2" s="1046"/>
      <c r="G2" s="1046"/>
      <c r="H2" s="1046"/>
      <c r="I2" s="1046"/>
      <c r="J2" s="1046"/>
      <c r="K2" s="1046"/>
      <c r="L2" s="1046"/>
      <c r="M2" s="1046"/>
      <c r="N2" s="1046"/>
      <c r="O2" s="1046"/>
      <c r="P2" s="1046"/>
      <c r="Q2" s="1049" t="s">
        <v>1037</v>
      </c>
      <c r="R2" s="1049"/>
      <c r="S2" s="1049"/>
      <c r="T2" s="1049"/>
      <c r="U2" s="1049"/>
      <c r="V2" s="1049"/>
      <c r="W2" s="1049"/>
      <c r="X2" s="1049"/>
      <c r="Y2" s="1049"/>
      <c r="Z2" s="1049"/>
      <c r="AA2" s="1049"/>
      <c r="AB2" s="1049"/>
      <c r="AC2" s="1049"/>
      <c r="AD2" s="1049"/>
      <c r="AE2" s="1049"/>
      <c r="AF2" s="1049"/>
      <c r="AG2" s="1049"/>
      <c r="AH2" s="1049"/>
      <c r="AI2" s="1049"/>
      <c r="AJ2" s="1049"/>
    </row>
    <row r="3" spans="1:36" ht="22.5" customHeight="1">
      <c r="A3" s="1050" t="s">
        <v>917</v>
      </c>
      <c r="B3" s="1050"/>
      <c r="C3" s="1050"/>
      <c r="D3" s="1050"/>
      <c r="E3" s="1050"/>
      <c r="F3" s="1050"/>
      <c r="G3" s="1050"/>
      <c r="H3" s="1050"/>
      <c r="I3" s="1050"/>
      <c r="J3" s="1050"/>
      <c r="K3" s="1050"/>
      <c r="L3" s="1050"/>
      <c r="M3" s="1050"/>
      <c r="N3" s="1050"/>
      <c r="O3" s="1050"/>
      <c r="P3" s="1050"/>
      <c r="Q3" s="1050" t="s">
        <v>916</v>
      </c>
      <c r="R3" s="1050"/>
      <c r="S3" s="1050"/>
      <c r="T3" s="1050"/>
      <c r="U3" s="1059"/>
      <c r="V3" s="1059"/>
      <c r="W3" s="1059"/>
      <c r="X3" s="1059"/>
      <c r="Y3" s="1059"/>
      <c r="Z3" s="1059"/>
      <c r="AA3" s="1059"/>
      <c r="AB3" s="1059"/>
      <c r="AC3" s="1059"/>
      <c r="AD3" s="1059"/>
      <c r="AE3" s="1059"/>
      <c r="AF3" s="1059"/>
      <c r="AG3" s="1059"/>
      <c r="AH3" s="1059"/>
      <c r="AI3" s="1059"/>
      <c r="AJ3" s="1059"/>
    </row>
    <row r="4" spans="1:36" ht="13.5" customHeight="1" thickBot="1">
      <c r="A4" s="921"/>
      <c r="B4" s="921"/>
      <c r="C4" s="921"/>
      <c r="D4" s="921"/>
      <c r="E4" s="921"/>
      <c r="F4" s="921"/>
      <c r="G4" s="921"/>
      <c r="H4" s="921"/>
      <c r="I4" s="921"/>
      <c r="J4" s="921"/>
      <c r="K4" s="921"/>
      <c r="L4" s="921"/>
      <c r="M4" s="921"/>
      <c r="N4" s="921"/>
      <c r="O4" s="921"/>
      <c r="P4" s="921"/>
      <c r="Q4" s="921"/>
      <c r="R4" s="921"/>
      <c r="S4" s="921"/>
      <c r="T4" s="921"/>
      <c r="U4" s="924"/>
      <c r="V4" s="924"/>
      <c r="W4" s="924"/>
      <c r="X4" s="924"/>
      <c r="Y4" s="924"/>
      <c r="Z4" s="924"/>
      <c r="AA4" s="924"/>
      <c r="AB4" s="924"/>
      <c r="AC4" s="924"/>
      <c r="AD4" s="924"/>
      <c r="AE4" s="924"/>
      <c r="AF4" s="924"/>
      <c r="AG4" s="924"/>
      <c r="AH4" s="924"/>
      <c r="AI4" s="924"/>
      <c r="AJ4" s="924"/>
    </row>
    <row r="5" spans="1:36" s="428" customFormat="1" ht="14.1" customHeight="1">
      <c r="A5" s="1883" t="s">
        <v>668</v>
      </c>
      <c r="B5" s="1370"/>
      <c r="C5" s="1369" t="s">
        <v>71</v>
      </c>
      <c r="D5" s="1370"/>
      <c r="E5" s="1369" t="s">
        <v>765</v>
      </c>
      <c r="F5" s="1370"/>
      <c r="G5" s="1369" t="s">
        <v>775</v>
      </c>
      <c r="H5" s="1370"/>
      <c r="I5" s="1369" t="s">
        <v>776</v>
      </c>
      <c r="J5" s="1370"/>
      <c r="K5" s="1369" t="s">
        <v>777</v>
      </c>
      <c r="L5" s="1370"/>
      <c r="M5" s="1369" t="s">
        <v>778</v>
      </c>
      <c r="N5" s="1370"/>
      <c r="O5" s="1369" t="s">
        <v>779</v>
      </c>
      <c r="P5" s="1370"/>
      <c r="Q5" s="1369" t="s">
        <v>780</v>
      </c>
      <c r="R5" s="1370"/>
      <c r="S5" s="1369" t="s">
        <v>774</v>
      </c>
      <c r="T5" s="1370"/>
      <c r="U5" s="1369" t="s">
        <v>773</v>
      </c>
      <c r="V5" s="1370"/>
      <c r="W5" s="1369" t="s">
        <v>772</v>
      </c>
      <c r="X5" s="1370"/>
      <c r="Y5" s="1369" t="s">
        <v>771</v>
      </c>
      <c r="Z5" s="1370"/>
      <c r="AA5" s="1369" t="s">
        <v>770</v>
      </c>
      <c r="AB5" s="1370"/>
      <c r="AC5" s="1369" t="s">
        <v>769</v>
      </c>
      <c r="AD5" s="1370"/>
      <c r="AE5" s="1369" t="s">
        <v>768</v>
      </c>
      <c r="AF5" s="1370"/>
      <c r="AG5" s="1369" t="s">
        <v>767</v>
      </c>
      <c r="AH5" s="1370"/>
      <c r="AI5" s="1369" t="s">
        <v>766</v>
      </c>
      <c r="AJ5" s="1883"/>
    </row>
    <row r="6" spans="1:36" s="156" customFormat="1" ht="14.1" customHeight="1">
      <c r="A6" s="1884" t="s">
        <v>7</v>
      </c>
      <c r="B6" s="1373"/>
      <c r="C6" s="1374" t="s">
        <v>16</v>
      </c>
      <c r="D6" s="1375"/>
      <c r="E6" s="1376" t="s">
        <v>216</v>
      </c>
      <c r="F6" s="1377"/>
      <c r="G6" s="1371"/>
      <c r="H6" s="1372"/>
      <c r="I6" s="1371"/>
      <c r="J6" s="1372"/>
      <c r="K6" s="1371"/>
      <c r="L6" s="1372"/>
      <c r="M6" s="1371"/>
      <c r="N6" s="1372"/>
      <c r="O6" s="1371"/>
      <c r="P6" s="1372"/>
      <c r="Q6" s="1371"/>
      <c r="R6" s="1372"/>
      <c r="S6" s="1371"/>
      <c r="T6" s="1372"/>
      <c r="U6" s="1371"/>
      <c r="V6" s="1372"/>
      <c r="W6" s="1371"/>
      <c r="X6" s="1372"/>
      <c r="Y6" s="1371"/>
      <c r="Z6" s="1372"/>
      <c r="AA6" s="1371"/>
      <c r="AB6" s="1372"/>
      <c r="AC6" s="1371"/>
      <c r="AD6" s="1372"/>
      <c r="AE6" s="1371"/>
      <c r="AF6" s="1372"/>
      <c r="AG6" s="1371"/>
      <c r="AH6" s="1372"/>
      <c r="AI6" s="1376" t="s">
        <v>217</v>
      </c>
      <c r="AJ6" s="1885"/>
    </row>
    <row r="7" spans="1:36" s="428" customFormat="1" ht="9.9499999999999993" customHeight="1">
      <c r="A7" s="1378"/>
      <c r="B7" s="1379"/>
      <c r="C7" s="972" t="s">
        <v>13</v>
      </c>
      <c r="D7" s="972" t="s">
        <v>23</v>
      </c>
      <c r="E7" s="972" t="s">
        <v>13</v>
      </c>
      <c r="F7" s="972" t="s">
        <v>23</v>
      </c>
      <c r="G7" s="972" t="s">
        <v>13</v>
      </c>
      <c r="H7" s="972" t="s">
        <v>23</v>
      </c>
      <c r="I7" s="972" t="s">
        <v>13</v>
      </c>
      <c r="J7" s="972" t="s">
        <v>23</v>
      </c>
      <c r="K7" s="972" t="s">
        <v>13</v>
      </c>
      <c r="L7" s="972" t="s">
        <v>23</v>
      </c>
      <c r="M7" s="972" t="s">
        <v>13</v>
      </c>
      <c r="N7" s="972" t="s">
        <v>23</v>
      </c>
      <c r="O7" s="972" t="s">
        <v>13</v>
      </c>
      <c r="P7" s="972" t="s">
        <v>23</v>
      </c>
      <c r="Q7" s="429" t="s">
        <v>13</v>
      </c>
      <c r="R7" s="972" t="s">
        <v>23</v>
      </c>
      <c r="S7" s="972" t="s">
        <v>13</v>
      </c>
      <c r="T7" s="972" t="s">
        <v>23</v>
      </c>
      <c r="U7" s="972" t="s">
        <v>13</v>
      </c>
      <c r="V7" s="972" t="s">
        <v>23</v>
      </c>
      <c r="W7" s="972" t="s">
        <v>13</v>
      </c>
      <c r="X7" s="972" t="s">
        <v>23</v>
      </c>
      <c r="Y7" s="972" t="s">
        <v>13</v>
      </c>
      <c r="Z7" s="972" t="s">
        <v>23</v>
      </c>
      <c r="AA7" s="972" t="s">
        <v>13</v>
      </c>
      <c r="AB7" s="972" t="s">
        <v>23</v>
      </c>
      <c r="AC7" s="972" t="s">
        <v>13</v>
      </c>
      <c r="AD7" s="972" t="s">
        <v>23</v>
      </c>
      <c r="AE7" s="972" t="s">
        <v>13</v>
      </c>
      <c r="AF7" s="972" t="s">
        <v>23</v>
      </c>
      <c r="AG7" s="430" t="s">
        <v>354</v>
      </c>
      <c r="AH7" s="430" t="s">
        <v>392</v>
      </c>
      <c r="AI7" s="430" t="s">
        <v>354</v>
      </c>
      <c r="AJ7" s="431" t="s">
        <v>392</v>
      </c>
    </row>
    <row r="8" spans="1:36" s="156" customFormat="1" ht="8.1" customHeight="1">
      <c r="A8" s="1380"/>
      <c r="B8" s="1375"/>
      <c r="C8" s="973" t="s">
        <v>25</v>
      </c>
      <c r="D8" s="973" t="s">
        <v>26</v>
      </c>
      <c r="E8" s="973" t="s">
        <v>25</v>
      </c>
      <c r="F8" s="973" t="s">
        <v>26</v>
      </c>
      <c r="G8" s="973" t="s">
        <v>25</v>
      </c>
      <c r="H8" s="973" t="s">
        <v>26</v>
      </c>
      <c r="I8" s="973" t="s">
        <v>25</v>
      </c>
      <c r="J8" s="973" t="s">
        <v>26</v>
      </c>
      <c r="K8" s="973" t="s">
        <v>25</v>
      </c>
      <c r="L8" s="973" t="s">
        <v>26</v>
      </c>
      <c r="M8" s="973" t="s">
        <v>25</v>
      </c>
      <c r="N8" s="973" t="s">
        <v>26</v>
      </c>
      <c r="O8" s="973" t="s">
        <v>25</v>
      </c>
      <c r="P8" s="973" t="s">
        <v>26</v>
      </c>
      <c r="Q8" s="432" t="s">
        <v>25</v>
      </c>
      <c r="R8" s="973" t="s">
        <v>26</v>
      </c>
      <c r="S8" s="973" t="s">
        <v>25</v>
      </c>
      <c r="T8" s="973" t="s">
        <v>26</v>
      </c>
      <c r="U8" s="973" t="s">
        <v>25</v>
      </c>
      <c r="V8" s="973" t="s">
        <v>26</v>
      </c>
      <c r="W8" s="973" t="s">
        <v>25</v>
      </c>
      <c r="X8" s="973" t="s">
        <v>26</v>
      </c>
      <c r="Y8" s="973" t="s">
        <v>25</v>
      </c>
      <c r="Z8" s="973" t="s">
        <v>26</v>
      </c>
      <c r="AA8" s="973" t="s">
        <v>25</v>
      </c>
      <c r="AB8" s="973" t="s">
        <v>26</v>
      </c>
      <c r="AC8" s="973" t="s">
        <v>25</v>
      </c>
      <c r="AD8" s="973" t="s">
        <v>26</v>
      </c>
      <c r="AE8" s="973" t="s">
        <v>25</v>
      </c>
      <c r="AF8" s="973" t="s">
        <v>26</v>
      </c>
      <c r="AG8" s="432" t="s">
        <v>367</v>
      </c>
      <c r="AH8" s="432" t="s">
        <v>368</v>
      </c>
      <c r="AI8" s="432" t="s">
        <v>367</v>
      </c>
      <c r="AJ8" s="974" t="s">
        <v>368</v>
      </c>
    </row>
    <row r="9" spans="1:36" ht="9" customHeight="1">
      <c r="A9" s="1886" t="s">
        <v>27</v>
      </c>
      <c r="B9" s="1887" t="s">
        <v>16</v>
      </c>
      <c r="C9" s="1888">
        <v>6185</v>
      </c>
      <c r="D9" s="1888">
        <v>4541</v>
      </c>
      <c r="E9" s="1888">
        <v>129</v>
      </c>
      <c r="F9" s="1888">
        <v>92</v>
      </c>
      <c r="G9" s="1888">
        <v>681</v>
      </c>
      <c r="H9" s="1888">
        <v>406</v>
      </c>
      <c r="I9" s="1888">
        <v>745</v>
      </c>
      <c r="J9" s="1888">
        <v>469</v>
      </c>
      <c r="K9" s="1888">
        <v>741</v>
      </c>
      <c r="L9" s="1888">
        <v>521</v>
      </c>
      <c r="M9" s="1888">
        <v>964</v>
      </c>
      <c r="N9" s="1888">
        <v>802</v>
      </c>
      <c r="O9" s="1888">
        <v>1143</v>
      </c>
      <c r="P9" s="1888">
        <v>934</v>
      </c>
      <c r="Q9" s="1888">
        <v>907</v>
      </c>
      <c r="R9" s="1888">
        <v>719</v>
      </c>
      <c r="S9" s="1888">
        <v>174</v>
      </c>
      <c r="T9" s="1888">
        <v>142</v>
      </c>
      <c r="U9" s="1888">
        <v>137</v>
      </c>
      <c r="V9" s="1888">
        <v>102</v>
      </c>
      <c r="W9" s="1888">
        <v>120</v>
      </c>
      <c r="X9" s="1888">
        <v>83</v>
      </c>
      <c r="Y9" s="1888">
        <v>103</v>
      </c>
      <c r="Z9" s="1888">
        <v>67</v>
      </c>
      <c r="AA9" s="1888">
        <v>97</v>
      </c>
      <c r="AB9" s="1888">
        <v>66</v>
      </c>
      <c r="AC9" s="1888">
        <v>87</v>
      </c>
      <c r="AD9" s="1888">
        <v>53</v>
      </c>
      <c r="AE9" s="1888">
        <v>86</v>
      </c>
      <c r="AF9" s="1888">
        <v>50</v>
      </c>
      <c r="AG9" s="1888">
        <v>39</v>
      </c>
      <c r="AH9" s="1888">
        <v>25</v>
      </c>
      <c r="AI9" s="1888">
        <v>32</v>
      </c>
      <c r="AJ9" s="1889">
        <v>10</v>
      </c>
    </row>
    <row r="10" spans="1:36" ht="9" customHeight="1">
      <c r="A10" s="433" t="s">
        <v>136</v>
      </c>
      <c r="B10" s="434" t="s">
        <v>30</v>
      </c>
      <c r="C10" s="1890">
        <v>5885</v>
      </c>
      <c r="D10" s="1890">
        <v>4389</v>
      </c>
      <c r="E10" s="1890">
        <v>126</v>
      </c>
      <c r="F10" s="1890">
        <v>89</v>
      </c>
      <c r="G10" s="1890">
        <v>656</v>
      </c>
      <c r="H10" s="1890">
        <v>390</v>
      </c>
      <c r="I10" s="1890">
        <v>716</v>
      </c>
      <c r="J10" s="1890">
        <v>448</v>
      </c>
      <c r="K10" s="1890">
        <v>710</v>
      </c>
      <c r="L10" s="1890">
        <v>506</v>
      </c>
      <c r="M10" s="1890">
        <v>910</v>
      </c>
      <c r="N10" s="1890">
        <v>766</v>
      </c>
      <c r="O10" s="1890">
        <v>1095</v>
      </c>
      <c r="P10" s="1890">
        <v>911</v>
      </c>
      <c r="Q10" s="1890">
        <v>855</v>
      </c>
      <c r="R10" s="1890">
        <v>698</v>
      </c>
      <c r="S10" s="1890">
        <v>160</v>
      </c>
      <c r="T10" s="1890">
        <v>138</v>
      </c>
      <c r="U10" s="1890">
        <v>128</v>
      </c>
      <c r="V10" s="1890">
        <v>99</v>
      </c>
      <c r="W10" s="1890">
        <v>107</v>
      </c>
      <c r="X10" s="1890">
        <v>79</v>
      </c>
      <c r="Y10" s="1890">
        <v>99</v>
      </c>
      <c r="Z10" s="1890">
        <v>67</v>
      </c>
      <c r="AA10" s="1890">
        <v>90</v>
      </c>
      <c r="AB10" s="1890">
        <v>64</v>
      </c>
      <c r="AC10" s="1890">
        <v>83</v>
      </c>
      <c r="AD10" s="1890">
        <v>52</v>
      </c>
      <c r="AE10" s="1890">
        <v>82</v>
      </c>
      <c r="AF10" s="1890">
        <v>48</v>
      </c>
      <c r="AG10" s="1890">
        <v>36</v>
      </c>
      <c r="AH10" s="1890">
        <v>24</v>
      </c>
      <c r="AI10" s="1890">
        <v>32</v>
      </c>
      <c r="AJ10" s="435">
        <v>10</v>
      </c>
    </row>
    <row r="11" spans="1:36" ht="9" customHeight="1">
      <c r="A11" s="433" t="s">
        <v>137</v>
      </c>
      <c r="B11" s="434" t="s">
        <v>32</v>
      </c>
      <c r="C11" s="1890">
        <v>300</v>
      </c>
      <c r="D11" s="1890">
        <v>152</v>
      </c>
      <c r="E11" s="1890">
        <v>3</v>
      </c>
      <c r="F11" s="1890">
        <v>3</v>
      </c>
      <c r="G11" s="1890">
        <v>25</v>
      </c>
      <c r="H11" s="1890">
        <v>16</v>
      </c>
      <c r="I11" s="1890">
        <v>29</v>
      </c>
      <c r="J11" s="1890">
        <v>21</v>
      </c>
      <c r="K11" s="1890">
        <v>31</v>
      </c>
      <c r="L11" s="1890">
        <v>15</v>
      </c>
      <c r="M11" s="1890">
        <v>54</v>
      </c>
      <c r="N11" s="1890">
        <v>36</v>
      </c>
      <c r="O11" s="1890">
        <v>48</v>
      </c>
      <c r="P11" s="1890">
        <v>23</v>
      </c>
      <c r="Q11" s="1890">
        <v>52</v>
      </c>
      <c r="R11" s="1890">
        <v>21</v>
      </c>
      <c r="S11" s="1890">
        <v>14</v>
      </c>
      <c r="T11" s="1890">
        <v>4</v>
      </c>
      <c r="U11" s="1890">
        <v>9</v>
      </c>
      <c r="V11" s="1890">
        <v>3</v>
      </c>
      <c r="W11" s="1890">
        <v>13</v>
      </c>
      <c r="X11" s="1890">
        <v>4</v>
      </c>
      <c r="Y11" s="1890">
        <v>4</v>
      </c>
      <c r="Z11" s="1890" t="s">
        <v>28</v>
      </c>
      <c r="AA11" s="1890">
        <v>7</v>
      </c>
      <c r="AB11" s="1890">
        <v>2</v>
      </c>
      <c r="AC11" s="1890">
        <v>4</v>
      </c>
      <c r="AD11" s="1890">
        <v>1</v>
      </c>
      <c r="AE11" s="1890">
        <v>4</v>
      </c>
      <c r="AF11" s="1890">
        <v>2</v>
      </c>
      <c r="AG11" s="1890">
        <v>3</v>
      </c>
      <c r="AH11" s="1890">
        <v>1</v>
      </c>
      <c r="AI11" s="1890" t="s">
        <v>28</v>
      </c>
      <c r="AJ11" s="435" t="s">
        <v>28</v>
      </c>
    </row>
    <row r="12" spans="1:36" ht="9" customHeight="1">
      <c r="A12" s="436" t="s">
        <v>171</v>
      </c>
      <c r="B12" s="437" t="s">
        <v>159</v>
      </c>
      <c r="C12" s="1891">
        <v>137</v>
      </c>
      <c r="D12" s="1891">
        <v>63</v>
      </c>
      <c r="E12" s="1891" t="s">
        <v>28</v>
      </c>
      <c r="F12" s="1891" t="s">
        <v>28</v>
      </c>
      <c r="G12" s="1891" t="s">
        <v>28</v>
      </c>
      <c r="H12" s="1891" t="s">
        <v>28</v>
      </c>
      <c r="I12" s="1891" t="s">
        <v>28</v>
      </c>
      <c r="J12" s="1891" t="s">
        <v>28</v>
      </c>
      <c r="K12" s="1891" t="s">
        <v>28</v>
      </c>
      <c r="L12" s="1891" t="s">
        <v>28</v>
      </c>
      <c r="M12" s="1891" t="s">
        <v>28</v>
      </c>
      <c r="N12" s="1891" t="s">
        <v>28</v>
      </c>
      <c r="O12" s="1891">
        <v>1</v>
      </c>
      <c r="P12" s="1891" t="s">
        <v>28</v>
      </c>
      <c r="Q12" s="1891">
        <v>8</v>
      </c>
      <c r="R12" s="1891">
        <v>3</v>
      </c>
      <c r="S12" s="1891">
        <v>10</v>
      </c>
      <c r="T12" s="1891">
        <v>5</v>
      </c>
      <c r="U12" s="1891">
        <v>5</v>
      </c>
      <c r="V12" s="1891">
        <v>4</v>
      </c>
      <c r="W12" s="1891">
        <v>10</v>
      </c>
      <c r="X12" s="1891">
        <v>4</v>
      </c>
      <c r="Y12" s="1891">
        <v>14</v>
      </c>
      <c r="Z12" s="1891">
        <v>5</v>
      </c>
      <c r="AA12" s="1891">
        <v>21</v>
      </c>
      <c r="AB12" s="1891">
        <v>11</v>
      </c>
      <c r="AC12" s="1891">
        <v>24</v>
      </c>
      <c r="AD12" s="1891">
        <v>12</v>
      </c>
      <c r="AE12" s="1891">
        <v>41</v>
      </c>
      <c r="AF12" s="1891">
        <v>17</v>
      </c>
      <c r="AG12" s="1891">
        <v>3</v>
      </c>
      <c r="AH12" s="1891">
        <v>2</v>
      </c>
      <c r="AI12" s="1891" t="s">
        <v>28</v>
      </c>
      <c r="AJ12" s="438" t="s">
        <v>28</v>
      </c>
    </row>
    <row r="13" spans="1:36" ht="9" customHeight="1">
      <c r="A13" s="433" t="s">
        <v>136</v>
      </c>
      <c r="B13" s="434" t="s">
        <v>30</v>
      </c>
      <c r="C13" s="1890">
        <v>127</v>
      </c>
      <c r="D13" s="1890">
        <v>60</v>
      </c>
      <c r="E13" s="1890" t="s">
        <v>28</v>
      </c>
      <c r="F13" s="1890" t="s">
        <v>28</v>
      </c>
      <c r="G13" s="1890" t="s">
        <v>28</v>
      </c>
      <c r="H13" s="1890" t="s">
        <v>28</v>
      </c>
      <c r="I13" s="1890" t="s">
        <v>28</v>
      </c>
      <c r="J13" s="1890" t="s">
        <v>28</v>
      </c>
      <c r="K13" s="1890" t="s">
        <v>28</v>
      </c>
      <c r="L13" s="1890" t="s">
        <v>28</v>
      </c>
      <c r="M13" s="1890" t="s">
        <v>28</v>
      </c>
      <c r="N13" s="1890" t="s">
        <v>28</v>
      </c>
      <c r="O13" s="1890" t="s">
        <v>28</v>
      </c>
      <c r="P13" s="1890" t="s">
        <v>28</v>
      </c>
      <c r="Q13" s="1890">
        <v>8</v>
      </c>
      <c r="R13" s="1890">
        <v>3</v>
      </c>
      <c r="S13" s="1890">
        <v>8</v>
      </c>
      <c r="T13" s="1890">
        <v>4</v>
      </c>
      <c r="U13" s="1890">
        <v>5</v>
      </c>
      <c r="V13" s="1890">
        <v>4</v>
      </c>
      <c r="W13" s="1890">
        <v>9</v>
      </c>
      <c r="X13" s="1890">
        <v>3</v>
      </c>
      <c r="Y13" s="1890">
        <v>12</v>
      </c>
      <c r="Z13" s="1890">
        <v>5</v>
      </c>
      <c r="AA13" s="1890">
        <v>19</v>
      </c>
      <c r="AB13" s="1890">
        <v>11</v>
      </c>
      <c r="AC13" s="1890">
        <v>24</v>
      </c>
      <c r="AD13" s="1890">
        <v>12</v>
      </c>
      <c r="AE13" s="1890">
        <v>39</v>
      </c>
      <c r="AF13" s="1890">
        <v>16</v>
      </c>
      <c r="AG13" s="1890">
        <v>3</v>
      </c>
      <c r="AH13" s="1890">
        <v>2</v>
      </c>
      <c r="AI13" s="1890" t="s">
        <v>28</v>
      </c>
      <c r="AJ13" s="435" t="s">
        <v>28</v>
      </c>
    </row>
    <row r="14" spans="1:36" ht="9" customHeight="1">
      <c r="A14" s="433" t="s">
        <v>137</v>
      </c>
      <c r="B14" s="434" t="s">
        <v>32</v>
      </c>
      <c r="C14" s="1890">
        <v>10</v>
      </c>
      <c r="D14" s="1890">
        <v>3</v>
      </c>
      <c r="E14" s="1890" t="s">
        <v>28</v>
      </c>
      <c r="F14" s="1890" t="s">
        <v>28</v>
      </c>
      <c r="G14" s="1890" t="s">
        <v>28</v>
      </c>
      <c r="H14" s="1890" t="s">
        <v>28</v>
      </c>
      <c r="I14" s="1890" t="s">
        <v>28</v>
      </c>
      <c r="J14" s="1890" t="s">
        <v>28</v>
      </c>
      <c r="K14" s="1890" t="s">
        <v>28</v>
      </c>
      <c r="L14" s="1890" t="s">
        <v>28</v>
      </c>
      <c r="M14" s="1890" t="s">
        <v>28</v>
      </c>
      <c r="N14" s="1890" t="s">
        <v>28</v>
      </c>
      <c r="O14" s="1890">
        <v>1</v>
      </c>
      <c r="P14" s="1890" t="s">
        <v>28</v>
      </c>
      <c r="Q14" s="1890" t="s">
        <v>28</v>
      </c>
      <c r="R14" s="1890" t="s">
        <v>28</v>
      </c>
      <c r="S14" s="1890">
        <v>2</v>
      </c>
      <c r="T14" s="1890">
        <v>1</v>
      </c>
      <c r="U14" s="1890" t="s">
        <v>28</v>
      </c>
      <c r="V14" s="1890" t="s">
        <v>28</v>
      </c>
      <c r="W14" s="1890">
        <v>1</v>
      </c>
      <c r="X14" s="1890">
        <v>1</v>
      </c>
      <c r="Y14" s="1890">
        <v>2</v>
      </c>
      <c r="Z14" s="1890" t="s">
        <v>28</v>
      </c>
      <c r="AA14" s="1890">
        <v>2</v>
      </c>
      <c r="AB14" s="1890" t="s">
        <v>28</v>
      </c>
      <c r="AC14" s="1890" t="s">
        <v>28</v>
      </c>
      <c r="AD14" s="1890" t="s">
        <v>28</v>
      </c>
      <c r="AE14" s="1890">
        <v>2</v>
      </c>
      <c r="AF14" s="1890">
        <v>1</v>
      </c>
      <c r="AG14" s="1890" t="s">
        <v>28</v>
      </c>
      <c r="AH14" s="1890" t="s">
        <v>28</v>
      </c>
      <c r="AI14" s="1890" t="s">
        <v>28</v>
      </c>
      <c r="AJ14" s="435" t="s">
        <v>28</v>
      </c>
    </row>
    <row r="15" spans="1:36" ht="9" customHeight="1">
      <c r="A15" s="436" t="s">
        <v>172</v>
      </c>
      <c r="B15" s="437" t="s">
        <v>160</v>
      </c>
      <c r="C15" s="1891">
        <v>133</v>
      </c>
      <c r="D15" s="1891">
        <v>53</v>
      </c>
      <c r="E15" s="1891" t="s">
        <v>28</v>
      </c>
      <c r="F15" s="1891" t="s">
        <v>28</v>
      </c>
      <c r="G15" s="1891" t="s">
        <v>28</v>
      </c>
      <c r="H15" s="1891" t="s">
        <v>28</v>
      </c>
      <c r="I15" s="1891" t="s">
        <v>28</v>
      </c>
      <c r="J15" s="1891" t="s">
        <v>28</v>
      </c>
      <c r="K15" s="1891" t="s">
        <v>28</v>
      </c>
      <c r="L15" s="1891" t="s">
        <v>28</v>
      </c>
      <c r="M15" s="1891" t="s">
        <v>28</v>
      </c>
      <c r="N15" s="1891" t="s">
        <v>28</v>
      </c>
      <c r="O15" s="1891">
        <v>4</v>
      </c>
      <c r="P15" s="1891">
        <v>1</v>
      </c>
      <c r="Q15" s="1891">
        <v>51</v>
      </c>
      <c r="R15" s="1891">
        <v>18</v>
      </c>
      <c r="S15" s="1891">
        <v>15</v>
      </c>
      <c r="T15" s="1891">
        <v>8</v>
      </c>
      <c r="U15" s="1891">
        <v>13</v>
      </c>
      <c r="V15" s="1891">
        <v>4</v>
      </c>
      <c r="W15" s="1891">
        <v>12</v>
      </c>
      <c r="X15" s="1891">
        <v>3</v>
      </c>
      <c r="Y15" s="1891">
        <v>12</v>
      </c>
      <c r="Z15" s="1891">
        <v>6</v>
      </c>
      <c r="AA15" s="1891">
        <v>13</v>
      </c>
      <c r="AB15" s="1891">
        <v>6</v>
      </c>
      <c r="AC15" s="1891">
        <v>6</v>
      </c>
      <c r="AD15" s="1891">
        <v>2</v>
      </c>
      <c r="AE15" s="1891">
        <v>6</v>
      </c>
      <c r="AF15" s="1891">
        <v>5</v>
      </c>
      <c r="AG15" s="1891">
        <v>1</v>
      </c>
      <c r="AH15" s="1891" t="s">
        <v>28</v>
      </c>
      <c r="AI15" s="1891" t="s">
        <v>28</v>
      </c>
      <c r="AJ15" s="438" t="s">
        <v>28</v>
      </c>
    </row>
    <row r="16" spans="1:36" ht="9" customHeight="1">
      <c r="A16" s="433" t="s">
        <v>136</v>
      </c>
      <c r="B16" s="434" t="s">
        <v>30</v>
      </c>
      <c r="C16" s="1890">
        <v>125</v>
      </c>
      <c r="D16" s="1890">
        <v>53</v>
      </c>
      <c r="E16" s="1890" t="s">
        <v>28</v>
      </c>
      <c r="F16" s="1890" t="s">
        <v>28</v>
      </c>
      <c r="G16" s="1890" t="s">
        <v>28</v>
      </c>
      <c r="H16" s="1890" t="s">
        <v>28</v>
      </c>
      <c r="I16" s="1890" t="s">
        <v>28</v>
      </c>
      <c r="J16" s="1890" t="s">
        <v>28</v>
      </c>
      <c r="K16" s="1890" t="s">
        <v>28</v>
      </c>
      <c r="L16" s="1890" t="s">
        <v>28</v>
      </c>
      <c r="M16" s="1890" t="s">
        <v>28</v>
      </c>
      <c r="N16" s="1890" t="s">
        <v>28</v>
      </c>
      <c r="O16" s="1890">
        <v>4</v>
      </c>
      <c r="P16" s="1890">
        <v>1</v>
      </c>
      <c r="Q16" s="1890">
        <v>47</v>
      </c>
      <c r="R16" s="1890">
        <v>18</v>
      </c>
      <c r="S16" s="1890">
        <v>15</v>
      </c>
      <c r="T16" s="1890">
        <v>8</v>
      </c>
      <c r="U16" s="1890">
        <v>11</v>
      </c>
      <c r="V16" s="1890">
        <v>4</v>
      </c>
      <c r="W16" s="1890">
        <v>11</v>
      </c>
      <c r="X16" s="1890">
        <v>3</v>
      </c>
      <c r="Y16" s="1890">
        <v>12</v>
      </c>
      <c r="Z16" s="1890">
        <v>6</v>
      </c>
      <c r="AA16" s="1890">
        <v>13</v>
      </c>
      <c r="AB16" s="1890">
        <v>6</v>
      </c>
      <c r="AC16" s="1890">
        <v>5</v>
      </c>
      <c r="AD16" s="1890">
        <v>2</v>
      </c>
      <c r="AE16" s="1890">
        <v>6</v>
      </c>
      <c r="AF16" s="1890">
        <v>5</v>
      </c>
      <c r="AG16" s="1890">
        <v>1</v>
      </c>
      <c r="AH16" s="1890" t="s">
        <v>28</v>
      </c>
      <c r="AI16" s="1890" t="s">
        <v>28</v>
      </c>
      <c r="AJ16" s="435" t="s">
        <v>28</v>
      </c>
    </row>
    <row r="17" spans="1:36" ht="9" customHeight="1">
      <c r="A17" s="433" t="s">
        <v>137</v>
      </c>
      <c r="B17" s="434" t="s">
        <v>32</v>
      </c>
      <c r="C17" s="1890">
        <v>8</v>
      </c>
      <c r="D17" s="1890" t="s">
        <v>28</v>
      </c>
      <c r="E17" s="1890" t="s">
        <v>28</v>
      </c>
      <c r="F17" s="1890" t="s">
        <v>28</v>
      </c>
      <c r="G17" s="1890" t="s">
        <v>28</v>
      </c>
      <c r="H17" s="1890" t="s">
        <v>28</v>
      </c>
      <c r="I17" s="1890" t="s">
        <v>28</v>
      </c>
      <c r="J17" s="1890" t="s">
        <v>28</v>
      </c>
      <c r="K17" s="1890" t="s">
        <v>28</v>
      </c>
      <c r="L17" s="1890" t="s">
        <v>28</v>
      </c>
      <c r="M17" s="1890" t="s">
        <v>28</v>
      </c>
      <c r="N17" s="1890" t="s">
        <v>28</v>
      </c>
      <c r="O17" s="1890" t="s">
        <v>28</v>
      </c>
      <c r="P17" s="1890" t="s">
        <v>28</v>
      </c>
      <c r="Q17" s="1890">
        <v>4</v>
      </c>
      <c r="R17" s="1890" t="s">
        <v>28</v>
      </c>
      <c r="S17" s="1890" t="s">
        <v>28</v>
      </c>
      <c r="T17" s="1890" t="s">
        <v>28</v>
      </c>
      <c r="U17" s="1890">
        <v>2</v>
      </c>
      <c r="V17" s="1890" t="s">
        <v>28</v>
      </c>
      <c r="W17" s="1890">
        <v>1</v>
      </c>
      <c r="X17" s="1890" t="s">
        <v>28</v>
      </c>
      <c r="Y17" s="1890" t="s">
        <v>28</v>
      </c>
      <c r="Z17" s="1890" t="s">
        <v>28</v>
      </c>
      <c r="AA17" s="1890" t="s">
        <v>28</v>
      </c>
      <c r="AB17" s="1890" t="s">
        <v>28</v>
      </c>
      <c r="AC17" s="1890">
        <v>1</v>
      </c>
      <c r="AD17" s="1890" t="s">
        <v>28</v>
      </c>
      <c r="AE17" s="1890" t="s">
        <v>28</v>
      </c>
      <c r="AF17" s="1890" t="s">
        <v>28</v>
      </c>
      <c r="AG17" s="1890" t="s">
        <v>28</v>
      </c>
      <c r="AH17" s="1890" t="s">
        <v>28</v>
      </c>
      <c r="AI17" s="1890" t="s">
        <v>28</v>
      </c>
      <c r="AJ17" s="435" t="s">
        <v>28</v>
      </c>
    </row>
    <row r="18" spans="1:36" ht="9" customHeight="1">
      <c r="A18" s="436" t="s">
        <v>427</v>
      </c>
      <c r="B18" s="437" t="s">
        <v>429</v>
      </c>
      <c r="C18" s="1891">
        <v>8</v>
      </c>
      <c r="D18" s="1891">
        <v>6</v>
      </c>
      <c r="E18" s="1891" t="s">
        <v>28</v>
      </c>
      <c r="F18" s="1891" t="s">
        <v>28</v>
      </c>
      <c r="G18" s="1891" t="s">
        <v>28</v>
      </c>
      <c r="H18" s="1891" t="s">
        <v>28</v>
      </c>
      <c r="I18" s="1891" t="s">
        <v>28</v>
      </c>
      <c r="J18" s="1891" t="s">
        <v>28</v>
      </c>
      <c r="K18" s="1891" t="s">
        <v>28</v>
      </c>
      <c r="L18" s="1891" t="s">
        <v>28</v>
      </c>
      <c r="M18" s="1891" t="s">
        <v>28</v>
      </c>
      <c r="N18" s="1891" t="s">
        <v>28</v>
      </c>
      <c r="O18" s="1891">
        <v>1</v>
      </c>
      <c r="P18" s="1891">
        <v>1</v>
      </c>
      <c r="Q18" s="1891">
        <v>2</v>
      </c>
      <c r="R18" s="1891">
        <v>2</v>
      </c>
      <c r="S18" s="1891">
        <v>1</v>
      </c>
      <c r="T18" s="1891">
        <v>1</v>
      </c>
      <c r="U18" s="1891" t="s">
        <v>28</v>
      </c>
      <c r="V18" s="1891" t="s">
        <v>28</v>
      </c>
      <c r="W18" s="1891" t="s">
        <v>28</v>
      </c>
      <c r="X18" s="1891" t="s">
        <v>28</v>
      </c>
      <c r="Y18" s="1891">
        <v>1</v>
      </c>
      <c r="Z18" s="1891" t="s">
        <v>28</v>
      </c>
      <c r="AA18" s="1891">
        <v>1</v>
      </c>
      <c r="AB18" s="1891">
        <v>1</v>
      </c>
      <c r="AC18" s="1891">
        <v>1</v>
      </c>
      <c r="AD18" s="1891">
        <v>1</v>
      </c>
      <c r="AE18" s="1891">
        <v>1</v>
      </c>
      <c r="AF18" s="1891" t="s">
        <v>28</v>
      </c>
      <c r="AG18" s="1891" t="s">
        <v>28</v>
      </c>
      <c r="AH18" s="1891" t="s">
        <v>28</v>
      </c>
      <c r="AI18" s="1891" t="s">
        <v>28</v>
      </c>
      <c r="AJ18" s="438" t="s">
        <v>28</v>
      </c>
    </row>
    <row r="19" spans="1:36" ht="9" customHeight="1">
      <c r="A19" s="433" t="s">
        <v>136</v>
      </c>
      <c r="B19" s="434" t="s">
        <v>30</v>
      </c>
      <c r="C19" s="1890">
        <v>8</v>
      </c>
      <c r="D19" s="1890">
        <v>6</v>
      </c>
      <c r="E19" s="1890" t="s">
        <v>28</v>
      </c>
      <c r="F19" s="1890" t="s">
        <v>28</v>
      </c>
      <c r="G19" s="1890" t="s">
        <v>28</v>
      </c>
      <c r="H19" s="1890" t="s">
        <v>28</v>
      </c>
      <c r="I19" s="1890" t="s">
        <v>28</v>
      </c>
      <c r="J19" s="1890" t="s">
        <v>28</v>
      </c>
      <c r="K19" s="1890" t="s">
        <v>28</v>
      </c>
      <c r="L19" s="1890" t="s">
        <v>28</v>
      </c>
      <c r="M19" s="1890" t="s">
        <v>28</v>
      </c>
      <c r="N19" s="1890" t="s">
        <v>28</v>
      </c>
      <c r="O19" s="1890">
        <v>1</v>
      </c>
      <c r="P19" s="1890">
        <v>1</v>
      </c>
      <c r="Q19" s="1890">
        <v>2</v>
      </c>
      <c r="R19" s="1890">
        <v>2</v>
      </c>
      <c r="S19" s="1890">
        <v>1</v>
      </c>
      <c r="T19" s="1890">
        <v>1</v>
      </c>
      <c r="U19" s="1890" t="s">
        <v>28</v>
      </c>
      <c r="V19" s="1890" t="s">
        <v>28</v>
      </c>
      <c r="W19" s="1890" t="s">
        <v>28</v>
      </c>
      <c r="X19" s="1890" t="s">
        <v>28</v>
      </c>
      <c r="Y19" s="1890">
        <v>1</v>
      </c>
      <c r="Z19" s="1890" t="s">
        <v>28</v>
      </c>
      <c r="AA19" s="1890">
        <v>1</v>
      </c>
      <c r="AB19" s="1890">
        <v>1</v>
      </c>
      <c r="AC19" s="1890">
        <v>1</v>
      </c>
      <c r="AD19" s="1890">
        <v>1</v>
      </c>
      <c r="AE19" s="1890">
        <v>1</v>
      </c>
      <c r="AF19" s="1890" t="s">
        <v>28</v>
      </c>
      <c r="AG19" s="1890" t="s">
        <v>28</v>
      </c>
      <c r="AH19" s="1890" t="s">
        <v>28</v>
      </c>
      <c r="AI19" s="1890" t="s">
        <v>28</v>
      </c>
      <c r="AJ19" s="435" t="s">
        <v>28</v>
      </c>
    </row>
    <row r="20" spans="1:36" ht="9" customHeight="1">
      <c r="A20" s="436" t="s">
        <v>158</v>
      </c>
      <c r="B20" s="437" t="s">
        <v>161</v>
      </c>
      <c r="C20" s="1891">
        <v>1370</v>
      </c>
      <c r="D20" s="1891">
        <v>1004</v>
      </c>
      <c r="E20" s="1891">
        <v>1</v>
      </c>
      <c r="F20" s="1891">
        <v>1</v>
      </c>
      <c r="G20" s="1891">
        <v>15</v>
      </c>
      <c r="H20" s="1891">
        <v>8</v>
      </c>
      <c r="I20" s="1891">
        <v>72</v>
      </c>
      <c r="J20" s="1891">
        <v>30</v>
      </c>
      <c r="K20" s="1891">
        <v>100</v>
      </c>
      <c r="L20" s="1891">
        <v>56</v>
      </c>
      <c r="M20" s="1891">
        <v>227</v>
      </c>
      <c r="N20" s="1891">
        <v>176</v>
      </c>
      <c r="O20" s="1891">
        <v>370</v>
      </c>
      <c r="P20" s="1891">
        <v>286</v>
      </c>
      <c r="Q20" s="1891">
        <v>366</v>
      </c>
      <c r="R20" s="1891">
        <v>286</v>
      </c>
      <c r="S20" s="1891">
        <v>61</v>
      </c>
      <c r="T20" s="1891">
        <v>47</v>
      </c>
      <c r="U20" s="1891">
        <v>39</v>
      </c>
      <c r="V20" s="1891">
        <v>27</v>
      </c>
      <c r="W20" s="1891">
        <v>40</v>
      </c>
      <c r="X20" s="1891">
        <v>31</v>
      </c>
      <c r="Y20" s="1891">
        <v>33</v>
      </c>
      <c r="Z20" s="1891">
        <v>23</v>
      </c>
      <c r="AA20" s="1891">
        <v>21</v>
      </c>
      <c r="AB20" s="1891">
        <v>17</v>
      </c>
      <c r="AC20" s="1891">
        <v>16</v>
      </c>
      <c r="AD20" s="1891">
        <v>11</v>
      </c>
      <c r="AE20" s="1891">
        <v>9</v>
      </c>
      <c r="AF20" s="1891">
        <v>5</v>
      </c>
      <c r="AG20" s="1891" t="s">
        <v>28</v>
      </c>
      <c r="AH20" s="1891" t="s">
        <v>28</v>
      </c>
      <c r="AI20" s="1891" t="s">
        <v>28</v>
      </c>
      <c r="AJ20" s="438" t="s">
        <v>28</v>
      </c>
    </row>
    <row r="21" spans="1:36" ht="9" customHeight="1">
      <c r="A21" s="433" t="s">
        <v>136</v>
      </c>
      <c r="B21" s="434" t="s">
        <v>30</v>
      </c>
      <c r="C21" s="1890">
        <v>1284</v>
      </c>
      <c r="D21" s="1890">
        <v>971</v>
      </c>
      <c r="E21" s="1890">
        <v>1</v>
      </c>
      <c r="F21" s="1890">
        <v>1</v>
      </c>
      <c r="G21" s="1890">
        <v>15</v>
      </c>
      <c r="H21" s="1890">
        <v>8</v>
      </c>
      <c r="I21" s="1890">
        <v>72</v>
      </c>
      <c r="J21" s="1890">
        <v>30</v>
      </c>
      <c r="K21" s="1890">
        <v>96</v>
      </c>
      <c r="L21" s="1890">
        <v>54</v>
      </c>
      <c r="M21" s="1890">
        <v>215</v>
      </c>
      <c r="N21" s="1890">
        <v>171</v>
      </c>
      <c r="O21" s="1890">
        <v>351</v>
      </c>
      <c r="P21" s="1890">
        <v>282</v>
      </c>
      <c r="Q21" s="1890">
        <v>335</v>
      </c>
      <c r="R21" s="1890">
        <v>271</v>
      </c>
      <c r="S21" s="1890">
        <v>53</v>
      </c>
      <c r="T21" s="1890">
        <v>45</v>
      </c>
      <c r="U21" s="1890">
        <v>37</v>
      </c>
      <c r="V21" s="1890">
        <v>26</v>
      </c>
      <c r="W21" s="1890">
        <v>34</v>
      </c>
      <c r="X21" s="1890">
        <v>29</v>
      </c>
      <c r="Y21" s="1890">
        <v>33</v>
      </c>
      <c r="Z21" s="1890">
        <v>23</v>
      </c>
      <c r="AA21" s="1890">
        <v>18</v>
      </c>
      <c r="AB21" s="1890">
        <v>15</v>
      </c>
      <c r="AC21" s="1890">
        <v>16</v>
      </c>
      <c r="AD21" s="1890">
        <v>11</v>
      </c>
      <c r="AE21" s="1890">
        <v>8</v>
      </c>
      <c r="AF21" s="1890">
        <v>5</v>
      </c>
      <c r="AG21" s="1890" t="s">
        <v>28</v>
      </c>
      <c r="AH21" s="1890" t="s">
        <v>28</v>
      </c>
      <c r="AI21" s="1890" t="s">
        <v>28</v>
      </c>
      <c r="AJ21" s="435" t="s">
        <v>28</v>
      </c>
    </row>
    <row r="22" spans="1:36" ht="9" customHeight="1">
      <c r="A22" s="433" t="s">
        <v>137</v>
      </c>
      <c r="B22" s="434" t="s">
        <v>32</v>
      </c>
      <c r="C22" s="1890">
        <v>86</v>
      </c>
      <c r="D22" s="1890">
        <v>33</v>
      </c>
      <c r="E22" s="1890" t="s">
        <v>28</v>
      </c>
      <c r="F22" s="1890" t="s">
        <v>28</v>
      </c>
      <c r="G22" s="1890" t="s">
        <v>28</v>
      </c>
      <c r="H22" s="1890" t="s">
        <v>28</v>
      </c>
      <c r="I22" s="1890" t="s">
        <v>28</v>
      </c>
      <c r="J22" s="1890" t="s">
        <v>28</v>
      </c>
      <c r="K22" s="1890">
        <v>4</v>
      </c>
      <c r="L22" s="1890">
        <v>2</v>
      </c>
      <c r="M22" s="1890">
        <v>12</v>
      </c>
      <c r="N22" s="1890">
        <v>5</v>
      </c>
      <c r="O22" s="1890">
        <v>19</v>
      </c>
      <c r="P22" s="1890">
        <v>4</v>
      </c>
      <c r="Q22" s="1890">
        <v>31</v>
      </c>
      <c r="R22" s="1890">
        <v>15</v>
      </c>
      <c r="S22" s="1890">
        <v>8</v>
      </c>
      <c r="T22" s="1890">
        <v>2</v>
      </c>
      <c r="U22" s="1890">
        <v>2</v>
      </c>
      <c r="V22" s="1890">
        <v>1</v>
      </c>
      <c r="W22" s="1890">
        <v>6</v>
      </c>
      <c r="X22" s="1890">
        <v>2</v>
      </c>
      <c r="Y22" s="1890" t="s">
        <v>28</v>
      </c>
      <c r="Z22" s="1890" t="s">
        <v>28</v>
      </c>
      <c r="AA22" s="1890">
        <v>3</v>
      </c>
      <c r="AB22" s="1890">
        <v>2</v>
      </c>
      <c r="AC22" s="1890" t="s">
        <v>28</v>
      </c>
      <c r="AD22" s="1890" t="s">
        <v>28</v>
      </c>
      <c r="AE22" s="1890">
        <v>1</v>
      </c>
      <c r="AF22" s="1890" t="s">
        <v>28</v>
      </c>
      <c r="AG22" s="1890" t="s">
        <v>28</v>
      </c>
      <c r="AH22" s="1890" t="s">
        <v>28</v>
      </c>
      <c r="AI22" s="1890" t="s">
        <v>28</v>
      </c>
      <c r="AJ22" s="435" t="s">
        <v>28</v>
      </c>
    </row>
    <row r="23" spans="1:36" ht="9" customHeight="1">
      <c r="A23" s="436" t="s">
        <v>173</v>
      </c>
      <c r="B23" s="437" t="s">
        <v>18</v>
      </c>
      <c r="C23" s="1891">
        <v>2452</v>
      </c>
      <c r="D23" s="1891">
        <v>1869</v>
      </c>
      <c r="E23" s="1891">
        <v>88</v>
      </c>
      <c r="F23" s="1891">
        <v>56</v>
      </c>
      <c r="G23" s="1891">
        <v>408</v>
      </c>
      <c r="H23" s="1891">
        <v>226</v>
      </c>
      <c r="I23" s="1891">
        <v>334</v>
      </c>
      <c r="J23" s="1891">
        <v>222</v>
      </c>
      <c r="K23" s="1891">
        <v>308</v>
      </c>
      <c r="L23" s="1891">
        <v>226</v>
      </c>
      <c r="M23" s="1891">
        <v>361</v>
      </c>
      <c r="N23" s="1891">
        <v>329</v>
      </c>
      <c r="O23" s="1891">
        <v>390</v>
      </c>
      <c r="P23" s="1891">
        <v>352</v>
      </c>
      <c r="Q23" s="1891">
        <v>315</v>
      </c>
      <c r="R23" s="1891">
        <v>270</v>
      </c>
      <c r="S23" s="1891">
        <v>61</v>
      </c>
      <c r="T23" s="1891">
        <v>55</v>
      </c>
      <c r="U23" s="1891">
        <v>53</v>
      </c>
      <c r="V23" s="1891">
        <v>41</v>
      </c>
      <c r="W23" s="1891">
        <v>39</v>
      </c>
      <c r="X23" s="1891">
        <v>30</v>
      </c>
      <c r="Y23" s="1891">
        <v>23</v>
      </c>
      <c r="Z23" s="1891">
        <v>14</v>
      </c>
      <c r="AA23" s="1891">
        <v>25</v>
      </c>
      <c r="AB23" s="1891">
        <v>17</v>
      </c>
      <c r="AC23" s="1891">
        <v>25</v>
      </c>
      <c r="AD23" s="1891">
        <v>15</v>
      </c>
      <c r="AE23" s="1891">
        <v>20</v>
      </c>
      <c r="AF23" s="1891">
        <v>15</v>
      </c>
      <c r="AG23" s="1891">
        <v>2</v>
      </c>
      <c r="AH23" s="1891">
        <v>1</v>
      </c>
      <c r="AI23" s="1891" t="s">
        <v>28</v>
      </c>
      <c r="AJ23" s="438" t="s">
        <v>28</v>
      </c>
    </row>
    <row r="24" spans="1:36" ht="9" customHeight="1">
      <c r="A24" s="433" t="s">
        <v>136</v>
      </c>
      <c r="B24" s="434" t="s">
        <v>30</v>
      </c>
      <c r="C24" s="1890">
        <v>2364</v>
      </c>
      <c r="D24" s="1890">
        <v>1828</v>
      </c>
      <c r="E24" s="1890">
        <v>88</v>
      </c>
      <c r="F24" s="1890">
        <v>56</v>
      </c>
      <c r="G24" s="1890">
        <v>400</v>
      </c>
      <c r="H24" s="1890">
        <v>221</v>
      </c>
      <c r="I24" s="1890">
        <v>326</v>
      </c>
      <c r="J24" s="1890">
        <v>216</v>
      </c>
      <c r="K24" s="1890">
        <v>293</v>
      </c>
      <c r="L24" s="1890">
        <v>219</v>
      </c>
      <c r="M24" s="1890">
        <v>341</v>
      </c>
      <c r="N24" s="1890">
        <v>314</v>
      </c>
      <c r="O24" s="1890">
        <v>381</v>
      </c>
      <c r="P24" s="1890">
        <v>347</v>
      </c>
      <c r="Q24" s="1890">
        <v>304</v>
      </c>
      <c r="R24" s="1890">
        <v>268</v>
      </c>
      <c r="S24" s="1890">
        <v>58</v>
      </c>
      <c r="T24" s="1890">
        <v>55</v>
      </c>
      <c r="U24" s="1890">
        <v>49</v>
      </c>
      <c r="V24" s="1890">
        <v>40</v>
      </c>
      <c r="W24" s="1890">
        <v>35</v>
      </c>
      <c r="X24" s="1890">
        <v>30</v>
      </c>
      <c r="Y24" s="1890">
        <v>21</v>
      </c>
      <c r="Z24" s="1890">
        <v>14</v>
      </c>
      <c r="AA24" s="1890">
        <v>23</v>
      </c>
      <c r="AB24" s="1890">
        <v>17</v>
      </c>
      <c r="AC24" s="1890">
        <v>23</v>
      </c>
      <c r="AD24" s="1890">
        <v>15</v>
      </c>
      <c r="AE24" s="1890">
        <v>20</v>
      </c>
      <c r="AF24" s="1890">
        <v>15</v>
      </c>
      <c r="AG24" s="1890">
        <v>2</v>
      </c>
      <c r="AH24" s="1890">
        <v>1</v>
      </c>
      <c r="AI24" s="1890" t="s">
        <v>28</v>
      </c>
      <c r="AJ24" s="435" t="s">
        <v>28</v>
      </c>
    </row>
    <row r="25" spans="1:36" ht="9" customHeight="1">
      <c r="A25" s="433" t="s">
        <v>137</v>
      </c>
      <c r="B25" s="434" t="s">
        <v>32</v>
      </c>
      <c r="C25" s="1890">
        <v>88</v>
      </c>
      <c r="D25" s="1890">
        <v>41</v>
      </c>
      <c r="E25" s="1890" t="s">
        <v>28</v>
      </c>
      <c r="F25" s="1890" t="s">
        <v>28</v>
      </c>
      <c r="G25" s="1890">
        <v>8</v>
      </c>
      <c r="H25" s="1890">
        <v>5</v>
      </c>
      <c r="I25" s="1890">
        <v>8</v>
      </c>
      <c r="J25" s="1890">
        <v>6</v>
      </c>
      <c r="K25" s="1890">
        <v>15</v>
      </c>
      <c r="L25" s="1890">
        <v>7</v>
      </c>
      <c r="M25" s="1890">
        <v>20</v>
      </c>
      <c r="N25" s="1890">
        <v>15</v>
      </c>
      <c r="O25" s="1890">
        <v>9</v>
      </c>
      <c r="P25" s="1890">
        <v>5</v>
      </c>
      <c r="Q25" s="1890">
        <v>11</v>
      </c>
      <c r="R25" s="1890">
        <v>2</v>
      </c>
      <c r="S25" s="1890">
        <v>3</v>
      </c>
      <c r="T25" s="1890" t="s">
        <v>28</v>
      </c>
      <c r="U25" s="1890">
        <v>4</v>
      </c>
      <c r="V25" s="1890">
        <v>1</v>
      </c>
      <c r="W25" s="1890">
        <v>4</v>
      </c>
      <c r="X25" s="1890" t="s">
        <v>28</v>
      </c>
      <c r="Y25" s="1890">
        <v>2</v>
      </c>
      <c r="Z25" s="1890" t="s">
        <v>28</v>
      </c>
      <c r="AA25" s="1890">
        <v>2</v>
      </c>
      <c r="AB25" s="1890" t="s">
        <v>28</v>
      </c>
      <c r="AC25" s="1890">
        <v>2</v>
      </c>
      <c r="AD25" s="1890" t="s">
        <v>28</v>
      </c>
      <c r="AE25" s="1890" t="s">
        <v>28</v>
      </c>
      <c r="AF25" s="1890" t="s">
        <v>28</v>
      </c>
      <c r="AG25" s="1890" t="s">
        <v>28</v>
      </c>
      <c r="AH25" s="1890" t="s">
        <v>28</v>
      </c>
      <c r="AI25" s="1890" t="s">
        <v>28</v>
      </c>
      <c r="AJ25" s="435" t="s">
        <v>28</v>
      </c>
    </row>
    <row r="26" spans="1:36" ht="9" customHeight="1">
      <c r="A26" s="436" t="s">
        <v>557</v>
      </c>
      <c r="B26" s="437" t="s">
        <v>552</v>
      </c>
      <c r="C26" s="1891">
        <v>151</v>
      </c>
      <c r="D26" s="1891">
        <v>115</v>
      </c>
      <c r="E26" s="1891">
        <v>6</v>
      </c>
      <c r="F26" s="1891">
        <v>6</v>
      </c>
      <c r="G26" s="1891">
        <v>17</v>
      </c>
      <c r="H26" s="1891">
        <v>13</v>
      </c>
      <c r="I26" s="1891">
        <v>32</v>
      </c>
      <c r="J26" s="1891">
        <v>23</v>
      </c>
      <c r="K26" s="1891">
        <v>31</v>
      </c>
      <c r="L26" s="1891">
        <v>24</v>
      </c>
      <c r="M26" s="1891">
        <v>25</v>
      </c>
      <c r="N26" s="1891">
        <v>17</v>
      </c>
      <c r="O26" s="1891">
        <v>21</v>
      </c>
      <c r="P26" s="1891">
        <v>18</v>
      </c>
      <c r="Q26" s="1891">
        <v>11</v>
      </c>
      <c r="R26" s="1891">
        <v>7</v>
      </c>
      <c r="S26" s="1891">
        <v>3</v>
      </c>
      <c r="T26" s="1891">
        <v>3</v>
      </c>
      <c r="U26" s="1891" t="s">
        <v>28</v>
      </c>
      <c r="V26" s="1891" t="s">
        <v>28</v>
      </c>
      <c r="W26" s="1891">
        <v>3</v>
      </c>
      <c r="X26" s="1891">
        <v>2</v>
      </c>
      <c r="Y26" s="1891" t="s">
        <v>28</v>
      </c>
      <c r="Z26" s="1891" t="s">
        <v>28</v>
      </c>
      <c r="AA26" s="1891">
        <v>1</v>
      </c>
      <c r="AB26" s="1891">
        <v>1</v>
      </c>
      <c r="AC26" s="1891">
        <v>1</v>
      </c>
      <c r="AD26" s="1891">
        <v>1</v>
      </c>
      <c r="AE26" s="1891" t="s">
        <v>28</v>
      </c>
      <c r="AF26" s="1891" t="s">
        <v>28</v>
      </c>
      <c r="AG26" s="1891" t="s">
        <v>28</v>
      </c>
      <c r="AH26" s="1891" t="s">
        <v>28</v>
      </c>
      <c r="AI26" s="1891" t="s">
        <v>28</v>
      </c>
      <c r="AJ26" s="438" t="s">
        <v>28</v>
      </c>
    </row>
    <row r="27" spans="1:36" ht="9" customHeight="1">
      <c r="A27" s="433" t="s">
        <v>136</v>
      </c>
      <c r="B27" s="434" t="s">
        <v>30</v>
      </c>
      <c r="C27" s="1890">
        <v>150</v>
      </c>
      <c r="D27" s="1890">
        <v>114</v>
      </c>
      <c r="E27" s="1890">
        <v>6</v>
      </c>
      <c r="F27" s="1890">
        <v>6</v>
      </c>
      <c r="G27" s="1890">
        <v>17</v>
      </c>
      <c r="H27" s="1890">
        <v>13</v>
      </c>
      <c r="I27" s="1890">
        <v>32</v>
      </c>
      <c r="J27" s="1890">
        <v>23</v>
      </c>
      <c r="K27" s="1890">
        <v>31</v>
      </c>
      <c r="L27" s="1890">
        <v>24</v>
      </c>
      <c r="M27" s="1890">
        <v>25</v>
      </c>
      <c r="N27" s="1890">
        <v>17</v>
      </c>
      <c r="O27" s="1890">
        <v>20</v>
      </c>
      <c r="P27" s="1890">
        <v>17</v>
      </c>
      <c r="Q27" s="1890">
        <v>11</v>
      </c>
      <c r="R27" s="1890">
        <v>7</v>
      </c>
      <c r="S27" s="1890">
        <v>3</v>
      </c>
      <c r="T27" s="1890">
        <v>3</v>
      </c>
      <c r="U27" s="1890" t="s">
        <v>28</v>
      </c>
      <c r="V27" s="1890" t="s">
        <v>28</v>
      </c>
      <c r="W27" s="1890">
        <v>3</v>
      </c>
      <c r="X27" s="1890">
        <v>2</v>
      </c>
      <c r="Y27" s="1890" t="s">
        <v>28</v>
      </c>
      <c r="Z27" s="1890" t="s">
        <v>28</v>
      </c>
      <c r="AA27" s="1890">
        <v>1</v>
      </c>
      <c r="AB27" s="1890">
        <v>1</v>
      </c>
      <c r="AC27" s="1890">
        <v>1</v>
      </c>
      <c r="AD27" s="1890">
        <v>1</v>
      </c>
      <c r="AE27" s="1890" t="s">
        <v>28</v>
      </c>
      <c r="AF27" s="1890" t="s">
        <v>28</v>
      </c>
      <c r="AG27" s="1890" t="s">
        <v>28</v>
      </c>
      <c r="AH27" s="1890" t="s">
        <v>28</v>
      </c>
      <c r="AI27" s="1890" t="s">
        <v>28</v>
      </c>
      <c r="AJ27" s="435" t="s">
        <v>28</v>
      </c>
    </row>
    <row r="28" spans="1:36" ht="9" customHeight="1">
      <c r="A28" s="433" t="s">
        <v>137</v>
      </c>
      <c r="B28" s="434" t="s">
        <v>32</v>
      </c>
      <c r="C28" s="1890">
        <v>1</v>
      </c>
      <c r="D28" s="1890">
        <v>1</v>
      </c>
      <c r="E28" s="1890" t="s">
        <v>28</v>
      </c>
      <c r="F28" s="1890" t="s">
        <v>28</v>
      </c>
      <c r="G28" s="1890" t="s">
        <v>28</v>
      </c>
      <c r="H28" s="1890" t="s">
        <v>28</v>
      </c>
      <c r="I28" s="1890" t="s">
        <v>28</v>
      </c>
      <c r="J28" s="1890" t="s">
        <v>28</v>
      </c>
      <c r="K28" s="1890" t="s">
        <v>28</v>
      </c>
      <c r="L28" s="1890" t="s">
        <v>28</v>
      </c>
      <c r="M28" s="1890" t="s">
        <v>28</v>
      </c>
      <c r="N28" s="1890" t="s">
        <v>28</v>
      </c>
      <c r="O28" s="1890">
        <v>1</v>
      </c>
      <c r="P28" s="1890">
        <v>1</v>
      </c>
      <c r="Q28" s="1890" t="s">
        <v>28</v>
      </c>
      <c r="R28" s="1890" t="s">
        <v>28</v>
      </c>
      <c r="S28" s="1890" t="s">
        <v>28</v>
      </c>
      <c r="T28" s="1890" t="s">
        <v>28</v>
      </c>
      <c r="U28" s="1890" t="s">
        <v>28</v>
      </c>
      <c r="V28" s="1890" t="s">
        <v>28</v>
      </c>
      <c r="W28" s="1890" t="s">
        <v>28</v>
      </c>
      <c r="X28" s="1890" t="s">
        <v>28</v>
      </c>
      <c r="Y28" s="1890" t="s">
        <v>28</v>
      </c>
      <c r="Z28" s="1890" t="s">
        <v>28</v>
      </c>
      <c r="AA28" s="1890" t="s">
        <v>28</v>
      </c>
      <c r="AB28" s="1890" t="s">
        <v>28</v>
      </c>
      <c r="AC28" s="1890" t="s">
        <v>28</v>
      </c>
      <c r="AD28" s="1890" t="s">
        <v>28</v>
      </c>
      <c r="AE28" s="1890" t="s">
        <v>28</v>
      </c>
      <c r="AF28" s="1890" t="s">
        <v>28</v>
      </c>
      <c r="AG28" s="1890" t="s">
        <v>28</v>
      </c>
      <c r="AH28" s="1890" t="s">
        <v>28</v>
      </c>
      <c r="AI28" s="1890" t="s">
        <v>28</v>
      </c>
      <c r="AJ28" s="435" t="s">
        <v>28</v>
      </c>
    </row>
    <row r="29" spans="1:36" ht="9" customHeight="1">
      <c r="A29" s="436" t="s">
        <v>166</v>
      </c>
      <c r="B29" s="437" t="s">
        <v>553</v>
      </c>
      <c r="C29" s="1891">
        <v>79</v>
      </c>
      <c r="D29" s="1891">
        <v>70</v>
      </c>
      <c r="E29" s="1891" t="s">
        <v>28</v>
      </c>
      <c r="F29" s="1891" t="s">
        <v>28</v>
      </c>
      <c r="G29" s="1891">
        <v>7</v>
      </c>
      <c r="H29" s="1891">
        <v>5</v>
      </c>
      <c r="I29" s="1891">
        <v>23</v>
      </c>
      <c r="J29" s="1891">
        <v>19</v>
      </c>
      <c r="K29" s="1891">
        <v>14</v>
      </c>
      <c r="L29" s="1891">
        <v>13</v>
      </c>
      <c r="M29" s="1891">
        <v>12</v>
      </c>
      <c r="N29" s="1891">
        <v>11</v>
      </c>
      <c r="O29" s="1891">
        <v>11</v>
      </c>
      <c r="P29" s="1891">
        <v>11</v>
      </c>
      <c r="Q29" s="1891">
        <v>8</v>
      </c>
      <c r="R29" s="1891">
        <v>7</v>
      </c>
      <c r="S29" s="1891">
        <v>2</v>
      </c>
      <c r="T29" s="1891">
        <v>2</v>
      </c>
      <c r="U29" s="1891" t="s">
        <v>28</v>
      </c>
      <c r="V29" s="1891" t="s">
        <v>28</v>
      </c>
      <c r="W29" s="1891">
        <v>2</v>
      </c>
      <c r="X29" s="1891">
        <v>2</v>
      </c>
      <c r="Y29" s="1891" t="s">
        <v>28</v>
      </c>
      <c r="Z29" s="1891" t="s">
        <v>28</v>
      </c>
      <c r="AA29" s="1891" t="s">
        <v>28</v>
      </c>
      <c r="AB29" s="1891" t="s">
        <v>28</v>
      </c>
      <c r="AC29" s="1891" t="s">
        <v>28</v>
      </c>
      <c r="AD29" s="1891" t="s">
        <v>28</v>
      </c>
      <c r="AE29" s="1891" t="s">
        <v>28</v>
      </c>
      <c r="AF29" s="1891" t="s">
        <v>28</v>
      </c>
      <c r="AG29" s="1891" t="s">
        <v>28</v>
      </c>
      <c r="AH29" s="1891" t="s">
        <v>28</v>
      </c>
      <c r="AI29" s="1891" t="s">
        <v>28</v>
      </c>
      <c r="AJ29" s="438" t="s">
        <v>28</v>
      </c>
    </row>
    <row r="30" spans="1:36" ht="9" customHeight="1">
      <c r="A30" s="433" t="s">
        <v>136</v>
      </c>
      <c r="B30" s="434" t="s">
        <v>30</v>
      </c>
      <c r="C30" s="1890">
        <v>75</v>
      </c>
      <c r="D30" s="1890">
        <v>66</v>
      </c>
      <c r="E30" s="1890" t="s">
        <v>28</v>
      </c>
      <c r="F30" s="1890" t="s">
        <v>28</v>
      </c>
      <c r="G30" s="1890">
        <v>7</v>
      </c>
      <c r="H30" s="1890">
        <v>5</v>
      </c>
      <c r="I30" s="1890">
        <v>23</v>
      </c>
      <c r="J30" s="1890">
        <v>19</v>
      </c>
      <c r="K30" s="1890">
        <v>13</v>
      </c>
      <c r="L30" s="1890">
        <v>12</v>
      </c>
      <c r="M30" s="1890">
        <v>11</v>
      </c>
      <c r="N30" s="1890">
        <v>10</v>
      </c>
      <c r="O30" s="1890">
        <v>11</v>
      </c>
      <c r="P30" s="1890">
        <v>11</v>
      </c>
      <c r="Q30" s="1890">
        <v>8</v>
      </c>
      <c r="R30" s="1890">
        <v>7</v>
      </c>
      <c r="S30" s="1890">
        <v>1</v>
      </c>
      <c r="T30" s="1890">
        <v>1</v>
      </c>
      <c r="U30" s="1890" t="s">
        <v>28</v>
      </c>
      <c r="V30" s="1890" t="s">
        <v>28</v>
      </c>
      <c r="W30" s="1890">
        <v>1</v>
      </c>
      <c r="X30" s="1890">
        <v>1</v>
      </c>
      <c r="Y30" s="1890" t="s">
        <v>28</v>
      </c>
      <c r="Z30" s="1890" t="s">
        <v>28</v>
      </c>
      <c r="AA30" s="1890" t="s">
        <v>28</v>
      </c>
      <c r="AB30" s="1890" t="s">
        <v>28</v>
      </c>
      <c r="AC30" s="1890" t="s">
        <v>28</v>
      </c>
      <c r="AD30" s="1890" t="s">
        <v>28</v>
      </c>
      <c r="AE30" s="1890" t="s">
        <v>28</v>
      </c>
      <c r="AF30" s="1890" t="s">
        <v>28</v>
      </c>
      <c r="AG30" s="1890" t="s">
        <v>28</v>
      </c>
      <c r="AH30" s="1890" t="s">
        <v>28</v>
      </c>
      <c r="AI30" s="1890" t="s">
        <v>28</v>
      </c>
      <c r="AJ30" s="435" t="s">
        <v>28</v>
      </c>
    </row>
    <row r="31" spans="1:36" ht="9" customHeight="1">
      <c r="A31" s="433" t="s">
        <v>137</v>
      </c>
      <c r="B31" s="434" t="s">
        <v>32</v>
      </c>
      <c r="C31" s="1890">
        <v>4</v>
      </c>
      <c r="D31" s="1890">
        <v>4</v>
      </c>
      <c r="E31" s="1890" t="s">
        <v>28</v>
      </c>
      <c r="F31" s="1890" t="s">
        <v>28</v>
      </c>
      <c r="G31" s="1890" t="s">
        <v>28</v>
      </c>
      <c r="H31" s="1890" t="s">
        <v>28</v>
      </c>
      <c r="I31" s="1890" t="s">
        <v>28</v>
      </c>
      <c r="J31" s="1890" t="s">
        <v>28</v>
      </c>
      <c r="K31" s="1890">
        <v>1</v>
      </c>
      <c r="L31" s="1890">
        <v>1</v>
      </c>
      <c r="M31" s="1890">
        <v>1</v>
      </c>
      <c r="N31" s="1890">
        <v>1</v>
      </c>
      <c r="O31" s="1890" t="s">
        <v>28</v>
      </c>
      <c r="P31" s="1890" t="s">
        <v>28</v>
      </c>
      <c r="Q31" s="1890" t="s">
        <v>28</v>
      </c>
      <c r="R31" s="1890" t="s">
        <v>28</v>
      </c>
      <c r="S31" s="1890">
        <v>1</v>
      </c>
      <c r="T31" s="1890">
        <v>1</v>
      </c>
      <c r="U31" s="1890" t="s">
        <v>28</v>
      </c>
      <c r="V31" s="1890" t="s">
        <v>28</v>
      </c>
      <c r="W31" s="1890">
        <v>1</v>
      </c>
      <c r="X31" s="1890">
        <v>1</v>
      </c>
      <c r="Y31" s="1890" t="s">
        <v>28</v>
      </c>
      <c r="Z31" s="1890" t="s">
        <v>28</v>
      </c>
      <c r="AA31" s="1890" t="s">
        <v>28</v>
      </c>
      <c r="AB31" s="1890" t="s">
        <v>28</v>
      </c>
      <c r="AC31" s="1890" t="s">
        <v>28</v>
      </c>
      <c r="AD31" s="1890" t="s">
        <v>28</v>
      </c>
      <c r="AE31" s="1890" t="s">
        <v>28</v>
      </c>
      <c r="AF31" s="1890" t="s">
        <v>28</v>
      </c>
      <c r="AG31" s="1890" t="s">
        <v>28</v>
      </c>
      <c r="AH31" s="1890" t="s">
        <v>28</v>
      </c>
      <c r="AI31" s="1890" t="s">
        <v>28</v>
      </c>
      <c r="AJ31" s="435" t="s">
        <v>28</v>
      </c>
    </row>
    <row r="32" spans="1:36" ht="9" customHeight="1">
      <c r="A32" s="436" t="s">
        <v>167</v>
      </c>
      <c r="B32" s="437" t="s">
        <v>164</v>
      </c>
      <c r="C32" s="1891">
        <v>28</v>
      </c>
      <c r="D32" s="1891">
        <v>27</v>
      </c>
      <c r="E32" s="1891">
        <v>1</v>
      </c>
      <c r="F32" s="1891">
        <v>1</v>
      </c>
      <c r="G32" s="1891">
        <v>2</v>
      </c>
      <c r="H32" s="1891">
        <v>2</v>
      </c>
      <c r="I32" s="1891">
        <v>4</v>
      </c>
      <c r="J32" s="1891">
        <v>4</v>
      </c>
      <c r="K32" s="1891">
        <v>3</v>
      </c>
      <c r="L32" s="1891">
        <v>3</v>
      </c>
      <c r="M32" s="1891">
        <v>8</v>
      </c>
      <c r="N32" s="1891">
        <v>8</v>
      </c>
      <c r="O32" s="1891">
        <v>6</v>
      </c>
      <c r="P32" s="1891">
        <v>5</v>
      </c>
      <c r="Q32" s="1891">
        <v>2</v>
      </c>
      <c r="R32" s="1891">
        <v>2</v>
      </c>
      <c r="S32" s="1891">
        <v>1</v>
      </c>
      <c r="T32" s="1891">
        <v>1</v>
      </c>
      <c r="U32" s="1891">
        <v>1</v>
      </c>
      <c r="V32" s="1891">
        <v>1</v>
      </c>
      <c r="W32" s="1891" t="s">
        <v>28</v>
      </c>
      <c r="X32" s="1891" t="s">
        <v>28</v>
      </c>
      <c r="Y32" s="1891" t="s">
        <v>28</v>
      </c>
      <c r="Z32" s="1891" t="s">
        <v>28</v>
      </c>
      <c r="AA32" s="1891" t="s">
        <v>28</v>
      </c>
      <c r="AB32" s="1891" t="s">
        <v>28</v>
      </c>
      <c r="AC32" s="1891" t="s">
        <v>28</v>
      </c>
      <c r="AD32" s="1891" t="s">
        <v>28</v>
      </c>
      <c r="AE32" s="1891" t="s">
        <v>28</v>
      </c>
      <c r="AF32" s="1891" t="s">
        <v>28</v>
      </c>
      <c r="AG32" s="1891" t="s">
        <v>28</v>
      </c>
      <c r="AH32" s="1891" t="s">
        <v>28</v>
      </c>
      <c r="AI32" s="1891" t="s">
        <v>28</v>
      </c>
      <c r="AJ32" s="438" t="s">
        <v>28</v>
      </c>
    </row>
    <row r="33" spans="1:36" ht="9" customHeight="1">
      <c r="A33" s="433" t="s">
        <v>136</v>
      </c>
      <c r="B33" s="434" t="s">
        <v>30</v>
      </c>
      <c r="C33" s="1890">
        <v>28</v>
      </c>
      <c r="D33" s="1890">
        <v>27</v>
      </c>
      <c r="E33" s="1890">
        <v>1</v>
      </c>
      <c r="F33" s="1890">
        <v>1</v>
      </c>
      <c r="G33" s="1890">
        <v>2</v>
      </c>
      <c r="H33" s="1890">
        <v>2</v>
      </c>
      <c r="I33" s="1890">
        <v>4</v>
      </c>
      <c r="J33" s="1890">
        <v>4</v>
      </c>
      <c r="K33" s="1890">
        <v>3</v>
      </c>
      <c r="L33" s="1890">
        <v>3</v>
      </c>
      <c r="M33" s="1890">
        <v>8</v>
      </c>
      <c r="N33" s="1890">
        <v>8</v>
      </c>
      <c r="O33" s="1890">
        <v>6</v>
      </c>
      <c r="P33" s="1890">
        <v>5</v>
      </c>
      <c r="Q33" s="1890">
        <v>2</v>
      </c>
      <c r="R33" s="1890">
        <v>2</v>
      </c>
      <c r="S33" s="1890">
        <v>1</v>
      </c>
      <c r="T33" s="1890">
        <v>1</v>
      </c>
      <c r="U33" s="1890">
        <v>1</v>
      </c>
      <c r="V33" s="1890">
        <v>1</v>
      </c>
      <c r="W33" s="1890" t="s">
        <v>28</v>
      </c>
      <c r="X33" s="1890" t="s">
        <v>28</v>
      </c>
      <c r="Y33" s="1890" t="s">
        <v>28</v>
      </c>
      <c r="Z33" s="1890" t="s">
        <v>28</v>
      </c>
      <c r="AA33" s="1890" t="s">
        <v>28</v>
      </c>
      <c r="AB33" s="1890" t="s">
        <v>28</v>
      </c>
      <c r="AC33" s="1890" t="s">
        <v>28</v>
      </c>
      <c r="AD33" s="1890" t="s">
        <v>28</v>
      </c>
      <c r="AE33" s="1890" t="s">
        <v>28</v>
      </c>
      <c r="AF33" s="1890" t="s">
        <v>28</v>
      </c>
      <c r="AG33" s="1890" t="s">
        <v>28</v>
      </c>
      <c r="AH33" s="1890" t="s">
        <v>28</v>
      </c>
      <c r="AI33" s="1890" t="s">
        <v>28</v>
      </c>
      <c r="AJ33" s="435" t="s">
        <v>28</v>
      </c>
    </row>
    <row r="34" spans="1:36" ht="9" customHeight="1">
      <c r="A34" s="436" t="s">
        <v>168</v>
      </c>
      <c r="B34" s="437" t="s">
        <v>445</v>
      </c>
      <c r="C34" s="1891">
        <v>115</v>
      </c>
      <c r="D34" s="1891">
        <v>115</v>
      </c>
      <c r="E34" s="1891" t="s">
        <v>28</v>
      </c>
      <c r="F34" s="1891" t="s">
        <v>28</v>
      </c>
      <c r="G34" s="1891">
        <v>10</v>
      </c>
      <c r="H34" s="1891">
        <v>10</v>
      </c>
      <c r="I34" s="1891">
        <v>10</v>
      </c>
      <c r="J34" s="1891">
        <v>10</v>
      </c>
      <c r="K34" s="1891">
        <v>19</v>
      </c>
      <c r="L34" s="1891">
        <v>19</v>
      </c>
      <c r="M34" s="1891">
        <v>23</v>
      </c>
      <c r="N34" s="1891">
        <v>23</v>
      </c>
      <c r="O34" s="1891">
        <v>20</v>
      </c>
      <c r="P34" s="1891">
        <v>20</v>
      </c>
      <c r="Q34" s="1891">
        <v>19</v>
      </c>
      <c r="R34" s="1891">
        <v>19</v>
      </c>
      <c r="S34" s="1891">
        <v>2</v>
      </c>
      <c r="T34" s="1891">
        <v>2</v>
      </c>
      <c r="U34" s="1891">
        <v>4</v>
      </c>
      <c r="V34" s="1891">
        <v>4</v>
      </c>
      <c r="W34" s="1891">
        <v>2</v>
      </c>
      <c r="X34" s="1891">
        <v>2</v>
      </c>
      <c r="Y34" s="1891">
        <v>4</v>
      </c>
      <c r="Z34" s="1891">
        <v>4</v>
      </c>
      <c r="AA34" s="1891">
        <v>1</v>
      </c>
      <c r="AB34" s="1891">
        <v>1</v>
      </c>
      <c r="AC34" s="1891">
        <v>1</v>
      </c>
      <c r="AD34" s="1891">
        <v>1</v>
      </c>
      <c r="AE34" s="1891" t="s">
        <v>28</v>
      </c>
      <c r="AF34" s="1891" t="s">
        <v>28</v>
      </c>
      <c r="AG34" s="1891" t="s">
        <v>28</v>
      </c>
      <c r="AH34" s="1891" t="s">
        <v>28</v>
      </c>
      <c r="AI34" s="1891" t="s">
        <v>28</v>
      </c>
      <c r="AJ34" s="438" t="s">
        <v>28</v>
      </c>
    </row>
    <row r="35" spans="1:36" ht="9" customHeight="1">
      <c r="A35" s="433" t="s">
        <v>136</v>
      </c>
      <c r="B35" s="434" t="s">
        <v>30</v>
      </c>
      <c r="C35" s="1890">
        <v>112</v>
      </c>
      <c r="D35" s="1890">
        <v>112</v>
      </c>
      <c r="E35" s="1890" t="s">
        <v>28</v>
      </c>
      <c r="F35" s="1890" t="s">
        <v>28</v>
      </c>
      <c r="G35" s="1890">
        <v>10</v>
      </c>
      <c r="H35" s="1890">
        <v>10</v>
      </c>
      <c r="I35" s="1890">
        <v>10</v>
      </c>
      <c r="J35" s="1890">
        <v>10</v>
      </c>
      <c r="K35" s="1890">
        <v>18</v>
      </c>
      <c r="L35" s="1890">
        <v>18</v>
      </c>
      <c r="M35" s="1890">
        <v>23</v>
      </c>
      <c r="N35" s="1890">
        <v>23</v>
      </c>
      <c r="O35" s="1890">
        <v>20</v>
      </c>
      <c r="P35" s="1890">
        <v>20</v>
      </c>
      <c r="Q35" s="1890">
        <v>17</v>
      </c>
      <c r="R35" s="1890">
        <v>17</v>
      </c>
      <c r="S35" s="1890">
        <v>2</v>
      </c>
      <c r="T35" s="1890">
        <v>2</v>
      </c>
      <c r="U35" s="1890">
        <v>4</v>
      </c>
      <c r="V35" s="1890">
        <v>4</v>
      </c>
      <c r="W35" s="1890">
        <v>2</v>
      </c>
      <c r="X35" s="1890">
        <v>2</v>
      </c>
      <c r="Y35" s="1890">
        <v>4</v>
      </c>
      <c r="Z35" s="1890">
        <v>4</v>
      </c>
      <c r="AA35" s="1890">
        <v>1</v>
      </c>
      <c r="AB35" s="1890">
        <v>1</v>
      </c>
      <c r="AC35" s="1890">
        <v>1</v>
      </c>
      <c r="AD35" s="1890">
        <v>1</v>
      </c>
      <c r="AE35" s="1890" t="s">
        <v>28</v>
      </c>
      <c r="AF35" s="1890" t="s">
        <v>28</v>
      </c>
      <c r="AG35" s="1890" t="s">
        <v>28</v>
      </c>
      <c r="AH35" s="1890" t="s">
        <v>28</v>
      </c>
      <c r="AI35" s="1890" t="s">
        <v>28</v>
      </c>
      <c r="AJ35" s="435" t="s">
        <v>28</v>
      </c>
    </row>
    <row r="36" spans="1:36" ht="9" customHeight="1">
      <c r="A36" s="433" t="s">
        <v>137</v>
      </c>
      <c r="B36" s="434" t="s">
        <v>32</v>
      </c>
      <c r="C36" s="1890">
        <v>3</v>
      </c>
      <c r="D36" s="1890">
        <v>3</v>
      </c>
      <c r="E36" s="1890" t="s">
        <v>28</v>
      </c>
      <c r="F36" s="1890" t="s">
        <v>28</v>
      </c>
      <c r="G36" s="1890" t="s">
        <v>28</v>
      </c>
      <c r="H36" s="1890" t="s">
        <v>28</v>
      </c>
      <c r="I36" s="1890" t="s">
        <v>28</v>
      </c>
      <c r="J36" s="1890" t="s">
        <v>28</v>
      </c>
      <c r="K36" s="1890">
        <v>1</v>
      </c>
      <c r="L36" s="1890">
        <v>1</v>
      </c>
      <c r="M36" s="1890" t="s">
        <v>28</v>
      </c>
      <c r="N36" s="1890" t="s">
        <v>28</v>
      </c>
      <c r="O36" s="1890" t="s">
        <v>28</v>
      </c>
      <c r="P36" s="1890" t="s">
        <v>28</v>
      </c>
      <c r="Q36" s="1890">
        <v>2</v>
      </c>
      <c r="R36" s="1890">
        <v>2</v>
      </c>
      <c r="S36" s="1890" t="s">
        <v>28</v>
      </c>
      <c r="T36" s="1890" t="s">
        <v>28</v>
      </c>
      <c r="U36" s="1890" t="s">
        <v>28</v>
      </c>
      <c r="V36" s="1890" t="s">
        <v>28</v>
      </c>
      <c r="W36" s="1890" t="s">
        <v>28</v>
      </c>
      <c r="X36" s="1890" t="s">
        <v>28</v>
      </c>
      <c r="Y36" s="1890" t="s">
        <v>28</v>
      </c>
      <c r="Z36" s="1890" t="s">
        <v>28</v>
      </c>
      <c r="AA36" s="1890" t="s">
        <v>28</v>
      </c>
      <c r="AB36" s="1890" t="s">
        <v>28</v>
      </c>
      <c r="AC36" s="1890" t="s">
        <v>28</v>
      </c>
      <c r="AD36" s="1890" t="s">
        <v>28</v>
      </c>
      <c r="AE36" s="1890" t="s">
        <v>28</v>
      </c>
      <c r="AF36" s="1890" t="s">
        <v>28</v>
      </c>
      <c r="AG36" s="1890" t="s">
        <v>28</v>
      </c>
      <c r="AH36" s="1890" t="s">
        <v>28</v>
      </c>
      <c r="AI36" s="1890" t="s">
        <v>28</v>
      </c>
      <c r="AJ36" s="435" t="s">
        <v>28</v>
      </c>
    </row>
    <row r="37" spans="1:36" ht="9" customHeight="1">
      <c r="A37" s="436" t="s">
        <v>169</v>
      </c>
      <c r="B37" s="437" t="s">
        <v>556</v>
      </c>
      <c r="C37" s="1891">
        <v>36</v>
      </c>
      <c r="D37" s="1891">
        <v>35</v>
      </c>
      <c r="E37" s="1891">
        <v>1</v>
      </c>
      <c r="F37" s="1891">
        <v>1</v>
      </c>
      <c r="G37" s="1891">
        <v>5</v>
      </c>
      <c r="H37" s="1891">
        <v>5</v>
      </c>
      <c r="I37" s="1891">
        <v>7</v>
      </c>
      <c r="J37" s="1891">
        <v>6</v>
      </c>
      <c r="K37" s="1891">
        <v>5</v>
      </c>
      <c r="L37" s="1891">
        <v>5</v>
      </c>
      <c r="M37" s="1891">
        <v>2</v>
      </c>
      <c r="N37" s="1891">
        <v>2</v>
      </c>
      <c r="O37" s="1891">
        <v>2</v>
      </c>
      <c r="P37" s="1891">
        <v>2</v>
      </c>
      <c r="Q37" s="1891">
        <v>11</v>
      </c>
      <c r="R37" s="1891">
        <v>11</v>
      </c>
      <c r="S37" s="1891" t="s">
        <v>28</v>
      </c>
      <c r="T37" s="1891" t="s">
        <v>28</v>
      </c>
      <c r="U37" s="1891">
        <v>2</v>
      </c>
      <c r="V37" s="1891">
        <v>2</v>
      </c>
      <c r="W37" s="1891">
        <v>1</v>
      </c>
      <c r="X37" s="1891">
        <v>1</v>
      </c>
      <c r="Y37" s="1891" t="s">
        <v>28</v>
      </c>
      <c r="Z37" s="1891" t="s">
        <v>28</v>
      </c>
      <c r="AA37" s="1891" t="s">
        <v>28</v>
      </c>
      <c r="AB37" s="1891" t="s">
        <v>28</v>
      </c>
      <c r="AC37" s="1891" t="s">
        <v>28</v>
      </c>
      <c r="AD37" s="1891" t="s">
        <v>28</v>
      </c>
      <c r="AE37" s="1891" t="s">
        <v>28</v>
      </c>
      <c r="AF37" s="1891" t="s">
        <v>28</v>
      </c>
      <c r="AG37" s="1891" t="s">
        <v>28</v>
      </c>
      <c r="AH37" s="1891" t="s">
        <v>28</v>
      </c>
      <c r="AI37" s="1891" t="s">
        <v>28</v>
      </c>
      <c r="AJ37" s="438" t="s">
        <v>28</v>
      </c>
    </row>
    <row r="38" spans="1:36" ht="9" customHeight="1">
      <c r="A38" s="433" t="s">
        <v>136</v>
      </c>
      <c r="B38" s="434" t="s">
        <v>30</v>
      </c>
      <c r="C38" s="1890">
        <v>36</v>
      </c>
      <c r="D38" s="1890">
        <v>35</v>
      </c>
      <c r="E38" s="1890">
        <v>1</v>
      </c>
      <c r="F38" s="1890">
        <v>1</v>
      </c>
      <c r="G38" s="1890">
        <v>5</v>
      </c>
      <c r="H38" s="1890">
        <v>5</v>
      </c>
      <c r="I38" s="1890">
        <v>7</v>
      </c>
      <c r="J38" s="1890">
        <v>6</v>
      </c>
      <c r="K38" s="1890">
        <v>5</v>
      </c>
      <c r="L38" s="1890">
        <v>5</v>
      </c>
      <c r="M38" s="1890">
        <v>2</v>
      </c>
      <c r="N38" s="1890">
        <v>2</v>
      </c>
      <c r="O38" s="1890">
        <v>2</v>
      </c>
      <c r="P38" s="1890">
        <v>2</v>
      </c>
      <c r="Q38" s="1890">
        <v>11</v>
      </c>
      <c r="R38" s="1890">
        <v>11</v>
      </c>
      <c r="S38" s="1890" t="s">
        <v>28</v>
      </c>
      <c r="T38" s="1890" t="s">
        <v>28</v>
      </c>
      <c r="U38" s="1890">
        <v>2</v>
      </c>
      <c r="V38" s="1890">
        <v>2</v>
      </c>
      <c r="W38" s="1890">
        <v>1</v>
      </c>
      <c r="X38" s="1890">
        <v>1</v>
      </c>
      <c r="Y38" s="1890" t="s">
        <v>28</v>
      </c>
      <c r="Z38" s="1890" t="s">
        <v>28</v>
      </c>
      <c r="AA38" s="1890" t="s">
        <v>28</v>
      </c>
      <c r="AB38" s="1890" t="s">
        <v>28</v>
      </c>
      <c r="AC38" s="1890" t="s">
        <v>28</v>
      </c>
      <c r="AD38" s="1890" t="s">
        <v>28</v>
      </c>
      <c r="AE38" s="1890" t="s">
        <v>28</v>
      </c>
      <c r="AF38" s="1890" t="s">
        <v>28</v>
      </c>
      <c r="AG38" s="1890" t="s">
        <v>28</v>
      </c>
      <c r="AH38" s="1890" t="s">
        <v>28</v>
      </c>
      <c r="AI38" s="1890" t="s">
        <v>28</v>
      </c>
      <c r="AJ38" s="435" t="s">
        <v>28</v>
      </c>
    </row>
    <row r="39" spans="1:36" ht="9" customHeight="1">
      <c r="A39" s="436" t="s">
        <v>174</v>
      </c>
      <c r="B39" s="437" t="s">
        <v>165</v>
      </c>
      <c r="C39" s="1891">
        <v>1676</v>
      </c>
      <c r="D39" s="1891">
        <v>1184</v>
      </c>
      <c r="E39" s="1891">
        <v>32</v>
      </c>
      <c r="F39" s="1891">
        <v>27</v>
      </c>
      <c r="G39" s="1891">
        <v>217</v>
      </c>
      <c r="H39" s="1891">
        <v>137</v>
      </c>
      <c r="I39" s="1891">
        <v>263</v>
      </c>
      <c r="J39" s="1891">
        <v>155</v>
      </c>
      <c r="K39" s="1891">
        <v>261</v>
      </c>
      <c r="L39" s="1891">
        <v>175</v>
      </c>
      <c r="M39" s="1891">
        <v>306</v>
      </c>
      <c r="N39" s="1891">
        <v>236</v>
      </c>
      <c r="O39" s="1891">
        <v>317</v>
      </c>
      <c r="P39" s="1891">
        <v>238</v>
      </c>
      <c r="Q39" s="1891">
        <v>114</v>
      </c>
      <c r="R39" s="1891">
        <v>94</v>
      </c>
      <c r="S39" s="1891">
        <v>18</v>
      </c>
      <c r="T39" s="1891">
        <v>18</v>
      </c>
      <c r="U39" s="1891">
        <v>20</v>
      </c>
      <c r="V39" s="1891">
        <v>19</v>
      </c>
      <c r="W39" s="1891">
        <v>11</v>
      </c>
      <c r="X39" s="1891">
        <v>8</v>
      </c>
      <c r="Y39" s="1891">
        <v>16</v>
      </c>
      <c r="Z39" s="1891">
        <v>15</v>
      </c>
      <c r="AA39" s="1891">
        <v>14</v>
      </c>
      <c r="AB39" s="1891">
        <v>12</v>
      </c>
      <c r="AC39" s="1891">
        <v>13</v>
      </c>
      <c r="AD39" s="1891">
        <v>10</v>
      </c>
      <c r="AE39" s="1891">
        <v>9</v>
      </c>
      <c r="AF39" s="1891">
        <v>8</v>
      </c>
      <c r="AG39" s="1891">
        <v>33</v>
      </c>
      <c r="AH39" s="1891">
        <v>22</v>
      </c>
      <c r="AI39" s="1891">
        <v>32</v>
      </c>
      <c r="AJ39" s="438">
        <v>10</v>
      </c>
    </row>
    <row r="40" spans="1:36" ht="9" customHeight="1">
      <c r="A40" s="433" t="s">
        <v>136</v>
      </c>
      <c r="B40" s="434" t="s">
        <v>30</v>
      </c>
      <c r="C40" s="1890">
        <v>1576</v>
      </c>
      <c r="D40" s="1890">
        <v>1117</v>
      </c>
      <c r="E40" s="1890">
        <v>29</v>
      </c>
      <c r="F40" s="1890">
        <v>24</v>
      </c>
      <c r="G40" s="1890">
        <v>200</v>
      </c>
      <c r="H40" s="1890">
        <v>126</v>
      </c>
      <c r="I40" s="1890">
        <v>242</v>
      </c>
      <c r="J40" s="1890">
        <v>140</v>
      </c>
      <c r="K40" s="1890">
        <v>251</v>
      </c>
      <c r="L40" s="1890">
        <v>171</v>
      </c>
      <c r="M40" s="1890">
        <v>285</v>
      </c>
      <c r="N40" s="1890">
        <v>221</v>
      </c>
      <c r="O40" s="1890">
        <v>299</v>
      </c>
      <c r="P40" s="1890">
        <v>225</v>
      </c>
      <c r="Q40" s="1890">
        <v>110</v>
      </c>
      <c r="R40" s="1890">
        <v>92</v>
      </c>
      <c r="S40" s="1890">
        <v>18</v>
      </c>
      <c r="T40" s="1890">
        <v>18</v>
      </c>
      <c r="U40" s="1890">
        <v>19</v>
      </c>
      <c r="V40" s="1890">
        <v>18</v>
      </c>
      <c r="W40" s="1890">
        <v>11</v>
      </c>
      <c r="X40" s="1890">
        <v>8</v>
      </c>
      <c r="Y40" s="1890">
        <v>16</v>
      </c>
      <c r="Z40" s="1890">
        <v>15</v>
      </c>
      <c r="AA40" s="1890">
        <v>14</v>
      </c>
      <c r="AB40" s="1890">
        <v>12</v>
      </c>
      <c r="AC40" s="1890">
        <v>12</v>
      </c>
      <c r="AD40" s="1890">
        <v>9</v>
      </c>
      <c r="AE40" s="1890">
        <v>8</v>
      </c>
      <c r="AF40" s="1890">
        <v>7</v>
      </c>
      <c r="AG40" s="1890">
        <v>30</v>
      </c>
      <c r="AH40" s="1890">
        <v>21</v>
      </c>
      <c r="AI40" s="1890">
        <v>32</v>
      </c>
      <c r="AJ40" s="435">
        <v>10</v>
      </c>
    </row>
    <row r="41" spans="1:36" ht="9" customHeight="1" thickBot="1">
      <c r="A41" s="1892" t="s">
        <v>137</v>
      </c>
      <c r="B41" s="439" t="s">
        <v>32</v>
      </c>
      <c r="C41" s="440">
        <v>100</v>
      </c>
      <c r="D41" s="440">
        <v>67</v>
      </c>
      <c r="E41" s="440">
        <v>3</v>
      </c>
      <c r="F41" s="440">
        <v>3</v>
      </c>
      <c r="G41" s="440">
        <v>17</v>
      </c>
      <c r="H41" s="440">
        <v>11</v>
      </c>
      <c r="I41" s="440">
        <v>21</v>
      </c>
      <c r="J41" s="440">
        <v>15</v>
      </c>
      <c r="K41" s="440">
        <v>10</v>
      </c>
      <c r="L41" s="440">
        <v>4</v>
      </c>
      <c r="M41" s="440">
        <v>21</v>
      </c>
      <c r="N41" s="440">
        <v>15</v>
      </c>
      <c r="O41" s="440">
        <v>18</v>
      </c>
      <c r="P41" s="440">
        <v>13</v>
      </c>
      <c r="Q41" s="440">
        <v>4</v>
      </c>
      <c r="R41" s="440">
        <v>2</v>
      </c>
      <c r="S41" s="440" t="s">
        <v>28</v>
      </c>
      <c r="T41" s="440" t="s">
        <v>28</v>
      </c>
      <c r="U41" s="440">
        <v>1</v>
      </c>
      <c r="V41" s="440">
        <v>1</v>
      </c>
      <c r="W41" s="440" t="s">
        <v>28</v>
      </c>
      <c r="X41" s="440" t="s">
        <v>28</v>
      </c>
      <c r="Y41" s="440" t="s">
        <v>28</v>
      </c>
      <c r="Z41" s="440" t="s">
        <v>28</v>
      </c>
      <c r="AA41" s="440" t="s">
        <v>28</v>
      </c>
      <c r="AB41" s="440" t="s">
        <v>28</v>
      </c>
      <c r="AC41" s="440">
        <v>1</v>
      </c>
      <c r="AD41" s="440">
        <v>1</v>
      </c>
      <c r="AE41" s="440">
        <v>1</v>
      </c>
      <c r="AF41" s="440">
        <v>1</v>
      </c>
      <c r="AG41" s="440">
        <v>3</v>
      </c>
      <c r="AH41" s="440">
        <v>1</v>
      </c>
      <c r="AI41" s="440" t="s">
        <v>28</v>
      </c>
      <c r="AJ41" s="1893" t="s">
        <v>28</v>
      </c>
    </row>
    <row r="42" spans="1:36" s="428" customFormat="1" ht="11.25" customHeight="1" thickBot="1">
      <c r="A42" s="1894" t="s">
        <v>33</v>
      </c>
      <c r="B42" s="1894"/>
      <c r="C42" s="1894"/>
      <c r="D42" s="1894"/>
      <c r="E42" s="1894"/>
      <c r="F42" s="1894"/>
      <c r="G42" s="1894"/>
      <c r="H42" s="1894"/>
      <c r="I42" s="1894"/>
      <c r="J42" s="1894"/>
      <c r="K42" s="1894"/>
      <c r="L42" s="1894"/>
      <c r="M42" s="1894"/>
      <c r="N42" s="1894"/>
      <c r="O42" s="1894"/>
      <c r="P42" s="1894"/>
      <c r="Q42" s="1894" t="s">
        <v>34</v>
      </c>
      <c r="R42" s="1894"/>
      <c r="S42" s="1894"/>
      <c r="T42" s="1894"/>
      <c r="U42" s="1894"/>
      <c r="V42" s="1894"/>
      <c r="W42" s="1894"/>
      <c r="X42" s="1894"/>
      <c r="Y42" s="1894"/>
      <c r="Z42" s="1894"/>
      <c r="AA42" s="1894"/>
      <c r="AB42" s="1894"/>
      <c r="AC42" s="1894"/>
      <c r="AD42" s="1894"/>
      <c r="AE42" s="1894"/>
      <c r="AF42" s="1894"/>
      <c r="AG42" s="1894"/>
      <c r="AH42" s="1894"/>
      <c r="AI42" s="1894"/>
      <c r="AJ42" s="1894"/>
    </row>
    <row r="43" spans="1:36" ht="9" customHeight="1">
      <c r="A43" s="263" t="s">
        <v>35</v>
      </c>
      <c r="B43" s="129" t="s">
        <v>36</v>
      </c>
      <c r="C43" s="243">
        <v>1172</v>
      </c>
      <c r="D43" s="243">
        <v>788</v>
      </c>
      <c r="E43" s="243">
        <v>38</v>
      </c>
      <c r="F43" s="243">
        <v>32</v>
      </c>
      <c r="G43" s="243">
        <v>188</v>
      </c>
      <c r="H43" s="243">
        <v>119</v>
      </c>
      <c r="I43" s="243">
        <v>150</v>
      </c>
      <c r="J43" s="243">
        <v>95</v>
      </c>
      <c r="K43" s="243">
        <v>153</v>
      </c>
      <c r="L43" s="243">
        <v>98</v>
      </c>
      <c r="M43" s="243">
        <v>172</v>
      </c>
      <c r="N43" s="243">
        <v>128</v>
      </c>
      <c r="O43" s="252">
        <v>184</v>
      </c>
      <c r="P43" s="441">
        <v>139</v>
      </c>
      <c r="Q43" s="385">
        <v>141</v>
      </c>
      <c r="R43" s="243">
        <v>96</v>
      </c>
      <c r="S43" s="243">
        <v>29</v>
      </c>
      <c r="T43" s="243">
        <v>18</v>
      </c>
      <c r="U43" s="243">
        <v>24</v>
      </c>
      <c r="V43" s="243">
        <v>15</v>
      </c>
      <c r="W43" s="243">
        <v>25</v>
      </c>
      <c r="X43" s="243">
        <v>12</v>
      </c>
      <c r="Y43" s="243">
        <v>17</v>
      </c>
      <c r="Z43" s="243">
        <v>8</v>
      </c>
      <c r="AA43" s="243">
        <v>13</v>
      </c>
      <c r="AB43" s="243">
        <v>8</v>
      </c>
      <c r="AC43" s="243">
        <v>19</v>
      </c>
      <c r="AD43" s="243">
        <v>12</v>
      </c>
      <c r="AE43" s="243">
        <v>12</v>
      </c>
      <c r="AF43" s="243">
        <v>6</v>
      </c>
      <c r="AG43" s="243">
        <v>6</v>
      </c>
      <c r="AH43" s="243">
        <v>2</v>
      </c>
      <c r="AI43" s="243">
        <v>1</v>
      </c>
      <c r="AJ43" s="245" t="s">
        <v>28</v>
      </c>
    </row>
    <row r="44" spans="1:36" ht="9" customHeight="1">
      <c r="A44" s="264" t="s">
        <v>136</v>
      </c>
      <c r="B44" s="131" t="s">
        <v>30</v>
      </c>
      <c r="C44" s="247">
        <v>970</v>
      </c>
      <c r="D44" s="247">
        <v>693</v>
      </c>
      <c r="E44" s="247">
        <v>35</v>
      </c>
      <c r="F44" s="247">
        <v>29</v>
      </c>
      <c r="G44" s="247">
        <v>172</v>
      </c>
      <c r="H44" s="247">
        <v>110</v>
      </c>
      <c r="I44" s="247">
        <v>131</v>
      </c>
      <c r="J44" s="247">
        <v>81</v>
      </c>
      <c r="K44" s="247">
        <v>133</v>
      </c>
      <c r="L44" s="247">
        <v>89</v>
      </c>
      <c r="M44" s="247">
        <v>135</v>
      </c>
      <c r="N44" s="247">
        <v>103</v>
      </c>
      <c r="O44" s="248">
        <v>153</v>
      </c>
      <c r="P44" s="442">
        <v>127</v>
      </c>
      <c r="Q44" s="387">
        <v>104</v>
      </c>
      <c r="R44" s="247">
        <v>82</v>
      </c>
      <c r="S44" s="247">
        <v>22</v>
      </c>
      <c r="T44" s="247">
        <v>16</v>
      </c>
      <c r="U44" s="247">
        <v>18</v>
      </c>
      <c r="V44" s="247">
        <v>14</v>
      </c>
      <c r="W44" s="247">
        <v>15</v>
      </c>
      <c r="X44" s="247">
        <v>9</v>
      </c>
      <c r="Y44" s="247">
        <v>14</v>
      </c>
      <c r="Z44" s="247">
        <v>8</v>
      </c>
      <c r="AA44" s="247">
        <v>7</v>
      </c>
      <c r="AB44" s="247">
        <v>6</v>
      </c>
      <c r="AC44" s="247">
        <v>16</v>
      </c>
      <c r="AD44" s="247">
        <v>12</v>
      </c>
      <c r="AE44" s="247">
        <v>10</v>
      </c>
      <c r="AF44" s="247">
        <v>6</v>
      </c>
      <c r="AG44" s="247">
        <v>4</v>
      </c>
      <c r="AH44" s="247">
        <v>1</v>
      </c>
      <c r="AI44" s="247">
        <v>1</v>
      </c>
      <c r="AJ44" s="254" t="s">
        <v>28</v>
      </c>
    </row>
    <row r="45" spans="1:36" ht="9" customHeight="1">
      <c r="A45" s="264" t="s">
        <v>137</v>
      </c>
      <c r="B45" s="131" t="s">
        <v>32</v>
      </c>
      <c r="C45" s="247">
        <v>202</v>
      </c>
      <c r="D45" s="247">
        <v>95</v>
      </c>
      <c r="E45" s="247">
        <v>3</v>
      </c>
      <c r="F45" s="247">
        <v>3</v>
      </c>
      <c r="G45" s="247">
        <v>16</v>
      </c>
      <c r="H45" s="247">
        <v>9</v>
      </c>
      <c r="I45" s="247">
        <v>19</v>
      </c>
      <c r="J45" s="247">
        <v>14</v>
      </c>
      <c r="K45" s="247">
        <v>20</v>
      </c>
      <c r="L45" s="247">
        <v>9</v>
      </c>
      <c r="M45" s="247">
        <v>37</v>
      </c>
      <c r="N45" s="247">
        <v>25</v>
      </c>
      <c r="O45" s="248">
        <v>31</v>
      </c>
      <c r="P45" s="442">
        <v>12</v>
      </c>
      <c r="Q45" s="387">
        <v>37</v>
      </c>
      <c r="R45" s="247">
        <v>14</v>
      </c>
      <c r="S45" s="247">
        <v>7</v>
      </c>
      <c r="T45" s="247">
        <v>2</v>
      </c>
      <c r="U45" s="247">
        <v>6</v>
      </c>
      <c r="V45" s="247">
        <v>1</v>
      </c>
      <c r="W45" s="247">
        <v>10</v>
      </c>
      <c r="X45" s="247">
        <v>3</v>
      </c>
      <c r="Y45" s="247">
        <v>3</v>
      </c>
      <c r="Z45" s="247" t="s">
        <v>28</v>
      </c>
      <c r="AA45" s="247">
        <v>6</v>
      </c>
      <c r="AB45" s="247">
        <v>2</v>
      </c>
      <c r="AC45" s="247">
        <v>3</v>
      </c>
      <c r="AD45" s="247" t="s">
        <v>28</v>
      </c>
      <c r="AE45" s="247">
        <v>2</v>
      </c>
      <c r="AF45" s="247" t="s">
        <v>28</v>
      </c>
      <c r="AG45" s="247">
        <v>2</v>
      </c>
      <c r="AH45" s="247">
        <v>1</v>
      </c>
      <c r="AI45" s="247" t="s">
        <v>28</v>
      </c>
      <c r="AJ45" s="254" t="s">
        <v>28</v>
      </c>
    </row>
    <row r="46" spans="1:36" ht="9" customHeight="1">
      <c r="A46" s="263" t="s">
        <v>37</v>
      </c>
      <c r="B46" s="129" t="s">
        <v>38</v>
      </c>
      <c r="C46" s="243">
        <v>1446</v>
      </c>
      <c r="D46" s="243">
        <v>1133</v>
      </c>
      <c r="E46" s="243">
        <v>11</v>
      </c>
      <c r="F46" s="243">
        <v>6</v>
      </c>
      <c r="G46" s="243">
        <v>91</v>
      </c>
      <c r="H46" s="243">
        <v>49</v>
      </c>
      <c r="I46" s="243">
        <v>156</v>
      </c>
      <c r="J46" s="243">
        <v>101</v>
      </c>
      <c r="K46" s="243">
        <v>133</v>
      </c>
      <c r="L46" s="243">
        <v>91</v>
      </c>
      <c r="M46" s="243">
        <v>201</v>
      </c>
      <c r="N46" s="243">
        <v>171</v>
      </c>
      <c r="O46" s="244">
        <v>305</v>
      </c>
      <c r="P46" s="443">
        <v>255</v>
      </c>
      <c r="Q46" s="389">
        <v>284</v>
      </c>
      <c r="R46" s="243">
        <v>248</v>
      </c>
      <c r="S46" s="243">
        <v>53</v>
      </c>
      <c r="T46" s="243">
        <v>48</v>
      </c>
      <c r="U46" s="243">
        <v>47</v>
      </c>
      <c r="V46" s="243">
        <v>42</v>
      </c>
      <c r="W46" s="243">
        <v>32</v>
      </c>
      <c r="X46" s="243">
        <v>27</v>
      </c>
      <c r="Y46" s="243">
        <v>34</v>
      </c>
      <c r="Z46" s="243">
        <v>28</v>
      </c>
      <c r="AA46" s="243">
        <v>36</v>
      </c>
      <c r="AB46" s="243">
        <v>26</v>
      </c>
      <c r="AC46" s="243">
        <v>25</v>
      </c>
      <c r="AD46" s="243">
        <v>17</v>
      </c>
      <c r="AE46" s="243">
        <v>25</v>
      </c>
      <c r="AF46" s="243">
        <v>19</v>
      </c>
      <c r="AG46" s="243">
        <v>5</v>
      </c>
      <c r="AH46" s="243">
        <v>4</v>
      </c>
      <c r="AI46" s="243">
        <v>8</v>
      </c>
      <c r="AJ46" s="245">
        <v>1</v>
      </c>
    </row>
    <row r="47" spans="1:36" ht="9" customHeight="1">
      <c r="A47" s="264" t="s">
        <v>136</v>
      </c>
      <c r="B47" s="131" t="s">
        <v>30</v>
      </c>
      <c r="C47" s="247">
        <v>1446</v>
      </c>
      <c r="D47" s="247">
        <v>1133</v>
      </c>
      <c r="E47" s="247">
        <v>11</v>
      </c>
      <c r="F47" s="247">
        <v>6</v>
      </c>
      <c r="G47" s="247">
        <v>91</v>
      </c>
      <c r="H47" s="247">
        <v>49</v>
      </c>
      <c r="I47" s="247">
        <v>156</v>
      </c>
      <c r="J47" s="247">
        <v>101</v>
      </c>
      <c r="K47" s="247">
        <v>133</v>
      </c>
      <c r="L47" s="247">
        <v>91</v>
      </c>
      <c r="M47" s="247">
        <v>201</v>
      </c>
      <c r="N47" s="247">
        <v>171</v>
      </c>
      <c r="O47" s="248">
        <v>305</v>
      </c>
      <c r="P47" s="442">
        <v>255</v>
      </c>
      <c r="Q47" s="387">
        <v>284</v>
      </c>
      <c r="R47" s="247">
        <v>248</v>
      </c>
      <c r="S47" s="247">
        <v>53</v>
      </c>
      <c r="T47" s="247">
        <v>48</v>
      </c>
      <c r="U47" s="247">
        <v>47</v>
      </c>
      <c r="V47" s="247">
        <v>42</v>
      </c>
      <c r="W47" s="247">
        <v>32</v>
      </c>
      <c r="X47" s="247">
        <v>27</v>
      </c>
      <c r="Y47" s="247">
        <v>34</v>
      </c>
      <c r="Z47" s="247">
        <v>28</v>
      </c>
      <c r="AA47" s="247">
        <v>36</v>
      </c>
      <c r="AB47" s="247">
        <v>26</v>
      </c>
      <c r="AC47" s="247">
        <v>25</v>
      </c>
      <c r="AD47" s="247">
        <v>17</v>
      </c>
      <c r="AE47" s="247">
        <v>25</v>
      </c>
      <c r="AF47" s="247">
        <v>19</v>
      </c>
      <c r="AG47" s="247">
        <v>5</v>
      </c>
      <c r="AH47" s="247">
        <v>4</v>
      </c>
      <c r="AI47" s="247">
        <v>8</v>
      </c>
      <c r="AJ47" s="254">
        <v>1</v>
      </c>
    </row>
    <row r="48" spans="1:36" ht="9" customHeight="1">
      <c r="A48" s="263" t="s">
        <v>39</v>
      </c>
      <c r="B48" s="129" t="s">
        <v>40</v>
      </c>
      <c r="C48" s="243">
        <v>2021</v>
      </c>
      <c r="D48" s="243">
        <v>1546</v>
      </c>
      <c r="E48" s="243">
        <v>34</v>
      </c>
      <c r="F48" s="243">
        <v>19</v>
      </c>
      <c r="G48" s="243">
        <v>166</v>
      </c>
      <c r="H48" s="243">
        <v>105</v>
      </c>
      <c r="I48" s="243">
        <v>233</v>
      </c>
      <c r="J48" s="243">
        <v>157</v>
      </c>
      <c r="K48" s="243">
        <v>260</v>
      </c>
      <c r="L48" s="243">
        <v>191</v>
      </c>
      <c r="M48" s="243">
        <v>356</v>
      </c>
      <c r="N48" s="243">
        <v>307</v>
      </c>
      <c r="O48" s="244">
        <v>383</v>
      </c>
      <c r="P48" s="443">
        <v>326</v>
      </c>
      <c r="Q48" s="389">
        <v>306</v>
      </c>
      <c r="R48" s="243">
        <v>252</v>
      </c>
      <c r="S48" s="243">
        <v>58</v>
      </c>
      <c r="T48" s="243">
        <v>45</v>
      </c>
      <c r="U48" s="243">
        <v>40</v>
      </c>
      <c r="V48" s="243">
        <v>28</v>
      </c>
      <c r="W48" s="243">
        <v>35</v>
      </c>
      <c r="X48" s="243">
        <v>27</v>
      </c>
      <c r="Y48" s="243">
        <v>31</v>
      </c>
      <c r="Z48" s="243">
        <v>21</v>
      </c>
      <c r="AA48" s="243">
        <v>34</v>
      </c>
      <c r="AB48" s="243">
        <v>21</v>
      </c>
      <c r="AC48" s="243">
        <v>26</v>
      </c>
      <c r="AD48" s="243">
        <v>15</v>
      </c>
      <c r="AE48" s="243">
        <v>28</v>
      </c>
      <c r="AF48" s="243">
        <v>13</v>
      </c>
      <c r="AG48" s="243">
        <v>16</v>
      </c>
      <c r="AH48" s="243">
        <v>12</v>
      </c>
      <c r="AI48" s="243">
        <v>15</v>
      </c>
      <c r="AJ48" s="245">
        <v>7</v>
      </c>
    </row>
    <row r="49" spans="1:36" ht="9" customHeight="1">
      <c r="A49" s="264" t="s">
        <v>136</v>
      </c>
      <c r="B49" s="131" t="s">
        <v>30</v>
      </c>
      <c r="C49" s="247">
        <v>1950</v>
      </c>
      <c r="D49" s="247">
        <v>1501</v>
      </c>
      <c r="E49" s="247">
        <v>34</v>
      </c>
      <c r="F49" s="247">
        <v>19</v>
      </c>
      <c r="G49" s="247">
        <v>159</v>
      </c>
      <c r="H49" s="247">
        <v>99</v>
      </c>
      <c r="I49" s="247">
        <v>224</v>
      </c>
      <c r="J49" s="247">
        <v>150</v>
      </c>
      <c r="K49" s="247">
        <v>250</v>
      </c>
      <c r="L49" s="247">
        <v>186</v>
      </c>
      <c r="M49" s="247">
        <v>341</v>
      </c>
      <c r="N49" s="247">
        <v>297</v>
      </c>
      <c r="O49" s="248">
        <v>372</v>
      </c>
      <c r="P49" s="442">
        <v>316</v>
      </c>
      <c r="Q49" s="387">
        <v>296</v>
      </c>
      <c r="R49" s="247">
        <v>247</v>
      </c>
      <c r="S49" s="247">
        <v>53</v>
      </c>
      <c r="T49" s="247">
        <v>45</v>
      </c>
      <c r="U49" s="247">
        <v>39</v>
      </c>
      <c r="V49" s="247">
        <v>28</v>
      </c>
      <c r="W49" s="247">
        <v>34</v>
      </c>
      <c r="X49" s="247">
        <v>26</v>
      </c>
      <c r="Y49" s="247">
        <v>31</v>
      </c>
      <c r="Z49" s="247">
        <v>21</v>
      </c>
      <c r="AA49" s="247">
        <v>33</v>
      </c>
      <c r="AB49" s="247">
        <v>21</v>
      </c>
      <c r="AC49" s="247">
        <v>26</v>
      </c>
      <c r="AD49" s="247">
        <v>15</v>
      </c>
      <c r="AE49" s="247">
        <v>27</v>
      </c>
      <c r="AF49" s="247">
        <v>12</v>
      </c>
      <c r="AG49" s="247">
        <v>16</v>
      </c>
      <c r="AH49" s="247">
        <v>12</v>
      </c>
      <c r="AI49" s="247">
        <v>15</v>
      </c>
      <c r="AJ49" s="254">
        <v>7</v>
      </c>
    </row>
    <row r="50" spans="1:36" ht="9" customHeight="1">
      <c r="A50" s="264" t="s">
        <v>137</v>
      </c>
      <c r="B50" s="131" t="s">
        <v>32</v>
      </c>
      <c r="C50" s="247">
        <v>71</v>
      </c>
      <c r="D50" s="247">
        <v>45</v>
      </c>
      <c r="E50" s="247" t="s">
        <v>28</v>
      </c>
      <c r="F50" s="247" t="s">
        <v>28</v>
      </c>
      <c r="G50" s="247">
        <v>7</v>
      </c>
      <c r="H50" s="247">
        <v>6</v>
      </c>
      <c r="I50" s="247">
        <v>9</v>
      </c>
      <c r="J50" s="247">
        <v>7</v>
      </c>
      <c r="K50" s="247">
        <v>10</v>
      </c>
      <c r="L50" s="247">
        <v>5</v>
      </c>
      <c r="M50" s="247">
        <v>15</v>
      </c>
      <c r="N50" s="247">
        <v>10</v>
      </c>
      <c r="O50" s="248">
        <v>11</v>
      </c>
      <c r="P50" s="442">
        <v>10</v>
      </c>
      <c r="Q50" s="387">
        <v>10</v>
      </c>
      <c r="R50" s="247">
        <v>5</v>
      </c>
      <c r="S50" s="247">
        <v>5</v>
      </c>
      <c r="T50" s="247" t="s">
        <v>28</v>
      </c>
      <c r="U50" s="247">
        <v>1</v>
      </c>
      <c r="V50" s="247" t="s">
        <v>28</v>
      </c>
      <c r="W50" s="247">
        <v>1</v>
      </c>
      <c r="X50" s="247">
        <v>1</v>
      </c>
      <c r="Y50" s="247" t="s">
        <v>28</v>
      </c>
      <c r="Z50" s="247" t="s">
        <v>28</v>
      </c>
      <c r="AA50" s="247">
        <v>1</v>
      </c>
      <c r="AB50" s="247" t="s">
        <v>28</v>
      </c>
      <c r="AC50" s="247" t="s">
        <v>28</v>
      </c>
      <c r="AD50" s="247" t="s">
        <v>28</v>
      </c>
      <c r="AE50" s="247">
        <v>1</v>
      </c>
      <c r="AF50" s="247">
        <v>1</v>
      </c>
      <c r="AG50" s="247" t="s">
        <v>28</v>
      </c>
      <c r="AH50" s="247" t="s">
        <v>28</v>
      </c>
      <c r="AI50" s="247" t="s">
        <v>28</v>
      </c>
      <c r="AJ50" s="254" t="s">
        <v>28</v>
      </c>
    </row>
    <row r="51" spans="1:36" ht="9" customHeight="1">
      <c r="A51" s="263" t="s">
        <v>41</v>
      </c>
      <c r="B51" s="129" t="s">
        <v>42</v>
      </c>
      <c r="C51" s="243">
        <v>1376</v>
      </c>
      <c r="D51" s="243">
        <v>983</v>
      </c>
      <c r="E51" s="243">
        <v>40</v>
      </c>
      <c r="F51" s="243">
        <v>30</v>
      </c>
      <c r="G51" s="243">
        <v>215</v>
      </c>
      <c r="H51" s="243">
        <v>123</v>
      </c>
      <c r="I51" s="243">
        <v>192</v>
      </c>
      <c r="J51" s="243">
        <v>109</v>
      </c>
      <c r="K51" s="243">
        <v>182</v>
      </c>
      <c r="L51" s="243">
        <v>135</v>
      </c>
      <c r="M51" s="243">
        <v>212</v>
      </c>
      <c r="N51" s="243">
        <v>178</v>
      </c>
      <c r="O51" s="244">
        <v>234</v>
      </c>
      <c r="P51" s="443">
        <v>193</v>
      </c>
      <c r="Q51" s="389">
        <v>158</v>
      </c>
      <c r="R51" s="243">
        <v>117</v>
      </c>
      <c r="S51" s="243">
        <v>30</v>
      </c>
      <c r="T51" s="243">
        <v>27</v>
      </c>
      <c r="U51" s="243">
        <v>19</v>
      </c>
      <c r="V51" s="243">
        <v>13</v>
      </c>
      <c r="W51" s="243">
        <v>22</v>
      </c>
      <c r="X51" s="243">
        <v>16</v>
      </c>
      <c r="Y51" s="243">
        <v>18</v>
      </c>
      <c r="Z51" s="243">
        <v>10</v>
      </c>
      <c r="AA51" s="243">
        <v>13</v>
      </c>
      <c r="AB51" s="243">
        <v>10</v>
      </c>
      <c r="AC51" s="243">
        <v>15</v>
      </c>
      <c r="AD51" s="243">
        <v>8</v>
      </c>
      <c r="AE51" s="243">
        <v>16</v>
      </c>
      <c r="AF51" s="243">
        <v>10</v>
      </c>
      <c r="AG51" s="243">
        <v>6</v>
      </c>
      <c r="AH51" s="243">
        <v>4</v>
      </c>
      <c r="AI51" s="243">
        <v>4</v>
      </c>
      <c r="AJ51" s="245" t="s">
        <v>28</v>
      </c>
    </row>
    <row r="52" spans="1:36" ht="9" customHeight="1">
      <c r="A52" s="264" t="s">
        <v>136</v>
      </c>
      <c r="B52" s="131" t="s">
        <v>30</v>
      </c>
      <c r="C52" s="247">
        <v>1376</v>
      </c>
      <c r="D52" s="247">
        <v>983</v>
      </c>
      <c r="E52" s="247">
        <v>40</v>
      </c>
      <c r="F52" s="247">
        <v>30</v>
      </c>
      <c r="G52" s="247">
        <v>215</v>
      </c>
      <c r="H52" s="247">
        <v>123</v>
      </c>
      <c r="I52" s="247">
        <v>192</v>
      </c>
      <c r="J52" s="247">
        <v>109</v>
      </c>
      <c r="K52" s="247">
        <v>182</v>
      </c>
      <c r="L52" s="247">
        <v>135</v>
      </c>
      <c r="M52" s="247">
        <v>212</v>
      </c>
      <c r="N52" s="247">
        <v>178</v>
      </c>
      <c r="O52" s="248">
        <v>234</v>
      </c>
      <c r="P52" s="442">
        <v>193</v>
      </c>
      <c r="Q52" s="387">
        <v>158</v>
      </c>
      <c r="R52" s="247">
        <v>117</v>
      </c>
      <c r="S52" s="247">
        <v>30</v>
      </c>
      <c r="T52" s="247">
        <v>27</v>
      </c>
      <c r="U52" s="247">
        <v>19</v>
      </c>
      <c r="V52" s="247">
        <v>13</v>
      </c>
      <c r="W52" s="247">
        <v>22</v>
      </c>
      <c r="X52" s="247">
        <v>16</v>
      </c>
      <c r="Y52" s="247">
        <v>18</v>
      </c>
      <c r="Z52" s="247">
        <v>10</v>
      </c>
      <c r="AA52" s="247">
        <v>13</v>
      </c>
      <c r="AB52" s="247">
        <v>10</v>
      </c>
      <c r="AC52" s="247">
        <v>15</v>
      </c>
      <c r="AD52" s="247">
        <v>8</v>
      </c>
      <c r="AE52" s="247">
        <v>16</v>
      </c>
      <c r="AF52" s="247">
        <v>10</v>
      </c>
      <c r="AG52" s="247">
        <v>6</v>
      </c>
      <c r="AH52" s="247">
        <v>4</v>
      </c>
      <c r="AI52" s="247">
        <v>4</v>
      </c>
      <c r="AJ52" s="254" t="s">
        <v>28</v>
      </c>
    </row>
    <row r="53" spans="1:36" ht="9" customHeight="1">
      <c r="A53" s="263" t="s">
        <v>43</v>
      </c>
      <c r="B53" s="129" t="s">
        <v>44</v>
      </c>
      <c r="C53" s="243">
        <v>170</v>
      </c>
      <c r="D53" s="243">
        <v>91</v>
      </c>
      <c r="E53" s="243">
        <v>6</v>
      </c>
      <c r="F53" s="243">
        <v>5</v>
      </c>
      <c r="G53" s="243">
        <v>21</v>
      </c>
      <c r="H53" s="243">
        <v>10</v>
      </c>
      <c r="I53" s="243">
        <v>14</v>
      </c>
      <c r="J53" s="243">
        <v>7</v>
      </c>
      <c r="K53" s="243">
        <v>13</v>
      </c>
      <c r="L53" s="243">
        <v>6</v>
      </c>
      <c r="M53" s="243">
        <v>23</v>
      </c>
      <c r="N53" s="243">
        <v>18</v>
      </c>
      <c r="O53" s="244">
        <v>37</v>
      </c>
      <c r="P53" s="443">
        <v>21</v>
      </c>
      <c r="Q53" s="389">
        <v>18</v>
      </c>
      <c r="R53" s="243">
        <v>6</v>
      </c>
      <c r="S53" s="243">
        <v>4</v>
      </c>
      <c r="T53" s="243">
        <v>4</v>
      </c>
      <c r="U53" s="243">
        <v>7</v>
      </c>
      <c r="V53" s="243">
        <v>4</v>
      </c>
      <c r="W53" s="243">
        <v>6</v>
      </c>
      <c r="X53" s="243">
        <v>1</v>
      </c>
      <c r="Y53" s="243">
        <v>3</v>
      </c>
      <c r="Z53" s="243" t="s">
        <v>28</v>
      </c>
      <c r="AA53" s="243">
        <v>1</v>
      </c>
      <c r="AB53" s="243">
        <v>1</v>
      </c>
      <c r="AC53" s="243">
        <v>2</v>
      </c>
      <c r="AD53" s="243">
        <v>1</v>
      </c>
      <c r="AE53" s="243">
        <v>5</v>
      </c>
      <c r="AF53" s="243">
        <v>2</v>
      </c>
      <c r="AG53" s="243">
        <v>6</v>
      </c>
      <c r="AH53" s="243">
        <v>3</v>
      </c>
      <c r="AI53" s="243">
        <v>4</v>
      </c>
      <c r="AJ53" s="245">
        <v>2</v>
      </c>
    </row>
    <row r="54" spans="1:36" ht="9" customHeight="1">
      <c r="A54" s="264" t="s">
        <v>136</v>
      </c>
      <c r="B54" s="131" t="s">
        <v>30</v>
      </c>
      <c r="C54" s="247">
        <v>143</v>
      </c>
      <c r="D54" s="247">
        <v>79</v>
      </c>
      <c r="E54" s="247">
        <v>6</v>
      </c>
      <c r="F54" s="247">
        <v>5</v>
      </c>
      <c r="G54" s="247">
        <v>19</v>
      </c>
      <c r="H54" s="247">
        <v>9</v>
      </c>
      <c r="I54" s="247">
        <v>13</v>
      </c>
      <c r="J54" s="247">
        <v>7</v>
      </c>
      <c r="K54" s="247">
        <v>12</v>
      </c>
      <c r="L54" s="247">
        <v>5</v>
      </c>
      <c r="M54" s="247">
        <v>21</v>
      </c>
      <c r="N54" s="247">
        <v>17</v>
      </c>
      <c r="O54" s="248">
        <v>31</v>
      </c>
      <c r="P54" s="442">
        <v>20</v>
      </c>
      <c r="Q54" s="387">
        <v>13</v>
      </c>
      <c r="R54" s="247">
        <v>4</v>
      </c>
      <c r="S54" s="247">
        <v>2</v>
      </c>
      <c r="T54" s="247">
        <v>2</v>
      </c>
      <c r="U54" s="247">
        <v>5</v>
      </c>
      <c r="V54" s="247">
        <v>2</v>
      </c>
      <c r="W54" s="247">
        <v>4</v>
      </c>
      <c r="X54" s="247">
        <v>1</v>
      </c>
      <c r="Y54" s="247">
        <v>2</v>
      </c>
      <c r="Z54" s="247" t="s">
        <v>28</v>
      </c>
      <c r="AA54" s="247">
        <v>1</v>
      </c>
      <c r="AB54" s="247">
        <v>1</v>
      </c>
      <c r="AC54" s="247">
        <v>1</v>
      </c>
      <c r="AD54" s="247" t="s">
        <v>28</v>
      </c>
      <c r="AE54" s="247">
        <v>4</v>
      </c>
      <c r="AF54" s="247">
        <v>1</v>
      </c>
      <c r="AG54" s="247">
        <v>5</v>
      </c>
      <c r="AH54" s="247">
        <v>3</v>
      </c>
      <c r="AI54" s="247">
        <v>4</v>
      </c>
      <c r="AJ54" s="254">
        <v>2</v>
      </c>
    </row>
    <row r="55" spans="1:36" ht="9" customHeight="1" thickBot="1">
      <c r="A55" s="1895" t="s">
        <v>137</v>
      </c>
      <c r="B55" s="132" t="s">
        <v>32</v>
      </c>
      <c r="C55" s="250">
        <v>27</v>
      </c>
      <c r="D55" s="250">
        <v>12</v>
      </c>
      <c r="E55" s="250" t="s">
        <v>28</v>
      </c>
      <c r="F55" s="250" t="s">
        <v>28</v>
      </c>
      <c r="G55" s="250">
        <v>2</v>
      </c>
      <c r="H55" s="250">
        <v>1</v>
      </c>
      <c r="I55" s="250">
        <v>1</v>
      </c>
      <c r="J55" s="250" t="s">
        <v>28</v>
      </c>
      <c r="K55" s="250">
        <v>1</v>
      </c>
      <c r="L55" s="250">
        <v>1</v>
      </c>
      <c r="M55" s="250">
        <v>2</v>
      </c>
      <c r="N55" s="250">
        <v>1</v>
      </c>
      <c r="O55" s="251">
        <v>6</v>
      </c>
      <c r="P55" s="1896">
        <v>1</v>
      </c>
      <c r="Q55" s="391">
        <v>5</v>
      </c>
      <c r="R55" s="250">
        <v>2</v>
      </c>
      <c r="S55" s="250">
        <v>2</v>
      </c>
      <c r="T55" s="250">
        <v>2</v>
      </c>
      <c r="U55" s="250">
        <v>2</v>
      </c>
      <c r="V55" s="250">
        <v>2</v>
      </c>
      <c r="W55" s="250">
        <v>2</v>
      </c>
      <c r="X55" s="250" t="s">
        <v>28</v>
      </c>
      <c r="Y55" s="250">
        <v>1</v>
      </c>
      <c r="Z55" s="250" t="s">
        <v>28</v>
      </c>
      <c r="AA55" s="250" t="s">
        <v>28</v>
      </c>
      <c r="AB55" s="250" t="s">
        <v>28</v>
      </c>
      <c r="AC55" s="250">
        <v>1</v>
      </c>
      <c r="AD55" s="250">
        <v>1</v>
      </c>
      <c r="AE55" s="250">
        <v>1</v>
      </c>
      <c r="AF55" s="250">
        <v>1</v>
      </c>
      <c r="AG55" s="250">
        <v>1</v>
      </c>
      <c r="AH55" s="250" t="s">
        <v>28</v>
      </c>
      <c r="AI55" s="250" t="s">
        <v>28</v>
      </c>
      <c r="AJ55" s="255" t="s">
        <v>28</v>
      </c>
    </row>
    <row r="56" spans="1:36" s="428" customFormat="1" ht="11.25" customHeight="1" thickBot="1">
      <c r="A56" s="1145" t="s">
        <v>45</v>
      </c>
      <c r="B56" s="1145"/>
      <c r="C56" s="1145"/>
      <c r="D56" s="1145"/>
      <c r="E56" s="1145"/>
      <c r="F56" s="1145"/>
      <c r="G56" s="1145"/>
      <c r="H56" s="1145"/>
      <c r="I56" s="1145"/>
      <c r="J56" s="1145"/>
      <c r="K56" s="1145"/>
      <c r="L56" s="1145"/>
      <c r="M56" s="1145"/>
      <c r="N56" s="1145"/>
      <c r="O56" s="1145"/>
      <c r="P56" s="1145"/>
      <c r="Q56" s="1145" t="s">
        <v>46</v>
      </c>
      <c r="R56" s="1145"/>
      <c r="S56" s="1145"/>
      <c r="T56" s="1145"/>
      <c r="U56" s="1145"/>
      <c r="V56" s="1145"/>
      <c r="W56" s="1145"/>
      <c r="X56" s="1145"/>
      <c r="Y56" s="1145"/>
      <c r="Z56" s="1145"/>
      <c r="AA56" s="1145"/>
      <c r="AB56" s="1145"/>
      <c r="AC56" s="1145"/>
      <c r="AD56" s="1145"/>
      <c r="AE56" s="1145"/>
      <c r="AF56" s="1145"/>
      <c r="AG56" s="1145"/>
      <c r="AH56" s="1145"/>
      <c r="AI56" s="1145"/>
      <c r="AJ56" s="1145"/>
    </row>
    <row r="57" spans="1:36" ht="9" customHeight="1">
      <c r="A57" s="263" t="s">
        <v>47</v>
      </c>
      <c r="B57" s="129" t="s">
        <v>48</v>
      </c>
      <c r="C57" s="243">
        <v>439</v>
      </c>
      <c r="D57" s="243">
        <v>302</v>
      </c>
      <c r="E57" s="243">
        <v>13</v>
      </c>
      <c r="F57" s="243">
        <v>11</v>
      </c>
      <c r="G57" s="243">
        <v>80</v>
      </c>
      <c r="H57" s="243">
        <v>59</v>
      </c>
      <c r="I57" s="243">
        <v>63</v>
      </c>
      <c r="J57" s="243">
        <v>45</v>
      </c>
      <c r="K57" s="243">
        <v>45</v>
      </c>
      <c r="L57" s="243">
        <v>30</v>
      </c>
      <c r="M57" s="243">
        <v>64</v>
      </c>
      <c r="N57" s="243">
        <v>46</v>
      </c>
      <c r="O57" s="243">
        <v>74</v>
      </c>
      <c r="P57" s="243">
        <v>51</v>
      </c>
      <c r="Q57" s="244">
        <v>57</v>
      </c>
      <c r="R57" s="243">
        <v>39</v>
      </c>
      <c r="S57" s="243">
        <v>10</v>
      </c>
      <c r="T57" s="243">
        <v>7</v>
      </c>
      <c r="U57" s="243">
        <v>9</v>
      </c>
      <c r="V57" s="243">
        <v>5</v>
      </c>
      <c r="W57" s="243">
        <v>6</v>
      </c>
      <c r="X57" s="243">
        <v>3</v>
      </c>
      <c r="Y57" s="243">
        <v>6</v>
      </c>
      <c r="Z57" s="243">
        <v>1</v>
      </c>
      <c r="AA57" s="243">
        <v>5</v>
      </c>
      <c r="AB57" s="243">
        <v>3</v>
      </c>
      <c r="AC57" s="243">
        <v>5</v>
      </c>
      <c r="AD57" s="243">
        <v>2</v>
      </c>
      <c r="AE57" s="243">
        <v>1</v>
      </c>
      <c r="AF57" s="243" t="s">
        <v>28</v>
      </c>
      <c r="AG57" s="243">
        <v>1</v>
      </c>
      <c r="AH57" s="243" t="s">
        <v>28</v>
      </c>
      <c r="AI57" s="243" t="s">
        <v>28</v>
      </c>
      <c r="AJ57" s="253" t="s">
        <v>28</v>
      </c>
    </row>
    <row r="58" spans="1:36" ht="9" customHeight="1">
      <c r="A58" s="264" t="s">
        <v>136</v>
      </c>
      <c r="B58" s="131" t="s">
        <v>30</v>
      </c>
      <c r="C58" s="247">
        <v>354</v>
      </c>
      <c r="D58" s="247">
        <v>255</v>
      </c>
      <c r="E58" s="247">
        <v>13</v>
      </c>
      <c r="F58" s="247">
        <v>11</v>
      </c>
      <c r="G58" s="247">
        <v>72</v>
      </c>
      <c r="H58" s="247">
        <v>53</v>
      </c>
      <c r="I58" s="247">
        <v>55</v>
      </c>
      <c r="J58" s="247">
        <v>39</v>
      </c>
      <c r="K58" s="247">
        <v>41</v>
      </c>
      <c r="L58" s="247">
        <v>28</v>
      </c>
      <c r="M58" s="247">
        <v>50</v>
      </c>
      <c r="N58" s="247">
        <v>35</v>
      </c>
      <c r="O58" s="247">
        <v>59</v>
      </c>
      <c r="P58" s="247">
        <v>44</v>
      </c>
      <c r="Q58" s="248">
        <v>37</v>
      </c>
      <c r="R58" s="247">
        <v>30</v>
      </c>
      <c r="S58" s="247">
        <v>6</v>
      </c>
      <c r="T58" s="247">
        <v>5</v>
      </c>
      <c r="U58" s="247">
        <v>6</v>
      </c>
      <c r="V58" s="247">
        <v>5</v>
      </c>
      <c r="W58" s="247">
        <v>3</v>
      </c>
      <c r="X58" s="247">
        <v>1</v>
      </c>
      <c r="Y58" s="247">
        <v>5</v>
      </c>
      <c r="Z58" s="247">
        <v>1</v>
      </c>
      <c r="AA58" s="247">
        <v>1</v>
      </c>
      <c r="AB58" s="247">
        <v>1</v>
      </c>
      <c r="AC58" s="247">
        <v>4</v>
      </c>
      <c r="AD58" s="247">
        <v>2</v>
      </c>
      <c r="AE58" s="247">
        <v>1</v>
      </c>
      <c r="AF58" s="247" t="s">
        <v>28</v>
      </c>
      <c r="AG58" s="247">
        <v>1</v>
      </c>
      <c r="AH58" s="247" t="s">
        <v>28</v>
      </c>
      <c r="AI58" s="247" t="s">
        <v>28</v>
      </c>
      <c r="AJ58" s="254" t="s">
        <v>28</v>
      </c>
    </row>
    <row r="59" spans="1:36" ht="9" customHeight="1">
      <c r="A59" s="264" t="s">
        <v>137</v>
      </c>
      <c r="B59" s="131" t="s">
        <v>32</v>
      </c>
      <c r="C59" s="247">
        <v>85</v>
      </c>
      <c r="D59" s="247">
        <v>47</v>
      </c>
      <c r="E59" s="247" t="s">
        <v>28</v>
      </c>
      <c r="F59" s="247" t="s">
        <v>28</v>
      </c>
      <c r="G59" s="247">
        <v>8</v>
      </c>
      <c r="H59" s="247">
        <v>6</v>
      </c>
      <c r="I59" s="247">
        <v>8</v>
      </c>
      <c r="J59" s="247">
        <v>6</v>
      </c>
      <c r="K59" s="247">
        <v>4</v>
      </c>
      <c r="L59" s="247">
        <v>2</v>
      </c>
      <c r="M59" s="247">
        <v>14</v>
      </c>
      <c r="N59" s="247">
        <v>11</v>
      </c>
      <c r="O59" s="247">
        <v>15</v>
      </c>
      <c r="P59" s="247">
        <v>7</v>
      </c>
      <c r="Q59" s="248">
        <v>20</v>
      </c>
      <c r="R59" s="247">
        <v>9</v>
      </c>
      <c r="S59" s="247">
        <v>4</v>
      </c>
      <c r="T59" s="247">
        <v>2</v>
      </c>
      <c r="U59" s="247">
        <v>3</v>
      </c>
      <c r="V59" s="247" t="s">
        <v>28</v>
      </c>
      <c r="W59" s="247">
        <v>3</v>
      </c>
      <c r="X59" s="247">
        <v>2</v>
      </c>
      <c r="Y59" s="247">
        <v>1</v>
      </c>
      <c r="Z59" s="247" t="s">
        <v>28</v>
      </c>
      <c r="AA59" s="247">
        <v>4</v>
      </c>
      <c r="AB59" s="247">
        <v>2</v>
      </c>
      <c r="AC59" s="247">
        <v>1</v>
      </c>
      <c r="AD59" s="247" t="s">
        <v>28</v>
      </c>
      <c r="AE59" s="247" t="s">
        <v>28</v>
      </c>
      <c r="AF59" s="247" t="s">
        <v>28</v>
      </c>
      <c r="AG59" s="247" t="s">
        <v>28</v>
      </c>
      <c r="AH59" s="247" t="s">
        <v>28</v>
      </c>
      <c r="AI59" s="247" t="s">
        <v>28</v>
      </c>
      <c r="AJ59" s="254" t="s">
        <v>28</v>
      </c>
    </row>
    <row r="60" spans="1:36" ht="9" customHeight="1">
      <c r="A60" s="263" t="s">
        <v>49</v>
      </c>
      <c r="B60" s="129" t="s">
        <v>50</v>
      </c>
      <c r="C60" s="243">
        <v>104</v>
      </c>
      <c r="D60" s="243">
        <v>51</v>
      </c>
      <c r="E60" s="243">
        <v>1</v>
      </c>
      <c r="F60" s="243">
        <v>1</v>
      </c>
      <c r="G60" s="243">
        <v>10</v>
      </c>
      <c r="H60" s="243">
        <v>6</v>
      </c>
      <c r="I60" s="243">
        <v>9</v>
      </c>
      <c r="J60" s="243">
        <v>7</v>
      </c>
      <c r="K60" s="243">
        <v>9</v>
      </c>
      <c r="L60" s="243">
        <v>3</v>
      </c>
      <c r="M60" s="243">
        <v>23</v>
      </c>
      <c r="N60" s="243">
        <v>15</v>
      </c>
      <c r="O60" s="243">
        <v>12</v>
      </c>
      <c r="P60" s="243">
        <v>6</v>
      </c>
      <c r="Q60" s="244">
        <v>12</v>
      </c>
      <c r="R60" s="243">
        <v>3</v>
      </c>
      <c r="S60" s="243">
        <v>5</v>
      </c>
      <c r="T60" s="243">
        <v>1</v>
      </c>
      <c r="U60" s="243">
        <v>4</v>
      </c>
      <c r="V60" s="243">
        <v>2</v>
      </c>
      <c r="W60" s="243">
        <v>10</v>
      </c>
      <c r="X60" s="243">
        <v>4</v>
      </c>
      <c r="Y60" s="243">
        <v>2</v>
      </c>
      <c r="Z60" s="243" t="s">
        <v>28</v>
      </c>
      <c r="AA60" s="243">
        <v>1</v>
      </c>
      <c r="AB60" s="243" t="s">
        <v>28</v>
      </c>
      <c r="AC60" s="243">
        <v>2</v>
      </c>
      <c r="AD60" s="243">
        <v>1</v>
      </c>
      <c r="AE60" s="243">
        <v>2</v>
      </c>
      <c r="AF60" s="243">
        <v>1</v>
      </c>
      <c r="AG60" s="243">
        <v>2</v>
      </c>
      <c r="AH60" s="243">
        <v>1</v>
      </c>
      <c r="AI60" s="243" t="s">
        <v>28</v>
      </c>
      <c r="AJ60" s="253" t="s">
        <v>28</v>
      </c>
    </row>
    <row r="61" spans="1:36" ht="9" customHeight="1">
      <c r="A61" s="264" t="s">
        <v>136</v>
      </c>
      <c r="B61" s="131" t="s">
        <v>30</v>
      </c>
      <c r="C61" s="247">
        <v>35</v>
      </c>
      <c r="D61" s="247">
        <v>28</v>
      </c>
      <c r="E61" s="247" t="s">
        <v>28</v>
      </c>
      <c r="F61" s="247" t="s">
        <v>28</v>
      </c>
      <c r="G61" s="247">
        <v>9</v>
      </c>
      <c r="H61" s="247">
        <v>6</v>
      </c>
      <c r="I61" s="247">
        <v>5</v>
      </c>
      <c r="J61" s="247">
        <v>4</v>
      </c>
      <c r="K61" s="247">
        <v>3</v>
      </c>
      <c r="L61" s="247">
        <v>2</v>
      </c>
      <c r="M61" s="247">
        <v>5</v>
      </c>
      <c r="N61" s="247">
        <v>4</v>
      </c>
      <c r="O61" s="247">
        <v>5</v>
      </c>
      <c r="P61" s="247">
        <v>5</v>
      </c>
      <c r="Q61" s="248" t="s">
        <v>28</v>
      </c>
      <c r="R61" s="247" t="s">
        <v>28</v>
      </c>
      <c r="S61" s="247">
        <v>2</v>
      </c>
      <c r="T61" s="247">
        <v>1</v>
      </c>
      <c r="U61" s="247">
        <v>1</v>
      </c>
      <c r="V61" s="247">
        <v>1</v>
      </c>
      <c r="W61" s="247">
        <v>3</v>
      </c>
      <c r="X61" s="247">
        <v>3</v>
      </c>
      <c r="Y61" s="247" t="s">
        <v>28</v>
      </c>
      <c r="Z61" s="247" t="s">
        <v>28</v>
      </c>
      <c r="AA61" s="247" t="s">
        <v>28</v>
      </c>
      <c r="AB61" s="247" t="s">
        <v>28</v>
      </c>
      <c r="AC61" s="247">
        <v>1</v>
      </c>
      <c r="AD61" s="247">
        <v>1</v>
      </c>
      <c r="AE61" s="247">
        <v>1</v>
      </c>
      <c r="AF61" s="247">
        <v>1</v>
      </c>
      <c r="AG61" s="247" t="s">
        <v>28</v>
      </c>
      <c r="AH61" s="247" t="s">
        <v>28</v>
      </c>
      <c r="AI61" s="247" t="s">
        <v>28</v>
      </c>
      <c r="AJ61" s="254" t="s">
        <v>28</v>
      </c>
    </row>
    <row r="62" spans="1:36" ht="9" customHeight="1">
      <c r="A62" s="264" t="s">
        <v>137</v>
      </c>
      <c r="B62" s="131" t="s">
        <v>32</v>
      </c>
      <c r="C62" s="247">
        <v>69</v>
      </c>
      <c r="D62" s="247">
        <v>23</v>
      </c>
      <c r="E62" s="247">
        <v>1</v>
      </c>
      <c r="F62" s="247">
        <v>1</v>
      </c>
      <c r="G62" s="247">
        <v>1</v>
      </c>
      <c r="H62" s="247" t="s">
        <v>28</v>
      </c>
      <c r="I62" s="247">
        <v>4</v>
      </c>
      <c r="J62" s="247">
        <v>3</v>
      </c>
      <c r="K62" s="247">
        <v>6</v>
      </c>
      <c r="L62" s="247">
        <v>1</v>
      </c>
      <c r="M62" s="247">
        <v>18</v>
      </c>
      <c r="N62" s="247">
        <v>11</v>
      </c>
      <c r="O62" s="247">
        <v>7</v>
      </c>
      <c r="P62" s="247">
        <v>1</v>
      </c>
      <c r="Q62" s="248">
        <v>12</v>
      </c>
      <c r="R62" s="247">
        <v>3</v>
      </c>
      <c r="S62" s="247">
        <v>3</v>
      </c>
      <c r="T62" s="247" t="s">
        <v>28</v>
      </c>
      <c r="U62" s="247">
        <v>3</v>
      </c>
      <c r="V62" s="247">
        <v>1</v>
      </c>
      <c r="W62" s="247">
        <v>7</v>
      </c>
      <c r="X62" s="247">
        <v>1</v>
      </c>
      <c r="Y62" s="247">
        <v>2</v>
      </c>
      <c r="Z62" s="247" t="s">
        <v>28</v>
      </c>
      <c r="AA62" s="247">
        <v>1</v>
      </c>
      <c r="AB62" s="247" t="s">
        <v>28</v>
      </c>
      <c r="AC62" s="247">
        <v>1</v>
      </c>
      <c r="AD62" s="247" t="s">
        <v>28</v>
      </c>
      <c r="AE62" s="247">
        <v>1</v>
      </c>
      <c r="AF62" s="247" t="s">
        <v>28</v>
      </c>
      <c r="AG62" s="247">
        <v>2</v>
      </c>
      <c r="AH62" s="247">
        <v>1</v>
      </c>
      <c r="AI62" s="247" t="s">
        <v>28</v>
      </c>
      <c r="AJ62" s="254" t="s">
        <v>28</v>
      </c>
    </row>
    <row r="63" spans="1:36" ht="9" customHeight="1">
      <c r="A63" s="263" t="s">
        <v>963</v>
      </c>
      <c r="B63" s="129" t="s">
        <v>964</v>
      </c>
      <c r="C63" s="243">
        <v>579</v>
      </c>
      <c r="D63" s="243">
        <v>403</v>
      </c>
      <c r="E63" s="243">
        <v>17</v>
      </c>
      <c r="F63" s="243">
        <v>14</v>
      </c>
      <c r="G63" s="243">
        <v>87</v>
      </c>
      <c r="H63" s="243">
        <v>48</v>
      </c>
      <c r="I63" s="243">
        <v>69</v>
      </c>
      <c r="J63" s="243">
        <v>37</v>
      </c>
      <c r="K63" s="243">
        <v>95</v>
      </c>
      <c r="L63" s="243">
        <v>64</v>
      </c>
      <c r="M63" s="243">
        <v>81</v>
      </c>
      <c r="N63" s="243">
        <v>66</v>
      </c>
      <c r="O63" s="243">
        <v>93</v>
      </c>
      <c r="P63" s="243">
        <v>79</v>
      </c>
      <c r="Q63" s="244">
        <v>65</v>
      </c>
      <c r="R63" s="243">
        <v>48</v>
      </c>
      <c r="S63" s="243">
        <v>13</v>
      </c>
      <c r="T63" s="243">
        <v>9</v>
      </c>
      <c r="U63" s="243">
        <v>11</v>
      </c>
      <c r="V63" s="243">
        <v>8</v>
      </c>
      <c r="W63" s="243">
        <v>9</v>
      </c>
      <c r="X63" s="243">
        <v>5</v>
      </c>
      <c r="Y63" s="243">
        <v>8</v>
      </c>
      <c r="Z63" s="243">
        <v>6</v>
      </c>
      <c r="AA63" s="243">
        <v>7</v>
      </c>
      <c r="AB63" s="243">
        <v>5</v>
      </c>
      <c r="AC63" s="243">
        <v>11</v>
      </c>
      <c r="AD63" s="243">
        <v>8</v>
      </c>
      <c r="AE63" s="243">
        <v>9</v>
      </c>
      <c r="AF63" s="243">
        <v>5</v>
      </c>
      <c r="AG63" s="243">
        <v>3</v>
      </c>
      <c r="AH63" s="243">
        <v>1</v>
      </c>
      <c r="AI63" s="243">
        <v>1</v>
      </c>
      <c r="AJ63" s="253" t="s">
        <v>28</v>
      </c>
    </row>
    <row r="64" spans="1:36" ht="9" customHeight="1">
      <c r="A64" s="264" t="s">
        <v>136</v>
      </c>
      <c r="B64" s="131" t="s">
        <v>30</v>
      </c>
      <c r="C64" s="247">
        <v>531</v>
      </c>
      <c r="D64" s="247">
        <v>378</v>
      </c>
      <c r="E64" s="247">
        <v>15</v>
      </c>
      <c r="F64" s="247">
        <v>12</v>
      </c>
      <c r="G64" s="247">
        <v>80</v>
      </c>
      <c r="H64" s="247">
        <v>45</v>
      </c>
      <c r="I64" s="247">
        <v>62</v>
      </c>
      <c r="J64" s="247">
        <v>32</v>
      </c>
      <c r="K64" s="247">
        <v>85</v>
      </c>
      <c r="L64" s="247">
        <v>58</v>
      </c>
      <c r="M64" s="247">
        <v>76</v>
      </c>
      <c r="N64" s="247">
        <v>63</v>
      </c>
      <c r="O64" s="247">
        <v>84</v>
      </c>
      <c r="P64" s="247">
        <v>75</v>
      </c>
      <c r="Q64" s="248">
        <v>60</v>
      </c>
      <c r="R64" s="247">
        <v>46</v>
      </c>
      <c r="S64" s="247">
        <v>13</v>
      </c>
      <c r="T64" s="247">
        <v>9</v>
      </c>
      <c r="U64" s="247">
        <v>11</v>
      </c>
      <c r="V64" s="247">
        <v>8</v>
      </c>
      <c r="W64" s="247">
        <v>9</v>
      </c>
      <c r="X64" s="247">
        <v>5</v>
      </c>
      <c r="Y64" s="247">
        <v>8</v>
      </c>
      <c r="Z64" s="247">
        <v>6</v>
      </c>
      <c r="AA64" s="247">
        <v>6</v>
      </c>
      <c r="AB64" s="247">
        <v>5</v>
      </c>
      <c r="AC64" s="247">
        <v>10</v>
      </c>
      <c r="AD64" s="247">
        <v>8</v>
      </c>
      <c r="AE64" s="247">
        <v>8</v>
      </c>
      <c r="AF64" s="247">
        <v>5</v>
      </c>
      <c r="AG64" s="247">
        <v>3</v>
      </c>
      <c r="AH64" s="247">
        <v>1</v>
      </c>
      <c r="AI64" s="247">
        <v>1</v>
      </c>
      <c r="AJ64" s="254" t="s">
        <v>28</v>
      </c>
    </row>
    <row r="65" spans="1:36" ht="9" customHeight="1">
      <c r="A65" s="264" t="s">
        <v>137</v>
      </c>
      <c r="B65" s="131" t="s">
        <v>32</v>
      </c>
      <c r="C65" s="247">
        <v>48</v>
      </c>
      <c r="D65" s="247">
        <v>25</v>
      </c>
      <c r="E65" s="247">
        <v>2</v>
      </c>
      <c r="F65" s="247">
        <v>2</v>
      </c>
      <c r="G65" s="247">
        <v>7</v>
      </c>
      <c r="H65" s="247">
        <v>3</v>
      </c>
      <c r="I65" s="247">
        <v>7</v>
      </c>
      <c r="J65" s="247">
        <v>5</v>
      </c>
      <c r="K65" s="247">
        <v>10</v>
      </c>
      <c r="L65" s="247">
        <v>6</v>
      </c>
      <c r="M65" s="247">
        <v>5</v>
      </c>
      <c r="N65" s="247">
        <v>3</v>
      </c>
      <c r="O65" s="247">
        <v>9</v>
      </c>
      <c r="P65" s="247">
        <v>4</v>
      </c>
      <c r="Q65" s="248">
        <v>5</v>
      </c>
      <c r="R65" s="247">
        <v>2</v>
      </c>
      <c r="S65" s="247" t="s">
        <v>28</v>
      </c>
      <c r="T65" s="247" t="s">
        <v>28</v>
      </c>
      <c r="U65" s="247" t="s">
        <v>28</v>
      </c>
      <c r="V65" s="247" t="s">
        <v>28</v>
      </c>
      <c r="W65" s="247" t="s">
        <v>28</v>
      </c>
      <c r="X65" s="247" t="s">
        <v>28</v>
      </c>
      <c r="Y65" s="247" t="s">
        <v>28</v>
      </c>
      <c r="Z65" s="247" t="s">
        <v>28</v>
      </c>
      <c r="AA65" s="247">
        <v>1</v>
      </c>
      <c r="AB65" s="247" t="s">
        <v>28</v>
      </c>
      <c r="AC65" s="247">
        <v>1</v>
      </c>
      <c r="AD65" s="247" t="s">
        <v>28</v>
      </c>
      <c r="AE65" s="247">
        <v>1</v>
      </c>
      <c r="AF65" s="247" t="s">
        <v>28</v>
      </c>
      <c r="AG65" s="247" t="s">
        <v>28</v>
      </c>
      <c r="AH65" s="247" t="s">
        <v>28</v>
      </c>
      <c r="AI65" s="247" t="s">
        <v>28</v>
      </c>
      <c r="AJ65" s="254" t="s">
        <v>28</v>
      </c>
    </row>
    <row r="66" spans="1:36" ht="9" customHeight="1">
      <c r="A66" s="263" t="s">
        <v>51</v>
      </c>
      <c r="B66" s="129" t="s">
        <v>52</v>
      </c>
      <c r="C66" s="243">
        <v>984</v>
      </c>
      <c r="D66" s="243">
        <v>750</v>
      </c>
      <c r="E66" s="243">
        <v>16</v>
      </c>
      <c r="F66" s="243">
        <v>8</v>
      </c>
      <c r="G66" s="243">
        <v>83</v>
      </c>
      <c r="H66" s="243">
        <v>51</v>
      </c>
      <c r="I66" s="243">
        <v>107</v>
      </c>
      <c r="J66" s="243">
        <v>77</v>
      </c>
      <c r="K66" s="243">
        <v>121</v>
      </c>
      <c r="L66" s="243">
        <v>90</v>
      </c>
      <c r="M66" s="243">
        <v>182</v>
      </c>
      <c r="N66" s="243">
        <v>159</v>
      </c>
      <c r="O66" s="243">
        <v>189</v>
      </c>
      <c r="P66" s="243">
        <v>162</v>
      </c>
      <c r="Q66" s="244">
        <v>147</v>
      </c>
      <c r="R66" s="243">
        <v>123</v>
      </c>
      <c r="S66" s="243">
        <v>31</v>
      </c>
      <c r="T66" s="243">
        <v>21</v>
      </c>
      <c r="U66" s="243">
        <v>19</v>
      </c>
      <c r="V66" s="243">
        <v>13</v>
      </c>
      <c r="W66" s="243">
        <v>17</v>
      </c>
      <c r="X66" s="243">
        <v>12</v>
      </c>
      <c r="Y66" s="243">
        <v>18</v>
      </c>
      <c r="Z66" s="243">
        <v>10</v>
      </c>
      <c r="AA66" s="243">
        <v>16</v>
      </c>
      <c r="AB66" s="243">
        <v>9</v>
      </c>
      <c r="AC66" s="243">
        <v>11</v>
      </c>
      <c r="AD66" s="243">
        <v>5</v>
      </c>
      <c r="AE66" s="243">
        <v>13</v>
      </c>
      <c r="AF66" s="243">
        <v>4</v>
      </c>
      <c r="AG66" s="243">
        <v>9</v>
      </c>
      <c r="AH66" s="243">
        <v>5</v>
      </c>
      <c r="AI66" s="243">
        <v>5</v>
      </c>
      <c r="AJ66" s="253">
        <v>1</v>
      </c>
    </row>
    <row r="67" spans="1:36" ht="9" customHeight="1">
      <c r="A67" s="264" t="s">
        <v>136</v>
      </c>
      <c r="B67" s="131" t="s">
        <v>30</v>
      </c>
      <c r="C67" s="247">
        <v>938</v>
      </c>
      <c r="D67" s="247">
        <v>722</v>
      </c>
      <c r="E67" s="247">
        <v>16</v>
      </c>
      <c r="F67" s="247">
        <v>8</v>
      </c>
      <c r="G67" s="247">
        <v>80</v>
      </c>
      <c r="H67" s="247">
        <v>48</v>
      </c>
      <c r="I67" s="247">
        <v>100</v>
      </c>
      <c r="J67" s="247">
        <v>71</v>
      </c>
      <c r="K67" s="247">
        <v>116</v>
      </c>
      <c r="L67" s="247">
        <v>88</v>
      </c>
      <c r="M67" s="247">
        <v>171</v>
      </c>
      <c r="N67" s="247">
        <v>152</v>
      </c>
      <c r="O67" s="247">
        <v>183</v>
      </c>
      <c r="P67" s="247">
        <v>157</v>
      </c>
      <c r="Q67" s="248">
        <v>140</v>
      </c>
      <c r="R67" s="247">
        <v>119</v>
      </c>
      <c r="S67" s="247">
        <v>26</v>
      </c>
      <c r="T67" s="247">
        <v>21</v>
      </c>
      <c r="U67" s="247">
        <v>18</v>
      </c>
      <c r="V67" s="247">
        <v>13</v>
      </c>
      <c r="W67" s="247">
        <v>17</v>
      </c>
      <c r="X67" s="247">
        <v>12</v>
      </c>
      <c r="Y67" s="247">
        <v>18</v>
      </c>
      <c r="Z67" s="247">
        <v>10</v>
      </c>
      <c r="AA67" s="247">
        <v>16</v>
      </c>
      <c r="AB67" s="247">
        <v>9</v>
      </c>
      <c r="AC67" s="247">
        <v>11</v>
      </c>
      <c r="AD67" s="247">
        <v>5</v>
      </c>
      <c r="AE67" s="247">
        <v>12</v>
      </c>
      <c r="AF67" s="247">
        <v>3</v>
      </c>
      <c r="AG67" s="247">
        <v>9</v>
      </c>
      <c r="AH67" s="247">
        <v>5</v>
      </c>
      <c r="AI67" s="247">
        <v>5</v>
      </c>
      <c r="AJ67" s="254">
        <v>1</v>
      </c>
    </row>
    <row r="68" spans="1:36" ht="9" customHeight="1">
      <c r="A68" s="264" t="s">
        <v>137</v>
      </c>
      <c r="B68" s="131" t="s">
        <v>32</v>
      </c>
      <c r="C68" s="247">
        <v>46</v>
      </c>
      <c r="D68" s="247">
        <v>28</v>
      </c>
      <c r="E68" s="247" t="s">
        <v>28</v>
      </c>
      <c r="F68" s="247" t="s">
        <v>28</v>
      </c>
      <c r="G68" s="247">
        <v>3</v>
      </c>
      <c r="H68" s="247">
        <v>3</v>
      </c>
      <c r="I68" s="247">
        <v>7</v>
      </c>
      <c r="J68" s="247">
        <v>6</v>
      </c>
      <c r="K68" s="247">
        <v>5</v>
      </c>
      <c r="L68" s="247">
        <v>2</v>
      </c>
      <c r="M68" s="247">
        <v>11</v>
      </c>
      <c r="N68" s="247">
        <v>7</v>
      </c>
      <c r="O68" s="247">
        <v>6</v>
      </c>
      <c r="P68" s="247">
        <v>5</v>
      </c>
      <c r="Q68" s="248">
        <v>7</v>
      </c>
      <c r="R68" s="247">
        <v>4</v>
      </c>
      <c r="S68" s="247">
        <v>5</v>
      </c>
      <c r="T68" s="247" t="s">
        <v>28</v>
      </c>
      <c r="U68" s="247">
        <v>1</v>
      </c>
      <c r="V68" s="247" t="s">
        <v>28</v>
      </c>
      <c r="W68" s="247" t="s">
        <v>28</v>
      </c>
      <c r="X68" s="247" t="s">
        <v>28</v>
      </c>
      <c r="Y68" s="247" t="s">
        <v>28</v>
      </c>
      <c r="Z68" s="247" t="s">
        <v>28</v>
      </c>
      <c r="AA68" s="247" t="s">
        <v>28</v>
      </c>
      <c r="AB68" s="247" t="s">
        <v>28</v>
      </c>
      <c r="AC68" s="247" t="s">
        <v>28</v>
      </c>
      <c r="AD68" s="247" t="s">
        <v>28</v>
      </c>
      <c r="AE68" s="247">
        <v>1</v>
      </c>
      <c r="AF68" s="247">
        <v>1</v>
      </c>
      <c r="AG68" s="247" t="s">
        <v>28</v>
      </c>
      <c r="AH68" s="247" t="s">
        <v>28</v>
      </c>
      <c r="AI68" s="247" t="s">
        <v>28</v>
      </c>
      <c r="AJ68" s="254" t="s">
        <v>28</v>
      </c>
    </row>
    <row r="69" spans="1:36" ht="9" customHeight="1">
      <c r="A69" s="263" t="s">
        <v>53</v>
      </c>
      <c r="B69" s="129" t="s">
        <v>54</v>
      </c>
      <c r="C69" s="243">
        <v>1037</v>
      </c>
      <c r="D69" s="243">
        <v>796</v>
      </c>
      <c r="E69" s="243">
        <v>18</v>
      </c>
      <c r="F69" s="243">
        <v>11</v>
      </c>
      <c r="G69" s="243">
        <v>83</v>
      </c>
      <c r="H69" s="243">
        <v>54</v>
      </c>
      <c r="I69" s="243">
        <v>126</v>
      </c>
      <c r="J69" s="243">
        <v>80</v>
      </c>
      <c r="K69" s="243">
        <v>139</v>
      </c>
      <c r="L69" s="243">
        <v>101</v>
      </c>
      <c r="M69" s="243">
        <v>174</v>
      </c>
      <c r="N69" s="243">
        <v>148</v>
      </c>
      <c r="O69" s="243">
        <v>194</v>
      </c>
      <c r="P69" s="243">
        <v>164</v>
      </c>
      <c r="Q69" s="244">
        <v>159</v>
      </c>
      <c r="R69" s="243">
        <v>129</v>
      </c>
      <c r="S69" s="243">
        <v>27</v>
      </c>
      <c r="T69" s="243">
        <v>24</v>
      </c>
      <c r="U69" s="243">
        <v>21</v>
      </c>
      <c r="V69" s="243">
        <v>15</v>
      </c>
      <c r="W69" s="243">
        <v>18</v>
      </c>
      <c r="X69" s="243">
        <v>15</v>
      </c>
      <c r="Y69" s="243">
        <v>13</v>
      </c>
      <c r="Z69" s="243">
        <v>11</v>
      </c>
      <c r="AA69" s="243">
        <v>18</v>
      </c>
      <c r="AB69" s="243">
        <v>12</v>
      </c>
      <c r="AC69" s="243">
        <v>15</v>
      </c>
      <c r="AD69" s="243">
        <v>10</v>
      </c>
      <c r="AE69" s="243">
        <v>15</v>
      </c>
      <c r="AF69" s="243">
        <v>9</v>
      </c>
      <c r="AG69" s="243">
        <v>7</v>
      </c>
      <c r="AH69" s="243">
        <v>7</v>
      </c>
      <c r="AI69" s="243">
        <v>10</v>
      </c>
      <c r="AJ69" s="253">
        <v>6</v>
      </c>
    </row>
    <row r="70" spans="1:36" ht="9" customHeight="1">
      <c r="A70" s="264" t="s">
        <v>136</v>
      </c>
      <c r="B70" s="131" t="s">
        <v>30</v>
      </c>
      <c r="C70" s="247">
        <v>1012</v>
      </c>
      <c r="D70" s="247">
        <v>779</v>
      </c>
      <c r="E70" s="247">
        <v>18</v>
      </c>
      <c r="F70" s="247">
        <v>11</v>
      </c>
      <c r="G70" s="247">
        <v>79</v>
      </c>
      <c r="H70" s="247">
        <v>51</v>
      </c>
      <c r="I70" s="247">
        <v>124</v>
      </c>
      <c r="J70" s="247">
        <v>79</v>
      </c>
      <c r="K70" s="247">
        <v>134</v>
      </c>
      <c r="L70" s="247">
        <v>98</v>
      </c>
      <c r="M70" s="247">
        <v>170</v>
      </c>
      <c r="N70" s="247">
        <v>145</v>
      </c>
      <c r="O70" s="247">
        <v>189</v>
      </c>
      <c r="P70" s="247">
        <v>159</v>
      </c>
      <c r="Q70" s="248">
        <v>156</v>
      </c>
      <c r="R70" s="247">
        <v>128</v>
      </c>
      <c r="S70" s="247">
        <v>27</v>
      </c>
      <c r="T70" s="247">
        <v>24</v>
      </c>
      <c r="U70" s="247">
        <v>21</v>
      </c>
      <c r="V70" s="247">
        <v>15</v>
      </c>
      <c r="W70" s="247">
        <v>17</v>
      </c>
      <c r="X70" s="247">
        <v>14</v>
      </c>
      <c r="Y70" s="247">
        <v>13</v>
      </c>
      <c r="Z70" s="247">
        <v>11</v>
      </c>
      <c r="AA70" s="247">
        <v>17</v>
      </c>
      <c r="AB70" s="247">
        <v>12</v>
      </c>
      <c r="AC70" s="247">
        <v>15</v>
      </c>
      <c r="AD70" s="247">
        <v>10</v>
      </c>
      <c r="AE70" s="247">
        <v>15</v>
      </c>
      <c r="AF70" s="247">
        <v>9</v>
      </c>
      <c r="AG70" s="247">
        <v>7</v>
      </c>
      <c r="AH70" s="247">
        <v>7</v>
      </c>
      <c r="AI70" s="247">
        <v>10</v>
      </c>
      <c r="AJ70" s="254">
        <v>6</v>
      </c>
    </row>
    <row r="71" spans="1:36" ht="9" customHeight="1">
      <c r="A71" s="264" t="s">
        <v>137</v>
      </c>
      <c r="B71" s="131" t="s">
        <v>32</v>
      </c>
      <c r="C71" s="247">
        <v>25</v>
      </c>
      <c r="D71" s="247">
        <v>17</v>
      </c>
      <c r="E71" s="247" t="s">
        <v>28</v>
      </c>
      <c r="F71" s="247" t="s">
        <v>28</v>
      </c>
      <c r="G71" s="247">
        <v>4</v>
      </c>
      <c r="H71" s="247">
        <v>3</v>
      </c>
      <c r="I71" s="247">
        <v>2</v>
      </c>
      <c r="J71" s="247">
        <v>1</v>
      </c>
      <c r="K71" s="247">
        <v>5</v>
      </c>
      <c r="L71" s="247">
        <v>3</v>
      </c>
      <c r="M71" s="247">
        <v>4</v>
      </c>
      <c r="N71" s="247">
        <v>3</v>
      </c>
      <c r="O71" s="247">
        <v>5</v>
      </c>
      <c r="P71" s="247">
        <v>5</v>
      </c>
      <c r="Q71" s="248">
        <v>3</v>
      </c>
      <c r="R71" s="247">
        <v>1</v>
      </c>
      <c r="S71" s="247" t="s">
        <v>28</v>
      </c>
      <c r="T71" s="247" t="s">
        <v>28</v>
      </c>
      <c r="U71" s="247" t="s">
        <v>28</v>
      </c>
      <c r="V71" s="247" t="s">
        <v>28</v>
      </c>
      <c r="W71" s="247">
        <v>1</v>
      </c>
      <c r="X71" s="247">
        <v>1</v>
      </c>
      <c r="Y71" s="247" t="s">
        <v>28</v>
      </c>
      <c r="Z71" s="247" t="s">
        <v>28</v>
      </c>
      <c r="AA71" s="247">
        <v>1</v>
      </c>
      <c r="AB71" s="247" t="s">
        <v>28</v>
      </c>
      <c r="AC71" s="247" t="s">
        <v>28</v>
      </c>
      <c r="AD71" s="247" t="s">
        <v>28</v>
      </c>
      <c r="AE71" s="247" t="s">
        <v>28</v>
      </c>
      <c r="AF71" s="247" t="s">
        <v>28</v>
      </c>
      <c r="AG71" s="247" t="s">
        <v>28</v>
      </c>
      <c r="AH71" s="247" t="s">
        <v>28</v>
      </c>
      <c r="AI71" s="247" t="s">
        <v>28</v>
      </c>
      <c r="AJ71" s="254" t="s">
        <v>28</v>
      </c>
    </row>
    <row r="72" spans="1:36" ht="9" customHeight="1">
      <c r="A72" s="263" t="s">
        <v>55</v>
      </c>
      <c r="B72" s="129" t="s">
        <v>56</v>
      </c>
      <c r="C72" s="243">
        <v>907</v>
      </c>
      <c r="D72" s="243">
        <v>708</v>
      </c>
      <c r="E72" s="243">
        <v>7</v>
      </c>
      <c r="F72" s="243">
        <v>4</v>
      </c>
      <c r="G72" s="243">
        <v>58</v>
      </c>
      <c r="H72" s="243">
        <v>29</v>
      </c>
      <c r="I72" s="243">
        <v>96</v>
      </c>
      <c r="J72" s="243">
        <v>64</v>
      </c>
      <c r="K72" s="243">
        <v>84</v>
      </c>
      <c r="L72" s="243">
        <v>57</v>
      </c>
      <c r="M72" s="243">
        <v>114</v>
      </c>
      <c r="N72" s="243">
        <v>95</v>
      </c>
      <c r="O72" s="243">
        <v>186</v>
      </c>
      <c r="P72" s="243">
        <v>155</v>
      </c>
      <c r="Q72" s="244">
        <v>180</v>
      </c>
      <c r="R72" s="243">
        <v>156</v>
      </c>
      <c r="S72" s="243">
        <v>36</v>
      </c>
      <c r="T72" s="243">
        <v>34</v>
      </c>
      <c r="U72" s="243">
        <v>34</v>
      </c>
      <c r="V72" s="243">
        <v>30</v>
      </c>
      <c r="W72" s="243">
        <v>24</v>
      </c>
      <c r="X72" s="243">
        <v>22</v>
      </c>
      <c r="Y72" s="243">
        <v>24</v>
      </c>
      <c r="Z72" s="243">
        <v>20</v>
      </c>
      <c r="AA72" s="243">
        <v>21</v>
      </c>
      <c r="AB72" s="243">
        <v>14</v>
      </c>
      <c r="AC72" s="243">
        <v>16</v>
      </c>
      <c r="AD72" s="243">
        <v>12</v>
      </c>
      <c r="AE72" s="243">
        <v>16</v>
      </c>
      <c r="AF72" s="243">
        <v>13</v>
      </c>
      <c r="AG72" s="243">
        <v>3</v>
      </c>
      <c r="AH72" s="243">
        <v>2</v>
      </c>
      <c r="AI72" s="243">
        <v>8</v>
      </c>
      <c r="AJ72" s="253">
        <v>1</v>
      </c>
    </row>
    <row r="73" spans="1:36" ht="9" customHeight="1">
      <c r="A73" s="264" t="s">
        <v>136</v>
      </c>
      <c r="B73" s="131" t="s">
        <v>30</v>
      </c>
      <c r="C73" s="247">
        <v>907</v>
      </c>
      <c r="D73" s="247">
        <v>708</v>
      </c>
      <c r="E73" s="247">
        <v>7</v>
      </c>
      <c r="F73" s="247">
        <v>4</v>
      </c>
      <c r="G73" s="247">
        <v>58</v>
      </c>
      <c r="H73" s="247">
        <v>29</v>
      </c>
      <c r="I73" s="247">
        <v>96</v>
      </c>
      <c r="J73" s="247">
        <v>64</v>
      </c>
      <c r="K73" s="247">
        <v>84</v>
      </c>
      <c r="L73" s="247">
        <v>57</v>
      </c>
      <c r="M73" s="247">
        <v>114</v>
      </c>
      <c r="N73" s="247">
        <v>95</v>
      </c>
      <c r="O73" s="247">
        <v>186</v>
      </c>
      <c r="P73" s="247">
        <v>155</v>
      </c>
      <c r="Q73" s="248">
        <v>180</v>
      </c>
      <c r="R73" s="247">
        <v>156</v>
      </c>
      <c r="S73" s="247">
        <v>36</v>
      </c>
      <c r="T73" s="247">
        <v>34</v>
      </c>
      <c r="U73" s="247">
        <v>34</v>
      </c>
      <c r="V73" s="247">
        <v>30</v>
      </c>
      <c r="W73" s="247">
        <v>24</v>
      </c>
      <c r="X73" s="247">
        <v>22</v>
      </c>
      <c r="Y73" s="247">
        <v>24</v>
      </c>
      <c r="Z73" s="247">
        <v>20</v>
      </c>
      <c r="AA73" s="247">
        <v>21</v>
      </c>
      <c r="AB73" s="247">
        <v>14</v>
      </c>
      <c r="AC73" s="247">
        <v>16</v>
      </c>
      <c r="AD73" s="247">
        <v>12</v>
      </c>
      <c r="AE73" s="247">
        <v>16</v>
      </c>
      <c r="AF73" s="247">
        <v>13</v>
      </c>
      <c r="AG73" s="247">
        <v>3</v>
      </c>
      <c r="AH73" s="247">
        <v>2</v>
      </c>
      <c r="AI73" s="247">
        <v>8</v>
      </c>
      <c r="AJ73" s="254">
        <v>1</v>
      </c>
    </row>
    <row r="74" spans="1:36" ht="9" customHeight="1">
      <c r="A74" s="263" t="s">
        <v>57</v>
      </c>
      <c r="B74" s="129" t="s">
        <v>58</v>
      </c>
      <c r="C74" s="243">
        <v>539</v>
      </c>
      <c r="D74" s="243">
        <v>425</v>
      </c>
      <c r="E74" s="243">
        <v>4</v>
      </c>
      <c r="F74" s="243">
        <v>2</v>
      </c>
      <c r="G74" s="243">
        <v>33</v>
      </c>
      <c r="H74" s="243">
        <v>20</v>
      </c>
      <c r="I74" s="243">
        <v>60</v>
      </c>
      <c r="J74" s="243">
        <v>37</v>
      </c>
      <c r="K74" s="243">
        <v>49</v>
      </c>
      <c r="L74" s="243">
        <v>34</v>
      </c>
      <c r="M74" s="243">
        <v>87</v>
      </c>
      <c r="N74" s="243">
        <v>76</v>
      </c>
      <c r="O74" s="243">
        <v>119</v>
      </c>
      <c r="P74" s="243">
        <v>100</v>
      </c>
      <c r="Q74" s="244">
        <v>104</v>
      </c>
      <c r="R74" s="243">
        <v>92</v>
      </c>
      <c r="S74" s="243">
        <v>17</v>
      </c>
      <c r="T74" s="243">
        <v>14</v>
      </c>
      <c r="U74" s="243">
        <v>13</v>
      </c>
      <c r="V74" s="243">
        <v>12</v>
      </c>
      <c r="W74" s="243">
        <v>8</v>
      </c>
      <c r="X74" s="243">
        <v>5</v>
      </c>
      <c r="Y74" s="243">
        <v>10</v>
      </c>
      <c r="Z74" s="243">
        <v>8</v>
      </c>
      <c r="AA74" s="243">
        <v>15</v>
      </c>
      <c r="AB74" s="243">
        <v>12</v>
      </c>
      <c r="AC74" s="243">
        <v>9</v>
      </c>
      <c r="AD74" s="243">
        <v>5</v>
      </c>
      <c r="AE74" s="243">
        <v>9</v>
      </c>
      <c r="AF74" s="243">
        <v>6</v>
      </c>
      <c r="AG74" s="243">
        <v>2</v>
      </c>
      <c r="AH74" s="243">
        <v>2</v>
      </c>
      <c r="AI74" s="243" t="s">
        <v>28</v>
      </c>
      <c r="AJ74" s="253" t="s">
        <v>28</v>
      </c>
    </row>
    <row r="75" spans="1:36" ht="9" customHeight="1">
      <c r="A75" s="264" t="s">
        <v>136</v>
      </c>
      <c r="B75" s="131" t="s">
        <v>30</v>
      </c>
      <c r="C75" s="247">
        <v>539</v>
      </c>
      <c r="D75" s="247">
        <v>425</v>
      </c>
      <c r="E75" s="247">
        <v>4</v>
      </c>
      <c r="F75" s="247">
        <v>2</v>
      </c>
      <c r="G75" s="247">
        <v>33</v>
      </c>
      <c r="H75" s="247">
        <v>20</v>
      </c>
      <c r="I75" s="247">
        <v>60</v>
      </c>
      <c r="J75" s="247">
        <v>37</v>
      </c>
      <c r="K75" s="247">
        <v>49</v>
      </c>
      <c r="L75" s="247">
        <v>34</v>
      </c>
      <c r="M75" s="247">
        <v>87</v>
      </c>
      <c r="N75" s="247">
        <v>76</v>
      </c>
      <c r="O75" s="247">
        <v>119</v>
      </c>
      <c r="P75" s="247">
        <v>100</v>
      </c>
      <c r="Q75" s="248">
        <v>104</v>
      </c>
      <c r="R75" s="247">
        <v>92</v>
      </c>
      <c r="S75" s="247">
        <v>17</v>
      </c>
      <c r="T75" s="247">
        <v>14</v>
      </c>
      <c r="U75" s="247">
        <v>13</v>
      </c>
      <c r="V75" s="247">
        <v>12</v>
      </c>
      <c r="W75" s="247">
        <v>8</v>
      </c>
      <c r="X75" s="247">
        <v>5</v>
      </c>
      <c r="Y75" s="247">
        <v>10</v>
      </c>
      <c r="Z75" s="247">
        <v>8</v>
      </c>
      <c r="AA75" s="247">
        <v>15</v>
      </c>
      <c r="AB75" s="247">
        <v>12</v>
      </c>
      <c r="AC75" s="247">
        <v>9</v>
      </c>
      <c r="AD75" s="247">
        <v>5</v>
      </c>
      <c r="AE75" s="247">
        <v>9</v>
      </c>
      <c r="AF75" s="247">
        <v>6</v>
      </c>
      <c r="AG75" s="247">
        <v>2</v>
      </c>
      <c r="AH75" s="247">
        <v>2</v>
      </c>
      <c r="AI75" s="247" t="s">
        <v>28</v>
      </c>
      <c r="AJ75" s="254" t="s">
        <v>28</v>
      </c>
    </row>
    <row r="76" spans="1:36" ht="9" customHeight="1">
      <c r="A76" s="263" t="s">
        <v>59</v>
      </c>
      <c r="B76" s="129" t="s">
        <v>60</v>
      </c>
      <c r="C76" s="243">
        <v>1376</v>
      </c>
      <c r="D76" s="243">
        <v>983</v>
      </c>
      <c r="E76" s="243">
        <v>40</v>
      </c>
      <c r="F76" s="243">
        <v>30</v>
      </c>
      <c r="G76" s="243">
        <v>215</v>
      </c>
      <c r="H76" s="243">
        <v>123</v>
      </c>
      <c r="I76" s="243">
        <v>192</v>
      </c>
      <c r="J76" s="243">
        <v>109</v>
      </c>
      <c r="K76" s="243">
        <v>182</v>
      </c>
      <c r="L76" s="243">
        <v>135</v>
      </c>
      <c r="M76" s="243">
        <v>212</v>
      </c>
      <c r="N76" s="243">
        <v>178</v>
      </c>
      <c r="O76" s="243">
        <v>234</v>
      </c>
      <c r="P76" s="243">
        <v>193</v>
      </c>
      <c r="Q76" s="244">
        <v>158</v>
      </c>
      <c r="R76" s="243">
        <v>117</v>
      </c>
      <c r="S76" s="243">
        <v>30</v>
      </c>
      <c r="T76" s="243">
        <v>27</v>
      </c>
      <c r="U76" s="243">
        <v>19</v>
      </c>
      <c r="V76" s="243">
        <v>13</v>
      </c>
      <c r="W76" s="243">
        <v>22</v>
      </c>
      <c r="X76" s="243">
        <v>16</v>
      </c>
      <c r="Y76" s="243">
        <v>18</v>
      </c>
      <c r="Z76" s="243">
        <v>10</v>
      </c>
      <c r="AA76" s="243">
        <v>13</v>
      </c>
      <c r="AB76" s="243">
        <v>10</v>
      </c>
      <c r="AC76" s="243">
        <v>15</v>
      </c>
      <c r="AD76" s="243">
        <v>8</v>
      </c>
      <c r="AE76" s="243">
        <v>16</v>
      </c>
      <c r="AF76" s="243">
        <v>10</v>
      </c>
      <c r="AG76" s="243">
        <v>6</v>
      </c>
      <c r="AH76" s="243">
        <v>4</v>
      </c>
      <c r="AI76" s="243">
        <v>4</v>
      </c>
      <c r="AJ76" s="253" t="s">
        <v>28</v>
      </c>
    </row>
    <row r="77" spans="1:36" ht="9" customHeight="1">
      <c r="A77" s="264" t="s">
        <v>136</v>
      </c>
      <c r="B77" s="131" t="s">
        <v>30</v>
      </c>
      <c r="C77" s="247">
        <v>1376</v>
      </c>
      <c r="D77" s="247">
        <v>983</v>
      </c>
      <c r="E77" s="247">
        <v>40</v>
      </c>
      <c r="F77" s="247">
        <v>30</v>
      </c>
      <c r="G77" s="247">
        <v>215</v>
      </c>
      <c r="H77" s="247">
        <v>123</v>
      </c>
      <c r="I77" s="247">
        <v>192</v>
      </c>
      <c r="J77" s="247">
        <v>109</v>
      </c>
      <c r="K77" s="247">
        <v>182</v>
      </c>
      <c r="L77" s="247">
        <v>135</v>
      </c>
      <c r="M77" s="247">
        <v>212</v>
      </c>
      <c r="N77" s="247">
        <v>178</v>
      </c>
      <c r="O77" s="247">
        <v>234</v>
      </c>
      <c r="P77" s="247">
        <v>193</v>
      </c>
      <c r="Q77" s="248">
        <v>158</v>
      </c>
      <c r="R77" s="247">
        <v>117</v>
      </c>
      <c r="S77" s="247">
        <v>30</v>
      </c>
      <c r="T77" s="247">
        <v>27</v>
      </c>
      <c r="U77" s="247">
        <v>19</v>
      </c>
      <c r="V77" s="247">
        <v>13</v>
      </c>
      <c r="W77" s="247">
        <v>22</v>
      </c>
      <c r="X77" s="247">
        <v>16</v>
      </c>
      <c r="Y77" s="247">
        <v>18</v>
      </c>
      <c r="Z77" s="247">
        <v>10</v>
      </c>
      <c r="AA77" s="247">
        <v>13</v>
      </c>
      <c r="AB77" s="247">
        <v>10</v>
      </c>
      <c r="AC77" s="247">
        <v>15</v>
      </c>
      <c r="AD77" s="247">
        <v>8</v>
      </c>
      <c r="AE77" s="247">
        <v>16</v>
      </c>
      <c r="AF77" s="247">
        <v>10</v>
      </c>
      <c r="AG77" s="247">
        <v>6</v>
      </c>
      <c r="AH77" s="247">
        <v>4</v>
      </c>
      <c r="AI77" s="247">
        <v>4</v>
      </c>
      <c r="AJ77" s="254" t="s">
        <v>28</v>
      </c>
    </row>
    <row r="78" spans="1:36" ht="9" customHeight="1">
      <c r="A78" s="263" t="s">
        <v>61</v>
      </c>
      <c r="B78" s="129" t="s">
        <v>62</v>
      </c>
      <c r="C78" s="243">
        <v>170</v>
      </c>
      <c r="D78" s="243">
        <v>91</v>
      </c>
      <c r="E78" s="243">
        <v>6</v>
      </c>
      <c r="F78" s="243">
        <v>5</v>
      </c>
      <c r="G78" s="243">
        <v>21</v>
      </c>
      <c r="H78" s="243">
        <v>10</v>
      </c>
      <c r="I78" s="243">
        <v>14</v>
      </c>
      <c r="J78" s="243">
        <v>7</v>
      </c>
      <c r="K78" s="243">
        <v>13</v>
      </c>
      <c r="L78" s="243">
        <v>6</v>
      </c>
      <c r="M78" s="243">
        <v>23</v>
      </c>
      <c r="N78" s="243">
        <v>18</v>
      </c>
      <c r="O78" s="243">
        <v>37</v>
      </c>
      <c r="P78" s="243">
        <v>21</v>
      </c>
      <c r="Q78" s="244">
        <v>18</v>
      </c>
      <c r="R78" s="243">
        <v>6</v>
      </c>
      <c r="S78" s="243">
        <v>4</v>
      </c>
      <c r="T78" s="243">
        <v>4</v>
      </c>
      <c r="U78" s="243">
        <v>7</v>
      </c>
      <c r="V78" s="243">
        <v>4</v>
      </c>
      <c r="W78" s="243">
        <v>6</v>
      </c>
      <c r="X78" s="243">
        <v>1</v>
      </c>
      <c r="Y78" s="243">
        <v>3</v>
      </c>
      <c r="Z78" s="243" t="s">
        <v>28</v>
      </c>
      <c r="AA78" s="243">
        <v>1</v>
      </c>
      <c r="AB78" s="243">
        <v>1</v>
      </c>
      <c r="AC78" s="243">
        <v>2</v>
      </c>
      <c r="AD78" s="243">
        <v>1</v>
      </c>
      <c r="AE78" s="243">
        <v>5</v>
      </c>
      <c r="AF78" s="243">
        <v>2</v>
      </c>
      <c r="AG78" s="243">
        <v>6</v>
      </c>
      <c r="AH78" s="243">
        <v>3</v>
      </c>
      <c r="AI78" s="243">
        <v>4</v>
      </c>
      <c r="AJ78" s="253">
        <v>2</v>
      </c>
    </row>
    <row r="79" spans="1:36" ht="9" customHeight="1">
      <c r="A79" s="264" t="s">
        <v>136</v>
      </c>
      <c r="B79" s="131" t="s">
        <v>30</v>
      </c>
      <c r="C79" s="247">
        <v>143</v>
      </c>
      <c r="D79" s="247">
        <v>79</v>
      </c>
      <c r="E79" s="247">
        <v>6</v>
      </c>
      <c r="F79" s="247">
        <v>5</v>
      </c>
      <c r="G79" s="247">
        <v>19</v>
      </c>
      <c r="H79" s="247">
        <v>9</v>
      </c>
      <c r="I79" s="247">
        <v>13</v>
      </c>
      <c r="J79" s="247">
        <v>7</v>
      </c>
      <c r="K79" s="247">
        <v>12</v>
      </c>
      <c r="L79" s="247">
        <v>5</v>
      </c>
      <c r="M79" s="247">
        <v>21</v>
      </c>
      <c r="N79" s="247">
        <v>17</v>
      </c>
      <c r="O79" s="247">
        <v>31</v>
      </c>
      <c r="P79" s="247">
        <v>20</v>
      </c>
      <c r="Q79" s="248">
        <v>13</v>
      </c>
      <c r="R79" s="247">
        <v>4</v>
      </c>
      <c r="S79" s="247">
        <v>2</v>
      </c>
      <c r="T79" s="247">
        <v>2</v>
      </c>
      <c r="U79" s="247">
        <v>5</v>
      </c>
      <c r="V79" s="247">
        <v>2</v>
      </c>
      <c r="W79" s="247">
        <v>4</v>
      </c>
      <c r="X79" s="247">
        <v>1</v>
      </c>
      <c r="Y79" s="247">
        <v>2</v>
      </c>
      <c r="Z79" s="247" t="s">
        <v>28</v>
      </c>
      <c r="AA79" s="247">
        <v>1</v>
      </c>
      <c r="AB79" s="247">
        <v>1</v>
      </c>
      <c r="AC79" s="247">
        <v>1</v>
      </c>
      <c r="AD79" s="247" t="s">
        <v>28</v>
      </c>
      <c r="AE79" s="247">
        <v>4</v>
      </c>
      <c r="AF79" s="247">
        <v>1</v>
      </c>
      <c r="AG79" s="247">
        <v>5</v>
      </c>
      <c r="AH79" s="247">
        <v>3</v>
      </c>
      <c r="AI79" s="247">
        <v>4</v>
      </c>
      <c r="AJ79" s="254">
        <v>2</v>
      </c>
    </row>
    <row r="80" spans="1:36" ht="9" customHeight="1">
      <c r="A80" s="264" t="s">
        <v>137</v>
      </c>
      <c r="B80" s="131" t="s">
        <v>32</v>
      </c>
      <c r="C80" s="247">
        <v>27</v>
      </c>
      <c r="D80" s="247">
        <v>12</v>
      </c>
      <c r="E80" s="247" t="s">
        <v>28</v>
      </c>
      <c r="F80" s="247" t="s">
        <v>28</v>
      </c>
      <c r="G80" s="247">
        <v>2</v>
      </c>
      <c r="H80" s="247">
        <v>1</v>
      </c>
      <c r="I80" s="247">
        <v>1</v>
      </c>
      <c r="J80" s="247" t="s">
        <v>28</v>
      </c>
      <c r="K80" s="247">
        <v>1</v>
      </c>
      <c r="L80" s="247">
        <v>1</v>
      </c>
      <c r="M80" s="247">
        <v>2</v>
      </c>
      <c r="N80" s="247">
        <v>1</v>
      </c>
      <c r="O80" s="247">
        <v>6</v>
      </c>
      <c r="P80" s="247">
        <v>1</v>
      </c>
      <c r="Q80" s="248">
        <v>5</v>
      </c>
      <c r="R80" s="247">
        <v>2</v>
      </c>
      <c r="S80" s="247">
        <v>2</v>
      </c>
      <c r="T80" s="247">
        <v>2</v>
      </c>
      <c r="U80" s="247">
        <v>2</v>
      </c>
      <c r="V80" s="247">
        <v>2</v>
      </c>
      <c r="W80" s="247">
        <v>2</v>
      </c>
      <c r="X80" s="247" t="s">
        <v>28</v>
      </c>
      <c r="Y80" s="247">
        <v>1</v>
      </c>
      <c r="Z80" s="247" t="s">
        <v>28</v>
      </c>
      <c r="AA80" s="247" t="s">
        <v>28</v>
      </c>
      <c r="AB80" s="247" t="s">
        <v>28</v>
      </c>
      <c r="AC80" s="247">
        <v>1</v>
      </c>
      <c r="AD80" s="247">
        <v>1</v>
      </c>
      <c r="AE80" s="247">
        <v>1</v>
      </c>
      <c r="AF80" s="247">
        <v>1</v>
      </c>
      <c r="AG80" s="247">
        <v>1</v>
      </c>
      <c r="AH80" s="247" t="s">
        <v>28</v>
      </c>
      <c r="AI80" s="247" t="s">
        <v>28</v>
      </c>
      <c r="AJ80" s="254" t="s">
        <v>28</v>
      </c>
    </row>
    <row r="81" spans="1:36" ht="9" customHeight="1">
      <c r="A81" s="263" t="s">
        <v>63</v>
      </c>
      <c r="B81" s="129" t="s">
        <v>64</v>
      </c>
      <c r="C81" s="243">
        <v>50</v>
      </c>
      <c r="D81" s="243">
        <v>32</v>
      </c>
      <c r="E81" s="243">
        <v>7</v>
      </c>
      <c r="F81" s="243">
        <v>6</v>
      </c>
      <c r="G81" s="243">
        <v>11</v>
      </c>
      <c r="H81" s="243">
        <v>6</v>
      </c>
      <c r="I81" s="243">
        <v>9</v>
      </c>
      <c r="J81" s="243">
        <v>6</v>
      </c>
      <c r="K81" s="243">
        <v>4</v>
      </c>
      <c r="L81" s="243">
        <v>1</v>
      </c>
      <c r="M81" s="243">
        <v>4</v>
      </c>
      <c r="N81" s="243">
        <v>1</v>
      </c>
      <c r="O81" s="243">
        <v>5</v>
      </c>
      <c r="P81" s="243">
        <v>3</v>
      </c>
      <c r="Q81" s="244">
        <v>7</v>
      </c>
      <c r="R81" s="243">
        <v>6</v>
      </c>
      <c r="S81" s="243">
        <v>1</v>
      </c>
      <c r="T81" s="243">
        <v>1</v>
      </c>
      <c r="U81" s="243" t="s">
        <v>28</v>
      </c>
      <c r="V81" s="243" t="s">
        <v>28</v>
      </c>
      <c r="W81" s="243" t="s">
        <v>28</v>
      </c>
      <c r="X81" s="243" t="s">
        <v>28</v>
      </c>
      <c r="Y81" s="243">
        <v>1</v>
      </c>
      <c r="Z81" s="243">
        <v>1</v>
      </c>
      <c r="AA81" s="243" t="s">
        <v>28</v>
      </c>
      <c r="AB81" s="243" t="s">
        <v>28</v>
      </c>
      <c r="AC81" s="243">
        <v>1</v>
      </c>
      <c r="AD81" s="243">
        <v>1</v>
      </c>
      <c r="AE81" s="243" t="s">
        <v>28</v>
      </c>
      <c r="AF81" s="243" t="s">
        <v>28</v>
      </c>
      <c r="AG81" s="243" t="s">
        <v>28</v>
      </c>
      <c r="AH81" s="243" t="s">
        <v>28</v>
      </c>
      <c r="AI81" s="243" t="s">
        <v>28</v>
      </c>
      <c r="AJ81" s="253" t="s">
        <v>28</v>
      </c>
    </row>
    <row r="82" spans="1:36" ht="9" customHeight="1" thickBot="1">
      <c r="A82" s="1895" t="s">
        <v>136</v>
      </c>
      <c r="B82" s="132" t="s">
        <v>30</v>
      </c>
      <c r="C82" s="250">
        <v>50</v>
      </c>
      <c r="D82" s="250">
        <v>32</v>
      </c>
      <c r="E82" s="250">
        <v>7</v>
      </c>
      <c r="F82" s="250">
        <v>6</v>
      </c>
      <c r="G82" s="250">
        <v>11</v>
      </c>
      <c r="H82" s="250">
        <v>6</v>
      </c>
      <c r="I82" s="250">
        <v>9</v>
      </c>
      <c r="J82" s="250">
        <v>6</v>
      </c>
      <c r="K82" s="250">
        <v>4</v>
      </c>
      <c r="L82" s="250">
        <v>1</v>
      </c>
      <c r="M82" s="250">
        <v>4</v>
      </c>
      <c r="N82" s="250">
        <v>1</v>
      </c>
      <c r="O82" s="250">
        <v>5</v>
      </c>
      <c r="P82" s="250">
        <v>3</v>
      </c>
      <c r="Q82" s="251">
        <v>7</v>
      </c>
      <c r="R82" s="250">
        <v>6</v>
      </c>
      <c r="S82" s="250">
        <v>1</v>
      </c>
      <c r="T82" s="250">
        <v>1</v>
      </c>
      <c r="U82" s="250" t="s">
        <v>28</v>
      </c>
      <c r="V82" s="250" t="s">
        <v>28</v>
      </c>
      <c r="W82" s="250" t="s">
        <v>28</v>
      </c>
      <c r="X82" s="250" t="s">
        <v>28</v>
      </c>
      <c r="Y82" s="250">
        <v>1</v>
      </c>
      <c r="Z82" s="250">
        <v>1</v>
      </c>
      <c r="AA82" s="250" t="s">
        <v>28</v>
      </c>
      <c r="AB82" s="250" t="s">
        <v>28</v>
      </c>
      <c r="AC82" s="250">
        <v>1</v>
      </c>
      <c r="AD82" s="250">
        <v>1</v>
      </c>
      <c r="AE82" s="250" t="s">
        <v>28</v>
      </c>
      <c r="AF82" s="250" t="s">
        <v>28</v>
      </c>
      <c r="AG82" s="250" t="s">
        <v>28</v>
      </c>
      <c r="AH82" s="250" t="s">
        <v>28</v>
      </c>
      <c r="AI82" s="250" t="s">
        <v>28</v>
      </c>
      <c r="AJ82" s="255" t="s">
        <v>28</v>
      </c>
    </row>
    <row r="85" spans="1:36">
      <c r="A85" s="155"/>
    </row>
  </sheetData>
  <mergeCells count="32">
    <mergeCell ref="A42:P42"/>
    <mergeCell ref="Q42:AJ42"/>
    <mergeCell ref="A56:P56"/>
    <mergeCell ref="Q56:AJ56"/>
    <mergeCell ref="A7:B7"/>
    <mergeCell ref="A8:B8"/>
    <mergeCell ref="AE5:AF6"/>
    <mergeCell ref="A5:B5"/>
    <mergeCell ref="C5:D5"/>
    <mergeCell ref="E5:F5"/>
    <mergeCell ref="G5:H6"/>
    <mergeCell ref="U5:V6"/>
    <mergeCell ref="W5:X6"/>
    <mergeCell ref="Y5:Z6"/>
    <mergeCell ref="AA5:AB6"/>
    <mergeCell ref="AC5:AD6"/>
    <mergeCell ref="A2:P2"/>
    <mergeCell ref="Q2:AJ2"/>
    <mergeCell ref="A3:P3"/>
    <mergeCell ref="Q3:AJ3"/>
    <mergeCell ref="I5:J6"/>
    <mergeCell ref="K5:L6"/>
    <mergeCell ref="A6:B6"/>
    <mergeCell ref="C6:D6"/>
    <mergeCell ref="E6:F6"/>
    <mergeCell ref="AG5:AH6"/>
    <mergeCell ref="AI5:AJ5"/>
    <mergeCell ref="AI6:AJ6"/>
    <mergeCell ref="M5:N6"/>
    <mergeCell ref="O5:P6"/>
    <mergeCell ref="Q5:R6"/>
    <mergeCell ref="S5:T6"/>
  </mergeCells>
  <phoneticPr fontId="4" type="noConversion"/>
  <hyperlinks>
    <hyperlink ref="A1" location="목록!A1" display="목록!A1" xr:uid="{A8418395-9A6C-403A-9903-508474E74CD1}"/>
  </hyperlinks>
  <printOptions horizontalCentered="1"/>
  <pageMargins left="0.59055118110236227" right="0.59055118110236227" top="0.78740157480314965" bottom="0.23622047244094491" header="0.62992125984251968" footer="0.39370078740157483"/>
  <pageSetup paperSize="9" scale="95" orientation="portrait" r:id="rId1"/>
  <rowBreaks count="1" manualBreakCount="1">
    <brk id="82" max="35" man="1"/>
  </rowBreaks>
  <colBreaks count="1" manualBreakCount="1">
    <brk id="16" min="1" max="81" man="1"/>
  </col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dimension ref="A1:T86"/>
  <sheetViews>
    <sheetView showGridLines="0" showWhiteSpace="0" view="pageBreakPreview" zoomScaleNormal="100" zoomScaleSheetLayoutView="100" workbookViewId="0">
      <selection activeCell="A2" sqref="A2:T83"/>
    </sheetView>
  </sheetViews>
  <sheetFormatPr defaultColWidth="8.88671875" defaultRowHeight="16.5"/>
  <cols>
    <col min="1" max="1" width="7.88671875" style="444" customWidth="1"/>
    <col min="2" max="2" width="14" style="444" customWidth="1"/>
    <col min="3" max="9" width="7.33203125" style="152" customWidth="1"/>
    <col min="10" max="10" width="7.33203125" style="154" customWidth="1"/>
    <col min="11" max="11" width="7.77734375" style="154" customWidth="1"/>
    <col min="12" max="19" width="7.77734375" style="152" customWidth="1"/>
    <col min="20" max="20" width="7.77734375" style="154" customWidth="1"/>
    <col min="21" max="16384" width="8.88671875" style="60"/>
  </cols>
  <sheetData>
    <row r="1" spans="1:20" ht="22.5">
      <c r="A1" s="901" t="s">
        <v>1332</v>
      </c>
      <c r="J1" s="152"/>
    </row>
    <row r="2" spans="1:20" s="122" customFormat="1" ht="13.5" customHeight="1">
      <c r="A2" s="1046" t="s">
        <v>962</v>
      </c>
      <c r="B2" s="1046"/>
      <c r="C2" s="1046"/>
      <c r="D2" s="1046"/>
      <c r="E2" s="1046"/>
      <c r="F2" s="1046"/>
      <c r="G2" s="1046"/>
      <c r="H2" s="1046"/>
      <c r="I2" s="1046"/>
      <c r="J2" s="1046"/>
      <c r="K2" s="1049" t="s">
        <v>1038</v>
      </c>
      <c r="L2" s="1049"/>
      <c r="M2" s="1049"/>
      <c r="N2" s="1049"/>
      <c r="O2" s="1049"/>
      <c r="P2" s="1049"/>
      <c r="Q2" s="1049"/>
      <c r="R2" s="1049"/>
      <c r="S2" s="1049"/>
      <c r="T2" s="1049"/>
    </row>
    <row r="3" spans="1:20" ht="22.5" customHeight="1">
      <c r="A3" s="1050" t="s">
        <v>1249</v>
      </c>
      <c r="B3" s="1050"/>
      <c r="C3" s="1050"/>
      <c r="D3" s="1050"/>
      <c r="E3" s="1050"/>
      <c r="F3" s="1050"/>
      <c r="G3" s="1050"/>
      <c r="H3" s="1050"/>
      <c r="I3" s="1050"/>
      <c r="J3" s="1050"/>
      <c r="K3" s="1050" t="s">
        <v>915</v>
      </c>
      <c r="L3" s="1050"/>
      <c r="M3" s="1050"/>
      <c r="N3" s="1050"/>
      <c r="O3" s="1050"/>
      <c r="P3" s="1050"/>
      <c r="Q3" s="1050"/>
      <c r="R3" s="1050"/>
      <c r="S3" s="1050"/>
      <c r="T3" s="1050"/>
    </row>
    <row r="4" spans="1:20" ht="14.1" customHeight="1" thickBot="1">
      <c r="A4" s="446"/>
      <c r="B4" s="446"/>
      <c r="C4" s="446"/>
      <c r="D4" s="446"/>
      <c r="E4" s="446"/>
      <c r="F4" s="446"/>
      <c r="G4" s="446"/>
      <c r="H4" s="446"/>
      <c r="I4" s="446"/>
      <c r="J4" s="446"/>
      <c r="K4" s="446"/>
      <c r="L4" s="446"/>
      <c r="M4" s="446"/>
      <c r="N4" s="446"/>
      <c r="O4" s="446"/>
      <c r="P4" s="446"/>
      <c r="Q4" s="446"/>
      <c r="R4" s="446"/>
      <c r="S4" s="446"/>
      <c r="T4" s="446"/>
    </row>
    <row r="5" spans="1:20" s="125" customFormat="1" ht="10.5" customHeight="1">
      <c r="A5" s="1381" t="s">
        <v>668</v>
      </c>
      <c r="B5" s="1011"/>
      <c r="C5" s="1012" t="s">
        <v>699</v>
      </c>
      <c r="D5" s="1011"/>
      <c r="E5" s="1012" t="s">
        <v>218</v>
      </c>
      <c r="F5" s="1011"/>
      <c r="G5" s="1012" t="s">
        <v>1237</v>
      </c>
      <c r="H5" s="1011"/>
      <c r="I5" s="1012" t="s">
        <v>1238</v>
      </c>
      <c r="J5" s="1383"/>
      <c r="K5" s="1385" t="s">
        <v>1239</v>
      </c>
      <c r="L5" s="1011"/>
      <c r="M5" s="1065" t="s">
        <v>1240</v>
      </c>
      <c r="N5" s="1065"/>
      <c r="O5" s="1012" t="s">
        <v>1241</v>
      </c>
      <c r="P5" s="1011"/>
      <c r="Q5" s="1012" t="s">
        <v>1242</v>
      </c>
      <c r="R5" s="1011"/>
      <c r="S5" s="1012" t="s">
        <v>1243</v>
      </c>
      <c r="T5" s="1381"/>
    </row>
    <row r="6" spans="1:20" s="260" customFormat="1" ht="9.75" customHeight="1">
      <c r="A6" s="1005" t="s">
        <v>7</v>
      </c>
      <c r="B6" s="1010"/>
      <c r="C6" s="1013" t="s">
        <v>16</v>
      </c>
      <c r="D6" s="1008"/>
      <c r="E6" s="1013" t="s">
        <v>219</v>
      </c>
      <c r="F6" s="1008"/>
      <c r="G6" s="1121"/>
      <c r="H6" s="1122"/>
      <c r="I6" s="1121"/>
      <c r="J6" s="1384"/>
      <c r="K6" s="1386"/>
      <c r="L6" s="1122"/>
      <c r="M6" s="1066"/>
      <c r="N6" s="1066"/>
      <c r="O6" s="1121"/>
      <c r="P6" s="1122"/>
      <c r="Q6" s="1121"/>
      <c r="R6" s="1122"/>
      <c r="S6" s="1013" t="s">
        <v>1087</v>
      </c>
      <c r="T6" s="1007"/>
    </row>
    <row r="7" spans="1:20" ht="9.75" customHeight="1">
      <c r="A7" s="1040"/>
      <c r="B7" s="1031"/>
      <c r="C7" s="966" t="s">
        <v>13</v>
      </c>
      <c r="D7" s="966" t="s">
        <v>23</v>
      </c>
      <c r="E7" s="966" t="s">
        <v>13</v>
      </c>
      <c r="F7" s="966" t="s">
        <v>23</v>
      </c>
      <c r="G7" s="966" t="s">
        <v>13</v>
      </c>
      <c r="H7" s="966" t="s">
        <v>23</v>
      </c>
      <c r="I7" s="966" t="s">
        <v>13</v>
      </c>
      <c r="J7" s="447" t="s">
        <v>23</v>
      </c>
      <c r="K7" s="448" t="s">
        <v>13</v>
      </c>
      <c r="L7" s="963" t="s">
        <v>23</v>
      </c>
      <c r="M7" s="81" t="s">
        <v>13</v>
      </c>
      <c r="N7" s="965" t="s">
        <v>23</v>
      </c>
      <c r="O7" s="966" t="s">
        <v>13</v>
      </c>
      <c r="P7" s="966" t="s">
        <v>23</v>
      </c>
      <c r="Q7" s="966" t="s">
        <v>13</v>
      </c>
      <c r="R7" s="966" t="s">
        <v>23</v>
      </c>
      <c r="S7" s="966" t="s">
        <v>13</v>
      </c>
      <c r="T7" s="967" t="s">
        <v>23</v>
      </c>
    </row>
    <row r="8" spans="1:20" s="260" customFormat="1" ht="9.75" customHeight="1">
      <c r="A8" s="1007"/>
      <c r="B8" s="1008"/>
      <c r="C8" s="905" t="s">
        <v>25</v>
      </c>
      <c r="D8" s="905" t="s">
        <v>26</v>
      </c>
      <c r="E8" s="905" t="s">
        <v>25</v>
      </c>
      <c r="F8" s="905" t="s">
        <v>26</v>
      </c>
      <c r="G8" s="905" t="s">
        <v>25</v>
      </c>
      <c r="H8" s="905" t="s">
        <v>26</v>
      </c>
      <c r="I8" s="905" t="s">
        <v>25</v>
      </c>
      <c r="J8" s="449" t="s">
        <v>26</v>
      </c>
      <c r="K8" s="450" t="s">
        <v>25</v>
      </c>
      <c r="L8" s="905" t="s">
        <v>26</v>
      </c>
      <c r="M8" s="910" t="s">
        <v>25</v>
      </c>
      <c r="N8" s="910" t="s">
        <v>26</v>
      </c>
      <c r="O8" s="905" t="s">
        <v>25</v>
      </c>
      <c r="P8" s="905" t="s">
        <v>26</v>
      </c>
      <c r="Q8" s="905" t="s">
        <v>25</v>
      </c>
      <c r="R8" s="905" t="s">
        <v>26</v>
      </c>
      <c r="S8" s="905" t="s">
        <v>25</v>
      </c>
      <c r="T8" s="909" t="s">
        <v>26</v>
      </c>
    </row>
    <row r="9" spans="1:20" ht="9" customHeight="1">
      <c r="A9" s="102" t="s">
        <v>27</v>
      </c>
      <c r="B9" s="170" t="s">
        <v>16</v>
      </c>
      <c r="C9" s="243">
        <v>6185</v>
      </c>
      <c r="D9" s="243">
        <v>4541</v>
      </c>
      <c r="E9" s="243">
        <v>1203</v>
      </c>
      <c r="F9" s="243">
        <v>937</v>
      </c>
      <c r="G9" s="243">
        <v>190</v>
      </c>
      <c r="H9" s="243">
        <v>149</v>
      </c>
      <c r="I9" s="243">
        <v>230</v>
      </c>
      <c r="J9" s="443">
        <v>159</v>
      </c>
      <c r="K9" s="389">
        <v>1778</v>
      </c>
      <c r="L9" s="381">
        <v>1275</v>
      </c>
      <c r="M9" s="380">
        <v>2492</v>
      </c>
      <c r="N9" s="243">
        <v>1796</v>
      </c>
      <c r="O9" s="243">
        <v>254</v>
      </c>
      <c r="P9" s="243">
        <v>195</v>
      </c>
      <c r="Q9" s="243">
        <v>17</v>
      </c>
      <c r="R9" s="243">
        <v>14</v>
      </c>
      <c r="S9" s="243">
        <v>21</v>
      </c>
      <c r="T9" s="245">
        <v>16</v>
      </c>
    </row>
    <row r="10" spans="1:20" ht="9" customHeight="1">
      <c r="A10" s="246" t="s">
        <v>29</v>
      </c>
      <c r="B10" s="172" t="s">
        <v>190</v>
      </c>
      <c r="C10" s="247">
        <v>5885</v>
      </c>
      <c r="D10" s="247">
        <v>4389</v>
      </c>
      <c r="E10" s="247">
        <v>1143</v>
      </c>
      <c r="F10" s="247">
        <v>903</v>
      </c>
      <c r="G10" s="247">
        <v>172</v>
      </c>
      <c r="H10" s="247">
        <v>142</v>
      </c>
      <c r="I10" s="247">
        <v>227</v>
      </c>
      <c r="J10" s="442">
        <v>158</v>
      </c>
      <c r="K10" s="387">
        <v>1713</v>
      </c>
      <c r="L10" s="254">
        <v>1251</v>
      </c>
      <c r="M10" s="248">
        <v>2357</v>
      </c>
      <c r="N10" s="247">
        <v>1723</v>
      </c>
      <c r="O10" s="247">
        <v>241</v>
      </c>
      <c r="P10" s="247">
        <v>186</v>
      </c>
      <c r="Q10" s="247">
        <v>16</v>
      </c>
      <c r="R10" s="247">
        <v>13</v>
      </c>
      <c r="S10" s="247">
        <v>16</v>
      </c>
      <c r="T10" s="249">
        <v>13</v>
      </c>
    </row>
    <row r="11" spans="1:20" ht="9" customHeight="1">
      <c r="A11" s="246" t="s">
        <v>31</v>
      </c>
      <c r="B11" s="172" t="s">
        <v>191</v>
      </c>
      <c r="C11" s="247">
        <v>300</v>
      </c>
      <c r="D11" s="247">
        <v>152</v>
      </c>
      <c r="E11" s="247">
        <v>60</v>
      </c>
      <c r="F11" s="247">
        <v>34</v>
      </c>
      <c r="G11" s="247">
        <v>18</v>
      </c>
      <c r="H11" s="247">
        <v>7</v>
      </c>
      <c r="I11" s="247">
        <v>3</v>
      </c>
      <c r="J11" s="442">
        <v>1</v>
      </c>
      <c r="K11" s="387">
        <v>65</v>
      </c>
      <c r="L11" s="254">
        <v>24</v>
      </c>
      <c r="M11" s="248">
        <v>135</v>
      </c>
      <c r="N11" s="247">
        <v>73</v>
      </c>
      <c r="O11" s="247">
        <v>13</v>
      </c>
      <c r="P11" s="247">
        <v>9</v>
      </c>
      <c r="Q11" s="247">
        <v>1</v>
      </c>
      <c r="R11" s="247">
        <v>1</v>
      </c>
      <c r="S11" s="247">
        <v>5</v>
      </c>
      <c r="T11" s="249">
        <v>3</v>
      </c>
    </row>
    <row r="12" spans="1:20" ht="9" customHeight="1">
      <c r="A12" s="102" t="s">
        <v>171</v>
      </c>
      <c r="B12" s="170" t="s">
        <v>159</v>
      </c>
      <c r="C12" s="243">
        <v>137</v>
      </c>
      <c r="D12" s="243">
        <v>63</v>
      </c>
      <c r="E12" s="243">
        <v>136</v>
      </c>
      <c r="F12" s="243">
        <v>63</v>
      </c>
      <c r="G12" s="243">
        <v>1</v>
      </c>
      <c r="H12" s="243" t="s">
        <v>28</v>
      </c>
      <c r="I12" s="243" t="s">
        <v>28</v>
      </c>
      <c r="J12" s="443" t="s">
        <v>28</v>
      </c>
      <c r="K12" s="389" t="s">
        <v>28</v>
      </c>
      <c r="L12" s="253" t="s">
        <v>28</v>
      </c>
      <c r="M12" s="244" t="s">
        <v>28</v>
      </c>
      <c r="N12" s="243" t="s">
        <v>28</v>
      </c>
      <c r="O12" s="243" t="s">
        <v>28</v>
      </c>
      <c r="P12" s="243" t="s">
        <v>28</v>
      </c>
      <c r="Q12" s="243" t="s">
        <v>28</v>
      </c>
      <c r="R12" s="243" t="s">
        <v>28</v>
      </c>
      <c r="S12" s="243" t="s">
        <v>28</v>
      </c>
      <c r="T12" s="245" t="s">
        <v>28</v>
      </c>
    </row>
    <row r="13" spans="1:20" ht="9" customHeight="1">
      <c r="A13" s="246" t="s">
        <v>29</v>
      </c>
      <c r="B13" s="172" t="s">
        <v>190</v>
      </c>
      <c r="C13" s="247">
        <v>127</v>
      </c>
      <c r="D13" s="247">
        <v>60</v>
      </c>
      <c r="E13" s="247">
        <v>127</v>
      </c>
      <c r="F13" s="247">
        <v>60</v>
      </c>
      <c r="G13" s="247" t="s">
        <v>28</v>
      </c>
      <c r="H13" s="247" t="s">
        <v>28</v>
      </c>
      <c r="I13" s="247" t="s">
        <v>28</v>
      </c>
      <c r="J13" s="442" t="s">
        <v>28</v>
      </c>
      <c r="K13" s="387" t="s">
        <v>28</v>
      </c>
      <c r="L13" s="254" t="s">
        <v>28</v>
      </c>
      <c r="M13" s="248" t="s">
        <v>28</v>
      </c>
      <c r="N13" s="247" t="s">
        <v>28</v>
      </c>
      <c r="O13" s="247" t="s">
        <v>28</v>
      </c>
      <c r="P13" s="247" t="s">
        <v>28</v>
      </c>
      <c r="Q13" s="247" t="s">
        <v>28</v>
      </c>
      <c r="R13" s="247" t="s">
        <v>28</v>
      </c>
      <c r="S13" s="247" t="s">
        <v>28</v>
      </c>
      <c r="T13" s="249" t="s">
        <v>28</v>
      </c>
    </row>
    <row r="14" spans="1:20" ht="9" customHeight="1">
      <c r="A14" s="246" t="s">
        <v>31</v>
      </c>
      <c r="B14" s="172" t="s">
        <v>191</v>
      </c>
      <c r="C14" s="247">
        <v>10</v>
      </c>
      <c r="D14" s="247">
        <v>3</v>
      </c>
      <c r="E14" s="247">
        <v>9</v>
      </c>
      <c r="F14" s="247">
        <v>3</v>
      </c>
      <c r="G14" s="247">
        <v>1</v>
      </c>
      <c r="H14" s="247" t="s">
        <v>28</v>
      </c>
      <c r="I14" s="247" t="s">
        <v>28</v>
      </c>
      <c r="J14" s="442" t="s">
        <v>28</v>
      </c>
      <c r="K14" s="387" t="s">
        <v>28</v>
      </c>
      <c r="L14" s="254" t="s">
        <v>28</v>
      </c>
      <c r="M14" s="248" t="s">
        <v>28</v>
      </c>
      <c r="N14" s="247" t="s">
        <v>28</v>
      </c>
      <c r="O14" s="247" t="s">
        <v>28</v>
      </c>
      <c r="P14" s="247" t="s">
        <v>28</v>
      </c>
      <c r="Q14" s="247" t="s">
        <v>28</v>
      </c>
      <c r="R14" s="247" t="s">
        <v>28</v>
      </c>
      <c r="S14" s="247" t="s">
        <v>28</v>
      </c>
      <c r="T14" s="249" t="s">
        <v>28</v>
      </c>
    </row>
    <row r="15" spans="1:20" ht="9" customHeight="1">
      <c r="A15" s="102" t="s">
        <v>172</v>
      </c>
      <c r="B15" s="170" t="s">
        <v>160</v>
      </c>
      <c r="C15" s="243">
        <v>133</v>
      </c>
      <c r="D15" s="243">
        <v>53</v>
      </c>
      <c r="E15" s="243">
        <v>132</v>
      </c>
      <c r="F15" s="243">
        <v>53</v>
      </c>
      <c r="G15" s="243">
        <v>1</v>
      </c>
      <c r="H15" s="243" t="s">
        <v>28</v>
      </c>
      <c r="I15" s="243" t="s">
        <v>28</v>
      </c>
      <c r="J15" s="443" t="s">
        <v>28</v>
      </c>
      <c r="K15" s="389" t="s">
        <v>28</v>
      </c>
      <c r="L15" s="253" t="s">
        <v>28</v>
      </c>
      <c r="M15" s="244" t="s">
        <v>28</v>
      </c>
      <c r="N15" s="243" t="s">
        <v>28</v>
      </c>
      <c r="O15" s="243" t="s">
        <v>28</v>
      </c>
      <c r="P15" s="243" t="s">
        <v>28</v>
      </c>
      <c r="Q15" s="243" t="s">
        <v>28</v>
      </c>
      <c r="R15" s="243" t="s">
        <v>28</v>
      </c>
      <c r="S15" s="243" t="s">
        <v>28</v>
      </c>
      <c r="T15" s="245" t="s">
        <v>28</v>
      </c>
    </row>
    <row r="16" spans="1:20" ht="9" customHeight="1">
      <c r="A16" s="246" t="s">
        <v>29</v>
      </c>
      <c r="B16" s="172" t="s">
        <v>190</v>
      </c>
      <c r="C16" s="247">
        <v>125</v>
      </c>
      <c r="D16" s="247">
        <v>53</v>
      </c>
      <c r="E16" s="247">
        <v>125</v>
      </c>
      <c r="F16" s="247">
        <v>53</v>
      </c>
      <c r="G16" s="247" t="s">
        <v>28</v>
      </c>
      <c r="H16" s="247" t="s">
        <v>28</v>
      </c>
      <c r="I16" s="247" t="s">
        <v>28</v>
      </c>
      <c r="J16" s="442" t="s">
        <v>28</v>
      </c>
      <c r="K16" s="387" t="s">
        <v>28</v>
      </c>
      <c r="L16" s="254" t="s">
        <v>28</v>
      </c>
      <c r="M16" s="248" t="s">
        <v>28</v>
      </c>
      <c r="N16" s="247" t="s">
        <v>28</v>
      </c>
      <c r="O16" s="247" t="s">
        <v>28</v>
      </c>
      <c r="P16" s="247" t="s">
        <v>28</v>
      </c>
      <c r="Q16" s="247" t="s">
        <v>28</v>
      </c>
      <c r="R16" s="247" t="s">
        <v>28</v>
      </c>
      <c r="S16" s="247" t="s">
        <v>28</v>
      </c>
      <c r="T16" s="249" t="s">
        <v>28</v>
      </c>
    </row>
    <row r="17" spans="1:20" ht="9" customHeight="1">
      <c r="A17" s="246" t="s">
        <v>31</v>
      </c>
      <c r="B17" s="172" t="s">
        <v>191</v>
      </c>
      <c r="C17" s="247">
        <v>8</v>
      </c>
      <c r="D17" s="247" t="s">
        <v>28</v>
      </c>
      <c r="E17" s="247">
        <v>7</v>
      </c>
      <c r="F17" s="247" t="s">
        <v>28</v>
      </c>
      <c r="G17" s="247">
        <v>1</v>
      </c>
      <c r="H17" s="247" t="s">
        <v>28</v>
      </c>
      <c r="I17" s="247" t="s">
        <v>28</v>
      </c>
      <c r="J17" s="442" t="s">
        <v>28</v>
      </c>
      <c r="K17" s="387" t="s">
        <v>28</v>
      </c>
      <c r="L17" s="254" t="s">
        <v>28</v>
      </c>
      <c r="M17" s="248" t="s">
        <v>28</v>
      </c>
      <c r="N17" s="247" t="s">
        <v>28</v>
      </c>
      <c r="O17" s="247" t="s">
        <v>28</v>
      </c>
      <c r="P17" s="247" t="s">
        <v>28</v>
      </c>
      <c r="Q17" s="247" t="s">
        <v>28</v>
      </c>
      <c r="R17" s="247" t="s">
        <v>28</v>
      </c>
      <c r="S17" s="247" t="s">
        <v>28</v>
      </c>
      <c r="T17" s="249" t="s">
        <v>28</v>
      </c>
    </row>
    <row r="18" spans="1:20" ht="9" customHeight="1">
      <c r="A18" s="102" t="s">
        <v>428</v>
      </c>
      <c r="B18" s="170" t="s">
        <v>432</v>
      </c>
      <c r="C18" s="451">
        <v>8</v>
      </c>
      <c r="D18" s="451">
        <v>6</v>
      </c>
      <c r="E18" s="451">
        <v>5</v>
      </c>
      <c r="F18" s="451">
        <v>4</v>
      </c>
      <c r="G18" s="451">
        <v>2</v>
      </c>
      <c r="H18" s="451">
        <v>2</v>
      </c>
      <c r="I18" s="451" t="s">
        <v>28</v>
      </c>
      <c r="J18" s="452" t="s">
        <v>28</v>
      </c>
      <c r="K18" s="453">
        <v>1</v>
      </c>
      <c r="L18" s="454" t="s">
        <v>28</v>
      </c>
      <c r="M18" s="455" t="s">
        <v>28</v>
      </c>
      <c r="N18" s="451" t="s">
        <v>28</v>
      </c>
      <c r="O18" s="451" t="s">
        <v>28</v>
      </c>
      <c r="P18" s="451" t="s">
        <v>28</v>
      </c>
      <c r="Q18" s="451" t="s">
        <v>28</v>
      </c>
      <c r="R18" s="451" t="s">
        <v>28</v>
      </c>
      <c r="S18" s="451" t="s">
        <v>28</v>
      </c>
      <c r="T18" s="456" t="s">
        <v>28</v>
      </c>
    </row>
    <row r="19" spans="1:20" ht="9" customHeight="1">
      <c r="A19" s="246" t="s">
        <v>29</v>
      </c>
      <c r="B19" s="172" t="s">
        <v>190</v>
      </c>
      <c r="C19" s="247">
        <v>8</v>
      </c>
      <c r="D19" s="247">
        <v>6</v>
      </c>
      <c r="E19" s="247">
        <v>5</v>
      </c>
      <c r="F19" s="247">
        <v>4</v>
      </c>
      <c r="G19" s="247">
        <v>2</v>
      </c>
      <c r="H19" s="247">
        <v>2</v>
      </c>
      <c r="I19" s="247" t="s">
        <v>28</v>
      </c>
      <c r="J19" s="442" t="s">
        <v>28</v>
      </c>
      <c r="K19" s="387">
        <v>1</v>
      </c>
      <c r="L19" s="254" t="s">
        <v>28</v>
      </c>
      <c r="M19" s="248" t="s">
        <v>28</v>
      </c>
      <c r="N19" s="247" t="s">
        <v>28</v>
      </c>
      <c r="O19" s="247" t="s">
        <v>28</v>
      </c>
      <c r="P19" s="247" t="s">
        <v>28</v>
      </c>
      <c r="Q19" s="247" t="s">
        <v>28</v>
      </c>
      <c r="R19" s="247" t="s">
        <v>28</v>
      </c>
      <c r="S19" s="247" t="s">
        <v>28</v>
      </c>
      <c r="T19" s="249" t="s">
        <v>28</v>
      </c>
    </row>
    <row r="20" spans="1:20" ht="9" customHeight="1">
      <c r="A20" s="102" t="s">
        <v>158</v>
      </c>
      <c r="B20" s="170" t="s">
        <v>161</v>
      </c>
      <c r="C20" s="243">
        <v>1370</v>
      </c>
      <c r="D20" s="243">
        <v>1004</v>
      </c>
      <c r="E20" s="243">
        <v>75</v>
      </c>
      <c r="F20" s="243">
        <v>62</v>
      </c>
      <c r="G20" s="243">
        <v>79</v>
      </c>
      <c r="H20" s="243">
        <v>66</v>
      </c>
      <c r="I20" s="243">
        <v>110</v>
      </c>
      <c r="J20" s="443">
        <v>76</v>
      </c>
      <c r="K20" s="389">
        <v>594</v>
      </c>
      <c r="L20" s="253">
        <v>418</v>
      </c>
      <c r="M20" s="244">
        <v>476</v>
      </c>
      <c r="N20" s="243">
        <v>355</v>
      </c>
      <c r="O20" s="243">
        <v>34</v>
      </c>
      <c r="P20" s="243">
        <v>26</v>
      </c>
      <c r="Q20" s="243">
        <v>1</v>
      </c>
      <c r="R20" s="243" t="s">
        <v>28</v>
      </c>
      <c r="S20" s="243">
        <v>1</v>
      </c>
      <c r="T20" s="245">
        <v>1</v>
      </c>
    </row>
    <row r="21" spans="1:20" ht="9" customHeight="1">
      <c r="A21" s="246" t="s">
        <v>29</v>
      </c>
      <c r="B21" s="172" t="s">
        <v>190</v>
      </c>
      <c r="C21" s="247">
        <v>1284</v>
      </c>
      <c r="D21" s="247">
        <v>971</v>
      </c>
      <c r="E21" s="247">
        <v>66</v>
      </c>
      <c r="F21" s="247">
        <v>58</v>
      </c>
      <c r="G21" s="247">
        <v>72</v>
      </c>
      <c r="H21" s="247">
        <v>62</v>
      </c>
      <c r="I21" s="247">
        <v>108</v>
      </c>
      <c r="J21" s="442">
        <v>75</v>
      </c>
      <c r="K21" s="387">
        <v>562</v>
      </c>
      <c r="L21" s="254">
        <v>407</v>
      </c>
      <c r="M21" s="248">
        <v>441</v>
      </c>
      <c r="N21" s="247">
        <v>342</v>
      </c>
      <c r="O21" s="247">
        <v>33</v>
      </c>
      <c r="P21" s="247">
        <v>26</v>
      </c>
      <c r="Q21" s="247">
        <v>1</v>
      </c>
      <c r="R21" s="247" t="s">
        <v>28</v>
      </c>
      <c r="S21" s="247">
        <v>1</v>
      </c>
      <c r="T21" s="249">
        <v>1</v>
      </c>
    </row>
    <row r="22" spans="1:20" ht="9" customHeight="1">
      <c r="A22" s="246" t="s">
        <v>31</v>
      </c>
      <c r="B22" s="172" t="s">
        <v>191</v>
      </c>
      <c r="C22" s="247">
        <v>86</v>
      </c>
      <c r="D22" s="247">
        <v>33</v>
      </c>
      <c r="E22" s="247">
        <v>9</v>
      </c>
      <c r="F22" s="247">
        <v>4</v>
      </c>
      <c r="G22" s="247">
        <v>7</v>
      </c>
      <c r="H22" s="247">
        <v>4</v>
      </c>
      <c r="I22" s="247">
        <v>2</v>
      </c>
      <c r="J22" s="442">
        <v>1</v>
      </c>
      <c r="K22" s="387">
        <v>32</v>
      </c>
      <c r="L22" s="254">
        <v>11</v>
      </c>
      <c r="M22" s="248">
        <v>35</v>
      </c>
      <c r="N22" s="247">
        <v>13</v>
      </c>
      <c r="O22" s="247">
        <v>1</v>
      </c>
      <c r="P22" s="247" t="s">
        <v>28</v>
      </c>
      <c r="Q22" s="247" t="s">
        <v>28</v>
      </c>
      <c r="R22" s="247" t="s">
        <v>28</v>
      </c>
      <c r="S22" s="247" t="s">
        <v>28</v>
      </c>
      <c r="T22" s="249" t="s">
        <v>28</v>
      </c>
    </row>
    <row r="23" spans="1:20" ht="9" customHeight="1">
      <c r="A23" s="102" t="s">
        <v>173</v>
      </c>
      <c r="B23" s="170" t="s">
        <v>18</v>
      </c>
      <c r="C23" s="243">
        <v>2452</v>
      </c>
      <c r="D23" s="243">
        <v>1869</v>
      </c>
      <c r="E23" s="243">
        <v>414</v>
      </c>
      <c r="F23" s="243">
        <v>349</v>
      </c>
      <c r="G23" s="243">
        <v>43</v>
      </c>
      <c r="H23" s="243">
        <v>30</v>
      </c>
      <c r="I23" s="243">
        <v>53</v>
      </c>
      <c r="J23" s="443">
        <v>38</v>
      </c>
      <c r="K23" s="389">
        <v>656</v>
      </c>
      <c r="L23" s="253">
        <v>489</v>
      </c>
      <c r="M23" s="244">
        <v>1142</v>
      </c>
      <c r="N23" s="243">
        <v>852</v>
      </c>
      <c r="O23" s="243">
        <v>133</v>
      </c>
      <c r="P23" s="243">
        <v>103</v>
      </c>
      <c r="Q23" s="243">
        <v>6</v>
      </c>
      <c r="R23" s="243">
        <v>4</v>
      </c>
      <c r="S23" s="243">
        <v>5</v>
      </c>
      <c r="T23" s="245">
        <v>4</v>
      </c>
    </row>
    <row r="24" spans="1:20" ht="9" customHeight="1">
      <c r="A24" s="246" t="s">
        <v>29</v>
      </c>
      <c r="B24" s="172" t="s">
        <v>190</v>
      </c>
      <c r="C24" s="247">
        <v>2364</v>
      </c>
      <c r="D24" s="247">
        <v>1828</v>
      </c>
      <c r="E24" s="247">
        <v>402</v>
      </c>
      <c r="F24" s="247">
        <v>343</v>
      </c>
      <c r="G24" s="247">
        <v>38</v>
      </c>
      <c r="H24" s="247">
        <v>29</v>
      </c>
      <c r="I24" s="247">
        <v>53</v>
      </c>
      <c r="J24" s="442">
        <v>38</v>
      </c>
      <c r="K24" s="387">
        <v>638</v>
      </c>
      <c r="L24" s="254">
        <v>486</v>
      </c>
      <c r="M24" s="248">
        <v>1096</v>
      </c>
      <c r="N24" s="247">
        <v>826</v>
      </c>
      <c r="O24" s="247">
        <v>126</v>
      </c>
      <c r="P24" s="247">
        <v>98</v>
      </c>
      <c r="Q24" s="247">
        <v>6</v>
      </c>
      <c r="R24" s="247">
        <v>4</v>
      </c>
      <c r="S24" s="247">
        <v>5</v>
      </c>
      <c r="T24" s="249">
        <v>4</v>
      </c>
    </row>
    <row r="25" spans="1:20" ht="9" customHeight="1">
      <c r="A25" s="246" t="s">
        <v>31</v>
      </c>
      <c r="B25" s="172" t="s">
        <v>191</v>
      </c>
      <c r="C25" s="247">
        <v>88</v>
      </c>
      <c r="D25" s="247">
        <v>41</v>
      </c>
      <c r="E25" s="247">
        <v>12</v>
      </c>
      <c r="F25" s="247">
        <v>6</v>
      </c>
      <c r="G25" s="247">
        <v>5</v>
      </c>
      <c r="H25" s="247">
        <v>1</v>
      </c>
      <c r="I25" s="247" t="s">
        <v>28</v>
      </c>
      <c r="J25" s="442" t="s">
        <v>28</v>
      </c>
      <c r="K25" s="387">
        <v>18</v>
      </c>
      <c r="L25" s="254">
        <v>3</v>
      </c>
      <c r="M25" s="248">
        <v>46</v>
      </c>
      <c r="N25" s="247">
        <v>26</v>
      </c>
      <c r="O25" s="247">
        <v>7</v>
      </c>
      <c r="P25" s="247">
        <v>5</v>
      </c>
      <c r="Q25" s="247" t="s">
        <v>28</v>
      </c>
      <c r="R25" s="247" t="s">
        <v>28</v>
      </c>
      <c r="S25" s="247" t="s">
        <v>28</v>
      </c>
      <c r="T25" s="249" t="s">
        <v>28</v>
      </c>
    </row>
    <row r="26" spans="1:20" ht="9" customHeight="1">
      <c r="A26" s="102" t="s">
        <v>557</v>
      </c>
      <c r="B26" s="170" t="s">
        <v>552</v>
      </c>
      <c r="C26" s="243">
        <v>151</v>
      </c>
      <c r="D26" s="243">
        <v>115</v>
      </c>
      <c r="E26" s="243">
        <v>30</v>
      </c>
      <c r="F26" s="243">
        <v>23</v>
      </c>
      <c r="G26" s="243">
        <v>9</v>
      </c>
      <c r="H26" s="243">
        <v>8</v>
      </c>
      <c r="I26" s="243">
        <v>4</v>
      </c>
      <c r="J26" s="443">
        <v>2</v>
      </c>
      <c r="K26" s="389">
        <v>39</v>
      </c>
      <c r="L26" s="253">
        <v>31</v>
      </c>
      <c r="M26" s="244">
        <v>48</v>
      </c>
      <c r="N26" s="243">
        <v>33</v>
      </c>
      <c r="O26" s="243">
        <v>11</v>
      </c>
      <c r="P26" s="243">
        <v>9</v>
      </c>
      <c r="Q26" s="243">
        <v>5</v>
      </c>
      <c r="R26" s="243">
        <v>5</v>
      </c>
      <c r="S26" s="243">
        <v>5</v>
      </c>
      <c r="T26" s="245">
        <v>4</v>
      </c>
    </row>
    <row r="27" spans="1:20" ht="9" customHeight="1">
      <c r="A27" s="246" t="s">
        <v>29</v>
      </c>
      <c r="B27" s="172" t="s">
        <v>190</v>
      </c>
      <c r="C27" s="247">
        <v>150</v>
      </c>
      <c r="D27" s="247">
        <v>114</v>
      </c>
      <c r="E27" s="247">
        <v>30</v>
      </c>
      <c r="F27" s="247">
        <v>23</v>
      </c>
      <c r="G27" s="247">
        <v>9</v>
      </c>
      <c r="H27" s="247">
        <v>8</v>
      </c>
      <c r="I27" s="247">
        <v>4</v>
      </c>
      <c r="J27" s="442">
        <v>2</v>
      </c>
      <c r="K27" s="387">
        <v>39</v>
      </c>
      <c r="L27" s="254">
        <v>31</v>
      </c>
      <c r="M27" s="248">
        <v>48</v>
      </c>
      <c r="N27" s="247">
        <v>33</v>
      </c>
      <c r="O27" s="247">
        <v>11</v>
      </c>
      <c r="P27" s="247">
        <v>9</v>
      </c>
      <c r="Q27" s="247">
        <v>5</v>
      </c>
      <c r="R27" s="247">
        <v>5</v>
      </c>
      <c r="S27" s="247">
        <v>4</v>
      </c>
      <c r="T27" s="249">
        <v>3</v>
      </c>
    </row>
    <row r="28" spans="1:20" ht="9" customHeight="1">
      <c r="A28" s="246" t="s">
        <v>31</v>
      </c>
      <c r="B28" s="172" t="s">
        <v>191</v>
      </c>
      <c r="C28" s="247">
        <v>1</v>
      </c>
      <c r="D28" s="247">
        <v>1</v>
      </c>
      <c r="E28" s="247" t="s">
        <v>28</v>
      </c>
      <c r="F28" s="247" t="s">
        <v>28</v>
      </c>
      <c r="G28" s="247" t="s">
        <v>28</v>
      </c>
      <c r="H28" s="247" t="s">
        <v>28</v>
      </c>
      <c r="I28" s="247" t="s">
        <v>28</v>
      </c>
      <c r="J28" s="442" t="s">
        <v>28</v>
      </c>
      <c r="K28" s="387" t="s">
        <v>28</v>
      </c>
      <c r="L28" s="254" t="s">
        <v>28</v>
      </c>
      <c r="M28" s="248" t="s">
        <v>28</v>
      </c>
      <c r="N28" s="247" t="s">
        <v>28</v>
      </c>
      <c r="O28" s="247" t="s">
        <v>28</v>
      </c>
      <c r="P28" s="247" t="s">
        <v>28</v>
      </c>
      <c r="Q28" s="247" t="s">
        <v>28</v>
      </c>
      <c r="R28" s="247" t="s">
        <v>28</v>
      </c>
      <c r="S28" s="247">
        <v>1</v>
      </c>
      <c r="T28" s="249">
        <v>1</v>
      </c>
    </row>
    <row r="29" spans="1:20" ht="9" customHeight="1">
      <c r="A29" s="880" t="s">
        <v>166</v>
      </c>
      <c r="B29" s="170" t="s">
        <v>553</v>
      </c>
      <c r="C29" s="243">
        <v>79</v>
      </c>
      <c r="D29" s="243">
        <v>70</v>
      </c>
      <c r="E29" s="243">
        <v>78</v>
      </c>
      <c r="F29" s="243">
        <v>69</v>
      </c>
      <c r="G29" s="243">
        <v>1</v>
      </c>
      <c r="H29" s="243">
        <v>1</v>
      </c>
      <c r="I29" s="243" t="s">
        <v>28</v>
      </c>
      <c r="J29" s="443" t="s">
        <v>28</v>
      </c>
      <c r="K29" s="389" t="s">
        <v>28</v>
      </c>
      <c r="L29" s="253" t="s">
        <v>28</v>
      </c>
      <c r="M29" s="244" t="s">
        <v>28</v>
      </c>
      <c r="N29" s="243" t="s">
        <v>28</v>
      </c>
      <c r="O29" s="243" t="s">
        <v>28</v>
      </c>
      <c r="P29" s="243" t="s">
        <v>28</v>
      </c>
      <c r="Q29" s="243" t="s">
        <v>28</v>
      </c>
      <c r="R29" s="243" t="s">
        <v>28</v>
      </c>
      <c r="S29" s="243" t="s">
        <v>28</v>
      </c>
      <c r="T29" s="245" t="s">
        <v>28</v>
      </c>
    </row>
    <row r="30" spans="1:20" ht="9" customHeight="1">
      <c r="A30" s="246" t="s">
        <v>29</v>
      </c>
      <c r="B30" s="172" t="s">
        <v>190</v>
      </c>
      <c r="C30" s="247">
        <v>75</v>
      </c>
      <c r="D30" s="247">
        <v>66</v>
      </c>
      <c r="E30" s="247">
        <v>74</v>
      </c>
      <c r="F30" s="247">
        <v>65</v>
      </c>
      <c r="G30" s="247">
        <v>1</v>
      </c>
      <c r="H30" s="247">
        <v>1</v>
      </c>
      <c r="I30" s="247" t="s">
        <v>28</v>
      </c>
      <c r="J30" s="442" t="s">
        <v>28</v>
      </c>
      <c r="K30" s="387" t="s">
        <v>28</v>
      </c>
      <c r="L30" s="254" t="s">
        <v>28</v>
      </c>
      <c r="M30" s="248" t="s">
        <v>28</v>
      </c>
      <c r="N30" s="247" t="s">
        <v>28</v>
      </c>
      <c r="O30" s="247" t="s">
        <v>28</v>
      </c>
      <c r="P30" s="247" t="s">
        <v>28</v>
      </c>
      <c r="Q30" s="247" t="s">
        <v>28</v>
      </c>
      <c r="R30" s="247" t="s">
        <v>28</v>
      </c>
      <c r="S30" s="247" t="s">
        <v>28</v>
      </c>
      <c r="T30" s="249" t="s">
        <v>28</v>
      </c>
    </row>
    <row r="31" spans="1:20" ht="9" customHeight="1">
      <c r="A31" s="246" t="s">
        <v>31</v>
      </c>
      <c r="B31" s="172" t="s">
        <v>191</v>
      </c>
      <c r="C31" s="247">
        <v>4</v>
      </c>
      <c r="D31" s="247">
        <v>4</v>
      </c>
      <c r="E31" s="247">
        <v>4</v>
      </c>
      <c r="F31" s="247">
        <v>4</v>
      </c>
      <c r="G31" s="247" t="s">
        <v>28</v>
      </c>
      <c r="H31" s="247" t="s">
        <v>28</v>
      </c>
      <c r="I31" s="247" t="s">
        <v>28</v>
      </c>
      <c r="J31" s="442" t="s">
        <v>28</v>
      </c>
      <c r="K31" s="387" t="s">
        <v>28</v>
      </c>
      <c r="L31" s="254" t="s">
        <v>28</v>
      </c>
      <c r="M31" s="248" t="s">
        <v>28</v>
      </c>
      <c r="N31" s="247" t="s">
        <v>28</v>
      </c>
      <c r="O31" s="247" t="s">
        <v>28</v>
      </c>
      <c r="P31" s="247" t="s">
        <v>28</v>
      </c>
      <c r="Q31" s="247" t="s">
        <v>28</v>
      </c>
      <c r="R31" s="247" t="s">
        <v>28</v>
      </c>
      <c r="S31" s="247" t="s">
        <v>28</v>
      </c>
      <c r="T31" s="249" t="s">
        <v>28</v>
      </c>
    </row>
    <row r="32" spans="1:20" ht="9" customHeight="1">
      <c r="A32" s="102" t="s">
        <v>167</v>
      </c>
      <c r="B32" s="170" t="s">
        <v>164</v>
      </c>
      <c r="C32" s="243">
        <v>28</v>
      </c>
      <c r="D32" s="243">
        <v>27</v>
      </c>
      <c r="E32" s="243">
        <v>27</v>
      </c>
      <c r="F32" s="243">
        <v>26</v>
      </c>
      <c r="G32" s="243">
        <v>1</v>
      </c>
      <c r="H32" s="243">
        <v>1</v>
      </c>
      <c r="I32" s="243" t="s">
        <v>28</v>
      </c>
      <c r="J32" s="443" t="s">
        <v>28</v>
      </c>
      <c r="K32" s="389" t="s">
        <v>28</v>
      </c>
      <c r="L32" s="253" t="s">
        <v>28</v>
      </c>
      <c r="M32" s="244" t="s">
        <v>28</v>
      </c>
      <c r="N32" s="243" t="s">
        <v>28</v>
      </c>
      <c r="O32" s="243" t="s">
        <v>28</v>
      </c>
      <c r="P32" s="243" t="s">
        <v>28</v>
      </c>
      <c r="Q32" s="243" t="s">
        <v>28</v>
      </c>
      <c r="R32" s="243" t="s">
        <v>28</v>
      </c>
      <c r="S32" s="243" t="s">
        <v>28</v>
      </c>
      <c r="T32" s="245" t="s">
        <v>28</v>
      </c>
    </row>
    <row r="33" spans="1:20" ht="9" customHeight="1">
      <c r="A33" s="246" t="s">
        <v>29</v>
      </c>
      <c r="B33" s="172" t="s">
        <v>190</v>
      </c>
      <c r="C33" s="247">
        <v>28</v>
      </c>
      <c r="D33" s="247">
        <v>27</v>
      </c>
      <c r="E33" s="247">
        <v>27</v>
      </c>
      <c r="F33" s="247">
        <v>26</v>
      </c>
      <c r="G33" s="247">
        <v>1</v>
      </c>
      <c r="H33" s="247">
        <v>1</v>
      </c>
      <c r="I33" s="247" t="s">
        <v>28</v>
      </c>
      <c r="J33" s="442" t="s">
        <v>28</v>
      </c>
      <c r="K33" s="387" t="s">
        <v>28</v>
      </c>
      <c r="L33" s="254" t="s">
        <v>28</v>
      </c>
      <c r="M33" s="248" t="s">
        <v>28</v>
      </c>
      <c r="N33" s="247" t="s">
        <v>28</v>
      </c>
      <c r="O33" s="247" t="s">
        <v>28</v>
      </c>
      <c r="P33" s="247" t="s">
        <v>28</v>
      </c>
      <c r="Q33" s="247" t="s">
        <v>28</v>
      </c>
      <c r="R33" s="247" t="s">
        <v>28</v>
      </c>
      <c r="S33" s="247" t="s">
        <v>28</v>
      </c>
      <c r="T33" s="249" t="s">
        <v>28</v>
      </c>
    </row>
    <row r="34" spans="1:20" ht="9" customHeight="1">
      <c r="A34" s="102" t="s">
        <v>168</v>
      </c>
      <c r="B34" s="170" t="s">
        <v>555</v>
      </c>
      <c r="C34" s="243">
        <v>115</v>
      </c>
      <c r="D34" s="243">
        <v>115</v>
      </c>
      <c r="E34" s="243">
        <v>109</v>
      </c>
      <c r="F34" s="243">
        <v>109</v>
      </c>
      <c r="G34" s="243">
        <v>6</v>
      </c>
      <c r="H34" s="243">
        <v>6</v>
      </c>
      <c r="I34" s="243" t="s">
        <v>28</v>
      </c>
      <c r="J34" s="443" t="s">
        <v>28</v>
      </c>
      <c r="K34" s="389" t="s">
        <v>28</v>
      </c>
      <c r="L34" s="253" t="s">
        <v>28</v>
      </c>
      <c r="M34" s="244" t="s">
        <v>28</v>
      </c>
      <c r="N34" s="243" t="s">
        <v>28</v>
      </c>
      <c r="O34" s="243" t="s">
        <v>28</v>
      </c>
      <c r="P34" s="243" t="s">
        <v>28</v>
      </c>
      <c r="Q34" s="243" t="s">
        <v>28</v>
      </c>
      <c r="R34" s="243" t="s">
        <v>28</v>
      </c>
      <c r="S34" s="243" t="s">
        <v>28</v>
      </c>
      <c r="T34" s="245" t="s">
        <v>28</v>
      </c>
    </row>
    <row r="35" spans="1:20" ht="9" customHeight="1">
      <c r="A35" s="246" t="s">
        <v>29</v>
      </c>
      <c r="B35" s="172" t="s">
        <v>190</v>
      </c>
      <c r="C35" s="247">
        <v>112</v>
      </c>
      <c r="D35" s="247">
        <v>112</v>
      </c>
      <c r="E35" s="247">
        <v>106</v>
      </c>
      <c r="F35" s="247">
        <v>106</v>
      </c>
      <c r="G35" s="247">
        <v>6</v>
      </c>
      <c r="H35" s="247">
        <v>6</v>
      </c>
      <c r="I35" s="247" t="s">
        <v>28</v>
      </c>
      <c r="J35" s="442" t="s">
        <v>28</v>
      </c>
      <c r="K35" s="387" t="s">
        <v>28</v>
      </c>
      <c r="L35" s="254" t="s">
        <v>28</v>
      </c>
      <c r="M35" s="248" t="s">
        <v>28</v>
      </c>
      <c r="N35" s="247" t="s">
        <v>28</v>
      </c>
      <c r="O35" s="247" t="s">
        <v>28</v>
      </c>
      <c r="P35" s="247" t="s">
        <v>28</v>
      </c>
      <c r="Q35" s="247" t="s">
        <v>28</v>
      </c>
      <c r="R35" s="247" t="s">
        <v>28</v>
      </c>
      <c r="S35" s="247" t="s">
        <v>28</v>
      </c>
      <c r="T35" s="249" t="s">
        <v>28</v>
      </c>
    </row>
    <row r="36" spans="1:20" ht="9" customHeight="1">
      <c r="A36" s="246" t="s">
        <v>31</v>
      </c>
      <c r="B36" s="172" t="s">
        <v>191</v>
      </c>
      <c r="C36" s="247">
        <v>3</v>
      </c>
      <c r="D36" s="247">
        <v>3</v>
      </c>
      <c r="E36" s="247">
        <v>3</v>
      </c>
      <c r="F36" s="247">
        <v>3</v>
      </c>
      <c r="G36" s="247" t="s">
        <v>28</v>
      </c>
      <c r="H36" s="247" t="s">
        <v>28</v>
      </c>
      <c r="I36" s="247" t="s">
        <v>28</v>
      </c>
      <c r="J36" s="442" t="s">
        <v>28</v>
      </c>
      <c r="K36" s="387" t="s">
        <v>28</v>
      </c>
      <c r="L36" s="254" t="s">
        <v>28</v>
      </c>
      <c r="M36" s="248" t="s">
        <v>28</v>
      </c>
      <c r="N36" s="247" t="s">
        <v>28</v>
      </c>
      <c r="O36" s="247" t="s">
        <v>28</v>
      </c>
      <c r="P36" s="247" t="s">
        <v>28</v>
      </c>
      <c r="Q36" s="247" t="s">
        <v>28</v>
      </c>
      <c r="R36" s="247" t="s">
        <v>28</v>
      </c>
      <c r="S36" s="247" t="s">
        <v>28</v>
      </c>
      <c r="T36" s="249" t="s">
        <v>28</v>
      </c>
    </row>
    <row r="37" spans="1:20" ht="9" customHeight="1">
      <c r="A37" s="102" t="s">
        <v>169</v>
      </c>
      <c r="B37" s="170" t="s">
        <v>556</v>
      </c>
      <c r="C37" s="243">
        <v>36</v>
      </c>
      <c r="D37" s="243">
        <v>35</v>
      </c>
      <c r="E37" s="243">
        <v>36</v>
      </c>
      <c r="F37" s="243">
        <v>35</v>
      </c>
      <c r="G37" s="243" t="s">
        <v>28</v>
      </c>
      <c r="H37" s="243" t="s">
        <v>28</v>
      </c>
      <c r="I37" s="243" t="s">
        <v>28</v>
      </c>
      <c r="J37" s="443" t="s">
        <v>28</v>
      </c>
      <c r="K37" s="389" t="s">
        <v>28</v>
      </c>
      <c r="L37" s="253" t="s">
        <v>28</v>
      </c>
      <c r="M37" s="244" t="s">
        <v>28</v>
      </c>
      <c r="N37" s="243" t="s">
        <v>28</v>
      </c>
      <c r="O37" s="243" t="s">
        <v>28</v>
      </c>
      <c r="P37" s="243" t="s">
        <v>28</v>
      </c>
      <c r="Q37" s="243" t="s">
        <v>28</v>
      </c>
      <c r="R37" s="243" t="s">
        <v>28</v>
      </c>
      <c r="S37" s="243" t="s">
        <v>28</v>
      </c>
      <c r="T37" s="245" t="s">
        <v>28</v>
      </c>
    </row>
    <row r="38" spans="1:20" ht="9" customHeight="1">
      <c r="A38" s="246" t="s">
        <v>29</v>
      </c>
      <c r="B38" s="172" t="s">
        <v>190</v>
      </c>
      <c r="C38" s="247">
        <v>36</v>
      </c>
      <c r="D38" s="247">
        <v>35</v>
      </c>
      <c r="E38" s="247">
        <v>36</v>
      </c>
      <c r="F38" s="247">
        <v>35</v>
      </c>
      <c r="G38" s="247" t="s">
        <v>28</v>
      </c>
      <c r="H38" s="247" t="s">
        <v>28</v>
      </c>
      <c r="I38" s="247" t="s">
        <v>28</v>
      </c>
      <c r="J38" s="442" t="s">
        <v>28</v>
      </c>
      <c r="K38" s="387" t="s">
        <v>28</v>
      </c>
      <c r="L38" s="254" t="s">
        <v>28</v>
      </c>
      <c r="M38" s="248" t="s">
        <v>28</v>
      </c>
      <c r="N38" s="247" t="s">
        <v>28</v>
      </c>
      <c r="O38" s="247" t="s">
        <v>28</v>
      </c>
      <c r="P38" s="247" t="s">
        <v>28</v>
      </c>
      <c r="Q38" s="247" t="s">
        <v>28</v>
      </c>
      <c r="R38" s="247" t="s">
        <v>28</v>
      </c>
      <c r="S38" s="247" t="s">
        <v>28</v>
      </c>
      <c r="T38" s="249" t="s">
        <v>28</v>
      </c>
    </row>
    <row r="39" spans="1:20" ht="9" customHeight="1">
      <c r="A39" s="102" t="s">
        <v>174</v>
      </c>
      <c r="B39" s="170" t="s">
        <v>165</v>
      </c>
      <c r="C39" s="243">
        <v>1676</v>
      </c>
      <c r="D39" s="243">
        <v>1184</v>
      </c>
      <c r="E39" s="243">
        <v>161</v>
      </c>
      <c r="F39" s="243">
        <v>144</v>
      </c>
      <c r="G39" s="243">
        <v>47</v>
      </c>
      <c r="H39" s="243">
        <v>35</v>
      </c>
      <c r="I39" s="243">
        <v>63</v>
      </c>
      <c r="J39" s="443">
        <v>43</v>
      </c>
      <c r="K39" s="389">
        <v>488</v>
      </c>
      <c r="L39" s="253">
        <v>337</v>
      </c>
      <c r="M39" s="244">
        <v>826</v>
      </c>
      <c r="N39" s="243">
        <v>556</v>
      </c>
      <c r="O39" s="243">
        <v>76</v>
      </c>
      <c r="P39" s="243">
        <v>57</v>
      </c>
      <c r="Q39" s="243">
        <v>5</v>
      </c>
      <c r="R39" s="243">
        <v>5</v>
      </c>
      <c r="S39" s="243">
        <v>10</v>
      </c>
      <c r="T39" s="245">
        <v>7</v>
      </c>
    </row>
    <row r="40" spans="1:20" ht="9" customHeight="1">
      <c r="A40" s="246" t="s">
        <v>29</v>
      </c>
      <c r="B40" s="172" t="s">
        <v>190</v>
      </c>
      <c r="C40" s="247">
        <v>1576</v>
      </c>
      <c r="D40" s="247">
        <v>1117</v>
      </c>
      <c r="E40" s="247">
        <v>145</v>
      </c>
      <c r="F40" s="247">
        <v>130</v>
      </c>
      <c r="G40" s="247">
        <v>43</v>
      </c>
      <c r="H40" s="247">
        <v>33</v>
      </c>
      <c r="I40" s="247">
        <v>62</v>
      </c>
      <c r="J40" s="442">
        <v>43</v>
      </c>
      <c r="K40" s="387">
        <v>473</v>
      </c>
      <c r="L40" s="254">
        <v>327</v>
      </c>
      <c r="M40" s="248">
        <v>772</v>
      </c>
      <c r="N40" s="247">
        <v>522</v>
      </c>
      <c r="O40" s="247">
        <v>71</v>
      </c>
      <c r="P40" s="247">
        <v>53</v>
      </c>
      <c r="Q40" s="247">
        <v>4</v>
      </c>
      <c r="R40" s="247">
        <v>4</v>
      </c>
      <c r="S40" s="247">
        <v>6</v>
      </c>
      <c r="T40" s="249">
        <v>5</v>
      </c>
    </row>
    <row r="41" spans="1:20" ht="9" customHeight="1" thickBot="1">
      <c r="A41" s="406" t="s">
        <v>31</v>
      </c>
      <c r="B41" s="88" t="s">
        <v>191</v>
      </c>
      <c r="C41" s="457">
        <v>100</v>
      </c>
      <c r="D41" s="457">
        <v>67</v>
      </c>
      <c r="E41" s="457">
        <v>16</v>
      </c>
      <c r="F41" s="457">
        <v>14</v>
      </c>
      <c r="G41" s="457">
        <v>4</v>
      </c>
      <c r="H41" s="457">
        <v>2</v>
      </c>
      <c r="I41" s="457">
        <v>1</v>
      </c>
      <c r="J41" s="458" t="s">
        <v>28</v>
      </c>
      <c r="K41" s="391">
        <v>15</v>
      </c>
      <c r="L41" s="255">
        <v>10</v>
      </c>
      <c r="M41" s="459">
        <v>54</v>
      </c>
      <c r="N41" s="457">
        <v>34</v>
      </c>
      <c r="O41" s="457">
        <v>5</v>
      </c>
      <c r="P41" s="457">
        <v>4</v>
      </c>
      <c r="Q41" s="457">
        <v>1</v>
      </c>
      <c r="R41" s="457">
        <v>1</v>
      </c>
      <c r="S41" s="457">
        <v>4</v>
      </c>
      <c r="T41" s="1897">
        <v>2</v>
      </c>
    </row>
    <row r="42" spans="1:20" s="445" customFormat="1" ht="8.25" customHeight="1" thickBot="1">
      <c r="A42" s="1382" t="s">
        <v>33</v>
      </c>
      <c r="B42" s="1382"/>
      <c r="C42" s="1382"/>
      <c r="D42" s="1382"/>
      <c r="E42" s="1382"/>
      <c r="F42" s="1382"/>
      <c r="G42" s="1382"/>
      <c r="H42" s="1382"/>
      <c r="I42" s="1382"/>
      <c r="J42" s="1382"/>
      <c r="K42" s="1382" t="s">
        <v>34</v>
      </c>
      <c r="L42" s="1382"/>
      <c r="M42" s="1382"/>
      <c r="N42" s="1382"/>
      <c r="O42" s="1382"/>
      <c r="P42" s="1382"/>
      <c r="Q42" s="1382"/>
      <c r="R42" s="1382"/>
      <c r="S42" s="1382"/>
      <c r="T42" s="1382"/>
    </row>
    <row r="43" spans="1:20" ht="9" customHeight="1">
      <c r="A43" s="460" t="s">
        <v>35</v>
      </c>
      <c r="B43" s="461" t="s">
        <v>36</v>
      </c>
      <c r="C43" s="462">
        <v>1172</v>
      </c>
      <c r="D43" s="462">
        <v>788</v>
      </c>
      <c r="E43" s="462">
        <v>218</v>
      </c>
      <c r="F43" s="462">
        <v>159</v>
      </c>
      <c r="G43" s="462">
        <v>46</v>
      </c>
      <c r="H43" s="462">
        <v>36</v>
      </c>
      <c r="I43" s="462">
        <v>57</v>
      </c>
      <c r="J43" s="463">
        <v>33</v>
      </c>
      <c r="K43" s="464">
        <v>352</v>
      </c>
      <c r="L43" s="462">
        <v>227</v>
      </c>
      <c r="M43" s="462">
        <v>435</v>
      </c>
      <c r="N43" s="462">
        <v>287</v>
      </c>
      <c r="O43" s="462">
        <v>51</v>
      </c>
      <c r="P43" s="462">
        <v>36</v>
      </c>
      <c r="Q43" s="462">
        <v>3</v>
      </c>
      <c r="R43" s="462">
        <v>3</v>
      </c>
      <c r="S43" s="462">
        <v>10</v>
      </c>
      <c r="T43" s="465">
        <v>7</v>
      </c>
    </row>
    <row r="44" spans="1:20" ht="9" customHeight="1">
      <c r="A44" s="246" t="s">
        <v>29</v>
      </c>
      <c r="B44" s="172" t="s">
        <v>190</v>
      </c>
      <c r="C44" s="247">
        <v>970</v>
      </c>
      <c r="D44" s="247">
        <v>693</v>
      </c>
      <c r="E44" s="247">
        <v>185</v>
      </c>
      <c r="F44" s="247">
        <v>142</v>
      </c>
      <c r="G44" s="247">
        <v>42</v>
      </c>
      <c r="H44" s="247">
        <v>35</v>
      </c>
      <c r="I44" s="247">
        <v>55</v>
      </c>
      <c r="J44" s="386">
        <v>32</v>
      </c>
      <c r="K44" s="387">
        <v>302</v>
      </c>
      <c r="L44" s="248">
        <v>211</v>
      </c>
      <c r="M44" s="248">
        <v>337</v>
      </c>
      <c r="N44" s="247">
        <v>237</v>
      </c>
      <c r="O44" s="247">
        <v>41</v>
      </c>
      <c r="P44" s="247">
        <v>29</v>
      </c>
      <c r="Q44" s="247">
        <v>2</v>
      </c>
      <c r="R44" s="247">
        <v>2</v>
      </c>
      <c r="S44" s="247">
        <v>6</v>
      </c>
      <c r="T44" s="249">
        <v>5</v>
      </c>
    </row>
    <row r="45" spans="1:20" ht="9" customHeight="1">
      <c r="A45" s="246" t="s">
        <v>31</v>
      </c>
      <c r="B45" s="172" t="s">
        <v>191</v>
      </c>
      <c r="C45" s="247">
        <v>202</v>
      </c>
      <c r="D45" s="247">
        <v>95</v>
      </c>
      <c r="E45" s="247">
        <v>33</v>
      </c>
      <c r="F45" s="247">
        <v>17</v>
      </c>
      <c r="G45" s="247">
        <v>4</v>
      </c>
      <c r="H45" s="247">
        <v>1</v>
      </c>
      <c r="I45" s="247">
        <v>2</v>
      </c>
      <c r="J45" s="386">
        <v>1</v>
      </c>
      <c r="K45" s="387">
        <v>50</v>
      </c>
      <c r="L45" s="248">
        <v>16</v>
      </c>
      <c r="M45" s="248">
        <v>98</v>
      </c>
      <c r="N45" s="247">
        <v>50</v>
      </c>
      <c r="O45" s="247">
        <v>10</v>
      </c>
      <c r="P45" s="247">
        <v>7</v>
      </c>
      <c r="Q45" s="247">
        <v>1</v>
      </c>
      <c r="R45" s="247">
        <v>1</v>
      </c>
      <c r="S45" s="247">
        <v>4</v>
      </c>
      <c r="T45" s="249">
        <v>2</v>
      </c>
    </row>
    <row r="46" spans="1:20" ht="9" customHeight="1">
      <c r="A46" s="102" t="s">
        <v>37</v>
      </c>
      <c r="B46" s="170" t="s">
        <v>38</v>
      </c>
      <c r="C46" s="244">
        <v>1446</v>
      </c>
      <c r="D46" s="244">
        <v>1133</v>
      </c>
      <c r="E46" s="244">
        <v>297</v>
      </c>
      <c r="F46" s="244">
        <v>246</v>
      </c>
      <c r="G46" s="244">
        <v>39</v>
      </c>
      <c r="H46" s="244">
        <v>32</v>
      </c>
      <c r="I46" s="244">
        <v>65</v>
      </c>
      <c r="J46" s="388">
        <v>46</v>
      </c>
      <c r="K46" s="389">
        <v>404</v>
      </c>
      <c r="L46" s="244">
        <v>313</v>
      </c>
      <c r="M46" s="244">
        <v>576</v>
      </c>
      <c r="N46" s="244">
        <v>442</v>
      </c>
      <c r="O46" s="244">
        <v>57</v>
      </c>
      <c r="P46" s="244">
        <v>48</v>
      </c>
      <c r="Q46" s="244">
        <v>6</v>
      </c>
      <c r="R46" s="244">
        <v>4</v>
      </c>
      <c r="S46" s="244">
        <v>2</v>
      </c>
      <c r="T46" s="253">
        <v>2</v>
      </c>
    </row>
    <row r="47" spans="1:20" ht="9" customHeight="1">
      <c r="A47" s="246" t="s">
        <v>29</v>
      </c>
      <c r="B47" s="172" t="s">
        <v>190</v>
      </c>
      <c r="C47" s="248">
        <v>1446</v>
      </c>
      <c r="D47" s="247">
        <v>1133</v>
      </c>
      <c r="E47" s="247">
        <v>297</v>
      </c>
      <c r="F47" s="247">
        <v>246</v>
      </c>
      <c r="G47" s="247">
        <v>39</v>
      </c>
      <c r="H47" s="247">
        <v>32</v>
      </c>
      <c r="I47" s="247">
        <v>65</v>
      </c>
      <c r="J47" s="386">
        <v>46</v>
      </c>
      <c r="K47" s="387">
        <v>404</v>
      </c>
      <c r="L47" s="248">
        <v>313</v>
      </c>
      <c r="M47" s="248">
        <v>576</v>
      </c>
      <c r="N47" s="247">
        <v>442</v>
      </c>
      <c r="O47" s="247">
        <v>57</v>
      </c>
      <c r="P47" s="247">
        <v>48</v>
      </c>
      <c r="Q47" s="247">
        <v>6</v>
      </c>
      <c r="R47" s="247">
        <v>4</v>
      </c>
      <c r="S47" s="247">
        <v>2</v>
      </c>
      <c r="T47" s="249">
        <v>2</v>
      </c>
    </row>
    <row r="48" spans="1:20" ht="9" customHeight="1">
      <c r="A48" s="102" t="s">
        <v>39</v>
      </c>
      <c r="B48" s="170" t="s">
        <v>40</v>
      </c>
      <c r="C48" s="243">
        <v>2021</v>
      </c>
      <c r="D48" s="243">
        <v>1546</v>
      </c>
      <c r="E48" s="243">
        <v>390</v>
      </c>
      <c r="F48" s="243">
        <v>310</v>
      </c>
      <c r="G48" s="243">
        <v>48</v>
      </c>
      <c r="H48" s="243">
        <v>38</v>
      </c>
      <c r="I48" s="243">
        <v>59</v>
      </c>
      <c r="J48" s="388">
        <v>42</v>
      </c>
      <c r="K48" s="389">
        <v>645</v>
      </c>
      <c r="L48" s="243">
        <v>488</v>
      </c>
      <c r="M48" s="243">
        <v>779</v>
      </c>
      <c r="N48" s="243">
        <v>593</v>
      </c>
      <c r="O48" s="243">
        <v>87</v>
      </c>
      <c r="P48" s="243">
        <v>64</v>
      </c>
      <c r="Q48" s="243">
        <v>6</v>
      </c>
      <c r="R48" s="243">
        <v>5</v>
      </c>
      <c r="S48" s="243">
        <v>7</v>
      </c>
      <c r="T48" s="245">
        <v>6</v>
      </c>
    </row>
    <row r="49" spans="1:20" ht="9" customHeight="1">
      <c r="A49" s="246" t="s">
        <v>29</v>
      </c>
      <c r="B49" s="172" t="s">
        <v>190</v>
      </c>
      <c r="C49" s="247">
        <v>1950</v>
      </c>
      <c r="D49" s="247">
        <v>1501</v>
      </c>
      <c r="E49" s="247">
        <v>381</v>
      </c>
      <c r="F49" s="247">
        <v>303</v>
      </c>
      <c r="G49" s="247">
        <v>42</v>
      </c>
      <c r="H49" s="247">
        <v>34</v>
      </c>
      <c r="I49" s="247">
        <v>59</v>
      </c>
      <c r="J49" s="386">
        <v>42</v>
      </c>
      <c r="K49" s="387">
        <v>630</v>
      </c>
      <c r="L49" s="248">
        <v>480</v>
      </c>
      <c r="M49" s="248">
        <v>742</v>
      </c>
      <c r="N49" s="247">
        <v>570</v>
      </c>
      <c r="O49" s="247">
        <v>84</v>
      </c>
      <c r="P49" s="247">
        <v>62</v>
      </c>
      <c r="Q49" s="247">
        <v>6</v>
      </c>
      <c r="R49" s="247">
        <v>5</v>
      </c>
      <c r="S49" s="247">
        <v>6</v>
      </c>
      <c r="T49" s="249">
        <v>5</v>
      </c>
    </row>
    <row r="50" spans="1:20" ht="9" customHeight="1">
      <c r="A50" s="246" t="s">
        <v>31</v>
      </c>
      <c r="B50" s="172" t="s">
        <v>191</v>
      </c>
      <c r="C50" s="247">
        <v>71</v>
      </c>
      <c r="D50" s="247">
        <v>45</v>
      </c>
      <c r="E50" s="247">
        <v>9</v>
      </c>
      <c r="F50" s="247">
        <v>7</v>
      </c>
      <c r="G50" s="247">
        <v>6</v>
      </c>
      <c r="H50" s="247">
        <v>4</v>
      </c>
      <c r="I50" s="247" t="s">
        <v>28</v>
      </c>
      <c r="J50" s="386" t="s">
        <v>28</v>
      </c>
      <c r="K50" s="387">
        <v>15</v>
      </c>
      <c r="L50" s="248">
        <v>8</v>
      </c>
      <c r="M50" s="248">
        <v>37</v>
      </c>
      <c r="N50" s="247">
        <v>23</v>
      </c>
      <c r="O50" s="247">
        <v>3</v>
      </c>
      <c r="P50" s="247">
        <v>2</v>
      </c>
      <c r="Q50" s="247" t="s">
        <v>28</v>
      </c>
      <c r="R50" s="247" t="s">
        <v>28</v>
      </c>
      <c r="S50" s="247">
        <v>1</v>
      </c>
      <c r="T50" s="249">
        <v>1</v>
      </c>
    </row>
    <row r="51" spans="1:20" ht="9" customHeight="1">
      <c r="A51" s="102" t="s">
        <v>41</v>
      </c>
      <c r="B51" s="170" t="s">
        <v>42</v>
      </c>
      <c r="C51" s="243">
        <v>1376</v>
      </c>
      <c r="D51" s="243">
        <v>983</v>
      </c>
      <c r="E51" s="243">
        <v>236</v>
      </c>
      <c r="F51" s="243">
        <v>187</v>
      </c>
      <c r="G51" s="243">
        <v>33</v>
      </c>
      <c r="H51" s="243">
        <v>30</v>
      </c>
      <c r="I51" s="243">
        <v>28</v>
      </c>
      <c r="J51" s="388">
        <v>25</v>
      </c>
      <c r="K51" s="389">
        <v>360</v>
      </c>
      <c r="L51" s="243">
        <v>238</v>
      </c>
      <c r="M51" s="243">
        <v>671</v>
      </c>
      <c r="N51" s="243">
        <v>463</v>
      </c>
      <c r="O51" s="243">
        <v>45</v>
      </c>
      <c r="P51" s="243">
        <v>38</v>
      </c>
      <c r="Q51" s="243">
        <v>1</v>
      </c>
      <c r="R51" s="243">
        <v>1</v>
      </c>
      <c r="S51" s="243">
        <v>2</v>
      </c>
      <c r="T51" s="245">
        <v>1</v>
      </c>
    </row>
    <row r="52" spans="1:20" ht="9" customHeight="1">
      <c r="A52" s="246" t="s">
        <v>29</v>
      </c>
      <c r="B52" s="172" t="s">
        <v>190</v>
      </c>
      <c r="C52" s="247">
        <v>1376</v>
      </c>
      <c r="D52" s="247">
        <v>983</v>
      </c>
      <c r="E52" s="247">
        <v>236</v>
      </c>
      <c r="F52" s="247">
        <v>187</v>
      </c>
      <c r="G52" s="247">
        <v>33</v>
      </c>
      <c r="H52" s="247">
        <v>30</v>
      </c>
      <c r="I52" s="247">
        <v>28</v>
      </c>
      <c r="J52" s="386">
        <v>25</v>
      </c>
      <c r="K52" s="387">
        <v>360</v>
      </c>
      <c r="L52" s="248">
        <v>238</v>
      </c>
      <c r="M52" s="248">
        <v>671</v>
      </c>
      <c r="N52" s="247">
        <v>463</v>
      </c>
      <c r="O52" s="247">
        <v>45</v>
      </c>
      <c r="P52" s="247">
        <v>38</v>
      </c>
      <c r="Q52" s="247">
        <v>1</v>
      </c>
      <c r="R52" s="247">
        <v>1</v>
      </c>
      <c r="S52" s="247">
        <v>2</v>
      </c>
      <c r="T52" s="249">
        <v>1</v>
      </c>
    </row>
    <row r="53" spans="1:20" ht="9" customHeight="1">
      <c r="A53" s="102" t="s">
        <v>43</v>
      </c>
      <c r="B53" s="170" t="s">
        <v>44</v>
      </c>
      <c r="C53" s="243">
        <v>170</v>
      </c>
      <c r="D53" s="243">
        <v>91</v>
      </c>
      <c r="E53" s="243">
        <v>62</v>
      </c>
      <c r="F53" s="243">
        <v>35</v>
      </c>
      <c r="G53" s="243">
        <v>24</v>
      </c>
      <c r="H53" s="243">
        <v>13</v>
      </c>
      <c r="I53" s="243">
        <v>21</v>
      </c>
      <c r="J53" s="388">
        <v>13</v>
      </c>
      <c r="K53" s="389">
        <v>17</v>
      </c>
      <c r="L53" s="243">
        <v>9</v>
      </c>
      <c r="M53" s="243">
        <v>31</v>
      </c>
      <c r="N53" s="243">
        <v>11</v>
      </c>
      <c r="O53" s="243">
        <v>14</v>
      </c>
      <c r="P53" s="243">
        <v>9</v>
      </c>
      <c r="Q53" s="243">
        <v>1</v>
      </c>
      <c r="R53" s="243">
        <v>1</v>
      </c>
      <c r="S53" s="243" t="s">
        <v>28</v>
      </c>
      <c r="T53" s="245" t="s">
        <v>28</v>
      </c>
    </row>
    <row r="54" spans="1:20" ht="9" customHeight="1">
      <c r="A54" s="246" t="s">
        <v>29</v>
      </c>
      <c r="B54" s="172" t="s">
        <v>190</v>
      </c>
      <c r="C54" s="247">
        <v>143</v>
      </c>
      <c r="D54" s="247">
        <v>79</v>
      </c>
      <c r="E54" s="247">
        <v>44</v>
      </c>
      <c r="F54" s="247">
        <v>25</v>
      </c>
      <c r="G54" s="247">
        <v>16</v>
      </c>
      <c r="H54" s="247">
        <v>11</v>
      </c>
      <c r="I54" s="247">
        <v>20</v>
      </c>
      <c r="J54" s="386">
        <v>13</v>
      </c>
      <c r="K54" s="387">
        <v>17</v>
      </c>
      <c r="L54" s="248">
        <v>9</v>
      </c>
      <c r="M54" s="248">
        <v>31</v>
      </c>
      <c r="N54" s="247">
        <v>11</v>
      </c>
      <c r="O54" s="247">
        <v>14</v>
      </c>
      <c r="P54" s="247">
        <v>9</v>
      </c>
      <c r="Q54" s="247">
        <v>1</v>
      </c>
      <c r="R54" s="247">
        <v>1</v>
      </c>
      <c r="S54" s="247" t="s">
        <v>28</v>
      </c>
      <c r="T54" s="249" t="s">
        <v>28</v>
      </c>
    </row>
    <row r="55" spans="1:20" ht="9" customHeight="1" thickBot="1">
      <c r="A55" s="406" t="s">
        <v>31</v>
      </c>
      <c r="B55" s="174" t="s">
        <v>191</v>
      </c>
      <c r="C55" s="250">
        <v>27</v>
      </c>
      <c r="D55" s="250">
        <v>12</v>
      </c>
      <c r="E55" s="250">
        <v>18</v>
      </c>
      <c r="F55" s="250">
        <v>10</v>
      </c>
      <c r="G55" s="250">
        <v>8</v>
      </c>
      <c r="H55" s="250">
        <v>2</v>
      </c>
      <c r="I55" s="250">
        <v>1</v>
      </c>
      <c r="J55" s="390" t="s">
        <v>28</v>
      </c>
      <c r="K55" s="391" t="s">
        <v>28</v>
      </c>
      <c r="L55" s="251" t="s">
        <v>28</v>
      </c>
      <c r="M55" s="251" t="s">
        <v>28</v>
      </c>
      <c r="N55" s="250" t="s">
        <v>28</v>
      </c>
      <c r="O55" s="250" t="s">
        <v>28</v>
      </c>
      <c r="P55" s="250" t="s">
        <v>28</v>
      </c>
      <c r="Q55" s="250" t="s">
        <v>28</v>
      </c>
      <c r="R55" s="250" t="s">
        <v>28</v>
      </c>
      <c r="S55" s="250" t="s">
        <v>28</v>
      </c>
      <c r="T55" s="413" t="s">
        <v>28</v>
      </c>
    </row>
    <row r="56" spans="1:20" s="445" customFormat="1" ht="8.25" customHeight="1" thickBot="1">
      <c r="A56" s="1387" t="s">
        <v>45</v>
      </c>
      <c r="B56" s="1387"/>
      <c r="C56" s="1387"/>
      <c r="D56" s="1387"/>
      <c r="E56" s="1387"/>
      <c r="F56" s="1387"/>
      <c r="G56" s="1387"/>
      <c r="H56" s="1387"/>
      <c r="I56" s="1387"/>
      <c r="J56" s="1387"/>
      <c r="K56" s="1387" t="s">
        <v>46</v>
      </c>
      <c r="L56" s="1387"/>
      <c r="M56" s="1387"/>
      <c r="N56" s="1387"/>
      <c r="O56" s="1387"/>
      <c r="P56" s="1387"/>
      <c r="Q56" s="1387"/>
      <c r="R56" s="1387"/>
      <c r="S56" s="1387"/>
      <c r="T56" s="1387"/>
    </row>
    <row r="57" spans="1:20" ht="8.25" customHeight="1">
      <c r="A57" s="1898" t="s">
        <v>47</v>
      </c>
      <c r="B57" s="466" t="s">
        <v>48</v>
      </c>
      <c r="C57" s="410">
        <v>439</v>
      </c>
      <c r="D57" s="410">
        <v>302</v>
      </c>
      <c r="E57" s="410">
        <v>82</v>
      </c>
      <c r="F57" s="410">
        <v>60</v>
      </c>
      <c r="G57" s="410">
        <v>15</v>
      </c>
      <c r="H57" s="410">
        <v>13</v>
      </c>
      <c r="I57" s="410">
        <v>9</v>
      </c>
      <c r="J57" s="384">
        <v>3</v>
      </c>
      <c r="K57" s="385">
        <v>128</v>
      </c>
      <c r="L57" s="252">
        <v>86</v>
      </c>
      <c r="M57" s="410">
        <v>189</v>
      </c>
      <c r="N57" s="410">
        <v>127</v>
      </c>
      <c r="O57" s="410">
        <v>10</v>
      </c>
      <c r="P57" s="410">
        <v>8</v>
      </c>
      <c r="Q57" s="410">
        <v>2</v>
      </c>
      <c r="R57" s="410">
        <v>2</v>
      </c>
      <c r="S57" s="410">
        <v>4</v>
      </c>
      <c r="T57" s="411">
        <v>3</v>
      </c>
    </row>
    <row r="58" spans="1:20" ht="8.25" customHeight="1">
      <c r="A58" s="246" t="s">
        <v>29</v>
      </c>
      <c r="B58" s="172" t="s">
        <v>190</v>
      </c>
      <c r="C58" s="247">
        <v>354</v>
      </c>
      <c r="D58" s="247">
        <v>255</v>
      </c>
      <c r="E58" s="247">
        <v>66</v>
      </c>
      <c r="F58" s="247">
        <v>51</v>
      </c>
      <c r="G58" s="247">
        <v>13</v>
      </c>
      <c r="H58" s="247">
        <v>12</v>
      </c>
      <c r="I58" s="247">
        <v>9</v>
      </c>
      <c r="J58" s="386">
        <v>3</v>
      </c>
      <c r="K58" s="387">
        <v>99</v>
      </c>
      <c r="L58" s="248">
        <v>75</v>
      </c>
      <c r="M58" s="247">
        <v>152</v>
      </c>
      <c r="N58" s="247">
        <v>102</v>
      </c>
      <c r="O58" s="247">
        <v>9</v>
      </c>
      <c r="P58" s="247">
        <v>7</v>
      </c>
      <c r="Q58" s="247">
        <v>2</v>
      </c>
      <c r="R58" s="247">
        <v>2</v>
      </c>
      <c r="S58" s="247">
        <v>4</v>
      </c>
      <c r="T58" s="249">
        <v>3</v>
      </c>
    </row>
    <row r="59" spans="1:20" ht="8.25" customHeight="1">
      <c r="A59" s="246" t="s">
        <v>31</v>
      </c>
      <c r="B59" s="172" t="s">
        <v>191</v>
      </c>
      <c r="C59" s="247">
        <v>85</v>
      </c>
      <c r="D59" s="247">
        <v>47</v>
      </c>
      <c r="E59" s="247">
        <v>16</v>
      </c>
      <c r="F59" s="247">
        <v>9</v>
      </c>
      <c r="G59" s="247">
        <v>2</v>
      </c>
      <c r="H59" s="247">
        <v>1</v>
      </c>
      <c r="I59" s="247" t="s">
        <v>28</v>
      </c>
      <c r="J59" s="386" t="s">
        <v>28</v>
      </c>
      <c r="K59" s="387">
        <v>29</v>
      </c>
      <c r="L59" s="248">
        <v>11</v>
      </c>
      <c r="M59" s="247">
        <v>37</v>
      </c>
      <c r="N59" s="247">
        <v>25</v>
      </c>
      <c r="O59" s="247">
        <v>1</v>
      </c>
      <c r="P59" s="247">
        <v>1</v>
      </c>
      <c r="Q59" s="247" t="s">
        <v>28</v>
      </c>
      <c r="R59" s="247" t="s">
        <v>28</v>
      </c>
      <c r="S59" s="247" t="s">
        <v>28</v>
      </c>
      <c r="T59" s="249" t="s">
        <v>28</v>
      </c>
    </row>
    <row r="60" spans="1:20" ht="8.25" customHeight="1">
      <c r="A60" s="102" t="s">
        <v>49</v>
      </c>
      <c r="B60" s="170" t="s">
        <v>50</v>
      </c>
      <c r="C60" s="243">
        <v>104</v>
      </c>
      <c r="D60" s="243">
        <v>51</v>
      </c>
      <c r="E60" s="243">
        <v>18</v>
      </c>
      <c r="F60" s="243">
        <v>10</v>
      </c>
      <c r="G60" s="243">
        <v>2</v>
      </c>
      <c r="H60" s="243" t="s">
        <v>28</v>
      </c>
      <c r="I60" s="243">
        <v>8</v>
      </c>
      <c r="J60" s="388">
        <v>6</v>
      </c>
      <c r="K60" s="389">
        <v>27</v>
      </c>
      <c r="L60" s="244">
        <v>10</v>
      </c>
      <c r="M60" s="243">
        <v>49</v>
      </c>
      <c r="N60" s="243">
        <v>25</v>
      </c>
      <c r="O60" s="243" t="s">
        <v>28</v>
      </c>
      <c r="P60" s="243" t="s">
        <v>28</v>
      </c>
      <c r="Q60" s="243" t="s">
        <v>28</v>
      </c>
      <c r="R60" s="243" t="s">
        <v>28</v>
      </c>
      <c r="S60" s="243" t="s">
        <v>28</v>
      </c>
      <c r="T60" s="245" t="s">
        <v>28</v>
      </c>
    </row>
    <row r="61" spans="1:20" ht="8.25" customHeight="1">
      <c r="A61" s="246" t="s">
        <v>29</v>
      </c>
      <c r="B61" s="172" t="s">
        <v>190</v>
      </c>
      <c r="C61" s="247">
        <v>35</v>
      </c>
      <c r="D61" s="247">
        <v>28</v>
      </c>
      <c r="E61" s="247">
        <v>7</v>
      </c>
      <c r="F61" s="247">
        <v>5</v>
      </c>
      <c r="G61" s="247" t="s">
        <v>28</v>
      </c>
      <c r="H61" s="247" t="s">
        <v>28</v>
      </c>
      <c r="I61" s="247">
        <v>7</v>
      </c>
      <c r="J61" s="386">
        <v>6</v>
      </c>
      <c r="K61" s="387">
        <v>10</v>
      </c>
      <c r="L61" s="248">
        <v>8</v>
      </c>
      <c r="M61" s="247">
        <v>11</v>
      </c>
      <c r="N61" s="247">
        <v>9</v>
      </c>
      <c r="O61" s="247" t="s">
        <v>28</v>
      </c>
      <c r="P61" s="247" t="s">
        <v>28</v>
      </c>
      <c r="Q61" s="247" t="s">
        <v>28</v>
      </c>
      <c r="R61" s="247" t="s">
        <v>28</v>
      </c>
      <c r="S61" s="247" t="s">
        <v>28</v>
      </c>
      <c r="T61" s="249" t="s">
        <v>28</v>
      </c>
    </row>
    <row r="62" spans="1:20" ht="8.25" customHeight="1">
      <c r="A62" s="246" t="s">
        <v>31</v>
      </c>
      <c r="B62" s="172" t="s">
        <v>191</v>
      </c>
      <c r="C62" s="247">
        <v>69</v>
      </c>
      <c r="D62" s="247">
        <v>23</v>
      </c>
      <c r="E62" s="247">
        <v>11</v>
      </c>
      <c r="F62" s="247">
        <v>5</v>
      </c>
      <c r="G62" s="247">
        <v>2</v>
      </c>
      <c r="H62" s="247" t="s">
        <v>28</v>
      </c>
      <c r="I62" s="247">
        <v>1</v>
      </c>
      <c r="J62" s="386" t="s">
        <v>28</v>
      </c>
      <c r="K62" s="387">
        <v>17</v>
      </c>
      <c r="L62" s="248">
        <v>2</v>
      </c>
      <c r="M62" s="247">
        <v>38</v>
      </c>
      <c r="N62" s="247">
        <v>16</v>
      </c>
      <c r="O62" s="247" t="s">
        <v>28</v>
      </c>
      <c r="P62" s="247" t="s">
        <v>28</v>
      </c>
      <c r="Q62" s="247" t="s">
        <v>28</v>
      </c>
      <c r="R62" s="247" t="s">
        <v>28</v>
      </c>
      <c r="S62" s="247" t="s">
        <v>28</v>
      </c>
      <c r="T62" s="249" t="s">
        <v>28</v>
      </c>
    </row>
    <row r="63" spans="1:20" ht="8.25" customHeight="1">
      <c r="A63" s="102" t="s">
        <v>963</v>
      </c>
      <c r="B63" s="170" t="s">
        <v>964</v>
      </c>
      <c r="C63" s="243">
        <v>579</v>
      </c>
      <c r="D63" s="243">
        <v>403</v>
      </c>
      <c r="E63" s="243">
        <v>109</v>
      </c>
      <c r="F63" s="243">
        <v>82</v>
      </c>
      <c r="G63" s="243">
        <v>12</v>
      </c>
      <c r="H63" s="243">
        <v>10</v>
      </c>
      <c r="I63" s="243">
        <v>20</v>
      </c>
      <c r="J63" s="388">
        <v>14</v>
      </c>
      <c r="K63" s="389">
        <v>193</v>
      </c>
      <c r="L63" s="244">
        <v>129</v>
      </c>
      <c r="M63" s="243">
        <v>197</v>
      </c>
      <c r="N63" s="243">
        <v>135</v>
      </c>
      <c r="O63" s="243">
        <v>41</v>
      </c>
      <c r="P63" s="243">
        <v>28</v>
      </c>
      <c r="Q63" s="243">
        <v>1</v>
      </c>
      <c r="R63" s="243">
        <v>1</v>
      </c>
      <c r="S63" s="243">
        <v>6</v>
      </c>
      <c r="T63" s="245">
        <v>4</v>
      </c>
    </row>
    <row r="64" spans="1:20" ht="8.25" customHeight="1">
      <c r="A64" s="246" t="s">
        <v>29</v>
      </c>
      <c r="B64" s="172" t="s">
        <v>190</v>
      </c>
      <c r="C64" s="247">
        <v>531</v>
      </c>
      <c r="D64" s="247">
        <v>378</v>
      </c>
      <c r="E64" s="247">
        <v>103</v>
      </c>
      <c r="F64" s="247">
        <v>79</v>
      </c>
      <c r="G64" s="247">
        <v>12</v>
      </c>
      <c r="H64" s="247">
        <v>10</v>
      </c>
      <c r="I64" s="247">
        <v>19</v>
      </c>
      <c r="J64" s="386">
        <v>13</v>
      </c>
      <c r="K64" s="387">
        <v>189</v>
      </c>
      <c r="L64" s="248">
        <v>126</v>
      </c>
      <c r="M64" s="247">
        <v>174</v>
      </c>
      <c r="N64" s="247">
        <v>126</v>
      </c>
      <c r="O64" s="247">
        <v>32</v>
      </c>
      <c r="P64" s="247">
        <v>22</v>
      </c>
      <c r="Q64" s="247" t="s">
        <v>28</v>
      </c>
      <c r="R64" s="247" t="s">
        <v>28</v>
      </c>
      <c r="S64" s="247">
        <v>2</v>
      </c>
      <c r="T64" s="249">
        <v>2</v>
      </c>
    </row>
    <row r="65" spans="1:20" ht="8.25" customHeight="1">
      <c r="A65" s="246" t="s">
        <v>31</v>
      </c>
      <c r="B65" s="172" t="s">
        <v>191</v>
      </c>
      <c r="C65" s="247">
        <v>48</v>
      </c>
      <c r="D65" s="247">
        <v>25</v>
      </c>
      <c r="E65" s="247">
        <v>6</v>
      </c>
      <c r="F65" s="247">
        <v>3</v>
      </c>
      <c r="G65" s="247" t="s">
        <v>28</v>
      </c>
      <c r="H65" s="247" t="s">
        <v>28</v>
      </c>
      <c r="I65" s="247">
        <v>1</v>
      </c>
      <c r="J65" s="386">
        <v>1</v>
      </c>
      <c r="K65" s="387">
        <v>4</v>
      </c>
      <c r="L65" s="248">
        <v>3</v>
      </c>
      <c r="M65" s="247">
        <v>23</v>
      </c>
      <c r="N65" s="247">
        <v>9</v>
      </c>
      <c r="O65" s="247">
        <v>9</v>
      </c>
      <c r="P65" s="247">
        <v>6</v>
      </c>
      <c r="Q65" s="247">
        <v>1</v>
      </c>
      <c r="R65" s="247">
        <v>1</v>
      </c>
      <c r="S65" s="247">
        <v>4</v>
      </c>
      <c r="T65" s="249">
        <v>2</v>
      </c>
    </row>
    <row r="66" spans="1:20" ht="8.25" customHeight="1">
      <c r="A66" s="102" t="s">
        <v>51</v>
      </c>
      <c r="B66" s="170" t="s">
        <v>52</v>
      </c>
      <c r="C66" s="243">
        <v>984</v>
      </c>
      <c r="D66" s="243">
        <v>750</v>
      </c>
      <c r="E66" s="243">
        <v>194</v>
      </c>
      <c r="F66" s="243">
        <v>147</v>
      </c>
      <c r="G66" s="243">
        <v>22</v>
      </c>
      <c r="H66" s="243">
        <v>18</v>
      </c>
      <c r="I66" s="243">
        <v>31</v>
      </c>
      <c r="J66" s="388">
        <v>22</v>
      </c>
      <c r="K66" s="389">
        <v>300</v>
      </c>
      <c r="L66" s="244">
        <v>231</v>
      </c>
      <c r="M66" s="243">
        <v>384</v>
      </c>
      <c r="N66" s="243">
        <v>292</v>
      </c>
      <c r="O66" s="243">
        <v>45</v>
      </c>
      <c r="P66" s="243">
        <v>33</v>
      </c>
      <c r="Q66" s="243">
        <v>2</v>
      </c>
      <c r="R66" s="243">
        <v>2</v>
      </c>
      <c r="S66" s="243">
        <v>6</v>
      </c>
      <c r="T66" s="245">
        <v>5</v>
      </c>
    </row>
    <row r="67" spans="1:20" ht="8.25" customHeight="1">
      <c r="A67" s="246" t="s">
        <v>29</v>
      </c>
      <c r="B67" s="172" t="s">
        <v>190</v>
      </c>
      <c r="C67" s="247">
        <v>938</v>
      </c>
      <c r="D67" s="247">
        <v>722</v>
      </c>
      <c r="E67" s="247">
        <v>187</v>
      </c>
      <c r="F67" s="247">
        <v>142</v>
      </c>
      <c r="G67" s="247">
        <v>21</v>
      </c>
      <c r="H67" s="247">
        <v>17</v>
      </c>
      <c r="I67" s="247">
        <v>31</v>
      </c>
      <c r="J67" s="386">
        <v>22</v>
      </c>
      <c r="K67" s="387">
        <v>295</v>
      </c>
      <c r="L67" s="248">
        <v>229</v>
      </c>
      <c r="M67" s="247">
        <v>355</v>
      </c>
      <c r="N67" s="247">
        <v>275</v>
      </c>
      <c r="O67" s="247">
        <v>42</v>
      </c>
      <c r="P67" s="247">
        <v>31</v>
      </c>
      <c r="Q67" s="247">
        <v>2</v>
      </c>
      <c r="R67" s="247">
        <v>2</v>
      </c>
      <c r="S67" s="247">
        <v>5</v>
      </c>
      <c r="T67" s="249">
        <v>4</v>
      </c>
    </row>
    <row r="68" spans="1:20" ht="8.25" customHeight="1">
      <c r="A68" s="246" t="s">
        <v>31</v>
      </c>
      <c r="B68" s="172" t="s">
        <v>191</v>
      </c>
      <c r="C68" s="247">
        <v>46</v>
      </c>
      <c r="D68" s="247">
        <v>28</v>
      </c>
      <c r="E68" s="247">
        <v>7</v>
      </c>
      <c r="F68" s="247">
        <v>5</v>
      </c>
      <c r="G68" s="247">
        <v>1</v>
      </c>
      <c r="H68" s="247">
        <v>1</v>
      </c>
      <c r="I68" s="247" t="s">
        <v>28</v>
      </c>
      <c r="J68" s="386" t="s">
        <v>28</v>
      </c>
      <c r="K68" s="387">
        <v>5</v>
      </c>
      <c r="L68" s="248">
        <v>2</v>
      </c>
      <c r="M68" s="247">
        <v>29</v>
      </c>
      <c r="N68" s="247">
        <v>17</v>
      </c>
      <c r="O68" s="247">
        <v>3</v>
      </c>
      <c r="P68" s="247">
        <v>2</v>
      </c>
      <c r="Q68" s="247" t="s">
        <v>28</v>
      </c>
      <c r="R68" s="247" t="s">
        <v>28</v>
      </c>
      <c r="S68" s="247">
        <v>1</v>
      </c>
      <c r="T68" s="249">
        <v>1</v>
      </c>
    </row>
    <row r="69" spans="1:20" ht="8.25" customHeight="1">
      <c r="A69" s="102" t="s">
        <v>53</v>
      </c>
      <c r="B69" s="170" t="s">
        <v>54</v>
      </c>
      <c r="C69" s="243">
        <v>1037</v>
      </c>
      <c r="D69" s="243">
        <v>796</v>
      </c>
      <c r="E69" s="243">
        <v>196</v>
      </c>
      <c r="F69" s="243">
        <v>163</v>
      </c>
      <c r="G69" s="243">
        <v>26</v>
      </c>
      <c r="H69" s="243">
        <v>20</v>
      </c>
      <c r="I69" s="243">
        <v>28</v>
      </c>
      <c r="J69" s="388">
        <v>20</v>
      </c>
      <c r="K69" s="389">
        <v>345</v>
      </c>
      <c r="L69" s="244">
        <v>257</v>
      </c>
      <c r="M69" s="243">
        <v>395</v>
      </c>
      <c r="N69" s="243">
        <v>301</v>
      </c>
      <c r="O69" s="243">
        <v>42</v>
      </c>
      <c r="P69" s="243">
        <v>31</v>
      </c>
      <c r="Q69" s="243">
        <v>4</v>
      </c>
      <c r="R69" s="243">
        <v>3</v>
      </c>
      <c r="S69" s="243">
        <v>1</v>
      </c>
      <c r="T69" s="245">
        <v>1</v>
      </c>
    </row>
    <row r="70" spans="1:20" ht="8.25" customHeight="1">
      <c r="A70" s="246" t="s">
        <v>29</v>
      </c>
      <c r="B70" s="172" t="s">
        <v>190</v>
      </c>
      <c r="C70" s="247">
        <v>1012</v>
      </c>
      <c r="D70" s="247">
        <v>779</v>
      </c>
      <c r="E70" s="247">
        <v>194</v>
      </c>
      <c r="F70" s="247">
        <v>161</v>
      </c>
      <c r="G70" s="247">
        <v>21</v>
      </c>
      <c r="H70" s="247">
        <v>17</v>
      </c>
      <c r="I70" s="247">
        <v>28</v>
      </c>
      <c r="J70" s="386">
        <v>20</v>
      </c>
      <c r="K70" s="387">
        <v>335</v>
      </c>
      <c r="L70" s="248">
        <v>251</v>
      </c>
      <c r="M70" s="247">
        <v>387</v>
      </c>
      <c r="N70" s="247">
        <v>295</v>
      </c>
      <c r="O70" s="247">
        <v>42</v>
      </c>
      <c r="P70" s="247">
        <v>31</v>
      </c>
      <c r="Q70" s="247">
        <v>4</v>
      </c>
      <c r="R70" s="247">
        <v>3</v>
      </c>
      <c r="S70" s="247">
        <v>1</v>
      </c>
      <c r="T70" s="249">
        <v>1</v>
      </c>
    </row>
    <row r="71" spans="1:20" ht="8.25" customHeight="1">
      <c r="A71" s="246" t="s">
        <v>31</v>
      </c>
      <c r="B71" s="172" t="s">
        <v>191</v>
      </c>
      <c r="C71" s="247">
        <v>25</v>
      </c>
      <c r="D71" s="247">
        <v>17</v>
      </c>
      <c r="E71" s="247">
        <v>2</v>
      </c>
      <c r="F71" s="247">
        <v>2</v>
      </c>
      <c r="G71" s="247">
        <v>5</v>
      </c>
      <c r="H71" s="247">
        <v>3</v>
      </c>
      <c r="I71" s="247" t="s">
        <v>28</v>
      </c>
      <c r="J71" s="386" t="s">
        <v>28</v>
      </c>
      <c r="K71" s="387">
        <v>10</v>
      </c>
      <c r="L71" s="248">
        <v>6</v>
      </c>
      <c r="M71" s="247">
        <v>8</v>
      </c>
      <c r="N71" s="247">
        <v>6</v>
      </c>
      <c r="O71" s="247" t="s">
        <v>28</v>
      </c>
      <c r="P71" s="247" t="s">
        <v>28</v>
      </c>
      <c r="Q71" s="247" t="s">
        <v>28</v>
      </c>
      <c r="R71" s="247" t="s">
        <v>28</v>
      </c>
      <c r="S71" s="247" t="s">
        <v>28</v>
      </c>
      <c r="T71" s="249" t="s">
        <v>28</v>
      </c>
    </row>
    <row r="72" spans="1:20" ht="8.25" customHeight="1">
      <c r="A72" s="102" t="s">
        <v>55</v>
      </c>
      <c r="B72" s="170" t="s">
        <v>56</v>
      </c>
      <c r="C72" s="243">
        <v>907</v>
      </c>
      <c r="D72" s="243">
        <v>708</v>
      </c>
      <c r="E72" s="243">
        <v>179</v>
      </c>
      <c r="F72" s="243">
        <v>145</v>
      </c>
      <c r="G72" s="243">
        <v>18</v>
      </c>
      <c r="H72" s="243">
        <v>14</v>
      </c>
      <c r="I72" s="243">
        <v>32</v>
      </c>
      <c r="J72" s="388">
        <v>25</v>
      </c>
      <c r="K72" s="389">
        <v>257</v>
      </c>
      <c r="L72" s="244">
        <v>197</v>
      </c>
      <c r="M72" s="243">
        <v>371</v>
      </c>
      <c r="N72" s="243">
        <v>284</v>
      </c>
      <c r="O72" s="243">
        <v>48</v>
      </c>
      <c r="P72" s="243">
        <v>41</v>
      </c>
      <c r="Q72" s="243">
        <v>1</v>
      </c>
      <c r="R72" s="243">
        <v>1</v>
      </c>
      <c r="S72" s="243">
        <v>1</v>
      </c>
      <c r="T72" s="245">
        <v>1</v>
      </c>
    </row>
    <row r="73" spans="1:20" ht="8.25" customHeight="1">
      <c r="A73" s="246" t="s">
        <v>29</v>
      </c>
      <c r="B73" s="172" t="s">
        <v>190</v>
      </c>
      <c r="C73" s="247">
        <v>907</v>
      </c>
      <c r="D73" s="247">
        <v>708</v>
      </c>
      <c r="E73" s="247">
        <v>179</v>
      </c>
      <c r="F73" s="247">
        <v>145</v>
      </c>
      <c r="G73" s="247">
        <v>18</v>
      </c>
      <c r="H73" s="247">
        <v>14</v>
      </c>
      <c r="I73" s="247">
        <v>32</v>
      </c>
      <c r="J73" s="386">
        <v>25</v>
      </c>
      <c r="K73" s="387">
        <v>257</v>
      </c>
      <c r="L73" s="248">
        <v>197</v>
      </c>
      <c r="M73" s="247">
        <v>371</v>
      </c>
      <c r="N73" s="247">
        <v>284</v>
      </c>
      <c r="O73" s="247">
        <v>48</v>
      </c>
      <c r="P73" s="247">
        <v>41</v>
      </c>
      <c r="Q73" s="247">
        <v>1</v>
      </c>
      <c r="R73" s="247">
        <v>1</v>
      </c>
      <c r="S73" s="247">
        <v>1</v>
      </c>
      <c r="T73" s="249">
        <v>1</v>
      </c>
    </row>
    <row r="74" spans="1:20" ht="8.25" customHeight="1">
      <c r="A74" s="102" t="s">
        <v>57</v>
      </c>
      <c r="B74" s="170" t="s">
        <v>58</v>
      </c>
      <c r="C74" s="243">
        <v>539</v>
      </c>
      <c r="D74" s="243">
        <v>425</v>
      </c>
      <c r="E74" s="243">
        <v>118</v>
      </c>
      <c r="F74" s="243">
        <v>101</v>
      </c>
      <c r="G74" s="243">
        <v>21</v>
      </c>
      <c r="H74" s="243">
        <v>18</v>
      </c>
      <c r="I74" s="243">
        <v>33</v>
      </c>
      <c r="J74" s="388">
        <v>21</v>
      </c>
      <c r="K74" s="389">
        <v>147</v>
      </c>
      <c r="L74" s="244">
        <v>116</v>
      </c>
      <c r="M74" s="243">
        <v>205</v>
      </c>
      <c r="N74" s="243">
        <v>158</v>
      </c>
      <c r="O74" s="243">
        <v>9</v>
      </c>
      <c r="P74" s="243">
        <v>7</v>
      </c>
      <c r="Q74" s="243">
        <v>5</v>
      </c>
      <c r="R74" s="243">
        <v>3</v>
      </c>
      <c r="S74" s="243">
        <v>1</v>
      </c>
      <c r="T74" s="245">
        <v>1</v>
      </c>
    </row>
    <row r="75" spans="1:20" ht="8.25" customHeight="1">
      <c r="A75" s="246" t="s">
        <v>29</v>
      </c>
      <c r="B75" s="172" t="s">
        <v>190</v>
      </c>
      <c r="C75" s="247">
        <v>539</v>
      </c>
      <c r="D75" s="247">
        <v>425</v>
      </c>
      <c r="E75" s="247">
        <v>118</v>
      </c>
      <c r="F75" s="247">
        <v>101</v>
      </c>
      <c r="G75" s="247">
        <v>21</v>
      </c>
      <c r="H75" s="247">
        <v>18</v>
      </c>
      <c r="I75" s="247">
        <v>33</v>
      </c>
      <c r="J75" s="386">
        <v>21</v>
      </c>
      <c r="K75" s="387">
        <v>147</v>
      </c>
      <c r="L75" s="248">
        <v>116</v>
      </c>
      <c r="M75" s="247">
        <v>205</v>
      </c>
      <c r="N75" s="247">
        <v>158</v>
      </c>
      <c r="O75" s="247">
        <v>9</v>
      </c>
      <c r="P75" s="247">
        <v>7</v>
      </c>
      <c r="Q75" s="247">
        <v>5</v>
      </c>
      <c r="R75" s="247">
        <v>3</v>
      </c>
      <c r="S75" s="247">
        <v>1</v>
      </c>
      <c r="T75" s="249">
        <v>1</v>
      </c>
    </row>
    <row r="76" spans="1:20" ht="8.25" customHeight="1">
      <c r="A76" s="102" t="s">
        <v>59</v>
      </c>
      <c r="B76" s="170" t="s">
        <v>60</v>
      </c>
      <c r="C76" s="243">
        <v>1376</v>
      </c>
      <c r="D76" s="243">
        <v>983</v>
      </c>
      <c r="E76" s="243">
        <v>236</v>
      </c>
      <c r="F76" s="243">
        <v>187</v>
      </c>
      <c r="G76" s="243">
        <v>33</v>
      </c>
      <c r="H76" s="243">
        <v>30</v>
      </c>
      <c r="I76" s="243">
        <v>28</v>
      </c>
      <c r="J76" s="388">
        <v>25</v>
      </c>
      <c r="K76" s="389">
        <v>360</v>
      </c>
      <c r="L76" s="244">
        <v>238</v>
      </c>
      <c r="M76" s="243">
        <v>671</v>
      </c>
      <c r="N76" s="243">
        <v>463</v>
      </c>
      <c r="O76" s="243">
        <v>45</v>
      </c>
      <c r="P76" s="243">
        <v>38</v>
      </c>
      <c r="Q76" s="243">
        <v>1</v>
      </c>
      <c r="R76" s="243">
        <v>1</v>
      </c>
      <c r="S76" s="243">
        <v>2</v>
      </c>
      <c r="T76" s="245">
        <v>1</v>
      </c>
    </row>
    <row r="77" spans="1:20" ht="8.25" customHeight="1">
      <c r="A77" s="246" t="s">
        <v>29</v>
      </c>
      <c r="B77" s="172" t="s">
        <v>190</v>
      </c>
      <c r="C77" s="247">
        <v>1376</v>
      </c>
      <c r="D77" s="247">
        <v>983</v>
      </c>
      <c r="E77" s="247">
        <v>236</v>
      </c>
      <c r="F77" s="247">
        <v>187</v>
      </c>
      <c r="G77" s="247">
        <v>33</v>
      </c>
      <c r="H77" s="247">
        <v>30</v>
      </c>
      <c r="I77" s="247">
        <v>28</v>
      </c>
      <c r="J77" s="386">
        <v>25</v>
      </c>
      <c r="K77" s="387">
        <v>360</v>
      </c>
      <c r="L77" s="248">
        <v>238</v>
      </c>
      <c r="M77" s="247">
        <v>671</v>
      </c>
      <c r="N77" s="247">
        <v>463</v>
      </c>
      <c r="O77" s="247">
        <v>45</v>
      </c>
      <c r="P77" s="247">
        <v>38</v>
      </c>
      <c r="Q77" s="247">
        <v>1</v>
      </c>
      <c r="R77" s="247">
        <v>1</v>
      </c>
      <c r="S77" s="247">
        <v>2</v>
      </c>
      <c r="T77" s="249">
        <v>1</v>
      </c>
    </row>
    <row r="78" spans="1:20" ht="8.25" customHeight="1">
      <c r="A78" s="102" t="s">
        <v>61</v>
      </c>
      <c r="B78" s="170" t="s">
        <v>62</v>
      </c>
      <c r="C78" s="243">
        <v>170</v>
      </c>
      <c r="D78" s="243">
        <v>91</v>
      </c>
      <c r="E78" s="243">
        <v>62</v>
      </c>
      <c r="F78" s="243">
        <v>35</v>
      </c>
      <c r="G78" s="243">
        <v>24</v>
      </c>
      <c r="H78" s="243">
        <v>13</v>
      </c>
      <c r="I78" s="243">
        <v>21</v>
      </c>
      <c r="J78" s="388">
        <v>13</v>
      </c>
      <c r="K78" s="389">
        <v>17</v>
      </c>
      <c r="L78" s="244">
        <v>9</v>
      </c>
      <c r="M78" s="243">
        <v>31</v>
      </c>
      <c r="N78" s="243">
        <v>11</v>
      </c>
      <c r="O78" s="243">
        <v>14</v>
      </c>
      <c r="P78" s="243">
        <v>9</v>
      </c>
      <c r="Q78" s="243">
        <v>1</v>
      </c>
      <c r="R78" s="243">
        <v>1</v>
      </c>
      <c r="S78" s="243" t="s">
        <v>28</v>
      </c>
      <c r="T78" s="245" t="s">
        <v>28</v>
      </c>
    </row>
    <row r="79" spans="1:20" ht="8.25" customHeight="1">
      <c r="A79" s="246" t="s">
        <v>29</v>
      </c>
      <c r="B79" s="172" t="s">
        <v>190</v>
      </c>
      <c r="C79" s="247">
        <v>143</v>
      </c>
      <c r="D79" s="247">
        <v>79</v>
      </c>
      <c r="E79" s="247">
        <v>44</v>
      </c>
      <c r="F79" s="247">
        <v>25</v>
      </c>
      <c r="G79" s="247">
        <v>16</v>
      </c>
      <c r="H79" s="247">
        <v>11</v>
      </c>
      <c r="I79" s="247">
        <v>20</v>
      </c>
      <c r="J79" s="386">
        <v>13</v>
      </c>
      <c r="K79" s="387">
        <v>17</v>
      </c>
      <c r="L79" s="248">
        <v>9</v>
      </c>
      <c r="M79" s="247">
        <v>31</v>
      </c>
      <c r="N79" s="247">
        <v>11</v>
      </c>
      <c r="O79" s="247">
        <v>14</v>
      </c>
      <c r="P79" s="247">
        <v>9</v>
      </c>
      <c r="Q79" s="247">
        <v>1</v>
      </c>
      <c r="R79" s="247">
        <v>1</v>
      </c>
      <c r="S79" s="247" t="s">
        <v>28</v>
      </c>
      <c r="T79" s="249" t="s">
        <v>28</v>
      </c>
    </row>
    <row r="80" spans="1:20" ht="8.25" customHeight="1">
      <c r="A80" s="246" t="s">
        <v>31</v>
      </c>
      <c r="B80" s="172" t="s">
        <v>191</v>
      </c>
      <c r="C80" s="247">
        <v>27</v>
      </c>
      <c r="D80" s="247">
        <v>12</v>
      </c>
      <c r="E80" s="247">
        <v>18</v>
      </c>
      <c r="F80" s="247">
        <v>10</v>
      </c>
      <c r="G80" s="247">
        <v>8</v>
      </c>
      <c r="H80" s="247">
        <v>2</v>
      </c>
      <c r="I80" s="247">
        <v>1</v>
      </c>
      <c r="J80" s="386" t="s">
        <v>28</v>
      </c>
      <c r="K80" s="387" t="s">
        <v>28</v>
      </c>
      <c r="L80" s="248" t="s">
        <v>28</v>
      </c>
      <c r="M80" s="247" t="s">
        <v>28</v>
      </c>
      <c r="N80" s="247" t="s">
        <v>28</v>
      </c>
      <c r="O80" s="247" t="s">
        <v>28</v>
      </c>
      <c r="P80" s="247" t="s">
        <v>28</v>
      </c>
      <c r="Q80" s="247" t="s">
        <v>28</v>
      </c>
      <c r="R80" s="247" t="s">
        <v>28</v>
      </c>
      <c r="S80" s="247" t="s">
        <v>28</v>
      </c>
      <c r="T80" s="249" t="s">
        <v>28</v>
      </c>
    </row>
    <row r="81" spans="1:20" ht="8.25" customHeight="1">
      <c r="A81" s="102" t="s">
        <v>63</v>
      </c>
      <c r="B81" s="170" t="s">
        <v>64</v>
      </c>
      <c r="C81" s="243">
        <v>50</v>
      </c>
      <c r="D81" s="243">
        <v>32</v>
      </c>
      <c r="E81" s="243">
        <v>9</v>
      </c>
      <c r="F81" s="243">
        <v>7</v>
      </c>
      <c r="G81" s="243">
        <v>17</v>
      </c>
      <c r="H81" s="243">
        <v>13</v>
      </c>
      <c r="I81" s="243">
        <v>20</v>
      </c>
      <c r="J81" s="388">
        <v>10</v>
      </c>
      <c r="K81" s="389">
        <v>4</v>
      </c>
      <c r="L81" s="244">
        <v>2</v>
      </c>
      <c r="M81" s="243" t="s">
        <v>28</v>
      </c>
      <c r="N81" s="243" t="s">
        <v>28</v>
      </c>
      <c r="O81" s="243" t="s">
        <v>28</v>
      </c>
      <c r="P81" s="243" t="s">
        <v>28</v>
      </c>
      <c r="Q81" s="243" t="s">
        <v>28</v>
      </c>
      <c r="R81" s="243" t="s">
        <v>28</v>
      </c>
      <c r="S81" s="243" t="s">
        <v>28</v>
      </c>
      <c r="T81" s="245" t="s">
        <v>28</v>
      </c>
    </row>
    <row r="82" spans="1:20" ht="8.25" customHeight="1" thickBot="1">
      <c r="A82" s="406" t="s">
        <v>29</v>
      </c>
      <c r="B82" s="174" t="s">
        <v>190</v>
      </c>
      <c r="C82" s="250">
        <v>50</v>
      </c>
      <c r="D82" s="250">
        <v>32</v>
      </c>
      <c r="E82" s="250">
        <v>9</v>
      </c>
      <c r="F82" s="250">
        <v>7</v>
      </c>
      <c r="G82" s="250">
        <v>17</v>
      </c>
      <c r="H82" s="250">
        <v>13</v>
      </c>
      <c r="I82" s="250">
        <v>20</v>
      </c>
      <c r="J82" s="390">
        <v>10</v>
      </c>
      <c r="K82" s="391">
        <v>4</v>
      </c>
      <c r="L82" s="251">
        <v>2</v>
      </c>
      <c r="M82" s="250" t="s">
        <v>28</v>
      </c>
      <c r="N82" s="250" t="s">
        <v>28</v>
      </c>
      <c r="O82" s="250" t="s">
        <v>28</v>
      </c>
      <c r="P82" s="250" t="s">
        <v>28</v>
      </c>
      <c r="Q82" s="250" t="s">
        <v>28</v>
      </c>
      <c r="R82" s="250" t="s">
        <v>28</v>
      </c>
      <c r="S82" s="250" t="s">
        <v>28</v>
      </c>
      <c r="T82" s="413" t="s">
        <v>28</v>
      </c>
    </row>
    <row r="83" spans="1:20" s="156" customFormat="1" ht="15.75" customHeight="1">
      <c r="A83" s="1328" t="s">
        <v>1250</v>
      </c>
      <c r="B83" s="1328"/>
      <c r="C83" s="1328"/>
      <c r="D83" s="1328"/>
      <c r="E83" s="1328"/>
      <c r="F83" s="1328"/>
      <c r="G83" s="1328"/>
      <c r="H83" s="1328"/>
      <c r="I83" s="1328"/>
      <c r="J83" s="1328"/>
      <c r="K83" s="1328" t="s">
        <v>1244</v>
      </c>
      <c r="L83" s="1328"/>
      <c r="M83" s="1328"/>
      <c r="N83" s="1328"/>
      <c r="O83" s="1328"/>
      <c r="P83" s="1328"/>
      <c r="Q83" s="1328"/>
      <c r="R83" s="1328"/>
      <c r="S83" s="1328"/>
      <c r="T83" s="1328"/>
    </row>
    <row r="86" spans="1:20">
      <c r="A86" s="155"/>
    </row>
  </sheetData>
  <mergeCells count="26">
    <mergeCell ref="A2:J2"/>
    <mergeCell ref="K2:T2"/>
    <mergeCell ref="A3:J3"/>
    <mergeCell ref="K3:T3"/>
    <mergeCell ref="A83:J83"/>
    <mergeCell ref="K83:T83"/>
    <mergeCell ref="A7:B7"/>
    <mergeCell ref="A8:B8"/>
    <mergeCell ref="K5:L6"/>
    <mergeCell ref="A6:B6"/>
    <mergeCell ref="C6:D6"/>
    <mergeCell ref="E6:F6"/>
    <mergeCell ref="A56:J56"/>
    <mergeCell ref="K42:T42"/>
    <mergeCell ref="K56:T56"/>
    <mergeCell ref="O5:P6"/>
    <mergeCell ref="Q5:R6"/>
    <mergeCell ref="S5:T5"/>
    <mergeCell ref="S6:T6"/>
    <mergeCell ref="A42:J42"/>
    <mergeCell ref="M5:N6"/>
    <mergeCell ref="A5:B5"/>
    <mergeCell ref="C5:D5"/>
    <mergeCell ref="E5:F5"/>
    <mergeCell ref="G5:H6"/>
    <mergeCell ref="I5:J6"/>
  </mergeCells>
  <phoneticPr fontId="4" type="noConversion"/>
  <hyperlinks>
    <hyperlink ref="A1" location="목록!A1" display="목록!A1" xr:uid="{3ABDAA6F-D465-4E73-8256-DBAEA07B930A}"/>
  </hyperlinks>
  <printOptions horizontalCentered="1"/>
  <pageMargins left="0.59055118110236227" right="0.59055118110236227" top="0.78740157480314965" bottom="0.59055118110236227" header="0.62992125984251968" footer="0.39370078740157483"/>
  <pageSetup paperSize="9" scale="97" orientation="portrait" r:id="rId1"/>
  <colBreaks count="3" manualBreakCount="3">
    <brk id="10" min="1" max="82" man="1"/>
    <brk id="27" min="1" max="88" man="1"/>
    <brk id="36" min="1" max="88" man="1"/>
  </colBreaks>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X80"/>
  <sheetViews>
    <sheetView showGridLines="0" showWhiteSpace="0" view="pageBreakPreview" zoomScaleNormal="100" zoomScaleSheetLayoutView="100" workbookViewId="0">
      <selection activeCell="A2" sqref="A2:X80"/>
    </sheetView>
  </sheetViews>
  <sheetFormatPr defaultColWidth="8.88671875" defaultRowHeight="16.5"/>
  <cols>
    <col min="1" max="1" width="7.44140625" style="703" customWidth="1"/>
    <col min="2" max="2" width="14" style="726" customWidth="1"/>
    <col min="3" max="3" width="5.77734375" style="703" customWidth="1"/>
    <col min="4" max="4" width="8.21875" style="703" customWidth="1"/>
    <col min="5" max="12" width="5.77734375" style="703" customWidth="1"/>
    <col min="13" max="20" width="6.44140625" style="703" customWidth="1"/>
    <col min="21" max="21" width="6.6640625" style="703" customWidth="1"/>
    <col min="22" max="24" width="6.77734375" style="703" customWidth="1"/>
    <col min="25" max="16384" width="8.88671875" style="703"/>
  </cols>
  <sheetData>
    <row r="1" spans="1:24" ht="22.5">
      <c r="A1" s="901" t="s">
        <v>1332</v>
      </c>
    </row>
    <row r="2" spans="1:24" s="701" customFormat="1" ht="13.5" customHeight="1">
      <c r="A2" s="1254" t="s">
        <v>1039</v>
      </c>
      <c r="B2" s="1254"/>
      <c r="C2" s="1254"/>
      <c r="D2" s="1254"/>
      <c r="E2" s="1254"/>
      <c r="F2" s="1254"/>
      <c r="G2" s="1254"/>
      <c r="H2" s="1254"/>
      <c r="I2" s="1254"/>
      <c r="J2" s="1254"/>
      <c r="K2" s="1254"/>
      <c r="L2" s="1254"/>
      <c r="M2" s="1253" t="s">
        <v>1040</v>
      </c>
      <c r="N2" s="1253"/>
      <c r="O2" s="1253"/>
      <c r="P2" s="1253"/>
      <c r="Q2" s="1253"/>
      <c r="R2" s="1253"/>
      <c r="S2" s="1253"/>
      <c r="T2" s="1253"/>
      <c r="U2" s="1253"/>
      <c r="V2" s="1253"/>
      <c r="W2" s="1253"/>
      <c r="X2" s="1253"/>
    </row>
    <row r="3" spans="1:24" ht="22.5" customHeight="1">
      <c r="A3" s="1252" t="s">
        <v>914</v>
      </c>
      <c r="B3" s="1252"/>
      <c r="C3" s="1252"/>
      <c r="D3" s="1252"/>
      <c r="E3" s="1252"/>
      <c r="F3" s="1252"/>
      <c r="G3" s="1252"/>
      <c r="H3" s="1252"/>
      <c r="I3" s="1252"/>
      <c r="J3" s="1252"/>
      <c r="K3" s="1252"/>
      <c r="L3" s="1252"/>
      <c r="M3" s="1252" t="s">
        <v>913</v>
      </c>
      <c r="N3" s="1252"/>
      <c r="O3" s="1252"/>
      <c r="P3" s="1252"/>
      <c r="Q3" s="1252"/>
      <c r="R3" s="1252"/>
      <c r="S3" s="1252"/>
      <c r="T3" s="1252"/>
      <c r="U3" s="1388"/>
      <c r="V3" s="1388"/>
      <c r="W3" s="1388"/>
      <c r="X3" s="1388"/>
    </row>
    <row r="4" spans="1:24" s="710" customFormat="1" ht="7.5" customHeight="1" thickBot="1">
      <c r="A4" s="1676"/>
      <c r="B4" s="1676"/>
      <c r="C4" s="1676"/>
      <c r="D4" s="1676"/>
      <c r="E4" s="1676"/>
      <c r="F4" s="1676"/>
      <c r="G4" s="1676"/>
      <c r="H4" s="1676"/>
      <c r="I4" s="1676"/>
      <c r="J4" s="1676"/>
      <c r="K4" s="1676"/>
      <c r="L4" s="1899"/>
      <c r="M4" s="1899"/>
      <c r="N4" s="1899"/>
      <c r="O4" s="1899"/>
      <c r="P4" s="1899"/>
      <c r="Q4" s="1899"/>
      <c r="R4" s="1899"/>
      <c r="S4" s="1899"/>
      <c r="T4" s="1899"/>
      <c r="U4" s="1899"/>
      <c r="V4" s="1899"/>
      <c r="W4" s="1899"/>
      <c r="X4" s="1899"/>
    </row>
    <row r="5" spans="1:24" s="888" customFormat="1" ht="10.5" customHeight="1">
      <c r="A5" s="1900" t="s">
        <v>668</v>
      </c>
      <c r="B5" s="1901"/>
      <c r="C5" s="1902" t="s">
        <v>13</v>
      </c>
      <c r="D5" s="1903" t="s">
        <v>369</v>
      </c>
      <c r="E5" s="1904" t="s">
        <v>220</v>
      </c>
      <c r="F5" s="1904" t="s">
        <v>221</v>
      </c>
      <c r="G5" s="1904" t="s">
        <v>222</v>
      </c>
      <c r="H5" s="1904" t="s">
        <v>223</v>
      </c>
      <c r="I5" s="1904" t="s">
        <v>224</v>
      </c>
      <c r="J5" s="1904" t="s">
        <v>225</v>
      </c>
      <c r="K5" s="1904" t="s">
        <v>226</v>
      </c>
      <c r="L5" s="1904" t="s">
        <v>227</v>
      </c>
      <c r="M5" s="1904" t="s">
        <v>228</v>
      </c>
      <c r="N5" s="1904" t="s">
        <v>229</v>
      </c>
      <c r="O5" s="1904" t="s">
        <v>230</v>
      </c>
      <c r="P5" s="1904" t="s">
        <v>231</v>
      </c>
      <c r="Q5" s="1904" t="s">
        <v>232</v>
      </c>
      <c r="R5" s="1904" t="s">
        <v>233</v>
      </c>
      <c r="S5" s="1904" t="s">
        <v>234</v>
      </c>
      <c r="T5" s="1904" t="s">
        <v>235</v>
      </c>
      <c r="U5" s="1904" t="s">
        <v>236</v>
      </c>
      <c r="V5" s="1904" t="s">
        <v>237</v>
      </c>
      <c r="W5" s="1904" t="s">
        <v>238</v>
      </c>
      <c r="X5" s="1905" t="s">
        <v>239</v>
      </c>
    </row>
    <row r="6" spans="1:24" s="705" customFormat="1" ht="17.25" customHeight="1">
      <c r="A6" s="1906" t="s">
        <v>7</v>
      </c>
      <c r="B6" s="1907"/>
      <c r="C6" s="1908" t="s">
        <v>387</v>
      </c>
      <c r="D6" s="1909" t="s">
        <v>619</v>
      </c>
      <c r="E6" s="1910"/>
      <c r="F6" s="1910"/>
      <c r="G6" s="1910"/>
      <c r="H6" s="1910"/>
      <c r="I6" s="1910"/>
      <c r="J6" s="1910"/>
      <c r="K6" s="1910"/>
      <c r="L6" s="1910"/>
      <c r="M6" s="1910"/>
      <c r="N6" s="1910"/>
      <c r="O6" s="1910"/>
      <c r="P6" s="1910"/>
      <c r="Q6" s="1910"/>
      <c r="R6" s="1910"/>
      <c r="S6" s="1910"/>
      <c r="T6" s="1910"/>
      <c r="U6" s="1910"/>
      <c r="V6" s="1910"/>
      <c r="W6" s="1910"/>
      <c r="X6" s="1911"/>
    </row>
    <row r="7" spans="1:24" s="753" customFormat="1" ht="9" customHeight="1">
      <c r="A7" s="1912" t="s">
        <v>27</v>
      </c>
      <c r="B7" s="1767" t="s">
        <v>16</v>
      </c>
      <c r="C7" s="1913">
        <v>6185</v>
      </c>
      <c r="D7" s="1913">
        <v>1</v>
      </c>
      <c r="E7" s="1913" t="s">
        <v>28</v>
      </c>
      <c r="F7" s="1913">
        <v>1</v>
      </c>
      <c r="G7" s="1913" t="s">
        <v>28</v>
      </c>
      <c r="H7" s="1913" t="s">
        <v>28</v>
      </c>
      <c r="I7" s="1913">
        <v>17</v>
      </c>
      <c r="J7" s="1913">
        <v>172</v>
      </c>
      <c r="K7" s="1913">
        <v>224</v>
      </c>
      <c r="L7" s="1913">
        <v>257</v>
      </c>
      <c r="M7" s="1914">
        <v>220</v>
      </c>
      <c r="N7" s="1913">
        <v>163</v>
      </c>
      <c r="O7" s="1913">
        <v>249</v>
      </c>
      <c r="P7" s="1913">
        <v>177</v>
      </c>
      <c r="Q7" s="1913">
        <v>212</v>
      </c>
      <c r="R7" s="1913">
        <v>234</v>
      </c>
      <c r="S7" s="1913">
        <v>199</v>
      </c>
      <c r="T7" s="1913">
        <v>210</v>
      </c>
      <c r="U7" s="1913">
        <v>181</v>
      </c>
      <c r="V7" s="1913">
        <v>209</v>
      </c>
      <c r="W7" s="1913">
        <v>191</v>
      </c>
      <c r="X7" s="1915">
        <v>178</v>
      </c>
    </row>
    <row r="8" spans="1:24" s="754" customFormat="1" ht="9" customHeight="1">
      <c r="A8" s="1916" t="s">
        <v>29</v>
      </c>
      <c r="B8" s="1779" t="s">
        <v>190</v>
      </c>
      <c r="C8" s="1917">
        <v>5885</v>
      </c>
      <c r="D8" s="1917">
        <v>1</v>
      </c>
      <c r="E8" s="1917" t="s">
        <v>28</v>
      </c>
      <c r="F8" s="1917">
        <v>1</v>
      </c>
      <c r="G8" s="1917" t="s">
        <v>28</v>
      </c>
      <c r="H8" s="1917" t="s">
        <v>28</v>
      </c>
      <c r="I8" s="1917">
        <v>16</v>
      </c>
      <c r="J8" s="1917">
        <v>166</v>
      </c>
      <c r="K8" s="1917">
        <v>210</v>
      </c>
      <c r="L8" s="1917">
        <v>251</v>
      </c>
      <c r="M8" s="1918">
        <v>209</v>
      </c>
      <c r="N8" s="1917">
        <v>155</v>
      </c>
      <c r="O8" s="1917">
        <v>236</v>
      </c>
      <c r="P8" s="1917">
        <v>174</v>
      </c>
      <c r="Q8" s="1917">
        <v>203</v>
      </c>
      <c r="R8" s="1917">
        <v>228</v>
      </c>
      <c r="S8" s="1917">
        <v>195</v>
      </c>
      <c r="T8" s="1917">
        <v>199</v>
      </c>
      <c r="U8" s="1917">
        <v>176</v>
      </c>
      <c r="V8" s="1917">
        <v>205</v>
      </c>
      <c r="W8" s="1917">
        <v>181</v>
      </c>
      <c r="X8" s="1919">
        <v>166</v>
      </c>
    </row>
    <row r="9" spans="1:24" s="754" customFormat="1" ht="9" customHeight="1">
      <c r="A9" s="1916" t="s">
        <v>31</v>
      </c>
      <c r="B9" s="1779" t="s">
        <v>191</v>
      </c>
      <c r="C9" s="1917">
        <v>300</v>
      </c>
      <c r="D9" s="1917" t="s">
        <v>28</v>
      </c>
      <c r="E9" s="1917" t="s">
        <v>28</v>
      </c>
      <c r="F9" s="1917" t="s">
        <v>28</v>
      </c>
      <c r="G9" s="1917" t="s">
        <v>28</v>
      </c>
      <c r="H9" s="1917" t="s">
        <v>28</v>
      </c>
      <c r="I9" s="1917">
        <v>1</v>
      </c>
      <c r="J9" s="1917">
        <v>6</v>
      </c>
      <c r="K9" s="1917">
        <v>14</v>
      </c>
      <c r="L9" s="1917">
        <v>6</v>
      </c>
      <c r="M9" s="1918">
        <v>11</v>
      </c>
      <c r="N9" s="1917">
        <v>8</v>
      </c>
      <c r="O9" s="1917">
        <v>13</v>
      </c>
      <c r="P9" s="1917">
        <v>3</v>
      </c>
      <c r="Q9" s="1917">
        <v>9</v>
      </c>
      <c r="R9" s="1917">
        <v>6</v>
      </c>
      <c r="S9" s="1917">
        <v>4</v>
      </c>
      <c r="T9" s="1917">
        <v>11</v>
      </c>
      <c r="U9" s="1917">
        <v>5</v>
      </c>
      <c r="V9" s="1917">
        <v>4</v>
      </c>
      <c r="W9" s="1917">
        <v>10</v>
      </c>
      <c r="X9" s="1919">
        <v>12</v>
      </c>
    </row>
    <row r="10" spans="1:24" s="753" customFormat="1" ht="9" customHeight="1">
      <c r="A10" s="1912" t="s">
        <v>171</v>
      </c>
      <c r="B10" s="1767" t="s">
        <v>159</v>
      </c>
      <c r="C10" s="1913">
        <v>137</v>
      </c>
      <c r="D10" s="1913" t="s">
        <v>28</v>
      </c>
      <c r="E10" s="1913" t="s">
        <v>28</v>
      </c>
      <c r="F10" s="1913" t="s">
        <v>28</v>
      </c>
      <c r="G10" s="1913" t="s">
        <v>28</v>
      </c>
      <c r="H10" s="1913" t="s">
        <v>28</v>
      </c>
      <c r="I10" s="1913" t="s">
        <v>28</v>
      </c>
      <c r="J10" s="1913" t="s">
        <v>28</v>
      </c>
      <c r="K10" s="1913" t="s">
        <v>28</v>
      </c>
      <c r="L10" s="1913" t="s">
        <v>28</v>
      </c>
      <c r="M10" s="1914" t="s">
        <v>28</v>
      </c>
      <c r="N10" s="1913" t="s">
        <v>28</v>
      </c>
      <c r="O10" s="1913" t="s">
        <v>28</v>
      </c>
      <c r="P10" s="1913" t="s">
        <v>28</v>
      </c>
      <c r="Q10" s="1913" t="s">
        <v>28</v>
      </c>
      <c r="R10" s="1913" t="s">
        <v>28</v>
      </c>
      <c r="S10" s="1913" t="s">
        <v>28</v>
      </c>
      <c r="T10" s="1913" t="s">
        <v>28</v>
      </c>
      <c r="U10" s="1913" t="s">
        <v>28</v>
      </c>
      <c r="V10" s="1913" t="s">
        <v>28</v>
      </c>
      <c r="W10" s="1913" t="s">
        <v>28</v>
      </c>
      <c r="X10" s="1915" t="s">
        <v>28</v>
      </c>
    </row>
    <row r="11" spans="1:24" s="754" customFormat="1" ht="9" customHeight="1">
      <c r="A11" s="1916" t="s">
        <v>29</v>
      </c>
      <c r="B11" s="1779" t="s">
        <v>190</v>
      </c>
      <c r="C11" s="1917">
        <v>127</v>
      </c>
      <c r="D11" s="1917" t="s">
        <v>28</v>
      </c>
      <c r="E11" s="1917" t="s">
        <v>28</v>
      </c>
      <c r="F11" s="1917" t="s">
        <v>28</v>
      </c>
      <c r="G11" s="1917" t="s">
        <v>28</v>
      </c>
      <c r="H11" s="1917" t="s">
        <v>28</v>
      </c>
      <c r="I11" s="1917" t="s">
        <v>28</v>
      </c>
      <c r="J11" s="1917" t="s">
        <v>28</v>
      </c>
      <c r="K11" s="1917" t="s">
        <v>28</v>
      </c>
      <c r="L11" s="1917" t="s">
        <v>28</v>
      </c>
      <c r="M11" s="1918" t="s">
        <v>28</v>
      </c>
      <c r="N11" s="1917" t="s">
        <v>28</v>
      </c>
      <c r="O11" s="1917" t="s">
        <v>28</v>
      </c>
      <c r="P11" s="1917" t="s">
        <v>28</v>
      </c>
      <c r="Q11" s="1917" t="s">
        <v>28</v>
      </c>
      <c r="R11" s="1917" t="s">
        <v>28</v>
      </c>
      <c r="S11" s="1917" t="s">
        <v>28</v>
      </c>
      <c r="T11" s="1917" t="s">
        <v>28</v>
      </c>
      <c r="U11" s="1917" t="s">
        <v>28</v>
      </c>
      <c r="V11" s="1917" t="s">
        <v>28</v>
      </c>
      <c r="W11" s="1917" t="s">
        <v>28</v>
      </c>
      <c r="X11" s="1919" t="s">
        <v>28</v>
      </c>
    </row>
    <row r="12" spans="1:24" s="754" customFormat="1" ht="9" customHeight="1">
      <c r="A12" s="1916" t="s">
        <v>31</v>
      </c>
      <c r="B12" s="1779" t="s">
        <v>191</v>
      </c>
      <c r="C12" s="1917">
        <v>10</v>
      </c>
      <c r="D12" s="1917" t="s">
        <v>28</v>
      </c>
      <c r="E12" s="1917" t="s">
        <v>28</v>
      </c>
      <c r="F12" s="1917" t="s">
        <v>28</v>
      </c>
      <c r="G12" s="1917" t="s">
        <v>28</v>
      </c>
      <c r="H12" s="1917" t="s">
        <v>28</v>
      </c>
      <c r="I12" s="1917" t="s">
        <v>28</v>
      </c>
      <c r="J12" s="1917" t="s">
        <v>28</v>
      </c>
      <c r="K12" s="1917" t="s">
        <v>28</v>
      </c>
      <c r="L12" s="1917" t="s">
        <v>28</v>
      </c>
      <c r="M12" s="1918" t="s">
        <v>28</v>
      </c>
      <c r="N12" s="1917" t="s">
        <v>28</v>
      </c>
      <c r="O12" s="1917" t="s">
        <v>28</v>
      </c>
      <c r="P12" s="1917" t="s">
        <v>28</v>
      </c>
      <c r="Q12" s="1917" t="s">
        <v>28</v>
      </c>
      <c r="R12" s="1917" t="s">
        <v>28</v>
      </c>
      <c r="S12" s="1917" t="s">
        <v>28</v>
      </c>
      <c r="T12" s="1917" t="s">
        <v>28</v>
      </c>
      <c r="U12" s="1917" t="s">
        <v>28</v>
      </c>
      <c r="V12" s="1917" t="s">
        <v>28</v>
      </c>
      <c r="W12" s="1917" t="s">
        <v>28</v>
      </c>
      <c r="X12" s="1919" t="s">
        <v>28</v>
      </c>
    </row>
    <row r="13" spans="1:24" s="753" customFormat="1" ht="9" customHeight="1">
      <c r="A13" s="1912" t="s">
        <v>172</v>
      </c>
      <c r="B13" s="1767" t="s">
        <v>160</v>
      </c>
      <c r="C13" s="1913">
        <v>133</v>
      </c>
      <c r="D13" s="1913" t="s">
        <v>28</v>
      </c>
      <c r="E13" s="1913" t="s">
        <v>28</v>
      </c>
      <c r="F13" s="1913" t="s">
        <v>28</v>
      </c>
      <c r="G13" s="1913" t="s">
        <v>28</v>
      </c>
      <c r="H13" s="1913" t="s">
        <v>28</v>
      </c>
      <c r="I13" s="1913" t="s">
        <v>28</v>
      </c>
      <c r="J13" s="1913" t="s">
        <v>28</v>
      </c>
      <c r="K13" s="1913" t="s">
        <v>28</v>
      </c>
      <c r="L13" s="1913" t="s">
        <v>28</v>
      </c>
      <c r="M13" s="1914" t="s">
        <v>28</v>
      </c>
      <c r="N13" s="1913" t="s">
        <v>28</v>
      </c>
      <c r="O13" s="1913" t="s">
        <v>28</v>
      </c>
      <c r="P13" s="1913" t="s">
        <v>28</v>
      </c>
      <c r="Q13" s="1913" t="s">
        <v>28</v>
      </c>
      <c r="R13" s="1913" t="s">
        <v>28</v>
      </c>
      <c r="S13" s="1913" t="s">
        <v>28</v>
      </c>
      <c r="T13" s="1913" t="s">
        <v>28</v>
      </c>
      <c r="U13" s="1913" t="s">
        <v>28</v>
      </c>
      <c r="V13" s="1913" t="s">
        <v>28</v>
      </c>
      <c r="W13" s="1913" t="s">
        <v>28</v>
      </c>
      <c r="X13" s="1915" t="s">
        <v>28</v>
      </c>
    </row>
    <row r="14" spans="1:24" s="754" customFormat="1" ht="9" customHeight="1">
      <c r="A14" s="1916" t="s">
        <v>29</v>
      </c>
      <c r="B14" s="1779" t="s">
        <v>190</v>
      </c>
      <c r="C14" s="1917">
        <v>125</v>
      </c>
      <c r="D14" s="1917" t="s">
        <v>28</v>
      </c>
      <c r="E14" s="1917" t="s">
        <v>28</v>
      </c>
      <c r="F14" s="1917" t="s">
        <v>28</v>
      </c>
      <c r="G14" s="1917" t="s">
        <v>28</v>
      </c>
      <c r="H14" s="1917" t="s">
        <v>28</v>
      </c>
      <c r="I14" s="1917" t="s">
        <v>28</v>
      </c>
      <c r="J14" s="1917" t="s">
        <v>28</v>
      </c>
      <c r="K14" s="1917" t="s">
        <v>28</v>
      </c>
      <c r="L14" s="1917" t="s">
        <v>28</v>
      </c>
      <c r="M14" s="1918" t="s">
        <v>28</v>
      </c>
      <c r="N14" s="1917" t="s">
        <v>28</v>
      </c>
      <c r="O14" s="1917" t="s">
        <v>28</v>
      </c>
      <c r="P14" s="1917" t="s">
        <v>28</v>
      </c>
      <c r="Q14" s="1917" t="s">
        <v>28</v>
      </c>
      <c r="R14" s="1917" t="s">
        <v>28</v>
      </c>
      <c r="S14" s="1917" t="s">
        <v>28</v>
      </c>
      <c r="T14" s="1917" t="s">
        <v>28</v>
      </c>
      <c r="U14" s="1917" t="s">
        <v>28</v>
      </c>
      <c r="V14" s="1917" t="s">
        <v>28</v>
      </c>
      <c r="W14" s="1917" t="s">
        <v>28</v>
      </c>
      <c r="X14" s="1919" t="s">
        <v>28</v>
      </c>
    </row>
    <row r="15" spans="1:24" s="754" customFormat="1" ht="9" customHeight="1">
      <c r="A15" s="1916" t="s">
        <v>31</v>
      </c>
      <c r="B15" s="1779" t="s">
        <v>191</v>
      </c>
      <c r="C15" s="1917">
        <v>8</v>
      </c>
      <c r="D15" s="1917" t="s">
        <v>28</v>
      </c>
      <c r="E15" s="1917" t="s">
        <v>28</v>
      </c>
      <c r="F15" s="1917" t="s">
        <v>28</v>
      </c>
      <c r="G15" s="1917" t="s">
        <v>28</v>
      </c>
      <c r="H15" s="1917" t="s">
        <v>28</v>
      </c>
      <c r="I15" s="1917" t="s">
        <v>28</v>
      </c>
      <c r="J15" s="1917" t="s">
        <v>28</v>
      </c>
      <c r="K15" s="1917" t="s">
        <v>28</v>
      </c>
      <c r="L15" s="1917" t="s">
        <v>28</v>
      </c>
      <c r="M15" s="1918" t="s">
        <v>28</v>
      </c>
      <c r="N15" s="1917" t="s">
        <v>28</v>
      </c>
      <c r="O15" s="1917" t="s">
        <v>28</v>
      </c>
      <c r="P15" s="1917" t="s">
        <v>28</v>
      </c>
      <c r="Q15" s="1917" t="s">
        <v>28</v>
      </c>
      <c r="R15" s="1917" t="s">
        <v>28</v>
      </c>
      <c r="S15" s="1917" t="s">
        <v>28</v>
      </c>
      <c r="T15" s="1917" t="s">
        <v>28</v>
      </c>
      <c r="U15" s="1917" t="s">
        <v>28</v>
      </c>
      <c r="V15" s="1917" t="s">
        <v>28</v>
      </c>
      <c r="W15" s="1917" t="s">
        <v>28</v>
      </c>
      <c r="X15" s="1919" t="s">
        <v>28</v>
      </c>
    </row>
    <row r="16" spans="1:24" s="754" customFormat="1" ht="9" customHeight="1">
      <c r="A16" s="1912" t="s">
        <v>428</v>
      </c>
      <c r="B16" s="1767" t="s">
        <v>432</v>
      </c>
      <c r="C16" s="1913">
        <v>8</v>
      </c>
      <c r="D16" s="1913" t="s">
        <v>28</v>
      </c>
      <c r="E16" s="1913" t="s">
        <v>28</v>
      </c>
      <c r="F16" s="1913" t="s">
        <v>28</v>
      </c>
      <c r="G16" s="1913" t="s">
        <v>28</v>
      </c>
      <c r="H16" s="1913" t="s">
        <v>28</v>
      </c>
      <c r="I16" s="1913" t="s">
        <v>28</v>
      </c>
      <c r="J16" s="1913" t="s">
        <v>28</v>
      </c>
      <c r="K16" s="1913" t="s">
        <v>28</v>
      </c>
      <c r="L16" s="1913" t="s">
        <v>28</v>
      </c>
      <c r="M16" s="1914" t="s">
        <v>28</v>
      </c>
      <c r="N16" s="1913" t="s">
        <v>28</v>
      </c>
      <c r="O16" s="1913" t="s">
        <v>28</v>
      </c>
      <c r="P16" s="1913" t="s">
        <v>28</v>
      </c>
      <c r="Q16" s="1913" t="s">
        <v>28</v>
      </c>
      <c r="R16" s="1913" t="s">
        <v>28</v>
      </c>
      <c r="S16" s="1913" t="s">
        <v>28</v>
      </c>
      <c r="T16" s="1913" t="s">
        <v>28</v>
      </c>
      <c r="U16" s="1913" t="s">
        <v>28</v>
      </c>
      <c r="V16" s="1913" t="s">
        <v>28</v>
      </c>
      <c r="W16" s="1913" t="s">
        <v>28</v>
      </c>
      <c r="X16" s="1915" t="s">
        <v>28</v>
      </c>
    </row>
    <row r="17" spans="1:24" s="754" customFormat="1" ht="9" customHeight="1">
      <c r="A17" s="1916" t="s">
        <v>29</v>
      </c>
      <c r="B17" s="1779" t="s">
        <v>190</v>
      </c>
      <c r="C17" s="1917">
        <v>8</v>
      </c>
      <c r="D17" s="1917" t="s">
        <v>28</v>
      </c>
      <c r="E17" s="1917" t="s">
        <v>28</v>
      </c>
      <c r="F17" s="1917" t="s">
        <v>28</v>
      </c>
      <c r="G17" s="1917" t="s">
        <v>28</v>
      </c>
      <c r="H17" s="1917" t="s">
        <v>28</v>
      </c>
      <c r="I17" s="1917" t="s">
        <v>28</v>
      </c>
      <c r="J17" s="1917" t="s">
        <v>28</v>
      </c>
      <c r="K17" s="1917" t="s">
        <v>28</v>
      </c>
      <c r="L17" s="1917" t="s">
        <v>28</v>
      </c>
      <c r="M17" s="1918" t="s">
        <v>28</v>
      </c>
      <c r="N17" s="1917" t="s">
        <v>28</v>
      </c>
      <c r="O17" s="1917" t="s">
        <v>28</v>
      </c>
      <c r="P17" s="1917" t="s">
        <v>28</v>
      </c>
      <c r="Q17" s="1917" t="s">
        <v>28</v>
      </c>
      <c r="R17" s="1917" t="s">
        <v>28</v>
      </c>
      <c r="S17" s="1917" t="s">
        <v>28</v>
      </c>
      <c r="T17" s="1917" t="s">
        <v>28</v>
      </c>
      <c r="U17" s="1917" t="s">
        <v>28</v>
      </c>
      <c r="V17" s="1917" t="s">
        <v>28</v>
      </c>
      <c r="W17" s="1917" t="s">
        <v>28</v>
      </c>
      <c r="X17" s="1919" t="s">
        <v>28</v>
      </c>
    </row>
    <row r="18" spans="1:24" s="753" customFormat="1" ht="9" customHeight="1">
      <c r="A18" s="1912" t="s">
        <v>158</v>
      </c>
      <c r="B18" s="1767" t="s">
        <v>161</v>
      </c>
      <c r="C18" s="1913">
        <v>1370</v>
      </c>
      <c r="D18" s="1913" t="s">
        <v>28</v>
      </c>
      <c r="E18" s="1913" t="s">
        <v>28</v>
      </c>
      <c r="F18" s="1913" t="s">
        <v>28</v>
      </c>
      <c r="G18" s="1913" t="s">
        <v>28</v>
      </c>
      <c r="H18" s="1913" t="s">
        <v>28</v>
      </c>
      <c r="I18" s="1913" t="s">
        <v>28</v>
      </c>
      <c r="J18" s="1913" t="s">
        <v>28</v>
      </c>
      <c r="K18" s="1913">
        <v>1</v>
      </c>
      <c r="L18" s="1913">
        <v>2</v>
      </c>
      <c r="M18" s="1914">
        <v>1</v>
      </c>
      <c r="N18" s="1913">
        <v>6</v>
      </c>
      <c r="O18" s="1913">
        <v>7</v>
      </c>
      <c r="P18" s="1913">
        <v>14</v>
      </c>
      <c r="Q18" s="1913">
        <v>16</v>
      </c>
      <c r="R18" s="1913">
        <v>20</v>
      </c>
      <c r="S18" s="1913">
        <v>19</v>
      </c>
      <c r="T18" s="1913">
        <v>29</v>
      </c>
      <c r="U18" s="1913">
        <v>35</v>
      </c>
      <c r="V18" s="1913">
        <v>31</v>
      </c>
      <c r="W18" s="1913">
        <v>36</v>
      </c>
      <c r="X18" s="1915">
        <v>27</v>
      </c>
    </row>
    <row r="19" spans="1:24" s="754" customFormat="1" ht="9" customHeight="1">
      <c r="A19" s="1916" t="s">
        <v>29</v>
      </c>
      <c r="B19" s="1779" t="s">
        <v>190</v>
      </c>
      <c r="C19" s="1917">
        <v>1284</v>
      </c>
      <c r="D19" s="1917" t="s">
        <v>28</v>
      </c>
      <c r="E19" s="1917" t="s">
        <v>28</v>
      </c>
      <c r="F19" s="1917" t="s">
        <v>28</v>
      </c>
      <c r="G19" s="1917" t="s">
        <v>28</v>
      </c>
      <c r="H19" s="1917" t="s">
        <v>28</v>
      </c>
      <c r="I19" s="1917" t="s">
        <v>28</v>
      </c>
      <c r="J19" s="1917" t="s">
        <v>28</v>
      </c>
      <c r="K19" s="1917">
        <v>1</v>
      </c>
      <c r="L19" s="1917">
        <v>2</v>
      </c>
      <c r="M19" s="1918">
        <v>1</v>
      </c>
      <c r="N19" s="1917">
        <v>6</v>
      </c>
      <c r="O19" s="1917">
        <v>7</v>
      </c>
      <c r="P19" s="1917">
        <v>14</v>
      </c>
      <c r="Q19" s="1917">
        <v>14</v>
      </c>
      <c r="R19" s="1917">
        <v>20</v>
      </c>
      <c r="S19" s="1917">
        <v>19</v>
      </c>
      <c r="T19" s="1917">
        <v>29</v>
      </c>
      <c r="U19" s="1917">
        <v>35</v>
      </c>
      <c r="V19" s="1917">
        <v>31</v>
      </c>
      <c r="W19" s="1917">
        <v>34</v>
      </c>
      <c r="X19" s="1919">
        <v>27</v>
      </c>
    </row>
    <row r="20" spans="1:24" s="754" customFormat="1" ht="9" customHeight="1">
      <c r="A20" s="1916" t="s">
        <v>31</v>
      </c>
      <c r="B20" s="1779" t="s">
        <v>191</v>
      </c>
      <c r="C20" s="1917">
        <v>86</v>
      </c>
      <c r="D20" s="1917" t="s">
        <v>28</v>
      </c>
      <c r="E20" s="1917" t="s">
        <v>28</v>
      </c>
      <c r="F20" s="1917" t="s">
        <v>28</v>
      </c>
      <c r="G20" s="1917" t="s">
        <v>28</v>
      </c>
      <c r="H20" s="1917" t="s">
        <v>28</v>
      </c>
      <c r="I20" s="1917" t="s">
        <v>28</v>
      </c>
      <c r="J20" s="1917" t="s">
        <v>28</v>
      </c>
      <c r="K20" s="1917" t="s">
        <v>28</v>
      </c>
      <c r="L20" s="1917" t="s">
        <v>28</v>
      </c>
      <c r="M20" s="1918" t="s">
        <v>28</v>
      </c>
      <c r="N20" s="1917" t="s">
        <v>28</v>
      </c>
      <c r="O20" s="1917" t="s">
        <v>28</v>
      </c>
      <c r="P20" s="1917" t="s">
        <v>28</v>
      </c>
      <c r="Q20" s="1917">
        <v>2</v>
      </c>
      <c r="R20" s="1917" t="s">
        <v>28</v>
      </c>
      <c r="S20" s="1917" t="s">
        <v>28</v>
      </c>
      <c r="T20" s="1917" t="s">
        <v>28</v>
      </c>
      <c r="U20" s="1917" t="s">
        <v>28</v>
      </c>
      <c r="V20" s="1917" t="s">
        <v>28</v>
      </c>
      <c r="W20" s="1917">
        <v>2</v>
      </c>
      <c r="X20" s="1919" t="s">
        <v>28</v>
      </c>
    </row>
    <row r="21" spans="1:24" s="753" customFormat="1" ht="9" customHeight="1">
      <c r="A21" s="1912" t="s">
        <v>173</v>
      </c>
      <c r="B21" s="1767" t="s">
        <v>18</v>
      </c>
      <c r="C21" s="1913">
        <v>2452</v>
      </c>
      <c r="D21" s="1913" t="s">
        <v>28</v>
      </c>
      <c r="E21" s="1913" t="s">
        <v>28</v>
      </c>
      <c r="F21" s="1913" t="s">
        <v>28</v>
      </c>
      <c r="G21" s="1913" t="s">
        <v>28</v>
      </c>
      <c r="H21" s="1913" t="s">
        <v>28</v>
      </c>
      <c r="I21" s="1913">
        <v>10</v>
      </c>
      <c r="J21" s="1913">
        <v>111</v>
      </c>
      <c r="K21" s="1913">
        <v>122</v>
      </c>
      <c r="L21" s="1913">
        <v>122</v>
      </c>
      <c r="M21" s="1914">
        <v>110</v>
      </c>
      <c r="N21" s="1913">
        <v>61</v>
      </c>
      <c r="O21" s="1913">
        <v>83</v>
      </c>
      <c r="P21" s="1913">
        <v>73</v>
      </c>
      <c r="Q21" s="1913">
        <v>85</v>
      </c>
      <c r="R21" s="1913">
        <v>91</v>
      </c>
      <c r="S21" s="1913">
        <v>84</v>
      </c>
      <c r="T21" s="1913">
        <v>76</v>
      </c>
      <c r="U21" s="1913">
        <v>67</v>
      </c>
      <c r="V21" s="1913">
        <v>86</v>
      </c>
      <c r="W21" s="1913">
        <v>72</v>
      </c>
      <c r="X21" s="1915">
        <v>64</v>
      </c>
    </row>
    <row r="22" spans="1:24" s="754" customFormat="1" ht="9" customHeight="1">
      <c r="A22" s="1916" t="s">
        <v>29</v>
      </c>
      <c r="B22" s="1779" t="s">
        <v>190</v>
      </c>
      <c r="C22" s="1917">
        <v>2364</v>
      </c>
      <c r="D22" s="1917" t="s">
        <v>28</v>
      </c>
      <c r="E22" s="1917" t="s">
        <v>28</v>
      </c>
      <c r="F22" s="1917" t="s">
        <v>28</v>
      </c>
      <c r="G22" s="1917" t="s">
        <v>28</v>
      </c>
      <c r="H22" s="1917" t="s">
        <v>28</v>
      </c>
      <c r="I22" s="1917">
        <v>10</v>
      </c>
      <c r="J22" s="1917">
        <v>111</v>
      </c>
      <c r="K22" s="1917">
        <v>120</v>
      </c>
      <c r="L22" s="1917">
        <v>120</v>
      </c>
      <c r="M22" s="1918">
        <v>106</v>
      </c>
      <c r="N22" s="1917">
        <v>60</v>
      </c>
      <c r="O22" s="1917">
        <v>79</v>
      </c>
      <c r="P22" s="1917">
        <v>71</v>
      </c>
      <c r="Q22" s="1917">
        <v>82</v>
      </c>
      <c r="R22" s="1917">
        <v>90</v>
      </c>
      <c r="S22" s="1917">
        <v>82</v>
      </c>
      <c r="T22" s="1917">
        <v>74</v>
      </c>
      <c r="U22" s="1917">
        <v>65</v>
      </c>
      <c r="V22" s="1917">
        <v>82</v>
      </c>
      <c r="W22" s="1917">
        <v>69</v>
      </c>
      <c r="X22" s="1919">
        <v>59</v>
      </c>
    </row>
    <row r="23" spans="1:24" s="754" customFormat="1" ht="9" customHeight="1">
      <c r="A23" s="1916" t="s">
        <v>31</v>
      </c>
      <c r="B23" s="1779" t="s">
        <v>191</v>
      </c>
      <c r="C23" s="1917">
        <v>88</v>
      </c>
      <c r="D23" s="1917" t="s">
        <v>28</v>
      </c>
      <c r="E23" s="1917" t="s">
        <v>28</v>
      </c>
      <c r="F23" s="1917" t="s">
        <v>28</v>
      </c>
      <c r="G23" s="1917" t="s">
        <v>28</v>
      </c>
      <c r="H23" s="1917" t="s">
        <v>28</v>
      </c>
      <c r="I23" s="1917" t="s">
        <v>28</v>
      </c>
      <c r="J23" s="1917" t="s">
        <v>28</v>
      </c>
      <c r="K23" s="1917">
        <v>2</v>
      </c>
      <c r="L23" s="1917">
        <v>2</v>
      </c>
      <c r="M23" s="1918">
        <v>4</v>
      </c>
      <c r="N23" s="1917">
        <v>1</v>
      </c>
      <c r="O23" s="1917">
        <v>4</v>
      </c>
      <c r="P23" s="1917">
        <v>2</v>
      </c>
      <c r="Q23" s="1917">
        <v>3</v>
      </c>
      <c r="R23" s="1917">
        <v>1</v>
      </c>
      <c r="S23" s="1917">
        <v>2</v>
      </c>
      <c r="T23" s="1917">
        <v>2</v>
      </c>
      <c r="U23" s="1917">
        <v>2</v>
      </c>
      <c r="V23" s="1917">
        <v>4</v>
      </c>
      <c r="W23" s="1917">
        <v>3</v>
      </c>
      <c r="X23" s="1919">
        <v>5</v>
      </c>
    </row>
    <row r="24" spans="1:24" s="754" customFormat="1" ht="9" customHeight="1">
      <c r="A24" s="1912" t="s">
        <v>557</v>
      </c>
      <c r="B24" s="1767" t="s">
        <v>552</v>
      </c>
      <c r="C24" s="1913">
        <v>151</v>
      </c>
      <c r="D24" s="1913" t="s">
        <v>28</v>
      </c>
      <c r="E24" s="1913" t="s">
        <v>28</v>
      </c>
      <c r="F24" s="1913" t="s">
        <v>28</v>
      </c>
      <c r="G24" s="1913" t="s">
        <v>28</v>
      </c>
      <c r="H24" s="1913" t="s">
        <v>28</v>
      </c>
      <c r="I24" s="1913" t="s">
        <v>28</v>
      </c>
      <c r="J24" s="1913" t="s">
        <v>28</v>
      </c>
      <c r="K24" s="1913">
        <v>10</v>
      </c>
      <c r="L24" s="1913">
        <v>5</v>
      </c>
      <c r="M24" s="1914" t="s">
        <v>28</v>
      </c>
      <c r="N24" s="1913">
        <v>6</v>
      </c>
      <c r="O24" s="1913">
        <v>1</v>
      </c>
      <c r="P24" s="1913">
        <v>6</v>
      </c>
      <c r="Q24" s="1913">
        <v>6</v>
      </c>
      <c r="R24" s="1913">
        <v>8</v>
      </c>
      <c r="S24" s="1913">
        <v>9</v>
      </c>
      <c r="T24" s="1913">
        <v>8</v>
      </c>
      <c r="U24" s="1913">
        <v>5</v>
      </c>
      <c r="V24" s="1913">
        <v>9</v>
      </c>
      <c r="W24" s="1913">
        <v>11</v>
      </c>
      <c r="X24" s="1915">
        <v>5</v>
      </c>
    </row>
    <row r="25" spans="1:24" s="754" customFormat="1" ht="9" customHeight="1">
      <c r="A25" s="1916" t="s">
        <v>29</v>
      </c>
      <c r="B25" s="1779" t="s">
        <v>190</v>
      </c>
      <c r="C25" s="1917">
        <v>150</v>
      </c>
      <c r="D25" s="1917" t="s">
        <v>28</v>
      </c>
      <c r="E25" s="1917" t="s">
        <v>28</v>
      </c>
      <c r="F25" s="1917" t="s">
        <v>28</v>
      </c>
      <c r="G25" s="1917" t="s">
        <v>28</v>
      </c>
      <c r="H25" s="1917" t="s">
        <v>28</v>
      </c>
      <c r="I25" s="1917" t="s">
        <v>28</v>
      </c>
      <c r="J25" s="1917" t="s">
        <v>28</v>
      </c>
      <c r="K25" s="1917">
        <v>10</v>
      </c>
      <c r="L25" s="1917">
        <v>5</v>
      </c>
      <c r="M25" s="1918" t="s">
        <v>28</v>
      </c>
      <c r="N25" s="1917">
        <v>6</v>
      </c>
      <c r="O25" s="1917">
        <v>1</v>
      </c>
      <c r="P25" s="1917">
        <v>6</v>
      </c>
      <c r="Q25" s="1917">
        <v>6</v>
      </c>
      <c r="R25" s="1917">
        <v>8</v>
      </c>
      <c r="S25" s="1917">
        <v>9</v>
      </c>
      <c r="T25" s="1917">
        <v>8</v>
      </c>
      <c r="U25" s="1917">
        <v>5</v>
      </c>
      <c r="V25" s="1917">
        <v>9</v>
      </c>
      <c r="W25" s="1917">
        <v>11</v>
      </c>
      <c r="X25" s="1919">
        <v>5</v>
      </c>
    </row>
    <row r="26" spans="1:24" s="754" customFormat="1" ht="9" customHeight="1">
      <c r="A26" s="1916" t="s">
        <v>31</v>
      </c>
      <c r="B26" s="1779" t="s">
        <v>191</v>
      </c>
      <c r="C26" s="1917">
        <v>1</v>
      </c>
      <c r="D26" s="1917" t="s">
        <v>28</v>
      </c>
      <c r="E26" s="1917" t="s">
        <v>28</v>
      </c>
      <c r="F26" s="1917" t="s">
        <v>28</v>
      </c>
      <c r="G26" s="1917" t="s">
        <v>28</v>
      </c>
      <c r="H26" s="1917" t="s">
        <v>28</v>
      </c>
      <c r="I26" s="1917" t="s">
        <v>28</v>
      </c>
      <c r="J26" s="1917" t="s">
        <v>28</v>
      </c>
      <c r="K26" s="1917" t="s">
        <v>28</v>
      </c>
      <c r="L26" s="1917" t="s">
        <v>28</v>
      </c>
      <c r="M26" s="1918" t="s">
        <v>28</v>
      </c>
      <c r="N26" s="1917" t="s">
        <v>28</v>
      </c>
      <c r="O26" s="1917" t="s">
        <v>28</v>
      </c>
      <c r="P26" s="1917" t="s">
        <v>28</v>
      </c>
      <c r="Q26" s="1917" t="s">
        <v>28</v>
      </c>
      <c r="R26" s="1917" t="s">
        <v>28</v>
      </c>
      <c r="S26" s="1917" t="s">
        <v>28</v>
      </c>
      <c r="T26" s="1917" t="s">
        <v>28</v>
      </c>
      <c r="U26" s="1917" t="s">
        <v>28</v>
      </c>
      <c r="V26" s="1917" t="s">
        <v>28</v>
      </c>
      <c r="W26" s="1917" t="s">
        <v>28</v>
      </c>
      <c r="X26" s="1919" t="s">
        <v>28</v>
      </c>
    </row>
    <row r="27" spans="1:24" s="753" customFormat="1" ht="9" customHeight="1">
      <c r="A27" s="1912" t="s">
        <v>166</v>
      </c>
      <c r="B27" s="1767" t="s">
        <v>553</v>
      </c>
      <c r="C27" s="1913">
        <v>79</v>
      </c>
      <c r="D27" s="1913" t="s">
        <v>28</v>
      </c>
      <c r="E27" s="1913" t="s">
        <v>28</v>
      </c>
      <c r="F27" s="1913" t="s">
        <v>28</v>
      </c>
      <c r="G27" s="1913" t="s">
        <v>28</v>
      </c>
      <c r="H27" s="1913" t="s">
        <v>28</v>
      </c>
      <c r="I27" s="1913" t="s">
        <v>28</v>
      </c>
      <c r="J27" s="1913" t="s">
        <v>28</v>
      </c>
      <c r="K27" s="1913">
        <v>2</v>
      </c>
      <c r="L27" s="1913">
        <v>2</v>
      </c>
      <c r="M27" s="1914">
        <v>3</v>
      </c>
      <c r="N27" s="1913">
        <v>1</v>
      </c>
      <c r="O27" s="1913">
        <v>4</v>
      </c>
      <c r="P27" s="1913">
        <v>9</v>
      </c>
      <c r="Q27" s="1913">
        <v>5</v>
      </c>
      <c r="R27" s="1913">
        <v>6</v>
      </c>
      <c r="S27" s="1913">
        <v>6</v>
      </c>
      <c r="T27" s="1913">
        <v>5</v>
      </c>
      <c r="U27" s="1913">
        <v>6</v>
      </c>
      <c r="V27" s="1913">
        <v>4</v>
      </c>
      <c r="W27" s="1913">
        <v>3</v>
      </c>
      <c r="X27" s="1915">
        <v>2</v>
      </c>
    </row>
    <row r="28" spans="1:24" s="754" customFormat="1" ht="9" customHeight="1">
      <c r="A28" s="1916" t="s">
        <v>29</v>
      </c>
      <c r="B28" s="1779" t="s">
        <v>190</v>
      </c>
      <c r="C28" s="1917">
        <v>75</v>
      </c>
      <c r="D28" s="1917" t="s">
        <v>28</v>
      </c>
      <c r="E28" s="1917" t="s">
        <v>28</v>
      </c>
      <c r="F28" s="1917" t="s">
        <v>28</v>
      </c>
      <c r="G28" s="1917" t="s">
        <v>28</v>
      </c>
      <c r="H28" s="1917" t="s">
        <v>28</v>
      </c>
      <c r="I28" s="1917" t="s">
        <v>28</v>
      </c>
      <c r="J28" s="1917" t="s">
        <v>28</v>
      </c>
      <c r="K28" s="1917">
        <v>2</v>
      </c>
      <c r="L28" s="1917">
        <v>2</v>
      </c>
      <c r="M28" s="1918">
        <v>3</v>
      </c>
      <c r="N28" s="1917">
        <v>1</v>
      </c>
      <c r="O28" s="1917">
        <v>4</v>
      </c>
      <c r="P28" s="1917">
        <v>9</v>
      </c>
      <c r="Q28" s="1917">
        <v>5</v>
      </c>
      <c r="R28" s="1917">
        <v>6</v>
      </c>
      <c r="S28" s="1917">
        <v>6</v>
      </c>
      <c r="T28" s="1917">
        <v>4</v>
      </c>
      <c r="U28" s="1917">
        <v>6</v>
      </c>
      <c r="V28" s="1917">
        <v>4</v>
      </c>
      <c r="W28" s="1917">
        <v>2</v>
      </c>
      <c r="X28" s="1919">
        <v>2</v>
      </c>
    </row>
    <row r="29" spans="1:24" s="754" customFormat="1" ht="9" customHeight="1">
      <c r="A29" s="1916" t="s">
        <v>31</v>
      </c>
      <c r="B29" s="1779" t="s">
        <v>191</v>
      </c>
      <c r="C29" s="1917">
        <v>4</v>
      </c>
      <c r="D29" s="1917" t="s">
        <v>28</v>
      </c>
      <c r="E29" s="1917" t="s">
        <v>28</v>
      </c>
      <c r="F29" s="1917" t="s">
        <v>28</v>
      </c>
      <c r="G29" s="1917" t="s">
        <v>28</v>
      </c>
      <c r="H29" s="1917" t="s">
        <v>28</v>
      </c>
      <c r="I29" s="1917" t="s">
        <v>28</v>
      </c>
      <c r="J29" s="1917" t="s">
        <v>28</v>
      </c>
      <c r="K29" s="1917" t="s">
        <v>28</v>
      </c>
      <c r="L29" s="1917" t="s">
        <v>28</v>
      </c>
      <c r="M29" s="1918" t="s">
        <v>28</v>
      </c>
      <c r="N29" s="1917" t="s">
        <v>28</v>
      </c>
      <c r="O29" s="1917" t="s">
        <v>28</v>
      </c>
      <c r="P29" s="1917" t="s">
        <v>28</v>
      </c>
      <c r="Q29" s="1917" t="s">
        <v>28</v>
      </c>
      <c r="R29" s="1917" t="s">
        <v>28</v>
      </c>
      <c r="S29" s="1917" t="s">
        <v>28</v>
      </c>
      <c r="T29" s="1917">
        <v>1</v>
      </c>
      <c r="U29" s="1917" t="s">
        <v>28</v>
      </c>
      <c r="V29" s="1917" t="s">
        <v>28</v>
      </c>
      <c r="W29" s="1917">
        <v>1</v>
      </c>
      <c r="X29" s="1919" t="s">
        <v>28</v>
      </c>
    </row>
    <row r="30" spans="1:24" s="753" customFormat="1" ht="9" customHeight="1">
      <c r="A30" s="1912" t="s">
        <v>167</v>
      </c>
      <c r="B30" s="1767" t="s">
        <v>164</v>
      </c>
      <c r="C30" s="1913">
        <v>28</v>
      </c>
      <c r="D30" s="1913" t="s">
        <v>28</v>
      </c>
      <c r="E30" s="1913" t="s">
        <v>28</v>
      </c>
      <c r="F30" s="1913" t="s">
        <v>28</v>
      </c>
      <c r="G30" s="1913" t="s">
        <v>28</v>
      </c>
      <c r="H30" s="1913" t="s">
        <v>28</v>
      </c>
      <c r="I30" s="1913" t="s">
        <v>28</v>
      </c>
      <c r="J30" s="1913">
        <v>1</v>
      </c>
      <c r="K30" s="1913" t="s">
        <v>28</v>
      </c>
      <c r="L30" s="1913" t="s">
        <v>28</v>
      </c>
      <c r="M30" s="1914" t="s">
        <v>28</v>
      </c>
      <c r="N30" s="1913" t="s">
        <v>28</v>
      </c>
      <c r="O30" s="1913">
        <v>1</v>
      </c>
      <c r="P30" s="1913" t="s">
        <v>28</v>
      </c>
      <c r="Q30" s="1913">
        <v>3</v>
      </c>
      <c r="R30" s="1913">
        <v>2</v>
      </c>
      <c r="S30" s="1913">
        <v>1</v>
      </c>
      <c r="T30" s="1913">
        <v>3</v>
      </c>
      <c r="U30" s="1913">
        <v>3</v>
      </c>
      <c r="V30" s="1913" t="s">
        <v>28</v>
      </c>
      <c r="W30" s="1913" t="s">
        <v>28</v>
      </c>
      <c r="X30" s="1915" t="s">
        <v>28</v>
      </c>
    </row>
    <row r="31" spans="1:24" s="754" customFormat="1" ht="9" customHeight="1">
      <c r="A31" s="1916" t="s">
        <v>29</v>
      </c>
      <c r="B31" s="1779" t="s">
        <v>190</v>
      </c>
      <c r="C31" s="1917">
        <v>28</v>
      </c>
      <c r="D31" s="1917" t="s">
        <v>28</v>
      </c>
      <c r="E31" s="1917" t="s">
        <v>28</v>
      </c>
      <c r="F31" s="1917" t="s">
        <v>28</v>
      </c>
      <c r="G31" s="1917" t="s">
        <v>28</v>
      </c>
      <c r="H31" s="1917" t="s">
        <v>28</v>
      </c>
      <c r="I31" s="1917" t="s">
        <v>28</v>
      </c>
      <c r="J31" s="1917">
        <v>1</v>
      </c>
      <c r="K31" s="1917" t="s">
        <v>28</v>
      </c>
      <c r="L31" s="1917" t="s">
        <v>28</v>
      </c>
      <c r="M31" s="1918" t="s">
        <v>28</v>
      </c>
      <c r="N31" s="1917" t="s">
        <v>28</v>
      </c>
      <c r="O31" s="1917">
        <v>1</v>
      </c>
      <c r="P31" s="1917" t="s">
        <v>28</v>
      </c>
      <c r="Q31" s="1917">
        <v>3</v>
      </c>
      <c r="R31" s="1917">
        <v>2</v>
      </c>
      <c r="S31" s="1917">
        <v>1</v>
      </c>
      <c r="T31" s="1917">
        <v>3</v>
      </c>
      <c r="U31" s="1917">
        <v>3</v>
      </c>
      <c r="V31" s="1917" t="s">
        <v>28</v>
      </c>
      <c r="W31" s="1917" t="s">
        <v>28</v>
      </c>
      <c r="X31" s="1919" t="s">
        <v>28</v>
      </c>
    </row>
    <row r="32" spans="1:24" s="753" customFormat="1" ht="9" customHeight="1">
      <c r="A32" s="1912" t="s">
        <v>168</v>
      </c>
      <c r="B32" s="1767" t="s">
        <v>555</v>
      </c>
      <c r="C32" s="1913">
        <v>115</v>
      </c>
      <c r="D32" s="1913" t="s">
        <v>28</v>
      </c>
      <c r="E32" s="1913" t="s">
        <v>28</v>
      </c>
      <c r="F32" s="1913" t="s">
        <v>28</v>
      </c>
      <c r="G32" s="1913" t="s">
        <v>28</v>
      </c>
      <c r="H32" s="1913" t="s">
        <v>28</v>
      </c>
      <c r="I32" s="1913" t="s">
        <v>28</v>
      </c>
      <c r="J32" s="1913">
        <v>2</v>
      </c>
      <c r="K32" s="1913">
        <v>3</v>
      </c>
      <c r="L32" s="1913">
        <v>1</v>
      </c>
      <c r="M32" s="1914">
        <v>3</v>
      </c>
      <c r="N32" s="1913">
        <v>3</v>
      </c>
      <c r="O32" s="1913">
        <v>4</v>
      </c>
      <c r="P32" s="1913">
        <v>1</v>
      </c>
      <c r="Q32" s="1913">
        <v>3</v>
      </c>
      <c r="R32" s="1913">
        <v>6</v>
      </c>
      <c r="S32" s="1913">
        <v>2</v>
      </c>
      <c r="T32" s="1913">
        <v>6</v>
      </c>
      <c r="U32" s="1913">
        <v>2</v>
      </c>
      <c r="V32" s="1913">
        <v>8</v>
      </c>
      <c r="W32" s="1913">
        <v>2</v>
      </c>
      <c r="X32" s="1915">
        <v>5</v>
      </c>
    </row>
    <row r="33" spans="1:24" s="754" customFormat="1" ht="9" customHeight="1">
      <c r="A33" s="1916" t="s">
        <v>29</v>
      </c>
      <c r="B33" s="1779" t="s">
        <v>190</v>
      </c>
      <c r="C33" s="1917">
        <v>112</v>
      </c>
      <c r="D33" s="1917" t="s">
        <v>28</v>
      </c>
      <c r="E33" s="1917" t="s">
        <v>28</v>
      </c>
      <c r="F33" s="1917" t="s">
        <v>28</v>
      </c>
      <c r="G33" s="1917" t="s">
        <v>28</v>
      </c>
      <c r="H33" s="1917" t="s">
        <v>28</v>
      </c>
      <c r="I33" s="1917" t="s">
        <v>28</v>
      </c>
      <c r="J33" s="1917">
        <v>2</v>
      </c>
      <c r="K33" s="1917">
        <v>3</v>
      </c>
      <c r="L33" s="1917">
        <v>1</v>
      </c>
      <c r="M33" s="1918">
        <v>3</v>
      </c>
      <c r="N33" s="1917">
        <v>3</v>
      </c>
      <c r="O33" s="1917">
        <v>4</v>
      </c>
      <c r="P33" s="1917">
        <v>1</v>
      </c>
      <c r="Q33" s="1917">
        <v>3</v>
      </c>
      <c r="R33" s="1917">
        <v>6</v>
      </c>
      <c r="S33" s="1917">
        <v>2</v>
      </c>
      <c r="T33" s="1917">
        <v>6</v>
      </c>
      <c r="U33" s="1917">
        <v>2</v>
      </c>
      <c r="V33" s="1917">
        <v>8</v>
      </c>
      <c r="W33" s="1917">
        <v>2</v>
      </c>
      <c r="X33" s="1919">
        <v>4</v>
      </c>
    </row>
    <row r="34" spans="1:24" s="754" customFormat="1" ht="9" customHeight="1">
      <c r="A34" s="1916" t="s">
        <v>31</v>
      </c>
      <c r="B34" s="1779" t="s">
        <v>191</v>
      </c>
      <c r="C34" s="1917">
        <v>3</v>
      </c>
      <c r="D34" s="1917" t="s">
        <v>28</v>
      </c>
      <c r="E34" s="1917" t="s">
        <v>28</v>
      </c>
      <c r="F34" s="1917" t="s">
        <v>28</v>
      </c>
      <c r="G34" s="1917" t="s">
        <v>28</v>
      </c>
      <c r="H34" s="1917" t="s">
        <v>28</v>
      </c>
      <c r="I34" s="1917" t="s">
        <v>28</v>
      </c>
      <c r="J34" s="1917" t="s">
        <v>28</v>
      </c>
      <c r="K34" s="1917" t="s">
        <v>28</v>
      </c>
      <c r="L34" s="1917" t="s">
        <v>28</v>
      </c>
      <c r="M34" s="1918" t="s">
        <v>28</v>
      </c>
      <c r="N34" s="1917" t="s">
        <v>28</v>
      </c>
      <c r="O34" s="1917" t="s">
        <v>28</v>
      </c>
      <c r="P34" s="1917" t="s">
        <v>28</v>
      </c>
      <c r="Q34" s="1917" t="s">
        <v>28</v>
      </c>
      <c r="R34" s="1917" t="s">
        <v>28</v>
      </c>
      <c r="S34" s="1917" t="s">
        <v>28</v>
      </c>
      <c r="T34" s="1917" t="s">
        <v>28</v>
      </c>
      <c r="U34" s="1917" t="s">
        <v>28</v>
      </c>
      <c r="V34" s="1917" t="s">
        <v>28</v>
      </c>
      <c r="W34" s="1917" t="s">
        <v>28</v>
      </c>
      <c r="X34" s="1919">
        <v>1</v>
      </c>
    </row>
    <row r="35" spans="1:24" s="753" customFormat="1" ht="9" customHeight="1">
      <c r="A35" s="1912" t="s">
        <v>169</v>
      </c>
      <c r="B35" s="1767" t="s">
        <v>556</v>
      </c>
      <c r="C35" s="1913">
        <v>36</v>
      </c>
      <c r="D35" s="1913" t="s">
        <v>28</v>
      </c>
      <c r="E35" s="1913" t="s">
        <v>28</v>
      </c>
      <c r="F35" s="1913" t="s">
        <v>28</v>
      </c>
      <c r="G35" s="1913" t="s">
        <v>28</v>
      </c>
      <c r="H35" s="1913" t="s">
        <v>28</v>
      </c>
      <c r="I35" s="1913" t="s">
        <v>28</v>
      </c>
      <c r="J35" s="1913" t="s">
        <v>28</v>
      </c>
      <c r="K35" s="1913">
        <v>1</v>
      </c>
      <c r="L35" s="1913">
        <v>1</v>
      </c>
      <c r="M35" s="1914" t="s">
        <v>28</v>
      </c>
      <c r="N35" s="1913">
        <v>3</v>
      </c>
      <c r="O35" s="1913">
        <v>1</v>
      </c>
      <c r="P35" s="1913">
        <v>3</v>
      </c>
      <c r="Q35" s="1913">
        <v>1</v>
      </c>
      <c r="R35" s="1913">
        <v>4</v>
      </c>
      <c r="S35" s="1913">
        <v>1</v>
      </c>
      <c r="T35" s="1913">
        <v>4</v>
      </c>
      <c r="U35" s="1913" t="s">
        <v>28</v>
      </c>
      <c r="V35" s="1913" t="s">
        <v>28</v>
      </c>
      <c r="W35" s="1913">
        <v>1</v>
      </c>
      <c r="X35" s="1915" t="s">
        <v>28</v>
      </c>
    </row>
    <row r="36" spans="1:24" s="754" customFormat="1" ht="9" customHeight="1">
      <c r="A36" s="1916" t="s">
        <v>29</v>
      </c>
      <c r="B36" s="1779" t="s">
        <v>190</v>
      </c>
      <c r="C36" s="1917">
        <v>36</v>
      </c>
      <c r="D36" s="1917" t="s">
        <v>28</v>
      </c>
      <c r="E36" s="1917" t="s">
        <v>28</v>
      </c>
      <c r="F36" s="1917" t="s">
        <v>28</v>
      </c>
      <c r="G36" s="1917" t="s">
        <v>28</v>
      </c>
      <c r="H36" s="1917" t="s">
        <v>28</v>
      </c>
      <c r="I36" s="1917" t="s">
        <v>28</v>
      </c>
      <c r="J36" s="1917" t="s">
        <v>28</v>
      </c>
      <c r="K36" s="1917">
        <v>1</v>
      </c>
      <c r="L36" s="1917">
        <v>1</v>
      </c>
      <c r="M36" s="1918" t="s">
        <v>28</v>
      </c>
      <c r="N36" s="1917">
        <v>3</v>
      </c>
      <c r="O36" s="1917">
        <v>1</v>
      </c>
      <c r="P36" s="1917">
        <v>3</v>
      </c>
      <c r="Q36" s="1917">
        <v>1</v>
      </c>
      <c r="R36" s="1917">
        <v>4</v>
      </c>
      <c r="S36" s="1917">
        <v>1</v>
      </c>
      <c r="T36" s="1917">
        <v>4</v>
      </c>
      <c r="U36" s="1917" t="s">
        <v>28</v>
      </c>
      <c r="V36" s="1917" t="s">
        <v>28</v>
      </c>
      <c r="W36" s="1917">
        <v>1</v>
      </c>
      <c r="X36" s="1919" t="s">
        <v>28</v>
      </c>
    </row>
    <row r="37" spans="1:24" s="753" customFormat="1" ht="9" customHeight="1">
      <c r="A37" s="1912" t="s">
        <v>174</v>
      </c>
      <c r="B37" s="1767" t="s">
        <v>165</v>
      </c>
      <c r="C37" s="1913">
        <v>1676</v>
      </c>
      <c r="D37" s="1913">
        <v>1</v>
      </c>
      <c r="E37" s="1913" t="s">
        <v>28</v>
      </c>
      <c r="F37" s="1913">
        <v>1</v>
      </c>
      <c r="G37" s="1913" t="s">
        <v>28</v>
      </c>
      <c r="H37" s="1913" t="s">
        <v>28</v>
      </c>
      <c r="I37" s="1913">
        <v>7</v>
      </c>
      <c r="J37" s="1913">
        <v>58</v>
      </c>
      <c r="K37" s="1913">
        <v>85</v>
      </c>
      <c r="L37" s="1913">
        <v>124</v>
      </c>
      <c r="M37" s="1914">
        <v>103</v>
      </c>
      <c r="N37" s="1913">
        <v>83</v>
      </c>
      <c r="O37" s="1913">
        <v>148</v>
      </c>
      <c r="P37" s="1913">
        <v>71</v>
      </c>
      <c r="Q37" s="1913">
        <v>93</v>
      </c>
      <c r="R37" s="1913">
        <v>97</v>
      </c>
      <c r="S37" s="1913">
        <v>77</v>
      </c>
      <c r="T37" s="1913">
        <v>79</v>
      </c>
      <c r="U37" s="1913">
        <v>63</v>
      </c>
      <c r="V37" s="1913">
        <v>71</v>
      </c>
      <c r="W37" s="1913">
        <v>66</v>
      </c>
      <c r="X37" s="1915">
        <v>75</v>
      </c>
    </row>
    <row r="38" spans="1:24" s="754" customFormat="1" ht="9" customHeight="1">
      <c r="A38" s="1916" t="s">
        <v>29</v>
      </c>
      <c r="B38" s="1779" t="s">
        <v>190</v>
      </c>
      <c r="C38" s="1917">
        <v>1576</v>
      </c>
      <c r="D38" s="1917">
        <v>1</v>
      </c>
      <c r="E38" s="1917" t="s">
        <v>28</v>
      </c>
      <c r="F38" s="1917">
        <v>1</v>
      </c>
      <c r="G38" s="1917" t="s">
        <v>28</v>
      </c>
      <c r="H38" s="1917" t="s">
        <v>28</v>
      </c>
      <c r="I38" s="1917">
        <v>6</v>
      </c>
      <c r="J38" s="1917">
        <v>52</v>
      </c>
      <c r="K38" s="1917">
        <v>73</v>
      </c>
      <c r="L38" s="1917">
        <v>120</v>
      </c>
      <c r="M38" s="1918">
        <v>96</v>
      </c>
      <c r="N38" s="1917">
        <v>76</v>
      </c>
      <c r="O38" s="1917">
        <v>139</v>
      </c>
      <c r="P38" s="1917">
        <v>70</v>
      </c>
      <c r="Q38" s="1917">
        <v>89</v>
      </c>
      <c r="R38" s="1917">
        <v>92</v>
      </c>
      <c r="S38" s="1917">
        <v>75</v>
      </c>
      <c r="T38" s="1917">
        <v>71</v>
      </c>
      <c r="U38" s="1917">
        <v>60</v>
      </c>
      <c r="V38" s="1917">
        <v>71</v>
      </c>
      <c r="W38" s="1917">
        <v>62</v>
      </c>
      <c r="X38" s="1919">
        <v>69</v>
      </c>
    </row>
    <row r="39" spans="1:24" s="755" customFormat="1" ht="9" customHeight="1" thickBot="1">
      <c r="A39" s="1920" t="s">
        <v>31</v>
      </c>
      <c r="B39" s="1790" t="s">
        <v>191</v>
      </c>
      <c r="C39" s="1921">
        <v>100</v>
      </c>
      <c r="D39" s="1921" t="s">
        <v>28</v>
      </c>
      <c r="E39" s="1921" t="s">
        <v>28</v>
      </c>
      <c r="F39" s="1921" t="s">
        <v>28</v>
      </c>
      <c r="G39" s="1921" t="s">
        <v>28</v>
      </c>
      <c r="H39" s="1921" t="s">
        <v>28</v>
      </c>
      <c r="I39" s="1921">
        <v>1</v>
      </c>
      <c r="J39" s="1921">
        <v>6</v>
      </c>
      <c r="K39" s="1921">
        <v>12</v>
      </c>
      <c r="L39" s="1921">
        <v>4</v>
      </c>
      <c r="M39" s="1922">
        <v>7</v>
      </c>
      <c r="N39" s="1921">
        <v>7</v>
      </c>
      <c r="O39" s="1921">
        <v>9</v>
      </c>
      <c r="P39" s="1921">
        <v>1</v>
      </c>
      <c r="Q39" s="1921">
        <v>4</v>
      </c>
      <c r="R39" s="1921">
        <v>5</v>
      </c>
      <c r="S39" s="1921">
        <v>2</v>
      </c>
      <c r="T39" s="1921">
        <v>8</v>
      </c>
      <c r="U39" s="1921">
        <v>3</v>
      </c>
      <c r="V39" s="1921" t="s">
        <v>28</v>
      </c>
      <c r="W39" s="1921">
        <v>4</v>
      </c>
      <c r="X39" s="1923">
        <v>6</v>
      </c>
    </row>
    <row r="40" spans="1:24" s="756" customFormat="1" ht="11.25" customHeight="1" thickBot="1">
      <c r="A40" s="1389" t="s">
        <v>33</v>
      </c>
      <c r="B40" s="1389"/>
      <c r="C40" s="1389"/>
      <c r="D40" s="1389"/>
      <c r="E40" s="1389"/>
      <c r="F40" s="1389"/>
      <c r="G40" s="1389"/>
      <c r="H40" s="1389"/>
      <c r="I40" s="1389"/>
      <c r="J40" s="1389"/>
      <c r="K40" s="1389"/>
      <c r="L40" s="1389"/>
      <c r="M40" s="1389" t="s">
        <v>34</v>
      </c>
      <c r="N40" s="1389"/>
      <c r="O40" s="1389"/>
      <c r="P40" s="1389"/>
      <c r="Q40" s="1389"/>
      <c r="R40" s="1389"/>
      <c r="S40" s="1389"/>
      <c r="T40" s="1389"/>
      <c r="U40" s="1389"/>
      <c r="V40" s="1389"/>
      <c r="W40" s="1389"/>
      <c r="X40" s="1389"/>
    </row>
    <row r="41" spans="1:24" s="757" customFormat="1" ht="9" customHeight="1">
      <c r="A41" s="1924" t="s">
        <v>35</v>
      </c>
      <c r="B41" s="1925" t="s">
        <v>36</v>
      </c>
      <c r="C41" s="1926">
        <v>1172</v>
      </c>
      <c r="D41" s="1926" t="s">
        <v>28</v>
      </c>
      <c r="E41" s="1926" t="s">
        <v>28</v>
      </c>
      <c r="F41" s="1926">
        <v>1</v>
      </c>
      <c r="G41" s="1926" t="s">
        <v>28</v>
      </c>
      <c r="H41" s="1926" t="s">
        <v>28</v>
      </c>
      <c r="I41" s="1926">
        <v>9</v>
      </c>
      <c r="J41" s="1926">
        <v>48</v>
      </c>
      <c r="K41" s="1926">
        <v>70</v>
      </c>
      <c r="L41" s="1927">
        <v>63</v>
      </c>
      <c r="M41" s="1928">
        <v>63</v>
      </c>
      <c r="N41" s="1926">
        <v>37</v>
      </c>
      <c r="O41" s="1926">
        <v>42</v>
      </c>
      <c r="P41" s="1926">
        <v>38</v>
      </c>
      <c r="Q41" s="1926">
        <v>43</v>
      </c>
      <c r="R41" s="1926">
        <v>47</v>
      </c>
      <c r="S41" s="1926">
        <v>42</v>
      </c>
      <c r="T41" s="1926">
        <v>40</v>
      </c>
      <c r="U41" s="1926">
        <v>32</v>
      </c>
      <c r="V41" s="1926">
        <v>34</v>
      </c>
      <c r="W41" s="1926">
        <v>38</v>
      </c>
      <c r="X41" s="1929">
        <v>33</v>
      </c>
    </row>
    <row r="42" spans="1:24" s="754" customFormat="1" ht="9" customHeight="1">
      <c r="A42" s="1916" t="s">
        <v>29</v>
      </c>
      <c r="B42" s="1779" t="s">
        <v>190</v>
      </c>
      <c r="C42" s="1917">
        <v>970</v>
      </c>
      <c r="D42" s="1917" t="s">
        <v>28</v>
      </c>
      <c r="E42" s="1917" t="s">
        <v>28</v>
      </c>
      <c r="F42" s="1917">
        <v>1</v>
      </c>
      <c r="G42" s="1917" t="s">
        <v>28</v>
      </c>
      <c r="H42" s="1917" t="s">
        <v>28</v>
      </c>
      <c r="I42" s="1917">
        <v>8</v>
      </c>
      <c r="J42" s="1917">
        <v>44</v>
      </c>
      <c r="K42" s="1917">
        <v>59</v>
      </c>
      <c r="L42" s="1930">
        <v>58</v>
      </c>
      <c r="M42" s="1931">
        <v>58</v>
      </c>
      <c r="N42" s="1917">
        <v>31</v>
      </c>
      <c r="O42" s="1917">
        <v>36</v>
      </c>
      <c r="P42" s="1917">
        <v>37</v>
      </c>
      <c r="Q42" s="1917">
        <v>35</v>
      </c>
      <c r="R42" s="1917">
        <v>41</v>
      </c>
      <c r="S42" s="1917">
        <v>39</v>
      </c>
      <c r="T42" s="1917">
        <v>32</v>
      </c>
      <c r="U42" s="1917">
        <v>29</v>
      </c>
      <c r="V42" s="1917">
        <v>32</v>
      </c>
      <c r="W42" s="1917">
        <v>30</v>
      </c>
      <c r="X42" s="1919">
        <v>28</v>
      </c>
    </row>
    <row r="43" spans="1:24" s="754" customFormat="1" ht="9" customHeight="1">
      <c r="A43" s="1916" t="s">
        <v>31</v>
      </c>
      <c r="B43" s="1779" t="s">
        <v>191</v>
      </c>
      <c r="C43" s="1917">
        <v>202</v>
      </c>
      <c r="D43" s="1917" t="s">
        <v>28</v>
      </c>
      <c r="E43" s="1917" t="s">
        <v>28</v>
      </c>
      <c r="F43" s="1917" t="s">
        <v>28</v>
      </c>
      <c r="G43" s="1917" t="s">
        <v>28</v>
      </c>
      <c r="H43" s="1917" t="s">
        <v>28</v>
      </c>
      <c r="I43" s="1917">
        <v>1</v>
      </c>
      <c r="J43" s="1917">
        <v>4</v>
      </c>
      <c r="K43" s="1917">
        <v>11</v>
      </c>
      <c r="L43" s="1930">
        <v>5</v>
      </c>
      <c r="M43" s="1931">
        <v>5</v>
      </c>
      <c r="N43" s="1917">
        <v>6</v>
      </c>
      <c r="O43" s="1917">
        <v>6</v>
      </c>
      <c r="P43" s="1917">
        <v>1</v>
      </c>
      <c r="Q43" s="1917">
        <v>8</v>
      </c>
      <c r="R43" s="1917">
        <v>6</v>
      </c>
      <c r="S43" s="1917">
        <v>3</v>
      </c>
      <c r="T43" s="1917">
        <v>8</v>
      </c>
      <c r="U43" s="1917">
        <v>3</v>
      </c>
      <c r="V43" s="1917">
        <v>2</v>
      </c>
      <c r="W43" s="1917">
        <v>8</v>
      </c>
      <c r="X43" s="1919">
        <v>5</v>
      </c>
    </row>
    <row r="44" spans="1:24" s="753" customFormat="1" ht="9" customHeight="1">
      <c r="A44" s="1912" t="s">
        <v>37</v>
      </c>
      <c r="B44" s="1767" t="s">
        <v>38</v>
      </c>
      <c r="C44" s="1913">
        <v>1446</v>
      </c>
      <c r="D44" s="1913" t="s">
        <v>28</v>
      </c>
      <c r="E44" s="1913" t="s">
        <v>28</v>
      </c>
      <c r="F44" s="1913" t="s">
        <v>28</v>
      </c>
      <c r="G44" s="1913" t="s">
        <v>28</v>
      </c>
      <c r="H44" s="1913" t="s">
        <v>28</v>
      </c>
      <c r="I44" s="1913">
        <v>1</v>
      </c>
      <c r="J44" s="1913">
        <v>17</v>
      </c>
      <c r="K44" s="1913">
        <v>26</v>
      </c>
      <c r="L44" s="1932">
        <v>34</v>
      </c>
      <c r="M44" s="1933">
        <v>33</v>
      </c>
      <c r="N44" s="1913">
        <v>31</v>
      </c>
      <c r="O44" s="1913">
        <v>45</v>
      </c>
      <c r="P44" s="1913">
        <v>30</v>
      </c>
      <c r="Q44" s="1913">
        <v>40</v>
      </c>
      <c r="R44" s="1913">
        <v>54</v>
      </c>
      <c r="S44" s="1913">
        <v>38</v>
      </c>
      <c r="T44" s="1913">
        <v>39</v>
      </c>
      <c r="U44" s="1913">
        <v>35</v>
      </c>
      <c r="V44" s="1913">
        <v>47</v>
      </c>
      <c r="W44" s="1913">
        <v>38</v>
      </c>
      <c r="X44" s="1915">
        <v>46</v>
      </c>
    </row>
    <row r="45" spans="1:24" s="754" customFormat="1" ht="9" customHeight="1">
      <c r="A45" s="1916" t="s">
        <v>29</v>
      </c>
      <c r="B45" s="1779" t="s">
        <v>190</v>
      </c>
      <c r="C45" s="1917">
        <v>1446</v>
      </c>
      <c r="D45" s="1917" t="s">
        <v>28</v>
      </c>
      <c r="E45" s="1917" t="s">
        <v>28</v>
      </c>
      <c r="F45" s="1917" t="s">
        <v>28</v>
      </c>
      <c r="G45" s="1917" t="s">
        <v>28</v>
      </c>
      <c r="H45" s="1917" t="s">
        <v>28</v>
      </c>
      <c r="I45" s="1917">
        <v>1</v>
      </c>
      <c r="J45" s="1917">
        <v>17</v>
      </c>
      <c r="K45" s="1917">
        <v>26</v>
      </c>
      <c r="L45" s="1930">
        <v>34</v>
      </c>
      <c r="M45" s="1931">
        <v>33</v>
      </c>
      <c r="N45" s="1917">
        <v>31</v>
      </c>
      <c r="O45" s="1917">
        <v>45</v>
      </c>
      <c r="P45" s="1917">
        <v>30</v>
      </c>
      <c r="Q45" s="1917">
        <v>40</v>
      </c>
      <c r="R45" s="1917">
        <v>54</v>
      </c>
      <c r="S45" s="1917">
        <v>38</v>
      </c>
      <c r="T45" s="1917">
        <v>39</v>
      </c>
      <c r="U45" s="1917">
        <v>35</v>
      </c>
      <c r="V45" s="1917">
        <v>47</v>
      </c>
      <c r="W45" s="1917">
        <v>38</v>
      </c>
      <c r="X45" s="1919">
        <v>46</v>
      </c>
    </row>
    <row r="46" spans="1:24" s="753" customFormat="1" ht="9" customHeight="1">
      <c r="A46" s="1912" t="s">
        <v>39</v>
      </c>
      <c r="B46" s="1767" t="s">
        <v>40</v>
      </c>
      <c r="C46" s="1913">
        <v>2021</v>
      </c>
      <c r="D46" s="1913">
        <v>1</v>
      </c>
      <c r="E46" s="1913" t="s">
        <v>28</v>
      </c>
      <c r="F46" s="1913" t="s">
        <v>28</v>
      </c>
      <c r="G46" s="1913" t="s">
        <v>28</v>
      </c>
      <c r="H46" s="1913" t="s">
        <v>28</v>
      </c>
      <c r="I46" s="1913" t="s">
        <v>28</v>
      </c>
      <c r="J46" s="1913">
        <v>44</v>
      </c>
      <c r="K46" s="1913">
        <v>58</v>
      </c>
      <c r="L46" s="1932">
        <v>69</v>
      </c>
      <c r="M46" s="1933">
        <v>55</v>
      </c>
      <c r="N46" s="1913">
        <v>44</v>
      </c>
      <c r="O46" s="1913">
        <v>89</v>
      </c>
      <c r="P46" s="1913">
        <v>60</v>
      </c>
      <c r="Q46" s="1913">
        <v>75</v>
      </c>
      <c r="R46" s="1913">
        <v>75</v>
      </c>
      <c r="S46" s="1913">
        <v>72</v>
      </c>
      <c r="T46" s="1913">
        <v>74</v>
      </c>
      <c r="U46" s="1913">
        <v>59</v>
      </c>
      <c r="V46" s="1913">
        <v>73</v>
      </c>
      <c r="W46" s="1913">
        <v>50</v>
      </c>
      <c r="X46" s="1915">
        <v>67</v>
      </c>
    </row>
    <row r="47" spans="1:24" s="754" customFormat="1" ht="9" customHeight="1">
      <c r="A47" s="1916" t="s">
        <v>29</v>
      </c>
      <c r="B47" s="1779" t="s">
        <v>190</v>
      </c>
      <c r="C47" s="1917">
        <v>1950</v>
      </c>
      <c r="D47" s="1917">
        <v>1</v>
      </c>
      <c r="E47" s="1917" t="s">
        <v>28</v>
      </c>
      <c r="F47" s="1917" t="s">
        <v>28</v>
      </c>
      <c r="G47" s="1917" t="s">
        <v>28</v>
      </c>
      <c r="H47" s="1917" t="s">
        <v>28</v>
      </c>
      <c r="I47" s="1917" t="s">
        <v>28</v>
      </c>
      <c r="J47" s="1917">
        <v>42</v>
      </c>
      <c r="K47" s="1917">
        <v>55</v>
      </c>
      <c r="L47" s="1930">
        <v>69</v>
      </c>
      <c r="M47" s="1931">
        <v>51</v>
      </c>
      <c r="N47" s="1917">
        <v>42</v>
      </c>
      <c r="O47" s="1917">
        <v>83</v>
      </c>
      <c r="P47" s="1917">
        <v>59</v>
      </c>
      <c r="Q47" s="1917">
        <v>75</v>
      </c>
      <c r="R47" s="1917">
        <v>75</v>
      </c>
      <c r="S47" s="1917">
        <v>71</v>
      </c>
      <c r="T47" s="1917">
        <v>72</v>
      </c>
      <c r="U47" s="1917">
        <v>57</v>
      </c>
      <c r="V47" s="1917">
        <v>71</v>
      </c>
      <c r="W47" s="1917">
        <v>48</v>
      </c>
      <c r="X47" s="1919">
        <v>61</v>
      </c>
    </row>
    <row r="48" spans="1:24" s="754" customFormat="1" ht="9" customHeight="1">
      <c r="A48" s="1916" t="s">
        <v>31</v>
      </c>
      <c r="B48" s="1779" t="s">
        <v>191</v>
      </c>
      <c r="C48" s="1917">
        <v>71</v>
      </c>
      <c r="D48" s="1917" t="s">
        <v>28</v>
      </c>
      <c r="E48" s="1917" t="s">
        <v>28</v>
      </c>
      <c r="F48" s="1917" t="s">
        <v>28</v>
      </c>
      <c r="G48" s="1917" t="s">
        <v>28</v>
      </c>
      <c r="H48" s="1917" t="s">
        <v>28</v>
      </c>
      <c r="I48" s="1917" t="s">
        <v>28</v>
      </c>
      <c r="J48" s="1917">
        <v>2</v>
      </c>
      <c r="K48" s="1917">
        <v>3</v>
      </c>
      <c r="L48" s="1930" t="s">
        <v>28</v>
      </c>
      <c r="M48" s="1931">
        <v>4</v>
      </c>
      <c r="N48" s="1917">
        <v>2</v>
      </c>
      <c r="O48" s="1917">
        <v>6</v>
      </c>
      <c r="P48" s="1917">
        <v>1</v>
      </c>
      <c r="Q48" s="1917" t="s">
        <v>28</v>
      </c>
      <c r="R48" s="1917" t="s">
        <v>28</v>
      </c>
      <c r="S48" s="1917">
        <v>1</v>
      </c>
      <c r="T48" s="1917">
        <v>2</v>
      </c>
      <c r="U48" s="1917">
        <v>2</v>
      </c>
      <c r="V48" s="1917">
        <v>2</v>
      </c>
      <c r="W48" s="1917">
        <v>2</v>
      </c>
      <c r="X48" s="1919">
        <v>6</v>
      </c>
    </row>
    <row r="49" spans="1:24" s="753" customFormat="1" ht="9" customHeight="1">
      <c r="A49" s="1912" t="s">
        <v>41</v>
      </c>
      <c r="B49" s="1767" t="s">
        <v>42</v>
      </c>
      <c r="C49" s="1913">
        <v>1376</v>
      </c>
      <c r="D49" s="1913" t="s">
        <v>28</v>
      </c>
      <c r="E49" s="1913" t="s">
        <v>28</v>
      </c>
      <c r="F49" s="1913" t="s">
        <v>28</v>
      </c>
      <c r="G49" s="1913" t="s">
        <v>28</v>
      </c>
      <c r="H49" s="1913" t="s">
        <v>28</v>
      </c>
      <c r="I49" s="1913">
        <v>7</v>
      </c>
      <c r="J49" s="1913">
        <v>61</v>
      </c>
      <c r="K49" s="1913">
        <v>61</v>
      </c>
      <c r="L49" s="1932">
        <v>76</v>
      </c>
      <c r="M49" s="1933">
        <v>64</v>
      </c>
      <c r="N49" s="1913">
        <v>50</v>
      </c>
      <c r="O49" s="1913">
        <v>60</v>
      </c>
      <c r="P49" s="1913">
        <v>46</v>
      </c>
      <c r="Q49" s="1913">
        <v>50</v>
      </c>
      <c r="R49" s="1913">
        <v>55</v>
      </c>
      <c r="S49" s="1913">
        <v>45</v>
      </c>
      <c r="T49" s="1913">
        <v>51</v>
      </c>
      <c r="U49" s="1913">
        <v>53</v>
      </c>
      <c r="V49" s="1913">
        <v>52</v>
      </c>
      <c r="W49" s="1913">
        <v>61</v>
      </c>
      <c r="X49" s="1915">
        <v>28</v>
      </c>
    </row>
    <row r="50" spans="1:24" s="754" customFormat="1" ht="9" customHeight="1">
      <c r="A50" s="1916" t="s">
        <v>29</v>
      </c>
      <c r="B50" s="1779" t="s">
        <v>190</v>
      </c>
      <c r="C50" s="1917">
        <v>1376</v>
      </c>
      <c r="D50" s="1917" t="s">
        <v>28</v>
      </c>
      <c r="E50" s="1917" t="s">
        <v>28</v>
      </c>
      <c r="F50" s="1917" t="s">
        <v>28</v>
      </c>
      <c r="G50" s="1917" t="s">
        <v>28</v>
      </c>
      <c r="H50" s="1917" t="s">
        <v>28</v>
      </c>
      <c r="I50" s="1917">
        <v>7</v>
      </c>
      <c r="J50" s="1917">
        <v>61</v>
      </c>
      <c r="K50" s="1917">
        <v>61</v>
      </c>
      <c r="L50" s="1930">
        <v>76</v>
      </c>
      <c r="M50" s="1931">
        <v>64</v>
      </c>
      <c r="N50" s="1917">
        <v>50</v>
      </c>
      <c r="O50" s="1917">
        <v>60</v>
      </c>
      <c r="P50" s="1917">
        <v>46</v>
      </c>
      <c r="Q50" s="1917">
        <v>50</v>
      </c>
      <c r="R50" s="1917">
        <v>55</v>
      </c>
      <c r="S50" s="1917">
        <v>45</v>
      </c>
      <c r="T50" s="1917">
        <v>51</v>
      </c>
      <c r="U50" s="1917">
        <v>53</v>
      </c>
      <c r="V50" s="1917">
        <v>52</v>
      </c>
      <c r="W50" s="1917">
        <v>61</v>
      </c>
      <c r="X50" s="1919">
        <v>28</v>
      </c>
    </row>
    <row r="51" spans="1:24" s="753" customFormat="1" ht="9" customHeight="1">
      <c r="A51" s="1912" t="s">
        <v>43</v>
      </c>
      <c r="B51" s="1767" t="s">
        <v>44</v>
      </c>
      <c r="C51" s="1913">
        <v>170</v>
      </c>
      <c r="D51" s="1913" t="s">
        <v>28</v>
      </c>
      <c r="E51" s="1913" t="s">
        <v>28</v>
      </c>
      <c r="F51" s="1913" t="s">
        <v>28</v>
      </c>
      <c r="G51" s="1913" t="s">
        <v>28</v>
      </c>
      <c r="H51" s="1913" t="s">
        <v>28</v>
      </c>
      <c r="I51" s="1913" t="s">
        <v>28</v>
      </c>
      <c r="J51" s="1913">
        <v>2</v>
      </c>
      <c r="K51" s="1913">
        <v>9</v>
      </c>
      <c r="L51" s="1932">
        <v>15</v>
      </c>
      <c r="M51" s="1933">
        <v>5</v>
      </c>
      <c r="N51" s="1913">
        <v>1</v>
      </c>
      <c r="O51" s="1913">
        <v>13</v>
      </c>
      <c r="P51" s="1913">
        <v>3</v>
      </c>
      <c r="Q51" s="1913">
        <v>4</v>
      </c>
      <c r="R51" s="1913">
        <v>3</v>
      </c>
      <c r="S51" s="1913">
        <v>2</v>
      </c>
      <c r="T51" s="1913">
        <v>6</v>
      </c>
      <c r="U51" s="1913">
        <v>2</v>
      </c>
      <c r="V51" s="1913">
        <v>3</v>
      </c>
      <c r="W51" s="1913">
        <v>4</v>
      </c>
      <c r="X51" s="1915">
        <v>4</v>
      </c>
    </row>
    <row r="52" spans="1:24" s="754" customFormat="1" ht="9" customHeight="1">
      <c r="A52" s="1916" t="s">
        <v>29</v>
      </c>
      <c r="B52" s="1779" t="s">
        <v>190</v>
      </c>
      <c r="C52" s="1917">
        <v>143</v>
      </c>
      <c r="D52" s="1917" t="s">
        <v>28</v>
      </c>
      <c r="E52" s="1917" t="s">
        <v>28</v>
      </c>
      <c r="F52" s="1917" t="s">
        <v>28</v>
      </c>
      <c r="G52" s="1917" t="s">
        <v>28</v>
      </c>
      <c r="H52" s="1917" t="s">
        <v>28</v>
      </c>
      <c r="I52" s="1917" t="s">
        <v>28</v>
      </c>
      <c r="J52" s="1917">
        <v>2</v>
      </c>
      <c r="K52" s="1917">
        <v>9</v>
      </c>
      <c r="L52" s="1930">
        <v>14</v>
      </c>
      <c r="M52" s="1931">
        <v>3</v>
      </c>
      <c r="N52" s="1917">
        <v>1</v>
      </c>
      <c r="O52" s="1917">
        <v>12</v>
      </c>
      <c r="P52" s="1917">
        <v>2</v>
      </c>
      <c r="Q52" s="1917">
        <v>3</v>
      </c>
      <c r="R52" s="1917">
        <v>3</v>
      </c>
      <c r="S52" s="1917">
        <v>2</v>
      </c>
      <c r="T52" s="1917">
        <v>5</v>
      </c>
      <c r="U52" s="1917">
        <v>2</v>
      </c>
      <c r="V52" s="1917">
        <v>3</v>
      </c>
      <c r="W52" s="1917">
        <v>4</v>
      </c>
      <c r="X52" s="1919">
        <v>3</v>
      </c>
    </row>
    <row r="53" spans="1:24" s="755" customFormat="1" ht="9" customHeight="1" thickBot="1">
      <c r="A53" s="1920" t="s">
        <v>31</v>
      </c>
      <c r="B53" s="1790" t="s">
        <v>191</v>
      </c>
      <c r="C53" s="1921">
        <v>27</v>
      </c>
      <c r="D53" s="1921" t="s">
        <v>28</v>
      </c>
      <c r="E53" s="1921" t="s">
        <v>28</v>
      </c>
      <c r="F53" s="1921" t="s">
        <v>28</v>
      </c>
      <c r="G53" s="1921" t="s">
        <v>28</v>
      </c>
      <c r="H53" s="1921" t="s">
        <v>28</v>
      </c>
      <c r="I53" s="1921" t="s">
        <v>28</v>
      </c>
      <c r="J53" s="1921" t="s">
        <v>28</v>
      </c>
      <c r="K53" s="1921" t="s">
        <v>28</v>
      </c>
      <c r="L53" s="1934">
        <v>1</v>
      </c>
      <c r="M53" s="1935">
        <v>2</v>
      </c>
      <c r="N53" s="1921" t="s">
        <v>28</v>
      </c>
      <c r="O53" s="1921">
        <v>1</v>
      </c>
      <c r="P53" s="1921">
        <v>1</v>
      </c>
      <c r="Q53" s="1921">
        <v>1</v>
      </c>
      <c r="R53" s="1921" t="s">
        <v>28</v>
      </c>
      <c r="S53" s="1921" t="s">
        <v>28</v>
      </c>
      <c r="T53" s="1921">
        <v>1</v>
      </c>
      <c r="U53" s="1921" t="s">
        <v>28</v>
      </c>
      <c r="V53" s="1921" t="s">
        <v>28</v>
      </c>
      <c r="W53" s="1921" t="s">
        <v>28</v>
      </c>
      <c r="X53" s="1923">
        <v>1</v>
      </c>
    </row>
    <row r="54" spans="1:24" s="756" customFormat="1" ht="10.5" customHeight="1" thickBot="1">
      <c r="A54" s="1389" t="s">
        <v>45</v>
      </c>
      <c r="B54" s="1389"/>
      <c r="C54" s="1389"/>
      <c r="D54" s="1389"/>
      <c r="E54" s="1389"/>
      <c r="F54" s="1389"/>
      <c r="G54" s="1389"/>
      <c r="H54" s="1389"/>
      <c r="I54" s="1389"/>
      <c r="J54" s="1389"/>
      <c r="K54" s="1389"/>
      <c r="L54" s="1389"/>
      <c r="M54" s="1389" t="s">
        <v>46</v>
      </c>
      <c r="N54" s="1389"/>
      <c r="O54" s="1389"/>
      <c r="P54" s="1389"/>
      <c r="Q54" s="1389"/>
      <c r="R54" s="1389"/>
      <c r="S54" s="1389"/>
      <c r="T54" s="1389"/>
      <c r="U54" s="1389"/>
      <c r="V54" s="1389"/>
      <c r="W54" s="1389"/>
      <c r="X54" s="1389"/>
    </row>
    <row r="55" spans="1:24" s="757" customFormat="1" ht="9" customHeight="1">
      <c r="A55" s="1936" t="s">
        <v>47</v>
      </c>
      <c r="B55" s="1800" t="s">
        <v>48</v>
      </c>
      <c r="C55" s="1937">
        <v>439</v>
      </c>
      <c r="D55" s="1937" t="s">
        <v>28</v>
      </c>
      <c r="E55" s="1937" t="s">
        <v>28</v>
      </c>
      <c r="F55" s="1937">
        <v>1</v>
      </c>
      <c r="G55" s="1937" t="s">
        <v>28</v>
      </c>
      <c r="H55" s="1937" t="s">
        <v>28</v>
      </c>
      <c r="I55" s="1937">
        <v>2</v>
      </c>
      <c r="J55" s="1937">
        <v>21</v>
      </c>
      <c r="K55" s="1937">
        <v>28</v>
      </c>
      <c r="L55" s="1937">
        <v>28</v>
      </c>
      <c r="M55" s="1938">
        <v>21</v>
      </c>
      <c r="N55" s="1937">
        <v>13</v>
      </c>
      <c r="O55" s="1937">
        <v>22</v>
      </c>
      <c r="P55" s="1937">
        <v>15</v>
      </c>
      <c r="Q55" s="1937">
        <v>18</v>
      </c>
      <c r="R55" s="1937">
        <v>19</v>
      </c>
      <c r="S55" s="1937">
        <v>9</v>
      </c>
      <c r="T55" s="1937">
        <v>15</v>
      </c>
      <c r="U55" s="1937">
        <v>8</v>
      </c>
      <c r="V55" s="1937">
        <v>11</v>
      </c>
      <c r="W55" s="1937">
        <v>15</v>
      </c>
      <c r="X55" s="1939">
        <v>10</v>
      </c>
    </row>
    <row r="56" spans="1:24" s="754" customFormat="1" ht="9" customHeight="1">
      <c r="A56" s="1916" t="s">
        <v>29</v>
      </c>
      <c r="B56" s="1779" t="s">
        <v>190</v>
      </c>
      <c r="C56" s="1917">
        <v>354</v>
      </c>
      <c r="D56" s="1917" t="s">
        <v>28</v>
      </c>
      <c r="E56" s="1917" t="s">
        <v>28</v>
      </c>
      <c r="F56" s="1917">
        <v>1</v>
      </c>
      <c r="G56" s="1917" t="s">
        <v>28</v>
      </c>
      <c r="H56" s="1917" t="s">
        <v>28</v>
      </c>
      <c r="I56" s="1917">
        <v>2</v>
      </c>
      <c r="J56" s="1917">
        <v>19</v>
      </c>
      <c r="K56" s="1917">
        <v>25</v>
      </c>
      <c r="L56" s="1917">
        <v>27</v>
      </c>
      <c r="M56" s="1918">
        <v>18</v>
      </c>
      <c r="N56" s="1917">
        <v>11</v>
      </c>
      <c r="O56" s="1917">
        <v>21</v>
      </c>
      <c r="P56" s="1917">
        <v>14</v>
      </c>
      <c r="Q56" s="1917">
        <v>16</v>
      </c>
      <c r="R56" s="1917">
        <v>15</v>
      </c>
      <c r="S56" s="1917">
        <v>9</v>
      </c>
      <c r="T56" s="1917">
        <v>12</v>
      </c>
      <c r="U56" s="1917">
        <v>7</v>
      </c>
      <c r="V56" s="1917">
        <v>11</v>
      </c>
      <c r="W56" s="1917">
        <v>10</v>
      </c>
      <c r="X56" s="1919">
        <v>8</v>
      </c>
    </row>
    <row r="57" spans="1:24" s="754" customFormat="1" ht="9" customHeight="1">
      <c r="A57" s="1916" t="s">
        <v>31</v>
      </c>
      <c r="B57" s="1779" t="s">
        <v>191</v>
      </c>
      <c r="C57" s="1917">
        <v>85</v>
      </c>
      <c r="D57" s="1917" t="s">
        <v>28</v>
      </c>
      <c r="E57" s="1917" t="s">
        <v>28</v>
      </c>
      <c r="F57" s="1917" t="s">
        <v>28</v>
      </c>
      <c r="G57" s="1917" t="s">
        <v>28</v>
      </c>
      <c r="H57" s="1917" t="s">
        <v>28</v>
      </c>
      <c r="I57" s="1917" t="s">
        <v>28</v>
      </c>
      <c r="J57" s="1917">
        <v>2</v>
      </c>
      <c r="K57" s="1917">
        <v>3</v>
      </c>
      <c r="L57" s="1917">
        <v>1</v>
      </c>
      <c r="M57" s="1918">
        <v>3</v>
      </c>
      <c r="N57" s="1917">
        <v>2</v>
      </c>
      <c r="O57" s="1917">
        <v>1</v>
      </c>
      <c r="P57" s="1917">
        <v>1</v>
      </c>
      <c r="Q57" s="1917">
        <v>2</v>
      </c>
      <c r="R57" s="1917">
        <v>4</v>
      </c>
      <c r="S57" s="1917" t="s">
        <v>28</v>
      </c>
      <c r="T57" s="1917">
        <v>3</v>
      </c>
      <c r="U57" s="1917">
        <v>1</v>
      </c>
      <c r="V57" s="1917" t="s">
        <v>28</v>
      </c>
      <c r="W57" s="1917">
        <v>5</v>
      </c>
      <c r="X57" s="1919">
        <v>2</v>
      </c>
    </row>
    <row r="58" spans="1:24" s="753" customFormat="1" ht="9" customHeight="1">
      <c r="A58" s="1912" t="s">
        <v>49</v>
      </c>
      <c r="B58" s="1767" t="s">
        <v>50</v>
      </c>
      <c r="C58" s="1913">
        <v>104</v>
      </c>
      <c r="D58" s="1913" t="s">
        <v>28</v>
      </c>
      <c r="E58" s="1913" t="s">
        <v>28</v>
      </c>
      <c r="F58" s="1913" t="s">
        <v>28</v>
      </c>
      <c r="G58" s="1913" t="s">
        <v>28</v>
      </c>
      <c r="H58" s="1913" t="s">
        <v>28</v>
      </c>
      <c r="I58" s="1913" t="s">
        <v>28</v>
      </c>
      <c r="J58" s="1913">
        <v>2</v>
      </c>
      <c r="K58" s="1913">
        <v>6</v>
      </c>
      <c r="L58" s="1913">
        <v>2</v>
      </c>
      <c r="M58" s="1914">
        <v>3</v>
      </c>
      <c r="N58" s="1913">
        <v>3</v>
      </c>
      <c r="O58" s="1913">
        <v>4</v>
      </c>
      <c r="P58" s="1913">
        <v>1</v>
      </c>
      <c r="Q58" s="1913">
        <v>1</v>
      </c>
      <c r="R58" s="1913">
        <v>1</v>
      </c>
      <c r="S58" s="1913">
        <v>3</v>
      </c>
      <c r="T58" s="1913">
        <v>3</v>
      </c>
      <c r="U58" s="1913">
        <v>2</v>
      </c>
      <c r="V58" s="1913">
        <v>2</v>
      </c>
      <c r="W58" s="1913">
        <v>4</v>
      </c>
      <c r="X58" s="1915">
        <v>1</v>
      </c>
    </row>
    <row r="59" spans="1:24" s="754" customFormat="1" ht="9" customHeight="1">
      <c r="A59" s="1916" t="s">
        <v>29</v>
      </c>
      <c r="B59" s="1779" t="s">
        <v>190</v>
      </c>
      <c r="C59" s="1917">
        <v>35</v>
      </c>
      <c r="D59" s="1917" t="s">
        <v>28</v>
      </c>
      <c r="E59" s="1917" t="s">
        <v>28</v>
      </c>
      <c r="F59" s="1917" t="s">
        <v>28</v>
      </c>
      <c r="G59" s="1917" t="s">
        <v>28</v>
      </c>
      <c r="H59" s="1917" t="s">
        <v>28</v>
      </c>
      <c r="I59" s="1917" t="s">
        <v>28</v>
      </c>
      <c r="J59" s="1917">
        <v>1</v>
      </c>
      <c r="K59" s="1917">
        <v>4</v>
      </c>
      <c r="L59" s="1917">
        <v>2</v>
      </c>
      <c r="M59" s="1918">
        <v>3</v>
      </c>
      <c r="N59" s="1917">
        <v>1</v>
      </c>
      <c r="O59" s="1917">
        <v>2</v>
      </c>
      <c r="P59" s="1917">
        <v>1</v>
      </c>
      <c r="Q59" s="1917" t="s">
        <v>28</v>
      </c>
      <c r="R59" s="1917" t="s">
        <v>28</v>
      </c>
      <c r="S59" s="1917">
        <v>2</v>
      </c>
      <c r="T59" s="1917">
        <v>1</v>
      </c>
      <c r="U59" s="1917">
        <v>1</v>
      </c>
      <c r="V59" s="1917" t="s">
        <v>28</v>
      </c>
      <c r="W59" s="1917">
        <v>1</v>
      </c>
      <c r="X59" s="1919" t="s">
        <v>28</v>
      </c>
    </row>
    <row r="60" spans="1:24" s="754" customFormat="1" ht="9" customHeight="1">
      <c r="A60" s="1916" t="s">
        <v>31</v>
      </c>
      <c r="B60" s="1779" t="s">
        <v>191</v>
      </c>
      <c r="C60" s="1917">
        <v>69</v>
      </c>
      <c r="D60" s="1917" t="s">
        <v>28</v>
      </c>
      <c r="E60" s="1917" t="s">
        <v>28</v>
      </c>
      <c r="F60" s="1917" t="s">
        <v>28</v>
      </c>
      <c r="G60" s="1917" t="s">
        <v>28</v>
      </c>
      <c r="H60" s="1917" t="s">
        <v>28</v>
      </c>
      <c r="I60" s="1917" t="s">
        <v>28</v>
      </c>
      <c r="J60" s="1917">
        <v>1</v>
      </c>
      <c r="K60" s="1917">
        <v>2</v>
      </c>
      <c r="L60" s="1917" t="s">
        <v>28</v>
      </c>
      <c r="M60" s="1918" t="s">
        <v>28</v>
      </c>
      <c r="N60" s="1917">
        <v>2</v>
      </c>
      <c r="O60" s="1917">
        <v>2</v>
      </c>
      <c r="P60" s="1917" t="s">
        <v>28</v>
      </c>
      <c r="Q60" s="1917">
        <v>1</v>
      </c>
      <c r="R60" s="1917">
        <v>1</v>
      </c>
      <c r="S60" s="1917">
        <v>1</v>
      </c>
      <c r="T60" s="1917">
        <v>2</v>
      </c>
      <c r="U60" s="1917">
        <v>1</v>
      </c>
      <c r="V60" s="1917">
        <v>2</v>
      </c>
      <c r="W60" s="1917">
        <v>3</v>
      </c>
      <c r="X60" s="1919">
        <v>1</v>
      </c>
    </row>
    <row r="61" spans="1:24" s="753" customFormat="1" ht="9" customHeight="1">
      <c r="A61" s="1912" t="s">
        <v>963</v>
      </c>
      <c r="B61" s="1767" t="s">
        <v>964</v>
      </c>
      <c r="C61" s="1913">
        <v>579</v>
      </c>
      <c r="D61" s="1913" t="s">
        <v>28</v>
      </c>
      <c r="E61" s="1913" t="s">
        <v>28</v>
      </c>
      <c r="F61" s="1913" t="s">
        <v>28</v>
      </c>
      <c r="G61" s="1913" t="s">
        <v>28</v>
      </c>
      <c r="H61" s="1913" t="s">
        <v>28</v>
      </c>
      <c r="I61" s="1913">
        <v>5</v>
      </c>
      <c r="J61" s="1913">
        <v>17</v>
      </c>
      <c r="K61" s="1913">
        <v>33</v>
      </c>
      <c r="L61" s="1913">
        <v>31</v>
      </c>
      <c r="M61" s="1914">
        <v>32</v>
      </c>
      <c r="N61" s="1913">
        <v>16</v>
      </c>
      <c r="O61" s="1913">
        <v>15</v>
      </c>
      <c r="P61" s="1913">
        <v>22</v>
      </c>
      <c r="Q61" s="1913">
        <v>24</v>
      </c>
      <c r="R61" s="1913">
        <v>25</v>
      </c>
      <c r="S61" s="1913">
        <v>28</v>
      </c>
      <c r="T61" s="1913">
        <v>22</v>
      </c>
      <c r="U61" s="1913">
        <v>22</v>
      </c>
      <c r="V61" s="1913">
        <v>20</v>
      </c>
      <c r="W61" s="1913">
        <v>19</v>
      </c>
      <c r="X61" s="1915">
        <v>22</v>
      </c>
    </row>
    <row r="62" spans="1:24" s="754" customFormat="1" ht="9" customHeight="1">
      <c r="A62" s="1916" t="s">
        <v>29</v>
      </c>
      <c r="B62" s="1779" t="s">
        <v>190</v>
      </c>
      <c r="C62" s="1917">
        <v>531</v>
      </c>
      <c r="D62" s="1917" t="s">
        <v>28</v>
      </c>
      <c r="E62" s="1917" t="s">
        <v>28</v>
      </c>
      <c r="F62" s="1917" t="s">
        <v>28</v>
      </c>
      <c r="G62" s="1917" t="s">
        <v>28</v>
      </c>
      <c r="H62" s="1917" t="s">
        <v>28</v>
      </c>
      <c r="I62" s="1917">
        <v>4</v>
      </c>
      <c r="J62" s="1917">
        <v>16</v>
      </c>
      <c r="K62" s="1917">
        <v>27</v>
      </c>
      <c r="L62" s="1917">
        <v>27</v>
      </c>
      <c r="M62" s="1918">
        <v>30</v>
      </c>
      <c r="N62" s="1917">
        <v>14</v>
      </c>
      <c r="O62" s="1917">
        <v>12</v>
      </c>
      <c r="P62" s="1917">
        <v>22</v>
      </c>
      <c r="Q62" s="1917">
        <v>19</v>
      </c>
      <c r="R62" s="1917">
        <v>24</v>
      </c>
      <c r="S62" s="1917">
        <v>26</v>
      </c>
      <c r="T62" s="1917">
        <v>19</v>
      </c>
      <c r="U62" s="1917">
        <v>21</v>
      </c>
      <c r="V62" s="1917">
        <v>20</v>
      </c>
      <c r="W62" s="1917">
        <v>19</v>
      </c>
      <c r="X62" s="1919">
        <v>20</v>
      </c>
    </row>
    <row r="63" spans="1:24" s="754" customFormat="1" ht="9" customHeight="1">
      <c r="A63" s="1916" t="s">
        <v>31</v>
      </c>
      <c r="B63" s="1779" t="s">
        <v>191</v>
      </c>
      <c r="C63" s="1917">
        <v>48</v>
      </c>
      <c r="D63" s="1917" t="s">
        <v>28</v>
      </c>
      <c r="E63" s="1917" t="s">
        <v>28</v>
      </c>
      <c r="F63" s="1917" t="s">
        <v>28</v>
      </c>
      <c r="G63" s="1917" t="s">
        <v>28</v>
      </c>
      <c r="H63" s="1917" t="s">
        <v>28</v>
      </c>
      <c r="I63" s="1917">
        <v>1</v>
      </c>
      <c r="J63" s="1917">
        <v>1</v>
      </c>
      <c r="K63" s="1917">
        <v>6</v>
      </c>
      <c r="L63" s="1917">
        <v>4</v>
      </c>
      <c r="M63" s="1918">
        <v>2</v>
      </c>
      <c r="N63" s="1917">
        <v>2</v>
      </c>
      <c r="O63" s="1917">
        <v>3</v>
      </c>
      <c r="P63" s="1917" t="s">
        <v>28</v>
      </c>
      <c r="Q63" s="1917">
        <v>5</v>
      </c>
      <c r="R63" s="1917">
        <v>1</v>
      </c>
      <c r="S63" s="1917">
        <v>2</v>
      </c>
      <c r="T63" s="1917">
        <v>3</v>
      </c>
      <c r="U63" s="1917">
        <v>1</v>
      </c>
      <c r="V63" s="1917" t="s">
        <v>28</v>
      </c>
      <c r="W63" s="1917" t="s">
        <v>28</v>
      </c>
      <c r="X63" s="1919">
        <v>2</v>
      </c>
    </row>
    <row r="64" spans="1:24" s="753" customFormat="1" ht="9" customHeight="1">
      <c r="A64" s="1912" t="s">
        <v>51</v>
      </c>
      <c r="B64" s="1767" t="s">
        <v>52</v>
      </c>
      <c r="C64" s="1913">
        <v>984</v>
      </c>
      <c r="D64" s="1913">
        <v>1</v>
      </c>
      <c r="E64" s="1913" t="s">
        <v>28</v>
      </c>
      <c r="F64" s="1913" t="s">
        <v>28</v>
      </c>
      <c r="G64" s="1913" t="s">
        <v>28</v>
      </c>
      <c r="H64" s="1913" t="s">
        <v>28</v>
      </c>
      <c r="I64" s="1913" t="s">
        <v>28</v>
      </c>
      <c r="J64" s="1913">
        <v>19</v>
      </c>
      <c r="K64" s="1913">
        <v>23</v>
      </c>
      <c r="L64" s="1913">
        <v>44</v>
      </c>
      <c r="M64" s="1914">
        <v>29</v>
      </c>
      <c r="N64" s="1913">
        <v>21</v>
      </c>
      <c r="O64" s="1913">
        <v>39</v>
      </c>
      <c r="P64" s="1913">
        <v>37</v>
      </c>
      <c r="Q64" s="1913">
        <v>42</v>
      </c>
      <c r="R64" s="1913">
        <v>37</v>
      </c>
      <c r="S64" s="1913">
        <v>29</v>
      </c>
      <c r="T64" s="1913">
        <v>30</v>
      </c>
      <c r="U64" s="1913">
        <v>21</v>
      </c>
      <c r="V64" s="1913">
        <v>37</v>
      </c>
      <c r="W64" s="1913">
        <v>25</v>
      </c>
      <c r="X64" s="1915">
        <v>30</v>
      </c>
    </row>
    <row r="65" spans="1:24" s="754" customFormat="1" ht="9" customHeight="1">
      <c r="A65" s="1916" t="s">
        <v>29</v>
      </c>
      <c r="B65" s="1779" t="s">
        <v>190</v>
      </c>
      <c r="C65" s="1917">
        <v>938</v>
      </c>
      <c r="D65" s="1917">
        <v>1</v>
      </c>
      <c r="E65" s="1917" t="s">
        <v>28</v>
      </c>
      <c r="F65" s="1917" t="s">
        <v>28</v>
      </c>
      <c r="G65" s="1917" t="s">
        <v>28</v>
      </c>
      <c r="H65" s="1917" t="s">
        <v>28</v>
      </c>
      <c r="I65" s="1917" t="s">
        <v>28</v>
      </c>
      <c r="J65" s="1917">
        <v>18</v>
      </c>
      <c r="K65" s="1917">
        <v>22</v>
      </c>
      <c r="L65" s="1917">
        <v>44</v>
      </c>
      <c r="M65" s="1918">
        <v>26</v>
      </c>
      <c r="N65" s="1917">
        <v>20</v>
      </c>
      <c r="O65" s="1917">
        <v>36</v>
      </c>
      <c r="P65" s="1917">
        <v>36</v>
      </c>
      <c r="Q65" s="1917">
        <v>42</v>
      </c>
      <c r="R65" s="1917">
        <v>37</v>
      </c>
      <c r="S65" s="1917">
        <v>28</v>
      </c>
      <c r="T65" s="1917">
        <v>28</v>
      </c>
      <c r="U65" s="1917">
        <v>20</v>
      </c>
      <c r="V65" s="1917">
        <v>35</v>
      </c>
      <c r="W65" s="1917">
        <v>24</v>
      </c>
      <c r="X65" s="1919">
        <v>27</v>
      </c>
    </row>
    <row r="66" spans="1:24" s="754" customFormat="1" ht="9" customHeight="1">
      <c r="A66" s="1916" t="s">
        <v>31</v>
      </c>
      <c r="B66" s="1779" t="s">
        <v>191</v>
      </c>
      <c r="C66" s="1917">
        <v>46</v>
      </c>
      <c r="D66" s="1917" t="s">
        <v>28</v>
      </c>
      <c r="E66" s="1917" t="s">
        <v>28</v>
      </c>
      <c r="F66" s="1917" t="s">
        <v>28</v>
      </c>
      <c r="G66" s="1917" t="s">
        <v>28</v>
      </c>
      <c r="H66" s="1917" t="s">
        <v>28</v>
      </c>
      <c r="I66" s="1917" t="s">
        <v>28</v>
      </c>
      <c r="J66" s="1917">
        <v>1</v>
      </c>
      <c r="K66" s="1917">
        <v>1</v>
      </c>
      <c r="L66" s="1917" t="s">
        <v>28</v>
      </c>
      <c r="M66" s="1918">
        <v>3</v>
      </c>
      <c r="N66" s="1917">
        <v>1</v>
      </c>
      <c r="O66" s="1917">
        <v>3</v>
      </c>
      <c r="P66" s="1917">
        <v>1</v>
      </c>
      <c r="Q66" s="1917" t="s">
        <v>28</v>
      </c>
      <c r="R66" s="1917" t="s">
        <v>28</v>
      </c>
      <c r="S66" s="1917">
        <v>1</v>
      </c>
      <c r="T66" s="1917">
        <v>2</v>
      </c>
      <c r="U66" s="1917">
        <v>1</v>
      </c>
      <c r="V66" s="1917">
        <v>2</v>
      </c>
      <c r="W66" s="1917">
        <v>1</v>
      </c>
      <c r="X66" s="1919">
        <v>3</v>
      </c>
    </row>
    <row r="67" spans="1:24" s="753" customFormat="1" ht="9" customHeight="1">
      <c r="A67" s="1912" t="s">
        <v>53</v>
      </c>
      <c r="B67" s="1767" t="s">
        <v>54</v>
      </c>
      <c r="C67" s="1913">
        <v>1037</v>
      </c>
      <c r="D67" s="1913" t="s">
        <v>28</v>
      </c>
      <c r="E67" s="1913" t="s">
        <v>28</v>
      </c>
      <c r="F67" s="1913" t="s">
        <v>28</v>
      </c>
      <c r="G67" s="1913" t="s">
        <v>28</v>
      </c>
      <c r="H67" s="1913" t="s">
        <v>28</v>
      </c>
      <c r="I67" s="1913" t="s">
        <v>28</v>
      </c>
      <c r="J67" s="1913">
        <v>25</v>
      </c>
      <c r="K67" s="1913">
        <v>35</v>
      </c>
      <c r="L67" s="1913">
        <v>25</v>
      </c>
      <c r="M67" s="1914">
        <v>26</v>
      </c>
      <c r="N67" s="1913">
        <v>23</v>
      </c>
      <c r="O67" s="1913">
        <v>50</v>
      </c>
      <c r="P67" s="1913">
        <v>23</v>
      </c>
      <c r="Q67" s="1913">
        <v>33</v>
      </c>
      <c r="R67" s="1913">
        <v>38</v>
      </c>
      <c r="S67" s="1913">
        <v>43</v>
      </c>
      <c r="T67" s="1913">
        <v>44</v>
      </c>
      <c r="U67" s="1913">
        <v>38</v>
      </c>
      <c r="V67" s="1913">
        <v>36</v>
      </c>
      <c r="W67" s="1913">
        <v>25</v>
      </c>
      <c r="X67" s="1915">
        <v>37</v>
      </c>
    </row>
    <row r="68" spans="1:24" s="754" customFormat="1" ht="9" customHeight="1">
      <c r="A68" s="1916" t="s">
        <v>29</v>
      </c>
      <c r="B68" s="1779" t="s">
        <v>190</v>
      </c>
      <c r="C68" s="1917">
        <v>1012</v>
      </c>
      <c r="D68" s="1917" t="s">
        <v>28</v>
      </c>
      <c r="E68" s="1917" t="s">
        <v>28</v>
      </c>
      <c r="F68" s="1917" t="s">
        <v>28</v>
      </c>
      <c r="G68" s="1917" t="s">
        <v>28</v>
      </c>
      <c r="H68" s="1917" t="s">
        <v>28</v>
      </c>
      <c r="I68" s="1917" t="s">
        <v>28</v>
      </c>
      <c r="J68" s="1917">
        <v>24</v>
      </c>
      <c r="K68" s="1917">
        <v>33</v>
      </c>
      <c r="L68" s="1917">
        <v>25</v>
      </c>
      <c r="M68" s="1918">
        <v>25</v>
      </c>
      <c r="N68" s="1917">
        <v>22</v>
      </c>
      <c r="O68" s="1917">
        <v>47</v>
      </c>
      <c r="P68" s="1917">
        <v>23</v>
      </c>
      <c r="Q68" s="1917">
        <v>33</v>
      </c>
      <c r="R68" s="1917">
        <v>38</v>
      </c>
      <c r="S68" s="1917">
        <v>43</v>
      </c>
      <c r="T68" s="1917">
        <v>44</v>
      </c>
      <c r="U68" s="1917">
        <v>37</v>
      </c>
      <c r="V68" s="1917">
        <v>36</v>
      </c>
      <c r="W68" s="1917">
        <v>24</v>
      </c>
      <c r="X68" s="1919">
        <v>34</v>
      </c>
    </row>
    <row r="69" spans="1:24" s="754" customFormat="1" ht="9" customHeight="1">
      <c r="A69" s="1916" t="s">
        <v>31</v>
      </c>
      <c r="B69" s="1779" t="s">
        <v>191</v>
      </c>
      <c r="C69" s="1917">
        <v>25</v>
      </c>
      <c r="D69" s="1917" t="s">
        <v>28</v>
      </c>
      <c r="E69" s="1917" t="s">
        <v>28</v>
      </c>
      <c r="F69" s="1917" t="s">
        <v>28</v>
      </c>
      <c r="G69" s="1917" t="s">
        <v>28</v>
      </c>
      <c r="H69" s="1917" t="s">
        <v>28</v>
      </c>
      <c r="I69" s="1917" t="s">
        <v>28</v>
      </c>
      <c r="J69" s="1917">
        <v>1</v>
      </c>
      <c r="K69" s="1917">
        <v>2</v>
      </c>
      <c r="L69" s="1917" t="s">
        <v>28</v>
      </c>
      <c r="M69" s="1918">
        <v>1</v>
      </c>
      <c r="N69" s="1917">
        <v>1</v>
      </c>
      <c r="O69" s="1917">
        <v>3</v>
      </c>
      <c r="P69" s="1917" t="s">
        <v>28</v>
      </c>
      <c r="Q69" s="1917" t="s">
        <v>28</v>
      </c>
      <c r="R69" s="1917" t="s">
        <v>28</v>
      </c>
      <c r="S69" s="1917" t="s">
        <v>28</v>
      </c>
      <c r="T69" s="1917" t="s">
        <v>28</v>
      </c>
      <c r="U69" s="1917">
        <v>1</v>
      </c>
      <c r="V69" s="1917" t="s">
        <v>28</v>
      </c>
      <c r="W69" s="1917">
        <v>1</v>
      </c>
      <c r="X69" s="1919">
        <v>3</v>
      </c>
    </row>
    <row r="70" spans="1:24" s="753" customFormat="1" ht="9" customHeight="1">
      <c r="A70" s="1912" t="s">
        <v>55</v>
      </c>
      <c r="B70" s="1767" t="s">
        <v>56</v>
      </c>
      <c r="C70" s="1913">
        <v>907</v>
      </c>
      <c r="D70" s="1913" t="s">
        <v>28</v>
      </c>
      <c r="E70" s="1913" t="s">
        <v>28</v>
      </c>
      <c r="F70" s="1913" t="s">
        <v>28</v>
      </c>
      <c r="G70" s="1913" t="s">
        <v>28</v>
      </c>
      <c r="H70" s="1913" t="s">
        <v>28</v>
      </c>
      <c r="I70" s="1913">
        <v>1</v>
      </c>
      <c r="J70" s="1913">
        <v>13</v>
      </c>
      <c r="K70" s="1913">
        <v>18</v>
      </c>
      <c r="L70" s="1913">
        <v>18</v>
      </c>
      <c r="M70" s="1914">
        <v>22</v>
      </c>
      <c r="N70" s="1913">
        <v>16</v>
      </c>
      <c r="O70" s="1913">
        <v>30</v>
      </c>
      <c r="P70" s="1913">
        <v>19</v>
      </c>
      <c r="Q70" s="1913">
        <v>25</v>
      </c>
      <c r="R70" s="1913">
        <v>33</v>
      </c>
      <c r="S70" s="1913">
        <v>26</v>
      </c>
      <c r="T70" s="1913">
        <v>22</v>
      </c>
      <c r="U70" s="1913">
        <v>23</v>
      </c>
      <c r="V70" s="1913">
        <v>24</v>
      </c>
      <c r="W70" s="1913">
        <v>26</v>
      </c>
      <c r="X70" s="1915">
        <v>26</v>
      </c>
    </row>
    <row r="71" spans="1:24" s="754" customFormat="1" ht="9" customHeight="1">
      <c r="A71" s="1916" t="s">
        <v>29</v>
      </c>
      <c r="B71" s="1779" t="s">
        <v>190</v>
      </c>
      <c r="C71" s="1917">
        <v>907</v>
      </c>
      <c r="D71" s="1917" t="s">
        <v>28</v>
      </c>
      <c r="E71" s="1917" t="s">
        <v>28</v>
      </c>
      <c r="F71" s="1917" t="s">
        <v>28</v>
      </c>
      <c r="G71" s="1917" t="s">
        <v>28</v>
      </c>
      <c r="H71" s="1917" t="s">
        <v>28</v>
      </c>
      <c r="I71" s="1917">
        <v>1</v>
      </c>
      <c r="J71" s="1917">
        <v>13</v>
      </c>
      <c r="K71" s="1917">
        <v>18</v>
      </c>
      <c r="L71" s="1917">
        <v>18</v>
      </c>
      <c r="M71" s="1918">
        <v>22</v>
      </c>
      <c r="N71" s="1917">
        <v>16</v>
      </c>
      <c r="O71" s="1917">
        <v>30</v>
      </c>
      <c r="P71" s="1917">
        <v>19</v>
      </c>
      <c r="Q71" s="1917">
        <v>25</v>
      </c>
      <c r="R71" s="1917">
        <v>33</v>
      </c>
      <c r="S71" s="1917">
        <v>26</v>
      </c>
      <c r="T71" s="1917">
        <v>22</v>
      </c>
      <c r="U71" s="1917">
        <v>23</v>
      </c>
      <c r="V71" s="1917">
        <v>24</v>
      </c>
      <c r="W71" s="1917">
        <v>26</v>
      </c>
      <c r="X71" s="1919">
        <v>26</v>
      </c>
    </row>
    <row r="72" spans="1:24" s="753" customFormat="1" ht="9" customHeight="1">
      <c r="A72" s="1912" t="s">
        <v>57</v>
      </c>
      <c r="B72" s="1767" t="s">
        <v>58</v>
      </c>
      <c r="C72" s="1913">
        <v>539</v>
      </c>
      <c r="D72" s="1913" t="s">
        <v>28</v>
      </c>
      <c r="E72" s="1913" t="s">
        <v>28</v>
      </c>
      <c r="F72" s="1913" t="s">
        <v>28</v>
      </c>
      <c r="G72" s="1913" t="s">
        <v>28</v>
      </c>
      <c r="H72" s="1913" t="s">
        <v>28</v>
      </c>
      <c r="I72" s="1913" t="s">
        <v>28</v>
      </c>
      <c r="J72" s="1913">
        <v>4</v>
      </c>
      <c r="K72" s="1913">
        <v>8</v>
      </c>
      <c r="L72" s="1913">
        <v>16</v>
      </c>
      <c r="M72" s="1914">
        <v>11</v>
      </c>
      <c r="N72" s="1913">
        <v>15</v>
      </c>
      <c r="O72" s="1913">
        <v>15</v>
      </c>
      <c r="P72" s="1913">
        <v>11</v>
      </c>
      <c r="Q72" s="1913">
        <v>15</v>
      </c>
      <c r="R72" s="1913">
        <v>21</v>
      </c>
      <c r="S72" s="1913">
        <v>12</v>
      </c>
      <c r="T72" s="1913">
        <v>17</v>
      </c>
      <c r="U72" s="1913">
        <v>12</v>
      </c>
      <c r="V72" s="1913">
        <v>23</v>
      </c>
      <c r="W72" s="1913">
        <v>12</v>
      </c>
      <c r="X72" s="1915">
        <v>20</v>
      </c>
    </row>
    <row r="73" spans="1:24" s="754" customFormat="1" ht="9" customHeight="1">
      <c r="A73" s="1916" t="s">
        <v>29</v>
      </c>
      <c r="B73" s="1779" t="s">
        <v>190</v>
      </c>
      <c r="C73" s="1917">
        <v>539</v>
      </c>
      <c r="D73" s="1917" t="s">
        <v>28</v>
      </c>
      <c r="E73" s="1917" t="s">
        <v>28</v>
      </c>
      <c r="F73" s="1917" t="s">
        <v>28</v>
      </c>
      <c r="G73" s="1917" t="s">
        <v>28</v>
      </c>
      <c r="H73" s="1917" t="s">
        <v>28</v>
      </c>
      <c r="I73" s="1917" t="s">
        <v>28</v>
      </c>
      <c r="J73" s="1917">
        <v>4</v>
      </c>
      <c r="K73" s="1917">
        <v>8</v>
      </c>
      <c r="L73" s="1917">
        <v>16</v>
      </c>
      <c r="M73" s="1918">
        <v>11</v>
      </c>
      <c r="N73" s="1917">
        <v>15</v>
      </c>
      <c r="O73" s="1917">
        <v>15</v>
      </c>
      <c r="P73" s="1917">
        <v>11</v>
      </c>
      <c r="Q73" s="1917">
        <v>15</v>
      </c>
      <c r="R73" s="1917">
        <v>21</v>
      </c>
      <c r="S73" s="1917">
        <v>12</v>
      </c>
      <c r="T73" s="1917">
        <v>17</v>
      </c>
      <c r="U73" s="1917">
        <v>12</v>
      </c>
      <c r="V73" s="1917">
        <v>23</v>
      </c>
      <c r="W73" s="1917">
        <v>12</v>
      </c>
      <c r="X73" s="1919">
        <v>20</v>
      </c>
    </row>
    <row r="74" spans="1:24" s="753" customFormat="1" ht="9" customHeight="1">
      <c r="A74" s="1912" t="s">
        <v>59</v>
      </c>
      <c r="B74" s="1767" t="s">
        <v>60</v>
      </c>
      <c r="C74" s="1913">
        <v>1376</v>
      </c>
      <c r="D74" s="1913" t="s">
        <v>28</v>
      </c>
      <c r="E74" s="1913" t="s">
        <v>28</v>
      </c>
      <c r="F74" s="1913" t="s">
        <v>28</v>
      </c>
      <c r="G74" s="1913" t="s">
        <v>28</v>
      </c>
      <c r="H74" s="1913" t="s">
        <v>28</v>
      </c>
      <c r="I74" s="1913">
        <v>7</v>
      </c>
      <c r="J74" s="1913">
        <v>61</v>
      </c>
      <c r="K74" s="1913">
        <v>61</v>
      </c>
      <c r="L74" s="1913">
        <v>76</v>
      </c>
      <c r="M74" s="1914">
        <v>64</v>
      </c>
      <c r="N74" s="1913">
        <v>50</v>
      </c>
      <c r="O74" s="1913">
        <v>60</v>
      </c>
      <c r="P74" s="1913">
        <v>46</v>
      </c>
      <c r="Q74" s="1913">
        <v>50</v>
      </c>
      <c r="R74" s="1913">
        <v>55</v>
      </c>
      <c r="S74" s="1913">
        <v>45</v>
      </c>
      <c r="T74" s="1913">
        <v>51</v>
      </c>
      <c r="U74" s="1913">
        <v>53</v>
      </c>
      <c r="V74" s="1913">
        <v>52</v>
      </c>
      <c r="W74" s="1913">
        <v>61</v>
      </c>
      <c r="X74" s="1915">
        <v>28</v>
      </c>
    </row>
    <row r="75" spans="1:24" s="754" customFormat="1" ht="9" customHeight="1">
      <c r="A75" s="1916" t="s">
        <v>29</v>
      </c>
      <c r="B75" s="1779" t="s">
        <v>190</v>
      </c>
      <c r="C75" s="1917">
        <v>1376</v>
      </c>
      <c r="D75" s="1917" t="s">
        <v>28</v>
      </c>
      <c r="E75" s="1917" t="s">
        <v>28</v>
      </c>
      <c r="F75" s="1917" t="s">
        <v>28</v>
      </c>
      <c r="G75" s="1917" t="s">
        <v>28</v>
      </c>
      <c r="H75" s="1917" t="s">
        <v>28</v>
      </c>
      <c r="I75" s="1917">
        <v>7</v>
      </c>
      <c r="J75" s="1917">
        <v>61</v>
      </c>
      <c r="K75" s="1917">
        <v>61</v>
      </c>
      <c r="L75" s="1917">
        <v>76</v>
      </c>
      <c r="M75" s="1918">
        <v>64</v>
      </c>
      <c r="N75" s="1917">
        <v>50</v>
      </c>
      <c r="O75" s="1917">
        <v>60</v>
      </c>
      <c r="P75" s="1917">
        <v>46</v>
      </c>
      <c r="Q75" s="1917">
        <v>50</v>
      </c>
      <c r="R75" s="1917">
        <v>55</v>
      </c>
      <c r="S75" s="1917">
        <v>45</v>
      </c>
      <c r="T75" s="1917">
        <v>51</v>
      </c>
      <c r="U75" s="1917">
        <v>53</v>
      </c>
      <c r="V75" s="1917">
        <v>52</v>
      </c>
      <c r="W75" s="1917">
        <v>61</v>
      </c>
      <c r="X75" s="1919">
        <v>28</v>
      </c>
    </row>
    <row r="76" spans="1:24" s="753" customFormat="1" ht="9" customHeight="1">
      <c r="A76" s="1912" t="s">
        <v>61</v>
      </c>
      <c r="B76" s="1767" t="s">
        <v>62</v>
      </c>
      <c r="C76" s="1913">
        <v>170</v>
      </c>
      <c r="D76" s="1913" t="s">
        <v>28</v>
      </c>
      <c r="E76" s="1913" t="s">
        <v>28</v>
      </c>
      <c r="F76" s="1913" t="s">
        <v>28</v>
      </c>
      <c r="G76" s="1913" t="s">
        <v>28</v>
      </c>
      <c r="H76" s="1913" t="s">
        <v>28</v>
      </c>
      <c r="I76" s="1913" t="s">
        <v>28</v>
      </c>
      <c r="J76" s="1913">
        <v>2</v>
      </c>
      <c r="K76" s="1913">
        <v>9</v>
      </c>
      <c r="L76" s="1913">
        <v>15</v>
      </c>
      <c r="M76" s="1914">
        <v>5</v>
      </c>
      <c r="N76" s="1913">
        <v>1</v>
      </c>
      <c r="O76" s="1913">
        <v>13</v>
      </c>
      <c r="P76" s="1913">
        <v>3</v>
      </c>
      <c r="Q76" s="1913">
        <v>4</v>
      </c>
      <c r="R76" s="1913">
        <v>3</v>
      </c>
      <c r="S76" s="1913">
        <v>2</v>
      </c>
      <c r="T76" s="1913">
        <v>6</v>
      </c>
      <c r="U76" s="1913">
        <v>2</v>
      </c>
      <c r="V76" s="1913">
        <v>3</v>
      </c>
      <c r="W76" s="1913">
        <v>4</v>
      </c>
      <c r="X76" s="1915">
        <v>4</v>
      </c>
    </row>
    <row r="77" spans="1:24" s="754" customFormat="1" ht="9" customHeight="1">
      <c r="A77" s="1916" t="s">
        <v>29</v>
      </c>
      <c r="B77" s="1779" t="s">
        <v>190</v>
      </c>
      <c r="C77" s="1917">
        <v>143</v>
      </c>
      <c r="D77" s="1917" t="s">
        <v>28</v>
      </c>
      <c r="E77" s="1917" t="s">
        <v>28</v>
      </c>
      <c r="F77" s="1917" t="s">
        <v>28</v>
      </c>
      <c r="G77" s="1917" t="s">
        <v>28</v>
      </c>
      <c r="H77" s="1917" t="s">
        <v>28</v>
      </c>
      <c r="I77" s="1917" t="s">
        <v>28</v>
      </c>
      <c r="J77" s="1917">
        <v>2</v>
      </c>
      <c r="K77" s="1917">
        <v>9</v>
      </c>
      <c r="L77" s="1917">
        <v>14</v>
      </c>
      <c r="M77" s="1918">
        <v>3</v>
      </c>
      <c r="N77" s="1917">
        <v>1</v>
      </c>
      <c r="O77" s="1917">
        <v>12</v>
      </c>
      <c r="P77" s="1917">
        <v>2</v>
      </c>
      <c r="Q77" s="1917">
        <v>3</v>
      </c>
      <c r="R77" s="1917">
        <v>3</v>
      </c>
      <c r="S77" s="1917">
        <v>2</v>
      </c>
      <c r="T77" s="1917">
        <v>5</v>
      </c>
      <c r="U77" s="1917">
        <v>2</v>
      </c>
      <c r="V77" s="1917">
        <v>3</v>
      </c>
      <c r="W77" s="1917">
        <v>4</v>
      </c>
      <c r="X77" s="1919">
        <v>3</v>
      </c>
    </row>
    <row r="78" spans="1:24" s="754" customFormat="1" ht="9" customHeight="1">
      <c r="A78" s="1916" t="s">
        <v>31</v>
      </c>
      <c r="B78" s="1779" t="s">
        <v>191</v>
      </c>
      <c r="C78" s="1917">
        <v>27</v>
      </c>
      <c r="D78" s="1917" t="s">
        <v>28</v>
      </c>
      <c r="E78" s="1917" t="s">
        <v>28</v>
      </c>
      <c r="F78" s="1917" t="s">
        <v>28</v>
      </c>
      <c r="G78" s="1917" t="s">
        <v>28</v>
      </c>
      <c r="H78" s="1917" t="s">
        <v>28</v>
      </c>
      <c r="I78" s="1917" t="s">
        <v>28</v>
      </c>
      <c r="J78" s="1917" t="s">
        <v>28</v>
      </c>
      <c r="K78" s="1917" t="s">
        <v>28</v>
      </c>
      <c r="L78" s="1917">
        <v>1</v>
      </c>
      <c r="M78" s="1918">
        <v>2</v>
      </c>
      <c r="N78" s="1917" t="s">
        <v>28</v>
      </c>
      <c r="O78" s="1917">
        <v>1</v>
      </c>
      <c r="P78" s="1917">
        <v>1</v>
      </c>
      <c r="Q78" s="1917">
        <v>1</v>
      </c>
      <c r="R78" s="1917" t="s">
        <v>28</v>
      </c>
      <c r="S78" s="1917" t="s">
        <v>28</v>
      </c>
      <c r="T78" s="1917">
        <v>1</v>
      </c>
      <c r="U78" s="1917" t="s">
        <v>28</v>
      </c>
      <c r="V78" s="1917" t="s">
        <v>28</v>
      </c>
      <c r="W78" s="1917" t="s">
        <v>28</v>
      </c>
      <c r="X78" s="1919">
        <v>1</v>
      </c>
    </row>
    <row r="79" spans="1:24" s="753" customFormat="1" ht="9" customHeight="1">
      <c r="A79" s="1912" t="s">
        <v>63</v>
      </c>
      <c r="B79" s="1767" t="s">
        <v>64</v>
      </c>
      <c r="C79" s="1913">
        <v>50</v>
      </c>
      <c r="D79" s="1913" t="s">
        <v>28</v>
      </c>
      <c r="E79" s="1913" t="s">
        <v>28</v>
      </c>
      <c r="F79" s="1913" t="s">
        <v>28</v>
      </c>
      <c r="G79" s="1913" t="s">
        <v>28</v>
      </c>
      <c r="H79" s="1913" t="s">
        <v>28</v>
      </c>
      <c r="I79" s="1913">
        <v>2</v>
      </c>
      <c r="J79" s="1913">
        <v>8</v>
      </c>
      <c r="K79" s="1913">
        <v>3</v>
      </c>
      <c r="L79" s="1913">
        <v>2</v>
      </c>
      <c r="M79" s="1914">
        <v>7</v>
      </c>
      <c r="N79" s="1913">
        <v>5</v>
      </c>
      <c r="O79" s="1913">
        <v>1</v>
      </c>
      <c r="P79" s="1913" t="s">
        <v>28</v>
      </c>
      <c r="Q79" s="1913" t="s">
        <v>28</v>
      </c>
      <c r="R79" s="1913">
        <v>2</v>
      </c>
      <c r="S79" s="1913">
        <v>2</v>
      </c>
      <c r="T79" s="1913" t="s">
        <v>28</v>
      </c>
      <c r="U79" s="1913" t="s">
        <v>28</v>
      </c>
      <c r="V79" s="1913">
        <v>1</v>
      </c>
      <c r="W79" s="1913" t="s">
        <v>28</v>
      </c>
      <c r="X79" s="1915" t="s">
        <v>28</v>
      </c>
    </row>
    <row r="80" spans="1:24" s="754" customFormat="1" ht="9" customHeight="1" thickBot="1">
      <c r="A80" s="1920" t="s">
        <v>29</v>
      </c>
      <c r="B80" s="1790" t="s">
        <v>190</v>
      </c>
      <c r="C80" s="1921">
        <v>50</v>
      </c>
      <c r="D80" s="1921" t="s">
        <v>28</v>
      </c>
      <c r="E80" s="1921" t="s">
        <v>28</v>
      </c>
      <c r="F80" s="1921" t="s">
        <v>28</v>
      </c>
      <c r="G80" s="1921" t="s">
        <v>28</v>
      </c>
      <c r="H80" s="1921" t="s">
        <v>28</v>
      </c>
      <c r="I80" s="1921">
        <v>2</v>
      </c>
      <c r="J80" s="1921">
        <v>8</v>
      </c>
      <c r="K80" s="1921">
        <v>3</v>
      </c>
      <c r="L80" s="1921">
        <v>2</v>
      </c>
      <c r="M80" s="1922">
        <v>7</v>
      </c>
      <c r="N80" s="1921">
        <v>5</v>
      </c>
      <c r="O80" s="1921">
        <v>1</v>
      </c>
      <c r="P80" s="1921" t="s">
        <v>28</v>
      </c>
      <c r="Q80" s="1921" t="s">
        <v>28</v>
      </c>
      <c r="R80" s="1921">
        <v>2</v>
      </c>
      <c r="S80" s="1921">
        <v>2</v>
      </c>
      <c r="T80" s="1921" t="s">
        <v>28</v>
      </c>
      <c r="U80" s="1921" t="s">
        <v>28</v>
      </c>
      <c r="V80" s="1921">
        <v>1</v>
      </c>
      <c r="W80" s="1921" t="s">
        <v>28</v>
      </c>
      <c r="X80" s="1923" t="s">
        <v>28</v>
      </c>
    </row>
  </sheetData>
  <mergeCells count="32">
    <mergeCell ref="A54:L54"/>
    <mergeCell ref="M54:X54"/>
    <mergeCell ref="U5:U6"/>
    <mergeCell ref="V5:V6"/>
    <mergeCell ref="W5:W6"/>
    <mergeCell ref="X5:X6"/>
    <mergeCell ref="A6:B6"/>
    <mergeCell ref="A40:L40"/>
    <mergeCell ref="M40:X40"/>
    <mergeCell ref="O5:O6"/>
    <mergeCell ref="P5:P6"/>
    <mergeCell ref="Q5:Q6"/>
    <mergeCell ref="R5:R6"/>
    <mergeCell ref="S5:S6"/>
    <mergeCell ref="T5:T6"/>
    <mergeCell ref="N5:N6"/>
    <mergeCell ref="A5:B5"/>
    <mergeCell ref="E5:E6"/>
    <mergeCell ref="F5:F6"/>
    <mergeCell ref="G5:G6"/>
    <mergeCell ref="H5:H6"/>
    <mergeCell ref="I5:I6"/>
    <mergeCell ref="J5:J6"/>
    <mergeCell ref="K5:K6"/>
    <mergeCell ref="L5:L6"/>
    <mergeCell ref="M5:M6"/>
    <mergeCell ref="A3:L3"/>
    <mergeCell ref="M3:X3"/>
    <mergeCell ref="A4:K4"/>
    <mergeCell ref="L4:X4"/>
    <mergeCell ref="A2:L2"/>
    <mergeCell ref="M2:X2"/>
  </mergeCells>
  <phoneticPr fontId="4" type="noConversion"/>
  <hyperlinks>
    <hyperlink ref="A1" location="목록!A1" display="목록!A1" xr:uid="{9E0A9189-ADD1-4AA2-8032-E06BD11AA63F}"/>
  </hyperlinks>
  <pageMargins left="0.59055118110236227" right="0.59055118110236227" top="0.78740157480314965" bottom="0.59055118110236227" header="0.62992125984251968" footer="0.39370078740157483"/>
  <pageSetup paperSize="9" scale="93" orientation="portrait" r:id="rId1"/>
  <rowBreaks count="1" manualBreakCount="1">
    <brk id="80" max="23" man="1"/>
  </rowBreaks>
  <colBreaks count="1" manualBreakCount="1">
    <brk id="12" min="1" max="79"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AC83"/>
  <sheetViews>
    <sheetView showGridLines="0" showWhiteSpace="0" view="pageBreakPreview" zoomScaleNormal="100" zoomScaleSheetLayoutView="100" workbookViewId="0">
      <selection activeCell="A2" sqref="A2:AC80"/>
    </sheetView>
  </sheetViews>
  <sheetFormatPr defaultColWidth="6.33203125" defaultRowHeight="16.5"/>
  <cols>
    <col min="1" max="1" width="7.77734375" style="703" customWidth="1"/>
    <col min="2" max="2" width="14" style="726" customWidth="1"/>
    <col min="3" max="15" width="4.5546875" style="703" customWidth="1"/>
    <col min="16" max="19" width="5.44140625" style="703" customWidth="1"/>
    <col min="20" max="29" width="5.6640625" style="703" customWidth="1"/>
    <col min="30" max="16384" width="6.33203125" style="703"/>
  </cols>
  <sheetData>
    <row r="1" spans="1:29" ht="22.5">
      <c r="A1" s="901" t="s">
        <v>1332</v>
      </c>
    </row>
    <row r="2" spans="1:29" s="701" customFormat="1" ht="13.5" customHeight="1">
      <c r="A2" s="1254" t="s">
        <v>1041</v>
      </c>
      <c r="B2" s="1254"/>
      <c r="C2" s="1254"/>
      <c r="D2" s="1254"/>
      <c r="E2" s="1254"/>
      <c r="F2" s="1254"/>
      <c r="G2" s="1254"/>
      <c r="H2" s="1254"/>
      <c r="I2" s="1254"/>
      <c r="J2" s="1254"/>
      <c r="K2" s="1254"/>
      <c r="L2" s="1254"/>
      <c r="M2" s="1254"/>
      <c r="N2" s="1254"/>
      <c r="O2" s="1254"/>
      <c r="P2" s="1253" t="s">
        <v>1186</v>
      </c>
      <c r="Q2" s="1253"/>
      <c r="R2" s="1253"/>
      <c r="S2" s="1253"/>
      <c r="T2" s="1253"/>
      <c r="U2" s="1253"/>
      <c r="V2" s="1253"/>
      <c r="W2" s="1253"/>
      <c r="X2" s="1253"/>
      <c r="Y2" s="1253"/>
      <c r="Z2" s="1253"/>
      <c r="AA2" s="1253"/>
      <c r="AB2" s="1253"/>
      <c r="AC2" s="1253"/>
    </row>
    <row r="3" spans="1:29" ht="22.5" customHeight="1">
      <c r="A3" s="1252" t="s">
        <v>912</v>
      </c>
      <c r="B3" s="1252"/>
      <c r="C3" s="1252"/>
      <c r="D3" s="1252"/>
      <c r="E3" s="1252"/>
      <c r="F3" s="1252"/>
      <c r="G3" s="1252"/>
      <c r="H3" s="1252"/>
      <c r="I3" s="1252"/>
      <c r="J3" s="1252"/>
      <c r="K3" s="1252"/>
      <c r="L3" s="1252"/>
      <c r="M3" s="1252"/>
      <c r="N3" s="1252"/>
      <c r="O3" s="1252"/>
      <c r="P3" s="1252" t="s">
        <v>911</v>
      </c>
      <c r="Q3" s="1252"/>
      <c r="R3" s="1252"/>
      <c r="S3" s="1252"/>
      <c r="T3" s="1252"/>
      <c r="U3" s="1388"/>
      <c r="V3" s="1388"/>
      <c r="W3" s="1388"/>
      <c r="X3" s="1388"/>
      <c r="Y3" s="1388"/>
      <c r="Z3" s="1388"/>
      <c r="AA3" s="1388"/>
      <c r="AB3" s="1388"/>
      <c r="AC3" s="1388"/>
    </row>
    <row r="4" spans="1:29" ht="14.1" customHeight="1" thickBot="1">
      <c r="A4" s="953"/>
      <c r="B4" s="953"/>
      <c r="C4" s="953"/>
      <c r="D4" s="953"/>
      <c r="E4" s="953"/>
      <c r="F4" s="953"/>
      <c r="G4" s="953"/>
      <c r="H4" s="953"/>
      <c r="I4" s="953"/>
      <c r="J4" s="953"/>
      <c r="K4" s="953"/>
      <c r="L4" s="953"/>
      <c r="M4" s="953"/>
      <c r="N4" s="953"/>
      <c r="O4" s="953"/>
      <c r="P4" s="953"/>
      <c r="Q4" s="953"/>
      <c r="R4" s="953"/>
      <c r="S4" s="953"/>
      <c r="T4" s="953"/>
      <c r="U4" s="975"/>
      <c r="V4" s="975"/>
      <c r="W4" s="975"/>
      <c r="X4" s="975"/>
      <c r="Y4" s="975"/>
      <c r="Z4" s="975"/>
      <c r="AA4" s="975"/>
      <c r="AB4" s="975"/>
      <c r="AC4" s="975"/>
    </row>
    <row r="5" spans="1:29" ht="10.5" customHeight="1">
      <c r="A5" s="1940" t="s">
        <v>2</v>
      </c>
      <c r="B5" s="1392"/>
      <c r="C5" s="1390" t="s">
        <v>370</v>
      </c>
      <c r="D5" s="1390" t="s">
        <v>371</v>
      </c>
      <c r="E5" s="1390" t="s">
        <v>372</v>
      </c>
      <c r="F5" s="1390" t="s">
        <v>373</v>
      </c>
      <c r="G5" s="1390" t="s">
        <v>374</v>
      </c>
      <c r="H5" s="1390" t="s">
        <v>375</v>
      </c>
      <c r="I5" s="1390" t="s">
        <v>376</v>
      </c>
      <c r="J5" s="1390" t="s">
        <v>377</v>
      </c>
      <c r="K5" s="1390" t="s">
        <v>378</v>
      </c>
      <c r="L5" s="1390" t="s">
        <v>379</v>
      </c>
      <c r="M5" s="1390" t="s">
        <v>380</v>
      </c>
      <c r="N5" s="1390" t="s">
        <v>381</v>
      </c>
      <c r="O5" s="1390" t="s">
        <v>382</v>
      </c>
      <c r="P5" s="1390" t="s">
        <v>383</v>
      </c>
      <c r="Q5" s="1390" t="s">
        <v>384</v>
      </c>
      <c r="R5" s="1390" t="s">
        <v>385</v>
      </c>
      <c r="S5" s="1390" t="s">
        <v>386</v>
      </c>
      <c r="T5" s="976" t="s">
        <v>240</v>
      </c>
      <c r="U5" s="976" t="s">
        <v>241</v>
      </c>
      <c r="V5" s="976" t="s">
        <v>242</v>
      </c>
      <c r="W5" s="976" t="s">
        <v>243</v>
      </c>
      <c r="X5" s="976" t="s">
        <v>244</v>
      </c>
      <c r="Y5" s="976" t="s">
        <v>245</v>
      </c>
      <c r="Z5" s="976" t="s">
        <v>246</v>
      </c>
      <c r="AA5" s="976" t="s">
        <v>247</v>
      </c>
      <c r="AB5" s="976" t="s">
        <v>248</v>
      </c>
      <c r="AC5" s="758" t="s">
        <v>249</v>
      </c>
    </row>
    <row r="6" spans="1:29" ht="37.5" customHeight="1">
      <c r="A6" s="1393" t="s">
        <v>7</v>
      </c>
      <c r="B6" s="1394"/>
      <c r="C6" s="1391"/>
      <c r="D6" s="1391"/>
      <c r="E6" s="1391"/>
      <c r="F6" s="1391"/>
      <c r="G6" s="1391"/>
      <c r="H6" s="1391"/>
      <c r="I6" s="1391"/>
      <c r="J6" s="1391"/>
      <c r="K6" s="1391"/>
      <c r="L6" s="1391"/>
      <c r="M6" s="1391"/>
      <c r="N6" s="1391"/>
      <c r="O6" s="1391"/>
      <c r="P6" s="1391"/>
      <c r="Q6" s="1391"/>
      <c r="R6" s="1391"/>
      <c r="S6" s="1391"/>
      <c r="T6" s="759" t="s">
        <v>250</v>
      </c>
      <c r="U6" s="759" t="s">
        <v>251</v>
      </c>
      <c r="V6" s="759" t="s">
        <v>252</v>
      </c>
      <c r="W6" s="759" t="s">
        <v>253</v>
      </c>
      <c r="X6" s="759" t="s">
        <v>254</v>
      </c>
      <c r="Y6" s="759" t="s">
        <v>255</v>
      </c>
      <c r="Z6" s="759" t="s">
        <v>256</v>
      </c>
      <c r="AA6" s="759" t="s">
        <v>257</v>
      </c>
      <c r="AB6" s="759" t="s">
        <v>258</v>
      </c>
      <c r="AC6" s="760" t="s">
        <v>259</v>
      </c>
    </row>
    <row r="7" spans="1:29" s="753" customFormat="1" ht="9" customHeight="1">
      <c r="A7" s="1762" t="s">
        <v>27</v>
      </c>
      <c r="B7" s="1686" t="s">
        <v>16</v>
      </c>
      <c r="C7" s="1941">
        <v>193</v>
      </c>
      <c r="D7" s="1941">
        <v>156</v>
      </c>
      <c r="E7" s="1941">
        <v>174</v>
      </c>
      <c r="F7" s="1941">
        <v>160</v>
      </c>
      <c r="G7" s="1941">
        <v>176</v>
      </c>
      <c r="H7" s="1941">
        <v>163</v>
      </c>
      <c r="I7" s="1941">
        <v>159</v>
      </c>
      <c r="J7" s="1941">
        <v>179</v>
      </c>
      <c r="K7" s="1941">
        <v>155</v>
      </c>
      <c r="L7" s="1941">
        <v>154</v>
      </c>
      <c r="M7" s="1941">
        <v>155</v>
      </c>
      <c r="N7" s="1941">
        <v>153</v>
      </c>
      <c r="O7" s="1941">
        <v>104</v>
      </c>
      <c r="P7" s="1942">
        <v>114</v>
      </c>
      <c r="Q7" s="1941">
        <v>111</v>
      </c>
      <c r="R7" s="1941">
        <v>92</v>
      </c>
      <c r="S7" s="1941">
        <v>125</v>
      </c>
      <c r="T7" s="1941">
        <v>113</v>
      </c>
      <c r="U7" s="1941">
        <v>90</v>
      </c>
      <c r="V7" s="1941">
        <v>79</v>
      </c>
      <c r="W7" s="1941">
        <v>64</v>
      </c>
      <c r="X7" s="1941">
        <v>78</v>
      </c>
      <c r="Y7" s="1941">
        <v>49</v>
      </c>
      <c r="Z7" s="1941">
        <v>50</v>
      </c>
      <c r="AA7" s="1941">
        <v>31</v>
      </c>
      <c r="AB7" s="1941">
        <v>11</v>
      </c>
      <c r="AC7" s="1943">
        <v>2</v>
      </c>
    </row>
    <row r="8" spans="1:29" s="754" customFormat="1" ht="9" customHeight="1">
      <c r="A8" s="1674" t="s">
        <v>29</v>
      </c>
      <c r="B8" s="1691" t="s">
        <v>190</v>
      </c>
      <c r="C8" s="1944">
        <v>183</v>
      </c>
      <c r="D8" s="1944">
        <v>143</v>
      </c>
      <c r="E8" s="1944">
        <v>172</v>
      </c>
      <c r="F8" s="1944">
        <v>154</v>
      </c>
      <c r="G8" s="1944">
        <v>164</v>
      </c>
      <c r="H8" s="1944">
        <v>156</v>
      </c>
      <c r="I8" s="1944">
        <v>154</v>
      </c>
      <c r="J8" s="1944">
        <v>170</v>
      </c>
      <c r="K8" s="1944">
        <v>146</v>
      </c>
      <c r="L8" s="1944">
        <v>144</v>
      </c>
      <c r="M8" s="1944">
        <v>142</v>
      </c>
      <c r="N8" s="1944">
        <v>142</v>
      </c>
      <c r="O8" s="1944">
        <v>96</v>
      </c>
      <c r="P8" s="1945">
        <v>109</v>
      </c>
      <c r="Q8" s="1944">
        <v>99</v>
      </c>
      <c r="R8" s="1944">
        <v>87</v>
      </c>
      <c r="S8" s="1944">
        <v>112</v>
      </c>
      <c r="T8" s="1944">
        <v>103</v>
      </c>
      <c r="U8" s="1944">
        <v>85</v>
      </c>
      <c r="V8" s="1944">
        <v>77</v>
      </c>
      <c r="W8" s="1944">
        <v>59</v>
      </c>
      <c r="X8" s="1944">
        <v>75</v>
      </c>
      <c r="Y8" s="1944">
        <v>48</v>
      </c>
      <c r="Z8" s="1944">
        <v>50</v>
      </c>
      <c r="AA8" s="1944">
        <v>30</v>
      </c>
      <c r="AB8" s="1944">
        <v>11</v>
      </c>
      <c r="AC8" s="1946">
        <v>2</v>
      </c>
    </row>
    <row r="9" spans="1:29" s="754" customFormat="1" ht="9" customHeight="1">
      <c r="A9" s="1674" t="s">
        <v>31</v>
      </c>
      <c r="B9" s="1691" t="s">
        <v>191</v>
      </c>
      <c r="C9" s="1944">
        <v>10</v>
      </c>
      <c r="D9" s="1944">
        <v>13</v>
      </c>
      <c r="E9" s="1944">
        <v>2</v>
      </c>
      <c r="F9" s="1944">
        <v>6</v>
      </c>
      <c r="G9" s="1944">
        <v>12</v>
      </c>
      <c r="H9" s="1944">
        <v>7</v>
      </c>
      <c r="I9" s="1944">
        <v>5</v>
      </c>
      <c r="J9" s="1944">
        <v>9</v>
      </c>
      <c r="K9" s="1944">
        <v>9</v>
      </c>
      <c r="L9" s="1944">
        <v>10</v>
      </c>
      <c r="M9" s="1944">
        <v>13</v>
      </c>
      <c r="N9" s="1944">
        <v>11</v>
      </c>
      <c r="O9" s="1944">
        <v>8</v>
      </c>
      <c r="P9" s="1945">
        <v>5</v>
      </c>
      <c r="Q9" s="1944">
        <v>12</v>
      </c>
      <c r="R9" s="1944">
        <v>5</v>
      </c>
      <c r="S9" s="1944">
        <v>13</v>
      </c>
      <c r="T9" s="1944">
        <v>10</v>
      </c>
      <c r="U9" s="1944">
        <v>5</v>
      </c>
      <c r="V9" s="1944">
        <v>2</v>
      </c>
      <c r="W9" s="1944">
        <v>5</v>
      </c>
      <c r="X9" s="1944">
        <v>3</v>
      </c>
      <c r="Y9" s="1944">
        <v>1</v>
      </c>
      <c r="Z9" s="1944" t="s">
        <v>28</v>
      </c>
      <c r="AA9" s="1944">
        <v>1</v>
      </c>
      <c r="AB9" s="1944" t="s">
        <v>28</v>
      </c>
      <c r="AC9" s="1946" t="s">
        <v>28</v>
      </c>
    </row>
    <row r="10" spans="1:29" s="753" customFormat="1" ht="9" customHeight="1">
      <c r="A10" s="1762" t="s">
        <v>171</v>
      </c>
      <c r="B10" s="1686" t="s">
        <v>159</v>
      </c>
      <c r="C10" s="1941" t="s">
        <v>28</v>
      </c>
      <c r="D10" s="1941" t="s">
        <v>28</v>
      </c>
      <c r="E10" s="1941" t="s">
        <v>28</v>
      </c>
      <c r="F10" s="1941" t="s">
        <v>28</v>
      </c>
      <c r="G10" s="1941" t="s">
        <v>28</v>
      </c>
      <c r="H10" s="1941" t="s">
        <v>28</v>
      </c>
      <c r="I10" s="1941" t="s">
        <v>28</v>
      </c>
      <c r="J10" s="1941">
        <v>1</v>
      </c>
      <c r="K10" s="1941" t="s">
        <v>28</v>
      </c>
      <c r="L10" s="1941" t="s">
        <v>28</v>
      </c>
      <c r="M10" s="1941" t="s">
        <v>28</v>
      </c>
      <c r="N10" s="1941" t="s">
        <v>28</v>
      </c>
      <c r="O10" s="1941" t="s">
        <v>28</v>
      </c>
      <c r="P10" s="1942">
        <v>1</v>
      </c>
      <c r="Q10" s="1941">
        <v>1</v>
      </c>
      <c r="R10" s="1941">
        <v>2</v>
      </c>
      <c r="S10" s="1941">
        <v>6</v>
      </c>
      <c r="T10" s="1941">
        <v>7</v>
      </c>
      <c r="U10" s="1941">
        <v>9</v>
      </c>
      <c r="V10" s="1941">
        <v>8</v>
      </c>
      <c r="W10" s="1941">
        <v>9</v>
      </c>
      <c r="X10" s="1941">
        <v>20</v>
      </c>
      <c r="Y10" s="1941">
        <v>18</v>
      </c>
      <c r="Z10" s="1941">
        <v>27</v>
      </c>
      <c r="AA10" s="1941">
        <v>18</v>
      </c>
      <c r="AB10" s="1941">
        <v>8</v>
      </c>
      <c r="AC10" s="1943">
        <v>2</v>
      </c>
    </row>
    <row r="11" spans="1:29" s="754" customFormat="1" ht="9" customHeight="1">
      <c r="A11" s="1674" t="s">
        <v>29</v>
      </c>
      <c r="B11" s="1691" t="s">
        <v>190</v>
      </c>
      <c r="C11" s="1944" t="s">
        <v>28</v>
      </c>
      <c r="D11" s="1944" t="s">
        <v>28</v>
      </c>
      <c r="E11" s="1944" t="s">
        <v>28</v>
      </c>
      <c r="F11" s="1944" t="s">
        <v>28</v>
      </c>
      <c r="G11" s="1944" t="s">
        <v>28</v>
      </c>
      <c r="H11" s="1944" t="s">
        <v>28</v>
      </c>
      <c r="I11" s="1944" t="s">
        <v>28</v>
      </c>
      <c r="J11" s="1944" t="s">
        <v>28</v>
      </c>
      <c r="K11" s="1944" t="s">
        <v>28</v>
      </c>
      <c r="L11" s="1944" t="s">
        <v>28</v>
      </c>
      <c r="M11" s="1944" t="s">
        <v>28</v>
      </c>
      <c r="N11" s="1944" t="s">
        <v>28</v>
      </c>
      <c r="O11" s="1944" t="s">
        <v>28</v>
      </c>
      <c r="P11" s="1945">
        <v>1</v>
      </c>
      <c r="Q11" s="1944" t="s">
        <v>28</v>
      </c>
      <c r="R11" s="1944">
        <v>1</v>
      </c>
      <c r="S11" s="1944">
        <v>6</v>
      </c>
      <c r="T11" s="1944">
        <v>5</v>
      </c>
      <c r="U11" s="1944">
        <v>9</v>
      </c>
      <c r="V11" s="1944">
        <v>8</v>
      </c>
      <c r="W11" s="1944">
        <v>7</v>
      </c>
      <c r="X11" s="1944">
        <v>19</v>
      </c>
      <c r="Y11" s="1944">
        <v>17</v>
      </c>
      <c r="Z11" s="1944">
        <v>27</v>
      </c>
      <c r="AA11" s="1944">
        <v>17</v>
      </c>
      <c r="AB11" s="1944">
        <v>8</v>
      </c>
      <c r="AC11" s="1946">
        <v>2</v>
      </c>
    </row>
    <row r="12" spans="1:29" s="754" customFormat="1" ht="9" customHeight="1">
      <c r="A12" s="1674" t="s">
        <v>31</v>
      </c>
      <c r="B12" s="1691" t="s">
        <v>191</v>
      </c>
      <c r="C12" s="1944" t="s">
        <v>28</v>
      </c>
      <c r="D12" s="1944" t="s">
        <v>28</v>
      </c>
      <c r="E12" s="1944" t="s">
        <v>28</v>
      </c>
      <c r="F12" s="1944" t="s">
        <v>28</v>
      </c>
      <c r="G12" s="1944" t="s">
        <v>28</v>
      </c>
      <c r="H12" s="1944" t="s">
        <v>28</v>
      </c>
      <c r="I12" s="1944" t="s">
        <v>28</v>
      </c>
      <c r="J12" s="1944">
        <v>1</v>
      </c>
      <c r="K12" s="1944" t="s">
        <v>28</v>
      </c>
      <c r="L12" s="1944" t="s">
        <v>28</v>
      </c>
      <c r="M12" s="1944" t="s">
        <v>28</v>
      </c>
      <c r="N12" s="1944" t="s">
        <v>28</v>
      </c>
      <c r="O12" s="1944" t="s">
        <v>28</v>
      </c>
      <c r="P12" s="1945" t="s">
        <v>28</v>
      </c>
      <c r="Q12" s="1944">
        <v>1</v>
      </c>
      <c r="R12" s="1944">
        <v>1</v>
      </c>
      <c r="S12" s="1944" t="s">
        <v>28</v>
      </c>
      <c r="T12" s="1944">
        <v>2</v>
      </c>
      <c r="U12" s="1944" t="s">
        <v>28</v>
      </c>
      <c r="V12" s="1944" t="s">
        <v>28</v>
      </c>
      <c r="W12" s="1944">
        <v>2</v>
      </c>
      <c r="X12" s="1944">
        <v>1</v>
      </c>
      <c r="Y12" s="1944">
        <v>1</v>
      </c>
      <c r="Z12" s="1944" t="s">
        <v>28</v>
      </c>
      <c r="AA12" s="1944">
        <v>1</v>
      </c>
      <c r="AB12" s="1944" t="s">
        <v>28</v>
      </c>
      <c r="AC12" s="1946" t="s">
        <v>28</v>
      </c>
    </row>
    <row r="13" spans="1:29" s="753" customFormat="1" ht="9" customHeight="1">
      <c r="A13" s="1762" t="s">
        <v>172</v>
      </c>
      <c r="B13" s="1686" t="s">
        <v>160</v>
      </c>
      <c r="C13" s="1941" t="s">
        <v>28</v>
      </c>
      <c r="D13" s="1941" t="s">
        <v>28</v>
      </c>
      <c r="E13" s="1941" t="s">
        <v>28</v>
      </c>
      <c r="F13" s="1941" t="s">
        <v>28</v>
      </c>
      <c r="G13" s="1941" t="s">
        <v>28</v>
      </c>
      <c r="H13" s="1941" t="s">
        <v>28</v>
      </c>
      <c r="I13" s="1941" t="s">
        <v>28</v>
      </c>
      <c r="J13" s="1941" t="s">
        <v>28</v>
      </c>
      <c r="K13" s="1941" t="s">
        <v>28</v>
      </c>
      <c r="L13" s="1941" t="s">
        <v>28</v>
      </c>
      <c r="M13" s="1941">
        <v>4</v>
      </c>
      <c r="N13" s="1941">
        <v>5</v>
      </c>
      <c r="O13" s="1941">
        <v>8</v>
      </c>
      <c r="P13" s="1942">
        <v>12</v>
      </c>
      <c r="Q13" s="1941">
        <v>13</v>
      </c>
      <c r="R13" s="1941">
        <v>7</v>
      </c>
      <c r="S13" s="1941">
        <v>12</v>
      </c>
      <c r="T13" s="1941">
        <v>10</v>
      </c>
      <c r="U13" s="1941">
        <v>10</v>
      </c>
      <c r="V13" s="1941">
        <v>8</v>
      </c>
      <c r="W13" s="1941">
        <v>11</v>
      </c>
      <c r="X13" s="1941">
        <v>12</v>
      </c>
      <c r="Y13" s="1941">
        <v>10</v>
      </c>
      <c r="Z13" s="1941">
        <v>8</v>
      </c>
      <c r="AA13" s="1941">
        <v>3</v>
      </c>
      <c r="AB13" s="1941" t="s">
        <v>28</v>
      </c>
      <c r="AC13" s="1943" t="s">
        <v>28</v>
      </c>
    </row>
    <row r="14" spans="1:29" s="754" customFormat="1" ht="9" customHeight="1">
      <c r="A14" s="1674" t="s">
        <v>29</v>
      </c>
      <c r="B14" s="1691" t="s">
        <v>190</v>
      </c>
      <c r="C14" s="1944" t="s">
        <v>28</v>
      </c>
      <c r="D14" s="1944" t="s">
        <v>28</v>
      </c>
      <c r="E14" s="1944" t="s">
        <v>28</v>
      </c>
      <c r="F14" s="1944" t="s">
        <v>28</v>
      </c>
      <c r="G14" s="1944" t="s">
        <v>28</v>
      </c>
      <c r="H14" s="1944" t="s">
        <v>28</v>
      </c>
      <c r="I14" s="1944" t="s">
        <v>28</v>
      </c>
      <c r="J14" s="1944" t="s">
        <v>28</v>
      </c>
      <c r="K14" s="1944" t="s">
        <v>28</v>
      </c>
      <c r="L14" s="1944" t="s">
        <v>28</v>
      </c>
      <c r="M14" s="1944">
        <v>3</v>
      </c>
      <c r="N14" s="1944">
        <v>4</v>
      </c>
      <c r="O14" s="1944">
        <v>7</v>
      </c>
      <c r="P14" s="1945">
        <v>11</v>
      </c>
      <c r="Q14" s="1944">
        <v>11</v>
      </c>
      <c r="R14" s="1944">
        <v>7</v>
      </c>
      <c r="S14" s="1944">
        <v>12</v>
      </c>
      <c r="T14" s="1944">
        <v>10</v>
      </c>
      <c r="U14" s="1944">
        <v>9</v>
      </c>
      <c r="V14" s="1944">
        <v>8</v>
      </c>
      <c r="W14" s="1944">
        <v>11</v>
      </c>
      <c r="X14" s="1944">
        <v>11</v>
      </c>
      <c r="Y14" s="1944">
        <v>10</v>
      </c>
      <c r="Z14" s="1944">
        <v>8</v>
      </c>
      <c r="AA14" s="1944">
        <v>3</v>
      </c>
      <c r="AB14" s="1944" t="s">
        <v>28</v>
      </c>
      <c r="AC14" s="1946" t="s">
        <v>28</v>
      </c>
    </row>
    <row r="15" spans="1:29" s="754" customFormat="1" ht="9" customHeight="1">
      <c r="A15" s="1674" t="s">
        <v>31</v>
      </c>
      <c r="B15" s="1691" t="s">
        <v>191</v>
      </c>
      <c r="C15" s="1944" t="s">
        <v>28</v>
      </c>
      <c r="D15" s="1944" t="s">
        <v>28</v>
      </c>
      <c r="E15" s="1944" t="s">
        <v>28</v>
      </c>
      <c r="F15" s="1944" t="s">
        <v>28</v>
      </c>
      <c r="G15" s="1944" t="s">
        <v>28</v>
      </c>
      <c r="H15" s="1944" t="s">
        <v>28</v>
      </c>
      <c r="I15" s="1944" t="s">
        <v>28</v>
      </c>
      <c r="J15" s="1944" t="s">
        <v>28</v>
      </c>
      <c r="K15" s="1944" t="s">
        <v>28</v>
      </c>
      <c r="L15" s="1944" t="s">
        <v>28</v>
      </c>
      <c r="M15" s="1944">
        <v>1</v>
      </c>
      <c r="N15" s="1944">
        <v>1</v>
      </c>
      <c r="O15" s="1944">
        <v>1</v>
      </c>
      <c r="P15" s="1945">
        <v>1</v>
      </c>
      <c r="Q15" s="1944">
        <v>2</v>
      </c>
      <c r="R15" s="1944" t="s">
        <v>28</v>
      </c>
      <c r="S15" s="1944" t="s">
        <v>28</v>
      </c>
      <c r="T15" s="1944" t="s">
        <v>28</v>
      </c>
      <c r="U15" s="1944">
        <v>1</v>
      </c>
      <c r="V15" s="1944" t="s">
        <v>28</v>
      </c>
      <c r="W15" s="1944" t="s">
        <v>28</v>
      </c>
      <c r="X15" s="1944">
        <v>1</v>
      </c>
      <c r="Y15" s="1944" t="s">
        <v>28</v>
      </c>
      <c r="Z15" s="1944" t="s">
        <v>28</v>
      </c>
      <c r="AA15" s="1944" t="s">
        <v>28</v>
      </c>
      <c r="AB15" s="1944" t="s">
        <v>28</v>
      </c>
      <c r="AC15" s="1946" t="s">
        <v>28</v>
      </c>
    </row>
    <row r="16" spans="1:29" s="754" customFormat="1" ht="9" customHeight="1">
      <c r="A16" s="1762" t="s">
        <v>427</v>
      </c>
      <c r="B16" s="1686" t="s">
        <v>432</v>
      </c>
      <c r="C16" s="1941" t="s">
        <v>28</v>
      </c>
      <c r="D16" s="1941" t="s">
        <v>28</v>
      </c>
      <c r="E16" s="1941" t="s">
        <v>28</v>
      </c>
      <c r="F16" s="1941" t="s">
        <v>28</v>
      </c>
      <c r="G16" s="1941" t="s">
        <v>28</v>
      </c>
      <c r="H16" s="1941" t="s">
        <v>28</v>
      </c>
      <c r="I16" s="1941" t="s">
        <v>28</v>
      </c>
      <c r="J16" s="1941">
        <v>1</v>
      </c>
      <c r="K16" s="1941" t="s">
        <v>28</v>
      </c>
      <c r="L16" s="1941" t="s">
        <v>28</v>
      </c>
      <c r="M16" s="1941" t="s">
        <v>28</v>
      </c>
      <c r="N16" s="1941" t="s">
        <v>28</v>
      </c>
      <c r="O16" s="1941" t="s">
        <v>28</v>
      </c>
      <c r="P16" s="1942">
        <v>1</v>
      </c>
      <c r="Q16" s="1941">
        <v>1</v>
      </c>
      <c r="R16" s="1941" t="s">
        <v>28</v>
      </c>
      <c r="S16" s="1941">
        <v>1</v>
      </c>
      <c r="T16" s="1941" t="s">
        <v>28</v>
      </c>
      <c r="U16" s="1941" t="s">
        <v>28</v>
      </c>
      <c r="V16" s="1941">
        <v>1</v>
      </c>
      <c r="W16" s="1941">
        <v>1</v>
      </c>
      <c r="X16" s="1941">
        <v>1</v>
      </c>
      <c r="Y16" s="1941">
        <v>1</v>
      </c>
      <c r="Z16" s="1941" t="s">
        <v>28</v>
      </c>
      <c r="AA16" s="1941" t="s">
        <v>28</v>
      </c>
      <c r="AB16" s="1941" t="s">
        <v>28</v>
      </c>
      <c r="AC16" s="1943" t="s">
        <v>28</v>
      </c>
    </row>
    <row r="17" spans="1:29" s="754" customFormat="1" ht="9" customHeight="1">
      <c r="A17" s="761" t="s">
        <v>411</v>
      </c>
      <c r="B17" s="762" t="s">
        <v>430</v>
      </c>
      <c r="C17" s="1944" t="s">
        <v>28</v>
      </c>
      <c r="D17" s="1944" t="s">
        <v>28</v>
      </c>
      <c r="E17" s="1944" t="s">
        <v>28</v>
      </c>
      <c r="F17" s="1944" t="s">
        <v>28</v>
      </c>
      <c r="G17" s="1944" t="s">
        <v>28</v>
      </c>
      <c r="H17" s="1944" t="s">
        <v>28</v>
      </c>
      <c r="I17" s="1944" t="s">
        <v>28</v>
      </c>
      <c r="J17" s="1944">
        <v>1</v>
      </c>
      <c r="K17" s="1944" t="s">
        <v>28</v>
      </c>
      <c r="L17" s="1944" t="s">
        <v>28</v>
      </c>
      <c r="M17" s="1944" t="s">
        <v>28</v>
      </c>
      <c r="N17" s="1944" t="s">
        <v>28</v>
      </c>
      <c r="O17" s="1944" t="s">
        <v>28</v>
      </c>
      <c r="P17" s="1945">
        <v>1</v>
      </c>
      <c r="Q17" s="1944">
        <v>1</v>
      </c>
      <c r="R17" s="1944" t="s">
        <v>28</v>
      </c>
      <c r="S17" s="1944">
        <v>1</v>
      </c>
      <c r="T17" s="1944" t="s">
        <v>28</v>
      </c>
      <c r="U17" s="1944" t="s">
        <v>28</v>
      </c>
      <c r="V17" s="1944">
        <v>1</v>
      </c>
      <c r="W17" s="1944">
        <v>1</v>
      </c>
      <c r="X17" s="1944">
        <v>1</v>
      </c>
      <c r="Y17" s="1944">
        <v>1</v>
      </c>
      <c r="Z17" s="1944" t="s">
        <v>28</v>
      </c>
      <c r="AA17" s="1944" t="s">
        <v>28</v>
      </c>
      <c r="AB17" s="1944" t="s">
        <v>28</v>
      </c>
      <c r="AC17" s="1946" t="s">
        <v>28</v>
      </c>
    </row>
    <row r="18" spans="1:29" s="753" customFormat="1" ht="9" customHeight="1">
      <c r="A18" s="1762" t="s">
        <v>158</v>
      </c>
      <c r="B18" s="1686" t="s">
        <v>161</v>
      </c>
      <c r="C18" s="1941">
        <v>58</v>
      </c>
      <c r="D18" s="1941">
        <v>40</v>
      </c>
      <c r="E18" s="1941">
        <v>41</v>
      </c>
      <c r="F18" s="1941">
        <v>34</v>
      </c>
      <c r="G18" s="1941">
        <v>48</v>
      </c>
      <c r="H18" s="1941">
        <v>62</v>
      </c>
      <c r="I18" s="1941">
        <v>69</v>
      </c>
      <c r="J18" s="1941">
        <v>79</v>
      </c>
      <c r="K18" s="1941">
        <v>64</v>
      </c>
      <c r="L18" s="1941">
        <v>74</v>
      </c>
      <c r="M18" s="1941">
        <v>73</v>
      </c>
      <c r="N18" s="1941">
        <v>81</v>
      </c>
      <c r="O18" s="1941">
        <v>45</v>
      </c>
      <c r="P18" s="1942">
        <v>46</v>
      </c>
      <c r="Q18" s="1941">
        <v>53</v>
      </c>
      <c r="R18" s="1941">
        <v>44</v>
      </c>
      <c r="S18" s="1941">
        <v>49</v>
      </c>
      <c r="T18" s="1941">
        <v>47</v>
      </c>
      <c r="U18" s="1941">
        <v>34</v>
      </c>
      <c r="V18" s="1941">
        <v>24</v>
      </c>
      <c r="W18" s="1941">
        <v>20</v>
      </c>
      <c r="X18" s="1941">
        <v>22</v>
      </c>
      <c r="Y18" s="1941">
        <v>12</v>
      </c>
      <c r="Z18" s="1941">
        <v>4</v>
      </c>
      <c r="AA18" s="1941">
        <v>2</v>
      </c>
      <c r="AB18" s="1941">
        <v>1</v>
      </c>
      <c r="AC18" s="1943" t="s">
        <v>28</v>
      </c>
    </row>
    <row r="19" spans="1:29" s="754" customFormat="1" ht="9" customHeight="1">
      <c r="A19" s="1674" t="s">
        <v>29</v>
      </c>
      <c r="B19" s="1691" t="s">
        <v>190</v>
      </c>
      <c r="C19" s="1944">
        <v>53</v>
      </c>
      <c r="D19" s="1944">
        <v>39</v>
      </c>
      <c r="E19" s="1944">
        <v>41</v>
      </c>
      <c r="F19" s="1944">
        <v>32</v>
      </c>
      <c r="G19" s="1944">
        <v>44</v>
      </c>
      <c r="H19" s="1944">
        <v>56</v>
      </c>
      <c r="I19" s="1944">
        <v>67</v>
      </c>
      <c r="J19" s="1944">
        <v>73</v>
      </c>
      <c r="K19" s="1944">
        <v>60</v>
      </c>
      <c r="L19" s="1944">
        <v>68</v>
      </c>
      <c r="M19" s="1944">
        <v>68</v>
      </c>
      <c r="N19" s="1944">
        <v>73</v>
      </c>
      <c r="O19" s="1944">
        <v>41</v>
      </c>
      <c r="P19" s="1945">
        <v>43</v>
      </c>
      <c r="Q19" s="1944">
        <v>48</v>
      </c>
      <c r="R19" s="1944">
        <v>41</v>
      </c>
      <c r="S19" s="1944">
        <v>41</v>
      </c>
      <c r="T19" s="1944">
        <v>41</v>
      </c>
      <c r="U19" s="1944">
        <v>32</v>
      </c>
      <c r="V19" s="1944">
        <v>24</v>
      </c>
      <c r="W19" s="1944">
        <v>18</v>
      </c>
      <c r="X19" s="1944">
        <v>22</v>
      </c>
      <c r="Y19" s="1944">
        <v>12</v>
      </c>
      <c r="Z19" s="1944">
        <v>4</v>
      </c>
      <c r="AA19" s="1944">
        <v>2</v>
      </c>
      <c r="AB19" s="1944">
        <v>1</v>
      </c>
      <c r="AC19" s="1946" t="s">
        <v>28</v>
      </c>
    </row>
    <row r="20" spans="1:29" s="754" customFormat="1" ht="9" customHeight="1">
      <c r="A20" s="1674" t="s">
        <v>31</v>
      </c>
      <c r="B20" s="1691" t="s">
        <v>191</v>
      </c>
      <c r="C20" s="1944">
        <v>5</v>
      </c>
      <c r="D20" s="1944">
        <v>1</v>
      </c>
      <c r="E20" s="1944" t="s">
        <v>28</v>
      </c>
      <c r="F20" s="1944">
        <v>2</v>
      </c>
      <c r="G20" s="1944">
        <v>4</v>
      </c>
      <c r="H20" s="1944">
        <v>6</v>
      </c>
      <c r="I20" s="1944">
        <v>2</v>
      </c>
      <c r="J20" s="1944">
        <v>6</v>
      </c>
      <c r="K20" s="1944">
        <v>4</v>
      </c>
      <c r="L20" s="1944">
        <v>6</v>
      </c>
      <c r="M20" s="1944">
        <v>5</v>
      </c>
      <c r="N20" s="1944">
        <v>8</v>
      </c>
      <c r="O20" s="1944">
        <v>4</v>
      </c>
      <c r="P20" s="1945">
        <v>3</v>
      </c>
      <c r="Q20" s="1944">
        <v>5</v>
      </c>
      <c r="R20" s="1944">
        <v>3</v>
      </c>
      <c r="S20" s="1944">
        <v>8</v>
      </c>
      <c r="T20" s="1944">
        <v>6</v>
      </c>
      <c r="U20" s="1944">
        <v>2</v>
      </c>
      <c r="V20" s="1944" t="s">
        <v>28</v>
      </c>
      <c r="W20" s="1944">
        <v>2</v>
      </c>
      <c r="X20" s="1944" t="s">
        <v>28</v>
      </c>
      <c r="Y20" s="1944" t="s">
        <v>28</v>
      </c>
      <c r="Z20" s="1944" t="s">
        <v>28</v>
      </c>
      <c r="AA20" s="1944" t="s">
        <v>28</v>
      </c>
      <c r="AB20" s="1944" t="s">
        <v>28</v>
      </c>
      <c r="AC20" s="1946" t="s">
        <v>28</v>
      </c>
    </row>
    <row r="21" spans="1:29" s="753" customFormat="1" ht="9" customHeight="1">
      <c r="A21" s="1762" t="s">
        <v>173</v>
      </c>
      <c r="B21" s="1686" t="s">
        <v>18</v>
      </c>
      <c r="C21" s="1941">
        <v>64</v>
      </c>
      <c r="D21" s="1941">
        <v>43</v>
      </c>
      <c r="E21" s="1941">
        <v>72</v>
      </c>
      <c r="F21" s="1941">
        <v>69</v>
      </c>
      <c r="G21" s="1941">
        <v>77</v>
      </c>
      <c r="H21" s="1941">
        <v>63</v>
      </c>
      <c r="I21" s="1941">
        <v>49</v>
      </c>
      <c r="J21" s="1941">
        <v>68</v>
      </c>
      <c r="K21" s="1941">
        <v>66</v>
      </c>
      <c r="L21" s="1941">
        <v>62</v>
      </c>
      <c r="M21" s="1941">
        <v>60</v>
      </c>
      <c r="N21" s="1941">
        <v>54</v>
      </c>
      <c r="O21" s="1941">
        <v>44</v>
      </c>
      <c r="P21" s="1942">
        <v>37</v>
      </c>
      <c r="Q21" s="1941">
        <v>36</v>
      </c>
      <c r="R21" s="1941">
        <v>37</v>
      </c>
      <c r="S21" s="1941">
        <v>52</v>
      </c>
      <c r="T21" s="1941">
        <v>41</v>
      </c>
      <c r="U21" s="1941">
        <v>36</v>
      </c>
      <c r="V21" s="1941">
        <v>36</v>
      </c>
      <c r="W21" s="1941">
        <v>21</v>
      </c>
      <c r="X21" s="1941">
        <v>22</v>
      </c>
      <c r="Y21" s="1941">
        <v>8</v>
      </c>
      <c r="Z21" s="1941">
        <v>9</v>
      </c>
      <c r="AA21" s="1941">
        <v>7</v>
      </c>
      <c r="AB21" s="1941">
        <v>2</v>
      </c>
      <c r="AC21" s="1943" t="s">
        <v>28</v>
      </c>
    </row>
    <row r="22" spans="1:29" s="754" customFormat="1" ht="9" customHeight="1">
      <c r="A22" s="1674" t="s">
        <v>29</v>
      </c>
      <c r="B22" s="1691" t="s">
        <v>190</v>
      </c>
      <c r="C22" s="1944">
        <v>59</v>
      </c>
      <c r="D22" s="1944">
        <v>40</v>
      </c>
      <c r="E22" s="1944">
        <v>71</v>
      </c>
      <c r="F22" s="1944">
        <v>66</v>
      </c>
      <c r="G22" s="1944">
        <v>73</v>
      </c>
      <c r="H22" s="1944">
        <v>62</v>
      </c>
      <c r="I22" s="1944">
        <v>48</v>
      </c>
      <c r="J22" s="1944">
        <v>67</v>
      </c>
      <c r="K22" s="1944">
        <v>63</v>
      </c>
      <c r="L22" s="1944">
        <v>61</v>
      </c>
      <c r="M22" s="1944">
        <v>54</v>
      </c>
      <c r="N22" s="1944">
        <v>52</v>
      </c>
      <c r="O22" s="1944">
        <v>42</v>
      </c>
      <c r="P22" s="1945">
        <v>36</v>
      </c>
      <c r="Q22" s="1944">
        <v>32</v>
      </c>
      <c r="R22" s="1944">
        <v>36</v>
      </c>
      <c r="S22" s="1944">
        <v>47</v>
      </c>
      <c r="T22" s="1944">
        <v>40</v>
      </c>
      <c r="U22" s="1944">
        <v>34</v>
      </c>
      <c r="V22" s="1944">
        <v>34</v>
      </c>
      <c r="W22" s="1944">
        <v>20</v>
      </c>
      <c r="X22" s="1944">
        <v>21</v>
      </c>
      <c r="Y22" s="1944">
        <v>8</v>
      </c>
      <c r="Z22" s="1944">
        <v>9</v>
      </c>
      <c r="AA22" s="1944">
        <v>7</v>
      </c>
      <c r="AB22" s="1944">
        <v>2</v>
      </c>
      <c r="AC22" s="1946" t="s">
        <v>28</v>
      </c>
    </row>
    <row r="23" spans="1:29" s="754" customFormat="1" ht="9" customHeight="1">
      <c r="A23" s="1674" t="s">
        <v>31</v>
      </c>
      <c r="B23" s="1691" t="s">
        <v>191</v>
      </c>
      <c r="C23" s="1944">
        <v>5</v>
      </c>
      <c r="D23" s="1944">
        <v>3</v>
      </c>
      <c r="E23" s="1944">
        <v>1</v>
      </c>
      <c r="F23" s="1944">
        <v>3</v>
      </c>
      <c r="G23" s="1944">
        <v>4</v>
      </c>
      <c r="H23" s="1944">
        <v>1</v>
      </c>
      <c r="I23" s="1944">
        <v>1</v>
      </c>
      <c r="J23" s="1944">
        <v>1</v>
      </c>
      <c r="K23" s="1944">
        <v>3</v>
      </c>
      <c r="L23" s="1944">
        <v>1</v>
      </c>
      <c r="M23" s="1944">
        <v>6</v>
      </c>
      <c r="N23" s="1944">
        <v>2</v>
      </c>
      <c r="O23" s="1944">
        <v>2</v>
      </c>
      <c r="P23" s="1945">
        <v>1</v>
      </c>
      <c r="Q23" s="1944">
        <v>4</v>
      </c>
      <c r="R23" s="1944">
        <v>1</v>
      </c>
      <c r="S23" s="1944">
        <v>5</v>
      </c>
      <c r="T23" s="1944">
        <v>1</v>
      </c>
      <c r="U23" s="1944">
        <v>2</v>
      </c>
      <c r="V23" s="1944">
        <v>2</v>
      </c>
      <c r="W23" s="1944">
        <v>1</v>
      </c>
      <c r="X23" s="1944">
        <v>1</v>
      </c>
      <c r="Y23" s="1944" t="s">
        <v>28</v>
      </c>
      <c r="Z23" s="1944" t="s">
        <v>28</v>
      </c>
      <c r="AA23" s="1944" t="s">
        <v>28</v>
      </c>
      <c r="AB23" s="1944" t="s">
        <v>28</v>
      </c>
      <c r="AC23" s="1946" t="s">
        <v>28</v>
      </c>
    </row>
    <row r="24" spans="1:29" s="754" customFormat="1" ht="9" customHeight="1">
      <c r="A24" s="1762" t="s">
        <v>557</v>
      </c>
      <c r="B24" s="1686" t="s">
        <v>552</v>
      </c>
      <c r="C24" s="1941">
        <v>4</v>
      </c>
      <c r="D24" s="1941">
        <v>5</v>
      </c>
      <c r="E24" s="1941">
        <v>4</v>
      </c>
      <c r="F24" s="1941">
        <v>7</v>
      </c>
      <c r="G24" s="1941">
        <v>6</v>
      </c>
      <c r="H24" s="1941">
        <v>4</v>
      </c>
      <c r="I24" s="1941">
        <v>3</v>
      </c>
      <c r="J24" s="1941">
        <v>4</v>
      </c>
      <c r="K24" s="1941">
        <v>5</v>
      </c>
      <c r="L24" s="1941">
        <v>2</v>
      </c>
      <c r="M24" s="1941">
        <v>3</v>
      </c>
      <c r="N24" s="1941">
        <v>2</v>
      </c>
      <c r="O24" s="1941">
        <v>1</v>
      </c>
      <c r="P24" s="1942">
        <v>4</v>
      </c>
      <c r="Q24" s="1941">
        <v>1</v>
      </c>
      <c r="R24" s="1941" t="s">
        <v>28</v>
      </c>
      <c r="S24" s="1941">
        <v>2</v>
      </c>
      <c r="T24" s="1941">
        <v>1</v>
      </c>
      <c r="U24" s="1941" t="s">
        <v>28</v>
      </c>
      <c r="V24" s="1941" t="s">
        <v>28</v>
      </c>
      <c r="W24" s="1941">
        <v>1</v>
      </c>
      <c r="X24" s="1941">
        <v>1</v>
      </c>
      <c r="Y24" s="1941" t="s">
        <v>28</v>
      </c>
      <c r="Z24" s="1941">
        <v>1</v>
      </c>
      <c r="AA24" s="1941">
        <v>1</v>
      </c>
      <c r="AB24" s="1941" t="s">
        <v>28</v>
      </c>
      <c r="AC24" s="1943" t="s">
        <v>28</v>
      </c>
    </row>
    <row r="25" spans="1:29" s="754" customFormat="1" ht="9" customHeight="1">
      <c r="A25" s="1674" t="s">
        <v>29</v>
      </c>
      <c r="B25" s="1691" t="s">
        <v>190</v>
      </c>
      <c r="C25" s="1944">
        <v>4</v>
      </c>
      <c r="D25" s="1944">
        <v>5</v>
      </c>
      <c r="E25" s="1944">
        <v>4</v>
      </c>
      <c r="F25" s="1944">
        <v>6</v>
      </c>
      <c r="G25" s="1944">
        <v>6</v>
      </c>
      <c r="H25" s="1944">
        <v>4</v>
      </c>
      <c r="I25" s="1944">
        <v>3</v>
      </c>
      <c r="J25" s="1944">
        <v>4</v>
      </c>
      <c r="K25" s="1944">
        <v>5</v>
      </c>
      <c r="L25" s="1944">
        <v>2</v>
      </c>
      <c r="M25" s="1944">
        <v>3</v>
      </c>
      <c r="N25" s="1944">
        <v>2</v>
      </c>
      <c r="O25" s="1944">
        <v>1</v>
      </c>
      <c r="P25" s="1945">
        <v>4</v>
      </c>
      <c r="Q25" s="1944">
        <v>1</v>
      </c>
      <c r="R25" s="1944" t="s">
        <v>28</v>
      </c>
      <c r="S25" s="1944">
        <v>2</v>
      </c>
      <c r="T25" s="1944">
        <v>1</v>
      </c>
      <c r="U25" s="1944" t="s">
        <v>28</v>
      </c>
      <c r="V25" s="1944" t="s">
        <v>28</v>
      </c>
      <c r="W25" s="1944">
        <v>1</v>
      </c>
      <c r="X25" s="1944">
        <v>1</v>
      </c>
      <c r="Y25" s="1944" t="s">
        <v>28</v>
      </c>
      <c r="Z25" s="1944">
        <v>1</v>
      </c>
      <c r="AA25" s="1944">
        <v>1</v>
      </c>
      <c r="AB25" s="1944" t="s">
        <v>28</v>
      </c>
      <c r="AC25" s="1946" t="s">
        <v>28</v>
      </c>
    </row>
    <row r="26" spans="1:29" s="754" customFormat="1" ht="9" customHeight="1">
      <c r="A26" s="1674" t="s">
        <v>31</v>
      </c>
      <c r="B26" s="1691" t="s">
        <v>191</v>
      </c>
      <c r="C26" s="1944" t="s">
        <v>28</v>
      </c>
      <c r="D26" s="1944" t="s">
        <v>28</v>
      </c>
      <c r="E26" s="1944" t="s">
        <v>28</v>
      </c>
      <c r="F26" s="1944">
        <v>1</v>
      </c>
      <c r="G26" s="1944" t="s">
        <v>28</v>
      </c>
      <c r="H26" s="1944" t="s">
        <v>28</v>
      </c>
      <c r="I26" s="1944" t="s">
        <v>28</v>
      </c>
      <c r="J26" s="1944" t="s">
        <v>28</v>
      </c>
      <c r="K26" s="1944" t="s">
        <v>28</v>
      </c>
      <c r="L26" s="1944" t="s">
        <v>28</v>
      </c>
      <c r="M26" s="1944" t="s">
        <v>28</v>
      </c>
      <c r="N26" s="1944" t="s">
        <v>28</v>
      </c>
      <c r="O26" s="1944" t="s">
        <v>28</v>
      </c>
      <c r="P26" s="1945" t="s">
        <v>28</v>
      </c>
      <c r="Q26" s="1944" t="s">
        <v>28</v>
      </c>
      <c r="R26" s="1944" t="s">
        <v>28</v>
      </c>
      <c r="S26" s="1944" t="s">
        <v>28</v>
      </c>
      <c r="T26" s="1944" t="s">
        <v>28</v>
      </c>
      <c r="U26" s="1944" t="s">
        <v>28</v>
      </c>
      <c r="V26" s="1944" t="s">
        <v>28</v>
      </c>
      <c r="W26" s="1944" t="s">
        <v>28</v>
      </c>
      <c r="X26" s="1944" t="s">
        <v>28</v>
      </c>
      <c r="Y26" s="1944" t="s">
        <v>28</v>
      </c>
      <c r="Z26" s="1944" t="s">
        <v>28</v>
      </c>
      <c r="AA26" s="1944" t="s">
        <v>28</v>
      </c>
      <c r="AB26" s="1944" t="s">
        <v>28</v>
      </c>
      <c r="AC26" s="1946" t="s">
        <v>28</v>
      </c>
    </row>
    <row r="27" spans="1:29" s="753" customFormat="1" ht="9" customHeight="1">
      <c r="A27" s="1762" t="s">
        <v>166</v>
      </c>
      <c r="B27" s="1686" t="s">
        <v>553</v>
      </c>
      <c r="C27" s="1941">
        <v>3</v>
      </c>
      <c r="D27" s="1941">
        <v>3</v>
      </c>
      <c r="E27" s="1941">
        <v>4</v>
      </c>
      <c r="F27" s="1941">
        <v>1</v>
      </c>
      <c r="G27" s="1941">
        <v>1</v>
      </c>
      <c r="H27" s="1941">
        <v>1</v>
      </c>
      <c r="I27" s="1941" t="s">
        <v>28</v>
      </c>
      <c r="J27" s="1941">
        <v>2</v>
      </c>
      <c r="K27" s="1941">
        <v>3</v>
      </c>
      <c r="L27" s="1941" t="s">
        <v>28</v>
      </c>
      <c r="M27" s="1941">
        <v>1</v>
      </c>
      <c r="N27" s="1941">
        <v>1</v>
      </c>
      <c r="O27" s="1941" t="s">
        <v>28</v>
      </c>
      <c r="P27" s="1942">
        <v>1</v>
      </c>
      <c r="Q27" s="1941" t="s">
        <v>28</v>
      </c>
      <c r="R27" s="1941" t="s">
        <v>28</v>
      </c>
      <c r="S27" s="1941" t="s">
        <v>28</v>
      </c>
      <c r="T27" s="1941" t="s">
        <v>28</v>
      </c>
      <c r="U27" s="1941" t="s">
        <v>28</v>
      </c>
      <c r="V27" s="1941" t="s">
        <v>28</v>
      </c>
      <c r="W27" s="1941" t="s">
        <v>28</v>
      </c>
      <c r="X27" s="1941" t="s">
        <v>28</v>
      </c>
      <c r="Y27" s="1941" t="s">
        <v>28</v>
      </c>
      <c r="Z27" s="1941" t="s">
        <v>28</v>
      </c>
      <c r="AA27" s="1941" t="s">
        <v>28</v>
      </c>
      <c r="AB27" s="1941" t="s">
        <v>28</v>
      </c>
      <c r="AC27" s="1943" t="s">
        <v>28</v>
      </c>
    </row>
    <row r="28" spans="1:29" s="754" customFormat="1" ht="9" customHeight="1">
      <c r="A28" s="1674" t="s">
        <v>29</v>
      </c>
      <c r="B28" s="1691" t="s">
        <v>190</v>
      </c>
      <c r="C28" s="1944">
        <v>3</v>
      </c>
      <c r="D28" s="1944">
        <v>2</v>
      </c>
      <c r="E28" s="1944">
        <v>4</v>
      </c>
      <c r="F28" s="1944">
        <v>1</v>
      </c>
      <c r="G28" s="1944">
        <v>1</v>
      </c>
      <c r="H28" s="1944">
        <v>1</v>
      </c>
      <c r="I28" s="1944" t="s">
        <v>28</v>
      </c>
      <c r="J28" s="1944">
        <v>2</v>
      </c>
      <c r="K28" s="1944">
        <v>2</v>
      </c>
      <c r="L28" s="1944" t="s">
        <v>28</v>
      </c>
      <c r="M28" s="1944">
        <v>1</v>
      </c>
      <c r="N28" s="1944">
        <v>1</v>
      </c>
      <c r="O28" s="1944" t="s">
        <v>28</v>
      </c>
      <c r="P28" s="1945">
        <v>1</v>
      </c>
      <c r="Q28" s="1944" t="s">
        <v>28</v>
      </c>
      <c r="R28" s="1944" t="s">
        <v>28</v>
      </c>
      <c r="S28" s="1944" t="s">
        <v>28</v>
      </c>
      <c r="T28" s="1944" t="s">
        <v>28</v>
      </c>
      <c r="U28" s="1944" t="s">
        <v>28</v>
      </c>
      <c r="V28" s="1944" t="s">
        <v>28</v>
      </c>
      <c r="W28" s="1944" t="s">
        <v>28</v>
      </c>
      <c r="X28" s="1944" t="s">
        <v>28</v>
      </c>
      <c r="Y28" s="1944" t="s">
        <v>28</v>
      </c>
      <c r="Z28" s="1944" t="s">
        <v>28</v>
      </c>
      <c r="AA28" s="1944" t="s">
        <v>28</v>
      </c>
      <c r="AB28" s="1944" t="s">
        <v>28</v>
      </c>
      <c r="AC28" s="1946" t="s">
        <v>28</v>
      </c>
    </row>
    <row r="29" spans="1:29" s="754" customFormat="1" ht="9" customHeight="1">
      <c r="A29" s="1674" t="s">
        <v>31</v>
      </c>
      <c r="B29" s="1691" t="s">
        <v>191</v>
      </c>
      <c r="C29" s="1944" t="s">
        <v>28</v>
      </c>
      <c r="D29" s="1944">
        <v>1</v>
      </c>
      <c r="E29" s="1944" t="s">
        <v>28</v>
      </c>
      <c r="F29" s="1944" t="s">
        <v>28</v>
      </c>
      <c r="G29" s="1944" t="s">
        <v>28</v>
      </c>
      <c r="H29" s="1944" t="s">
        <v>28</v>
      </c>
      <c r="I29" s="1944" t="s">
        <v>28</v>
      </c>
      <c r="J29" s="1944" t="s">
        <v>28</v>
      </c>
      <c r="K29" s="1944">
        <v>1</v>
      </c>
      <c r="L29" s="1944" t="s">
        <v>28</v>
      </c>
      <c r="M29" s="1944" t="s">
        <v>28</v>
      </c>
      <c r="N29" s="1944" t="s">
        <v>28</v>
      </c>
      <c r="O29" s="1944" t="s">
        <v>28</v>
      </c>
      <c r="P29" s="1945" t="s">
        <v>28</v>
      </c>
      <c r="Q29" s="1944" t="s">
        <v>28</v>
      </c>
      <c r="R29" s="1944" t="s">
        <v>28</v>
      </c>
      <c r="S29" s="1944" t="s">
        <v>28</v>
      </c>
      <c r="T29" s="1944" t="s">
        <v>28</v>
      </c>
      <c r="U29" s="1944" t="s">
        <v>28</v>
      </c>
      <c r="V29" s="1944" t="s">
        <v>28</v>
      </c>
      <c r="W29" s="1944" t="s">
        <v>28</v>
      </c>
      <c r="X29" s="1944" t="s">
        <v>28</v>
      </c>
      <c r="Y29" s="1944" t="s">
        <v>28</v>
      </c>
      <c r="Z29" s="1944" t="s">
        <v>28</v>
      </c>
      <c r="AA29" s="1944" t="s">
        <v>28</v>
      </c>
      <c r="AB29" s="1944" t="s">
        <v>28</v>
      </c>
      <c r="AC29" s="1946" t="s">
        <v>28</v>
      </c>
    </row>
    <row r="30" spans="1:29" s="753" customFormat="1" ht="9" customHeight="1">
      <c r="A30" s="1762" t="s">
        <v>167</v>
      </c>
      <c r="B30" s="1686" t="s">
        <v>164</v>
      </c>
      <c r="C30" s="1941">
        <v>1</v>
      </c>
      <c r="D30" s="1941" t="s">
        <v>28</v>
      </c>
      <c r="E30" s="1941">
        <v>1</v>
      </c>
      <c r="F30" s="1941">
        <v>4</v>
      </c>
      <c r="G30" s="1941" t="s">
        <v>28</v>
      </c>
      <c r="H30" s="1941" t="s">
        <v>28</v>
      </c>
      <c r="I30" s="1941">
        <v>4</v>
      </c>
      <c r="J30" s="1941" t="s">
        <v>28</v>
      </c>
      <c r="K30" s="1941">
        <v>1</v>
      </c>
      <c r="L30" s="1941">
        <v>1</v>
      </c>
      <c r="M30" s="1941">
        <v>1</v>
      </c>
      <c r="N30" s="1941" t="s">
        <v>28</v>
      </c>
      <c r="O30" s="1941" t="s">
        <v>28</v>
      </c>
      <c r="P30" s="1942" t="s">
        <v>28</v>
      </c>
      <c r="Q30" s="1941" t="s">
        <v>28</v>
      </c>
      <c r="R30" s="1941" t="s">
        <v>28</v>
      </c>
      <c r="S30" s="1941">
        <v>1</v>
      </c>
      <c r="T30" s="1941" t="s">
        <v>28</v>
      </c>
      <c r="U30" s="1941" t="s">
        <v>28</v>
      </c>
      <c r="V30" s="1941" t="s">
        <v>28</v>
      </c>
      <c r="W30" s="1941" t="s">
        <v>28</v>
      </c>
      <c r="X30" s="1941" t="s">
        <v>28</v>
      </c>
      <c r="Y30" s="1941" t="s">
        <v>28</v>
      </c>
      <c r="Z30" s="1941" t="s">
        <v>28</v>
      </c>
      <c r="AA30" s="1941" t="s">
        <v>28</v>
      </c>
      <c r="AB30" s="1941" t="s">
        <v>28</v>
      </c>
      <c r="AC30" s="1943" t="s">
        <v>28</v>
      </c>
    </row>
    <row r="31" spans="1:29" s="754" customFormat="1" ht="9" customHeight="1">
      <c r="A31" s="1674" t="s">
        <v>29</v>
      </c>
      <c r="B31" s="1691" t="s">
        <v>190</v>
      </c>
      <c r="C31" s="1944">
        <v>1</v>
      </c>
      <c r="D31" s="1944" t="s">
        <v>28</v>
      </c>
      <c r="E31" s="1944">
        <v>1</v>
      </c>
      <c r="F31" s="1944">
        <v>4</v>
      </c>
      <c r="G31" s="1944" t="s">
        <v>28</v>
      </c>
      <c r="H31" s="1944" t="s">
        <v>28</v>
      </c>
      <c r="I31" s="1944">
        <v>4</v>
      </c>
      <c r="J31" s="1944" t="s">
        <v>28</v>
      </c>
      <c r="K31" s="1944">
        <v>1</v>
      </c>
      <c r="L31" s="1944">
        <v>1</v>
      </c>
      <c r="M31" s="1944">
        <v>1</v>
      </c>
      <c r="N31" s="1944" t="s">
        <v>28</v>
      </c>
      <c r="O31" s="1944" t="s">
        <v>28</v>
      </c>
      <c r="P31" s="1945" t="s">
        <v>28</v>
      </c>
      <c r="Q31" s="1944" t="s">
        <v>28</v>
      </c>
      <c r="R31" s="1944" t="s">
        <v>28</v>
      </c>
      <c r="S31" s="1944">
        <v>1</v>
      </c>
      <c r="T31" s="1944" t="s">
        <v>28</v>
      </c>
      <c r="U31" s="1944" t="s">
        <v>28</v>
      </c>
      <c r="V31" s="1944" t="s">
        <v>28</v>
      </c>
      <c r="W31" s="1944" t="s">
        <v>28</v>
      </c>
      <c r="X31" s="1944" t="s">
        <v>28</v>
      </c>
      <c r="Y31" s="1944" t="s">
        <v>28</v>
      </c>
      <c r="Z31" s="1944" t="s">
        <v>28</v>
      </c>
      <c r="AA31" s="1944" t="s">
        <v>28</v>
      </c>
      <c r="AB31" s="1944" t="s">
        <v>28</v>
      </c>
      <c r="AC31" s="1946" t="s">
        <v>28</v>
      </c>
    </row>
    <row r="32" spans="1:29" s="753" customFormat="1" ht="9" customHeight="1">
      <c r="A32" s="1762" t="s">
        <v>168</v>
      </c>
      <c r="B32" s="1686" t="s">
        <v>555</v>
      </c>
      <c r="C32" s="1941">
        <v>3</v>
      </c>
      <c r="D32" s="1941">
        <v>2</v>
      </c>
      <c r="E32" s="1941">
        <v>7</v>
      </c>
      <c r="F32" s="1941">
        <v>9</v>
      </c>
      <c r="G32" s="1941" t="s">
        <v>28</v>
      </c>
      <c r="H32" s="1941">
        <v>5</v>
      </c>
      <c r="I32" s="1941">
        <v>4</v>
      </c>
      <c r="J32" s="1941">
        <v>6</v>
      </c>
      <c r="K32" s="1941">
        <v>1</v>
      </c>
      <c r="L32" s="1941">
        <v>3</v>
      </c>
      <c r="M32" s="1941">
        <v>1</v>
      </c>
      <c r="N32" s="1941">
        <v>3</v>
      </c>
      <c r="O32" s="1941">
        <v>3</v>
      </c>
      <c r="P32" s="1942">
        <v>5</v>
      </c>
      <c r="Q32" s="1941">
        <v>3</v>
      </c>
      <c r="R32" s="1941">
        <v>1</v>
      </c>
      <c r="S32" s="1941">
        <v>1</v>
      </c>
      <c r="T32" s="1941">
        <v>4</v>
      </c>
      <c r="U32" s="1941">
        <v>1</v>
      </c>
      <c r="V32" s="1941">
        <v>1</v>
      </c>
      <c r="W32" s="1941">
        <v>1</v>
      </c>
      <c r="X32" s="1941" t="s">
        <v>28</v>
      </c>
      <c r="Y32" s="1941" t="s">
        <v>28</v>
      </c>
      <c r="Z32" s="1941" t="s">
        <v>28</v>
      </c>
      <c r="AA32" s="1941" t="s">
        <v>28</v>
      </c>
      <c r="AB32" s="1941" t="s">
        <v>28</v>
      </c>
      <c r="AC32" s="1943" t="s">
        <v>28</v>
      </c>
    </row>
    <row r="33" spans="1:29" s="754" customFormat="1" ht="9" customHeight="1">
      <c r="A33" s="1674" t="s">
        <v>29</v>
      </c>
      <c r="B33" s="1691" t="s">
        <v>190</v>
      </c>
      <c r="C33" s="1944">
        <v>3</v>
      </c>
      <c r="D33" s="1944">
        <v>2</v>
      </c>
      <c r="E33" s="1944">
        <v>7</v>
      </c>
      <c r="F33" s="1944">
        <v>9</v>
      </c>
      <c r="G33" s="1944" t="s">
        <v>28</v>
      </c>
      <c r="H33" s="1944">
        <v>5</v>
      </c>
      <c r="I33" s="1944">
        <v>4</v>
      </c>
      <c r="J33" s="1944">
        <v>6</v>
      </c>
      <c r="K33" s="1944">
        <v>1</v>
      </c>
      <c r="L33" s="1944">
        <v>2</v>
      </c>
      <c r="M33" s="1944">
        <v>1</v>
      </c>
      <c r="N33" s="1944">
        <v>3</v>
      </c>
      <c r="O33" s="1944">
        <v>2</v>
      </c>
      <c r="P33" s="1945">
        <v>5</v>
      </c>
      <c r="Q33" s="1944">
        <v>3</v>
      </c>
      <c r="R33" s="1944">
        <v>1</v>
      </c>
      <c r="S33" s="1944">
        <v>1</v>
      </c>
      <c r="T33" s="1944">
        <v>4</v>
      </c>
      <c r="U33" s="1944">
        <v>1</v>
      </c>
      <c r="V33" s="1944">
        <v>1</v>
      </c>
      <c r="W33" s="1944">
        <v>1</v>
      </c>
      <c r="X33" s="1944" t="s">
        <v>28</v>
      </c>
      <c r="Y33" s="1944" t="s">
        <v>28</v>
      </c>
      <c r="Z33" s="1944" t="s">
        <v>28</v>
      </c>
      <c r="AA33" s="1944" t="s">
        <v>28</v>
      </c>
      <c r="AB33" s="1944" t="s">
        <v>28</v>
      </c>
      <c r="AC33" s="1946" t="s">
        <v>28</v>
      </c>
    </row>
    <row r="34" spans="1:29" s="754" customFormat="1" ht="9" customHeight="1">
      <c r="A34" s="1674" t="s">
        <v>31</v>
      </c>
      <c r="B34" s="1691" t="s">
        <v>191</v>
      </c>
      <c r="C34" s="1944" t="s">
        <v>28</v>
      </c>
      <c r="D34" s="1944" t="s">
        <v>28</v>
      </c>
      <c r="E34" s="1944" t="s">
        <v>28</v>
      </c>
      <c r="F34" s="1944" t="s">
        <v>28</v>
      </c>
      <c r="G34" s="1944" t="s">
        <v>28</v>
      </c>
      <c r="H34" s="1944" t="s">
        <v>28</v>
      </c>
      <c r="I34" s="1944" t="s">
        <v>28</v>
      </c>
      <c r="J34" s="1944" t="s">
        <v>28</v>
      </c>
      <c r="K34" s="1944" t="s">
        <v>28</v>
      </c>
      <c r="L34" s="1944">
        <v>1</v>
      </c>
      <c r="M34" s="1944" t="s">
        <v>28</v>
      </c>
      <c r="N34" s="1944" t="s">
        <v>28</v>
      </c>
      <c r="O34" s="1944">
        <v>1</v>
      </c>
      <c r="P34" s="1945" t="s">
        <v>28</v>
      </c>
      <c r="Q34" s="1944" t="s">
        <v>28</v>
      </c>
      <c r="R34" s="1944" t="s">
        <v>28</v>
      </c>
      <c r="S34" s="1944" t="s">
        <v>28</v>
      </c>
      <c r="T34" s="1944" t="s">
        <v>28</v>
      </c>
      <c r="U34" s="1944" t="s">
        <v>28</v>
      </c>
      <c r="V34" s="1944" t="s">
        <v>28</v>
      </c>
      <c r="W34" s="1944" t="s">
        <v>28</v>
      </c>
      <c r="X34" s="1944" t="s">
        <v>28</v>
      </c>
      <c r="Y34" s="1944" t="s">
        <v>28</v>
      </c>
      <c r="Z34" s="1944" t="s">
        <v>28</v>
      </c>
      <c r="AA34" s="1944" t="s">
        <v>28</v>
      </c>
      <c r="AB34" s="1944" t="s">
        <v>28</v>
      </c>
      <c r="AC34" s="1946" t="s">
        <v>28</v>
      </c>
    </row>
    <row r="35" spans="1:29" s="753" customFormat="1" ht="9" customHeight="1">
      <c r="A35" s="1762" t="s">
        <v>169</v>
      </c>
      <c r="B35" s="1686" t="s">
        <v>556</v>
      </c>
      <c r="C35" s="1941" t="s">
        <v>28</v>
      </c>
      <c r="D35" s="1941" t="s">
        <v>28</v>
      </c>
      <c r="E35" s="1941" t="s">
        <v>28</v>
      </c>
      <c r="F35" s="1941" t="s">
        <v>28</v>
      </c>
      <c r="G35" s="1941">
        <v>1</v>
      </c>
      <c r="H35" s="1941" t="s">
        <v>28</v>
      </c>
      <c r="I35" s="1941" t="s">
        <v>28</v>
      </c>
      <c r="J35" s="1941" t="s">
        <v>28</v>
      </c>
      <c r="K35" s="1941">
        <v>1</v>
      </c>
      <c r="L35" s="1941" t="s">
        <v>28</v>
      </c>
      <c r="M35" s="1941">
        <v>4</v>
      </c>
      <c r="N35" s="1941">
        <v>2</v>
      </c>
      <c r="O35" s="1941" t="s">
        <v>28</v>
      </c>
      <c r="P35" s="1942">
        <v>4</v>
      </c>
      <c r="Q35" s="1941">
        <v>1</v>
      </c>
      <c r="R35" s="1941">
        <v>1</v>
      </c>
      <c r="S35" s="1941" t="s">
        <v>28</v>
      </c>
      <c r="T35" s="1941">
        <v>2</v>
      </c>
      <c r="U35" s="1941" t="s">
        <v>28</v>
      </c>
      <c r="V35" s="1941" t="s">
        <v>28</v>
      </c>
      <c r="W35" s="1941" t="s">
        <v>28</v>
      </c>
      <c r="X35" s="1941" t="s">
        <v>28</v>
      </c>
      <c r="Y35" s="1941" t="s">
        <v>28</v>
      </c>
      <c r="Z35" s="1941" t="s">
        <v>28</v>
      </c>
      <c r="AA35" s="1941" t="s">
        <v>28</v>
      </c>
      <c r="AB35" s="1941" t="s">
        <v>28</v>
      </c>
      <c r="AC35" s="1943" t="s">
        <v>28</v>
      </c>
    </row>
    <row r="36" spans="1:29" s="754" customFormat="1" ht="9" customHeight="1">
      <c r="A36" s="1674" t="s">
        <v>29</v>
      </c>
      <c r="B36" s="1691" t="s">
        <v>190</v>
      </c>
      <c r="C36" s="1944" t="s">
        <v>28</v>
      </c>
      <c r="D36" s="1944" t="s">
        <v>28</v>
      </c>
      <c r="E36" s="1944" t="s">
        <v>28</v>
      </c>
      <c r="F36" s="1944" t="s">
        <v>28</v>
      </c>
      <c r="G36" s="1944">
        <v>1</v>
      </c>
      <c r="H36" s="1944" t="s">
        <v>28</v>
      </c>
      <c r="I36" s="1944" t="s">
        <v>28</v>
      </c>
      <c r="J36" s="1944" t="s">
        <v>28</v>
      </c>
      <c r="K36" s="1944">
        <v>1</v>
      </c>
      <c r="L36" s="1944" t="s">
        <v>28</v>
      </c>
      <c r="M36" s="1944">
        <v>4</v>
      </c>
      <c r="N36" s="1944">
        <v>2</v>
      </c>
      <c r="O36" s="1944" t="s">
        <v>28</v>
      </c>
      <c r="P36" s="1945">
        <v>4</v>
      </c>
      <c r="Q36" s="1944">
        <v>1</v>
      </c>
      <c r="R36" s="1944">
        <v>1</v>
      </c>
      <c r="S36" s="1944" t="s">
        <v>28</v>
      </c>
      <c r="T36" s="1944">
        <v>2</v>
      </c>
      <c r="U36" s="1944" t="s">
        <v>28</v>
      </c>
      <c r="V36" s="1944" t="s">
        <v>28</v>
      </c>
      <c r="W36" s="1944" t="s">
        <v>28</v>
      </c>
      <c r="X36" s="1944" t="s">
        <v>28</v>
      </c>
      <c r="Y36" s="1944" t="s">
        <v>28</v>
      </c>
      <c r="Z36" s="1944" t="s">
        <v>28</v>
      </c>
      <c r="AA36" s="1944" t="s">
        <v>28</v>
      </c>
      <c r="AB36" s="1944" t="s">
        <v>28</v>
      </c>
      <c r="AC36" s="1946" t="s">
        <v>28</v>
      </c>
    </row>
    <row r="37" spans="1:29" s="753" customFormat="1" ht="9" customHeight="1">
      <c r="A37" s="1762" t="s">
        <v>174</v>
      </c>
      <c r="B37" s="1686" t="s">
        <v>165</v>
      </c>
      <c r="C37" s="1941">
        <v>60</v>
      </c>
      <c r="D37" s="1941">
        <v>63</v>
      </c>
      <c r="E37" s="1941">
        <v>45</v>
      </c>
      <c r="F37" s="1941">
        <v>36</v>
      </c>
      <c r="G37" s="1941">
        <v>43</v>
      </c>
      <c r="H37" s="1941">
        <v>28</v>
      </c>
      <c r="I37" s="1941">
        <v>30</v>
      </c>
      <c r="J37" s="1941">
        <v>18</v>
      </c>
      <c r="K37" s="1941">
        <v>14</v>
      </c>
      <c r="L37" s="1941">
        <v>12</v>
      </c>
      <c r="M37" s="1941">
        <v>8</v>
      </c>
      <c r="N37" s="1941">
        <v>5</v>
      </c>
      <c r="O37" s="1941">
        <v>3</v>
      </c>
      <c r="P37" s="1942">
        <v>3</v>
      </c>
      <c r="Q37" s="1941">
        <v>2</v>
      </c>
      <c r="R37" s="1941" t="s">
        <v>28</v>
      </c>
      <c r="S37" s="1941">
        <v>1</v>
      </c>
      <c r="T37" s="1941">
        <v>1</v>
      </c>
      <c r="U37" s="1941" t="s">
        <v>28</v>
      </c>
      <c r="V37" s="1941">
        <v>1</v>
      </c>
      <c r="W37" s="1941" t="s">
        <v>28</v>
      </c>
      <c r="X37" s="1941" t="s">
        <v>28</v>
      </c>
      <c r="Y37" s="1941" t="s">
        <v>28</v>
      </c>
      <c r="Z37" s="1941">
        <v>1</v>
      </c>
      <c r="AA37" s="1941" t="s">
        <v>28</v>
      </c>
      <c r="AB37" s="1941" t="s">
        <v>28</v>
      </c>
      <c r="AC37" s="1943" t="s">
        <v>28</v>
      </c>
    </row>
    <row r="38" spans="1:29" s="754" customFormat="1" ht="9" customHeight="1">
      <c r="A38" s="1674" t="s">
        <v>29</v>
      </c>
      <c r="B38" s="1691" t="s">
        <v>190</v>
      </c>
      <c r="C38" s="1944">
        <v>60</v>
      </c>
      <c r="D38" s="1944">
        <v>55</v>
      </c>
      <c r="E38" s="1944">
        <v>44</v>
      </c>
      <c r="F38" s="1944">
        <v>36</v>
      </c>
      <c r="G38" s="1944">
        <v>39</v>
      </c>
      <c r="H38" s="1944">
        <v>28</v>
      </c>
      <c r="I38" s="1944">
        <v>28</v>
      </c>
      <c r="J38" s="1944">
        <v>17</v>
      </c>
      <c r="K38" s="1944">
        <v>13</v>
      </c>
      <c r="L38" s="1944">
        <v>10</v>
      </c>
      <c r="M38" s="1944">
        <v>7</v>
      </c>
      <c r="N38" s="1944">
        <v>5</v>
      </c>
      <c r="O38" s="1944">
        <v>3</v>
      </c>
      <c r="P38" s="1945">
        <v>3</v>
      </c>
      <c r="Q38" s="1944">
        <v>2</v>
      </c>
      <c r="R38" s="1944" t="s">
        <v>28</v>
      </c>
      <c r="S38" s="1944">
        <v>1</v>
      </c>
      <c r="T38" s="1944" t="s">
        <v>28</v>
      </c>
      <c r="U38" s="1944" t="s">
        <v>28</v>
      </c>
      <c r="V38" s="1944">
        <v>1</v>
      </c>
      <c r="W38" s="1944" t="s">
        <v>28</v>
      </c>
      <c r="X38" s="1944" t="s">
        <v>28</v>
      </c>
      <c r="Y38" s="1944" t="s">
        <v>28</v>
      </c>
      <c r="Z38" s="1944">
        <v>1</v>
      </c>
      <c r="AA38" s="1944" t="s">
        <v>28</v>
      </c>
      <c r="AB38" s="1944" t="s">
        <v>28</v>
      </c>
      <c r="AC38" s="1946" t="s">
        <v>28</v>
      </c>
    </row>
    <row r="39" spans="1:29" s="755" customFormat="1" ht="9" customHeight="1" thickBot="1">
      <c r="A39" s="1674" t="s">
        <v>31</v>
      </c>
      <c r="B39" s="1691" t="s">
        <v>191</v>
      </c>
      <c r="C39" s="1944" t="s">
        <v>28</v>
      </c>
      <c r="D39" s="1944">
        <v>8</v>
      </c>
      <c r="E39" s="1944">
        <v>1</v>
      </c>
      <c r="F39" s="1944" t="s">
        <v>28</v>
      </c>
      <c r="G39" s="1944">
        <v>4</v>
      </c>
      <c r="H39" s="1944" t="s">
        <v>28</v>
      </c>
      <c r="I39" s="1944">
        <v>2</v>
      </c>
      <c r="J39" s="1944">
        <v>1</v>
      </c>
      <c r="K39" s="1944">
        <v>1</v>
      </c>
      <c r="L39" s="1944">
        <v>2</v>
      </c>
      <c r="M39" s="1944">
        <v>1</v>
      </c>
      <c r="N39" s="1944" t="s">
        <v>28</v>
      </c>
      <c r="O39" s="1944" t="s">
        <v>28</v>
      </c>
      <c r="P39" s="1945" t="s">
        <v>28</v>
      </c>
      <c r="Q39" s="1944" t="s">
        <v>28</v>
      </c>
      <c r="R39" s="1944" t="s">
        <v>28</v>
      </c>
      <c r="S39" s="1944" t="s">
        <v>28</v>
      </c>
      <c r="T39" s="1944">
        <v>1</v>
      </c>
      <c r="U39" s="1944" t="s">
        <v>28</v>
      </c>
      <c r="V39" s="1944" t="s">
        <v>28</v>
      </c>
      <c r="W39" s="1944" t="s">
        <v>28</v>
      </c>
      <c r="X39" s="1944" t="s">
        <v>28</v>
      </c>
      <c r="Y39" s="1944" t="s">
        <v>28</v>
      </c>
      <c r="Z39" s="1944" t="s">
        <v>28</v>
      </c>
      <c r="AA39" s="1944" t="s">
        <v>28</v>
      </c>
      <c r="AB39" s="1944" t="s">
        <v>28</v>
      </c>
      <c r="AC39" s="1946" t="s">
        <v>28</v>
      </c>
    </row>
    <row r="40" spans="1:29" s="756" customFormat="1" ht="8.25" customHeight="1" thickBot="1">
      <c r="A40" s="1947" t="s">
        <v>33</v>
      </c>
      <c r="B40" s="1947"/>
      <c r="C40" s="1947"/>
      <c r="D40" s="1947"/>
      <c r="E40" s="1947"/>
      <c r="F40" s="1947"/>
      <c r="G40" s="1947"/>
      <c r="H40" s="1947"/>
      <c r="I40" s="1947"/>
      <c r="J40" s="1947"/>
      <c r="K40" s="1947"/>
      <c r="L40" s="1947"/>
      <c r="M40" s="1947"/>
      <c r="N40" s="1947"/>
      <c r="O40" s="1947"/>
      <c r="P40" s="1947" t="s">
        <v>34</v>
      </c>
      <c r="Q40" s="1947"/>
      <c r="R40" s="1947"/>
      <c r="S40" s="1947"/>
      <c r="T40" s="1947"/>
      <c r="U40" s="1947"/>
      <c r="V40" s="1947"/>
      <c r="W40" s="1947"/>
      <c r="X40" s="1947"/>
      <c r="Y40" s="1947"/>
      <c r="Z40" s="1947"/>
      <c r="AA40" s="1947"/>
      <c r="AB40" s="1947"/>
      <c r="AC40" s="1947"/>
    </row>
    <row r="41" spans="1:29" s="753" customFormat="1" ht="9" customHeight="1">
      <c r="A41" s="1762" t="s">
        <v>35</v>
      </c>
      <c r="B41" s="1686" t="s">
        <v>36</v>
      </c>
      <c r="C41" s="1941">
        <v>39</v>
      </c>
      <c r="D41" s="1941">
        <v>27</v>
      </c>
      <c r="E41" s="1941">
        <v>20</v>
      </c>
      <c r="F41" s="1941">
        <v>25</v>
      </c>
      <c r="G41" s="1941">
        <v>22</v>
      </c>
      <c r="H41" s="1941">
        <v>27</v>
      </c>
      <c r="I41" s="1941">
        <v>25</v>
      </c>
      <c r="J41" s="1941">
        <v>29</v>
      </c>
      <c r="K41" s="1941">
        <v>26</v>
      </c>
      <c r="L41" s="1941">
        <v>27</v>
      </c>
      <c r="M41" s="1941">
        <v>34</v>
      </c>
      <c r="N41" s="1941">
        <v>25</v>
      </c>
      <c r="O41" s="1948">
        <v>14</v>
      </c>
      <c r="P41" s="1949">
        <v>12</v>
      </c>
      <c r="Q41" s="1941">
        <v>18</v>
      </c>
      <c r="R41" s="1941">
        <v>16</v>
      </c>
      <c r="S41" s="1941">
        <v>22</v>
      </c>
      <c r="T41" s="1941">
        <v>14</v>
      </c>
      <c r="U41" s="1941">
        <v>17</v>
      </c>
      <c r="V41" s="1941">
        <v>12</v>
      </c>
      <c r="W41" s="1941">
        <v>10</v>
      </c>
      <c r="X41" s="1941">
        <v>16</v>
      </c>
      <c r="Y41" s="1941">
        <v>7</v>
      </c>
      <c r="Z41" s="1941">
        <v>4</v>
      </c>
      <c r="AA41" s="1941">
        <v>4</v>
      </c>
      <c r="AB41" s="1941" t="s">
        <v>28</v>
      </c>
      <c r="AC41" s="1943" t="s">
        <v>28</v>
      </c>
    </row>
    <row r="42" spans="1:29" s="754" customFormat="1" ht="9" customHeight="1">
      <c r="A42" s="1674" t="s">
        <v>29</v>
      </c>
      <c r="B42" s="1691" t="s">
        <v>190</v>
      </c>
      <c r="C42" s="1944">
        <v>32</v>
      </c>
      <c r="D42" s="1944">
        <v>18</v>
      </c>
      <c r="E42" s="1944">
        <v>20</v>
      </c>
      <c r="F42" s="1944">
        <v>20</v>
      </c>
      <c r="G42" s="1944">
        <v>17</v>
      </c>
      <c r="H42" s="1944">
        <v>22</v>
      </c>
      <c r="I42" s="1944">
        <v>21</v>
      </c>
      <c r="J42" s="1944">
        <v>21</v>
      </c>
      <c r="K42" s="1944">
        <v>20</v>
      </c>
      <c r="L42" s="1944">
        <v>21</v>
      </c>
      <c r="M42" s="1944">
        <v>24</v>
      </c>
      <c r="N42" s="1944">
        <v>16</v>
      </c>
      <c r="O42" s="1950">
        <v>10</v>
      </c>
      <c r="P42" s="1951">
        <v>8</v>
      </c>
      <c r="Q42" s="1944">
        <v>9</v>
      </c>
      <c r="R42" s="1944">
        <v>12</v>
      </c>
      <c r="S42" s="1944">
        <v>15</v>
      </c>
      <c r="T42" s="1944">
        <v>9</v>
      </c>
      <c r="U42" s="1944">
        <v>13</v>
      </c>
      <c r="V42" s="1944">
        <v>11</v>
      </c>
      <c r="W42" s="1944">
        <v>6</v>
      </c>
      <c r="X42" s="1944">
        <v>14</v>
      </c>
      <c r="Y42" s="1944">
        <v>6</v>
      </c>
      <c r="Z42" s="1944">
        <v>4</v>
      </c>
      <c r="AA42" s="1944">
        <v>3</v>
      </c>
      <c r="AB42" s="1944" t="s">
        <v>28</v>
      </c>
      <c r="AC42" s="1946" t="s">
        <v>28</v>
      </c>
    </row>
    <row r="43" spans="1:29" s="754" customFormat="1" ht="9" customHeight="1">
      <c r="A43" s="1674" t="s">
        <v>31</v>
      </c>
      <c r="B43" s="1691" t="s">
        <v>191</v>
      </c>
      <c r="C43" s="1944">
        <v>7</v>
      </c>
      <c r="D43" s="1944">
        <v>9</v>
      </c>
      <c r="E43" s="1944" t="s">
        <v>28</v>
      </c>
      <c r="F43" s="1944">
        <v>5</v>
      </c>
      <c r="G43" s="1944">
        <v>5</v>
      </c>
      <c r="H43" s="1944">
        <v>5</v>
      </c>
      <c r="I43" s="1944">
        <v>4</v>
      </c>
      <c r="J43" s="1944">
        <v>8</v>
      </c>
      <c r="K43" s="1944">
        <v>6</v>
      </c>
      <c r="L43" s="1944">
        <v>6</v>
      </c>
      <c r="M43" s="1944">
        <v>10</v>
      </c>
      <c r="N43" s="1944">
        <v>9</v>
      </c>
      <c r="O43" s="1950">
        <v>4</v>
      </c>
      <c r="P43" s="1951">
        <v>4</v>
      </c>
      <c r="Q43" s="1944">
        <v>9</v>
      </c>
      <c r="R43" s="1944">
        <v>4</v>
      </c>
      <c r="S43" s="1944">
        <v>7</v>
      </c>
      <c r="T43" s="1944">
        <v>5</v>
      </c>
      <c r="U43" s="1944">
        <v>4</v>
      </c>
      <c r="V43" s="1944">
        <v>1</v>
      </c>
      <c r="W43" s="1944">
        <v>4</v>
      </c>
      <c r="X43" s="1944">
        <v>2</v>
      </c>
      <c r="Y43" s="1944">
        <v>1</v>
      </c>
      <c r="Z43" s="1944" t="s">
        <v>28</v>
      </c>
      <c r="AA43" s="1944">
        <v>1</v>
      </c>
      <c r="AB43" s="1944" t="s">
        <v>28</v>
      </c>
      <c r="AC43" s="1946" t="s">
        <v>28</v>
      </c>
    </row>
    <row r="44" spans="1:29" s="753" customFormat="1" ht="9" customHeight="1">
      <c r="A44" s="1762" t="s">
        <v>37</v>
      </c>
      <c r="B44" s="1686" t="s">
        <v>38</v>
      </c>
      <c r="C44" s="1941">
        <v>43</v>
      </c>
      <c r="D44" s="1941">
        <v>28</v>
      </c>
      <c r="E44" s="1941">
        <v>44</v>
      </c>
      <c r="F44" s="1941">
        <v>46</v>
      </c>
      <c r="G44" s="1941">
        <v>52</v>
      </c>
      <c r="H44" s="1941">
        <v>49</v>
      </c>
      <c r="I44" s="1941">
        <v>36</v>
      </c>
      <c r="J44" s="1941">
        <v>52</v>
      </c>
      <c r="K44" s="1941">
        <v>33</v>
      </c>
      <c r="L44" s="1941">
        <v>39</v>
      </c>
      <c r="M44" s="1941">
        <v>33</v>
      </c>
      <c r="N44" s="1941">
        <v>48</v>
      </c>
      <c r="O44" s="1948">
        <v>37</v>
      </c>
      <c r="P44" s="1949">
        <v>50</v>
      </c>
      <c r="Q44" s="1941">
        <v>38</v>
      </c>
      <c r="R44" s="1941">
        <v>30</v>
      </c>
      <c r="S44" s="1941">
        <v>37</v>
      </c>
      <c r="T44" s="1941">
        <v>42</v>
      </c>
      <c r="U44" s="1941">
        <v>32</v>
      </c>
      <c r="V44" s="1941">
        <v>28</v>
      </c>
      <c r="W44" s="1941">
        <v>21</v>
      </c>
      <c r="X44" s="1941">
        <v>24</v>
      </c>
      <c r="Y44" s="1941">
        <v>16</v>
      </c>
      <c r="Z44" s="1941">
        <v>19</v>
      </c>
      <c r="AA44" s="1941">
        <v>12</v>
      </c>
      <c r="AB44" s="1941">
        <v>3</v>
      </c>
      <c r="AC44" s="1943" t="s">
        <v>28</v>
      </c>
    </row>
    <row r="45" spans="1:29" s="754" customFormat="1" ht="9" customHeight="1">
      <c r="A45" s="1674" t="s">
        <v>29</v>
      </c>
      <c r="B45" s="1691" t="s">
        <v>190</v>
      </c>
      <c r="C45" s="1944">
        <v>43</v>
      </c>
      <c r="D45" s="1944">
        <v>28</v>
      </c>
      <c r="E45" s="1944">
        <v>44</v>
      </c>
      <c r="F45" s="1944">
        <v>46</v>
      </c>
      <c r="G45" s="1944">
        <v>52</v>
      </c>
      <c r="H45" s="1944">
        <v>49</v>
      </c>
      <c r="I45" s="1944">
        <v>36</v>
      </c>
      <c r="J45" s="1944">
        <v>52</v>
      </c>
      <c r="K45" s="1944">
        <v>33</v>
      </c>
      <c r="L45" s="1944">
        <v>39</v>
      </c>
      <c r="M45" s="1944">
        <v>33</v>
      </c>
      <c r="N45" s="1944">
        <v>48</v>
      </c>
      <c r="O45" s="1950">
        <v>37</v>
      </c>
      <c r="P45" s="1951">
        <v>50</v>
      </c>
      <c r="Q45" s="1944">
        <v>38</v>
      </c>
      <c r="R45" s="1944">
        <v>30</v>
      </c>
      <c r="S45" s="1944">
        <v>37</v>
      </c>
      <c r="T45" s="1944">
        <v>42</v>
      </c>
      <c r="U45" s="1944">
        <v>32</v>
      </c>
      <c r="V45" s="1944">
        <v>28</v>
      </c>
      <c r="W45" s="1944">
        <v>21</v>
      </c>
      <c r="X45" s="1944">
        <v>24</v>
      </c>
      <c r="Y45" s="1944">
        <v>16</v>
      </c>
      <c r="Z45" s="1944">
        <v>19</v>
      </c>
      <c r="AA45" s="1944">
        <v>12</v>
      </c>
      <c r="AB45" s="1944">
        <v>3</v>
      </c>
      <c r="AC45" s="1946" t="s">
        <v>28</v>
      </c>
    </row>
    <row r="46" spans="1:29" s="753" customFormat="1" ht="9" customHeight="1">
      <c r="A46" s="1762" t="s">
        <v>39</v>
      </c>
      <c r="B46" s="1686" t="s">
        <v>40</v>
      </c>
      <c r="C46" s="1941">
        <v>68</v>
      </c>
      <c r="D46" s="1941">
        <v>64</v>
      </c>
      <c r="E46" s="1941">
        <v>74</v>
      </c>
      <c r="F46" s="1941">
        <v>58</v>
      </c>
      <c r="G46" s="1941">
        <v>51</v>
      </c>
      <c r="H46" s="1941">
        <v>55</v>
      </c>
      <c r="I46" s="1941">
        <v>59</v>
      </c>
      <c r="J46" s="1941">
        <v>59</v>
      </c>
      <c r="K46" s="1941">
        <v>61</v>
      </c>
      <c r="L46" s="1941">
        <v>50</v>
      </c>
      <c r="M46" s="1941">
        <v>46</v>
      </c>
      <c r="N46" s="1941">
        <v>55</v>
      </c>
      <c r="O46" s="1948">
        <v>33</v>
      </c>
      <c r="P46" s="1949">
        <v>38</v>
      </c>
      <c r="Q46" s="1941">
        <v>33</v>
      </c>
      <c r="R46" s="1941">
        <v>30</v>
      </c>
      <c r="S46" s="1941">
        <v>43</v>
      </c>
      <c r="T46" s="1941">
        <v>45</v>
      </c>
      <c r="U46" s="1941">
        <v>20</v>
      </c>
      <c r="V46" s="1941">
        <v>23</v>
      </c>
      <c r="W46" s="1941">
        <v>19</v>
      </c>
      <c r="X46" s="1941">
        <v>25</v>
      </c>
      <c r="Y46" s="1941">
        <v>17</v>
      </c>
      <c r="Z46" s="1941">
        <v>15</v>
      </c>
      <c r="AA46" s="1941">
        <v>9</v>
      </c>
      <c r="AB46" s="1941">
        <v>5</v>
      </c>
      <c r="AC46" s="1943">
        <v>1</v>
      </c>
    </row>
    <row r="47" spans="1:29" s="754" customFormat="1" ht="9" customHeight="1">
      <c r="A47" s="1674" t="s">
        <v>29</v>
      </c>
      <c r="B47" s="1691" t="s">
        <v>190</v>
      </c>
      <c r="C47" s="1944">
        <v>65</v>
      </c>
      <c r="D47" s="1944">
        <v>61</v>
      </c>
      <c r="E47" s="1944">
        <v>72</v>
      </c>
      <c r="F47" s="1944">
        <v>57</v>
      </c>
      <c r="G47" s="1944">
        <v>46</v>
      </c>
      <c r="H47" s="1944">
        <v>54</v>
      </c>
      <c r="I47" s="1944">
        <v>58</v>
      </c>
      <c r="J47" s="1944">
        <v>58</v>
      </c>
      <c r="K47" s="1944">
        <v>60</v>
      </c>
      <c r="L47" s="1944">
        <v>46</v>
      </c>
      <c r="M47" s="1944">
        <v>46</v>
      </c>
      <c r="N47" s="1944">
        <v>55</v>
      </c>
      <c r="O47" s="1950">
        <v>30</v>
      </c>
      <c r="P47" s="1951">
        <v>37</v>
      </c>
      <c r="Q47" s="1944">
        <v>30</v>
      </c>
      <c r="R47" s="1944">
        <v>29</v>
      </c>
      <c r="S47" s="1944">
        <v>38</v>
      </c>
      <c r="T47" s="1944">
        <v>43</v>
      </c>
      <c r="U47" s="1944">
        <v>20</v>
      </c>
      <c r="V47" s="1944">
        <v>23</v>
      </c>
      <c r="W47" s="1944">
        <v>19</v>
      </c>
      <c r="X47" s="1944">
        <v>24</v>
      </c>
      <c r="Y47" s="1944">
        <v>17</v>
      </c>
      <c r="Z47" s="1944">
        <v>15</v>
      </c>
      <c r="AA47" s="1944">
        <v>9</v>
      </c>
      <c r="AB47" s="1944">
        <v>5</v>
      </c>
      <c r="AC47" s="1946">
        <v>1</v>
      </c>
    </row>
    <row r="48" spans="1:29" s="754" customFormat="1" ht="9" customHeight="1">
      <c r="A48" s="1674" t="s">
        <v>31</v>
      </c>
      <c r="B48" s="1691" t="s">
        <v>191</v>
      </c>
      <c r="C48" s="1944">
        <v>3</v>
      </c>
      <c r="D48" s="1944">
        <v>3</v>
      </c>
      <c r="E48" s="1944">
        <v>2</v>
      </c>
      <c r="F48" s="1944">
        <v>1</v>
      </c>
      <c r="G48" s="1944">
        <v>5</v>
      </c>
      <c r="H48" s="1944">
        <v>1</v>
      </c>
      <c r="I48" s="1944">
        <v>1</v>
      </c>
      <c r="J48" s="1944">
        <v>1</v>
      </c>
      <c r="K48" s="1944">
        <v>1</v>
      </c>
      <c r="L48" s="1944">
        <v>4</v>
      </c>
      <c r="M48" s="1944" t="s">
        <v>28</v>
      </c>
      <c r="N48" s="1944" t="s">
        <v>28</v>
      </c>
      <c r="O48" s="1950">
        <v>3</v>
      </c>
      <c r="P48" s="1951">
        <v>1</v>
      </c>
      <c r="Q48" s="1944">
        <v>3</v>
      </c>
      <c r="R48" s="1944">
        <v>1</v>
      </c>
      <c r="S48" s="1944">
        <v>5</v>
      </c>
      <c r="T48" s="1944">
        <v>2</v>
      </c>
      <c r="U48" s="1944" t="s">
        <v>28</v>
      </c>
      <c r="V48" s="1944" t="s">
        <v>28</v>
      </c>
      <c r="W48" s="1944" t="s">
        <v>28</v>
      </c>
      <c r="X48" s="1944">
        <v>1</v>
      </c>
      <c r="Y48" s="1944" t="s">
        <v>28</v>
      </c>
      <c r="Z48" s="1944" t="s">
        <v>28</v>
      </c>
      <c r="AA48" s="1944" t="s">
        <v>28</v>
      </c>
      <c r="AB48" s="1944" t="s">
        <v>28</v>
      </c>
      <c r="AC48" s="1946" t="s">
        <v>28</v>
      </c>
    </row>
    <row r="49" spans="1:29" s="753" customFormat="1" ht="9" customHeight="1">
      <c r="A49" s="1762" t="s">
        <v>41</v>
      </c>
      <c r="B49" s="1686" t="s">
        <v>42</v>
      </c>
      <c r="C49" s="1941">
        <v>41</v>
      </c>
      <c r="D49" s="1941">
        <v>35</v>
      </c>
      <c r="E49" s="1941">
        <v>34</v>
      </c>
      <c r="F49" s="1941">
        <v>28</v>
      </c>
      <c r="G49" s="1941">
        <v>47</v>
      </c>
      <c r="H49" s="1941">
        <v>27</v>
      </c>
      <c r="I49" s="1941">
        <v>36</v>
      </c>
      <c r="J49" s="1941">
        <v>33</v>
      </c>
      <c r="K49" s="1941">
        <v>27</v>
      </c>
      <c r="L49" s="1941">
        <v>32</v>
      </c>
      <c r="M49" s="1941">
        <v>30</v>
      </c>
      <c r="N49" s="1941">
        <v>20</v>
      </c>
      <c r="O49" s="1948">
        <v>18</v>
      </c>
      <c r="P49" s="1949">
        <v>11</v>
      </c>
      <c r="Q49" s="1941">
        <v>19</v>
      </c>
      <c r="R49" s="1941">
        <v>14</v>
      </c>
      <c r="S49" s="1941">
        <v>21</v>
      </c>
      <c r="T49" s="1941">
        <v>8</v>
      </c>
      <c r="U49" s="1941">
        <v>16</v>
      </c>
      <c r="V49" s="1941">
        <v>14</v>
      </c>
      <c r="W49" s="1941">
        <v>9</v>
      </c>
      <c r="X49" s="1941">
        <v>11</v>
      </c>
      <c r="Y49" s="1941">
        <v>6</v>
      </c>
      <c r="Z49" s="1941">
        <v>10</v>
      </c>
      <c r="AA49" s="1941">
        <v>5</v>
      </c>
      <c r="AB49" s="1941">
        <v>3</v>
      </c>
      <c r="AC49" s="1943">
        <v>1</v>
      </c>
    </row>
    <row r="50" spans="1:29" s="754" customFormat="1" ht="9" customHeight="1">
      <c r="A50" s="1674" t="s">
        <v>29</v>
      </c>
      <c r="B50" s="1691" t="s">
        <v>190</v>
      </c>
      <c r="C50" s="1944">
        <v>41</v>
      </c>
      <c r="D50" s="1944">
        <v>35</v>
      </c>
      <c r="E50" s="1944">
        <v>34</v>
      </c>
      <c r="F50" s="1944">
        <v>28</v>
      </c>
      <c r="G50" s="1944">
        <v>47</v>
      </c>
      <c r="H50" s="1944">
        <v>27</v>
      </c>
      <c r="I50" s="1944">
        <v>36</v>
      </c>
      <c r="J50" s="1944">
        <v>33</v>
      </c>
      <c r="K50" s="1944">
        <v>27</v>
      </c>
      <c r="L50" s="1944">
        <v>32</v>
      </c>
      <c r="M50" s="1944">
        <v>30</v>
      </c>
      <c r="N50" s="1944">
        <v>20</v>
      </c>
      <c r="O50" s="1950">
        <v>18</v>
      </c>
      <c r="P50" s="1951">
        <v>11</v>
      </c>
      <c r="Q50" s="1944">
        <v>19</v>
      </c>
      <c r="R50" s="1944">
        <v>14</v>
      </c>
      <c r="S50" s="1944">
        <v>21</v>
      </c>
      <c r="T50" s="1944">
        <v>8</v>
      </c>
      <c r="U50" s="1944">
        <v>16</v>
      </c>
      <c r="V50" s="1944">
        <v>14</v>
      </c>
      <c r="W50" s="1944">
        <v>9</v>
      </c>
      <c r="X50" s="1944">
        <v>11</v>
      </c>
      <c r="Y50" s="1944">
        <v>6</v>
      </c>
      <c r="Z50" s="1944">
        <v>10</v>
      </c>
      <c r="AA50" s="1944">
        <v>5</v>
      </c>
      <c r="AB50" s="1944">
        <v>3</v>
      </c>
      <c r="AC50" s="1946">
        <v>1</v>
      </c>
    </row>
    <row r="51" spans="1:29" s="753" customFormat="1" ht="9" customHeight="1">
      <c r="A51" s="1762" t="s">
        <v>43</v>
      </c>
      <c r="B51" s="1686" t="s">
        <v>44</v>
      </c>
      <c r="C51" s="1941">
        <v>2</v>
      </c>
      <c r="D51" s="1941">
        <v>2</v>
      </c>
      <c r="E51" s="1941">
        <v>2</v>
      </c>
      <c r="F51" s="1941">
        <v>3</v>
      </c>
      <c r="G51" s="1941">
        <v>4</v>
      </c>
      <c r="H51" s="1941">
        <v>5</v>
      </c>
      <c r="I51" s="1941">
        <v>3</v>
      </c>
      <c r="J51" s="1941">
        <v>6</v>
      </c>
      <c r="K51" s="1941">
        <v>8</v>
      </c>
      <c r="L51" s="1941">
        <v>6</v>
      </c>
      <c r="M51" s="1941">
        <v>12</v>
      </c>
      <c r="N51" s="1941">
        <v>5</v>
      </c>
      <c r="O51" s="1948">
        <v>2</v>
      </c>
      <c r="P51" s="1949">
        <v>3</v>
      </c>
      <c r="Q51" s="1941">
        <v>3</v>
      </c>
      <c r="R51" s="1941">
        <v>2</v>
      </c>
      <c r="S51" s="1941">
        <v>2</v>
      </c>
      <c r="T51" s="1941">
        <v>4</v>
      </c>
      <c r="U51" s="1941">
        <v>5</v>
      </c>
      <c r="V51" s="1941">
        <v>2</v>
      </c>
      <c r="W51" s="1941">
        <v>5</v>
      </c>
      <c r="X51" s="1941">
        <v>2</v>
      </c>
      <c r="Y51" s="1941">
        <v>3</v>
      </c>
      <c r="Z51" s="1941">
        <v>2</v>
      </c>
      <c r="AA51" s="1941">
        <v>1</v>
      </c>
      <c r="AB51" s="1941" t="s">
        <v>28</v>
      </c>
      <c r="AC51" s="1943" t="s">
        <v>28</v>
      </c>
    </row>
    <row r="52" spans="1:29" s="754" customFormat="1" ht="9" customHeight="1">
      <c r="A52" s="1674" t="s">
        <v>29</v>
      </c>
      <c r="B52" s="1691" t="s">
        <v>190</v>
      </c>
      <c r="C52" s="1944">
        <v>2</v>
      </c>
      <c r="D52" s="1944">
        <v>1</v>
      </c>
      <c r="E52" s="1944">
        <v>2</v>
      </c>
      <c r="F52" s="1944">
        <v>3</v>
      </c>
      <c r="G52" s="1944">
        <v>2</v>
      </c>
      <c r="H52" s="1944">
        <v>4</v>
      </c>
      <c r="I52" s="1944">
        <v>3</v>
      </c>
      <c r="J52" s="1944">
        <v>6</v>
      </c>
      <c r="K52" s="1944">
        <v>6</v>
      </c>
      <c r="L52" s="1944">
        <v>6</v>
      </c>
      <c r="M52" s="1944">
        <v>9</v>
      </c>
      <c r="N52" s="1944">
        <v>3</v>
      </c>
      <c r="O52" s="1950">
        <v>1</v>
      </c>
      <c r="P52" s="1951">
        <v>3</v>
      </c>
      <c r="Q52" s="1944">
        <v>3</v>
      </c>
      <c r="R52" s="1944">
        <v>2</v>
      </c>
      <c r="S52" s="1944">
        <v>1</v>
      </c>
      <c r="T52" s="1944">
        <v>1</v>
      </c>
      <c r="U52" s="1944">
        <v>4</v>
      </c>
      <c r="V52" s="1944">
        <v>1</v>
      </c>
      <c r="W52" s="1944">
        <v>4</v>
      </c>
      <c r="X52" s="1944">
        <v>2</v>
      </c>
      <c r="Y52" s="1944">
        <v>3</v>
      </c>
      <c r="Z52" s="1944">
        <v>2</v>
      </c>
      <c r="AA52" s="1944">
        <v>1</v>
      </c>
      <c r="AB52" s="1944" t="s">
        <v>28</v>
      </c>
      <c r="AC52" s="1946" t="s">
        <v>28</v>
      </c>
    </row>
    <row r="53" spans="1:29" s="755" customFormat="1" ht="9" customHeight="1" thickBot="1">
      <c r="A53" s="1674" t="s">
        <v>31</v>
      </c>
      <c r="B53" s="1691" t="s">
        <v>191</v>
      </c>
      <c r="C53" s="1944" t="s">
        <v>28</v>
      </c>
      <c r="D53" s="1944">
        <v>1</v>
      </c>
      <c r="E53" s="1944" t="s">
        <v>28</v>
      </c>
      <c r="F53" s="1944" t="s">
        <v>28</v>
      </c>
      <c r="G53" s="1944">
        <v>2</v>
      </c>
      <c r="H53" s="1944">
        <v>1</v>
      </c>
      <c r="I53" s="1944" t="s">
        <v>28</v>
      </c>
      <c r="J53" s="1944" t="s">
        <v>28</v>
      </c>
      <c r="K53" s="1944">
        <v>2</v>
      </c>
      <c r="L53" s="1944" t="s">
        <v>28</v>
      </c>
      <c r="M53" s="1944">
        <v>3</v>
      </c>
      <c r="N53" s="1944">
        <v>2</v>
      </c>
      <c r="O53" s="1950">
        <v>1</v>
      </c>
      <c r="P53" s="1951" t="s">
        <v>28</v>
      </c>
      <c r="Q53" s="1944" t="s">
        <v>28</v>
      </c>
      <c r="R53" s="1944" t="s">
        <v>28</v>
      </c>
      <c r="S53" s="1944">
        <v>1</v>
      </c>
      <c r="T53" s="1944">
        <v>3</v>
      </c>
      <c r="U53" s="1944">
        <v>1</v>
      </c>
      <c r="V53" s="1944">
        <v>1</v>
      </c>
      <c r="W53" s="1944">
        <v>1</v>
      </c>
      <c r="X53" s="1944" t="s">
        <v>28</v>
      </c>
      <c r="Y53" s="1944" t="s">
        <v>28</v>
      </c>
      <c r="Z53" s="1944" t="s">
        <v>28</v>
      </c>
      <c r="AA53" s="1944" t="s">
        <v>28</v>
      </c>
      <c r="AB53" s="1944" t="s">
        <v>28</v>
      </c>
      <c r="AC53" s="1946" t="s">
        <v>28</v>
      </c>
    </row>
    <row r="54" spans="1:29" s="756" customFormat="1" ht="8.25" customHeight="1" thickBot="1">
      <c r="A54" s="1947" t="s">
        <v>45</v>
      </c>
      <c r="B54" s="1947"/>
      <c r="C54" s="1947"/>
      <c r="D54" s="1947"/>
      <c r="E54" s="1947"/>
      <c r="F54" s="1947"/>
      <c r="G54" s="1947"/>
      <c r="H54" s="1947"/>
      <c r="I54" s="1947"/>
      <c r="J54" s="1947"/>
      <c r="K54" s="1947"/>
      <c r="L54" s="1947"/>
      <c r="M54" s="1947"/>
      <c r="N54" s="1947"/>
      <c r="O54" s="1947"/>
      <c r="P54" s="1947" t="s">
        <v>46</v>
      </c>
      <c r="Q54" s="1947"/>
      <c r="R54" s="1947"/>
      <c r="S54" s="1947"/>
      <c r="T54" s="1947"/>
      <c r="U54" s="1947"/>
      <c r="V54" s="1947"/>
      <c r="W54" s="1947"/>
      <c r="X54" s="1947"/>
      <c r="Y54" s="1947"/>
      <c r="Z54" s="1947"/>
      <c r="AA54" s="1947"/>
      <c r="AB54" s="1947"/>
      <c r="AC54" s="1947"/>
    </row>
    <row r="55" spans="1:29" s="753" customFormat="1" ht="8.25" customHeight="1">
      <c r="A55" s="1762" t="s">
        <v>47</v>
      </c>
      <c r="B55" s="1686" t="s">
        <v>48</v>
      </c>
      <c r="C55" s="1941">
        <v>14</v>
      </c>
      <c r="D55" s="1941">
        <v>11</v>
      </c>
      <c r="E55" s="1941">
        <v>5</v>
      </c>
      <c r="F55" s="1941">
        <v>7</v>
      </c>
      <c r="G55" s="1941">
        <v>12</v>
      </c>
      <c r="H55" s="1941">
        <v>11</v>
      </c>
      <c r="I55" s="1941">
        <v>8</v>
      </c>
      <c r="J55" s="1941">
        <v>15</v>
      </c>
      <c r="K55" s="1941">
        <v>9</v>
      </c>
      <c r="L55" s="1941">
        <v>12</v>
      </c>
      <c r="M55" s="1941">
        <v>13</v>
      </c>
      <c r="N55" s="1941">
        <v>11</v>
      </c>
      <c r="O55" s="1941">
        <v>4</v>
      </c>
      <c r="P55" s="1942">
        <v>7</v>
      </c>
      <c r="Q55" s="1941">
        <v>7</v>
      </c>
      <c r="R55" s="1941">
        <v>6</v>
      </c>
      <c r="S55" s="1941">
        <v>5</v>
      </c>
      <c r="T55" s="1941">
        <v>4</v>
      </c>
      <c r="U55" s="1941">
        <v>7</v>
      </c>
      <c r="V55" s="1941">
        <v>1</v>
      </c>
      <c r="W55" s="1941">
        <v>5</v>
      </c>
      <c r="X55" s="1941">
        <v>4</v>
      </c>
      <c r="Y55" s="1941">
        <v>2</v>
      </c>
      <c r="Z55" s="1941">
        <v>2</v>
      </c>
      <c r="AA55" s="1941">
        <v>1</v>
      </c>
      <c r="AB55" s="1941" t="s">
        <v>28</v>
      </c>
      <c r="AC55" s="1943" t="s">
        <v>28</v>
      </c>
    </row>
    <row r="56" spans="1:29" s="754" customFormat="1" ht="8.25" customHeight="1">
      <c r="A56" s="1674" t="s">
        <v>29</v>
      </c>
      <c r="B56" s="1691" t="s">
        <v>190</v>
      </c>
      <c r="C56" s="1944">
        <v>12</v>
      </c>
      <c r="D56" s="1944">
        <v>8</v>
      </c>
      <c r="E56" s="1944">
        <v>5</v>
      </c>
      <c r="F56" s="1944">
        <v>6</v>
      </c>
      <c r="G56" s="1944">
        <v>8</v>
      </c>
      <c r="H56" s="1944">
        <v>7</v>
      </c>
      <c r="I56" s="1944">
        <v>7</v>
      </c>
      <c r="J56" s="1944">
        <v>10</v>
      </c>
      <c r="K56" s="1944">
        <v>6</v>
      </c>
      <c r="L56" s="1944">
        <v>10</v>
      </c>
      <c r="M56" s="1944">
        <v>8</v>
      </c>
      <c r="N56" s="1944">
        <v>7</v>
      </c>
      <c r="O56" s="1944">
        <v>2</v>
      </c>
      <c r="P56" s="1945">
        <v>3</v>
      </c>
      <c r="Q56" s="1944">
        <v>3</v>
      </c>
      <c r="R56" s="1944">
        <v>3</v>
      </c>
      <c r="S56" s="1944">
        <v>4</v>
      </c>
      <c r="T56" s="1944">
        <v>3</v>
      </c>
      <c r="U56" s="1944">
        <v>5</v>
      </c>
      <c r="V56" s="1944">
        <v>1</v>
      </c>
      <c r="W56" s="1944">
        <v>2</v>
      </c>
      <c r="X56" s="1944">
        <v>4</v>
      </c>
      <c r="Y56" s="1944">
        <v>1</v>
      </c>
      <c r="Z56" s="1944">
        <v>2</v>
      </c>
      <c r="AA56" s="1944">
        <v>1</v>
      </c>
      <c r="AB56" s="1944" t="s">
        <v>28</v>
      </c>
      <c r="AC56" s="1946" t="s">
        <v>28</v>
      </c>
    </row>
    <row r="57" spans="1:29" s="754" customFormat="1" ht="8.25" customHeight="1">
      <c r="A57" s="1674" t="s">
        <v>31</v>
      </c>
      <c r="B57" s="1691" t="s">
        <v>191</v>
      </c>
      <c r="C57" s="1944">
        <v>2</v>
      </c>
      <c r="D57" s="1944">
        <v>3</v>
      </c>
      <c r="E57" s="1944" t="s">
        <v>28</v>
      </c>
      <c r="F57" s="1944">
        <v>1</v>
      </c>
      <c r="G57" s="1944">
        <v>4</v>
      </c>
      <c r="H57" s="1944">
        <v>4</v>
      </c>
      <c r="I57" s="1944">
        <v>1</v>
      </c>
      <c r="J57" s="1944">
        <v>5</v>
      </c>
      <c r="K57" s="1944">
        <v>3</v>
      </c>
      <c r="L57" s="1944">
        <v>2</v>
      </c>
      <c r="M57" s="1944">
        <v>5</v>
      </c>
      <c r="N57" s="1944">
        <v>4</v>
      </c>
      <c r="O57" s="1944">
        <v>2</v>
      </c>
      <c r="P57" s="1945">
        <v>4</v>
      </c>
      <c r="Q57" s="1944">
        <v>4</v>
      </c>
      <c r="R57" s="1944">
        <v>3</v>
      </c>
      <c r="S57" s="1944">
        <v>1</v>
      </c>
      <c r="T57" s="1944">
        <v>1</v>
      </c>
      <c r="U57" s="1944">
        <v>2</v>
      </c>
      <c r="V57" s="1944" t="s">
        <v>28</v>
      </c>
      <c r="W57" s="1944">
        <v>3</v>
      </c>
      <c r="X57" s="1944" t="s">
        <v>28</v>
      </c>
      <c r="Y57" s="1944">
        <v>1</v>
      </c>
      <c r="Z57" s="1944" t="s">
        <v>28</v>
      </c>
      <c r="AA57" s="1944" t="s">
        <v>28</v>
      </c>
      <c r="AB57" s="1944" t="s">
        <v>28</v>
      </c>
      <c r="AC57" s="1946" t="s">
        <v>28</v>
      </c>
    </row>
    <row r="58" spans="1:29" s="753" customFormat="1" ht="8.25" customHeight="1">
      <c r="A58" s="1762" t="s">
        <v>49</v>
      </c>
      <c r="B58" s="1686" t="s">
        <v>50</v>
      </c>
      <c r="C58" s="1941">
        <v>6</v>
      </c>
      <c r="D58" s="1941">
        <v>6</v>
      </c>
      <c r="E58" s="1941">
        <v>1</v>
      </c>
      <c r="F58" s="1941">
        <v>3</v>
      </c>
      <c r="G58" s="1941" t="s">
        <v>28</v>
      </c>
      <c r="H58" s="1941">
        <v>1</v>
      </c>
      <c r="I58" s="1941">
        <v>3</v>
      </c>
      <c r="J58" s="1941">
        <v>2</v>
      </c>
      <c r="K58" s="1941">
        <v>5</v>
      </c>
      <c r="L58" s="1941">
        <v>5</v>
      </c>
      <c r="M58" s="1941">
        <v>2</v>
      </c>
      <c r="N58" s="1941">
        <v>4</v>
      </c>
      <c r="O58" s="1941">
        <v>2</v>
      </c>
      <c r="P58" s="1942" t="s">
        <v>28</v>
      </c>
      <c r="Q58" s="1941">
        <v>5</v>
      </c>
      <c r="R58" s="1941">
        <v>1</v>
      </c>
      <c r="S58" s="1941">
        <v>5</v>
      </c>
      <c r="T58" s="1941">
        <v>4</v>
      </c>
      <c r="U58" s="1941">
        <v>4</v>
      </c>
      <c r="V58" s="1941">
        <v>2</v>
      </c>
      <c r="W58" s="1941">
        <v>2</v>
      </c>
      <c r="X58" s="1941">
        <v>2</v>
      </c>
      <c r="Y58" s="1941" t="s">
        <v>28</v>
      </c>
      <c r="Z58" s="1941" t="s">
        <v>28</v>
      </c>
      <c r="AA58" s="1941">
        <v>1</v>
      </c>
      <c r="AB58" s="1941" t="s">
        <v>28</v>
      </c>
      <c r="AC58" s="1943" t="s">
        <v>28</v>
      </c>
    </row>
    <row r="59" spans="1:29" s="754" customFormat="1" ht="8.25" customHeight="1">
      <c r="A59" s="1674" t="s">
        <v>29</v>
      </c>
      <c r="B59" s="1691" t="s">
        <v>190</v>
      </c>
      <c r="C59" s="1944">
        <v>2</v>
      </c>
      <c r="D59" s="1944" t="s">
        <v>28</v>
      </c>
      <c r="E59" s="1944">
        <v>1</v>
      </c>
      <c r="F59" s="1944" t="s">
        <v>28</v>
      </c>
      <c r="G59" s="1944" t="s">
        <v>28</v>
      </c>
      <c r="H59" s="1944">
        <v>1</v>
      </c>
      <c r="I59" s="1944">
        <v>1</v>
      </c>
      <c r="J59" s="1944">
        <v>1</v>
      </c>
      <c r="K59" s="1944">
        <v>2</v>
      </c>
      <c r="L59" s="1944">
        <v>2</v>
      </c>
      <c r="M59" s="1944" t="s">
        <v>28</v>
      </c>
      <c r="N59" s="1944" t="s">
        <v>28</v>
      </c>
      <c r="O59" s="1944" t="s">
        <v>28</v>
      </c>
      <c r="P59" s="1945" t="s">
        <v>28</v>
      </c>
      <c r="Q59" s="1944" t="s">
        <v>28</v>
      </c>
      <c r="R59" s="1944" t="s">
        <v>28</v>
      </c>
      <c r="S59" s="1944" t="s">
        <v>28</v>
      </c>
      <c r="T59" s="1944">
        <v>1</v>
      </c>
      <c r="U59" s="1944">
        <v>2</v>
      </c>
      <c r="V59" s="1944">
        <v>1</v>
      </c>
      <c r="W59" s="1944">
        <v>1</v>
      </c>
      <c r="X59" s="1944">
        <v>1</v>
      </c>
      <c r="Y59" s="1944" t="s">
        <v>28</v>
      </c>
      <c r="Z59" s="1944" t="s">
        <v>28</v>
      </c>
      <c r="AA59" s="1944" t="s">
        <v>28</v>
      </c>
      <c r="AB59" s="1944" t="s">
        <v>28</v>
      </c>
      <c r="AC59" s="1946" t="s">
        <v>28</v>
      </c>
    </row>
    <row r="60" spans="1:29" s="754" customFormat="1" ht="8.25" customHeight="1">
      <c r="A60" s="1674" t="s">
        <v>31</v>
      </c>
      <c r="B60" s="1691" t="s">
        <v>191</v>
      </c>
      <c r="C60" s="1944">
        <v>4</v>
      </c>
      <c r="D60" s="1944">
        <v>6</v>
      </c>
      <c r="E60" s="1944" t="s">
        <v>28</v>
      </c>
      <c r="F60" s="1944">
        <v>3</v>
      </c>
      <c r="G60" s="1944" t="s">
        <v>28</v>
      </c>
      <c r="H60" s="1944" t="s">
        <v>28</v>
      </c>
      <c r="I60" s="1944">
        <v>2</v>
      </c>
      <c r="J60" s="1944">
        <v>1</v>
      </c>
      <c r="K60" s="1944">
        <v>3</v>
      </c>
      <c r="L60" s="1944">
        <v>3</v>
      </c>
      <c r="M60" s="1944">
        <v>2</v>
      </c>
      <c r="N60" s="1944">
        <v>4</v>
      </c>
      <c r="O60" s="1944">
        <v>2</v>
      </c>
      <c r="P60" s="1945" t="s">
        <v>28</v>
      </c>
      <c r="Q60" s="1944">
        <v>5</v>
      </c>
      <c r="R60" s="1944">
        <v>1</v>
      </c>
      <c r="S60" s="1944">
        <v>5</v>
      </c>
      <c r="T60" s="1944">
        <v>3</v>
      </c>
      <c r="U60" s="1944">
        <v>2</v>
      </c>
      <c r="V60" s="1944">
        <v>1</v>
      </c>
      <c r="W60" s="1944">
        <v>1</v>
      </c>
      <c r="X60" s="1944">
        <v>1</v>
      </c>
      <c r="Y60" s="1944" t="s">
        <v>28</v>
      </c>
      <c r="Z60" s="1944" t="s">
        <v>28</v>
      </c>
      <c r="AA60" s="1944">
        <v>1</v>
      </c>
      <c r="AB60" s="1944" t="s">
        <v>28</v>
      </c>
      <c r="AC60" s="1946" t="s">
        <v>28</v>
      </c>
    </row>
    <row r="61" spans="1:29" s="753" customFormat="1" ht="8.25" customHeight="1">
      <c r="A61" s="1762" t="s">
        <v>963</v>
      </c>
      <c r="B61" s="1686" t="s">
        <v>964</v>
      </c>
      <c r="C61" s="1941">
        <v>18</v>
      </c>
      <c r="D61" s="1941">
        <v>10</v>
      </c>
      <c r="E61" s="1941">
        <v>13</v>
      </c>
      <c r="F61" s="1941">
        <v>14</v>
      </c>
      <c r="G61" s="1941">
        <v>9</v>
      </c>
      <c r="H61" s="1941">
        <v>13</v>
      </c>
      <c r="I61" s="1941">
        <v>14</v>
      </c>
      <c r="J61" s="1941">
        <v>11</v>
      </c>
      <c r="K61" s="1941">
        <v>12</v>
      </c>
      <c r="L61" s="1941">
        <v>9</v>
      </c>
      <c r="M61" s="1941">
        <v>19</v>
      </c>
      <c r="N61" s="1941">
        <v>9</v>
      </c>
      <c r="O61" s="1941">
        <v>7</v>
      </c>
      <c r="P61" s="1942">
        <v>5</v>
      </c>
      <c r="Q61" s="1941">
        <v>6</v>
      </c>
      <c r="R61" s="1941">
        <v>8</v>
      </c>
      <c r="S61" s="1941">
        <v>8</v>
      </c>
      <c r="T61" s="1941">
        <v>6</v>
      </c>
      <c r="U61" s="1941">
        <v>6</v>
      </c>
      <c r="V61" s="1941">
        <v>8</v>
      </c>
      <c r="W61" s="1941">
        <v>3</v>
      </c>
      <c r="X61" s="1941">
        <v>9</v>
      </c>
      <c r="Y61" s="1941">
        <v>5</v>
      </c>
      <c r="Z61" s="1941">
        <v>2</v>
      </c>
      <c r="AA61" s="1941">
        <v>2</v>
      </c>
      <c r="AB61" s="1941" t="s">
        <v>28</v>
      </c>
      <c r="AC61" s="1943" t="s">
        <v>28</v>
      </c>
    </row>
    <row r="62" spans="1:29" s="754" customFormat="1" ht="8.25" customHeight="1">
      <c r="A62" s="1674" t="s">
        <v>29</v>
      </c>
      <c r="B62" s="1691" t="s">
        <v>190</v>
      </c>
      <c r="C62" s="1944">
        <v>17</v>
      </c>
      <c r="D62" s="1944">
        <v>10</v>
      </c>
      <c r="E62" s="1944">
        <v>13</v>
      </c>
      <c r="F62" s="1944">
        <v>13</v>
      </c>
      <c r="G62" s="1944">
        <v>8</v>
      </c>
      <c r="H62" s="1944">
        <v>12</v>
      </c>
      <c r="I62" s="1944">
        <v>13</v>
      </c>
      <c r="J62" s="1944">
        <v>9</v>
      </c>
      <c r="K62" s="1944">
        <v>12</v>
      </c>
      <c r="L62" s="1944">
        <v>8</v>
      </c>
      <c r="M62" s="1944">
        <v>16</v>
      </c>
      <c r="N62" s="1944">
        <v>8</v>
      </c>
      <c r="O62" s="1944">
        <v>7</v>
      </c>
      <c r="P62" s="1945">
        <v>5</v>
      </c>
      <c r="Q62" s="1944">
        <v>6</v>
      </c>
      <c r="R62" s="1944">
        <v>8</v>
      </c>
      <c r="S62" s="1944">
        <v>7</v>
      </c>
      <c r="T62" s="1944">
        <v>5</v>
      </c>
      <c r="U62" s="1944">
        <v>6</v>
      </c>
      <c r="V62" s="1944">
        <v>8</v>
      </c>
      <c r="W62" s="1944">
        <v>3</v>
      </c>
      <c r="X62" s="1944">
        <v>8</v>
      </c>
      <c r="Y62" s="1944">
        <v>5</v>
      </c>
      <c r="Z62" s="1944">
        <v>2</v>
      </c>
      <c r="AA62" s="1944">
        <v>2</v>
      </c>
      <c r="AB62" s="1944" t="s">
        <v>28</v>
      </c>
      <c r="AC62" s="1946" t="s">
        <v>28</v>
      </c>
    </row>
    <row r="63" spans="1:29" s="754" customFormat="1" ht="8.25" customHeight="1">
      <c r="A63" s="1674" t="s">
        <v>31</v>
      </c>
      <c r="B63" s="1691" t="s">
        <v>191</v>
      </c>
      <c r="C63" s="1944">
        <v>1</v>
      </c>
      <c r="D63" s="1944" t="s">
        <v>28</v>
      </c>
      <c r="E63" s="1944" t="s">
        <v>28</v>
      </c>
      <c r="F63" s="1944">
        <v>1</v>
      </c>
      <c r="G63" s="1944">
        <v>1</v>
      </c>
      <c r="H63" s="1944">
        <v>1</v>
      </c>
      <c r="I63" s="1944">
        <v>1</v>
      </c>
      <c r="J63" s="1944">
        <v>2</v>
      </c>
      <c r="K63" s="1944" t="s">
        <v>28</v>
      </c>
      <c r="L63" s="1944">
        <v>1</v>
      </c>
      <c r="M63" s="1944">
        <v>3</v>
      </c>
      <c r="N63" s="1944">
        <v>1</v>
      </c>
      <c r="O63" s="1944" t="s">
        <v>28</v>
      </c>
      <c r="P63" s="1945" t="s">
        <v>28</v>
      </c>
      <c r="Q63" s="1944" t="s">
        <v>28</v>
      </c>
      <c r="R63" s="1944" t="s">
        <v>28</v>
      </c>
      <c r="S63" s="1944">
        <v>1</v>
      </c>
      <c r="T63" s="1944">
        <v>1</v>
      </c>
      <c r="U63" s="1944" t="s">
        <v>28</v>
      </c>
      <c r="V63" s="1944" t="s">
        <v>28</v>
      </c>
      <c r="W63" s="1944" t="s">
        <v>28</v>
      </c>
      <c r="X63" s="1944">
        <v>1</v>
      </c>
      <c r="Y63" s="1944" t="s">
        <v>28</v>
      </c>
      <c r="Z63" s="1944" t="s">
        <v>28</v>
      </c>
      <c r="AA63" s="1944" t="s">
        <v>28</v>
      </c>
      <c r="AB63" s="1944" t="s">
        <v>28</v>
      </c>
      <c r="AC63" s="1946" t="s">
        <v>28</v>
      </c>
    </row>
    <row r="64" spans="1:29" s="753" customFormat="1" ht="8.25" customHeight="1">
      <c r="A64" s="1762" t="s">
        <v>51</v>
      </c>
      <c r="B64" s="1686" t="s">
        <v>52</v>
      </c>
      <c r="C64" s="1941">
        <v>33</v>
      </c>
      <c r="D64" s="1941">
        <v>29</v>
      </c>
      <c r="E64" s="1941">
        <v>42</v>
      </c>
      <c r="F64" s="1941">
        <v>25</v>
      </c>
      <c r="G64" s="1941">
        <v>27</v>
      </c>
      <c r="H64" s="1941">
        <v>30</v>
      </c>
      <c r="I64" s="1941">
        <v>30</v>
      </c>
      <c r="J64" s="1941">
        <v>27</v>
      </c>
      <c r="K64" s="1941">
        <v>37</v>
      </c>
      <c r="L64" s="1941">
        <v>28</v>
      </c>
      <c r="M64" s="1941">
        <v>22</v>
      </c>
      <c r="N64" s="1941">
        <v>28</v>
      </c>
      <c r="O64" s="1941">
        <v>17</v>
      </c>
      <c r="P64" s="1942">
        <v>15</v>
      </c>
      <c r="Q64" s="1941">
        <v>16</v>
      </c>
      <c r="R64" s="1941">
        <v>16</v>
      </c>
      <c r="S64" s="1941">
        <v>21</v>
      </c>
      <c r="T64" s="1941">
        <v>15</v>
      </c>
      <c r="U64" s="1941">
        <v>8</v>
      </c>
      <c r="V64" s="1941">
        <v>11</v>
      </c>
      <c r="W64" s="1941">
        <v>11</v>
      </c>
      <c r="X64" s="1941">
        <v>10</v>
      </c>
      <c r="Y64" s="1941">
        <v>6</v>
      </c>
      <c r="Z64" s="1941">
        <v>7</v>
      </c>
      <c r="AA64" s="1941">
        <v>6</v>
      </c>
      <c r="AB64" s="1941">
        <v>2</v>
      </c>
      <c r="AC64" s="1943">
        <v>1</v>
      </c>
    </row>
    <row r="65" spans="1:29" s="754" customFormat="1" ht="8.25" customHeight="1">
      <c r="A65" s="1674" t="s">
        <v>29</v>
      </c>
      <c r="B65" s="1691" t="s">
        <v>190</v>
      </c>
      <c r="C65" s="1944">
        <v>32</v>
      </c>
      <c r="D65" s="1944">
        <v>27</v>
      </c>
      <c r="E65" s="1944">
        <v>40</v>
      </c>
      <c r="F65" s="1944">
        <v>24</v>
      </c>
      <c r="G65" s="1944">
        <v>23</v>
      </c>
      <c r="H65" s="1944">
        <v>29</v>
      </c>
      <c r="I65" s="1944">
        <v>29</v>
      </c>
      <c r="J65" s="1944">
        <v>27</v>
      </c>
      <c r="K65" s="1944">
        <v>37</v>
      </c>
      <c r="L65" s="1944">
        <v>26</v>
      </c>
      <c r="M65" s="1944">
        <v>22</v>
      </c>
      <c r="N65" s="1944">
        <v>28</v>
      </c>
      <c r="O65" s="1944">
        <v>16</v>
      </c>
      <c r="P65" s="1945">
        <v>14</v>
      </c>
      <c r="Q65" s="1944">
        <v>13</v>
      </c>
      <c r="R65" s="1944">
        <v>15</v>
      </c>
      <c r="S65" s="1944">
        <v>16</v>
      </c>
      <c r="T65" s="1944">
        <v>14</v>
      </c>
      <c r="U65" s="1944">
        <v>8</v>
      </c>
      <c r="V65" s="1944">
        <v>11</v>
      </c>
      <c r="W65" s="1944">
        <v>11</v>
      </c>
      <c r="X65" s="1944">
        <v>10</v>
      </c>
      <c r="Y65" s="1944">
        <v>6</v>
      </c>
      <c r="Z65" s="1944">
        <v>7</v>
      </c>
      <c r="AA65" s="1944">
        <v>6</v>
      </c>
      <c r="AB65" s="1944">
        <v>2</v>
      </c>
      <c r="AC65" s="1946">
        <v>1</v>
      </c>
    </row>
    <row r="66" spans="1:29" s="754" customFormat="1" ht="8.25" customHeight="1">
      <c r="A66" s="1674" t="s">
        <v>31</v>
      </c>
      <c r="B66" s="1691" t="s">
        <v>191</v>
      </c>
      <c r="C66" s="1944">
        <v>1</v>
      </c>
      <c r="D66" s="1944">
        <v>2</v>
      </c>
      <c r="E66" s="1944">
        <v>2</v>
      </c>
      <c r="F66" s="1944">
        <v>1</v>
      </c>
      <c r="G66" s="1944">
        <v>4</v>
      </c>
      <c r="H66" s="1944">
        <v>1</v>
      </c>
      <c r="I66" s="1944">
        <v>1</v>
      </c>
      <c r="J66" s="1944" t="s">
        <v>28</v>
      </c>
      <c r="K66" s="1944" t="s">
        <v>28</v>
      </c>
      <c r="L66" s="1944">
        <v>2</v>
      </c>
      <c r="M66" s="1944" t="s">
        <v>28</v>
      </c>
      <c r="N66" s="1944" t="s">
        <v>28</v>
      </c>
      <c r="O66" s="1944">
        <v>1</v>
      </c>
      <c r="P66" s="1945">
        <v>1</v>
      </c>
      <c r="Q66" s="1944">
        <v>3</v>
      </c>
      <c r="R66" s="1944">
        <v>1</v>
      </c>
      <c r="S66" s="1944">
        <v>5</v>
      </c>
      <c r="T66" s="1944">
        <v>1</v>
      </c>
      <c r="U66" s="1944" t="s">
        <v>28</v>
      </c>
      <c r="V66" s="1944" t="s">
        <v>28</v>
      </c>
      <c r="W66" s="1944" t="s">
        <v>28</v>
      </c>
      <c r="X66" s="1944" t="s">
        <v>28</v>
      </c>
      <c r="Y66" s="1944" t="s">
        <v>28</v>
      </c>
      <c r="Z66" s="1944" t="s">
        <v>28</v>
      </c>
      <c r="AA66" s="1944" t="s">
        <v>28</v>
      </c>
      <c r="AB66" s="1944" t="s">
        <v>28</v>
      </c>
      <c r="AC66" s="1946" t="s">
        <v>28</v>
      </c>
    </row>
    <row r="67" spans="1:29" s="753" customFormat="1" ht="8.25" customHeight="1">
      <c r="A67" s="1762" t="s">
        <v>53</v>
      </c>
      <c r="B67" s="1686" t="s">
        <v>54</v>
      </c>
      <c r="C67" s="1941">
        <v>35</v>
      </c>
      <c r="D67" s="1941">
        <v>35</v>
      </c>
      <c r="E67" s="1941">
        <v>32</v>
      </c>
      <c r="F67" s="1941">
        <v>33</v>
      </c>
      <c r="G67" s="1941">
        <v>24</v>
      </c>
      <c r="H67" s="1941">
        <v>25</v>
      </c>
      <c r="I67" s="1941">
        <v>29</v>
      </c>
      <c r="J67" s="1941">
        <v>32</v>
      </c>
      <c r="K67" s="1941">
        <v>24</v>
      </c>
      <c r="L67" s="1941">
        <v>22</v>
      </c>
      <c r="M67" s="1941">
        <v>24</v>
      </c>
      <c r="N67" s="1941">
        <v>27</v>
      </c>
      <c r="O67" s="1941">
        <v>16</v>
      </c>
      <c r="P67" s="1942">
        <v>23</v>
      </c>
      <c r="Q67" s="1941">
        <v>17</v>
      </c>
      <c r="R67" s="1941">
        <v>14</v>
      </c>
      <c r="S67" s="1941">
        <v>22</v>
      </c>
      <c r="T67" s="1941">
        <v>30</v>
      </c>
      <c r="U67" s="1941">
        <v>12</v>
      </c>
      <c r="V67" s="1941">
        <v>12</v>
      </c>
      <c r="W67" s="1941">
        <v>8</v>
      </c>
      <c r="X67" s="1941">
        <v>15</v>
      </c>
      <c r="Y67" s="1941">
        <v>11</v>
      </c>
      <c r="Z67" s="1941">
        <v>8</v>
      </c>
      <c r="AA67" s="1941">
        <v>3</v>
      </c>
      <c r="AB67" s="1941">
        <v>3</v>
      </c>
      <c r="AC67" s="1943" t="s">
        <v>28</v>
      </c>
    </row>
    <row r="68" spans="1:29" s="754" customFormat="1" ht="8.25" customHeight="1">
      <c r="A68" s="1674" t="s">
        <v>29</v>
      </c>
      <c r="B68" s="1691" t="s">
        <v>190</v>
      </c>
      <c r="C68" s="1944">
        <v>33</v>
      </c>
      <c r="D68" s="1944">
        <v>34</v>
      </c>
      <c r="E68" s="1944">
        <v>32</v>
      </c>
      <c r="F68" s="1944">
        <v>33</v>
      </c>
      <c r="G68" s="1944">
        <v>23</v>
      </c>
      <c r="H68" s="1944">
        <v>25</v>
      </c>
      <c r="I68" s="1944">
        <v>29</v>
      </c>
      <c r="J68" s="1944">
        <v>31</v>
      </c>
      <c r="K68" s="1944">
        <v>23</v>
      </c>
      <c r="L68" s="1944">
        <v>20</v>
      </c>
      <c r="M68" s="1944">
        <v>24</v>
      </c>
      <c r="N68" s="1944">
        <v>27</v>
      </c>
      <c r="O68" s="1944">
        <v>14</v>
      </c>
      <c r="P68" s="1945">
        <v>23</v>
      </c>
      <c r="Q68" s="1944">
        <v>17</v>
      </c>
      <c r="R68" s="1944">
        <v>14</v>
      </c>
      <c r="S68" s="1944">
        <v>22</v>
      </c>
      <c r="T68" s="1944">
        <v>29</v>
      </c>
      <c r="U68" s="1944">
        <v>12</v>
      </c>
      <c r="V68" s="1944">
        <v>12</v>
      </c>
      <c r="W68" s="1944">
        <v>8</v>
      </c>
      <c r="X68" s="1944">
        <v>14</v>
      </c>
      <c r="Y68" s="1944">
        <v>11</v>
      </c>
      <c r="Z68" s="1944">
        <v>8</v>
      </c>
      <c r="AA68" s="1944">
        <v>3</v>
      </c>
      <c r="AB68" s="1944">
        <v>3</v>
      </c>
      <c r="AC68" s="1946" t="s">
        <v>28</v>
      </c>
    </row>
    <row r="69" spans="1:29" s="754" customFormat="1" ht="8.25" customHeight="1">
      <c r="A69" s="1674" t="s">
        <v>31</v>
      </c>
      <c r="B69" s="1691" t="s">
        <v>191</v>
      </c>
      <c r="C69" s="1944">
        <v>2</v>
      </c>
      <c r="D69" s="1944">
        <v>1</v>
      </c>
      <c r="E69" s="1944" t="s">
        <v>28</v>
      </c>
      <c r="F69" s="1944" t="s">
        <v>28</v>
      </c>
      <c r="G69" s="1944">
        <v>1</v>
      </c>
      <c r="H69" s="1944" t="s">
        <v>28</v>
      </c>
      <c r="I69" s="1944" t="s">
        <v>28</v>
      </c>
      <c r="J69" s="1944">
        <v>1</v>
      </c>
      <c r="K69" s="1944">
        <v>1</v>
      </c>
      <c r="L69" s="1944">
        <v>2</v>
      </c>
      <c r="M69" s="1944" t="s">
        <v>28</v>
      </c>
      <c r="N69" s="1944" t="s">
        <v>28</v>
      </c>
      <c r="O69" s="1944">
        <v>2</v>
      </c>
      <c r="P69" s="1945" t="s">
        <v>28</v>
      </c>
      <c r="Q69" s="1944" t="s">
        <v>28</v>
      </c>
      <c r="R69" s="1944" t="s">
        <v>28</v>
      </c>
      <c r="S69" s="1944" t="s">
        <v>28</v>
      </c>
      <c r="T69" s="1944">
        <v>1</v>
      </c>
      <c r="U69" s="1944" t="s">
        <v>28</v>
      </c>
      <c r="V69" s="1944" t="s">
        <v>28</v>
      </c>
      <c r="W69" s="1944" t="s">
        <v>28</v>
      </c>
      <c r="X69" s="1944">
        <v>1</v>
      </c>
      <c r="Y69" s="1944" t="s">
        <v>28</v>
      </c>
      <c r="Z69" s="1944" t="s">
        <v>28</v>
      </c>
      <c r="AA69" s="1944" t="s">
        <v>28</v>
      </c>
      <c r="AB69" s="1944" t="s">
        <v>28</v>
      </c>
      <c r="AC69" s="1946" t="s">
        <v>28</v>
      </c>
    </row>
    <row r="70" spans="1:29" s="753" customFormat="1" ht="8.25" customHeight="1">
      <c r="A70" s="1762" t="s">
        <v>55</v>
      </c>
      <c r="B70" s="1686" t="s">
        <v>56</v>
      </c>
      <c r="C70" s="1941">
        <v>22</v>
      </c>
      <c r="D70" s="1941">
        <v>18</v>
      </c>
      <c r="E70" s="1941">
        <v>25</v>
      </c>
      <c r="F70" s="1941">
        <v>28</v>
      </c>
      <c r="G70" s="1941">
        <v>29</v>
      </c>
      <c r="H70" s="1941">
        <v>27</v>
      </c>
      <c r="I70" s="1941">
        <v>19</v>
      </c>
      <c r="J70" s="1941">
        <v>36</v>
      </c>
      <c r="K70" s="1941">
        <v>23</v>
      </c>
      <c r="L70" s="1941">
        <v>24</v>
      </c>
      <c r="M70" s="1941">
        <v>23</v>
      </c>
      <c r="N70" s="1941">
        <v>31</v>
      </c>
      <c r="O70" s="1941">
        <v>23</v>
      </c>
      <c r="P70" s="1942">
        <v>35</v>
      </c>
      <c r="Q70" s="1941">
        <v>24</v>
      </c>
      <c r="R70" s="1941">
        <v>21</v>
      </c>
      <c r="S70" s="1941">
        <v>24</v>
      </c>
      <c r="T70" s="1941">
        <v>29</v>
      </c>
      <c r="U70" s="1941">
        <v>21</v>
      </c>
      <c r="V70" s="1941">
        <v>22</v>
      </c>
      <c r="W70" s="1941">
        <v>16</v>
      </c>
      <c r="X70" s="1941">
        <v>13</v>
      </c>
      <c r="Y70" s="1941">
        <v>8</v>
      </c>
      <c r="Z70" s="1941">
        <v>13</v>
      </c>
      <c r="AA70" s="1941">
        <v>9</v>
      </c>
      <c r="AB70" s="1941">
        <v>2</v>
      </c>
      <c r="AC70" s="1943" t="s">
        <v>28</v>
      </c>
    </row>
    <row r="71" spans="1:29" s="754" customFormat="1" ht="8.25" customHeight="1">
      <c r="A71" s="1674" t="s">
        <v>29</v>
      </c>
      <c r="B71" s="1691" t="s">
        <v>190</v>
      </c>
      <c r="C71" s="1944">
        <v>22</v>
      </c>
      <c r="D71" s="1944">
        <v>18</v>
      </c>
      <c r="E71" s="1944">
        <v>25</v>
      </c>
      <c r="F71" s="1944">
        <v>28</v>
      </c>
      <c r="G71" s="1944">
        <v>29</v>
      </c>
      <c r="H71" s="1944">
        <v>27</v>
      </c>
      <c r="I71" s="1944">
        <v>19</v>
      </c>
      <c r="J71" s="1944">
        <v>36</v>
      </c>
      <c r="K71" s="1944">
        <v>23</v>
      </c>
      <c r="L71" s="1944">
        <v>24</v>
      </c>
      <c r="M71" s="1944">
        <v>23</v>
      </c>
      <c r="N71" s="1944">
        <v>31</v>
      </c>
      <c r="O71" s="1944">
        <v>23</v>
      </c>
      <c r="P71" s="1945">
        <v>35</v>
      </c>
      <c r="Q71" s="1944">
        <v>24</v>
      </c>
      <c r="R71" s="1944">
        <v>21</v>
      </c>
      <c r="S71" s="1944">
        <v>24</v>
      </c>
      <c r="T71" s="1944">
        <v>29</v>
      </c>
      <c r="U71" s="1944">
        <v>21</v>
      </c>
      <c r="V71" s="1944">
        <v>22</v>
      </c>
      <c r="W71" s="1944">
        <v>16</v>
      </c>
      <c r="X71" s="1944">
        <v>13</v>
      </c>
      <c r="Y71" s="1944">
        <v>8</v>
      </c>
      <c r="Z71" s="1944">
        <v>13</v>
      </c>
      <c r="AA71" s="1944">
        <v>9</v>
      </c>
      <c r="AB71" s="1944">
        <v>2</v>
      </c>
      <c r="AC71" s="1946" t="s">
        <v>28</v>
      </c>
    </row>
    <row r="72" spans="1:29" s="753" customFormat="1" ht="8.25" customHeight="1">
      <c r="A72" s="1762" t="s">
        <v>57</v>
      </c>
      <c r="B72" s="1686" t="s">
        <v>58</v>
      </c>
      <c r="C72" s="1941">
        <v>21</v>
      </c>
      <c r="D72" s="1941">
        <v>10</v>
      </c>
      <c r="E72" s="1941">
        <v>19</v>
      </c>
      <c r="F72" s="1941">
        <v>18</v>
      </c>
      <c r="G72" s="1941">
        <v>23</v>
      </c>
      <c r="H72" s="1941">
        <v>22</v>
      </c>
      <c r="I72" s="1941">
        <v>17</v>
      </c>
      <c r="J72" s="1941">
        <v>16</v>
      </c>
      <c r="K72" s="1941">
        <v>10</v>
      </c>
      <c r="L72" s="1941">
        <v>15</v>
      </c>
      <c r="M72" s="1941">
        <v>10</v>
      </c>
      <c r="N72" s="1941">
        <v>17</v>
      </c>
      <c r="O72" s="1941">
        <v>14</v>
      </c>
      <c r="P72" s="1942">
        <v>15</v>
      </c>
      <c r="Q72" s="1941">
        <v>14</v>
      </c>
      <c r="R72" s="1941">
        <v>9</v>
      </c>
      <c r="S72" s="1941">
        <v>13</v>
      </c>
      <c r="T72" s="1941">
        <v>13</v>
      </c>
      <c r="U72" s="1941">
        <v>11</v>
      </c>
      <c r="V72" s="1941">
        <v>6</v>
      </c>
      <c r="W72" s="1941">
        <v>5</v>
      </c>
      <c r="X72" s="1941">
        <v>11</v>
      </c>
      <c r="Y72" s="1941">
        <v>8</v>
      </c>
      <c r="Z72" s="1941">
        <v>6</v>
      </c>
      <c r="AA72" s="1941">
        <v>3</v>
      </c>
      <c r="AB72" s="1941">
        <v>1</v>
      </c>
      <c r="AC72" s="1943" t="s">
        <v>28</v>
      </c>
    </row>
    <row r="73" spans="1:29" s="754" customFormat="1" ht="8.25" customHeight="1">
      <c r="A73" s="1674" t="s">
        <v>29</v>
      </c>
      <c r="B73" s="1691" t="s">
        <v>190</v>
      </c>
      <c r="C73" s="1944">
        <v>21</v>
      </c>
      <c r="D73" s="1944">
        <v>10</v>
      </c>
      <c r="E73" s="1944">
        <v>19</v>
      </c>
      <c r="F73" s="1944">
        <v>18</v>
      </c>
      <c r="G73" s="1944">
        <v>23</v>
      </c>
      <c r="H73" s="1944">
        <v>22</v>
      </c>
      <c r="I73" s="1944">
        <v>17</v>
      </c>
      <c r="J73" s="1944">
        <v>16</v>
      </c>
      <c r="K73" s="1944">
        <v>10</v>
      </c>
      <c r="L73" s="1944">
        <v>15</v>
      </c>
      <c r="M73" s="1944">
        <v>10</v>
      </c>
      <c r="N73" s="1944">
        <v>17</v>
      </c>
      <c r="O73" s="1944">
        <v>14</v>
      </c>
      <c r="P73" s="1945">
        <v>15</v>
      </c>
      <c r="Q73" s="1944">
        <v>14</v>
      </c>
      <c r="R73" s="1944">
        <v>9</v>
      </c>
      <c r="S73" s="1944">
        <v>13</v>
      </c>
      <c r="T73" s="1944">
        <v>13</v>
      </c>
      <c r="U73" s="1944">
        <v>11</v>
      </c>
      <c r="V73" s="1944">
        <v>6</v>
      </c>
      <c r="W73" s="1944">
        <v>5</v>
      </c>
      <c r="X73" s="1944">
        <v>11</v>
      </c>
      <c r="Y73" s="1944">
        <v>8</v>
      </c>
      <c r="Z73" s="1944">
        <v>6</v>
      </c>
      <c r="AA73" s="1944">
        <v>3</v>
      </c>
      <c r="AB73" s="1944">
        <v>1</v>
      </c>
      <c r="AC73" s="1946" t="s">
        <v>28</v>
      </c>
    </row>
    <row r="74" spans="1:29" s="753" customFormat="1" ht="8.25" customHeight="1">
      <c r="A74" s="1762" t="s">
        <v>59</v>
      </c>
      <c r="B74" s="1686" t="s">
        <v>60</v>
      </c>
      <c r="C74" s="1941">
        <v>41</v>
      </c>
      <c r="D74" s="1941">
        <v>35</v>
      </c>
      <c r="E74" s="1941">
        <v>34</v>
      </c>
      <c r="F74" s="1941">
        <v>28</v>
      </c>
      <c r="G74" s="1941">
        <v>47</v>
      </c>
      <c r="H74" s="1941">
        <v>27</v>
      </c>
      <c r="I74" s="1941">
        <v>36</v>
      </c>
      <c r="J74" s="1941">
        <v>33</v>
      </c>
      <c r="K74" s="1941">
        <v>27</v>
      </c>
      <c r="L74" s="1941">
        <v>32</v>
      </c>
      <c r="M74" s="1941">
        <v>30</v>
      </c>
      <c r="N74" s="1941">
        <v>20</v>
      </c>
      <c r="O74" s="1941">
        <v>18</v>
      </c>
      <c r="P74" s="1942">
        <v>11</v>
      </c>
      <c r="Q74" s="1941">
        <v>19</v>
      </c>
      <c r="R74" s="1941">
        <v>14</v>
      </c>
      <c r="S74" s="1941">
        <v>21</v>
      </c>
      <c r="T74" s="1941">
        <v>8</v>
      </c>
      <c r="U74" s="1941">
        <v>16</v>
      </c>
      <c r="V74" s="1941">
        <v>14</v>
      </c>
      <c r="W74" s="1941">
        <v>9</v>
      </c>
      <c r="X74" s="1941">
        <v>11</v>
      </c>
      <c r="Y74" s="1941">
        <v>6</v>
      </c>
      <c r="Z74" s="1941">
        <v>10</v>
      </c>
      <c r="AA74" s="1941">
        <v>5</v>
      </c>
      <c r="AB74" s="1941">
        <v>3</v>
      </c>
      <c r="AC74" s="1943">
        <v>1</v>
      </c>
    </row>
    <row r="75" spans="1:29" s="754" customFormat="1" ht="8.25" customHeight="1">
      <c r="A75" s="1674" t="s">
        <v>29</v>
      </c>
      <c r="B75" s="1691" t="s">
        <v>190</v>
      </c>
      <c r="C75" s="1944">
        <v>41</v>
      </c>
      <c r="D75" s="1944">
        <v>35</v>
      </c>
      <c r="E75" s="1944">
        <v>34</v>
      </c>
      <c r="F75" s="1944">
        <v>28</v>
      </c>
      <c r="G75" s="1944">
        <v>47</v>
      </c>
      <c r="H75" s="1944">
        <v>27</v>
      </c>
      <c r="I75" s="1944">
        <v>36</v>
      </c>
      <c r="J75" s="1944">
        <v>33</v>
      </c>
      <c r="K75" s="1944">
        <v>27</v>
      </c>
      <c r="L75" s="1944">
        <v>32</v>
      </c>
      <c r="M75" s="1944">
        <v>30</v>
      </c>
      <c r="N75" s="1944">
        <v>20</v>
      </c>
      <c r="O75" s="1944">
        <v>18</v>
      </c>
      <c r="P75" s="1945">
        <v>11</v>
      </c>
      <c r="Q75" s="1944">
        <v>19</v>
      </c>
      <c r="R75" s="1944">
        <v>14</v>
      </c>
      <c r="S75" s="1944">
        <v>21</v>
      </c>
      <c r="T75" s="1944">
        <v>8</v>
      </c>
      <c r="U75" s="1944">
        <v>16</v>
      </c>
      <c r="V75" s="1944">
        <v>14</v>
      </c>
      <c r="W75" s="1944">
        <v>9</v>
      </c>
      <c r="X75" s="1944">
        <v>11</v>
      </c>
      <c r="Y75" s="1944">
        <v>6</v>
      </c>
      <c r="Z75" s="1944">
        <v>10</v>
      </c>
      <c r="AA75" s="1944">
        <v>5</v>
      </c>
      <c r="AB75" s="1944">
        <v>3</v>
      </c>
      <c r="AC75" s="1946">
        <v>1</v>
      </c>
    </row>
    <row r="76" spans="1:29" s="753" customFormat="1" ht="8.25" customHeight="1">
      <c r="A76" s="1762" t="s">
        <v>61</v>
      </c>
      <c r="B76" s="1686" t="s">
        <v>62</v>
      </c>
      <c r="C76" s="1941">
        <v>2</v>
      </c>
      <c r="D76" s="1941">
        <v>2</v>
      </c>
      <c r="E76" s="1941">
        <v>2</v>
      </c>
      <c r="F76" s="1941">
        <v>3</v>
      </c>
      <c r="G76" s="1941">
        <v>4</v>
      </c>
      <c r="H76" s="1941">
        <v>5</v>
      </c>
      <c r="I76" s="1941">
        <v>3</v>
      </c>
      <c r="J76" s="1941">
        <v>6</v>
      </c>
      <c r="K76" s="1941">
        <v>8</v>
      </c>
      <c r="L76" s="1941">
        <v>6</v>
      </c>
      <c r="M76" s="1941">
        <v>12</v>
      </c>
      <c r="N76" s="1941">
        <v>5</v>
      </c>
      <c r="O76" s="1941">
        <v>2</v>
      </c>
      <c r="P76" s="1942">
        <v>3</v>
      </c>
      <c r="Q76" s="1941">
        <v>3</v>
      </c>
      <c r="R76" s="1941">
        <v>2</v>
      </c>
      <c r="S76" s="1941">
        <v>2</v>
      </c>
      <c r="T76" s="1941">
        <v>4</v>
      </c>
      <c r="U76" s="1941">
        <v>5</v>
      </c>
      <c r="V76" s="1941">
        <v>2</v>
      </c>
      <c r="W76" s="1941">
        <v>5</v>
      </c>
      <c r="X76" s="1941">
        <v>2</v>
      </c>
      <c r="Y76" s="1941">
        <v>3</v>
      </c>
      <c r="Z76" s="1941">
        <v>2</v>
      </c>
      <c r="AA76" s="1941">
        <v>1</v>
      </c>
      <c r="AB76" s="1941" t="s">
        <v>28</v>
      </c>
      <c r="AC76" s="1943" t="s">
        <v>28</v>
      </c>
    </row>
    <row r="77" spans="1:29" s="754" customFormat="1" ht="8.25" customHeight="1">
      <c r="A77" s="1674" t="s">
        <v>29</v>
      </c>
      <c r="B77" s="1691" t="s">
        <v>190</v>
      </c>
      <c r="C77" s="1944">
        <v>2</v>
      </c>
      <c r="D77" s="1944">
        <v>1</v>
      </c>
      <c r="E77" s="1944">
        <v>2</v>
      </c>
      <c r="F77" s="1944">
        <v>3</v>
      </c>
      <c r="G77" s="1944">
        <v>2</v>
      </c>
      <c r="H77" s="1944">
        <v>4</v>
      </c>
      <c r="I77" s="1944">
        <v>3</v>
      </c>
      <c r="J77" s="1944">
        <v>6</v>
      </c>
      <c r="K77" s="1944">
        <v>6</v>
      </c>
      <c r="L77" s="1944">
        <v>6</v>
      </c>
      <c r="M77" s="1944">
        <v>9</v>
      </c>
      <c r="N77" s="1944">
        <v>3</v>
      </c>
      <c r="O77" s="1944">
        <v>1</v>
      </c>
      <c r="P77" s="1945">
        <v>3</v>
      </c>
      <c r="Q77" s="1944">
        <v>3</v>
      </c>
      <c r="R77" s="1944">
        <v>2</v>
      </c>
      <c r="S77" s="1944">
        <v>1</v>
      </c>
      <c r="T77" s="1944">
        <v>1</v>
      </c>
      <c r="U77" s="1944">
        <v>4</v>
      </c>
      <c r="V77" s="1944">
        <v>1</v>
      </c>
      <c r="W77" s="1944">
        <v>4</v>
      </c>
      <c r="X77" s="1944">
        <v>2</v>
      </c>
      <c r="Y77" s="1944">
        <v>3</v>
      </c>
      <c r="Z77" s="1944">
        <v>2</v>
      </c>
      <c r="AA77" s="1944">
        <v>1</v>
      </c>
      <c r="AB77" s="1944" t="s">
        <v>28</v>
      </c>
      <c r="AC77" s="1946" t="s">
        <v>28</v>
      </c>
    </row>
    <row r="78" spans="1:29" s="754" customFormat="1" ht="8.25" customHeight="1">
      <c r="A78" s="1674" t="s">
        <v>31</v>
      </c>
      <c r="B78" s="1691" t="s">
        <v>191</v>
      </c>
      <c r="C78" s="1944" t="s">
        <v>28</v>
      </c>
      <c r="D78" s="1944">
        <v>1</v>
      </c>
      <c r="E78" s="1944" t="s">
        <v>28</v>
      </c>
      <c r="F78" s="1944" t="s">
        <v>28</v>
      </c>
      <c r="G78" s="1944">
        <v>2</v>
      </c>
      <c r="H78" s="1944">
        <v>1</v>
      </c>
      <c r="I78" s="1944" t="s">
        <v>28</v>
      </c>
      <c r="J78" s="1944" t="s">
        <v>28</v>
      </c>
      <c r="K78" s="1944">
        <v>2</v>
      </c>
      <c r="L78" s="1944" t="s">
        <v>28</v>
      </c>
      <c r="M78" s="1944">
        <v>3</v>
      </c>
      <c r="N78" s="1944">
        <v>2</v>
      </c>
      <c r="O78" s="1944">
        <v>1</v>
      </c>
      <c r="P78" s="1945" t="s">
        <v>28</v>
      </c>
      <c r="Q78" s="1944" t="s">
        <v>28</v>
      </c>
      <c r="R78" s="1944" t="s">
        <v>28</v>
      </c>
      <c r="S78" s="1944">
        <v>1</v>
      </c>
      <c r="T78" s="1944">
        <v>3</v>
      </c>
      <c r="U78" s="1944">
        <v>1</v>
      </c>
      <c r="V78" s="1944">
        <v>1</v>
      </c>
      <c r="W78" s="1944">
        <v>1</v>
      </c>
      <c r="X78" s="1944" t="s">
        <v>28</v>
      </c>
      <c r="Y78" s="1944" t="s">
        <v>28</v>
      </c>
      <c r="Z78" s="1944" t="s">
        <v>28</v>
      </c>
      <c r="AA78" s="1944" t="s">
        <v>28</v>
      </c>
      <c r="AB78" s="1944" t="s">
        <v>28</v>
      </c>
      <c r="AC78" s="1946" t="s">
        <v>28</v>
      </c>
    </row>
    <row r="79" spans="1:29" s="753" customFormat="1" ht="8.25" customHeight="1">
      <c r="A79" s="1762" t="s">
        <v>63</v>
      </c>
      <c r="B79" s="1686" t="s">
        <v>64</v>
      </c>
      <c r="C79" s="1941">
        <v>1</v>
      </c>
      <c r="D79" s="1941" t="s">
        <v>28</v>
      </c>
      <c r="E79" s="1941">
        <v>1</v>
      </c>
      <c r="F79" s="1941">
        <v>1</v>
      </c>
      <c r="G79" s="1941">
        <v>1</v>
      </c>
      <c r="H79" s="1941">
        <v>2</v>
      </c>
      <c r="I79" s="1941" t="s">
        <v>28</v>
      </c>
      <c r="J79" s="1941">
        <v>1</v>
      </c>
      <c r="K79" s="1941" t="s">
        <v>28</v>
      </c>
      <c r="L79" s="1941">
        <v>1</v>
      </c>
      <c r="M79" s="1941" t="s">
        <v>28</v>
      </c>
      <c r="N79" s="1941">
        <v>1</v>
      </c>
      <c r="O79" s="1941">
        <v>1</v>
      </c>
      <c r="P79" s="1942" t="s">
        <v>28</v>
      </c>
      <c r="Q79" s="1941" t="s">
        <v>28</v>
      </c>
      <c r="R79" s="1941">
        <v>1</v>
      </c>
      <c r="S79" s="1941">
        <v>4</v>
      </c>
      <c r="T79" s="1941" t="s">
        <v>28</v>
      </c>
      <c r="U79" s="1941" t="s">
        <v>28</v>
      </c>
      <c r="V79" s="1941">
        <v>1</v>
      </c>
      <c r="W79" s="1941" t="s">
        <v>28</v>
      </c>
      <c r="X79" s="1941">
        <v>1</v>
      </c>
      <c r="Y79" s="1941" t="s">
        <v>28</v>
      </c>
      <c r="Z79" s="1941" t="s">
        <v>28</v>
      </c>
      <c r="AA79" s="1941" t="s">
        <v>28</v>
      </c>
      <c r="AB79" s="1941" t="s">
        <v>28</v>
      </c>
      <c r="AC79" s="1943" t="s">
        <v>28</v>
      </c>
    </row>
    <row r="80" spans="1:29" s="754" customFormat="1" ht="8.25" customHeight="1" thickBot="1">
      <c r="A80" s="1952" t="s">
        <v>29</v>
      </c>
      <c r="B80" s="1697" t="s">
        <v>190</v>
      </c>
      <c r="C80" s="1953">
        <v>1</v>
      </c>
      <c r="D80" s="1953" t="s">
        <v>28</v>
      </c>
      <c r="E80" s="1953">
        <v>1</v>
      </c>
      <c r="F80" s="1953">
        <v>1</v>
      </c>
      <c r="G80" s="1953">
        <v>1</v>
      </c>
      <c r="H80" s="1953">
        <v>2</v>
      </c>
      <c r="I80" s="1953" t="s">
        <v>28</v>
      </c>
      <c r="J80" s="1953">
        <v>1</v>
      </c>
      <c r="K80" s="1953" t="s">
        <v>28</v>
      </c>
      <c r="L80" s="1953">
        <v>1</v>
      </c>
      <c r="M80" s="1953" t="s">
        <v>28</v>
      </c>
      <c r="N80" s="1953">
        <v>1</v>
      </c>
      <c r="O80" s="1953">
        <v>1</v>
      </c>
      <c r="P80" s="1954" t="s">
        <v>28</v>
      </c>
      <c r="Q80" s="1953" t="s">
        <v>28</v>
      </c>
      <c r="R80" s="1953">
        <v>1</v>
      </c>
      <c r="S80" s="1953">
        <v>4</v>
      </c>
      <c r="T80" s="1953" t="s">
        <v>28</v>
      </c>
      <c r="U80" s="1953" t="s">
        <v>28</v>
      </c>
      <c r="V80" s="1953">
        <v>1</v>
      </c>
      <c r="W80" s="1953" t="s">
        <v>28</v>
      </c>
      <c r="X80" s="1953">
        <v>1</v>
      </c>
      <c r="Y80" s="1953" t="s">
        <v>28</v>
      </c>
      <c r="Z80" s="1953" t="s">
        <v>28</v>
      </c>
      <c r="AA80" s="1953" t="s">
        <v>28</v>
      </c>
      <c r="AB80" s="1953" t="s">
        <v>28</v>
      </c>
      <c r="AC80" s="1955" t="s">
        <v>28</v>
      </c>
    </row>
    <row r="83" spans="1:1">
      <c r="A83" s="708"/>
    </row>
  </sheetData>
  <mergeCells count="27">
    <mergeCell ref="S5:S6"/>
    <mergeCell ref="F5:F6"/>
    <mergeCell ref="A5:B5"/>
    <mergeCell ref="O5:O6"/>
    <mergeCell ref="D5:D6"/>
    <mergeCell ref="J5:J6"/>
    <mergeCell ref="I5:I6"/>
    <mergeCell ref="E5:E6"/>
    <mergeCell ref="G5:G6"/>
    <mergeCell ref="H5:H6"/>
    <mergeCell ref="A6:B6"/>
    <mergeCell ref="A2:O2"/>
    <mergeCell ref="P2:AC2"/>
    <mergeCell ref="P54:AC54"/>
    <mergeCell ref="P40:AC40"/>
    <mergeCell ref="M5:M6"/>
    <mergeCell ref="R5:R6"/>
    <mergeCell ref="P5:P6"/>
    <mergeCell ref="L5:L6"/>
    <mergeCell ref="N5:N6"/>
    <mergeCell ref="A54:O54"/>
    <mergeCell ref="A40:O40"/>
    <mergeCell ref="C5:C6"/>
    <mergeCell ref="K5:K6"/>
    <mergeCell ref="A3:O3"/>
    <mergeCell ref="P3:AC3"/>
    <mergeCell ref="Q5:Q6"/>
  </mergeCells>
  <phoneticPr fontId="4" type="noConversion"/>
  <hyperlinks>
    <hyperlink ref="A1" location="목록!A1" display="목록!A1" xr:uid="{49C3A3EE-C7CE-4E13-8859-633E9CCCC014}"/>
  </hyperlinks>
  <pageMargins left="0.59055118110236227" right="0.59055118110236227" top="0.78740157480314965" bottom="0.42572463768115942" header="0.62992125984251968" footer="0.39370078740157483"/>
  <pageSetup paperSize="9" scale="94" orientation="portrait" r:id="rId1"/>
  <rowBreaks count="1" manualBreakCount="1">
    <brk id="80" max="28" man="1"/>
  </rowBreaks>
  <colBreaks count="1" manualBreakCount="1">
    <brk id="15" min="1" max="79" man="1"/>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dimension ref="A1:AT80"/>
  <sheetViews>
    <sheetView showGridLines="0" showWhiteSpace="0" view="pageBreakPreview" zoomScaleNormal="100" zoomScaleSheetLayoutView="100" workbookViewId="0">
      <selection activeCell="A2" sqref="A2:AR80"/>
    </sheetView>
  </sheetViews>
  <sheetFormatPr defaultColWidth="8" defaultRowHeight="16.5"/>
  <cols>
    <col min="1" max="1" width="8.21875" style="28" customWidth="1"/>
    <col min="2" max="2" width="14" style="26" customWidth="1"/>
    <col min="3" max="4" width="3.109375" style="24" customWidth="1"/>
    <col min="5" max="6" width="3.21875" style="24" customWidth="1"/>
    <col min="7" max="20" width="3.109375" style="24" customWidth="1"/>
    <col min="21" max="22" width="3.33203125" style="24" customWidth="1"/>
    <col min="23" max="26" width="3.5546875" style="24" customWidth="1"/>
    <col min="27" max="27" width="4" style="24" customWidth="1"/>
    <col min="28" max="43" width="3.5546875" style="24" customWidth="1"/>
    <col min="44" max="44" width="4.44140625" style="24" customWidth="1"/>
    <col min="45" max="16384" width="8" style="24"/>
  </cols>
  <sheetData>
    <row r="1" spans="1:46" ht="22.5">
      <c r="A1" s="901" t="s">
        <v>1332</v>
      </c>
    </row>
    <row r="2" spans="1:46" s="22" customFormat="1" ht="13.5" customHeight="1">
      <c r="A2" s="1956" t="s">
        <v>1187</v>
      </c>
      <c r="B2" s="1956"/>
      <c r="C2" s="1956"/>
      <c r="D2" s="1956"/>
      <c r="E2" s="1956"/>
      <c r="F2" s="1956"/>
      <c r="G2" s="1956"/>
      <c r="H2" s="1956"/>
      <c r="I2" s="1956"/>
      <c r="J2" s="1956"/>
      <c r="K2" s="1956"/>
      <c r="L2" s="1956"/>
      <c r="M2" s="1956"/>
      <c r="N2" s="1956"/>
      <c r="O2" s="1956"/>
      <c r="P2" s="1956"/>
      <c r="Q2" s="1956"/>
      <c r="R2" s="1956"/>
      <c r="S2" s="1956"/>
      <c r="T2" s="1956"/>
      <c r="U2" s="1956"/>
      <c r="V2" s="1956"/>
      <c r="W2" s="1957" t="s">
        <v>978</v>
      </c>
      <c r="X2" s="1957"/>
      <c r="Y2" s="1957"/>
      <c r="Z2" s="1957"/>
      <c r="AA2" s="1957"/>
      <c r="AB2" s="1957"/>
      <c r="AC2" s="1957"/>
      <c r="AD2" s="1957"/>
      <c r="AE2" s="1957"/>
      <c r="AF2" s="1957"/>
      <c r="AG2" s="1957"/>
      <c r="AH2" s="1957"/>
      <c r="AI2" s="1957"/>
      <c r="AJ2" s="1957"/>
      <c r="AK2" s="1957"/>
      <c r="AL2" s="1957"/>
      <c r="AM2" s="1957"/>
      <c r="AN2" s="1957"/>
      <c r="AO2" s="1957"/>
      <c r="AP2" s="1957"/>
      <c r="AQ2" s="1957"/>
      <c r="AR2" s="1957"/>
      <c r="AS2" s="763"/>
      <c r="AT2" s="763"/>
    </row>
    <row r="3" spans="1:46" s="23" customFormat="1" ht="21" customHeight="1">
      <c r="A3" s="1958" t="s">
        <v>910</v>
      </c>
      <c r="B3" s="1958"/>
      <c r="C3" s="1958"/>
      <c r="D3" s="1958"/>
      <c r="E3" s="1958"/>
      <c r="F3" s="1958"/>
      <c r="G3" s="1958"/>
      <c r="H3" s="1958"/>
      <c r="I3" s="1958"/>
      <c r="J3" s="1958"/>
      <c r="K3" s="1958"/>
      <c r="L3" s="1958"/>
      <c r="M3" s="1958"/>
      <c r="N3" s="1958"/>
      <c r="O3" s="1958"/>
      <c r="P3" s="1958"/>
      <c r="Q3" s="1958"/>
      <c r="R3" s="1958"/>
      <c r="S3" s="1958"/>
      <c r="T3" s="1958"/>
      <c r="U3" s="1958"/>
      <c r="V3" s="1958"/>
      <c r="W3" s="1958" t="s">
        <v>909</v>
      </c>
      <c r="X3" s="1958"/>
      <c r="Y3" s="1958"/>
      <c r="Z3" s="1958"/>
      <c r="AA3" s="1958"/>
      <c r="AB3" s="1958"/>
      <c r="AC3" s="1958"/>
      <c r="AD3" s="1958"/>
      <c r="AE3" s="1958"/>
      <c r="AF3" s="1958"/>
      <c r="AG3" s="1958"/>
      <c r="AH3" s="1958"/>
      <c r="AI3" s="1958"/>
      <c r="AJ3" s="1958"/>
      <c r="AK3" s="1958"/>
      <c r="AL3" s="1958"/>
      <c r="AM3" s="1958"/>
      <c r="AN3" s="1958"/>
      <c r="AO3" s="1958"/>
      <c r="AP3" s="1958"/>
      <c r="AQ3" s="1958"/>
      <c r="AR3" s="1958"/>
    </row>
    <row r="4" spans="1:46" ht="11.25" customHeight="1" thickBot="1">
      <c r="A4" s="1404" t="s">
        <v>1404</v>
      </c>
      <c r="B4" s="1404"/>
      <c r="C4" s="1404"/>
      <c r="D4" s="1404"/>
      <c r="E4" s="1404"/>
      <c r="F4" s="1404"/>
      <c r="G4" s="1404"/>
      <c r="H4" s="1404"/>
      <c r="I4" s="1404"/>
      <c r="J4" s="1404"/>
      <c r="K4" s="1404"/>
      <c r="L4" s="1404"/>
      <c r="M4" s="1404"/>
      <c r="N4" s="1404"/>
      <c r="O4" s="1404"/>
      <c r="P4" s="1404"/>
      <c r="Q4" s="1404"/>
      <c r="R4" s="1404"/>
      <c r="S4" s="1404"/>
      <c r="T4" s="1404"/>
      <c r="U4" s="1405"/>
      <c r="V4" s="1405"/>
      <c r="W4" s="1405"/>
      <c r="X4" s="1405"/>
      <c r="Y4" s="1405"/>
      <c r="Z4" s="1405"/>
      <c r="AA4" s="1405"/>
      <c r="AB4" s="1405"/>
      <c r="AC4" s="1405"/>
      <c r="AD4" s="1405"/>
      <c r="AE4" s="1405"/>
      <c r="AF4" s="1405"/>
      <c r="AG4" s="1405"/>
      <c r="AH4" s="1405"/>
      <c r="AI4" s="1405"/>
      <c r="AJ4" s="1405"/>
      <c r="AK4" s="1405"/>
      <c r="AL4" s="1405"/>
      <c r="AM4" s="1405"/>
      <c r="AN4" s="1405"/>
      <c r="AO4" s="1405"/>
      <c r="AP4" s="1405"/>
      <c r="AQ4" s="1405"/>
      <c r="AR4" s="1405"/>
    </row>
    <row r="5" spans="1:46" s="25" customFormat="1" ht="10.5" customHeight="1">
      <c r="A5" s="1402" t="s">
        <v>2</v>
      </c>
      <c r="B5" s="1396"/>
      <c r="C5" s="1395" t="s">
        <v>620</v>
      </c>
      <c r="D5" s="1396"/>
      <c r="E5" s="1395" t="s">
        <v>260</v>
      </c>
      <c r="F5" s="1402"/>
      <c r="G5" s="1402"/>
      <c r="H5" s="1402"/>
      <c r="I5" s="1402"/>
      <c r="J5" s="1402"/>
      <c r="K5" s="1402"/>
      <c r="L5" s="1402"/>
      <c r="M5" s="1402"/>
      <c r="N5" s="1402"/>
      <c r="O5" s="1402"/>
      <c r="P5" s="1402"/>
      <c r="Q5" s="1402"/>
      <c r="R5" s="1402"/>
      <c r="S5" s="1402"/>
      <c r="T5" s="1396"/>
      <c r="U5" s="1403" t="s">
        <v>261</v>
      </c>
      <c r="V5" s="1403"/>
      <c r="W5" s="1403" t="s">
        <v>262</v>
      </c>
      <c r="X5" s="1403"/>
      <c r="Y5" s="1403"/>
      <c r="Z5" s="1403"/>
      <c r="AA5" s="1403"/>
      <c r="AB5" s="1403"/>
      <c r="AC5" s="1403"/>
      <c r="AD5" s="1403"/>
      <c r="AE5" s="1403"/>
      <c r="AF5" s="1403"/>
      <c r="AG5" s="1403"/>
      <c r="AH5" s="1403"/>
      <c r="AI5" s="1403"/>
      <c r="AJ5" s="1403"/>
      <c r="AK5" s="1403"/>
      <c r="AL5" s="1395" t="s">
        <v>263</v>
      </c>
      <c r="AM5" s="1396"/>
      <c r="AN5" s="1395" t="s">
        <v>701</v>
      </c>
      <c r="AO5" s="1396"/>
      <c r="AP5" s="1395" t="s">
        <v>700</v>
      </c>
      <c r="AQ5" s="1396"/>
      <c r="AR5" s="1395" t="s">
        <v>702</v>
      </c>
    </row>
    <row r="6" spans="1:46" s="26" customFormat="1" ht="10.5" customHeight="1">
      <c r="A6" s="1959" t="s">
        <v>7</v>
      </c>
      <c r="B6" s="1399"/>
      <c r="C6" s="1397"/>
      <c r="D6" s="1398"/>
      <c r="E6" s="1400" t="s">
        <v>264</v>
      </c>
      <c r="F6" s="1960"/>
      <c r="G6" s="1960"/>
      <c r="H6" s="1960"/>
      <c r="I6" s="1960"/>
      <c r="J6" s="1960"/>
      <c r="K6" s="1960"/>
      <c r="L6" s="1960"/>
      <c r="M6" s="1960"/>
      <c r="N6" s="1960"/>
      <c r="O6" s="1960"/>
      <c r="P6" s="1960"/>
      <c r="Q6" s="1960"/>
      <c r="R6" s="1960"/>
      <c r="S6" s="1960"/>
      <c r="T6" s="1401"/>
      <c r="U6" s="1400" t="s">
        <v>265</v>
      </c>
      <c r="V6" s="1401"/>
      <c r="W6" s="1406" t="s">
        <v>266</v>
      </c>
      <c r="X6" s="1406"/>
      <c r="Y6" s="1406"/>
      <c r="Z6" s="1406"/>
      <c r="AA6" s="1406"/>
      <c r="AB6" s="1406"/>
      <c r="AC6" s="1406"/>
      <c r="AD6" s="1406"/>
      <c r="AE6" s="1406"/>
      <c r="AF6" s="1406"/>
      <c r="AG6" s="1406"/>
      <c r="AH6" s="1406"/>
      <c r="AI6" s="1406"/>
      <c r="AJ6" s="1406"/>
      <c r="AK6" s="1406"/>
      <c r="AL6" s="1397"/>
      <c r="AM6" s="1398"/>
      <c r="AN6" s="1397"/>
      <c r="AO6" s="1398"/>
      <c r="AP6" s="1397"/>
      <c r="AQ6" s="1398"/>
      <c r="AR6" s="1397"/>
    </row>
    <row r="7" spans="1:46" s="27" customFormat="1" ht="10.5" customHeight="1">
      <c r="A7" s="1961"/>
      <c r="B7" s="1962"/>
      <c r="C7" s="1400" t="s">
        <v>621</v>
      </c>
      <c r="D7" s="1401"/>
      <c r="E7" s="1963" t="s">
        <v>95</v>
      </c>
      <c r="F7" s="1964"/>
      <c r="G7" s="1963" t="s">
        <v>267</v>
      </c>
      <c r="H7" s="1964"/>
      <c r="I7" s="1963" t="s">
        <v>123</v>
      </c>
      <c r="J7" s="1964"/>
      <c r="K7" s="1963" t="s">
        <v>268</v>
      </c>
      <c r="L7" s="1964"/>
      <c r="M7" s="1963" t="s">
        <v>269</v>
      </c>
      <c r="N7" s="1964"/>
      <c r="O7" s="1963" t="s">
        <v>270</v>
      </c>
      <c r="P7" s="1964"/>
      <c r="Q7" s="1963" t="s">
        <v>1069</v>
      </c>
      <c r="R7" s="1964"/>
      <c r="S7" s="1963" t="s">
        <v>148</v>
      </c>
      <c r="T7" s="1964"/>
      <c r="U7" s="1400"/>
      <c r="V7" s="1401"/>
      <c r="W7" s="1965" t="s">
        <v>95</v>
      </c>
      <c r="X7" s="1965"/>
      <c r="Y7" s="1965" t="s">
        <v>267</v>
      </c>
      <c r="Z7" s="1965"/>
      <c r="AA7" s="1966" t="s">
        <v>622</v>
      </c>
      <c r="AB7" s="1965" t="s">
        <v>271</v>
      </c>
      <c r="AC7" s="1965"/>
      <c r="AD7" s="1965" t="s">
        <v>1070</v>
      </c>
      <c r="AE7" s="1965"/>
      <c r="AF7" s="1965" t="s">
        <v>272</v>
      </c>
      <c r="AG7" s="1965"/>
      <c r="AH7" s="1965" t="s">
        <v>1071</v>
      </c>
      <c r="AI7" s="1965"/>
      <c r="AJ7" s="1965" t="s">
        <v>148</v>
      </c>
      <c r="AK7" s="1965"/>
      <c r="AL7" s="1400" t="s">
        <v>623</v>
      </c>
      <c r="AM7" s="1401"/>
      <c r="AN7" s="1400" t="s">
        <v>624</v>
      </c>
      <c r="AO7" s="1401"/>
      <c r="AP7" s="1400" t="s">
        <v>625</v>
      </c>
      <c r="AQ7" s="1401"/>
      <c r="AR7" s="1400" t="s">
        <v>626</v>
      </c>
    </row>
    <row r="8" spans="1:46" s="26" customFormat="1" ht="21.75" customHeight="1">
      <c r="A8" s="1959"/>
      <c r="B8" s="1399"/>
      <c r="C8" s="1407"/>
      <c r="D8" s="1408"/>
      <c r="E8" s="1409" t="s">
        <v>16</v>
      </c>
      <c r="F8" s="1410"/>
      <c r="G8" s="1409" t="s">
        <v>273</v>
      </c>
      <c r="H8" s="1410"/>
      <c r="I8" s="1409" t="s">
        <v>127</v>
      </c>
      <c r="J8" s="1410"/>
      <c r="K8" s="1409" t="s">
        <v>274</v>
      </c>
      <c r="L8" s="1410"/>
      <c r="M8" s="1409" t="s">
        <v>641</v>
      </c>
      <c r="N8" s="1410"/>
      <c r="O8" s="1409" t="s">
        <v>275</v>
      </c>
      <c r="P8" s="1410"/>
      <c r="Q8" s="1409" t="s">
        <v>1092</v>
      </c>
      <c r="R8" s="1410"/>
      <c r="S8" s="1409" t="s">
        <v>150</v>
      </c>
      <c r="T8" s="1410"/>
      <c r="U8" s="1411"/>
      <c r="V8" s="1411"/>
      <c r="W8" s="1409" t="s">
        <v>16</v>
      </c>
      <c r="X8" s="1410"/>
      <c r="Y8" s="1409" t="s">
        <v>273</v>
      </c>
      <c r="Z8" s="1410"/>
      <c r="AA8" s="1967" t="s">
        <v>627</v>
      </c>
      <c r="AB8" s="1409" t="s">
        <v>276</v>
      </c>
      <c r="AC8" s="1410"/>
      <c r="AD8" s="1409" t="s">
        <v>1245</v>
      </c>
      <c r="AE8" s="1410"/>
      <c r="AF8" s="1409" t="s">
        <v>628</v>
      </c>
      <c r="AG8" s="1410"/>
      <c r="AH8" s="1409" t="s">
        <v>1072</v>
      </c>
      <c r="AI8" s="1410"/>
      <c r="AJ8" s="1409" t="s">
        <v>150</v>
      </c>
      <c r="AK8" s="1410"/>
      <c r="AL8" s="1407"/>
      <c r="AM8" s="1408"/>
      <c r="AN8" s="1407"/>
      <c r="AO8" s="1408"/>
      <c r="AP8" s="1407"/>
      <c r="AQ8" s="1408"/>
      <c r="AR8" s="1407"/>
    </row>
    <row r="9" spans="1:46" s="25" customFormat="1" ht="9" customHeight="1">
      <c r="A9" s="1968"/>
      <c r="B9" s="1398"/>
      <c r="C9" s="977" t="s">
        <v>13</v>
      </c>
      <c r="D9" s="977" t="s">
        <v>629</v>
      </c>
      <c r="E9" s="977" t="s">
        <v>13</v>
      </c>
      <c r="F9" s="977" t="s">
        <v>629</v>
      </c>
      <c r="G9" s="977" t="s">
        <v>13</v>
      </c>
      <c r="H9" s="977" t="s">
        <v>629</v>
      </c>
      <c r="I9" s="977" t="s">
        <v>13</v>
      </c>
      <c r="J9" s="977" t="s">
        <v>629</v>
      </c>
      <c r="K9" s="977" t="s">
        <v>13</v>
      </c>
      <c r="L9" s="977" t="s">
        <v>629</v>
      </c>
      <c r="M9" s="977" t="s">
        <v>13</v>
      </c>
      <c r="N9" s="977" t="s">
        <v>629</v>
      </c>
      <c r="O9" s="977" t="s">
        <v>13</v>
      </c>
      <c r="P9" s="977" t="s">
        <v>629</v>
      </c>
      <c r="Q9" s="977" t="s">
        <v>13</v>
      </c>
      <c r="R9" s="977" t="s">
        <v>629</v>
      </c>
      <c r="S9" s="977" t="s">
        <v>13</v>
      </c>
      <c r="T9" s="977" t="s">
        <v>629</v>
      </c>
      <c r="U9" s="1969" t="s">
        <v>13</v>
      </c>
      <c r="V9" s="1969" t="s">
        <v>629</v>
      </c>
      <c r="W9" s="1969" t="s">
        <v>13</v>
      </c>
      <c r="X9" s="1969" t="s">
        <v>629</v>
      </c>
      <c r="Y9" s="1969" t="s">
        <v>13</v>
      </c>
      <c r="Z9" s="1969" t="s">
        <v>629</v>
      </c>
      <c r="AA9" s="1969" t="s">
        <v>13</v>
      </c>
      <c r="AB9" s="1969" t="s">
        <v>13</v>
      </c>
      <c r="AC9" s="1969" t="s">
        <v>629</v>
      </c>
      <c r="AD9" s="1969" t="s">
        <v>13</v>
      </c>
      <c r="AE9" s="1969" t="s">
        <v>629</v>
      </c>
      <c r="AF9" s="1969" t="s">
        <v>13</v>
      </c>
      <c r="AG9" s="1969" t="s">
        <v>629</v>
      </c>
      <c r="AH9" s="1969" t="s">
        <v>13</v>
      </c>
      <c r="AI9" s="1969" t="s">
        <v>629</v>
      </c>
      <c r="AJ9" s="1969" t="s">
        <v>13</v>
      </c>
      <c r="AK9" s="1969" t="s">
        <v>629</v>
      </c>
      <c r="AL9" s="977" t="s">
        <v>13</v>
      </c>
      <c r="AM9" s="977" t="s">
        <v>629</v>
      </c>
      <c r="AN9" s="977" t="s">
        <v>13</v>
      </c>
      <c r="AO9" s="977" t="s">
        <v>629</v>
      </c>
      <c r="AP9" s="977" t="s">
        <v>13</v>
      </c>
      <c r="AQ9" s="977" t="s">
        <v>640</v>
      </c>
      <c r="AR9" s="980" t="s">
        <v>630</v>
      </c>
    </row>
    <row r="10" spans="1:46" s="28" customFormat="1" ht="8.1" customHeight="1">
      <c r="A10" s="1412"/>
      <c r="B10" s="1408"/>
      <c r="C10" s="979" t="s">
        <v>25</v>
      </c>
      <c r="D10" s="979" t="s">
        <v>26</v>
      </c>
      <c r="E10" s="979" t="s">
        <v>25</v>
      </c>
      <c r="F10" s="979" t="s">
        <v>26</v>
      </c>
      <c r="G10" s="979" t="s">
        <v>25</v>
      </c>
      <c r="H10" s="979" t="s">
        <v>26</v>
      </c>
      <c r="I10" s="979" t="s">
        <v>25</v>
      </c>
      <c r="J10" s="979" t="s">
        <v>26</v>
      </c>
      <c r="K10" s="979" t="s">
        <v>25</v>
      </c>
      <c r="L10" s="979" t="s">
        <v>26</v>
      </c>
      <c r="M10" s="979" t="s">
        <v>25</v>
      </c>
      <c r="N10" s="979" t="s">
        <v>26</v>
      </c>
      <c r="O10" s="979" t="s">
        <v>25</v>
      </c>
      <c r="P10" s="979" t="s">
        <v>26</v>
      </c>
      <c r="Q10" s="979" t="s">
        <v>25</v>
      </c>
      <c r="R10" s="979" t="s">
        <v>26</v>
      </c>
      <c r="S10" s="979" t="s">
        <v>25</v>
      </c>
      <c r="T10" s="979" t="s">
        <v>26</v>
      </c>
      <c r="U10" s="1970" t="s">
        <v>25</v>
      </c>
      <c r="V10" s="1970" t="s">
        <v>26</v>
      </c>
      <c r="W10" s="1970" t="s">
        <v>25</v>
      </c>
      <c r="X10" s="1970" t="s">
        <v>26</v>
      </c>
      <c r="Y10" s="1970" t="s">
        <v>25</v>
      </c>
      <c r="Z10" s="1970" t="s">
        <v>26</v>
      </c>
      <c r="AA10" s="1970" t="s">
        <v>25</v>
      </c>
      <c r="AB10" s="1970" t="s">
        <v>25</v>
      </c>
      <c r="AC10" s="1970" t="s">
        <v>26</v>
      </c>
      <c r="AD10" s="1970" t="s">
        <v>25</v>
      </c>
      <c r="AE10" s="1970" t="s">
        <v>26</v>
      </c>
      <c r="AF10" s="1970" t="s">
        <v>25</v>
      </c>
      <c r="AG10" s="1970" t="s">
        <v>26</v>
      </c>
      <c r="AH10" s="1970" t="s">
        <v>25</v>
      </c>
      <c r="AI10" s="1970" t="s">
        <v>26</v>
      </c>
      <c r="AJ10" s="1970" t="s">
        <v>25</v>
      </c>
      <c r="AK10" s="1970" t="s">
        <v>26</v>
      </c>
      <c r="AL10" s="979" t="s">
        <v>25</v>
      </c>
      <c r="AM10" s="979" t="s">
        <v>26</v>
      </c>
      <c r="AN10" s="979" t="s">
        <v>25</v>
      </c>
      <c r="AO10" s="979" t="s">
        <v>26</v>
      </c>
      <c r="AP10" s="979" t="s">
        <v>25</v>
      </c>
      <c r="AQ10" s="979" t="s">
        <v>26</v>
      </c>
      <c r="AR10" s="978" t="s">
        <v>631</v>
      </c>
    </row>
    <row r="11" spans="1:46" s="29" customFormat="1" ht="8.4499999999999993" customHeight="1">
      <c r="A11" s="1971" t="s">
        <v>27</v>
      </c>
      <c r="B11" s="1971" t="s">
        <v>16</v>
      </c>
      <c r="C11" s="1972">
        <v>249</v>
      </c>
      <c r="D11" s="1973">
        <v>135</v>
      </c>
      <c r="E11" s="1973">
        <v>158</v>
      </c>
      <c r="F11" s="1973">
        <v>112</v>
      </c>
      <c r="G11" s="1973" t="s">
        <v>28</v>
      </c>
      <c r="H11" s="1973" t="s">
        <v>28</v>
      </c>
      <c r="I11" s="1973">
        <v>1</v>
      </c>
      <c r="J11" s="1973">
        <v>1</v>
      </c>
      <c r="K11" s="1973">
        <v>75</v>
      </c>
      <c r="L11" s="1973">
        <v>40</v>
      </c>
      <c r="M11" s="1973">
        <v>1</v>
      </c>
      <c r="N11" s="1973" t="s">
        <v>28</v>
      </c>
      <c r="O11" s="1973">
        <v>68</v>
      </c>
      <c r="P11" s="1973">
        <v>62</v>
      </c>
      <c r="Q11" s="1973">
        <v>13</v>
      </c>
      <c r="R11" s="1973">
        <v>9</v>
      </c>
      <c r="S11" s="1973" t="s">
        <v>28</v>
      </c>
      <c r="T11" s="1973" t="s">
        <v>28</v>
      </c>
      <c r="U11" s="1973">
        <v>129</v>
      </c>
      <c r="V11" s="1973">
        <v>121</v>
      </c>
      <c r="W11" s="1973">
        <v>337</v>
      </c>
      <c r="X11" s="1973">
        <v>292</v>
      </c>
      <c r="Y11" s="1973">
        <v>32</v>
      </c>
      <c r="Z11" s="1973">
        <v>28</v>
      </c>
      <c r="AA11" s="1973">
        <v>8</v>
      </c>
      <c r="AB11" s="1973">
        <v>157</v>
      </c>
      <c r="AC11" s="1973">
        <v>132</v>
      </c>
      <c r="AD11" s="1973">
        <v>51</v>
      </c>
      <c r="AE11" s="1973">
        <v>49</v>
      </c>
      <c r="AF11" s="1973">
        <v>18</v>
      </c>
      <c r="AG11" s="1973">
        <v>17</v>
      </c>
      <c r="AH11" s="1973">
        <v>1</v>
      </c>
      <c r="AI11" s="1973">
        <v>1</v>
      </c>
      <c r="AJ11" s="1973">
        <v>70</v>
      </c>
      <c r="AK11" s="1973">
        <v>65</v>
      </c>
      <c r="AL11" s="1973">
        <v>37</v>
      </c>
      <c r="AM11" s="1973">
        <v>33</v>
      </c>
      <c r="AN11" s="1973">
        <v>786</v>
      </c>
      <c r="AO11" s="1973">
        <v>572</v>
      </c>
      <c r="AP11" s="1973">
        <v>14</v>
      </c>
      <c r="AQ11" s="1973">
        <v>8</v>
      </c>
      <c r="AR11" s="1974">
        <v>17</v>
      </c>
    </row>
    <row r="12" spans="1:46" s="30" customFormat="1" ht="8.4499999999999993" customHeight="1">
      <c r="A12" s="764" t="s">
        <v>967</v>
      </c>
      <c r="B12" s="764" t="s">
        <v>145</v>
      </c>
      <c r="C12" s="765">
        <v>242</v>
      </c>
      <c r="D12" s="765">
        <v>131</v>
      </c>
      <c r="E12" s="765">
        <v>156</v>
      </c>
      <c r="F12" s="765">
        <v>112</v>
      </c>
      <c r="G12" s="765" t="s">
        <v>28</v>
      </c>
      <c r="H12" s="765" t="s">
        <v>28</v>
      </c>
      <c r="I12" s="765">
        <v>1</v>
      </c>
      <c r="J12" s="765">
        <v>1</v>
      </c>
      <c r="K12" s="765">
        <v>74</v>
      </c>
      <c r="L12" s="765">
        <v>40</v>
      </c>
      <c r="M12" s="765">
        <v>1</v>
      </c>
      <c r="N12" s="765" t="s">
        <v>28</v>
      </c>
      <c r="O12" s="765">
        <v>67</v>
      </c>
      <c r="P12" s="765">
        <v>62</v>
      </c>
      <c r="Q12" s="765">
        <v>13</v>
      </c>
      <c r="R12" s="765">
        <v>9</v>
      </c>
      <c r="S12" s="765" t="s">
        <v>28</v>
      </c>
      <c r="T12" s="765" t="s">
        <v>28</v>
      </c>
      <c r="U12" s="765">
        <v>127</v>
      </c>
      <c r="V12" s="765">
        <v>119</v>
      </c>
      <c r="W12" s="765">
        <v>329</v>
      </c>
      <c r="X12" s="765">
        <v>287</v>
      </c>
      <c r="Y12" s="765">
        <v>32</v>
      </c>
      <c r="Z12" s="765">
        <v>28</v>
      </c>
      <c r="AA12" s="765">
        <v>8</v>
      </c>
      <c r="AB12" s="765">
        <v>150</v>
      </c>
      <c r="AC12" s="765">
        <v>128</v>
      </c>
      <c r="AD12" s="765">
        <v>50</v>
      </c>
      <c r="AE12" s="765">
        <v>48</v>
      </c>
      <c r="AF12" s="765">
        <v>18</v>
      </c>
      <c r="AG12" s="765">
        <v>17</v>
      </c>
      <c r="AH12" s="765">
        <v>1</v>
      </c>
      <c r="AI12" s="765">
        <v>1</v>
      </c>
      <c r="AJ12" s="765">
        <v>70</v>
      </c>
      <c r="AK12" s="765">
        <v>65</v>
      </c>
      <c r="AL12" s="765">
        <v>37</v>
      </c>
      <c r="AM12" s="765">
        <v>33</v>
      </c>
      <c r="AN12" s="765">
        <v>784</v>
      </c>
      <c r="AO12" s="765">
        <v>571</v>
      </c>
      <c r="AP12" s="765">
        <v>14</v>
      </c>
      <c r="AQ12" s="765">
        <v>8</v>
      </c>
      <c r="AR12" s="766">
        <v>17</v>
      </c>
    </row>
    <row r="13" spans="1:46" s="30" customFormat="1" ht="8.4499999999999993" customHeight="1">
      <c r="A13" s="764" t="s">
        <v>968</v>
      </c>
      <c r="B13" s="764" t="s">
        <v>147</v>
      </c>
      <c r="C13" s="765">
        <v>7</v>
      </c>
      <c r="D13" s="765">
        <v>4</v>
      </c>
      <c r="E13" s="765">
        <v>2</v>
      </c>
      <c r="F13" s="765" t="s">
        <v>28</v>
      </c>
      <c r="G13" s="765" t="s">
        <v>28</v>
      </c>
      <c r="H13" s="765" t="s">
        <v>28</v>
      </c>
      <c r="I13" s="765" t="s">
        <v>28</v>
      </c>
      <c r="J13" s="765" t="s">
        <v>28</v>
      </c>
      <c r="K13" s="765">
        <v>1</v>
      </c>
      <c r="L13" s="765" t="s">
        <v>28</v>
      </c>
      <c r="M13" s="765" t="s">
        <v>28</v>
      </c>
      <c r="N13" s="765" t="s">
        <v>28</v>
      </c>
      <c r="O13" s="765">
        <v>1</v>
      </c>
      <c r="P13" s="765" t="s">
        <v>28</v>
      </c>
      <c r="Q13" s="765" t="s">
        <v>28</v>
      </c>
      <c r="R13" s="765" t="s">
        <v>28</v>
      </c>
      <c r="S13" s="765" t="s">
        <v>28</v>
      </c>
      <c r="T13" s="765" t="s">
        <v>28</v>
      </c>
      <c r="U13" s="765">
        <v>2</v>
      </c>
      <c r="V13" s="765">
        <v>2</v>
      </c>
      <c r="W13" s="765">
        <v>8</v>
      </c>
      <c r="X13" s="765">
        <v>5</v>
      </c>
      <c r="Y13" s="765" t="s">
        <v>28</v>
      </c>
      <c r="Z13" s="765" t="s">
        <v>28</v>
      </c>
      <c r="AA13" s="765" t="s">
        <v>28</v>
      </c>
      <c r="AB13" s="765">
        <v>7</v>
      </c>
      <c r="AC13" s="765">
        <v>4</v>
      </c>
      <c r="AD13" s="765">
        <v>1</v>
      </c>
      <c r="AE13" s="765">
        <v>1</v>
      </c>
      <c r="AF13" s="765" t="s">
        <v>28</v>
      </c>
      <c r="AG13" s="765" t="s">
        <v>28</v>
      </c>
      <c r="AH13" s="765" t="s">
        <v>28</v>
      </c>
      <c r="AI13" s="765" t="s">
        <v>28</v>
      </c>
      <c r="AJ13" s="765" t="s">
        <v>28</v>
      </c>
      <c r="AK13" s="765" t="s">
        <v>28</v>
      </c>
      <c r="AL13" s="765" t="s">
        <v>28</v>
      </c>
      <c r="AM13" s="765" t="s">
        <v>28</v>
      </c>
      <c r="AN13" s="765">
        <v>2</v>
      </c>
      <c r="AO13" s="765">
        <v>1</v>
      </c>
      <c r="AP13" s="765" t="s">
        <v>28</v>
      </c>
      <c r="AQ13" s="765" t="s">
        <v>28</v>
      </c>
      <c r="AR13" s="766" t="s">
        <v>28</v>
      </c>
    </row>
    <row r="14" spans="1:46" s="30" customFormat="1" ht="8.4499999999999993" customHeight="1">
      <c r="A14" s="1975" t="s">
        <v>171</v>
      </c>
      <c r="B14" s="1975" t="s">
        <v>159</v>
      </c>
      <c r="C14" s="1976">
        <v>1</v>
      </c>
      <c r="D14" s="1976">
        <v>1</v>
      </c>
      <c r="E14" s="1976">
        <v>31</v>
      </c>
      <c r="F14" s="1976">
        <v>11</v>
      </c>
      <c r="G14" s="1976" t="s">
        <v>28</v>
      </c>
      <c r="H14" s="1976" t="s">
        <v>28</v>
      </c>
      <c r="I14" s="1976" t="s">
        <v>28</v>
      </c>
      <c r="J14" s="1976" t="s">
        <v>28</v>
      </c>
      <c r="K14" s="1976">
        <v>29</v>
      </c>
      <c r="L14" s="1976">
        <v>10</v>
      </c>
      <c r="M14" s="1976" t="s">
        <v>28</v>
      </c>
      <c r="N14" s="1976" t="s">
        <v>28</v>
      </c>
      <c r="O14" s="1976">
        <v>2</v>
      </c>
      <c r="P14" s="1976">
        <v>1</v>
      </c>
      <c r="Q14" s="1976" t="s">
        <v>28</v>
      </c>
      <c r="R14" s="1976" t="s">
        <v>28</v>
      </c>
      <c r="S14" s="1976" t="s">
        <v>28</v>
      </c>
      <c r="T14" s="1976" t="s">
        <v>28</v>
      </c>
      <c r="U14" s="1976" t="s">
        <v>28</v>
      </c>
      <c r="V14" s="1976" t="s">
        <v>28</v>
      </c>
      <c r="W14" s="1976" t="s">
        <v>28</v>
      </c>
      <c r="X14" s="1976" t="s">
        <v>28</v>
      </c>
      <c r="Y14" s="1976" t="s">
        <v>28</v>
      </c>
      <c r="Z14" s="1976" t="s">
        <v>28</v>
      </c>
      <c r="AA14" s="1976" t="s">
        <v>28</v>
      </c>
      <c r="AB14" s="1976" t="s">
        <v>28</v>
      </c>
      <c r="AC14" s="1976" t="s">
        <v>28</v>
      </c>
      <c r="AD14" s="1976" t="s">
        <v>28</v>
      </c>
      <c r="AE14" s="1976" t="s">
        <v>28</v>
      </c>
      <c r="AF14" s="1976" t="s">
        <v>28</v>
      </c>
      <c r="AG14" s="1976" t="s">
        <v>28</v>
      </c>
      <c r="AH14" s="1976" t="s">
        <v>28</v>
      </c>
      <c r="AI14" s="1976" t="s">
        <v>28</v>
      </c>
      <c r="AJ14" s="1976" t="s">
        <v>28</v>
      </c>
      <c r="AK14" s="1976" t="s">
        <v>28</v>
      </c>
      <c r="AL14" s="1976" t="s">
        <v>28</v>
      </c>
      <c r="AM14" s="1976" t="s">
        <v>28</v>
      </c>
      <c r="AN14" s="1976">
        <v>50</v>
      </c>
      <c r="AO14" s="1976">
        <v>26</v>
      </c>
      <c r="AP14" s="1976">
        <v>1</v>
      </c>
      <c r="AQ14" s="1976" t="s">
        <v>28</v>
      </c>
      <c r="AR14" s="1977" t="s">
        <v>28</v>
      </c>
    </row>
    <row r="15" spans="1:46" s="30" customFormat="1" ht="8.4499999999999993" customHeight="1">
      <c r="A15" s="764" t="s">
        <v>967</v>
      </c>
      <c r="B15" s="764" t="s">
        <v>145</v>
      </c>
      <c r="C15" s="765">
        <v>1</v>
      </c>
      <c r="D15" s="765">
        <v>1</v>
      </c>
      <c r="E15" s="765">
        <v>31</v>
      </c>
      <c r="F15" s="765">
        <v>11</v>
      </c>
      <c r="G15" s="765" t="s">
        <v>28</v>
      </c>
      <c r="H15" s="765" t="s">
        <v>28</v>
      </c>
      <c r="I15" s="765" t="s">
        <v>28</v>
      </c>
      <c r="J15" s="765" t="s">
        <v>28</v>
      </c>
      <c r="K15" s="765">
        <v>29</v>
      </c>
      <c r="L15" s="765">
        <v>10</v>
      </c>
      <c r="M15" s="765" t="s">
        <v>28</v>
      </c>
      <c r="N15" s="765" t="s">
        <v>28</v>
      </c>
      <c r="O15" s="765">
        <v>2</v>
      </c>
      <c r="P15" s="765">
        <v>1</v>
      </c>
      <c r="Q15" s="765" t="s">
        <v>28</v>
      </c>
      <c r="R15" s="765" t="s">
        <v>28</v>
      </c>
      <c r="S15" s="765" t="s">
        <v>28</v>
      </c>
      <c r="T15" s="765" t="s">
        <v>28</v>
      </c>
      <c r="U15" s="765" t="s">
        <v>28</v>
      </c>
      <c r="V15" s="765" t="s">
        <v>28</v>
      </c>
      <c r="W15" s="765" t="s">
        <v>28</v>
      </c>
      <c r="X15" s="765" t="s">
        <v>28</v>
      </c>
      <c r="Y15" s="765" t="s">
        <v>28</v>
      </c>
      <c r="Z15" s="765" t="s">
        <v>28</v>
      </c>
      <c r="AA15" s="765" t="s">
        <v>28</v>
      </c>
      <c r="AB15" s="765" t="s">
        <v>28</v>
      </c>
      <c r="AC15" s="765" t="s">
        <v>28</v>
      </c>
      <c r="AD15" s="765" t="s">
        <v>28</v>
      </c>
      <c r="AE15" s="765" t="s">
        <v>28</v>
      </c>
      <c r="AF15" s="765" t="s">
        <v>28</v>
      </c>
      <c r="AG15" s="765" t="s">
        <v>28</v>
      </c>
      <c r="AH15" s="765" t="s">
        <v>28</v>
      </c>
      <c r="AI15" s="765" t="s">
        <v>28</v>
      </c>
      <c r="AJ15" s="765" t="s">
        <v>28</v>
      </c>
      <c r="AK15" s="765" t="s">
        <v>28</v>
      </c>
      <c r="AL15" s="765" t="s">
        <v>28</v>
      </c>
      <c r="AM15" s="765" t="s">
        <v>28</v>
      </c>
      <c r="AN15" s="765">
        <v>49</v>
      </c>
      <c r="AO15" s="765">
        <v>26</v>
      </c>
      <c r="AP15" s="765">
        <v>1</v>
      </c>
      <c r="AQ15" s="765" t="s">
        <v>28</v>
      </c>
      <c r="AR15" s="766" t="s">
        <v>28</v>
      </c>
    </row>
    <row r="16" spans="1:46" s="30" customFormat="1" ht="8.4499999999999993" customHeight="1">
      <c r="A16" s="764" t="s">
        <v>634</v>
      </c>
      <c r="B16" s="764" t="s">
        <v>635</v>
      </c>
      <c r="C16" s="765" t="s">
        <v>28</v>
      </c>
      <c r="D16" s="765" t="s">
        <v>28</v>
      </c>
      <c r="E16" s="765" t="s">
        <v>28</v>
      </c>
      <c r="F16" s="765" t="s">
        <v>28</v>
      </c>
      <c r="G16" s="765" t="s">
        <v>28</v>
      </c>
      <c r="H16" s="765" t="s">
        <v>28</v>
      </c>
      <c r="I16" s="765" t="s">
        <v>28</v>
      </c>
      <c r="J16" s="765" t="s">
        <v>28</v>
      </c>
      <c r="K16" s="765" t="s">
        <v>28</v>
      </c>
      <c r="L16" s="765" t="s">
        <v>28</v>
      </c>
      <c r="M16" s="765" t="s">
        <v>28</v>
      </c>
      <c r="N16" s="765" t="s">
        <v>28</v>
      </c>
      <c r="O16" s="765" t="s">
        <v>28</v>
      </c>
      <c r="P16" s="765" t="s">
        <v>28</v>
      </c>
      <c r="Q16" s="765" t="s">
        <v>28</v>
      </c>
      <c r="R16" s="765" t="s">
        <v>28</v>
      </c>
      <c r="S16" s="765" t="s">
        <v>28</v>
      </c>
      <c r="T16" s="765" t="s">
        <v>28</v>
      </c>
      <c r="U16" s="765" t="s">
        <v>28</v>
      </c>
      <c r="V16" s="765" t="s">
        <v>28</v>
      </c>
      <c r="W16" s="765" t="s">
        <v>28</v>
      </c>
      <c r="X16" s="765" t="s">
        <v>28</v>
      </c>
      <c r="Y16" s="765" t="s">
        <v>28</v>
      </c>
      <c r="Z16" s="765" t="s">
        <v>28</v>
      </c>
      <c r="AA16" s="765" t="s">
        <v>28</v>
      </c>
      <c r="AB16" s="765" t="s">
        <v>28</v>
      </c>
      <c r="AC16" s="765" t="s">
        <v>28</v>
      </c>
      <c r="AD16" s="765" t="s">
        <v>28</v>
      </c>
      <c r="AE16" s="765" t="s">
        <v>28</v>
      </c>
      <c r="AF16" s="765" t="s">
        <v>28</v>
      </c>
      <c r="AG16" s="765" t="s">
        <v>28</v>
      </c>
      <c r="AH16" s="765" t="s">
        <v>28</v>
      </c>
      <c r="AI16" s="765" t="s">
        <v>28</v>
      </c>
      <c r="AJ16" s="765" t="s">
        <v>28</v>
      </c>
      <c r="AK16" s="765" t="s">
        <v>28</v>
      </c>
      <c r="AL16" s="765" t="s">
        <v>28</v>
      </c>
      <c r="AM16" s="765" t="s">
        <v>28</v>
      </c>
      <c r="AN16" s="765">
        <v>1</v>
      </c>
      <c r="AO16" s="765" t="s">
        <v>28</v>
      </c>
      <c r="AP16" s="765" t="s">
        <v>28</v>
      </c>
      <c r="AQ16" s="765" t="s">
        <v>28</v>
      </c>
      <c r="AR16" s="766" t="s">
        <v>28</v>
      </c>
    </row>
    <row r="17" spans="1:44" s="30" customFormat="1" ht="8.4499999999999993" customHeight="1">
      <c r="A17" s="1975" t="s">
        <v>172</v>
      </c>
      <c r="B17" s="1975" t="s">
        <v>160</v>
      </c>
      <c r="C17" s="1976" t="s">
        <v>28</v>
      </c>
      <c r="D17" s="1976" t="s">
        <v>28</v>
      </c>
      <c r="E17" s="1976">
        <v>11</v>
      </c>
      <c r="F17" s="1976">
        <v>9</v>
      </c>
      <c r="G17" s="1976" t="s">
        <v>28</v>
      </c>
      <c r="H17" s="1976" t="s">
        <v>28</v>
      </c>
      <c r="I17" s="1976" t="s">
        <v>28</v>
      </c>
      <c r="J17" s="1976" t="s">
        <v>28</v>
      </c>
      <c r="K17" s="1976">
        <v>8</v>
      </c>
      <c r="L17" s="1976">
        <v>6</v>
      </c>
      <c r="M17" s="1976" t="s">
        <v>28</v>
      </c>
      <c r="N17" s="1976" t="s">
        <v>28</v>
      </c>
      <c r="O17" s="1976">
        <v>3</v>
      </c>
      <c r="P17" s="1976">
        <v>3</v>
      </c>
      <c r="Q17" s="1976" t="s">
        <v>28</v>
      </c>
      <c r="R17" s="1976" t="s">
        <v>28</v>
      </c>
      <c r="S17" s="1976" t="s">
        <v>28</v>
      </c>
      <c r="T17" s="1976" t="s">
        <v>28</v>
      </c>
      <c r="U17" s="1976" t="s">
        <v>28</v>
      </c>
      <c r="V17" s="1976" t="s">
        <v>28</v>
      </c>
      <c r="W17" s="1976" t="s">
        <v>28</v>
      </c>
      <c r="X17" s="1976" t="s">
        <v>28</v>
      </c>
      <c r="Y17" s="1976" t="s">
        <v>28</v>
      </c>
      <c r="Z17" s="1976" t="s">
        <v>28</v>
      </c>
      <c r="AA17" s="1976" t="s">
        <v>28</v>
      </c>
      <c r="AB17" s="1976" t="s">
        <v>28</v>
      </c>
      <c r="AC17" s="1976" t="s">
        <v>28</v>
      </c>
      <c r="AD17" s="1976" t="s">
        <v>28</v>
      </c>
      <c r="AE17" s="1976" t="s">
        <v>28</v>
      </c>
      <c r="AF17" s="1976" t="s">
        <v>28</v>
      </c>
      <c r="AG17" s="1976" t="s">
        <v>28</v>
      </c>
      <c r="AH17" s="1976" t="s">
        <v>28</v>
      </c>
      <c r="AI17" s="1976" t="s">
        <v>28</v>
      </c>
      <c r="AJ17" s="1976" t="s">
        <v>28</v>
      </c>
      <c r="AK17" s="1976" t="s">
        <v>28</v>
      </c>
      <c r="AL17" s="1976" t="s">
        <v>28</v>
      </c>
      <c r="AM17" s="1976" t="s">
        <v>28</v>
      </c>
      <c r="AN17" s="1976">
        <v>62</v>
      </c>
      <c r="AO17" s="1976">
        <v>30</v>
      </c>
      <c r="AP17" s="1976" t="s">
        <v>28</v>
      </c>
      <c r="AQ17" s="1976" t="s">
        <v>28</v>
      </c>
      <c r="AR17" s="1977" t="s">
        <v>28</v>
      </c>
    </row>
    <row r="18" spans="1:44" s="30" customFormat="1" ht="8.4499999999999993" customHeight="1">
      <c r="A18" s="764" t="s">
        <v>632</v>
      </c>
      <c r="B18" s="764" t="s">
        <v>633</v>
      </c>
      <c r="C18" s="765" t="s">
        <v>28</v>
      </c>
      <c r="D18" s="765" t="s">
        <v>28</v>
      </c>
      <c r="E18" s="765">
        <v>11</v>
      </c>
      <c r="F18" s="765">
        <v>9</v>
      </c>
      <c r="G18" s="765" t="s">
        <v>28</v>
      </c>
      <c r="H18" s="765" t="s">
        <v>28</v>
      </c>
      <c r="I18" s="765" t="s">
        <v>28</v>
      </c>
      <c r="J18" s="765" t="s">
        <v>28</v>
      </c>
      <c r="K18" s="765">
        <v>8</v>
      </c>
      <c r="L18" s="765">
        <v>6</v>
      </c>
      <c r="M18" s="765" t="s">
        <v>28</v>
      </c>
      <c r="N18" s="765" t="s">
        <v>28</v>
      </c>
      <c r="O18" s="765">
        <v>3</v>
      </c>
      <c r="P18" s="765">
        <v>3</v>
      </c>
      <c r="Q18" s="765" t="s">
        <v>28</v>
      </c>
      <c r="R18" s="765" t="s">
        <v>28</v>
      </c>
      <c r="S18" s="765" t="s">
        <v>28</v>
      </c>
      <c r="T18" s="765" t="s">
        <v>28</v>
      </c>
      <c r="U18" s="765" t="s">
        <v>28</v>
      </c>
      <c r="V18" s="765" t="s">
        <v>28</v>
      </c>
      <c r="W18" s="765" t="s">
        <v>28</v>
      </c>
      <c r="X18" s="765" t="s">
        <v>28</v>
      </c>
      <c r="Y18" s="765" t="s">
        <v>28</v>
      </c>
      <c r="Z18" s="765" t="s">
        <v>28</v>
      </c>
      <c r="AA18" s="765" t="s">
        <v>28</v>
      </c>
      <c r="AB18" s="765" t="s">
        <v>28</v>
      </c>
      <c r="AC18" s="765" t="s">
        <v>28</v>
      </c>
      <c r="AD18" s="765" t="s">
        <v>28</v>
      </c>
      <c r="AE18" s="765" t="s">
        <v>28</v>
      </c>
      <c r="AF18" s="765" t="s">
        <v>28</v>
      </c>
      <c r="AG18" s="765" t="s">
        <v>28</v>
      </c>
      <c r="AH18" s="765" t="s">
        <v>28</v>
      </c>
      <c r="AI18" s="765" t="s">
        <v>28</v>
      </c>
      <c r="AJ18" s="765" t="s">
        <v>28</v>
      </c>
      <c r="AK18" s="765" t="s">
        <v>28</v>
      </c>
      <c r="AL18" s="765" t="s">
        <v>28</v>
      </c>
      <c r="AM18" s="765" t="s">
        <v>28</v>
      </c>
      <c r="AN18" s="765">
        <v>62</v>
      </c>
      <c r="AO18" s="765">
        <v>30</v>
      </c>
      <c r="AP18" s="765" t="s">
        <v>28</v>
      </c>
      <c r="AQ18" s="765" t="s">
        <v>28</v>
      </c>
      <c r="AR18" s="766" t="s">
        <v>28</v>
      </c>
    </row>
    <row r="19" spans="1:44" s="30" customFormat="1" ht="8.4499999999999993" customHeight="1">
      <c r="A19" s="1975" t="s">
        <v>427</v>
      </c>
      <c r="B19" s="1975" t="s">
        <v>429</v>
      </c>
      <c r="C19" s="1976" t="s">
        <v>28</v>
      </c>
      <c r="D19" s="1976" t="s">
        <v>28</v>
      </c>
      <c r="E19" s="1976">
        <v>2</v>
      </c>
      <c r="F19" s="1976">
        <v>2</v>
      </c>
      <c r="G19" s="1976" t="s">
        <v>28</v>
      </c>
      <c r="H19" s="1976" t="s">
        <v>28</v>
      </c>
      <c r="I19" s="1976" t="s">
        <v>28</v>
      </c>
      <c r="J19" s="1976" t="s">
        <v>28</v>
      </c>
      <c r="K19" s="1976">
        <v>1</v>
      </c>
      <c r="L19" s="1976">
        <v>1</v>
      </c>
      <c r="M19" s="1976" t="s">
        <v>28</v>
      </c>
      <c r="N19" s="1976" t="s">
        <v>28</v>
      </c>
      <c r="O19" s="1976">
        <v>1</v>
      </c>
      <c r="P19" s="1976">
        <v>1</v>
      </c>
      <c r="Q19" s="1976" t="s">
        <v>28</v>
      </c>
      <c r="R19" s="1976" t="s">
        <v>28</v>
      </c>
      <c r="S19" s="1976" t="s">
        <v>28</v>
      </c>
      <c r="T19" s="1976" t="s">
        <v>28</v>
      </c>
      <c r="U19" s="1976" t="s">
        <v>28</v>
      </c>
      <c r="V19" s="1976" t="s">
        <v>28</v>
      </c>
      <c r="W19" s="1976" t="s">
        <v>28</v>
      </c>
      <c r="X19" s="1976" t="s">
        <v>28</v>
      </c>
      <c r="Y19" s="1976" t="s">
        <v>28</v>
      </c>
      <c r="Z19" s="1976" t="s">
        <v>28</v>
      </c>
      <c r="AA19" s="1976" t="s">
        <v>28</v>
      </c>
      <c r="AB19" s="1976" t="s">
        <v>28</v>
      </c>
      <c r="AC19" s="1976" t="s">
        <v>28</v>
      </c>
      <c r="AD19" s="1976" t="s">
        <v>28</v>
      </c>
      <c r="AE19" s="1976" t="s">
        <v>28</v>
      </c>
      <c r="AF19" s="1976" t="s">
        <v>28</v>
      </c>
      <c r="AG19" s="1976" t="s">
        <v>28</v>
      </c>
      <c r="AH19" s="1976" t="s">
        <v>28</v>
      </c>
      <c r="AI19" s="1976" t="s">
        <v>28</v>
      </c>
      <c r="AJ19" s="1976" t="s">
        <v>28</v>
      </c>
      <c r="AK19" s="1976" t="s">
        <v>28</v>
      </c>
      <c r="AL19" s="1976" t="s">
        <v>28</v>
      </c>
      <c r="AM19" s="1976" t="s">
        <v>28</v>
      </c>
      <c r="AN19" s="1976">
        <v>2</v>
      </c>
      <c r="AO19" s="1976">
        <v>2</v>
      </c>
      <c r="AP19" s="1976" t="s">
        <v>28</v>
      </c>
      <c r="AQ19" s="1976" t="s">
        <v>28</v>
      </c>
      <c r="AR19" s="1977" t="s">
        <v>28</v>
      </c>
    </row>
    <row r="20" spans="1:44" s="30" customFormat="1" ht="8.4499999999999993" customHeight="1">
      <c r="A20" s="764" t="s">
        <v>632</v>
      </c>
      <c r="B20" s="764" t="s">
        <v>633</v>
      </c>
      <c r="C20" s="765" t="s">
        <v>28</v>
      </c>
      <c r="D20" s="765" t="s">
        <v>28</v>
      </c>
      <c r="E20" s="765">
        <v>2</v>
      </c>
      <c r="F20" s="765">
        <v>2</v>
      </c>
      <c r="G20" s="765" t="s">
        <v>28</v>
      </c>
      <c r="H20" s="765" t="s">
        <v>28</v>
      </c>
      <c r="I20" s="765" t="s">
        <v>28</v>
      </c>
      <c r="J20" s="765" t="s">
        <v>28</v>
      </c>
      <c r="K20" s="765">
        <v>1</v>
      </c>
      <c r="L20" s="765">
        <v>1</v>
      </c>
      <c r="M20" s="765" t="s">
        <v>28</v>
      </c>
      <c r="N20" s="765" t="s">
        <v>28</v>
      </c>
      <c r="O20" s="765">
        <v>1</v>
      </c>
      <c r="P20" s="765">
        <v>1</v>
      </c>
      <c r="Q20" s="765" t="s">
        <v>28</v>
      </c>
      <c r="R20" s="765" t="s">
        <v>28</v>
      </c>
      <c r="S20" s="765" t="s">
        <v>28</v>
      </c>
      <c r="T20" s="765" t="s">
        <v>28</v>
      </c>
      <c r="U20" s="765" t="s">
        <v>28</v>
      </c>
      <c r="V20" s="765" t="s">
        <v>28</v>
      </c>
      <c r="W20" s="765" t="s">
        <v>28</v>
      </c>
      <c r="X20" s="765" t="s">
        <v>28</v>
      </c>
      <c r="Y20" s="765" t="s">
        <v>28</v>
      </c>
      <c r="Z20" s="765" t="s">
        <v>28</v>
      </c>
      <c r="AA20" s="765" t="s">
        <v>28</v>
      </c>
      <c r="AB20" s="765" t="s">
        <v>28</v>
      </c>
      <c r="AC20" s="765" t="s">
        <v>28</v>
      </c>
      <c r="AD20" s="765" t="s">
        <v>28</v>
      </c>
      <c r="AE20" s="765" t="s">
        <v>28</v>
      </c>
      <c r="AF20" s="765" t="s">
        <v>28</v>
      </c>
      <c r="AG20" s="765" t="s">
        <v>28</v>
      </c>
      <c r="AH20" s="765" t="s">
        <v>28</v>
      </c>
      <c r="AI20" s="765" t="s">
        <v>28</v>
      </c>
      <c r="AJ20" s="765" t="s">
        <v>28</v>
      </c>
      <c r="AK20" s="765" t="s">
        <v>28</v>
      </c>
      <c r="AL20" s="765" t="s">
        <v>28</v>
      </c>
      <c r="AM20" s="765" t="s">
        <v>28</v>
      </c>
      <c r="AN20" s="765">
        <v>2</v>
      </c>
      <c r="AO20" s="765">
        <v>2</v>
      </c>
      <c r="AP20" s="765" t="s">
        <v>28</v>
      </c>
      <c r="AQ20" s="765" t="s">
        <v>28</v>
      </c>
      <c r="AR20" s="766" t="s">
        <v>28</v>
      </c>
    </row>
    <row r="21" spans="1:44" s="30" customFormat="1" ht="8.4499999999999993" customHeight="1">
      <c r="A21" s="1975" t="s">
        <v>158</v>
      </c>
      <c r="B21" s="1975" t="s">
        <v>161</v>
      </c>
      <c r="C21" s="1976">
        <v>1</v>
      </c>
      <c r="D21" s="1976">
        <v>1</v>
      </c>
      <c r="E21" s="1976" t="s">
        <v>28</v>
      </c>
      <c r="F21" s="1976" t="s">
        <v>28</v>
      </c>
      <c r="G21" s="1976" t="s">
        <v>28</v>
      </c>
      <c r="H21" s="1976" t="s">
        <v>28</v>
      </c>
      <c r="I21" s="1976" t="s">
        <v>28</v>
      </c>
      <c r="J21" s="1976" t="s">
        <v>28</v>
      </c>
      <c r="K21" s="1976" t="s">
        <v>28</v>
      </c>
      <c r="L21" s="1976" t="s">
        <v>28</v>
      </c>
      <c r="M21" s="1976" t="s">
        <v>28</v>
      </c>
      <c r="N21" s="1976" t="s">
        <v>28</v>
      </c>
      <c r="O21" s="1976" t="s">
        <v>28</v>
      </c>
      <c r="P21" s="1976" t="s">
        <v>28</v>
      </c>
      <c r="Q21" s="1976" t="s">
        <v>28</v>
      </c>
      <c r="R21" s="1976" t="s">
        <v>28</v>
      </c>
      <c r="S21" s="1976" t="s">
        <v>28</v>
      </c>
      <c r="T21" s="1976" t="s">
        <v>28</v>
      </c>
      <c r="U21" s="1976">
        <v>11</v>
      </c>
      <c r="V21" s="1976">
        <v>9</v>
      </c>
      <c r="W21" s="1976" t="s">
        <v>28</v>
      </c>
      <c r="X21" s="1976" t="s">
        <v>28</v>
      </c>
      <c r="Y21" s="1976" t="s">
        <v>28</v>
      </c>
      <c r="Z21" s="1976" t="s">
        <v>28</v>
      </c>
      <c r="AA21" s="1976" t="s">
        <v>28</v>
      </c>
      <c r="AB21" s="1976" t="s">
        <v>28</v>
      </c>
      <c r="AC21" s="1976" t="s">
        <v>28</v>
      </c>
      <c r="AD21" s="1976" t="s">
        <v>28</v>
      </c>
      <c r="AE21" s="1976" t="s">
        <v>28</v>
      </c>
      <c r="AF21" s="1976" t="s">
        <v>28</v>
      </c>
      <c r="AG21" s="1976" t="s">
        <v>28</v>
      </c>
      <c r="AH21" s="1976" t="s">
        <v>28</v>
      </c>
      <c r="AI21" s="1976" t="s">
        <v>28</v>
      </c>
      <c r="AJ21" s="1976" t="s">
        <v>28</v>
      </c>
      <c r="AK21" s="1976" t="s">
        <v>28</v>
      </c>
      <c r="AL21" s="1976">
        <v>2</v>
      </c>
      <c r="AM21" s="1976">
        <v>2</v>
      </c>
      <c r="AN21" s="1976">
        <v>136</v>
      </c>
      <c r="AO21" s="1976">
        <v>104</v>
      </c>
      <c r="AP21" s="1976">
        <v>6</v>
      </c>
      <c r="AQ21" s="1976">
        <v>2</v>
      </c>
      <c r="AR21" s="1977" t="s">
        <v>28</v>
      </c>
    </row>
    <row r="22" spans="1:44" s="30" customFormat="1" ht="8.4499999999999993" customHeight="1">
      <c r="A22" s="764" t="s">
        <v>632</v>
      </c>
      <c r="B22" s="764" t="s">
        <v>633</v>
      </c>
      <c r="C22" s="765">
        <v>1</v>
      </c>
      <c r="D22" s="765">
        <v>1</v>
      </c>
      <c r="E22" s="765" t="s">
        <v>28</v>
      </c>
      <c r="F22" s="765" t="s">
        <v>28</v>
      </c>
      <c r="G22" s="765" t="s">
        <v>28</v>
      </c>
      <c r="H22" s="765" t="s">
        <v>28</v>
      </c>
      <c r="I22" s="765" t="s">
        <v>28</v>
      </c>
      <c r="J22" s="765" t="s">
        <v>28</v>
      </c>
      <c r="K22" s="765" t="s">
        <v>28</v>
      </c>
      <c r="L22" s="765" t="s">
        <v>28</v>
      </c>
      <c r="M22" s="765" t="s">
        <v>28</v>
      </c>
      <c r="N22" s="765" t="s">
        <v>28</v>
      </c>
      <c r="O22" s="765" t="s">
        <v>28</v>
      </c>
      <c r="P22" s="765" t="s">
        <v>28</v>
      </c>
      <c r="Q22" s="765" t="s">
        <v>28</v>
      </c>
      <c r="R22" s="765" t="s">
        <v>28</v>
      </c>
      <c r="S22" s="765" t="s">
        <v>28</v>
      </c>
      <c r="T22" s="765" t="s">
        <v>28</v>
      </c>
      <c r="U22" s="765">
        <v>10</v>
      </c>
      <c r="V22" s="765">
        <v>8</v>
      </c>
      <c r="W22" s="765" t="s">
        <v>28</v>
      </c>
      <c r="X22" s="765" t="s">
        <v>28</v>
      </c>
      <c r="Y22" s="765" t="s">
        <v>28</v>
      </c>
      <c r="Z22" s="765" t="s">
        <v>28</v>
      </c>
      <c r="AA22" s="765" t="s">
        <v>28</v>
      </c>
      <c r="AB22" s="765" t="s">
        <v>28</v>
      </c>
      <c r="AC22" s="765" t="s">
        <v>28</v>
      </c>
      <c r="AD22" s="765" t="s">
        <v>28</v>
      </c>
      <c r="AE22" s="765" t="s">
        <v>28</v>
      </c>
      <c r="AF22" s="765" t="s">
        <v>28</v>
      </c>
      <c r="AG22" s="765" t="s">
        <v>28</v>
      </c>
      <c r="AH22" s="765" t="s">
        <v>28</v>
      </c>
      <c r="AI22" s="765" t="s">
        <v>28</v>
      </c>
      <c r="AJ22" s="765" t="s">
        <v>28</v>
      </c>
      <c r="AK22" s="765" t="s">
        <v>28</v>
      </c>
      <c r="AL22" s="765">
        <v>2</v>
      </c>
      <c r="AM22" s="765">
        <v>2</v>
      </c>
      <c r="AN22" s="765">
        <v>136</v>
      </c>
      <c r="AO22" s="765">
        <v>104</v>
      </c>
      <c r="AP22" s="765">
        <v>6</v>
      </c>
      <c r="AQ22" s="765">
        <v>2</v>
      </c>
      <c r="AR22" s="766" t="s">
        <v>28</v>
      </c>
    </row>
    <row r="23" spans="1:44" s="29" customFormat="1" ht="8.4499999999999993" customHeight="1">
      <c r="A23" s="764" t="s">
        <v>634</v>
      </c>
      <c r="B23" s="764" t="s">
        <v>635</v>
      </c>
      <c r="C23" s="765" t="s">
        <v>28</v>
      </c>
      <c r="D23" s="765" t="s">
        <v>28</v>
      </c>
      <c r="E23" s="765" t="s">
        <v>28</v>
      </c>
      <c r="F23" s="765" t="s">
        <v>28</v>
      </c>
      <c r="G23" s="765" t="s">
        <v>28</v>
      </c>
      <c r="H23" s="765" t="s">
        <v>28</v>
      </c>
      <c r="I23" s="765" t="s">
        <v>28</v>
      </c>
      <c r="J23" s="765" t="s">
        <v>28</v>
      </c>
      <c r="K23" s="765" t="s">
        <v>28</v>
      </c>
      <c r="L23" s="765" t="s">
        <v>28</v>
      </c>
      <c r="M23" s="765" t="s">
        <v>28</v>
      </c>
      <c r="N23" s="765" t="s">
        <v>28</v>
      </c>
      <c r="O23" s="765" t="s">
        <v>28</v>
      </c>
      <c r="P23" s="765" t="s">
        <v>28</v>
      </c>
      <c r="Q23" s="765" t="s">
        <v>28</v>
      </c>
      <c r="R23" s="765" t="s">
        <v>28</v>
      </c>
      <c r="S23" s="765" t="s">
        <v>28</v>
      </c>
      <c r="T23" s="765" t="s">
        <v>28</v>
      </c>
      <c r="U23" s="765">
        <v>1</v>
      </c>
      <c r="V23" s="765">
        <v>1</v>
      </c>
      <c r="W23" s="765" t="s">
        <v>28</v>
      </c>
      <c r="X23" s="765" t="s">
        <v>28</v>
      </c>
      <c r="Y23" s="765" t="s">
        <v>28</v>
      </c>
      <c r="Z23" s="765" t="s">
        <v>28</v>
      </c>
      <c r="AA23" s="765" t="s">
        <v>28</v>
      </c>
      <c r="AB23" s="765" t="s">
        <v>28</v>
      </c>
      <c r="AC23" s="765" t="s">
        <v>28</v>
      </c>
      <c r="AD23" s="765" t="s">
        <v>28</v>
      </c>
      <c r="AE23" s="765" t="s">
        <v>28</v>
      </c>
      <c r="AF23" s="765" t="s">
        <v>28</v>
      </c>
      <c r="AG23" s="765" t="s">
        <v>28</v>
      </c>
      <c r="AH23" s="765" t="s">
        <v>28</v>
      </c>
      <c r="AI23" s="765" t="s">
        <v>28</v>
      </c>
      <c r="AJ23" s="765" t="s">
        <v>28</v>
      </c>
      <c r="AK23" s="765" t="s">
        <v>28</v>
      </c>
      <c r="AL23" s="765" t="s">
        <v>28</v>
      </c>
      <c r="AM23" s="765" t="s">
        <v>28</v>
      </c>
      <c r="AN23" s="765" t="s">
        <v>28</v>
      </c>
      <c r="AO23" s="765" t="s">
        <v>28</v>
      </c>
      <c r="AP23" s="765" t="s">
        <v>28</v>
      </c>
      <c r="AQ23" s="765" t="s">
        <v>28</v>
      </c>
      <c r="AR23" s="766" t="s">
        <v>28</v>
      </c>
    </row>
    <row r="24" spans="1:44" s="30" customFormat="1" ht="8.4499999999999993" customHeight="1">
      <c r="A24" s="1975" t="s">
        <v>173</v>
      </c>
      <c r="B24" s="1975" t="s">
        <v>18</v>
      </c>
      <c r="C24" s="1976">
        <v>232</v>
      </c>
      <c r="D24" s="1976">
        <v>119</v>
      </c>
      <c r="E24" s="1976">
        <v>113</v>
      </c>
      <c r="F24" s="1976">
        <v>89</v>
      </c>
      <c r="G24" s="1976" t="s">
        <v>28</v>
      </c>
      <c r="H24" s="1976" t="s">
        <v>28</v>
      </c>
      <c r="I24" s="1976">
        <v>1</v>
      </c>
      <c r="J24" s="1976">
        <v>1</v>
      </c>
      <c r="K24" s="1976">
        <v>37</v>
      </c>
      <c r="L24" s="1976">
        <v>23</v>
      </c>
      <c r="M24" s="1976">
        <v>1</v>
      </c>
      <c r="N24" s="1976" t="s">
        <v>28</v>
      </c>
      <c r="O24" s="1976">
        <v>61</v>
      </c>
      <c r="P24" s="1976">
        <v>56</v>
      </c>
      <c r="Q24" s="1976">
        <v>13</v>
      </c>
      <c r="R24" s="1976">
        <v>9</v>
      </c>
      <c r="S24" s="1976" t="s">
        <v>28</v>
      </c>
      <c r="T24" s="1976" t="s">
        <v>28</v>
      </c>
      <c r="U24" s="1976">
        <v>108</v>
      </c>
      <c r="V24" s="1976">
        <v>102</v>
      </c>
      <c r="W24" s="1976">
        <v>288</v>
      </c>
      <c r="X24" s="1976">
        <v>249</v>
      </c>
      <c r="Y24" s="1976">
        <v>29</v>
      </c>
      <c r="Z24" s="1976">
        <v>26</v>
      </c>
      <c r="AA24" s="1976">
        <v>8</v>
      </c>
      <c r="AB24" s="1976">
        <v>126</v>
      </c>
      <c r="AC24" s="1976">
        <v>103</v>
      </c>
      <c r="AD24" s="1976">
        <v>48</v>
      </c>
      <c r="AE24" s="1976">
        <v>46</v>
      </c>
      <c r="AF24" s="1976">
        <v>17</v>
      </c>
      <c r="AG24" s="1976">
        <v>16</v>
      </c>
      <c r="AH24" s="1976">
        <v>1</v>
      </c>
      <c r="AI24" s="1976">
        <v>1</v>
      </c>
      <c r="AJ24" s="1976">
        <v>59</v>
      </c>
      <c r="AK24" s="1976">
        <v>57</v>
      </c>
      <c r="AL24" s="1976">
        <v>34</v>
      </c>
      <c r="AM24" s="1976">
        <v>30</v>
      </c>
      <c r="AN24" s="1976">
        <v>470</v>
      </c>
      <c r="AO24" s="1976">
        <v>357</v>
      </c>
      <c r="AP24" s="1976">
        <v>7</v>
      </c>
      <c r="AQ24" s="1976">
        <v>6</v>
      </c>
      <c r="AR24" s="1977">
        <v>10</v>
      </c>
    </row>
    <row r="25" spans="1:44" s="30" customFormat="1" ht="8.4499999999999993" customHeight="1">
      <c r="A25" s="764" t="s">
        <v>632</v>
      </c>
      <c r="B25" s="764" t="s">
        <v>633</v>
      </c>
      <c r="C25" s="765">
        <v>225</v>
      </c>
      <c r="D25" s="765">
        <v>115</v>
      </c>
      <c r="E25" s="765">
        <v>111</v>
      </c>
      <c r="F25" s="765">
        <v>89</v>
      </c>
      <c r="G25" s="765" t="s">
        <v>28</v>
      </c>
      <c r="H25" s="765" t="s">
        <v>28</v>
      </c>
      <c r="I25" s="765">
        <v>1</v>
      </c>
      <c r="J25" s="765">
        <v>1</v>
      </c>
      <c r="K25" s="765">
        <v>36</v>
      </c>
      <c r="L25" s="765">
        <v>23</v>
      </c>
      <c r="M25" s="765">
        <v>1</v>
      </c>
      <c r="N25" s="765" t="s">
        <v>28</v>
      </c>
      <c r="O25" s="765">
        <v>60</v>
      </c>
      <c r="P25" s="765">
        <v>56</v>
      </c>
      <c r="Q25" s="765">
        <v>13</v>
      </c>
      <c r="R25" s="765">
        <v>9</v>
      </c>
      <c r="S25" s="765" t="s">
        <v>28</v>
      </c>
      <c r="T25" s="765" t="s">
        <v>28</v>
      </c>
      <c r="U25" s="765">
        <v>108</v>
      </c>
      <c r="V25" s="765">
        <v>102</v>
      </c>
      <c r="W25" s="765">
        <v>281</v>
      </c>
      <c r="X25" s="765">
        <v>245</v>
      </c>
      <c r="Y25" s="765">
        <v>29</v>
      </c>
      <c r="Z25" s="765">
        <v>26</v>
      </c>
      <c r="AA25" s="765">
        <v>8</v>
      </c>
      <c r="AB25" s="765">
        <v>120</v>
      </c>
      <c r="AC25" s="765">
        <v>100</v>
      </c>
      <c r="AD25" s="765">
        <v>47</v>
      </c>
      <c r="AE25" s="765">
        <v>45</v>
      </c>
      <c r="AF25" s="765">
        <v>17</v>
      </c>
      <c r="AG25" s="765">
        <v>16</v>
      </c>
      <c r="AH25" s="765">
        <v>1</v>
      </c>
      <c r="AI25" s="765">
        <v>1</v>
      </c>
      <c r="AJ25" s="765">
        <v>59</v>
      </c>
      <c r="AK25" s="765">
        <v>57</v>
      </c>
      <c r="AL25" s="765">
        <v>34</v>
      </c>
      <c r="AM25" s="765">
        <v>30</v>
      </c>
      <c r="AN25" s="765">
        <v>469</v>
      </c>
      <c r="AO25" s="765">
        <v>356</v>
      </c>
      <c r="AP25" s="765">
        <v>7</v>
      </c>
      <c r="AQ25" s="765">
        <v>6</v>
      </c>
      <c r="AR25" s="766">
        <v>10</v>
      </c>
    </row>
    <row r="26" spans="1:44" s="29" customFormat="1" ht="8.4499999999999993" customHeight="1">
      <c r="A26" s="764" t="s">
        <v>634</v>
      </c>
      <c r="B26" s="764" t="s">
        <v>635</v>
      </c>
      <c r="C26" s="765">
        <v>7</v>
      </c>
      <c r="D26" s="765">
        <v>4</v>
      </c>
      <c r="E26" s="765">
        <v>2</v>
      </c>
      <c r="F26" s="765" t="s">
        <v>28</v>
      </c>
      <c r="G26" s="765" t="s">
        <v>28</v>
      </c>
      <c r="H26" s="765" t="s">
        <v>28</v>
      </c>
      <c r="I26" s="765" t="s">
        <v>28</v>
      </c>
      <c r="J26" s="765" t="s">
        <v>28</v>
      </c>
      <c r="K26" s="765">
        <v>1</v>
      </c>
      <c r="L26" s="765" t="s">
        <v>28</v>
      </c>
      <c r="M26" s="765" t="s">
        <v>28</v>
      </c>
      <c r="N26" s="765" t="s">
        <v>28</v>
      </c>
      <c r="O26" s="765">
        <v>1</v>
      </c>
      <c r="P26" s="765" t="s">
        <v>28</v>
      </c>
      <c r="Q26" s="765" t="s">
        <v>28</v>
      </c>
      <c r="R26" s="765" t="s">
        <v>28</v>
      </c>
      <c r="S26" s="765" t="s">
        <v>28</v>
      </c>
      <c r="T26" s="765" t="s">
        <v>28</v>
      </c>
      <c r="U26" s="765" t="s">
        <v>28</v>
      </c>
      <c r="V26" s="765" t="s">
        <v>28</v>
      </c>
      <c r="W26" s="765">
        <v>7</v>
      </c>
      <c r="X26" s="765">
        <v>4</v>
      </c>
      <c r="Y26" s="765" t="s">
        <v>28</v>
      </c>
      <c r="Z26" s="765" t="s">
        <v>28</v>
      </c>
      <c r="AA26" s="765" t="s">
        <v>28</v>
      </c>
      <c r="AB26" s="765">
        <v>6</v>
      </c>
      <c r="AC26" s="765">
        <v>3</v>
      </c>
      <c r="AD26" s="765">
        <v>1</v>
      </c>
      <c r="AE26" s="765">
        <v>1</v>
      </c>
      <c r="AF26" s="765" t="s">
        <v>28</v>
      </c>
      <c r="AG26" s="765" t="s">
        <v>28</v>
      </c>
      <c r="AH26" s="765" t="s">
        <v>28</v>
      </c>
      <c r="AI26" s="765" t="s">
        <v>28</v>
      </c>
      <c r="AJ26" s="765" t="s">
        <v>28</v>
      </c>
      <c r="AK26" s="765" t="s">
        <v>28</v>
      </c>
      <c r="AL26" s="765" t="s">
        <v>28</v>
      </c>
      <c r="AM26" s="765" t="s">
        <v>28</v>
      </c>
      <c r="AN26" s="765">
        <v>1</v>
      </c>
      <c r="AO26" s="765">
        <v>1</v>
      </c>
      <c r="AP26" s="765" t="s">
        <v>28</v>
      </c>
      <c r="AQ26" s="765" t="s">
        <v>28</v>
      </c>
      <c r="AR26" s="766" t="s">
        <v>28</v>
      </c>
    </row>
    <row r="27" spans="1:44" s="29" customFormat="1" ht="8.4499999999999993" customHeight="1">
      <c r="A27" s="1975" t="s">
        <v>636</v>
      </c>
      <c r="B27" s="1975" t="s">
        <v>637</v>
      </c>
      <c r="C27" s="1976">
        <v>13</v>
      </c>
      <c r="D27" s="1976">
        <v>12</v>
      </c>
      <c r="E27" s="1976" t="s">
        <v>28</v>
      </c>
      <c r="F27" s="1976" t="s">
        <v>28</v>
      </c>
      <c r="G27" s="1976" t="s">
        <v>28</v>
      </c>
      <c r="H27" s="1976" t="s">
        <v>28</v>
      </c>
      <c r="I27" s="1976" t="s">
        <v>28</v>
      </c>
      <c r="J27" s="1976" t="s">
        <v>28</v>
      </c>
      <c r="K27" s="1976" t="s">
        <v>28</v>
      </c>
      <c r="L27" s="1976" t="s">
        <v>28</v>
      </c>
      <c r="M27" s="1976" t="s">
        <v>28</v>
      </c>
      <c r="N27" s="1976" t="s">
        <v>28</v>
      </c>
      <c r="O27" s="1976" t="s">
        <v>28</v>
      </c>
      <c r="P27" s="1976" t="s">
        <v>28</v>
      </c>
      <c r="Q27" s="1976" t="s">
        <v>28</v>
      </c>
      <c r="R27" s="1976" t="s">
        <v>28</v>
      </c>
      <c r="S27" s="1976" t="s">
        <v>28</v>
      </c>
      <c r="T27" s="1976" t="s">
        <v>28</v>
      </c>
      <c r="U27" s="1976">
        <v>3</v>
      </c>
      <c r="V27" s="1976">
        <v>3</v>
      </c>
      <c r="W27" s="1976">
        <v>23</v>
      </c>
      <c r="X27" s="1976">
        <v>17</v>
      </c>
      <c r="Y27" s="1976">
        <v>3</v>
      </c>
      <c r="Z27" s="1976">
        <v>2</v>
      </c>
      <c r="AA27" s="1976" t="s">
        <v>28</v>
      </c>
      <c r="AB27" s="1976">
        <v>12</v>
      </c>
      <c r="AC27" s="1976">
        <v>10</v>
      </c>
      <c r="AD27" s="1976">
        <v>1</v>
      </c>
      <c r="AE27" s="1976">
        <v>1</v>
      </c>
      <c r="AF27" s="1976" t="s">
        <v>28</v>
      </c>
      <c r="AG27" s="1976" t="s">
        <v>28</v>
      </c>
      <c r="AH27" s="1976" t="s">
        <v>28</v>
      </c>
      <c r="AI27" s="1976" t="s">
        <v>28</v>
      </c>
      <c r="AJ27" s="1976">
        <v>7</v>
      </c>
      <c r="AK27" s="1976">
        <v>4</v>
      </c>
      <c r="AL27" s="1976" t="s">
        <v>28</v>
      </c>
      <c r="AM27" s="1976" t="s">
        <v>28</v>
      </c>
      <c r="AN27" s="1976">
        <v>32</v>
      </c>
      <c r="AO27" s="1976">
        <v>23</v>
      </c>
      <c r="AP27" s="1976" t="s">
        <v>28</v>
      </c>
      <c r="AQ27" s="1976" t="s">
        <v>28</v>
      </c>
      <c r="AR27" s="1977">
        <v>2</v>
      </c>
    </row>
    <row r="28" spans="1:44" s="29" customFormat="1" ht="8.4499999999999993" customHeight="1">
      <c r="A28" s="764" t="s">
        <v>632</v>
      </c>
      <c r="B28" s="764" t="s">
        <v>633</v>
      </c>
      <c r="C28" s="765">
        <v>13</v>
      </c>
      <c r="D28" s="765">
        <v>12</v>
      </c>
      <c r="E28" s="765" t="s">
        <v>28</v>
      </c>
      <c r="F28" s="765" t="s">
        <v>28</v>
      </c>
      <c r="G28" s="765" t="s">
        <v>28</v>
      </c>
      <c r="H28" s="765" t="s">
        <v>28</v>
      </c>
      <c r="I28" s="765" t="s">
        <v>28</v>
      </c>
      <c r="J28" s="765" t="s">
        <v>28</v>
      </c>
      <c r="K28" s="765" t="s">
        <v>28</v>
      </c>
      <c r="L28" s="765" t="s">
        <v>28</v>
      </c>
      <c r="M28" s="765" t="s">
        <v>28</v>
      </c>
      <c r="N28" s="765" t="s">
        <v>28</v>
      </c>
      <c r="O28" s="765" t="s">
        <v>28</v>
      </c>
      <c r="P28" s="765" t="s">
        <v>28</v>
      </c>
      <c r="Q28" s="765" t="s">
        <v>28</v>
      </c>
      <c r="R28" s="765" t="s">
        <v>28</v>
      </c>
      <c r="S28" s="765" t="s">
        <v>28</v>
      </c>
      <c r="T28" s="765" t="s">
        <v>28</v>
      </c>
      <c r="U28" s="765">
        <v>3</v>
      </c>
      <c r="V28" s="765">
        <v>3</v>
      </c>
      <c r="W28" s="765">
        <v>23</v>
      </c>
      <c r="X28" s="765">
        <v>17</v>
      </c>
      <c r="Y28" s="765">
        <v>3</v>
      </c>
      <c r="Z28" s="765">
        <v>2</v>
      </c>
      <c r="AA28" s="765" t="s">
        <v>28</v>
      </c>
      <c r="AB28" s="765">
        <v>12</v>
      </c>
      <c r="AC28" s="765">
        <v>10</v>
      </c>
      <c r="AD28" s="765">
        <v>1</v>
      </c>
      <c r="AE28" s="765">
        <v>1</v>
      </c>
      <c r="AF28" s="765" t="s">
        <v>28</v>
      </c>
      <c r="AG28" s="765" t="s">
        <v>28</v>
      </c>
      <c r="AH28" s="765" t="s">
        <v>28</v>
      </c>
      <c r="AI28" s="765" t="s">
        <v>28</v>
      </c>
      <c r="AJ28" s="765">
        <v>7</v>
      </c>
      <c r="AK28" s="765">
        <v>4</v>
      </c>
      <c r="AL28" s="765" t="s">
        <v>28</v>
      </c>
      <c r="AM28" s="765" t="s">
        <v>28</v>
      </c>
      <c r="AN28" s="765">
        <v>32</v>
      </c>
      <c r="AO28" s="765">
        <v>23</v>
      </c>
      <c r="AP28" s="765" t="s">
        <v>28</v>
      </c>
      <c r="AQ28" s="765" t="s">
        <v>28</v>
      </c>
      <c r="AR28" s="766">
        <v>2</v>
      </c>
    </row>
    <row r="29" spans="1:44" s="29" customFormat="1" ht="8.4499999999999993" customHeight="1">
      <c r="A29" s="1975" t="s">
        <v>638</v>
      </c>
      <c r="B29" s="1975" t="s">
        <v>639</v>
      </c>
      <c r="C29" s="1976">
        <v>1</v>
      </c>
      <c r="D29" s="1976">
        <v>1</v>
      </c>
      <c r="E29" s="1976">
        <v>1</v>
      </c>
      <c r="F29" s="1976">
        <v>1</v>
      </c>
      <c r="G29" s="1976" t="s">
        <v>28</v>
      </c>
      <c r="H29" s="1976" t="s">
        <v>28</v>
      </c>
      <c r="I29" s="1976" t="s">
        <v>28</v>
      </c>
      <c r="J29" s="1976" t="s">
        <v>28</v>
      </c>
      <c r="K29" s="1976" t="s">
        <v>28</v>
      </c>
      <c r="L29" s="1976" t="s">
        <v>28</v>
      </c>
      <c r="M29" s="1976" t="s">
        <v>28</v>
      </c>
      <c r="N29" s="1976" t="s">
        <v>28</v>
      </c>
      <c r="O29" s="1976">
        <v>1</v>
      </c>
      <c r="P29" s="1976">
        <v>1</v>
      </c>
      <c r="Q29" s="1976" t="s">
        <v>28</v>
      </c>
      <c r="R29" s="1976" t="s">
        <v>28</v>
      </c>
      <c r="S29" s="1976" t="s">
        <v>28</v>
      </c>
      <c r="T29" s="1976" t="s">
        <v>28</v>
      </c>
      <c r="U29" s="1976">
        <v>2</v>
      </c>
      <c r="V29" s="1976">
        <v>2</v>
      </c>
      <c r="W29" s="1976">
        <v>7</v>
      </c>
      <c r="X29" s="1976">
        <v>7</v>
      </c>
      <c r="Y29" s="1976" t="s">
        <v>28</v>
      </c>
      <c r="Z29" s="1976" t="s">
        <v>28</v>
      </c>
      <c r="AA29" s="1976" t="s">
        <v>28</v>
      </c>
      <c r="AB29" s="1976">
        <v>4</v>
      </c>
      <c r="AC29" s="1976">
        <v>4</v>
      </c>
      <c r="AD29" s="1976" t="s">
        <v>28</v>
      </c>
      <c r="AE29" s="1976" t="s">
        <v>28</v>
      </c>
      <c r="AF29" s="1976" t="s">
        <v>28</v>
      </c>
      <c r="AG29" s="1976" t="s">
        <v>28</v>
      </c>
      <c r="AH29" s="1976" t="s">
        <v>28</v>
      </c>
      <c r="AI29" s="1976" t="s">
        <v>28</v>
      </c>
      <c r="AJ29" s="1976">
        <v>3</v>
      </c>
      <c r="AK29" s="1976">
        <v>3</v>
      </c>
      <c r="AL29" s="1976" t="s">
        <v>28</v>
      </c>
      <c r="AM29" s="1976" t="s">
        <v>28</v>
      </c>
      <c r="AN29" s="1976">
        <v>12</v>
      </c>
      <c r="AO29" s="1976">
        <v>8</v>
      </c>
      <c r="AP29" s="1976" t="s">
        <v>28</v>
      </c>
      <c r="AQ29" s="1976" t="s">
        <v>28</v>
      </c>
      <c r="AR29" s="1977">
        <v>2</v>
      </c>
    </row>
    <row r="30" spans="1:44" s="29" customFormat="1" ht="8.4499999999999993" customHeight="1">
      <c r="A30" s="764" t="s">
        <v>632</v>
      </c>
      <c r="B30" s="764" t="s">
        <v>633</v>
      </c>
      <c r="C30" s="765">
        <v>1</v>
      </c>
      <c r="D30" s="765">
        <v>1</v>
      </c>
      <c r="E30" s="765">
        <v>1</v>
      </c>
      <c r="F30" s="765">
        <v>1</v>
      </c>
      <c r="G30" s="765" t="s">
        <v>28</v>
      </c>
      <c r="H30" s="765" t="s">
        <v>28</v>
      </c>
      <c r="I30" s="765" t="s">
        <v>28</v>
      </c>
      <c r="J30" s="765" t="s">
        <v>28</v>
      </c>
      <c r="K30" s="765" t="s">
        <v>28</v>
      </c>
      <c r="L30" s="765" t="s">
        <v>28</v>
      </c>
      <c r="M30" s="765" t="s">
        <v>28</v>
      </c>
      <c r="N30" s="765" t="s">
        <v>28</v>
      </c>
      <c r="O30" s="765">
        <v>1</v>
      </c>
      <c r="P30" s="765">
        <v>1</v>
      </c>
      <c r="Q30" s="765" t="s">
        <v>28</v>
      </c>
      <c r="R30" s="765" t="s">
        <v>28</v>
      </c>
      <c r="S30" s="765" t="s">
        <v>28</v>
      </c>
      <c r="T30" s="765" t="s">
        <v>28</v>
      </c>
      <c r="U30" s="765">
        <v>1</v>
      </c>
      <c r="V30" s="765">
        <v>1</v>
      </c>
      <c r="W30" s="765">
        <v>7</v>
      </c>
      <c r="X30" s="765">
        <v>7</v>
      </c>
      <c r="Y30" s="765" t="s">
        <v>28</v>
      </c>
      <c r="Z30" s="765" t="s">
        <v>28</v>
      </c>
      <c r="AA30" s="765" t="s">
        <v>28</v>
      </c>
      <c r="AB30" s="765">
        <v>4</v>
      </c>
      <c r="AC30" s="765">
        <v>4</v>
      </c>
      <c r="AD30" s="765" t="s">
        <v>28</v>
      </c>
      <c r="AE30" s="765" t="s">
        <v>28</v>
      </c>
      <c r="AF30" s="765" t="s">
        <v>28</v>
      </c>
      <c r="AG30" s="765" t="s">
        <v>28</v>
      </c>
      <c r="AH30" s="765" t="s">
        <v>28</v>
      </c>
      <c r="AI30" s="765" t="s">
        <v>28</v>
      </c>
      <c r="AJ30" s="765">
        <v>3</v>
      </c>
      <c r="AK30" s="765">
        <v>3</v>
      </c>
      <c r="AL30" s="765" t="s">
        <v>28</v>
      </c>
      <c r="AM30" s="765" t="s">
        <v>28</v>
      </c>
      <c r="AN30" s="765">
        <v>12</v>
      </c>
      <c r="AO30" s="765">
        <v>8</v>
      </c>
      <c r="AP30" s="765" t="s">
        <v>28</v>
      </c>
      <c r="AQ30" s="765" t="s">
        <v>28</v>
      </c>
      <c r="AR30" s="766">
        <v>2</v>
      </c>
    </row>
    <row r="31" spans="1:44" s="29" customFormat="1" ht="8.4499999999999993" customHeight="1">
      <c r="A31" s="764" t="s">
        <v>965</v>
      </c>
      <c r="B31" s="764" t="s">
        <v>966</v>
      </c>
      <c r="C31" s="765" t="s">
        <v>28</v>
      </c>
      <c r="D31" s="765" t="s">
        <v>28</v>
      </c>
      <c r="E31" s="765" t="s">
        <v>28</v>
      </c>
      <c r="F31" s="765" t="s">
        <v>28</v>
      </c>
      <c r="G31" s="765" t="s">
        <v>28</v>
      </c>
      <c r="H31" s="765" t="s">
        <v>28</v>
      </c>
      <c r="I31" s="765" t="s">
        <v>28</v>
      </c>
      <c r="J31" s="765" t="s">
        <v>28</v>
      </c>
      <c r="K31" s="765" t="s">
        <v>28</v>
      </c>
      <c r="L31" s="765" t="s">
        <v>28</v>
      </c>
      <c r="M31" s="765" t="s">
        <v>28</v>
      </c>
      <c r="N31" s="765" t="s">
        <v>28</v>
      </c>
      <c r="O31" s="765" t="s">
        <v>28</v>
      </c>
      <c r="P31" s="765" t="s">
        <v>28</v>
      </c>
      <c r="Q31" s="765" t="s">
        <v>28</v>
      </c>
      <c r="R31" s="765" t="s">
        <v>28</v>
      </c>
      <c r="S31" s="765" t="s">
        <v>28</v>
      </c>
      <c r="T31" s="765" t="s">
        <v>28</v>
      </c>
      <c r="U31" s="765">
        <v>1</v>
      </c>
      <c r="V31" s="765">
        <v>1</v>
      </c>
      <c r="W31" s="765" t="s">
        <v>28</v>
      </c>
      <c r="X31" s="765" t="s">
        <v>28</v>
      </c>
      <c r="Y31" s="765" t="s">
        <v>28</v>
      </c>
      <c r="Z31" s="765" t="s">
        <v>28</v>
      </c>
      <c r="AA31" s="765" t="s">
        <v>28</v>
      </c>
      <c r="AB31" s="765" t="s">
        <v>28</v>
      </c>
      <c r="AC31" s="765" t="s">
        <v>28</v>
      </c>
      <c r="AD31" s="765" t="s">
        <v>28</v>
      </c>
      <c r="AE31" s="765" t="s">
        <v>28</v>
      </c>
      <c r="AF31" s="765" t="s">
        <v>28</v>
      </c>
      <c r="AG31" s="765" t="s">
        <v>28</v>
      </c>
      <c r="AH31" s="765" t="s">
        <v>28</v>
      </c>
      <c r="AI31" s="765" t="s">
        <v>28</v>
      </c>
      <c r="AJ31" s="765" t="s">
        <v>28</v>
      </c>
      <c r="AK31" s="765" t="s">
        <v>28</v>
      </c>
      <c r="AL31" s="765" t="s">
        <v>28</v>
      </c>
      <c r="AM31" s="765" t="s">
        <v>28</v>
      </c>
      <c r="AN31" s="765" t="s">
        <v>28</v>
      </c>
      <c r="AO31" s="765" t="s">
        <v>28</v>
      </c>
      <c r="AP31" s="765" t="s">
        <v>28</v>
      </c>
      <c r="AQ31" s="765" t="s">
        <v>28</v>
      </c>
      <c r="AR31" s="766" t="s">
        <v>28</v>
      </c>
    </row>
    <row r="32" spans="1:44" s="30" customFormat="1" ht="8.4499999999999993" customHeight="1">
      <c r="A32" s="1975" t="s">
        <v>167</v>
      </c>
      <c r="B32" s="1975" t="s">
        <v>612</v>
      </c>
      <c r="C32" s="1976" t="s">
        <v>28</v>
      </c>
      <c r="D32" s="1976" t="s">
        <v>28</v>
      </c>
      <c r="E32" s="1976" t="s">
        <v>28</v>
      </c>
      <c r="F32" s="1976" t="s">
        <v>28</v>
      </c>
      <c r="G32" s="1976" t="s">
        <v>28</v>
      </c>
      <c r="H32" s="1976" t="s">
        <v>28</v>
      </c>
      <c r="I32" s="1976" t="s">
        <v>28</v>
      </c>
      <c r="J32" s="1976" t="s">
        <v>28</v>
      </c>
      <c r="K32" s="1976" t="s">
        <v>28</v>
      </c>
      <c r="L32" s="1976" t="s">
        <v>28</v>
      </c>
      <c r="M32" s="1976" t="s">
        <v>28</v>
      </c>
      <c r="N32" s="1976" t="s">
        <v>28</v>
      </c>
      <c r="O32" s="1976" t="s">
        <v>28</v>
      </c>
      <c r="P32" s="1976" t="s">
        <v>28</v>
      </c>
      <c r="Q32" s="1976" t="s">
        <v>28</v>
      </c>
      <c r="R32" s="1976" t="s">
        <v>28</v>
      </c>
      <c r="S32" s="1976" t="s">
        <v>28</v>
      </c>
      <c r="T32" s="1976" t="s">
        <v>28</v>
      </c>
      <c r="U32" s="1976" t="s">
        <v>28</v>
      </c>
      <c r="V32" s="1976" t="s">
        <v>28</v>
      </c>
      <c r="W32" s="1976">
        <v>3</v>
      </c>
      <c r="X32" s="1976">
        <v>3</v>
      </c>
      <c r="Y32" s="1976" t="s">
        <v>28</v>
      </c>
      <c r="Z32" s="1976" t="s">
        <v>28</v>
      </c>
      <c r="AA32" s="1976" t="s">
        <v>28</v>
      </c>
      <c r="AB32" s="1976">
        <v>1</v>
      </c>
      <c r="AC32" s="1976">
        <v>1</v>
      </c>
      <c r="AD32" s="1976">
        <v>1</v>
      </c>
      <c r="AE32" s="1976">
        <v>1</v>
      </c>
      <c r="AF32" s="1976">
        <v>1</v>
      </c>
      <c r="AG32" s="1976">
        <v>1</v>
      </c>
      <c r="AH32" s="1976" t="s">
        <v>28</v>
      </c>
      <c r="AI32" s="1976" t="s">
        <v>28</v>
      </c>
      <c r="AJ32" s="1976" t="s">
        <v>28</v>
      </c>
      <c r="AK32" s="1976" t="s">
        <v>28</v>
      </c>
      <c r="AL32" s="1976">
        <v>1</v>
      </c>
      <c r="AM32" s="1976">
        <v>1</v>
      </c>
      <c r="AN32" s="1976">
        <v>3</v>
      </c>
      <c r="AO32" s="1976">
        <v>3</v>
      </c>
      <c r="AP32" s="1976" t="s">
        <v>28</v>
      </c>
      <c r="AQ32" s="1976" t="s">
        <v>28</v>
      </c>
      <c r="AR32" s="1977">
        <v>1</v>
      </c>
    </row>
    <row r="33" spans="1:44" s="29" customFormat="1" ht="8.4499999999999993" customHeight="1">
      <c r="A33" s="764" t="s">
        <v>632</v>
      </c>
      <c r="B33" s="764" t="s">
        <v>633</v>
      </c>
      <c r="C33" s="765" t="s">
        <v>28</v>
      </c>
      <c r="D33" s="765" t="s">
        <v>28</v>
      </c>
      <c r="E33" s="765" t="s">
        <v>28</v>
      </c>
      <c r="F33" s="765" t="s">
        <v>28</v>
      </c>
      <c r="G33" s="765" t="s">
        <v>28</v>
      </c>
      <c r="H33" s="765" t="s">
        <v>28</v>
      </c>
      <c r="I33" s="765" t="s">
        <v>28</v>
      </c>
      <c r="J33" s="765" t="s">
        <v>28</v>
      </c>
      <c r="K33" s="765" t="s">
        <v>28</v>
      </c>
      <c r="L33" s="765" t="s">
        <v>28</v>
      </c>
      <c r="M33" s="765" t="s">
        <v>28</v>
      </c>
      <c r="N33" s="765" t="s">
        <v>28</v>
      </c>
      <c r="O33" s="765" t="s">
        <v>28</v>
      </c>
      <c r="P33" s="765" t="s">
        <v>28</v>
      </c>
      <c r="Q33" s="765" t="s">
        <v>28</v>
      </c>
      <c r="R33" s="765" t="s">
        <v>28</v>
      </c>
      <c r="S33" s="765" t="s">
        <v>28</v>
      </c>
      <c r="T33" s="765" t="s">
        <v>28</v>
      </c>
      <c r="U33" s="765" t="s">
        <v>28</v>
      </c>
      <c r="V33" s="765" t="s">
        <v>28</v>
      </c>
      <c r="W33" s="765">
        <v>3</v>
      </c>
      <c r="X33" s="765">
        <v>3</v>
      </c>
      <c r="Y33" s="765" t="s">
        <v>28</v>
      </c>
      <c r="Z33" s="765" t="s">
        <v>28</v>
      </c>
      <c r="AA33" s="765" t="s">
        <v>28</v>
      </c>
      <c r="AB33" s="765">
        <v>1</v>
      </c>
      <c r="AC33" s="765">
        <v>1</v>
      </c>
      <c r="AD33" s="765">
        <v>1</v>
      </c>
      <c r="AE33" s="765">
        <v>1</v>
      </c>
      <c r="AF33" s="765">
        <v>1</v>
      </c>
      <c r="AG33" s="765">
        <v>1</v>
      </c>
      <c r="AH33" s="765" t="s">
        <v>28</v>
      </c>
      <c r="AI33" s="765" t="s">
        <v>28</v>
      </c>
      <c r="AJ33" s="765" t="s">
        <v>28</v>
      </c>
      <c r="AK33" s="765" t="s">
        <v>28</v>
      </c>
      <c r="AL33" s="765">
        <v>1</v>
      </c>
      <c r="AM33" s="765">
        <v>1</v>
      </c>
      <c r="AN33" s="765">
        <v>3</v>
      </c>
      <c r="AO33" s="765">
        <v>3</v>
      </c>
      <c r="AP33" s="765" t="s">
        <v>28</v>
      </c>
      <c r="AQ33" s="765" t="s">
        <v>28</v>
      </c>
      <c r="AR33" s="766">
        <v>1</v>
      </c>
    </row>
    <row r="34" spans="1:44" s="30" customFormat="1" ht="8.4499999999999993" customHeight="1">
      <c r="A34" s="1975" t="s">
        <v>168</v>
      </c>
      <c r="B34" s="1975" t="s">
        <v>613</v>
      </c>
      <c r="C34" s="1976" t="s">
        <v>28</v>
      </c>
      <c r="D34" s="1976" t="s">
        <v>28</v>
      </c>
      <c r="E34" s="1976" t="s">
        <v>28</v>
      </c>
      <c r="F34" s="1976" t="s">
        <v>28</v>
      </c>
      <c r="G34" s="1976" t="s">
        <v>28</v>
      </c>
      <c r="H34" s="1976" t="s">
        <v>28</v>
      </c>
      <c r="I34" s="1976" t="s">
        <v>28</v>
      </c>
      <c r="J34" s="1976" t="s">
        <v>28</v>
      </c>
      <c r="K34" s="1976" t="s">
        <v>28</v>
      </c>
      <c r="L34" s="1976" t="s">
        <v>28</v>
      </c>
      <c r="M34" s="1976" t="s">
        <v>28</v>
      </c>
      <c r="N34" s="1976" t="s">
        <v>28</v>
      </c>
      <c r="O34" s="1976" t="s">
        <v>28</v>
      </c>
      <c r="P34" s="1976" t="s">
        <v>28</v>
      </c>
      <c r="Q34" s="1976" t="s">
        <v>28</v>
      </c>
      <c r="R34" s="1976" t="s">
        <v>28</v>
      </c>
      <c r="S34" s="1976" t="s">
        <v>28</v>
      </c>
      <c r="T34" s="1976" t="s">
        <v>28</v>
      </c>
      <c r="U34" s="1976">
        <v>2</v>
      </c>
      <c r="V34" s="1976">
        <v>2</v>
      </c>
      <c r="W34" s="1976">
        <v>12</v>
      </c>
      <c r="X34" s="1976">
        <v>12</v>
      </c>
      <c r="Y34" s="1976" t="s">
        <v>28</v>
      </c>
      <c r="Z34" s="1976" t="s">
        <v>28</v>
      </c>
      <c r="AA34" s="1976" t="s">
        <v>28</v>
      </c>
      <c r="AB34" s="1976">
        <v>10</v>
      </c>
      <c r="AC34" s="1976">
        <v>10</v>
      </c>
      <c r="AD34" s="1976">
        <v>1</v>
      </c>
      <c r="AE34" s="1976">
        <v>1</v>
      </c>
      <c r="AF34" s="1976" t="s">
        <v>28</v>
      </c>
      <c r="AG34" s="1976" t="s">
        <v>28</v>
      </c>
      <c r="AH34" s="1976" t="s">
        <v>28</v>
      </c>
      <c r="AI34" s="1976" t="s">
        <v>28</v>
      </c>
      <c r="AJ34" s="1976">
        <v>1</v>
      </c>
      <c r="AK34" s="1976">
        <v>1</v>
      </c>
      <c r="AL34" s="1976" t="s">
        <v>28</v>
      </c>
      <c r="AM34" s="1976" t="s">
        <v>28</v>
      </c>
      <c r="AN34" s="1976">
        <v>13</v>
      </c>
      <c r="AO34" s="1976">
        <v>13</v>
      </c>
      <c r="AP34" s="1976" t="s">
        <v>28</v>
      </c>
      <c r="AQ34" s="1976" t="s">
        <v>28</v>
      </c>
      <c r="AR34" s="1977">
        <v>2</v>
      </c>
    </row>
    <row r="35" spans="1:44" s="30" customFormat="1" ht="8.4499999999999993" customHeight="1">
      <c r="A35" s="764" t="s">
        <v>632</v>
      </c>
      <c r="B35" s="764" t="s">
        <v>633</v>
      </c>
      <c r="C35" s="765" t="s">
        <v>28</v>
      </c>
      <c r="D35" s="765" t="s">
        <v>28</v>
      </c>
      <c r="E35" s="765" t="s">
        <v>28</v>
      </c>
      <c r="F35" s="765" t="s">
        <v>28</v>
      </c>
      <c r="G35" s="765" t="s">
        <v>28</v>
      </c>
      <c r="H35" s="765" t="s">
        <v>28</v>
      </c>
      <c r="I35" s="765" t="s">
        <v>28</v>
      </c>
      <c r="J35" s="765" t="s">
        <v>28</v>
      </c>
      <c r="K35" s="765" t="s">
        <v>28</v>
      </c>
      <c r="L35" s="765" t="s">
        <v>28</v>
      </c>
      <c r="M35" s="765" t="s">
        <v>28</v>
      </c>
      <c r="N35" s="765" t="s">
        <v>28</v>
      </c>
      <c r="O35" s="765" t="s">
        <v>28</v>
      </c>
      <c r="P35" s="765" t="s">
        <v>28</v>
      </c>
      <c r="Q35" s="765" t="s">
        <v>28</v>
      </c>
      <c r="R35" s="765" t="s">
        <v>28</v>
      </c>
      <c r="S35" s="765" t="s">
        <v>28</v>
      </c>
      <c r="T35" s="765" t="s">
        <v>28</v>
      </c>
      <c r="U35" s="765">
        <v>2</v>
      </c>
      <c r="V35" s="765">
        <v>2</v>
      </c>
      <c r="W35" s="765">
        <v>11</v>
      </c>
      <c r="X35" s="765">
        <v>11</v>
      </c>
      <c r="Y35" s="765" t="s">
        <v>28</v>
      </c>
      <c r="Z35" s="765" t="s">
        <v>28</v>
      </c>
      <c r="AA35" s="765" t="s">
        <v>28</v>
      </c>
      <c r="AB35" s="765">
        <v>9</v>
      </c>
      <c r="AC35" s="765">
        <v>9</v>
      </c>
      <c r="AD35" s="765">
        <v>1</v>
      </c>
      <c r="AE35" s="765">
        <v>1</v>
      </c>
      <c r="AF35" s="765" t="s">
        <v>28</v>
      </c>
      <c r="AG35" s="765" t="s">
        <v>28</v>
      </c>
      <c r="AH35" s="765" t="s">
        <v>28</v>
      </c>
      <c r="AI35" s="765" t="s">
        <v>28</v>
      </c>
      <c r="AJ35" s="765">
        <v>1</v>
      </c>
      <c r="AK35" s="765">
        <v>1</v>
      </c>
      <c r="AL35" s="765" t="s">
        <v>28</v>
      </c>
      <c r="AM35" s="765" t="s">
        <v>28</v>
      </c>
      <c r="AN35" s="765">
        <v>13</v>
      </c>
      <c r="AO35" s="765">
        <v>13</v>
      </c>
      <c r="AP35" s="765" t="s">
        <v>28</v>
      </c>
      <c r="AQ35" s="765" t="s">
        <v>28</v>
      </c>
      <c r="AR35" s="766">
        <v>2</v>
      </c>
    </row>
    <row r="36" spans="1:44" s="30" customFormat="1" ht="8.4499999999999993" customHeight="1">
      <c r="A36" s="764" t="s">
        <v>965</v>
      </c>
      <c r="B36" s="764" t="s">
        <v>966</v>
      </c>
      <c r="C36" s="765" t="s">
        <v>28</v>
      </c>
      <c r="D36" s="765" t="s">
        <v>28</v>
      </c>
      <c r="E36" s="765" t="s">
        <v>28</v>
      </c>
      <c r="F36" s="765" t="s">
        <v>28</v>
      </c>
      <c r="G36" s="765" t="s">
        <v>28</v>
      </c>
      <c r="H36" s="765" t="s">
        <v>28</v>
      </c>
      <c r="I36" s="765" t="s">
        <v>28</v>
      </c>
      <c r="J36" s="765" t="s">
        <v>28</v>
      </c>
      <c r="K36" s="765" t="s">
        <v>28</v>
      </c>
      <c r="L36" s="765" t="s">
        <v>28</v>
      </c>
      <c r="M36" s="765" t="s">
        <v>28</v>
      </c>
      <c r="N36" s="765" t="s">
        <v>28</v>
      </c>
      <c r="O36" s="765" t="s">
        <v>28</v>
      </c>
      <c r="P36" s="765" t="s">
        <v>28</v>
      </c>
      <c r="Q36" s="765" t="s">
        <v>28</v>
      </c>
      <c r="R36" s="765" t="s">
        <v>28</v>
      </c>
      <c r="S36" s="765" t="s">
        <v>28</v>
      </c>
      <c r="T36" s="765" t="s">
        <v>28</v>
      </c>
      <c r="U36" s="765" t="s">
        <v>28</v>
      </c>
      <c r="V36" s="765" t="s">
        <v>28</v>
      </c>
      <c r="W36" s="765">
        <v>1</v>
      </c>
      <c r="X36" s="765">
        <v>1</v>
      </c>
      <c r="Y36" s="765" t="s">
        <v>28</v>
      </c>
      <c r="Z36" s="765" t="s">
        <v>28</v>
      </c>
      <c r="AA36" s="765" t="s">
        <v>28</v>
      </c>
      <c r="AB36" s="765">
        <v>1</v>
      </c>
      <c r="AC36" s="765">
        <v>1</v>
      </c>
      <c r="AD36" s="765" t="s">
        <v>28</v>
      </c>
      <c r="AE36" s="765" t="s">
        <v>28</v>
      </c>
      <c r="AF36" s="765" t="s">
        <v>28</v>
      </c>
      <c r="AG36" s="765" t="s">
        <v>28</v>
      </c>
      <c r="AH36" s="765" t="s">
        <v>28</v>
      </c>
      <c r="AI36" s="765" t="s">
        <v>28</v>
      </c>
      <c r="AJ36" s="765" t="s">
        <v>28</v>
      </c>
      <c r="AK36" s="765" t="s">
        <v>28</v>
      </c>
      <c r="AL36" s="765" t="s">
        <v>28</v>
      </c>
      <c r="AM36" s="765" t="s">
        <v>28</v>
      </c>
      <c r="AN36" s="765" t="s">
        <v>28</v>
      </c>
      <c r="AO36" s="765" t="s">
        <v>28</v>
      </c>
      <c r="AP36" s="765" t="s">
        <v>28</v>
      </c>
      <c r="AQ36" s="765" t="s">
        <v>28</v>
      </c>
      <c r="AR36" s="766" t="s">
        <v>28</v>
      </c>
    </row>
    <row r="37" spans="1:44" s="30" customFormat="1" ht="8.4499999999999993" customHeight="1">
      <c r="A37" s="1975" t="s">
        <v>169</v>
      </c>
      <c r="B37" s="1975" t="s">
        <v>556</v>
      </c>
      <c r="C37" s="1976">
        <v>1</v>
      </c>
      <c r="D37" s="1976">
        <v>1</v>
      </c>
      <c r="E37" s="1976" t="s">
        <v>28</v>
      </c>
      <c r="F37" s="1976" t="s">
        <v>28</v>
      </c>
      <c r="G37" s="1976" t="s">
        <v>28</v>
      </c>
      <c r="H37" s="1976" t="s">
        <v>28</v>
      </c>
      <c r="I37" s="1976" t="s">
        <v>28</v>
      </c>
      <c r="J37" s="1976" t="s">
        <v>28</v>
      </c>
      <c r="K37" s="1976" t="s">
        <v>28</v>
      </c>
      <c r="L37" s="1976" t="s">
        <v>28</v>
      </c>
      <c r="M37" s="1976" t="s">
        <v>28</v>
      </c>
      <c r="N37" s="1976" t="s">
        <v>28</v>
      </c>
      <c r="O37" s="1976" t="s">
        <v>28</v>
      </c>
      <c r="P37" s="1976" t="s">
        <v>28</v>
      </c>
      <c r="Q37" s="1976" t="s">
        <v>28</v>
      </c>
      <c r="R37" s="1976" t="s">
        <v>28</v>
      </c>
      <c r="S37" s="1976" t="s">
        <v>28</v>
      </c>
      <c r="T37" s="1976" t="s">
        <v>28</v>
      </c>
      <c r="U37" s="1976">
        <v>3</v>
      </c>
      <c r="V37" s="1976">
        <v>3</v>
      </c>
      <c r="W37" s="1976">
        <v>4</v>
      </c>
      <c r="X37" s="1976">
        <v>4</v>
      </c>
      <c r="Y37" s="1976" t="s">
        <v>28</v>
      </c>
      <c r="Z37" s="1976" t="s">
        <v>28</v>
      </c>
      <c r="AA37" s="1976" t="s">
        <v>28</v>
      </c>
      <c r="AB37" s="1976">
        <v>4</v>
      </c>
      <c r="AC37" s="1976">
        <v>4</v>
      </c>
      <c r="AD37" s="1976" t="s">
        <v>28</v>
      </c>
      <c r="AE37" s="1976" t="s">
        <v>28</v>
      </c>
      <c r="AF37" s="1976" t="s">
        <v>28</v>
      </c>
      <c r="AG37" s="1976" t="s">
        <v>28</v>
      </c>
      <c r="AH37" s="1976" t="s">
        <v>28</v>
      </c>
      <c r="AI37" s="1976" t="s">
        <v>28</v>
      </c>
      <c r="AJ37" s="1976" t="s">
        <v>28</v>
      </c>
      <c r="AK37" s="1976" t="s">
        <v>28</v>
      </c>
      <c r="AL37" s="1976" t="s">
        <v>28</v>
      </c>
      <c r="AM37" s="1976" t="s">
        <v>28</v>
      </c>
      <c r="AN37" s="1976">
        <v>6</v>
      </c>
      <c r="AO37" s="1976">
        <v>6</v>
      </c>
      <c r="AP37" s="1976" t="s">
        <v>28</v>
      </c>
      <c r="AQ37" s="1976" t="s">
        <v>28</v>
      </c>
      <c r="AR37" s="1977" t="s">
        <v>28</v>
      </c>
    </row>
    <row r="38" spans="1:44" s="31" customFormat="1" ht="8.4499999999999993" customHeight="1" thickBot="1">
      <c r="A38" s="1978" t="s">
        <v>632</v>
      </c>
      <c r="B38" s="1978" t="s">
        <v>633</v>
      </c>
      <c r="C38" s="768">
        <v>1</v>
      </c>
      <c r="D38" s="768">
        <v>1</v>
      </c>
      <c r="E38" s="768" t="s">
        <v>28</v>
      </c>
      <c r="F38" s="768" t="s">
        <v>28</v>
      </c>
      <c r="G38" s="768" t="s">
        <v>28</v>
      </c>
      <c r="H38" s="768" t="s">
        <v>28</v>
      </c>
      <c r="I38" s="768" t="s">
        <v>28</v>
      </c>
      <c r="J38" s="768" t="s">
        <v>28</v>
      </c>
      <c r="K38" s="768" t="s">
        <v>28</v>
      </c>
      <c r="L38" s="768" t="s">
        <v>28</v>
      </c>
      <c r="M38" s="768" t="s">
        <v>28</v>
      </c>
      <c r="N38" s="768" t="s">
        <v>28</v>
      </c>
      <c r="O38" s="768" t="s">
        <v>28</v>
      </c>
      <c r="P38" s="768" t="s">
        <v>28</v>
      </c>
      <c r="Q38" s="768" t="s">
        <v>28</v>
      </c>
      <c r="R38" s="768" t="s">
        <v>28</v>
      </c>
      <c r="S38" s="768" t="s">
        <v>28</v>
      </c>
      <c r="T38" s="768" t="s">
        <v>28</v>
      </c>
      <c r="U38" s="768">
        <v>3</v>
      </c>
      <c r="V38" s="768">
        <v>3</v>
      </c>
      <c r="W38" s="768">
        <v>4</v>
      </c>
      <c r="X38" s="768">
        <v>4</v>
      </c>
      <c r="Y38" s="768" t="s">
        <v>28</v>
      </c>
      <c r="Z38" s="768" t="s">
        <v>28</v>
      </c>
      <c r="AA38" s="768" t="s">
        <v>28</v>
      </c>
      <c r="AB38" s="768">
        <v>4</v>
      </c>
      <c r="AC38" s="768">
        <v>4</v>
      </c>
      <c r="AD38" s="768" t="s">
        <v>28</v>
      </c>
      <c r="AE38" s="768" t="s">
        <v>28</v>
      </c>
      <c r="AF38" s="768" t="s">
        <v>28</v>
      </c>
      <c r="AG38" s="768" t="s">
        <v>28</v>
      </c>
      <c r="AH38" s="768" t="s">
        <v>28</v>
      </c>
      <c r="AI38" s="768" t="s">
        <v>28</v>
      </c>
      <c r="AJ38" s="768" t="s">
        <v>28</v>
      </c>
      <c r="AK38" s="768" t="s">
        <v>28</v>
      </c>
      <c r="AL38" s="768" t="s">
        <v>28</v>
      </c>
      <c r="AM38" s="768" t="s">
        <v>28</v>
      </c>
      <c r="AN38" s="768">
        <v>6</v>
      </c>
      <c r="AO38" s="768">
        <v>6</v>
      </c>
      <c r="AP38" s="768" t="s">
        <v>28</v>
      </c>
      <c r="AQ38" s="768" t="s">
        <v>28</v>
      </c>
      <c r="AR38" s="769" t="s">
        <v>28</v>
      </c>
    </row>
    <row r="39" spans="1:44" s="29" customFormat="1" ht="8.4499999999999993" customHeight="1" thickBot="1">
      <c r="A39" s="1979" t="s">
        <v>33</v>
      </c>
      <c r="B39" s="1979"/>
      <c r="C39" s="1979"/>
      <c r="D39" s="1979"/>
      <c r="E39" s="1979"/>
      <c r="F39" s="1979"/>
      <c r="G39" s="1979"/>
      <c r="H39" s="1979"/>
      <c r="I39" s="1979"/>
      <c r="J39" s="1979"/>
      <c r="K39" s="1979"/>
      <c r="L39" s="1979"/>
      <c r="M39" s="1979"/>
      <c r="N39" s="1979"/>
      <c r="O39" s="1979"/>
      <c r="P39" s="1979"/>
      <c r="Q39" s="1979"/>
      <c r="R39" s="1979"/>
      <c r="S39" s="1979"/>
      <c r="T39" s="1979"/>
      <c r="U39" s="1979"/>
      <c r="V39" s="1979"/>
      <c r="W39" s="1979" t="s">
        <v>646</v>
      </c>
      <c r="X39" s="1979"/>
      <c r="Y39" s="1979"/>
      <c r="Z39" s="1979"/>
      <c r="AA39" s="1979"/>
      <c r="AB39" s="1979"/>
      <c r="AC39" s="1979"/>
      <c r="AD39" s="1979"/>
      <c r="AE39" s="1979"/>
      <c r="AF39" s="1979"/>
      <c r="AG39" s="1979"/>
      <c r="AH39" s="1979"/>
      <c r="AI39" s="1979"/>
      <c r="AJ39" s="1979"/>
      <c r="AK39" s="1979"/>
      <c r="AL39" s="1979"/>
      <c r="AM39" s="1979"/>
      <c r="AN39" s="1979"/>
      <c r="AO39" s="1979"/>
      <c r="AP39" s="1979"/>
      <c r="AQ39" s="1979"/>
      <c r="AR39" s="1979"/>
    </row>
    <row r="40" spans="1:44" s="30" customFormat="1" ht="8.4499999999999993" customHeight="1">
      <c r="A40" s="1980" t="s">
        <v>35</v>
      </c>
      <c r="B40" s="1981" t="s">
        <v>36</v>
      </c>
      <c r="C40" s="1982">
        <v>84</v>
      </c>
      <c r="D40" s="1982">
        <v>57</v>
      </c>
      <c r="E40" s="1982">
        <v>21</v>
      </c>
      <c r="F40" s="1982">
        <v>12</v>
      </c>
      <c r="G40" s="1982" t="s">
        <v>28</v>
      </c>
      <c r="H40" s="1982" t="s">
        <v>28</v>
      </c>
      <c r="I40" s="1982" t="s">
        <v>28</v>
      </c>
      <c r="J40" s="1982" t="s">
        <v>28</v>
      </c>
      <c r="K40" s="1982">
        <v>10</v>
      </c>
      <c r="L40" s="1982">
        <v>4</v>
      </c>
      <c r="M40" s="1982" t="s">
        <v>28</v>
      </c>
      <c r="N40" s="1982" t="s">
        <v>28</v>
      </c>
      <c r="O40" s="1982">
        <v>9</v>
      </c>
      <c r="P40" s="1982">
        <v>7</v>
      </c>
      <c r="Q40" s="1982">
        <v>2</v>
      </c>
      <c r="R40" s="1982">
        <v>1</v>
      </c>
      <c r="S40" s="1982" t="s">
        <v>28</v>
      </c>
      <c r="T40" s="1982" t="s">
        <v>28</v>
      </c>
      <c r="U40" s="1982">
        <v>17</v>
      </c>
      <c r="V40" s="1982">
        <v>16</v>
      </c>
      <c r="W40" s="1982">
        <v>46</v>
      </c>
      <c r="X40" s="1982">
        <v>41</v>
      </c>
      <c r="Y40" s="1982">
        <v>1</v>
      </c>
      <c r="Z40" s="1982">
        <v>1</v>
      </c>
      <c r="AA40" s="1982">
        <v>2</v>
      </c>
      <c r="AB40" s="1982">
        <v>22</v>
      </c>
      <c r="AC40" s="1982">
        <v>20</v>
      </c>
      <c r="AD40" s="1982">
        <v>7</v>
      </c>
      <c r="AE40" s="1982">
        <v>7</v>
      </c>
      <c r="AF40" s="1982">
        <v>2</v>
      </c>
      <c r="AG40" s="1982">
        <v>2</v>
      </c>
      <c r="AH40" s="1982">
        <v>1</v>
      </c>
      <c r="AI40" s="1982">
        <v>1</v>
      </c>
      <c r="AJ40" s="1982">
        <v>11</v>
      </c>
      <c r="AK40" s="1982">
        <v>10</v>
      </c>
      <c r="AL40" s="1982">
        <v>8</v>
      </c>
      <c r="AM40" s="1982">
        <v>7</v>
      </c>
      <c r="AN40" s="1982">
        <v>97</v>
      </c>
      <c r="AO40" s="1982">
        <v>64</v>
      </c>
      <c r="AP40" s="1982">
        <v>2</v>
      </c>
      <c r="AQ40" s="1982">
        <v>1</v>
      </c>
      <c r="AR40" s="1983">
        <v>3</v>
      </c>
    </row>
    <row r="41" spans="1:44" s="30" customFormat="1" ht="8.4499999999999993" customHeight="1">
      <c r="A41" s="1984" t="s">
        <v>136</v>
      </c>
      <c r="B41" s="1985" t="s">
        <v>30</v>
      </c>
      <c r="C41" s="1986">
        <v>81</v>
      </c>
      <c r="D41" s="1986">
        <v>56</v>
      </c>
      <c r="E41" s="1986">
        <v>19</v>
      </c>
      <c r="F41" s="1986">
        <v>12</v>
      </c>
      <c r="G41" s="1986" t="s">
        <v>28</v>
      </c>
      <c r="H41" s="1986" t="s">
        <v>28</v>
      </c>
      <c r="I41" s="1986" t="s">
        <v>28</v>
      </c>
      <c r="J41" s="1986" t="s">
        <v>28</v>
      </c>
      <c r="K41" s="1986">
        <v>9</v>
      </c>
      <c r="L41" s="1986">
        <v>4</v>
      </c>
      <c r="M41" s="1986" t="s">
        <v>28</v>
      </c>
      <c r="N41" s="1986" t="s">
        <v>28</v>
      </c>
      <c r="O41" s="1986">
        <v>8</v>
      </c>
      <c r="P41" s="1986">
        <v>7</v>
      </c>
      <c r="Q41" s="1986">
        <v>2</v>
      </c>
      <c r="R41" s="1986">
        <v>1</v>
      </c>
      <c r="S41" s="1986" t="s">
        <v>28</v>
      </c>
      <c r="T41" s="1986" t="s">
        <v>28</v>
      </c>
      <c r="U41" s="1986">
        <v>15</v>
      </c>
      <c r="V41" s="1986">
        <v>14</v>
      </c>
      <c r="W41" s="1986">
        <v>43</v>
      </c>
      <c r="X41" s="1987">
        <v>39</v>
      </c>
      <c r="Y41" s="1987">
        <v>1</v>
      </c>
      <c r="Z41" s="1987">
        <v>1</v>
      </c>
      <c r="AA41" s="1987">
        <v>2</v>
      </c>
      <c r="AB41" s="1987">
        <v>19</v>
      </c>
      <c r="AC41" s="1987">
        <v>18</v>
      </c>
      <c r="AD41" s="1987">
        <v>7</v>
      </c>
      <c r="AE41" s="1987">
        <v>7</v>
      </c>
      <c r="AF41" s="1987">
        <v>2</v>
      </c>
      <c r="AG41" s="1987">
        <v>2</v>
      </c>
      <c r="AH41" s="1987">
        <v>1</v>
      </c>
      <c r="AI41" s="1987">
        <v>1</v>
      </c>
      <c r="AJ41" s="1987">
        <v>11</v>
      </c>
      <c r="AK41" s="1987">
        <v>10</v>
      </c>
      <c r="AL41" s="1987">
        <v>8</v>
      </c>
      <c r="AM41" s="1987">
        <v>7</v>
      </c>
      <c r="AN41" s="1987">
        <v>96</v>
      </c>
      <c r="AO41" s="1987">
        <v>64</v>
      </c>
      <c r="AP41" s="1987">
        <v>2</v>
      </c>
      <c r="AQ41" s="1987">
        <v>1</v>
      </c>
      <c r="AR41" s="1988">
        <v>3</v>
      </c>
    </row>
    <row r="42" spans="1:44" s="29" customFormat="1" ht="8.4499999999999993" customHeight="1">
      <c r="A42" s="1984" t="s">
        <v>137</v>
      </c>
      <c r="B42" s="1985" t="s">
        <v>32</v>
      </c>
      <c r="C42" s="1986">
        <v>3</v>
      </c>
      <c r="D42" s="1986">
        <v>1</v>
      </c>
      <c r="E42" s="1986">
        <v>2</v>
      </c>
      <c r="F42" s="1986" t="s">
        <v>28</v>
      </c>
      <c r="G42" s="1986" t="s">
        <v>28</v>
      </c>
      <c r="H42" s="1986" t="s">
        <v>28</v>
      </c>
      <c r="I42" s="1986" t="s">
        <v>28</v>
      </c>
      <c r="J42" s="1986" t="s">
        <v>28</v>
      </c>
      <c r="K42" s="765">
        <v>1</v>
      </c>
      <c r="L42" s="765" t="s">
        <v>28</v>
      </c>
      <c r="M42" s="1986" t="s">
        <v>28</v>
      </c>
      <c r="N42" s="1986" t="s">
        <v>28</v>
      </c>
      <c r="O42" s="1986">
        <v>1</v>
      </c>
      <c r="P42" s="1986" t="s">
        <v>28</v>
      </c>
      <c r="Q42" s="1986" t="s">
        <v>28</v>
      </c>
      <c r="R42" s="1986" t="s">
        <v>28</v>
      </c>
      <c r="S42" s="1986" t="s">
        <v>28</v>
      </c>
      <c r="T42" s="1986" t="s">
        <v>28</v>
      </c>
      <c r="U42" s="1986">
        <v>2</v>
      </c>
      <c r="V42" s="1986">
        <v>2</v>
      </c>
      <c r="W42" s="1986">
        <v>3</v>
      </c>
      <c r="X42" s="1987">
        <v>2</v>
      </c>
      <c r="Y42" s="1987" t="s">
        <v>28</v>
      </c>
      <c r="Z42" s="1987" t="s">
        <v>28</v>
      </c>
      <c r="AA42" s="1987" t="s">
        <v>28</v>
      </c>
      <c r="AB42" s="1987">
        <v>3</v>
      </c>
      <c r="AC42" s="1987">
        <v>2</v>
      </c>
      <c r="AD42" s="1987" t="s">
        <v>28</v>
      </c>
      <c r="AE42" s="1987" t="s">
        <v>28</v>
      </c>
      <c r="AF42" s="1987" t="s">
        <v>28</v>
      </c>
      <c r="AG42" s="1987" t="s">
        <v>28</v>
      </c>
      <c r="AH42" s="1987" t="s">
        <v>28</v>
      </c>
      <c r="AI42" s="1987" t="s">
        <v>28</v>
      </c>
      <c r="AJ42" s="1987" t="s">
        <v>28</v>
      </c>
      <c r="AK42" s="1987" t="s">
        <v>28</v>
      </c>
      <c r="AL42" s="1987" t="s">
        <v>28</v>
      </c>
      <c r="AM42" s="1987" t="s">
        <v>28</v>
      </c>
      <c r="AN42" s="1987">
        <v>1</v>
      </c>
      <c r="AO42" s="1987" t="s">
        <v>28</v>
      </c>
      <c r="AP42" s="1987" t="s">
        <v>28</v>
      </c>
      <c r="AQ42" s="1987" t="s">
        <v>28</v>
      </c>
      <c r="AR42" s="1988" t="s">
        <v>28</v>
      </c>
    </row>
    <row r="43" spans="1:44" s="30" customFormat="1" ht="8.4499999999999993" customHeight="1">
      <c r="A43" s="1989" t="s">
        <v>37</v>
      </c>
      <c r="B43" s="1990" t="s">
        <v>38</v>
      </c>
      <c r="C43" s="1976">
        <v>9</v>
      </c>
      <c r="D43" s="1976">
        <v>5</v>
      </c>
      <c r="E43" s="1976">
        <v>55</v>
      </c>
      <c r="F43" s="1976">
        <v>45</v>
      </c>
      <c r="G43" s="1976" t="s">
        <v>28</v>
      </c>
      <c r="H43" s="1976" t="s">
        <v>28</v>
      </c>
      <c r="I43" s="1976" t="s">
        <v>28</v>
      </c>
      <c r="J43" s="1976" t="s">
        <v>28</v>
      </c>
      <c r="K43" s="1976">
        <v>21</v>
      </c>
      <c r="L43" s="1976">
        <v>13</v>
      </c>
      <c r="M43" s="1976" t="s">
        <v>28</v>
      </c>
      <c r="N43" s="1976" t="s">
        <v>28</v>
      </c>
      <c r="O43" s="1976">
        <v>31</v>
      </c>
      <c r="P43" s="1976">
        <v>30</v>
      </c>
      <c r="Q43" s="1976">
        <v>3</v>
      </c>
      <c r="R43" s="1976">
        <v>2</v>
      </c>
      <c r="S43" s="1976" t="s">
        <v>28</v>
      </c>
      <c r="T43" s="1976" t="s">
        <v>28</v>
      </c>
      <c r="U43" s="1976">
        <v>28</v>
      </c>
      <c r="V43" s="1976">
        <v>27</v>
      </c>
      <c r="W43" s="1976">
        <v>90</v>
      </c>
      <c r="X43" s="1976">
        <v>79</v>
      </c>
      <c r="Y43" s="1976">
        <v>11</v>
      </c>
      <c r="Z43" s="1976">
        <v>9</v>
      </c>
      <c r="AA43" s="1976">
        <v>1</v>
      </c>
      <c r="AB43" s="1976">
        <v>32</v>
      </c>
      <c r="AC43" s="1976">
        <v>27</v>
      </c>
      <c r="AD43" s="1976">
        <v>16</v>
      </c>
      <c r="AE43" s="1976">
        <v>15</v>
      </c>
      <c r="AF43" s="1976">
        <v>6</v>
      </c>
      <c r="AG43" s="1976">
        <v>5</v>
      </c>
      <c r="AH43" s="1976" t="s">
        <v>28</v>
      </c>
      <c r="AI43" s="1976" t="s">
        <v>28</v>
      </c>
      <c r="AJ43" s="1976">
        <v>24</v>
      </c>
      <c r="AK43" s="1976">
        <v>23</v>
      </c>
      <c r="AL43" s="1976">
        <v>7</v>
      </c>
      <c r="AM43" s="1976">
        <v>6</v>
      </c>
      <c r="AN43" s="1976">
        <v>250</v>
      </c>
      <c r="AO43" s="1976">
        <v>200</v>
      </c>
      <c r="AP43" s="1976">
        <v>1</v>
      </c>
      <c r="AQ43" s="1976">
        <v>1</v>
      </c>
      <c r="AR43" s="1977">
        <v>5</v>
      </c>
    </row>
    <row r="44" spans="1:44" s="29" customFormat="1" ht="8.4499999999999993" customHeight="1">
      <c r="A44" s="1984" t="s">
        <v>136</v>
      </c>
      <c r="B44" s="1985" t="s">
        <v>30</v>
      </c>
      <c r="C44" s="765">
        <v>9</v>
      </c>
      <c r="D44" s="765">
        <v>5</v>
      </c>
      <c r="E44" s="765">
        <v>55</v>
      </c>
      <c r="F44" s="765">
        <v>45</v>
      </c>
      <c r="G44" s="765" t="s">
        <v>28</v>
      </c>
      <c r="H44" s="765" t="s">
        <v>28</v>
      </c>
      <c r="I44" s="765" t="s">
        <v>28</v>
      </c>
      <c r="J44" s="765" t="s">
        <v>28</v>
      </c>
      <c r="K44" s="765">
        <v>21</v>
      </c>
      <c r="L44" s="765">
        <v>13</v>
      </c>
      <c r="M44" s="765" t="s">
        <v>28</v>
      </c>
      <c r="N44" s="765" t="s">
        <v>28</v>
      </c>
      <c r="O44" s="765">
        <v>31</v>
      </c>
      <c r="P44" s="765">
        <v>30</v>
      </c>
      <c r="Q44" s="765">
        <v>3</v>
      </c>
      <c r="R44" s="765">
        <v>2</v>
      </c>
      <c r="S44" s="765" t="s">
        <v>28</v>
      </c>
      <c r="T44" s="765" t="s">
        <v>28</v>
      </c>
      <c r="U44" s="765">
        <v>28</v>
      </c>
      <c r="V44" s="765">
        <v>27</v>
      </c>
      <c r="W44" s="765">
        <v>90</v>
      </c>
      <c r="X44" s="770">
        <v>79</v>
      </c>
      <c r="Y44" s="765">
        <v>11</v>
      </c>
      <c r="Z44" s="765">
        <v>9</v>
      </c>
      <c r="AA44" s="765">
        <v>1</v>
      </c>
      <c r="AB44" s="765">
        <v>32</v>
      </c>
      <c r="AC44" s="765">
        <v>27</v>
      </c>
      <c r="AD44" s="765">
        <v>16</v>
      </c>
      <c r="AE44" s="765">
        <v>15</v>
      </c>
      <c r="AF44" s="765">
        <v>6</v>
      </c>
      <c r="AG44" s="765">
        <v>5</v>
      </c>
      <c r="AH44" s="765" t="s">
        <v>28</v>
      </c>
      <c r="AI44" s="765" t="s">
        <v>28</v>
      </c>
      <c r="AJ44" s="765">
        <v>24</v>
      </c>
      <c r="AK44" s="765">
        <v>23</v>
      </c>
      <c r="AL44" s="765">
        <v>7</v>
      </c>
      <c r="AM44" s="765">
        <v>6</v>
      </c>
      <c r="AN44" s="765">
        <v>250</v>
      </c>
      <c r="AO44" s="765">
        <v>200</v>
      </c>
      <c r="AP44" s="765">
        <v>1</v>
      </c>
      <c r="AQ44" s="765">
        <v>1</v>
      </c>
      <c r="AR44" s="766">
        <v>5</v>
      </c>
    </row>
    <row r="45" spans="1:44" s="30" customFormat="1" ht="8.4499999999999993" customHeight="1">
      <c r="A45" s="1989" t="s">
        <v>39</v>
      </c>
      <c r="B45" s="1990" t="s">
        <v>40</v>
      </c>
      <c r="C45" s="1991">
        <v>47</v>
      </c>
      <c r="D45" s="1991">
        <v>24</v>
      </c>
      <c r="E45" s="1991">
        <v>50</v>
      </c>
      <c r="F45" s="1991">
        <v>34</v>
      </c>
      <c r="G45" s="1991" t="s">
        <v>28</v>
      </c>
      <c r="H45" s="1991" t="s">
        <v>28</v>
      </c>
      <c r="I45" s="1991" t="s">
        <v>28</v>
      </c>
      <c r="J45" s="1991" t="s">
        <v>28</v>
      </c>
      <c r="K45" s="1991">
        <v>28</v>
      </c>
      <c r="L45" s="1991">
        <v>15</v>
      </c>
      <c r="M45" s="1991">
        <v>1</v>
      </c>
      <c r="N45" s="1991" t="s">
        <v>28</v>
      </c>
      <c r="O45" s="1991">
        <v>18</v>
      </c>
      <c r="P45" s="1991">
        <v>16</v>
      </c>
      <c r="Q45" s="1991">
        <v>3</v>
      </c>
      <c r="R45" s="1991">
        <v>3</v>
      </c>
      <c r="S45" s="1991" t="s">
        <v>28</v>
      </c>
      <c r="T45" s="1991" t="s">
        <v>28</v>
      </c>
      <c r="U45" s="1991">
        <v>59</v>
      </c>
      <c r="V45" s="1991">
        <v>55</v>
      </c>
      <c r="W45" s="1991">
        <v>131</v>
      </c>
      <c r="X45" s="1991">
        <v>115</v>
      </c>
      <c r="Y45" s="1991">
        <v>17</v>
      </c>
      <c r="Z45" s="1991">
        <v>15</v>
      </c>
      <c r="AA45" s="1991">
        <v>3</v>
      </c>
      <c r="AB45" s="1991">
        <v>64</v>
      </c>
      <c r="AC45" s="1991">
        <v>55</v>
      </c>
      <c r="AD45" s="1991">
        <v>16</v>
      </c>
      <c r="AE45" s="1991">
        <v>16</v>
      </c>
      <c r="AF45" s="1991">
        <v>5</v>
      </c>
      <c r="AG45" s="1991">
        <v>5</v>
      </c>
      <c r="AH45" s="1991" t="s">
        <v>28</v>
      </c>
      <c r="AI45" s="1991" t="s">
        <v>28</v>
      </c>
      <c r="AJ45" s="1991">
        <v>26</v>
      </c>
      <c r="AK45" s="1991">
        <v>24</v>
      </c>
      <c r="AL45" s="1991">
        <v>11</v>
      </c>
      <c r="AM45" s="1991">
        <v>11</v>
      </c>
      <c r="AN45" s="1991">
        <v>266</v>
      </c>
      <c r="AO45" s="1991">
        <v>189</v>
      </c>
      <c r="AP45" s="1991">
        <v>9</v>
      </c>
      <c r="AQ45" s="1991">
        <v>5</v>
      </c>
      <c r="AR45" s="1992">
        <v>5</v>
      </c>
    </row>
    <row r="46" spans="1:44" s="30" customFormat="1" ht="8.4499999999999993" customHeight="1">
      <c r="A46" s="1984" t="s">
        <v>136</v>
      </c>
      <c r="B46" s="1985" t="s">
        <v>30</v>
      </c>
      <c r="C46" s="1986">
        <v>43</v>
      </c>
      <c r="D46" s="1986">
        <v>21</v>
      </c>
      <c r="E46" s="1986">
        <v>50</v>
      </c>
      <c r="F46" s="1986">
        <v>34</v>
      </c>
      <c r="G46" s="765" t="s">
        <v>28</v>
      </c>
      <c r="H46" s="765" t="s">
        <v>28</v>
      </c>
      <c r="I46" s="765" t="s">
        <v>28</v>
      </c>
      <c r="J46" s="765" t="s">
        <v>28</v>
      </c>
      <c r="K46" s="1986">
        <v>28</v>
      </c>
      <c r="L46" s="1986">
        <v>15</v>
      </c>
      <c r="M46" s="1986">
        <v>1</v>
      </c>
      <c r="N46" s="1986" t="s">
        <v>28</v>
      </c>
      <c r="O46" s="1986">
        <v>18</v>
      </c>
      <c r="P46" s="1986">
        <v>16</v>
      </c>
      <c r="Q46" s="1986">
        <v>3</v>
      </c>
      <c r="R46" s="1986">
        <v>3</v>
      </c>
      <c r="S46" s="1986" t="s">
        <v>28</v>
      </c>
      <c r="T46" s="1986" t="s">
        <v>28</v>
      </c>
      <c r="U46" s="1986">
        <v>59</v>
      </c>
      <c r="V46" s="1986">
        <v>55</v>
      </c>
      <c r="W46" s="1986">
        <v>127</v>
      </c>
      <c r="X46" s="1987">
        <v>112</v>
      </c>
      <c r="Y46" s="1987">
        <v>17</v>
      </c>
      <c r="Z46" s="1987">
        <v>15</v>
      </c>
      <c r="AA46" s="1987">
        <v>3</v>
      </c>
      <c r="AB46" s="1987">
        <v>61</v>
      </c>
      <c r="AC46" s="1987">
        <v>53</v>
      </c>
      <c r="AD46" s="1987">
        <v>15</v>
      </c>
      <c r="AE46" s="1987">
        <v>15</v>
      </c>
      <c r="AF46" s="1987">
        <v>5</v>
      </c>
      <c r="AG46" s="1987">
        <v>5</v>
      </c>
      <c r="AH46" s="1987" t="s">
        <v>28</v>
      </c>
      <c r="AI46" s="1987" t="s">
        <v>28</v>
      </c>
      <c r="AJ46" s="1987">
        <v>26</v>
      </c>
      <c r="AK46" s="1987">
        <v>24</v>
      </c>
      <c r="AL46" s="1987">
        <v>11</v>
      </c>
      <c r="AM46" s="1987">
        <v>11</v>
      </c>
      <c r="AN46" s="1987">
        <v>265</v>
      </c>
      <c r="AO46" s="1987">
        <v>188</v>
      </c>
      <c r="AP46" s="1987">
        <v>9</v>
      </c>
      <c r="AQ46" s="1987">
        <v>5</v>
      </c>
      <c r="AR46" s="1988">
        <v>5</v>
      </c>
    </row>
    <row r="47" spans="1:44" s="29" customFormat="1" ht="8.4499999999999993" customHeight="1">
      <c r="A47" s="1984" t="s">
        <v>137</v>
      </c>
      <c r="B47" s="1985" t="s">
        <v>32</v>
      </c>
      <c r="C47" s="765">
        <v>4</v>
      </c>
      <c r="D47" s="765">
        <v>3</v>
      </c>
      <c r="E47" s="765" t="s">
        <v>28</v>
      </c>
      <c r="F47" s="765" t="s">
        <v>28</v>
      </c>
      <c r="G47" s="765" t="s">
        <v>28</v>
      </c>
      <c r="H47" s="765" t="s">
        <v>28</v>
      </c>
      <c r="I47" s="765" t="s">
        <v>28</v>
      </c>
      <c r="J47" s="765" t="s">
        <v>28</v>
      </c>
      <c r="K47" s="765" t="s">
        <v>28</v>
      </c>
      <c r="L47" s="765" t="s">
        <v>28</v>
      </c>
      <c r="M47" s="765" t="s">
        <v>28</v>
      </c>
      <c r="N47" s="765" t="s">
        <v>28</v>
      </c>
      <c r="O47" s="765" t="s">
        <v>28</v>
      </c>
      <c r="P47" s="765" t="s">
        <v>28</v>
      </c>
      <c r="Q47" s="765" t="s">
        <v>28</v>
      </c>
      <c r="R47" s="765" t="s">
        <v>28</v>
      </c>
      <c r="S47" s="765" t="s">
        <v>28</v>
      </c>
      <c r="T47" s="765" t="s">
        <v>28</v>
      </c>
      <c r="U47" s="765" t="s">
        <v>28</v>
      </c>
      <c r="V47" s="765" t="s">
        <v>28</v>
      </c>
      <c r="W47" s="765">
        <v>4</v>
      </c>
      <c r="X47" s="770">
        <v>3</v>
      </c>
      <c r="Y47" s="765" t="s">
        <v>28</v>
      </c>
      <c r="Z47" s="765" t="s">
        <v>28</v>
      </c>
      <c r="AA47" s="765" t="s">
        <v>28</v>
      </c>
      <c r="AB47" s="765">
        <v>3</v>
      </c>
      <c r="AC47" s="765">
        <v>2</v>
      </c>
      <c r="AD47" s="765">
        <v>1</v>
      </c>
      <c r="AE47" s="765">
        <v>1</v>
      </c>
      <c r="AF47" s="765" t="s">
        <v>28</v>
      </c>
      <c r="AG47" s="765" t="s">
        <v>28</v>
      </c>
      <c r="AH47" s="765" t="s">
        <v>28</v>
      </c>
      <c r="AI47" s="765" t="s">
        <v>28</v>
      </c>
      <c r="AJ47" s="765" t="s">
        <v>28</v>
      </c>
      <c r="AK47" s="765" t="s">
        <v>28</v>
      </c>
      <c r="AL47" s="765" t="s">
        <v>28</v>
      </c>
      <c r="AM47" s="765" t="s">
        <v>28</v>
      </c>
      <c r="AN47" s="765">
        <v>1</v>
      </c>
      <c r="AO47" s="765">
        <v>1</v>
      </c>
      <c r="AP47" s="765" t="s">
        <v>28</v>
      </c>
      <c r="AQ47" s="765" t="s">
        <v>28</v>
      </c>
      <c r="AR47" s="766" t="s">
        <v>28</v>
      </c>
    </row>
    <row r="48" spans="1:44" s="29" customFormat="1" ht="8.4499999999999993" customHeight="1">
      <c r="A48" s="1989" t="s">
        <v>41</v>
      </c>
      <c r="B48" s="1990" t="s">
        <v>42</v>
      </c>
      <c r="C48" s="1991">
        <v>97</v>
      </c>
      <c r="D48" s="1991">
        <v>45</v>
      </c>
      <c r="E48" s="1991">
        <v>32</v>
      </c>
      <c r="F48" s="1991">
        <v>21</v>
      </c>
      <c r="G48" s="1991" t="s">
        <v>28</v>
      </c>
      <c r="H48" s="1991" t="s">
        <v>28</v>
      </c>
      <c r="I48" s="1991">
        <v>1</v>
      </c>
      <c r="J48" s="1991">
        <v>1</v>
      </c>
      <c r="K48" s="1991">
        <v>16</v>
      </c>
      <c r="L48" s="1991">
        <v>8</v>
      </c>
      <c r="M48" s="1991" t="s">
        <v>28</v>
      </c>
      <c r="N48" s="1991" t="s">
        <v>28</v>
      </c>
      <c r="O48" s="1991">
        <v>10</v>
      </c>
      <c r="P48" s="1991">
        <v>9</v>
      </c>
      <c r="Q48" s="1991">
        <v>5</v>
      </c>
      <c r="R48" s="1991">
        <v>3</v>
      </c>
      <c r="S48" s="1991" t="s">
        <v>28</v>
      </c>
      <c r="T48" s="1991" t="s">
        <v>28</v>
      </c>
      <c r="U48" s="1991">
        <v>25</v>
      </c>
      <c r="V48" s="1991">
        <v>23</v>
      </c>
      <c r="W48" s="1991">
        <v>65</v>
      </c>
      <c r="X48" s="1991">
        <v>54</v>
      </c>
      <c r="Y48" s="1991">
        <v>3</v>
      </c>
      <c r="Z48" s="1991">
        <v>3</v>
      </c>
      <c r="AA48" s="1991">
        <v>2</v>
      </c>
      <c r="AB48" s="1991">
        <v>36</v>
      </c>
      <c r="AC48" s="1991">
        <v>29</v>
      </c>
      <c r="AD48" s="1991">
        <v>10</v>
      </c>
      <c r="AE48" s="1991">
        <v>9</v>
      </c>
      <c r="AF48" s="1991">
        <v>5</v>
      </c>
      <c r="AG48" s="1991">
        <v>5</v>
      </c>
      <c r="AH48" s="1991" t="s">
        <v>28</v>
      </c>
      <c r="AI48" s="1991" t="s">
        <v>28</v>
      </c>
      <c r="AJ48" s="1991">
        <v>9</v>
      </c>
      <c r="AK48" s="1991">
        <v>8</v>
      </c>
      <c r="AL48" s="1991">
        <v>8</v>
      </c>
      <c r="AM48" s="1991">
        <v>6</v>
      </c>
      <c r="AN48" s="1991">
        <v>152</v>
      </c>
      <c r="AO48" s="1991">
        <v>110</v>
      </c>
      <c r="AP48" s="1991">
        <v>2</v>
      </c>
      <c r="AQ48" s="1991">
        <v>1</v>
      </c>
      <c r="AR48" s="1992">
        <v>4</v>
      </c>
    </row>
    <row r="49" spans="1:44" s="29" customFormat="1" ht="8.4499999999999993" customHeight="1">
      <c r="A49" s="1984" t="s">
        <v>136</v>
      </c>
      <c r="B49" s="1985" t="s">
        <v>30</v>
      </c>
      <c r="C49" s="765">
        <v>97</v>
      </c>
      <c r="D49" s="765">
        <v>45</v>
      </c>
      <c r="E49" s="765">
        <v>32</v>
      </c>
      <c r="F49" s="765">
        <v>21</v>
      </c>
      <c r="G49" s="765" t="s">
        <v>28</v>
      </c>
      <c r="H49" s="765" t="s">
        <v>28</v>
      </c>
      <c r="I49" s="765">
        <v>1</v>
      </c>
      <c r="J49" s="765">
        <v>1</v>
      </c>
      <c r="K49" s="765">
        <v>16</v>
      </c>
      <c r="L49" s="765">
        <v>8</v>
      </c>
      <c r="M49" s="765" t="s">
        <v>28</v>
      </c>
      <c r="N49" s="765" t="s">
        <v>28</v>
      </c>
      <c r="O49" s="765">
        <v>10</v>
      </c>
      <c r="P49" s="765">
        <v>9</v>
      </c>
      <c r="Q49" s="765">
        <v>5</v>
      </c>
      <c r="R49" s="765">
        <v>3</v>
      </c>
      <c r="S49" s="765" t="s">
        <v>28</v>
      </c>
      <c r="T49" s="765" t="s">
        <v>28</v>
      </c>
      <c r="U49" s="765">
        <v>25</v>
      </c>
      <c r="V49" s="765">
        <v>23</v>
      </c>
      <c r="W49" s="765">
        <v>65</v>
      </c>
      <c r="X49" s="765">
        <v>54</v>
      </c>
      <c r="Y49" s="765">
        <v>3</v>
      </c>
      <c r="Z49" s="765">
        <v>3</v>
      </c>
      <c r="AA49" s="765">
        <v>2</v>
      </c>
      <c r="AB49" s="765">
        <v>36</v>
      </c>
      <c r="AC49" s="765">
        <v>29</v>
      </c>
      <c r="AD49" s="765">
        <v>10</v>
      </c>
      <c r="AE49" s="765">
        <v>9</v>
      </c>
      <c r="AF49" s="765">
        <v>5</v>
      </c>
      <c r="AG49" s="765">
        <v>5</v>
      </c>
      <c r="AH49" s="765" t="s">
        <v>28</v>
      </c>
      <c r="AI49" s="765" t="s">
        <v>28</v>
      </c>
      <c r="AJ49" s="765">
        <v>9</v>
      </c>
      <c r="AK49" s="765">
        <v>8</v>
      </c>
      <c r="AL49" s="765">
        <v>8</v>
      </c>
      <c r="AM49" s="765">
        <v>6</v>
      </c>
      <c r="AN49" s="765">
        <v>152</v>
      </c>
      <c r="AO49" s="765">
        <v>110</v>
      </c>
      <c r="AP49" s="765">
        <v>2</v>
      </c>
      <c r="AQ49" s="765">
        <v>1</v>
      </c>
      <c r="AR49" s="766">
        <v>4</v>
      </c>
    </row>
    <row r="50" spans="1:44" s="29" customFormat="1" ht="8.4499999999999993" customHeight="1">
      <c r="A50" s="1989" t="s">
        <v>43</v>
      </c>
      <c r="B50" s="1990" t="s">
        <v>44</v>
      </c>
      <c r="C50" s="1976">
        <v>12</v>
      </c>
      <c r="D50" s="1976">
        <v>4</v>
      </c>
      <c r="E50" s="1976" t="s">
        <v>28</v>
      </c>
      <c r="F50" s="1976" t="s">
        <v>28</v>
      </c>
      <c r="G50" s="1976" t="s">
        <v>28</v>
      </c>
      <c r="H50" s="1976" t="s">
        <v>28</v>
      </c>
      <c r="I50" s="1976" t="s">
        <v>28</v>
      </c>
      <c r="J50" s="1976" t="s">
        <v>28</v>
      </c>
      <c r="K50" s="1976" t="s">
        <v>28</v>
      </c>
      <c r="L50" s="1976" t="s">
        <v>28</v>
      </c>
      <c r="M50" s="1976" t="s">
        <v>28</v>
      </c>
      <c r="N50" s="1976" t="s">
        <v>28</v>
      </c>
      <c r="O50" s="1976" t="s">
        <v>28</v>
      </c>
      <c r="P50" s="1976" t="s">
        <v>28</v>
      </c>
      <c r="Q50" s="1976" t="s">
        <v>28</v>
      </c>
      <c r="R50" s="1976" t="s">
        <v>28</v>
      </c>
      <c r="S50" s="1976" t="s">
        <v>28</v>
      </c>
      <c r="T50" s="1976" t="s">
        <v>28</v>
      </c>
      <c r="U50" s="1976" t="s">
        <v>28</v>
      </c>
      <c r="V50" s="1976" t="s">
        <v>28</v>
      </c>
      <c r="W50" s="1976">
        <v>5</v>
      </c>
      <c r="X50" s="1976">
        <v>3</v>
      </c>
      <c r="Y50" s="1976" t="s">
        <v>28</v>
      </c>
      <c r="Z50" s="1976" t="s">
        <v>28</v>
      </c>
      <c r="AA50" s="1976" t="s">
        <v>28</v>
      </c>
      <c r="AB50" s="1976">
        <v>3</v>
      </c>
      <c r="AC50" s="1976">
        <v>1</v>
      </c>
      <c r="AD50" s="1976">
        <v>2</v>
      </c>
      <c r="AE50" s="1976">
        <v>2</v>
      </c>
      <c r="AF50" s="1976" t="s">
        <v>28</v>
      </c>
      <c r="AG50" s="1976" t="s">
        <v>28</v>
      </c>
      <c r="AH50" s="1976" t="s">
        <v>28</v>
      </c>
      <c r="AI50" s="1976" t="s">
        <v>28</v>
      </c>
      <c r="AJ50" s="1976" t="s">
        <v>28</v>
      </c>
      <c r="AK50" s="1976" t="s">
        <v>28</v>
      </c>
      <c r="AL50" s="1976">
        <v>3</v>
      </c>
      <c r="AM50" s="1976">
        <v>3</v>
      </c>
      <c r="AN50" s="1976">
        <v>21</v>
      </c>
      <c r="AO50" s="1976">
        <v>9</v>
      </c>
      <c r="AP50" s="1976" t="s">
        <v>28</v>
      </c>
      <c r="AQ50" s="1976" t="s">
        <v>28</v>
      </c>
      <c r="AR50" s="1977" t="s">
        <v>28</v>
      </c>
    </row>
    <row r="51" spans="1:44" s="32" customFormat="1" ht="8.4499999999999993" customHeight="1">
      <c r="A51" s="1984" t="s">
        <v>1445</v>
      </c>
      <c r="B51" s="1985" t="s">
        <v>1446</v>
      </c>
      <c r="C51" s="765">
        <v>12</v>
      </c>
      <c r="D51" s="765">
        <v>4</v>
      </c>
      <c r="E51" s="765" t="s">
        <v>28</v>
      </c>
      <c r="F51" s="765" t="s">
        <v>28</v>
      </c>
      <c r="G51" s="765" t="s">
        <v>28</v>
      </c>
      <c r="H51" s="765" t="s">
        <v>28</v>
      </c>
      <c r="I51" s="765" t="s">
        <v>28</v>
      </c>
      <c r="J51" s="765" t="s">
        <v>28</v>
      </c>
      <c r="K51" s="765" t="s">
        <v>28</v>
      </c>
      <c r="L51" s="765" t="s">
        <v>28</v>
      </c>
      <c r="M51" s="765" t="s">
        <v>28</v>
      </c>
      <c r="N51" s="765" t="s">
        <v>28</v>
      </c>
      <c r="O51" s="765" t="s">
        <v>28</v>
      </c>
      <c r="P51" s="765" t="s">
        <v>28</v>
      </c>
      <c r="Q51" s="765" t="s">
        <v>28</v>
      </c>
      <c r="R51" s="765" t="s">
        <v>28</v>
      </c>
      <c r="S51" s="765" t="s">
        <v>28</v>
      </c>
      <c r="T51" s="765" t="s">
        <v>28</v>
      </c>
      <c r="U51" s="765" t="s">
        <v>28</v>
      </c>
      <c r="V51" s="765" t="s">
        <v>28</v>
      </c>
      <c r="W51" s="765">
        <v>4</v>
      </c>
      <c r="X51" s="1993">
        <v>3</v>
      </c>
      <c r="Y51" s="765" t="s">
        <v>28</v>
      </c>
      <c r="Z51" s="765" t="s">
        <v>28</v>
      </c>
      <c r="AA51" s="765" t="s">
        <v>28</v>
      </c>
      <c r="AB51" s="765">
        <v>2</v>
      </c>
      <c r="AC51" s="765">
        <v>1</v>
      </c>
      <c r="AD51" s="765">
        <v>2</v>
      </c>
      <c r="AE51" s="765">
        <v>2</v>
      </c>
      <c r="AF51" s="765" t="s">
        <v>28</v>
      </c>
      <c r="AG51" s="765" t="s">
        <v>28</v>
      </c>
      <c r="AH51" s="765" t="s">
        <v>28</v>
      </c>
      <c r="AI51" s="765" t="s">
        <v>28</v>
      </c>
      <c r="AJ51" s="765" t="s">
        <v>28</v>
      </c>
      <c r="AK51" s="765" t="s">
        <v>28</v>
      </c>
      <c r="AL51" s="765">
        <v>3</v>
      </c>
      <c r="AM51" s="765">
        <v>3</v>
      </c>
      <c r="AN51" s="765">
        <v>21</v>
      </c>
      <c r="AO51" s="765">
        <v>9</v>
      </c>
      <c r="AP51" s="765" t="s">
        <v>28</v>
      </c>
      <c r="AQ51" s="765" t="s">
        <v>28</v>
      </c>
      <c r="AR51" s="766" t="s">
        <v>28</v>
      </c>
    </row>
    <row r="52" spans="1:44" s="29" customFormat="1" ht="8.4499999999999993" customHeight="1" thickBot="1">
      <c r="A52" s="1984" t="s">
        <v>965</v>
      </c>
      <c r="B52" s="1985" t="s">
        <v>966</v>
      </c>
      <c r="C52" s="765" t="s">
        <v>28</v>
      </c>
      <c r="D52" s="765" t="s">
        <v>28</v>
      </c>
      <c r="E52" s="765" t="s">
        <v>28</v>
      </c>
      <c r="F52" s="765" t="s">
        <v>28</v>
      </c>
      <c r="G52" s="765" t="s">
        <v>28</v>
      </c>
      <c r="H52" s="765" t="s">
        <v>28</v>
      </c>
      <c r="I52" s="765" t="s">
        <v>28</v>
      </c>
      <c r="J52" s="765" t="s">
        <v>28</v>
      </c>
      <c r="K52" s="765" t="s">
        <v>28</v>
      </c>
      <c r="L52" s="765" t="s">
        <v>28</v>
      </c>
      <c r="M52" s="765" t="s">
        <v>28</v>
      </c>
      <c r="N52" s="765" t="s">
        <v>28</v>
      </c>
      <c r="O52" s="765" t="s">
        <v>28</v>
      </c>
      <c r="P52" s="765" t="s">
        <v>28</v>
      </c>
      <c r="Q52" s="765" t="s">
        <v>28</v>
      </c>
      <c r="R52" s="765" t="s">
        <v>28</v>
      </c>
      <c r="S52" s="765" t="s">
        <v>28</v>
      </c>
      <c r="T52" s="765" t="s">
        <v>28</v>
      </c>
      <c r="U52" s="765" t="s">
        <v>28</v>
      </c>
      <c r="V52" s="765" t="s">
        <v>28</v>
      </c>
      <c r="W52" s="765">
        <v>1</v>
      </c>
      <c r="X52" s="770" t="s">
        <v>28</v>
      </c>
      <c r="Y52" s="765" t="s">
        <v>28</v>
      </c>
      <c r="Z52" s="765" t="s">
        <v>28</v>
      </c>
      <c r="AA52" s="765" t="s">
        <v>28</v>
      </c>
      <c r="AB52" s="765">
        <v>1</v>
      </c>
      <c r="AC52" s="765" t="s">
        <v>28</v>
      </c>
      <c r="AD52" s="765" t="s">
        <v>28</v>
      </c>
      <c r="AE52" s="765" t="s">
        <v>28</v>
      </c>
      <c r="AF52" s="765" t="s">
        <v>28</v>
      </c>
      <c r="AG52" s="765" t="s">
        <v>28</v>
      </c>
      <c r="AH52" s="765" t="s">
        <v>28</v>
      </c>
      <c r="AI52" s="765" t="s">
        <v>28</v>
      </c>
      <c r="AJ52" s="765" t="s">
        <v>28</v>
      </c>
      <c r="AK52" s="765" t="s">
        <v>28</v>
      </c>
      <c r="AL52" s="765" t="s">
        <v>28</v>
      </c>
      <c r="AM52" s="765" t="s">
        <v>28</v>
      </c>
      <c r="AN52" s="765" t="s">
        <v>28</v>
      </c>
      <c r="AO52" s="765" t="s">
        <v>28</v>
      </c>
      <c r="AP52" s="765" t="s">
        <v>28</v>
      </c>
      <c r="AQ52" s="765" t="s">
        <v>28</v>
      </c>
      <c r="AR52" s="769" t="s">
        <v>28</v>
      </c>
    </row>
    <row r="53" spans="1:44" s="30" customFormat="1" ht="8.4499999999999993" customHeight="1" thickBot="1">
      <c r="A53" s="1979" t="s">
        <v>45</v>
      </c>
      <c r="B53" s="1979"/>
      <c r="C53" s="1979"/>
      <c r="D53" s="1979"/>
      <c r="E53" s="1979"/>
      <c r="F53" s="1979"/>
      <c r="G53" s="1979"/>
      <c r="H53" s="1979"/>
      <c r="I53" s="1979"/>
      <c r="J53" s="1979"/>
      <c r="K53" s="1979"/>
      <c r="L53" s="1979"/>
      <c r="M53" s="1979"/>
      <c r="N53" s="1979"/>
      <c r="O53" s="1979"/>
      <c r="P53" s="1979"/>
      <c r="Q53" s="1979"/>
      <c r="R53" s="1979"/>
      <c r="S53" s="1979"/>
      <c r="T53" s="1979"/>
      <c r="U53" s="1979"/>
      <c r="V53" s="1979"/>
      <c r="W53" s="1994" t="s">
        <v>649</v>
      </c>
      <c r="X53" s="1994"/>
      <c r="Y53" s="1994"/>
      <c r="Z53" s="1994"/>
      <c r="AA53" s="1994"/>
      <c r="AB53" s="1994"/>
      <c r="AC53" s="1994"/>
      <c r="AD53" s="1994"/>
      <c r="AE53" s="1994"/>
      <c r="AF53" s="1994"/>
      <c r="AG53" s="1994"/>
      <c r="AH53" s="1994"/>
      <c r="AI53" s="1994"/>
      <c r="AJ53" s="1994"/>
      <c r="AK53" s="1994"/>
      <c r="AL53" s="1994"/>
      <c r="AM53" s="1994"/>
      <c r="AN53" s="1994"/>
      <c r="AO53" s="1994"/>
      <c r="AP53" s="1994"/>
      <c r="AQ53" s="1994"/>
      <c r="AR53" s="1994"/>
    </row>
    <row r="54" spans="1:44" s="30" customFormat="1" ht="8.4499999999999993" customHeight="1">
      <c r="A54" s="1995" t="s">
        <v>47</v>
      </c>
      <c r="B54" s="1995" t="s">
        <v>48</v>
      </c>
      <c r="C54" s="1996">
        <v>26</v>
      </c>
      <c r="D54" s="1996">
        <v>16</v>
      </c>
      <c r="E54" s="1996">
        <v>5</v>
      </c>
      <c r="F54" s="1996">
        <v>3</v>
      </c>
      <c r="G54" s="1996" t="s">
        <v>28</v>
      </c>
      <c r="H54" s="1996" t="s">
        <v>28</v>
      </c>
      <c r="I54" s="1996" t="s">
        <v>28</v>
      </c>
      <c r="J54" s="1996" t="s">
        <v>28</v>
      </c>
      <c r="K54" s="1996">
        <v>2</v>
      </c>
      <c r="L54" s="1996">
        <v>1</v>
      </c>
      <c r="M54" s="1996" t="s">
        <v>28</v>
      </c>
      <c r="N54" s="1996" t="s">
        <v>28</v>
      </c>
      <c r="O54" s="1996">
        <v>2</v>
      </c>
      <c r="P54" s="1996">
        <v>1</v>
      </c>
      <c r="Q54" s="1996">
        <v>1</v>
      </c>
      <c r="R54" s="1996">
        <v>1</v>
      </c>
      <c r="S54" s="1996" t="s">
        <v>28</v>
      </c>
      <c r="T54" s="1996" t="s">
        <v>28</v>
      </c>
      <c r="U54" s="1996">
        <v>7</v>
      </c>
      <c r="V54" s="1996">
        <v>6</v>
      </c>
      <c r="W54" s="1996">
        <v>10</v>
      </c>
      <c r="X54" s="1996">
        <v>7</v>
      </c>
      <c r="Y54" s="1996" t="s">
        <v>28</v>
      </c>
      <c r="Z54" s="1996" t="s">
        <v>28</v>
      </c>
      <c r="AA54" s="1996">
        <v>1</v>
      </c>
      <c r="AB54" s="1996">
        <v>6</v>
      </c>
      <c r="AC54" s="1996">
        <v>5</v>
      </c>
      <c r="AD54" s="1996" t="s">
        <v>28</v>
      </c>
      <c r="AE54" s="1996" t="s">
        <v>28</v>
      </c>
      <c r="AF54" s="1996">
        <v>1</v>
      </c>
      <c r="AG54" s="1996">
        <v>1</v>
      </c>
      <c r="AH54" s="1996" t="s">
        <v>28</v>
      </c>
      <c r="AI54" s="1996" t="s">
        <v>28</v>
      </c>
      <c r="AJ54" s="1996">
        <v>2</v>
      </c>
      <c r="AK54" s="1996">
        <v>1</v>
      </c>
      <c r="AL54" s="1996">
        <v>1</v>
      </c>
      <c r="AM54" s="1996">
        <v>1</v>
      </c>
      <c r="AN54" s="1996">
        <v>41</v>
      </c>
      <c r="AO54" s="1996">
        <v>31</v>
      </c>
      <c r="AP54" s="1996" t="s">
        <v>28</v>
      </c>
      <c r="AQ54" s="1996" t="s">
        <v>28</v>
      </c>
      <c r="AR54" s="1997">
        <v>3</v>
      </c>
    </row>
    <row r="55" spans="1:44" s="29" customFormat="1" ht="8.4499999999999993" customHeight="1">
      <c r="A55" s="764" t="s">
        <v>632</v>
      </c>
      <c r="B55" s="764" t="s">
        <v>633</v>
      </c>
      <c r="C55" s="765">
        <v>25</v>
      </c>
      <c r="D55" s="765">
        <v>16</v>
      </c>
      <c r="E55" s="765">
        <v>4</v>
      </c>
      <c r="F55" s="765">
        <v>3</v>
      </c>
      <c r="G55" s="765" t="s">
        <v>28</v>
      </c>
      <c r="H55" s="765" t="s">
        <v>28</v>
      </c>
      <c r="I55" s="765" t="s">
        <v>28</v>
      </c>
      <c r="J55" s="765" t="s">
        <v>28</v>
      </c>
      <c r="K55" s="765">
        <v>2</v>
      </c>
      <c r="L55" s="765">
        <v>1</v>
      </c>
      <c r="M55" s="765" t="s">
        <v>28</v>
      </c>
      <c r="N55" s="765" t="s">
        <v>28</v>
      </c>
      <c r="O55" s="765">
        <v>1</v>
      </c>
      <c r="P55" s="765">
        <v>1</v>
      </c>
      <c r="Q55" s="765">
        <v>1</v>
      </c>
      <c r="R55" s="765">
        <v>1</v>
      </c>
      <c r="S55" s="765" t="s">
        <v>28</v>
      </c>
      <c r="T55" s="765" t="s">
        <v>28</v>
      </c>
      <c r="U55" s="765">
        <v>6</v>
      </c>
      <c r="V55" s="765">
        <v>5</v>
      </c>
      <c r="W55" s="765">
        <v>9</v>
      </c>
      <c r="X55" s="765">
        <v>6</v>
      </c>
      <c r="Y55" s="765" t="s">
        <v>28</v>
      </c>
      <c r="Z55" s="765" t="s">
        <v>28</v>
      </c>
      <c r="AA55" s="765">
        <v>1</v>
      </c>
      <c r="AB55" s="765">
        <v>5</v>
      </c>
      <c r="AC55" s="765">
        <v>4</v>
      </c>
      <c r="AD55" s="765" t="s">
        <v>28</v>
      </c>
      <c r="AE55" s="765" t="s">
        <v>28</v>
      </c>
      <c r="AF55" s="765">
        <v>1</v>
      </c>
      <c r="AG55" s="765">
        <v>1</v>
      </c>
      <c r="AH55" s="765" t="s">
        <v>28</v>
      </c>
      <c r="AI55" s="765" t="s">
        <v>28</v>
      </c>
      <c r="AJ55" s="765">
        <v>2</v>
      </c>
      <c r="AK55" s="765">
        <v>1</v>
      </c>
      <c r="AL55" s="765">
        <v>1</v>
      </c>
      <c r="AM55" s="765">
        <v>1</v>
      </c>
      <c r="AN55" s="765">
        <v>40</v>
      </c>
      <c r="AO55" s="765">
        <v>31</v>
      </c>
      <c r="AP55" s="765" t="s">
        <v>28</v>
      </c>
      <c r="AQ55" s="765" t="s">
        <v>28</v>
      </c>
      <c r="AR55" s="766">
        <v>3</v>
      </c>
    </row>
    <row r="56" spans="1:44" s="30" customFormat="1" ht="8.4499999999999993" customHeight="1">
      <c r="A56" s="764" t="s">
        <v>634</v>
      </c>
      <c r="B56" s="764" t="s">
        <v>635</v>
      </c>
      <c r="C56" s="765">
        <v>1</v>
      </c>
      <c r="D56" s="765" t="s">
        <v>28</v>
      </c>
      <c r="E56" s="765">
        <v>1</v>
      </c>
      <c r="F56" s="765" t="s">
        <v>28</v>
      </c>
      <c r="G56" s="765" t="s">
        <v>28</v>
      </c>
      <c r="H56" s="765" t="s">
        <v>28</v>
      </c>
      <c r="I56" s="765" t="s">
        <v>28</v>
      </c>
      <c r="J56" s="765" t="s">
        <v>28</v>
      </c>
      <c r="K56" s="765" t="s">
        <v>28</v>
      </c>
      <c r="L56" s="765" t="s">
        <v>28</v>
      </c>
      <c r="M56" s="765" t="s">
        <v>28</v>
      </c>
      <c r="N56" s="765" t="s">
        <v>28</v>
      </c>
      <c r="O56" s="765">
        <v>1</v>
      </c>
      <c r="P56" s="765" t="s">
        <v>28</v>
      </c>
      <c r="Q56" s="765" t="s">
        <v>28</v>
      </c>
      <c r="R56" s="765" t="s">
        <v>28</v>
      </c>
      <c r="S56" s="765" t="s">
        <v>28</v>
      </c>
      <c r="T56" s="765" t="s">
        <v>28</v>
      </c>
      <c r="U56" s="765">
        <v>1</v>
      </c>
      <c r="V56" s="765">
        <v>1</v>
      </c>
      <c r="W56" s="765">
        <v>1</v>
      </c>
      <c r="X56" s="765">
        <v>1</v>
      </c>
      <c r="Y56" s="765" t="s">
        <v>28</v>
      </c>
      <c r="Z56" s="765" t="s">
        <v>28</v>
      </c>
      <c r="AA56" s="765" t="s">
        <v>28</v>
      </c>
      <c r="AB56" s="765">
        <v>1</v>
      </c>
      <c r="AC56" s="765">
        <v>1</v>
      </c>
      <c r="AD56" s="765" t="s">
        <v>28</v>
      </c>
      <c r="AE56" s="765" t="s">
        <v>28</v>
      </c>
      <c r="AF56" s="765" t="s">
        <v>28</v>
      </c>
      <c r="AG56" s="765" t="s">
        <v>28</v>
      </c>
      <c r="AH56" s="765" t="s">
        <v>28</v>
      </c>
      <c r="AI56" s="765" t="s">
        <v>28</v>
      </c>
      <c r="AJ56" s="765" t="s">
        <v>28</v>
      </c>
      <c r="AK56" s="765" t="s">
        <v>28</v>
      </c>
      <c r="AL56" s="765" t="s">
        <v>28</v>
      </c>
      <c r="AM56" s="765" t="s">
        <v>28</v>
      </c>
      <c r="AN56" s="765">
        <v>1</v>
      </c>
      <c r="AO56" s="765" t="s">
        <v>28</v>
      </c>
      <c r="AP56" s="765" t="s">
        <v>28</v>
      </c>
      <c r="AQ56" s="765" t="s">
        <v>28</v>
      </c>
      <c r="AR56" s="766" t="s">
        <v>28</v>
      </c>
    </row>
    <row r="57" spans="1:44" s="30" customFormat="1" ht="8.4499999999999993" customHeight="1">
      <c r="A57" s="1975" t="s">
        <v>49</v>
      </c>
      <c r="B57" s="1975" t="s">
        <v>50</v>
      </c>
      <c r="C57" s="1976" t="s">
        <v>28</v>
      </c>
      <c r="D57" s="1976" t="s">
        <v>28</v>
      </c>
      <c r="E57" s="1976">
        <v>1</v>
      </c>
      <c r="F57" s="1976" t="s">
        <v>28</v>
      </c>
      <c r="G57" s="1976" t="s">
        <v>28</v>
      </c>
      <c r="H57" s="1976" t="s">
        <v>28</v>
      </c>
      <c r="I57" s="1976" t="s">
        <v>28</v>
      </c>
      <c r="J57" s="1976" t="s">
        <v>28</v>
      </c>
      <c r="K57" s="1976">
        <v>1</v>
      </c>
      <c r="L57" s="1976" t="s">
        <v>28</v>
      </c>
      <c r="M57" s="1976" t="s">
        <v>28</v>
      </c>
      <c r="N57" s="1976" t="s">
        <v>28</v>
      </c>
      <c r="O57" s="1976" t="s">
        <v>28</v>
      </c>
      <c r="P57" s="1976" t="s">
        <v>28</v>
      </c>
      <c r="Q57" s="1976" t="s">
        <v>28</v>
      </c>
      <c r="R57" s="1976" t="s">
        <v>28</v>
      </c>
      <c r="S57" s="1976" t="s">
        <v>28</v>
      </c>
      <c r="T57" s="1976" t="s">
        <v>28</v>
      </c>
      <c r="U57" s="1976">
        <v>1</v>
      </c>
      <c r="V57" s="1976">
        <v>1</v>
      </c>
      <c r="W57" s="1976">
        <v>1</v>
      </c>
      <c r="X57" s="1976" t="s">
        <v>28</v>
      </c>
      <c r="Y57" s="1976" t="s">
        <v>28</v>
      </c>
      <c r="Z57" s="1976" t="s">
        <v>28</v>
      </c>
      <c r="AA57" s="1976" t="s">
        <v>28</v>
      </c>
      <c r="AB57" s="1976">
        <v>1</v>
      </c>
      <c r="AC57" s="1976" t="s">
        <v>28</v>
      </c>
      <c r="AD57" s="1976" t="s">
        <v>28</v>
      </c>
      <c r="AE57" s="1976" t="s">
        <v>28</v>
      </c>
      <c r="AF57" s="1976" t="s">
        <v>28</v>
      </c>
      <c r="AG57" s="1976" t="s">
        <v>28</v>
      </c>
      <c r="AH57" s="1976" t="s">
        <v>28</v>
      </c>
      <c r="AI57" s="1976" t="s">
        <v>28</v>
      </c>
      <c r="AJ57" s="1976" t="s">
        <v>28</v>
      </c>
      <c r="AK57" s="1976" t="s">
        <v>28</v>
      </c>
      <c r="AL57" s="1976">
        <v>1</v>
      </c>
      <c r="AM57" s="1976">
        <v>1</v>
      </c>
      <c r="AN57" s="1976">
        <v>8</v>
      </c>
      <c r="AO57" s="1976">
        <v>5</v>
      </c>
      <c r="AP57" s="1976" t="s">
        <v>28</v>
      </c>
      <c r="AQ57" s="1976" t="s">
        <v>28</v>
      </c>
      <c r="AR57" s="1977" t="s">
        <v>28</v>
      </c>
    </row>
    <row r="58" spans="1:44" s="29" customFormat="1" ht="8.4499999999999993" customHeight="1">
      <c r="A58" s="764" t="s">
        <v>632</v>
      </c>
      <c r="B58" s="764" t="s">
        <v>633</v>
      </c>
      <c r="C58" s="765" t="s">
        <v>28</v>
      </c>
      <c r="D58" s="765" t="s">
        <v>28</v>
      </c>
      <c r="E58" s="765" t="s">
        <v>28</v>
      </c>
      <c r="F58" s="765" t="s">
        <v>28</v>
      </c>
      <c r="G58" s="765" t="s">
        <v>28</v>
      </c>
      <c r="H58" s="765" t="s">
        <v>28</v>
      </c>
      <c r="I58" s="765" t="s">
        <v>28</v>
      </c>
      <c r="J58" s="765" t="s">
        <v>28</v>
      </c>
      <c r="K58" s="765" t="s">
        <v>28</v>
      </c>
      <c r="L58" s="765" t="s">
        <v>28</v>
      </c>
      <c r="M58" s="765" t="s">
        <v>28</v>
      </c>
      <c r="N58" s="765" t="s">
        <v>28</v>
      </c>
      <c r="O58" s="765" t="s">
        <v>28</v>
      </c>
      <c r="P58" s="765" t="s">
        <v>28</v>
      </c>
      <c r="Q58" s="765" t="s">
        <v>28</v>
      </c>
      <c r="R58" s="765" t="s">
        <v>28</v>
      </c>
      <c r="S58" s="765" t="s">
        <v>28</v>
      </c>
      <c r="T58" s="765" t="s">
        <v>28</v>
      </c>
      <c r="U58" s="765" t="s">
        <v>28</v>
      </c>
      <c r="V58" s="765" t="s">
        <v>28</v>
      </c>
      <c r="W58" s="765" t="s">
        <v>28</v>
      </c>
      <c r="X58" s="765" t="s">
        <v>28</v>
      </c>
      <c r="Y58" s="765" t="s">
        <v>28</v>
      </c>
      <c r="Z58" s="765" t="s">
        <v>28</v>
      </c>
      <c r="AA58" s="765" t="s">
        <v>28</v>
      </c>
      <c r="AB58" s="765" t="s">
        <v>28</v>
      </c>
      <c r="AC58" s="765" t="s">
        <v>28</v>
      </c>
      <c r="AD58" s="765" t="s">
        <v>28</v>
      </c>
      <c r="AE58" s="765" t="s">
        <v>28</v>
      </c>
      <c r="AF58" s="765" t="s">
        <v>28</v>
      </c>
      <c r="AG58" s="765" t="s">
        <v>28</v>
      </c>
      <c r="AH58" s="765" t="s">
        <v>28</v>
      </c>
      <c r="AI58" s="765" t="s">
        <v>28</v>
      </c>
      <c r="AJ58" s="765" t="s">
        <v>28</v>
      </c>
      <c r="AK58" s="765" t="s">
        <v>28</v>
      </c>
      <c r="AL58" s="765">
        <v>1</v>
      </c>
      <c r="AM58" s="765">
        <v>1</v>
      </c>
      <c r="AN58" s="765">
        <v>8</v>
      </c>
      <c r="AO58" s="765">
        <v>5</v>
      </c>
      <c r="AP58" s="765" t="s">
        <v>28</v>
      </c>
      <c r="AQ58" s="765" t="s">
        <v>28</v>
      </c>
      <c r="AR58" s="766" t="s">
        <v>28</v>
      </c>
    </row>
    <row r="59" spans="1:44" s="30" customFormat="1" ht="8.4499999999999993" customHeight="1">
      <c r="A59" s="764" t="s">
        <v>634</v>
      </c>
      <c r="B59" s="764" t="s">
        <v>635</v>
      </c>
      <c r="C59" s="765" t="s">
        <v>28</v>
      </c>
      <c r="D59" s="765" t="s">
        <v>28</v>
      </c>
      <c r="E59" s="765">
        <v>1</v>
      </c>
      <c r="F59" s="765" t="s">
        <v>28</v>
      </c>
      <c r="G59" s="765" t="s">
        <v>28</v>
      </c>
      <c r="H59" s="765" t="s">
        <v>28</v>
      </c>
      <c r="I59" s="765" t="s">
        <v>28</v>
      </c>
      <c r="J59" s="765" t="s">
        <v>28</v>
      </c>
      <c r="K59" s="765">
        <v>1</v>
      </c>
      <c r="L59" s="765" t="s">
        <v>28</v>
      </c>
      <c r="M59" s="765" t="s">
        <v>28</v>
      </c>
      <c r="N59" s="765" t="s">
        <v>28</v>
      </c>
      <c r="O59" s="765" t="s">
        <v>28</v>
      </c>
      <c r="P59" s="765" t="s">
        <v>28</v>
      </c>
      <c r="Q59" s="765" t="s">
        <v>28</v>
      </c>
      <c r="R59" s="765" t="s">
        <v>28</v>
      </c>
      <c r="S59" s="765" t="s">
        <v>28</v>
      </c>
      <c r="T59" s="765" t="s">
        <v>28</v>
      </c>
      <c r="U59" s="765">
        <v>1</v>
      </c>
      <c r="V59" s="765">
        <v>1</v>
      </c>
      <c r="W59" s="765">
        <v>1</v>
      </c>
      <c r="X59" s="765" t="s">
        <v>28</v>
      </c>
      <c r="Y59" s="765" t="s">
        <v>28</v>
      </c>
      <c r="Z59" s="765" t="s">
        <v>28</v>
      </c>
      <c r="AA59" s="765" t="s">
        <v>28</v>
      </c>
      <c r="AB59" s="765">
        <v>1</v>
      </c>
      <c r="AC59" s="765" t="s">
        <v>28</v>
      </c>
      <c r="AD59" s="765" t="s">
        <v>28</v>
      </c>
      <c r="AE59" s="765" t="s">
        <v>28</v>
      </c>
      <c r="AF59" s="765" t="s">
        <v>28</v>
      </c>
      <c r="AG59" s="765" t="s">
        <v>28</v>
      </c>
      <c r="AH59" s="765" t="s">
        <v>28</v>
      </c>
      <c r="AI59" s="765" t="s">
        <v>28</v>
      </c>
      <c r="AJ59" s="765" t="s">
        <v>28</v>
      </c>
      <c r="AK59" s="765" t="s">
        <v>28</v>
      </c>
      <c r="AL59" s="765" t="s">
        <v>28</v>
      </c>
      <c r="AM59" s="765" t="s">
        <v>28</v>
      </c>
      <c r="AN59" s="765" t="s">
        <v>28</v>
      </c>
      <c r="AO59" s="765" t="s">
        <v>28</v>
      </c>
      <c r="AP59" s="765" t="s">
        <v>28</v>
      </c>
      <c r="AQ59" s="765" t="s">
        <v>28</v>
      </c>
      <c r="AR59" s="766" t="s">
        <v>28</v>
      </c>
    </row>
    <row r="60" spans="1:44" s="30" customFormat="1" ht="8.4499999999999993" customHeight="1">
      <c r="A60" s="1975" t="s">
        <v>963</v>
      </c>
      <c r="B60" s="1975" t="s">
        <v>964</v>
      </c>
      <c r="C60" s="1976">
        <v>37</v>
      </c>
      <c r="D60" s="1976">
        <v>25</v>
      </c>
      <c r="E60" s="1976">
        <v>11</v>
      </c>
      <c r="F60" s="1976">
        <v>8</v>
      </c>
      <c r="G60" s="1976" t="s">
        <v>28</v>
      </c>
      <c r="H60" s="1976" t="s">
        <v>28</v>
      </c>
      <c r="I60" s="1976" t="s">
        <v>28</v>
      </c>
      <c r="J60" s="1976" t="s">
        <v>28</v>
      </c>
      <c r="K60" s="1976">
        <v>5</v>
      </c>
      <c r="L60" s="1976">
        <v>2</v>
      </c>
      <c r="M60" s="1976" t="s">
        <v>28</v>
      </c>
      <c r="N60" s="1976" t="s">
        <v>28</v>
      </c>
      <c r="O60" s="1976">
        <v>6</v>
      </c>
      <c r="P60" s="1976">
        <v>6</v>
      </c>
      <c r="Q60" s="1976" t="s">
        <v>28</v>
      </c>
      <c r="R60" s="1976" t="s">
        <v>28</v>
      </c>
      <c r="S60" s="1976" t="s">
        <v>28</v>
      </c>
      <c r="T60" s="1976" t="s">
        <v>28</v>
      </c>
      <c r="U60" s="1976">
        <v>9</v>
      </c>
      <c r="V60" s="1976">
        <v>9</v>
      </c>
      <c r="W60" s="1976">
        <v>34</v>
      </c>
      <c r="X60" s="1976">
        <v>33</v>
      </c>
      <c r="Y60" s="1976">
        <v>1</v>
      </c>
      <c r="Z60" s="1976">
        <v>1</v>
      </c>
      <c r="AA60" s="1976">
        <v>1</v>
      </c>
      <c r="AB60" s="1976">
        <v>14</v>
      </c>
      <c r="AC60" s="1976">
        <v>14</v>
      </c>
      <c r="AD60" s="1976">
        <v>7</v>
      </c>
      <c r="AE60" s="1976">
        <v>7</v>
      </c>
      <c r="AF60" s="1976">
        <v>1</v>
      </c>
      <c r="AG60" s="1976">
        <v>1</v>
      </c>
      <c r="AH60" s="1976">
        <v>1</v>
      </c>
      <c r="AI60" s="1976">
        <v>1</v>
      </c>
      <c r="AJ60" s="1976">
        <v>9</v>
      </c>
      <c r="AK60" s="1976">
        <v>9</v>
      </c>
      <c r="AL60" s="1976">
        <v>6</v>
      </c>
      <c r="AM60" s="1976">
        <v>5</v>
      </c>
      <c r="AN60" s="1976">
        <v>41</v>
      </c>
      <c r="AO60" s="1976">
        <v>24</v>
      </c>
      <c r="AP60" s="1976">
        <v>2</v>
      </c>
      <c r="AQ60" s="1976">
        <v>1</v>
      </c>
      <c r="AR60" s="1977" t="s">
        <v>28</v>
      </c>
    </row>
    <row r="61" spans="1:44" s="30" customFormat="1" ht="8.4499999999999993" customHeight="1">
      <c r="A61" s="764" t="s">
        <v>632</v>
      </c>
      <c r="B61" s="764" t="s">
        <v>633</v>
      </c>
      <c r="C61" s="765">
        <v>35</v>
      </c>
      <c r="D61" s="765">
        <v>24</v>
      </c>
      <c r="E61" s="765">
        <v>11</v>
      </c>
      <c r="F61" s="765">
        <v>8</v>
      </c>
      <c r="G61" s="765" t="s">
        <v>28</v>
      </c>
      <c r="H61" s="765" t="s">
        <v>28</v>
      </c>
      <c r="I61" s="765" t="s">
        <v>28</v>
      </c>
      <c r="J61" s="765" t="s">
        <v>28</v>
      </c>
      <c r="K61" s="765">
        <v>5</v>
      </c>
      <c r="L61" s="765">
        <v>2</v>
      </c>
      <c r="M61" s="765" t="s">
        <v>28</v>
      </c>
      <c r="N61" s="765" t="s">
        <v>28</v>
      </c>
      <c r="O61" s="765">
        <v>6</v>
      </c>
      <c r="P61" s="765">
        <v>6</v>
      </c>
      <c r="Q61" s="765" t="s">
        <v>28</v>
      </c>
      <c r="R61" s="765" t="s">
        <v>28</v>
      </c>
      <c r="S61" s="765" t="s">
        <v>28</v>
      </c>
      <c r="T61" s="765" t="s">
        <v>28</v>
      </c>
      <c r="U61" s="765">
        <v>9</v>
      </c>
      <c r="V61" s="765">
        <v>9</v>
      </c>
      <c r="W61" s="765">
        <v>33</v>
      </c>
      <c r="X61" s="765">
        <v>32</v>
      </c>
      <c r="Y61" s="765">
        <v>1</v>
      </c>
      <c r="Z61" s="765">
        <v>1</v>
      </c>
      <c r="AA61" s="765">
        <v>1</v>
      </c>
      <c r="AB61" s="765">
        <v>13</v>
      </c>
      <c r="AC61" s="765">
        <v>13</v>
      </c>
      <c r="AD61" s="765">
        <v>7</v>
      </c>
      <c r="AE61" s="765">
        <v>7</v>
      </c>
      <c r="AF61" s="765">
        <v>1</v>
      </c>
      <c r="AG61" s="765">
        <v>1</v>
      </c>
      <c r="AH61" s="765">
        <v>1</v>
      </c>
      <c r="AI61" s="765">
        <v>1</v>
      </c>
      <c r="AJ61" s="765">
        <v>9</v>
      </c>
      <c r="AK61" s="765">
        <v>9</v>
      </c>
      <c r="AL61" s="765">
        <v>6</v>
      </c>
      <c r="AM61" s="765">
        <v>5</v>
      </c>
      <c r="AN61" s="765">
        <v>41</v>
      </c>
      <c r="AO61" s="765">
        <v>24</v>
      </c>
      <c r="AP61" s="765">
        <v>2</v>
      </c>
      <c r="AQ61" s="765">
        <v>1</v>
      </c>
      <c r="AR61" s="766" t="s">
        <v>28</v>
      </c>
    </row>
    <row r="62" spans="1:44" s="29" customFormat="1" ht="8.4499999999999993" customHeight="1">
      <c r="A62" s="764" t="s">
        <v>634</v>
      </c>
      <c r="B62" s="764" t="s">
        <v>635</v>
      </c>
      <c r="C62" s="765">
        <v>2</v>
      </c>
      <c r="D62" s="765">
        <v>1</v>
      </c>
      <c r="E62" s="765" t="s">
        <v>28</v>
      </c>
      <c r="F62" s="765" t="s">
        <v>28</v>
      </c>
      <c r="G62" s="765" t="s">
        <v>28</v>
      </c>
      <c r="H62" s="765" t="s">
        <v>28</v>
      </c>
      <c r="I62" s="765" t="s">
        <v>28</v>
      </c>
      <c r="J62" s="765" t="s">
        <v>28</v>
      </c>
      <c r="K62" s="765" t="s">
        <v>28</v>
      </c>
      <c r="L62" s="765" t="s">
        <v>28</v>
      </c>
      <c r="M62" s="765" t="s">
        <v>28</v>
      </c>
      <c r="N62" s="765" t="s">
        <v>28</v>
      </c>
      <c r="O62" s="765" t="s">
        <v>28</v>
      </c>
      <c r="P62" s="765" t="s">
        <v>28</v>
      </c>
      <c r="Q62" s="765" t="s">
        <v>28</v>
      </c>
      <c r="R62" s="765" t="s">
        <v>28</v>
      </c>
      <c r="S62" s="765" t="s">
        <v>28</v>
      </c>
      <c r="T62" s="765" t="s">
        <v>28</v>
      </c>
      <c r="U62" s="765" t="s">
        <v>28</v>
      </c>
      <c r="V62" s="765" t="s">
        <v>28</v>
      </c>
      <c r="W62" s="765">
        <v>1</v>
      </c>
      <c r="X62" s="765">
        <v>1</v>
      </c>
      <c r="Y62" s="765" t="s">
        <v>28</v>
      </c>
      <c r="Z62" s="765" t="s">
        <v>28</v>
      </c>
      <c r="AA62" s="765" t="s">
        <v>28</v>
      </c>
      <c r="AB62" s="765">
        <v>1</v>
      </c>
      <c r="AC62" s="765">
        <v>1</v>
      </c>
      <c r="AD62" s="765" t="s">
        <v>28</v>
      </c>
      <c r="AE62" s="765" t="s">
        <v>28</v>
      </c>
      <c r="AF62" s="765" t="s">
        <v>28</v>
      </c>
      <c r="AG62" s="765" t="s">
        <v>28</v>
      </c>
      <c r="AH62" s="765" t="s">
        <v>28</v>
      </c>
      <c r="AI62" s="765" t="s">
        <v>28</v>
      </c>
      <c r="AJ62" s="765" t="s">
        <v>28</v>
      </c>
      <c r="AK62" s="765" t="s">
        <v>28</v>
      </c>
      <c r="AL62" s="765" t="s">
        <v>28</v>
      </c>
      <c r="AM62" s="765" t="s">
        <v>28</v>
      </c>
      <c r="AN62" s="765" t="s">
        <v>28</v>
      </c>
      <c r="AO62" s="765" t="s">
        <v>28</v>
      </c>
      <c r="AP62" s="765" t="s">
        <v>28</v>
      </c>
      <c r="AQ62" s="765" t="s">
        <v>28</v>
      </c>
      <c r="AR62" s="766" t="s">
        <v>28</v>
      </c>
    </row>
    <row r="63" spans="1:44" s="29" customFormat="1" ht="8.4499999999999993" customHeight="1">
      <c r="A63" s="1975" t="s">
        <v>51</v>
      </c>
      <c r="B63" s="1975" t="s">
        <v>52</v>
      </c>
      <c r="C63" s="1976">
        <v>27</v>
      </c>
      <c r="D63" s="1976">
        <v>15</v>
      </c>
      <c r="E63" s="1976">
        <v>25</v>
      </c>
      <c r="F63" s="1976">
        <v>16</v>
      </c>
      <c r="G63" s="1976" t="s">
        <v>28</v>
      </c>
      <c r="H63" s="1976" t="s">
        <v>28</v>
      </c>
      <c r="I63" s="1976" t="s">
        <v>28</v>
      </c>
      <c r="J63" s="1976" t="s">
        <v>28</v>
      </c>
      <c r="K63" s="1976">
        <v>13</v>
      </c>
      <c r="L63" s="1976">
        <v>5</v>
      </c>
      <c r="M63" s="1976" t="s">
        <v>28</v>
      </c>
      <c r="N63" s="1976" t="s">
        <v>28</v>
      </c>
      <c r="O63" s="1976">
        <v>11</v>
      </c>
      <c r="P63" s="1976">
        <v>10</v>
      </c>
      <c r="Q63" s="1976">
        <v>1</v>
      </c>
      <c r="R63" s="1976">
        <v>1</v>
      </c>
      <c r="S63" s="1976" t="s">
        <v>28</v>
      </c>
      <c r="T63" s="1976" t="s">
        <v>28</v>
      </c>
      <c r="U63" s="1976">
        <v>36</v>
      </c>
      <c r="V63" s="1976">
        <v>35</v>
      </c>
      <c r="W63" s="1976">
        <v>68</v>
      </c>
      <c r="X63" s="1976">
        <v>57</v>
      </c>
      <c r="Y63" s="1976">
        <v>9</v>
      </c>
      <c r="Z63" s="1976">
        <v>8</v>
      </c>
      <c r="AA63" s="1976">
        <v>3</v>
      </c>
      <c r="AB63" s="1976">
        <v>31</v>
      </c>
      <c r="AC63" s="1976">
        <v>24</v>
      </c>
      <c r="AD63" s="1976">
        <v>8</v>
      </c>
      <c r="AE63" s="1976">
        <v>8</v>
      </c>
      <c r="AF63" s="1976">
        <v>2</v>
      </c>
      <c r="AG63" s="1976">
        <v>2</v>
      </c>
      <c r="AH63" s="1976" t="s">
        <v>28</v>
      </c>
      <c r="AI63" s="1976" t="s">
        <v>28</v>
      </c>
      <c r="AJ63" s="1976">
        <v>15</v>
      </c>
      <c r="AK63" s="1976">
        <v>15</v>
      </c>
      <c r="AL63" s="1976">
        <v>5</v>
      </c>
      <c r="AM63" s="1976">
        <v>5</v>
      </c>
      <c r="AN63" s="1976">
        <v>123</v>
      </c>
      <c r="AO63" s="1976">
        <v>87</v>
      </c>
      <c r="AP63" s="1976">
        <v>6</v>
      </c>
      <c r="AQ63" s="1976">
        <v>2</v>
      </c>
      <c r="AR63" s="1977">
        <v>2</v>
      </c>
    </row>
    <row r="64" spans="1:44" s="30" customFormat="1" ht="8.4499999999999993" customHeight="1">
      <c r="A64" s="764" t="s">
        <v>632</v>
      </c>
      <c r="B64" s="764" t="s">
        <v>633</v>
      </c>
      <c r="C64" s="765">
        <v>23</v>
      </c>
      <c r="D64" s="765">
        <v>12</v>
      </c>
      <c r="E64" s="765">
        <v>25</v>
      </c>
      <c r="F64" s="765">
        <v>16</v>
      </c>
      <c r="G64" s="765" t="s">
        <v>28</v>
      </c>
      <c r="H64" s="765" t="s">
        <v>28</v>
      </c>
      <c r="I64" s="765" t="s">
        <v>28</v>
      </c>
      <c r="J64" s="765" t="s">
        <v>28</v>
      </c>
      <c r="K64" s="765">
        <v>13</v>
      </c>
      <c r="L64" s="765">
        <v>5</v>
      </c>
      <c r="M64" s="765" t="s">
        <v>28</v>
      </c>
      <c r="N64" s="765" t="s">
        <v>28</v>
      </c>
      <c r="O64" s="765">
        <v>11</v>
      </c>
      <c r="P64" s="765">
        <v>10</v>
      </c>
      <c r="Q64" s="765">
        <v>1</v>
      </c>
      <c r="R64" s="765">
        <v>1</v>
      </c>
      <c r="S64" s="765" t="s">
        <v>28</v>
      </c>
      <c r="T64" s="765" t="s">
        <v>28</v>
      </c>
      <c r="U64" s="765">
        <v>36</v>
      </c>
      <c r="V64" s="765">
        <v>35</v>
      </c>
      <c r="W64" s="765">
        <v>65</v>
      </c>
      <c r="X64" s="765">
        <v>55</v>
      </c>
      <c r="Y64" s="765">
        <v>9</v>
      </c>
      <c r="Z64" s="765">
        <v>8</v>
      </c>
      <c r="AA64" s="765">
        <v>3</v>
      </c>
      <c r="AB64" s="765">
        <v>29</v>
      </c>
      <c r="AC64" s="765">
        <v>23</v>
      </c>
      <c r="AD64" s="765">
        <v>7</v>
      </c>
      <c r="AE64" s="765">
        <v>7</v>
      </c>
      <c r="AF64" s="765">
        <v>2</v>
      </c>
      <c r="AG64" s="765">
        <v>2</v>
      </c>
      <c r="AH64" s="765" t="s">
        <v>28</v>
      </c>
      <c r="AI64" s="765" t="s">
        <v>28</v>
      </c>
      <c r="AJ64" s="765">
        <v>15</v>
      </c>
      <c r="AK64" s="765">
        <v>15</v>
      </c>
      <c r="AL64" s="765">
        <v>5</v>
      </c>
      <c r="AM64" s="765">
        <v>5</v>
      </c>
      <c r="AN64" s="765">
        <v>122</v>
      </c>
      <c r="AO64" s="765">
        <v>86</v>
      </c>
      <c r="AP64" s="765">
        <v>6</v>
      </c>
      <c r="AQ64" s="765">
        <v>2</v>
      </c>
      <c r="AR64" s="766">
        <v>2</v>
      </c>
    </row>
    <row r="65" spans="1:46" s="29" customFormat="1" ht="8.4499999999999993" customHeight="1">
      <c r="A65" s="764" t="s">
        <v>634</v>
      </c>
      <c r="B65" s="764" t="s">
        <v>635</v>
      </c>
      <c r="C65" s="765">
        <v>4</v>
      </c>
      <c r="D65" s="765">
        <v>3</v>
      </c>
      <c r="E65" s="765" t="s">
        <v>28</v>
      </c>
      <c r="F65" s="765" t="s">
        <v>28</v>
      </c>
      <c r="G65" s="765" t="s">
        <v>28</v>
      </c>
      <c r="H65" s="765" t="s">
        <v>28</v>
      </c>
      <c r="I65" s="765" t="s">
        <v>28</v>
      </c>
      <c r="J65" s="765" t="s">
        <v>28</v>
      </c>
      <c r="K65" s="765" t="s">
        <v>28</v>
      </c>
      <c r="L65" s="765" t="s">
        <v>28</v>
      </c>
      <c r="M65" s="765" t="s">
        <v>28</v>
      </c>
      <c r="N65" s="765" t="s">
        <v>28</v>
      </c>
      <c r="O65" s="765" t="s">
        <v>28</v>
      </c>
      <c r="P65" s="765" t="s">
        <v>28</v>
      </c>
      <c r="Q65" s="765" t="s">
        <v>28</v>
      </c>
      <c r="R65" s="765" t="s">
        <v>28</v>
      </c>
      <c r="S65" s="765" t="s">
        <v>28</v>
      </c>
      <c r="T65" s="765" t="s">
        <v>28</v>
      </c>
      <c r="U65" s="765" t="s">
        <v>28</v>
      </c>
      <c r="V65" s="765" t="s">
        <v>28</v>
      </c>
      <c r="W65" s="765">
        <v>3</v>
      </c>
      <c r="X65" s="765">
        <v>2</v>
      </c>
      <c r="Y65" s="765" t="s">
        <v>28</v>
      </c>
      <c r="Z65" s="765" t="s">
        <v>28</v>
      </c>
      <c r="AA65" s="765" t="s">
        <v>28</v>
      </c>
      <c r="AB65" s="765">
        <v>2</v>
      </c>
      <c r="AC65" s="765">
        <v>1</v>
      </c>
      <c r="AD65" s="765">
        <v>1</v>
      </c>
      <c r="AE65" s="765">
        <v>1</v>
      </c>
      <c r="AF65" s="765" t="s">
        <v>28</v>
      </c>
      <c r="AG65" s="765" t="s">
        <v>28</v>
      </c>
      <c r="AH65" s="765" t="s">
        <v>28</v>
      </c>
      <c r="AI65" s="765" t="s">
        <v>28</v>
      </c>
      <c r="AJ65" s="765" t="s">
        <v>28</v>
      </c>
      <c r="AK65" s="765" t="s">
        <v>28</v>
      </c>
      <c r="AL65" s="765" t="s">
        <v>28</v>
      </c>
      <c r="AM65" s="765" t="s">
        <v>28</v>
      </c>
      <c r="AN65" s="765">
        <v>1</v>
      </c>
      <c r="AO65" s="765">
        <v>1</v>
      </c>
      <c r="AP65" s="765" t="s">
        <v>28</v>
      </c>
      <c r="AQ65" s="765" t="s">
        <v>28</v>
      </c>
      <c r="AR65" s="766" t="s">
        <v>28</v>
      </c>
    </row>
    <row r="66" spans="1:46" s="30" customFormat="1" ht="8.4499999999999993" customHeight="1">
      <c r="A66" s="1975" t="s">
        <v>53</v>
      </c>
      <c r="B66" s="1975" t="s">
        <v>54</v>
      </c>
      <c r="C66" s="1976">
        <v>20</v>
      </c>
      <c r="D66" s="1976">
        <v>9</v>
      </c>
      <c r="E66" s="1976">
        <v>25</v>
      </c>
      <c r="F66" s="1976">
        <v>18</v>
      </c>
      <c r="G66" s="1976" t="s">
        <v>28</v>
      </c>
      <c r="H66" s="1976" t="s">
        <v>28</v>
      </c>
      <c r="I66" s="1976" t="s">
        <v>28</v>
      </c>
      <c r="J66" s="1976" t="s">
        <v>28</v>
      </c>
      <c r="K66" s="1976">
        <v>15</v>
      </c>
      <c r="L66" s="1976">
        <v>10</v>
      </c>
      <c r="M66" s="1976">
        <v>1</v>
      </c>
      <c r="N66" s="1976" t="s">
        <v>28</v>
      </c>
      <c r="O66" s="1976">
        <v>7</v>
      </c>
      <c r="P66" s="1976">
        <v>6</v>
      </c>
      <c r="Q66" s="1976">
        <v>2</v>
      </c>
      <c r="R66" s="1976">
        <v>2</v>
      </c>
      <c r="S66" s="1976" t="s">
        <v>28</v>
      </c>
      <c r="T66" s="1976" t="s">
        <v>28</v>
      </c>
      <c r="U66" s="1976">
        <v>23</v>
      </c>
      <c r="V66" s="1976">
        <v>20</v>
      </c>
      <c r="W66" s="1976">
        <v>63</v>
      </c>
      <c r="X66" s="1976">
        <v>58</v>
      </c>
      <c r="Y66" s="1976">
        <v>8</v>
      </c>
      <c r="Z66" s="1976">
        <v>7</v>
      </c>
      <c r="AA66" s="1976" t="s">
        <v>28</v>
      </c>
      <c r="AB66" s="1976">
        <v>33</v>
      </c>
      <c r="AC66" s="1976">
        <v>31</v>
      </c>
      <c r="AD66" s="1976">
        <v>8</v>
      </c>
      <c r="AE66" s="1976">
        <v>8</v>
      </c>
      <c r="AF66" s="1976">
        <v>3</v>
      </c>
      <c r="AG66" s="1976">
        <v>3</v>
      </c>
      <c r="AH66" s="1976" t="s">
        <v>28</v>
      </c>
      <c r="AI66" s="1976" t="s">
        <v>28</v>
      </c>
      <c r="AJ66" s="1976">
        <v>11</v>
      </c>
      <c r="AK66" s="1976">
        <v>9</v>
      </c>
      <c r="AL66" s="1976">
        <v>6</v>
      </c>
      <c r="AM66" s="1976">
        <v>6</v>
      </c>
      <c r="AN66" s="1976">
        <v>143</v>
      </c>
      <c r="AO66" s="1976">
        <v>102</v>
      </c>
      <c r="AP66" s="1976">
        <v>3</v>
      </c>
      <c r="AQ66" s="1976">
        <v>3</v>
      </c>
      <c r="AR66" s="1977">
        <v>3</v>
      </c>
    </row>
    <row r="67" spans="1:46" s="30" customFormat="1" ht="8.4499999999999993" customHeight="1">
      <c r="A67" s="764" t="s">
        <v>632</v>
      </c>
      <c r="B67" s="764" t="s">
        <v>633</v>
      </c>
      <c r="C67" s="765">
        <v>20</v>
      </c>
      <c r="D67" s="765">
        <v>9</v>
      </c>
      <c r="E67" s="765">
        <v>25</v>
      </c>
      <c r="F67" s="765">
        <v>18</v>
      </c>
      <c r="G67" s="765" t="s">
        <v>28</v>
      </c>
      <c r="H67" s="765" t="s">
        <v>28</v>
      </c>
      <c r="I67" s="765" t="s">
        <v>28</v>
      </c>
      <c r="J67" s="765" t="s">
        <v>28</v>
      </c>
      <c r="K67" s="765">
        <v>15</v>
      </c>
      <c r="L67" s="765">
        <v>10</v>
      </c>
      <c r="M67" s="765">
        <v>1</v>
      </c>
      <c r="N67" s="765" t="s">
        <v>28</v>
      </c>
      <c r="O67" s="765">
        <v>7</v>
      </c>
      <c r="P67" s="765">
        <v>6</v>
      </c>
      <c r="Q67" s="765">
        <v>2</v>
      </c>
      <c r="R67" s="765">
        <v>2</v>
      </c>
      <c r="S67" s="765" t="s">
        <v>28</v>
      </c>
      <c r="T67" s="765" t="s">
        <v>28</v>
      </c>
      <c r="U67" s="765">
        <v>23</v>
      </c>
      <c r="V67" s="765">
        <v>20</v>
      </c>
      <c r="W67" s="765">
        <v>62</v>
      </c>
      <c r="X67" s="765">
        <v>57</v>
      </c>
      <c r="Y67" s="765">
        <v>8</v>
      </c>
      <c r="Z67" s="765">
        <v>7</v>
      </c>
      <c r="AA67" s="765" t="s">
        <v>28</v>
      </c>
      <c r="AB67" s="765">
        <v>32</v>
      </c>
      <c r="AC67" s="765">
        <v>30</v>
      </c>
      <c r="AD67" s="765">
        <v>8</v>
      </c>
      <c r="AE67" s="765">
        <v>8</v>
      </c>
      <c r="AF67" s="765">
        <v>3</v>
      </c>
      <c r="AG67" s="765">
        <v>3</v>
      </c>
      <c r="AH67" s="765" t="s">
        <v>28</v>
      </c>
      <c r="AI67" s="765" t="s">
        <v>28</v>
      </c>
      <c r="AJ67" s="765">
        <v>11</v>
      </c>
      <c r="AK67" s="765">
        <v>9</v>
      </c>
      <c r="AL67" s="765">
        <v>6</v>
      </c>
      <c r="AM67" s="765">
        <v>6</v>
      </c>
      <c r="AN67" s="765">
        <v>143</v>
      </c>
      <c r="AO67" s="765">
        <v>102</v>
      </c>
      <c r="AP67" s="765">
        <v>3</v>
      </c>
      <c r="AQ67" s="765">
        <v>3</v>
      </c>
      <c r="AR67" s="766">
        <v>3</v>
      </c>
    </row>
    <row r="68" spans="1:46" s="30" customFormat="1" ht="8.4499999999999993" customHeight="1">
      <c r="A68" s="764" t="s">
        <v>634</v>
      </c>
      <c r="B68" s="764" t="s">
        <v>635</v>
      </c>
      <c r="C68" s="765" t="s">
        <v>28</v>
      </c>
      <c r="D68" s="765" t="s">
        <v>28</v>
      </c>
      <c r="E68" s="765" t="s">
        <v>28</v>
      </c>
      <c r="F68" s="765" t="s">
        <v>28</v>
      </c>
      <c r="G68" s="765" t="s">
        <v>28</v>
      </c>
      <c r="H68" s="765" t="s">
        <v>28</v>
      </c>
      <c r="I68" s="765" t="s">
        <v>28</v>
      </c>
      <c r="J68" s="765" t="s">
        <v>28</v>
      </c>
      <c r="K68" s="765" t="s">
        <v>28</v>
      </c>
      <c r="L68" s="765" t="s">
        <v>28</v>
      </c>
      <c r="M68" s="765" t="s">
        <v>28</v>
      </c>
      <c r="N68" s="765" t="s">
        <v>28</v>
      </c>
      <c r="O68" s="765" t="s">
        <v>28</v>
      </c>
      <c r="P68" s="765" t="s">
        <v>28</v>
      </c>
      <c r="Q68" s="765" t="s">
        <v>28</v>
      </c>
      <c r="R68" s="765" t="s">
        <v>28</v>
      </c>
      <c r="S68" s="765" t="s">
        <v>28</v>
      </c>
      <c r="T68" s="765" t="s">
        <v>28</v>
      </c>
      <c r="U68" s="765" t="s">
        <v>28</v>
      </c>
      <c r="V68" s="765" t="s">
        <v>28</v>
      </c>
      <c r="W68" s="765">
        <v>1</v>
      </c>
      <c r="X68" s="765">
        <v>1</v>
      </c>
      <c r="Y68" s="765" t="s">
        <v>28</v>
      </c>
      <c r="Z68" s="765" t="s">
        <v>28</v>
      </c>
      <c r="AA68" s="765" t="s">
        <v>28</v>
      </c>
      <c r="AB68" s="765">
        <v>1</v>
      </c>
      <c r="AC68" s="765">
        <v>1</v>
      </c>
      <c r="AD68" s="765" t="s">
        <v>28</v>
      </c>
      <c r="AE68" s="765" t="s">
        <v>28</v>
      </c>
      <c r="AF68" s="765" t="s">
        <v>28</v>
      </c>
      <c r="AG68" s="765" t="s">
        <v>28</v>
      </c>
      <c r="AH68" s="765" t="s">
        <v>28</v>
      </c>
      <c r="AI68" s="765" t="s">
        <v>28</v>
      </c>
      <c r="AJ68" s="765" t="s">
        <v>28</v>
      </c>
      <c r="AK68" s="765" t="s">
        <v>28</v>
      </c>
      <c r="AL68" s="765" t="s">
        <v>28</v>
      </c>
      <c r="AM68" s="765" t="s">
        <v>28</v>
      </c>
      <c r="AN68" s="765" t="s">
        <v>28</v>
      </c>
      <c r="AO68" s="765" t="s">
        <v>28</v>
      </c>
      <c r="AP68" s="765" t="s">
        <v>28</v>
      </c>
      <c r="AQ68" s="765" t="s">
        <v>28</v>
      </c>
      <c r="AR68" s="766" t="s">
        <v>28</v>
      </c>
    </row>
    <row r="69" spans="1:46" s="30" customFormat="1" ht="8.4499999999999993" customHeight="1">
      <c r="A69" s="1975" t="s">
        <v>55</v>
      </c>
      <c r="B69" s="1975" t="s">
        <v>56</v>
      </c>
      <c r="C69" s="1976">
        <v>9</v>
      </c>
      <c r="D69" s="1976">
        <v>5</v>
      </c>
      <c r="E69" s="1976">
        <v>40</v>
      </c>
      <c r="F69" s="1976">
        <v>35</v>
      </c>
      <c r="G69" s="1976" t="s">
        <v>28</v>
      </c>
      <c r="H69" s="1976" t="s">
        <v>28</v>
      </c>
      <c r="I69" s="1976" t="s">
        <v>28</v>
      </c>
      <c r="J69" s="1976" t="s">
        <v>28</v>
      </c>
      <c r="K69" s="1976">
        <v>12</v>
      </c>
      <c r="L69" s="1976">
        <v>8</v>
      </c>
      <c r="M69" s="1976" t="s">
        <v>28</v>
      </c>
      <c r="N69" s="1976" t="s">
        <v>28</v>
      </c>
      <c r="O69" s="1976">
        <v>26</v>
      </c>
      <c r="P69" s="1976">
        <v>26</v>
      </c>
      <c r="Q69" s="1976">
        <v>2</v>
      </c>
      <c r="R69" s="1976">
        <v>1</v>
      </c>
      <c r="S69" s="1976" t="s">
        <v>28</v>
      </c>
      <c r="T69" s="1976" t="s">
        <v>28</v>
      </c>
      <c r="U69" s="1976">
        <v>18</v>
      </c>
      <c r="V69" s="1976">
        <v>17</v>
      </c>
      <c r="W69" s="1976">
        <v>61</v>
      </c>
      <c r="X69" s="1976">
        <v>55</v>
      </c>
      <c r="Y69" s="1976">
        <v>10</v>
      </c>
      <c r="Z69" s="1976">
        <v>9</v>
      </c>
      <c r="AA69" s="1976">
        <v>1</v>
      </c>
      <c r="AB69" s="1976">
        <v>19</v>
      </c>
      <c r="AC69" s="1976">
        <v>17</v>
      </c>
      <c r="AD69" s="1976">
        <v>11</v>
      </c>
      <c r="AE69" s="1976">
        <v>10</v>
      </c>
      <c r="AF69" s="1976">
        <v>3</v>
      </c>
      <c r="AG69" s="1976">
        <v>3</v>
      </c>
      <c r="AH69" s="1976" t="s">
        <v>28</v>
      </c>
      <c r="AI69" s="1976" t="s">
        <v>28</v>
      </c>
      <c r="AJ69" s="1976">
        <v>17</v>
      </c>
      <c r="AK69" s="1976">
        <v>16</v>
      </c>
      <c r="AL69" s="1976">
        <v>3</v>
      </c>
      <c r="AM69" s="1976">
        <v>3</v>
      </c>
      <c r="AN69" s="1976">
        <v>160</v>
      </c>
      <c r="AO69" s="1976">
        <v>127</v>
      </c>
      <c r="AP69" s="1976">
        <v>1</v>
      </c>
      <c r="AQ69" s="1976">
        <v>1</v>
      </c>
      <c r="AR69" s="1977">
        <v>3</v>
      </c>
    </row>
    <row r="70" spans="1:46" s="29" customFormat="1" ht="8.4499999999999993" customHeight="1">
      <c r="A70" s="764" t="s">
        <v>632</v>
      </c>
      <c r="B70" s="764" t="s">
        <v>633</v>
      </c>
      <c r="C70" s="765">
        <v>9</v>
      </c>
      <c r="D70" s="765">
        <v>5</v>
      </c>
      <c r="E70" s="765">
        <v>40</v>
      </c>
      <c r="F70" s="765">
        <v>35</v>
      </c>
      <c r="G70" s="765" t="s">
        <v>28</v>
      </c>
      <c r="H70" s="765" t="s">
        <v>28</v>
      </c>
      <c r="I70" s="765" t="s">
        <v>28</v>
      </c>
      <c r="J70" s="765" t="s">
        <v>28</v>
      </c>
      <c r="K70" s="765">
        <v>12</v>
      </c>
      <c r="L70" s="765">
        <v>8</v>
      </c>
      <c r="M70" s="765" t="s">
        <v>28</v>
      </c>
      <c r="N70" s="765" t="s">
        <v>28</v>
      </c>
      <c r="O70" s="765">
        <v>26</v>
      </c>
      <c r="P70" s="765">
        <v>26</v>
      </c>
      <c r="Q70" s="765">
        <v>2</v>
      </c>
      <c r="R70" s="765">
        <v>1</v>
      </c>
      <c r="S70" s="765" t="s">
        <v>28</v>
      </c>
      <c r="T70" s="765" t="s">
        <v>28</v>
      </c>
      <c r="U70" s="765">
        <v>18</v>
      </c>
      <c r="V70" s="765">
        <v>17</v>
      </c>
      <c r="W70" s="765">
        <v>61</v>
      </c>
      <c r="X70" s="765">
        <v>55</v>
      </c>
      <c r="Y70" s="765">
        <v>10</v>
      </c>
      <c r="Z70" s="765">
        <v>9</v>
      </c>
      <c r="AA70" s="765">
        <v>1</v>
      </c>
      <c r="AB70" s="765">
        <v>19</v>
      </c>
      <c r="AC70" s="765">
        <v>17</v>
      </c>
      <c r="AD70" s="765">
        <v>11</v>
      </c>
      <c r="AE70" s="765">
        <v>10</v>
      </c>
      <c r="AF70" s="765">
        <v>3</v>
      </c>
      <c r="AG70" s="765">
        <v>3</v>
      </c>
      <c r="AH70" s="765" t="s">
        <v>28</v>
      </c>
      <c r="AI70" s="765" t="s">
        <v>28</v>
      </c>
      <c r="AJ70" s="765">
        <v>17</v>
      </c>
      <c r="AK70" s="765">
        <v>16</v>
      </c>
      <c r="AL70" s="765">
        <v>3</v>
      </c>
      <c r="AM70" s="765">
        <v>3</v>
      </c>
      <c r="AN70" s="765">
        <v>160</v>
      </c>
      <c r="AO70" s="765">
        <v>127</v>
      </c>
      <c r="AP70" s="765">
        <v>1</v>
      </c>
      <c r="AQ70" s="765">
        <v>1</v>
      </c>
      <c r="AR70" s="766">
        <v>3</v>
      </c>
    </row>
    <row r="71" spans="1:46" s="30" customFormat="1" ht="8.4499999999999993" customHeight="1">
      <c r="A71" s="1975" t="s">
        <v>57</v>
      </c>
      <c r="B71" s="1975" t="s">
        <v>58</v>
      </c>
      <c r="C71" s="1976" t="s">
        <v>28</v>
      </c>
      <c r="D71" s="1976" t="s">
        <v>28</v>
      </c>
      <c r="E71" s="1976">
        <v>15</v>
      </c>
      <c r="F71" s="1976">
        <v>10</v>
      </c>
      <c r="G71" s="1976" t="s">
        <v>28</v>
      </c>
      <c r="H71" s="1976" t="s">
        <v>28</v>
      </c>
      <c r="I71" s="1976" t="s">
        <v>28</v>
      </c>
      <c r="J71" s="1976" t="s">
        <v>28</v>
      </c>
      <c r="K71" s="1976">
        <v>9</v>
      </c>
      <c r="L71" s="1976">
        <v>5</v>
      </c>
      <c r="M71" s="1976" t="s">
        <v>28</v>
      </c>
      <c r="N71" s="1976" t="s">
        <v>28</v>
      </c>
      <c r="O71" s="1976">
        <v>5</v>
      </c>
      <c r="P71" s="1976">
        <v>4</v>
      </c>
      <c r="Q71" s="1976">
        <v>1</v>
      </c>
      <c r="R71" s="1976">
        <v>1</v>
      </c>
      <c r="S71" s="1976" t="s">
        <v>28</v>
      </c>
      <c r="T71" s="1976" t="s">
        <v>28</v>
      </c>
      <c r="U71" s="1976">
        <v>10</v>
      </c>
      <c r="V71" s="1976">
        <v>10</v>
      </c>
      <c r="W71" s="1976">
        <v>29</v>
      </c>
      <c r="X71" s="1976">
        <v>24</v>
      </c>
      <c r="Y71" s="1976">
        <v>1</v>
      </c>
      <c r="Z71" s="1976" t="s">
        <v>28</v>
      </c>
      <c r="AA71" s="1976" t="s">
        <v>28</v>
      </c>
      <c r="AB71" s="1976">
        <v>13</v>
      </c>
      <c r="AC71" s="1976">
        <v>10</v>
      </c>
      <c r="AD71" s="1976">
        <v>5</v>
      </c>
      <c r="AE71" s="1976">
        <v>5</v>
      </c>
      <c r="AF71" s="1976">
        <v>3</v>
      </c>
      <c r="AG71" s="1976">
        <v>2</v>
      </c>
      <c r="AH71" s="1976" t="s">
        <v>28</v>
      </c>
      <c r="AI71" s="1976" t="s">
        <v>28</v>
      </c>
      <c r="AJ71" s="1976">
        <v>7</v>
      </c>
      <c r="AK71" s="1976">
        <v>7</v>
      </c>
      <c r="AL71" s="1976">
        <v>4</v>
      </c>
      <c r="AM71" s="1976">
        <v>3</v>
      </c>
      <c r="AN71" s="1976">
        <v>90</v>
      </c>
      <c r="AO71" s="1976">
        <v>73</v>
      </c>
      <c r="AP71" s="1976" t="s">
        <v>28</v>
      </c>
      <c r="AQ71" s="1976" t="s">
        <v>28</v>
      </c>
      <c r="AR71" s="1977">
        <v>2</v>
      </c>
    </row>
    <row r="72" spans="1:46" s="30" customFormat="1" ht="8.4499999999999993" customHeight="1">
      <c r="A72" s="764" t="s">
        <v>632</v>
      </c>
      <c r="B72" s="764" t="s">
        <v>633</v>
      </c>
      <c r="C72" s="765" t="s">
        <v>28</v>
      </c>
      <c r="D72" s="765" t="s">
        <v>28</v>
      </c>
      <c r="E72" s="765">
        <v>15</v>
      </c>
      <c r="F72" s="765">
        <v>10</v>
      </c>
      <c r="G72" s="765" t="s">
        <v>28</v>
      </c>
      <c r="H72" s="765" t="s">
        <v>28</v>
      </c>
      <c r="I72" s="765" t="s">
        <v>28</v>
      </c>
      <c r="J72" s="765" t="s">
        <v>28</v>
      </c>
      <c r="K72" s="765">
        <v>9</v>
      </c>
      <c r="L72" s="765">
        <v>5</v>
      </c>
      <c r="M72" s="765" t="s">
        <v>28</v>
      </c>
      <c r="N72" s="765" t="s">
        <v>28</v>
      </c>
      <c r="O72" s="765">
        <v>5</v>
      </c>
      <c r="P72" s="765">
        <v>4</v>
      </c>
      <c r="Q72" s="765">
        <v>1</v>
      </c>
      <c r="R72" s="765">
        <v>1</v>
      </c>
      <c r="S72" s="765" t="s">
        <v>28</v>
      </c>
      <c r="T72" s="765" t="s">
        <v>28</v>
      </c>
      <c r="U72" s="765">
        <v>10</v>
      </c>
      <c r="V72" s="765">
        <v>10</v>
      </c>
      <c r="W72" s="765">
        <v>29</v>
      </c>
      <c r="X72" s="765">
        <v>24</v>
      </c>
      <c r="Y72" s="765">
        <v>1</v>
      </c>
      <c r="Z72" s="765" t="s">
        <v>28</v>
      </c>
      <c r="AA72" s="765" t="s">
        <v>28</v>
      </c>
      <c r="AB72" s="765">
        <v>13</v>
      </c>
      <c r="AC72" s="765">
        <v>10</v>
      </c>
      <c r="AD72" s="765">
        <v>5</v>
      </c>
      <c r="AE72" s="765">
        <v>5</v>
      </c>
      <c r="AF72" s="765">
        <v>3</v>
      </c>
      <c r="AG72" s="765">
        <v>2</v>
      </c>
      <c r="AH72" s="765" t="s">
        <v>28</v>
      </c>
      <c r="AI72" s="765" t="s">
        <v>28</v>
      </c>
      <c r="AJ72" s="765">
        <v>7</v>
      </c>
      <c r="AK72" s="765">
        <v>7</v>
      </c>
      <c r="AL72" s="765">
        <v>4</v>
      </c>
      <c r="AM72" s="765">
        <v>3</v>
      </c>
      <c r="AN72" s="765">
        <v>90</v>
      </c>
      <c r="AO72" s="765">
        <v>73</v>
      </c>
      <c r="AP72" s="765" t="s">
        <v>28</v>
      </c>
      <c r="AQ72" s="765" t="s">
        <v>28</v>
      </c>
      <c r="AR72" s="766">
        <v>2</v>
      </c>
    </row>
    <row r="73" spans="1:46" s="30" customFormat="1" ht="8.4499999999999993" customHeight="1">
      <c r="A73" s="1975" t="s">
        <v>59</v>
      </c>
      <c r="B73" s="1975" t="s">
        <v>60</v>
      </c>
      <c r="C73" s="1976">
        <v>97</v>
      </c>
      <c r="D73" s="1976">
        <v>45</v>
      </c>
      <c r="E73" s="1976">
        <v>32</v>
      </c>
      <c r="F73" s="1976">
        <v>21</v>
      </c>
      <c r="G73" s="1976" t="s">
        <v>28</v>
      </c>
      <c r="H73" s="1976" t="s">
        <v>28</v>
      </c>
      <c r="I73" s="1976">
        <v>1</v>
      </c>
      <c r="J73" s="1976">
        <v>1</v>
      </c>
      <c r="K73" s="1976">
        <v>16</v>
      </c>
      <c r="L73" s="1976">
        <v>8</v>
      </c>
      <c r="M73" s="1976" t="s">
        <v>28</v>
      </c>
      <c r="N73" s="1976" t="s">
        <v>28</v>
      </c>
      <c r="O73" s="1976">
        <v>10</v>
      </c>
      <c r="P73" s="1976">
        <v>9</v>
      </c>
      <c r="Q73" s="1976">
        <v>5</v>
      </c>
      <c r="R73" s="1976">
        <v>3</v>
      </c>
      <c r="S73" s="1976" t="s">
        <v>28</v>
      </c>
      <c r="T73" s="1976" t="s">
        <v>28</v>
      </c>
      <c r="U73" s="1976">
        <v>25</v>
      </c>
      <c r="V73" s="1976">
        <v>23</v>
      </c>
      <c r="W73" s="1976">
        <v>65</v>
      </c>
      <c r="X73" s="1976">
        <v>54</v>
      </c>
      <c r="Y73" s="1976">
        <v>3</v>
      </c>
      <c r="Z73" s="1976">
        <v>3</v>
      </c>
      <c r="AA73" s="1976">
        <v>2</v>
      </c>
      <c r="AB73" s="1976">
        <v>36</v>
      </c>
      <c r="AC73" s="1976">
        <v>29</v>
      </c>
      <c r="AD73" s="1976">
        <v>10</v>
      </c>
      <c r="AE73" s="1976">
        <v>9</v>
      </c>
      <c r="AF73" s="1976">
        <v>5</v>
      </c>
      <c r="AG73" s="1976">
        <v>5</v>
      </c>
      <c r="AH73" s="1976" t="s">
        <v>28</v>
      </c>
      <c r="AI73" s="1976" t="s">
        <v>28</v>
      </c>
      <c r="AJ73" s="1976">
        <v>9</v>
      </c>
      <c r="AK73" s="1976">
        <v>8</v>
      </c>
      <c r="AL73" s="1976">
        <v>8</v>
      </c>
      <c r="AM73" s="1976">
        <v>6</v>
      </c>
      <c r="AN73" s="1976">
        <v>152</v>
      </c>
      <c r="AO73" s="1976">
        <v>110</v>
      </c>
      <c r="AP73" s="1976">
        <v>2</v>
      </c>
      <c r="AQ73" s="1976">
        <v>1</v>
      </c>
      <c r="AR73" s="1977">
        <v>4</v>
      </c>
    </row>
    <row r="74" spans="1:46" s="29" customFormat="1" ht="8.4499999999999993" customHeight="1">
      <c r="A74" s="764" t="s">
        <v>632</v>
      </c>
      <c r="B74" s="764" t="s">
        <v>633</v>
      </c>
      <c r="C74" s="765">
        <v>97</v>
      </c>
      <c r="D74" s="765">
        <v>45</v>
      </c>
      <c r="E74" s="765">
        <v>32</v>
      </c>
      <c r="F74" s="765">
        <v>21</v>
      </c>
      <c r="G74" s="765" t="s">
        <v>28</v>
      </c>
      <c r="H74" s="765" t="s">
        <v>28</v>
      </c>
      <c r="I74" s="765">
        <v>1</v>
      </c>
      <c r="J74" s="765">
        <v>1</v>
      </c>
      <c r="K74" s="765">
        <v>16</v>
      </c>
      <c r="L74" s="765">
        <v>8</v>
      </c>
      <c r="M74" s="765" t="s">
        <v>28</v>
      </c>
      <c r="N74" s="765" t="s">
        <v>28</v>
      </c>
      <c r="O74" s="765">
        <v>10</v>
      </c>
      <c r="P74" s="765">
        <v>9</v>
      </c>
      <c r="Q74" s="765">
        <v>5</v>
      </c>
      <c r="R74" s="765">
        <v>3</v>
      </c>
      <c r="S74" s="765" t="s">
        <v>28</v>
      </c>
      <c r="T74" s="765" t="s">
        <v>28</v>
      </c>
      <c r="U74" s="765">
        <v>25</v>
      </c>
      <c r="V74" s="765">
        <v>23</v>
      </c>
      <c r="W74" s="765">
        <v>65</v>
      </c>
      <c r="X74" s="765">
        <v>54</v>
      </c>
      <c r="Y74" s="765">
        <v>3</v>
      </c>
      <c r="Z74" s="765">
        <v>3</v>
      </c>
      <c r="AA74" s="765">
        <v>2</v>
      </c>
      <c r="AB74" s="765">
        <v>36</v>
      </c>
      <c r="AC74" s="765">
        <v>29</v>
      </c>
      <c r="AD74" s="765">
        <v>10</v>
      </c>
      <c r="AE74" s="765">
        <v>9</v>
      </c>
      <c r="AF74" s="765">
        <v>5</v>
      </c>
      <c r="AG74" s="765">
        <v>5</v>
      </c>
      <c r="AH74" s="765" t="s">
        <v>28</v>
      </c>
      <c r="AI74" s="765" t="s">
        <v>28</v>
      </c>
      <c r="AJ74" s="765">
        <v>9</v>
      </c>
      <c r="AK74" s="765">
        <v>8</v>
      </c>
      <c r="AL74" s="765">
        <v>8</v>
      </c>
      <c r="AM74" s="765">
        <v>6</v>
      </c>
      <c r="AN74" s="765">
        <v>152</v>
      </c>
      <c r="AO74" s="765">
        <v>110</v>
      </c>
      <c r="AP74" s="765">
        <v>2</v>
      </c>
      <c r="AQ74" s="765">
        <v>1</v>
      </c>
      <c r="AR74" s="766">
        <v>4</v>
      </c>
      <c r="AS74" s="767"/>
      <c r="AT74" s="903"/>
    </row>
    <row r="75" spans="1:46" s="30" customFormat="1" ht="8.4499999999999993" customHeight="1">
      <c r="A75" s="1975" t="s">
        <v>61</v>
      </c>
      <c r="B75" s="1975" t="s">
        <v>62</v>
      </c>
      <c r="C75" s="1976">
        <v>12</v>
      </c>
      <c r="D75" s="1976">
        <v>4</v>
      </c>
      <c r="E75" s="1976" t="s">
        <v>28</v>
      </c>
      <c r="F75" s="1976" t="s">
        <v>28</v>
      </c>
      <c r="G75" s="1976" t="s">
        <v>28</v>
      </c>
      <c r="H75" s="1976" t="s">
        <v>28</v>
      </c>
      <c r="I75" s="1976" t="s">
        <v>28</v>
      </c>
      <c r="J75" s="1976" t="s">
        <v>28</v>
      </c>
      <c r="K75" s="1976" t="s">
        <v>28</v>
      </c>
      <c r="L75" s="1976" t="s">
        <v>28</v>
      </c>
      <c r="M75" s="1976" t="s">
        <v>28</v>
      </c>
      <c r="N75" s="1976" t="s">
        <v>28</v>
      </c>
      <c r="O75" s="1976" t="s">
        <v>28</v>
      </c>
      <c r="P75" s="1976" t="s">
        <v>28</v>
      </c>
      <c r="Q75" s="1976" t="s">
        <v>28</v>
      </c>
      <c r="R75" s="1976" t="s">
        <v>28</v>
      </c>
      <c r="S75" s="1976" t="s">
        <v>28</v>
      </c>
      <c r="T75" s="1976" t="s">
        <v>28</v>
      </c>
      <c r="U75" s="1976" t="s">
        <v>28</v>
      </c>
      <c r="V75" s="1976" t="s">
        <v>28</v>
      </c>
      <c r="W75" s="1976">
        <v>5</v>
      </c>
      <c r="X75" s="1976">
        <v>3</v>
      </c>
      <c r="Y75" s="1976" t="s">
        <v>28</v>
      </c>
      <c r="Z75" s="1976" t="s">
        <v>28</v>
      </c>
      <c r="AA75" s="1976" t="s">
        <v>28</v>
      </c>
      <c r="AB75" s="1976">
        <v>3</v>
      </c>
      <c r="AC75" s="1976">
        <v>1</v>
      </c>
      <c r="AD75" s="1976">
        <v>2</v>
      </c>
      <c r="AE75" s="1976">
        <v>2</v>
      </c>
      <c r="AF75" s="1976" t="s">
        <v>28</v>
      </c>
      <c r="AG75" s="1976" t="s">
        <v>28</v>
      </c>
      <c r="AH75" s="1976" t="s">
        <v>28</v>
      </c>
      <c r="AI75" s="1976" t="s">
        <v>28</v>
      </c>
      <c r="AJ75" s="1976" t="s">
        <v>28</v>
      </c>
      <c r="AK75" s="1976" t="s">
        <v>28</v>
      </c>
      <c r="AL75" s="1976">
        <v>3</v>
      </c>
      <c r="AM75" s="1976">
        <v>3</v>
      </c>
      <c r="AN75" s="1976">
        <v>21</v>
      </c>
      <c r="AO75" s="1976">
        <v>9</v>
      </c>
      <c r="AP75" s="1976" t="s">
        <v>28</v>
      </c>
      <c r="AQ75" s="1976" t="s">
        <v>28</v>
      </c>
      <c r="AR75" s="1977" t="s">
        <v>28</v>
      </c>
    </row>
    <row r="76" spans="1:46" s="28" customFormat="1" ht="17.25" customHeight="1">
      <c r="A76" s="764" t="s">
        <v>632</v>
      </c>
      <c r="B76" s="764" t="s">
        <v>633</v>
      </c>
      <c r="C76" s="765">
        <v>12</v>
      </c>
      <c r="D76" s="765">
        <v>4</v>
      </c>
      <c r="E76" s="765" t="s">
        <v>28</v>
      </c>
      <c r="F76" s="765" t="s">
        <v>28</v>
      </c>
      <c r="G76" s="765" t="s">
        <v>28</v>
      </c>
      <c r="H76" s="765" t="s">
        <v>28</v>
      </c>
      <c r="I76" s="765" t="s">
        <v>28</v>
      </c>
      <c r="J76" s="765" t="s">
        <v>28</v>
      </c>
      <c r="K76" s="765" t="s">
        <v>28</v>
      </c>
      <c r="L76" s="765" t="s">
        <v>28</v>
      </c>
      <c r="M76" s="765" t="s">
        <v>28</v>
      </c>
      <c r="N76" s="765" t="s">
        <v>28</v>
      </c>
      <c r="O76" s="765" t="s">
        <v>28</v>
      </c>
      <c r="P76" s="765" t="s">
        <v>28</v>
      </c>
      <c r="Q76" s="765" t="s">
        <v>28</v>
      </c>
      <c r="R76" s="765" t="s">
        <v>28</v>
      </c>
      <c r="S76" s="765" t="s">
        <v>28</v>
      </c>
      <c r="T76" s="765" t="s">
        <v>28</v>
      </c>
      <c r="U76" s="765" t="s">
        <v>28</v>
      </c>
      <c r="V76" s="765" t="s">
        <v>28</v>
      </c>
      <c r="W76" s="765">
        <v>4</v>
      </c>
      <c r="X76" s="765">
        <v>3</v>
      </c>
      <c r="Y76" s="765" t="s">
        <v>28</v>
      </c>
      <c r="Z76" s="765" t="s">
        <v>28</v>
      </c>
      <c r="AA76" s="765" t="s">
        <v>28</v>
      </c>
      <c r="AB76" s="765">
        <v>2</v>
      </c>
      <c r="AC76" s="765">
        <v>1</v>
      </c>
      <c r="AD76" s="765">
        <v>2</v>
      </c>
      <c r="AE76" s="765">
        <v>2</v>
      </c>
      <c r="AF76" s="765" t="s">
        <v>28</v>
      </c>
      <c r="AG76" s="765" t="s">
        <v>28</v>
      </c>
      <c r="AH76" s="765" t="s">
        <v>28</v>
      </c>
      <c r="AI76" s="765" t="s">
        <v>28</v>
      </c>
      <c r="AJ76" s="765" t="s">
        <v>28</v>
      </c>
      <c r="AK76" s="765" t="s">
        <v>28</v>
      </c>
      <c r="AL76" s="765">
        <v>3</v>
      </c>
      <c r="AM76" s="765">
        <v>3</v>
      </c>
      <c r="AN76" s="765">
        <v>21</v>
      </c>
      <c r="AO76" s="765">
        <v>9</v>
      </c>
      <c r="AP76" s="765" t="s">
        <v>28</v>
      </c>
      <c r="AQ76" s="765" t="s">
        <v>28</v>
      </c>
      <c r="AR76" s="766" t="s">
        <v>28</v>
      </c>
    </row>
    <row r="77" spans="1:46">
      <c r="A77" s="764" t="s">
        <v>634</v>
      </c>
      <c r="B77" s="764" t="s">
        <v>635</v>
      </c>
      <c r="C77" s="765" t="s">
        <v>28</v>
      </c>
      <c r="D77" s="765" t="s">
        <v>28</v>
      </c>
      <c r="E77" s="765" t="s">
        <v>28</v>
      </c>
      <c r="F77" s="765" t="s">
        <v>28</v>
      </c>
      <c r="G77" s="765" t="s">
        <v>28</v>
      </c>
      <c r="H77" s="765" t="s">
        <v>28</v>
      </c>
      <c r="I77" s="765" t="s">
        <v>28</v>
      </c>
      <c r="J77" s="765" t="s">
        <v>28</v>
      </c>
      <c r="K77" s="765" t="s">
        <v>28</v>
      </c>
      <c r="L77" s="765" t="s">
        <v>28</v>
      </c>
      <c r="M77" s="765" t="s">
        <v>28</v>
      </c>
      <c r="N77" s="765" t="s">
        <v>28</v>
      </c>
      <c r="O77" s="765" t="s">
        <v>28</v>
      </c>
      <c r="P77" s="765" t="s">
        <v>28</v>
      </c>
      <c r="Q77" s="765" t="s">
        <v>28</v>
      </c>
      <c r="R77" s="765" t="s">
        <v>28</v>
      </c>
      <c r="S77" s="765" t="s">
        <v>28</v>
      </c>
      <c r="T77" s="765" t="s">
        <v>28</v>
      </c>
      <c r="U77" s="765" t="s">
        <v>28</v>
      </c>
      <c r="V77" s="765" t="s">
        <v>28</v>
      </c>
      <c r="W77" s="765">
        <v>1</v>
      </c>
      <c r="X77" s="765" t="s">
        <v>28</v>
      </c>
      <c r="Y77" s="765" t="s">
        <v>28</v>
      </c>
      <c r="Z77" s="765" t="s">
        <v>28</v>
      </c>
      <c r="AA77" s="765" t="s">
        <v>28</v>
      </c>
      <c r="AB77" s="765">
        <v>1</v>
      </c>
      <c r="AC77" s="765" t="s">
        <v>28</v>
      </c>
      <c r="AD77" s="765" t="s">
        <v>28</v>
      </c>
      <c r="AE77" s="765" t="s">
        <v>28</v>
      </c>
      <c r="AF77" s="765" t="s">
        <v>28</v>
      </c>
      <c r="AG77" s="765" t="s">
        <v>28</v>
      </c>
      <c r="AH77" s="765" t="s">
        <v>28</v>
      </c>
      <c r="AI77" s="765" t="s">
        <v>28</v>
      </c>
      <c r="AJ77" s="765" t="s">
        <v>28</v>
      </c>
      <c r="AK77" s="765" t="s">
        <v>28</v>
      </c>
      <c r="AL77" s="765" t="s">
        <v>28</v>
      </c>
      <c r="AM77" s="765" t="s">
        <v>28</v>
      </c>
      <c r="AN77" s="765" t="s">
        <v>28</v>
      </c>
      <c r="AO77" s="765" t="s">
        <v>28</v>
      </c>
      <c r="AP77" s="765" t="s">
        <v>28</v>
      </c>
      <c r="AQ77" s="765" t="s">
        <v>28</v>
      </c>
      <c r="AR77" s="766" t="s">
        <v>28</v>
      </c>
    </row>
    <row r="78" spans="1:46">
      <c r="A78" s="1975" t="s">
        <v>63</v>
      </c>
      <c r="B78" s="1975" t="s">
        <v>64</v>
      </c>
      <c r="C78" s="1976">
        <v>21</v>
      </c>
      <c r="D78" s="1976">
        <v>16</v>
      </c>
      <c r="E78" s="1976">
        <v>4</v>
      </c>
      <c r="F78" s="1976">
        <v>1</v>
      </c>
      <c r="G78" s="1976" t="s">
        <v>28</v>
      </c>
      <c r="H78" s="1976" t="s">
        <v>28</v>
      </c>
      <c r="I78" s="1976" t="s">
        <v>28</v>
      </c>
      <c r="J78" s="1976" t="s">
        <v>28</v>
      </c>
      <c r="K78" s="1976">
        <v>2</v>
      </c>
      <c r="L78" s="1976">
        <v>1</v>
      </c>
      <c r="M78" s="1976" t="s">
        <v>28</v>
      </c>
      <c r="N78" s="1976" t="s">
        <v>28</v>
      </c>
      <c r="O78" s="1976">
        <v>1</v>
      </c>
      <c r="P78" s="1976" t="s">
        <v>28</v>
      </c>
      <c r="Q78" s="1976">
        <v>1</v>
      </c>
      <c r="R78" s="1976" t="s">
        <v>28</v>
      </c>
      <c r="S78" s="1976" t="s">
        <v>28</v>
      </c>
      <c r="T78" s="1976" t="s">
        <v>28</v>
      </c>
      <c r="U78" s="1976" t="s">
        <v>28</v>
      </c>
      <c r="V78" s="1976" t="s">
        <v>28</v>
      </c>
      <c r="W78" s="1976">
        <v>1</v>
      </c>
      <c r="X78" s="1976">
        <v>1</v>
      </c>
      <c r="Y78" s="1976" t="s">
        <v>28</v>
      </c>
      <c r="Z78" s="1976" t="s">
        <v>28</v>
      </c>
      <c r="AA78" s="1976" t="s">
        <v>28</v>
      </c>
      <c r="AB78" s="1976">
        <v>1</v>
      </c>
      <c r="AC78" s="1976">
        <v>1</v>
      </c>
      <c r="AD78" s="1976" t="s">
        <v>28</v>
      </c>
      <c r="AE78" s="1976" t="s">
        <v>28</v>
      </c>
      <c r="AF78" s="1976" t="s">
        <v>28</v>
      </c>
      <c r="AG78" s="1976" t="s">
        <v>28</v>
      </c>
      <c r="AH78" s="1976" t="s">
        <v>28</v>
      </c>
      <c r="AI78" s="1976" t="s">
        <v>28</v>
      </c>
      <c r="AJ78" s="1976" t="s">
        <v>28</v>
      </c>
      <c r="AK78" s="1976" t="s">
        <v>28</v>
      </c>
      <c r="AL78" s="1976" t="s">
        <v>28</v>
      </c>
      <c r="AM78" s="1976" t="s">
        <v>28</v>
      </c>
      <c r="AN78" s="1976">
        <v>7</v>
      </c>
      <c r="AO78" s="1976">
        <v>4</v>
      </c>
      <c r="AP78" s="1976" t="s">
        <v>28</v>
      </c>
      <c r="AQ78" s="1976" t="s">
        <v>28</v>
      </c>
      <c r="AR78" s="1977" t="s">
        <v>28</v>
      </c>
    </row>
    <row r="79" spans="1:46" ht="17.25" thickBot="1">
      <c r="A79" s="1978" t="s">
        <v>632</v>
      </c>
      <c r="B79" s="1978" t="s">
        <v>633</v>
      </c>
      <c r="C79" s="768">
        <v>21</v>
      </c>
      <c r="D79" s="768">
        <v>16</v>
      </c>
      <c r="E79" s="768">
        <v>4</v>
      </c>
      <c r="F79" s="768">
        <v>1</v>
      </c>
      <c r="G79" s="768" t="s">
        <v>28</v>
      </c>
      <c r="H79" s="768" t="s">
        <v>28</v>
      </c>
      <c r="I79" s="768" t="s">
        <v>28</v>
      </c>
      <c r="J79" s="768" t="s">
        <v>28</v>
      </c>
      <c r="K79" s="768">
        <v>2</v>
      </c>
      <c r="L79" s="768">
        <v>1</v>
      </c>
      <c r="M79" s="768" t="s">
        <v>28</v>
      </c>
      <c r="N79" s="768" t="s">
        <v>28</v>
      </c>
      <c r="O79" s="768">
        <v>1</v>
      </c>
      <c r="P79" s="768" t="s">
        <v>28</v>
      </c>
      <c r="Q79" s="768">
        <v>1</v>
      </c>
      <c r="R79" s="768" t="s">
        <v>28</v>
      </c>
      <c r="S79" s="768" t="s">
        <v>28</v>
      </c>
      <c r="T79" s="768" t="s">
        <v>28</v>
      </c>
      <c r="U79" s="768" t="s">
        <v>28</v>
      </c>
      <c r="V79" s="768" t="s">
        <v>28</v>
      </c>
      <c r="W79" s="765">
        <v>1</v>
      </c>
      <c r="X79" s="765">
        <v>1</v>
      </c>
      <c r="Y79" s="765" t="s">
        <v>28</v>
      </c>
      <c r="Z79" s="765" t="s">
        <v>28</v>
      </c>
      <c r="AA79" s="765" t="s">
        <v>28</v>
      </c>
      <c r="AB79" s="765">
        <v>1</v>
      </c>
      <c r="AC79" s="765">
        <v>1</v>
      </c>
      <c r="AD79" s="765" t="s">
        <v>28</v>
      </c>
      <c r="AE79" s="765" t="s">
        <v>28</v>
      </c>
      <c r="AF79" s="765" t="s">
        <v>28</v>
      </c>
      <c r="AG79" s="765" t="s">
        <v>28</v>
      </c>
      <c r="AH79" s="765" t="s">
        <v>28</v>
      </c>
      <c r="AI79" s="765" t="s">
        <v>28</v>
      </c>
      <c r="AJ79" s="765" t="s">
        <v>28</v>
      </c>
      <c r="AK79" s="765" t="s">
        <v>28</v>
      </c>
      <c r="AL79" s="765" t="s">
        <v>28</v>
      </c>
      <c r="AM79" s="765" t="s">
        <v>28</v>
      </c>
      <c r="AN79" s="765">
        <v>7</v>
      </c>
      <c r="AO79" s="765">
        <v>4</v>
      </c>
      <c r="AP79" s="765" t="s">
        <v>28</v>
      </c>
      <c r="AQ79" s="765" t="s">
        <v>28</v>
      </c>
      <c r="AR79" s="766" t="s">
        <v>28</v>
      </c>
    </row>
    <row r="80" spans="1:46">
      <c r="A80" s="1998" t="s">
        <v>703</v>
      </c>
      <c r="B80" s="1998"/>
      <c r="C80" s="1998"/>
      <c r="D80" s="1998"/>
      <c r="E80" s="1998"/>
      <c r="F80" s="1998"/>
      <c r="G80" s="1998"/>
      <c r="H80" s="1998"/>
      <c r="I80" s="1998"/>
      <c r="J80" s="1998"/>
      <c r="K80" s="1998"/>
      <c r="L80" s="1998"/>
      <c r="M80" s="1998"/>
      <c r="N80" s="1998"/>
      <c r="O80" s="1998"/>
      <c r="P80" s="1998"/>
      <c r="Q80" s="1998"/>
      <c r="R80" s="1998"/>
      <c r="S80" s="1998"/>
      <c r="T80" s="1998"/>
      <c r="U80" s="1998"/>
      <c r="V80" s="1998"/>
      <c r="W80" s="1999" t="s">
        <v>1098</v>
      </c>
      <c r="X80" s="1999"/>
      <c r="Y80" s="1999"/>
      <c r="Z80" s="1999"/>
      <c r="AA80" s="1999"/>
      <c r="AB80" s="1999"/>
      <c r="AC80" s="1999"/>
      <c r="AD80" s="1999"/>
      <c r="AE80" s="1999"/>
      <c r="AF80" s="1999"/>
      <c r="AG80" s="1999"/>
      <c r="AH80" s="1999"/>
      <c r="AI80" s="1999"/>
      <c r="AJ80" s="1999"/>
      <c r="AK80" s="1999"/>
      <c r="AL80" s="1999"/>
      <c r="AM80" s="1999"/>
      <c r="AN80" s="1999"/>
      <c r="AO80" s="1999"/>
      <c r="AP80" s="1999"/>
      <c r="AQ80" s="1999"/>
      <c r="AR80" s="1999"/>
    </row>
  </sheetData>
  <mergeCells count="65">
    <mergeCell ref="A80:V80"/>
    <mergeCell ref="W80:AR80"/>
    <mergeCell ref="A9:B9"/>
    <mergeCell ref="A10:B10"/>
    <mergeCell ref="A39:V39"/>
    <mergeCell ref="W39:AR39"/>
    <mergeCell ref="A53:V53"/>
    <mergeCell ref="W53:AR53"/>
    <mergeCell ref="AR7:AR8"/>
    <mergeCell ref="A8:B8"/>
    <mergeCell ref="E8:F8"/>
    <mergeCell ref="G8:H8"/>
    <mergeCell ref="I8:J8"/>
    <mergeCell ref="K8:L8"/>
    <mergeCell ref="M8:N8"/>
    <mergeCell ref="O8:P8"/>
    <mergeCell ref="Q8:R8"/>
    <mergeCell ref="S8:T8"/>
    <mergeCell ref="U8:V8"/>
    <mergeCell ref="W8:X8"/>
    <mergeCell ref="Y8:Z8"/>
    <mergeCell ref="AB8:AC8"/>
    <mergeCell ref="AD8:AE8"/>
    <mergeCell ref="AL7:AM8"/>
    <mergeCell ref="AN7:AO8"/>
    <mergeCell ref="AP7:AQ8"/>
    <mergeCell ref="AF8:AG8"/>
    <mergeCell ref="AH8:AI8"/>
    <mergeCell ref="AJ8:AK8"/>
    <mergeCell ref="AF7:AG7"/>
    <mergeCell ref="AH7:AI7"/>
    <mergeCell ref="AJ7:AK7"/>
    <mergeCell ref="K7:L7"/>
    <mergeCell ref="M7:N7"/>
    <mergeCell ref="A7:B7"/>
    <mergeCell ref="C7:D8"/>
    <mergeCell ref="E7:F7"/>
    <mergeCell ref="G7:H7"/>
    <mergeCell ref="I7:J7"/>
    <mergeCell ref="O7:P7"/>
    <mergeCell ref="Q7:R7"/>
    <mergeCell ref="S7:T7"/>
    <mergeCell ref="W7:X7"/>
    <mergeCell ref="U6:V7"/>
    <mergeCell ref="W6:AK6"/>
    <mergeCell ref="Y7:Z7"/>
    <mergeCell ref="AB7:AC7"/>
    <mergeCell ref="AD7:AE7"/>
    <mergeCell ref="A4:T4"/>
    <mergeCell ref="U4:AR4"/>
    <mergeCell ref="W3:AR3"/>
    <mergeCell ref="A3:V3"/>
    <mergeCell ref="A2:V2"/>
    <mergeCell ref="W2:AR2"/>
    <mergeCell ref="AL5:AM6"/>
    <mergeCell ref="AN5:AO6"/>
    <mergeCell ref="AP5:AQ6"/>
    <mergeCell ref="AR5:AR6"/>
    <mergeCell ref="A6:B6"/>
    <mergeCell ref="E6:T6"/>
    <mergeCell ref="A5:B5"/>
    <mergeCell ref="C5:D6"/>
    <mergeCell ref="E5:T5"/>
    <mergeCell ref="U5:V5"/>
    <mergeCell ref="W5:AK5"/>
  </mergeCells>
  <phoneticPr fontId="18" type="noConversion"/>
  <hyperlinks>
    <hyperlink ref="A1" location="목록!A1" display="목록!A1" xr:uid="{DD3BBA26-C066-4EB7-870E-905C26CEFFDD}"/>
  </hyperlinks>
  <pageMargins left="0.59055118110236215" right="0.59055118110236215" top="0.78740157480314965" bottom="0.59055118110236215" header="0.62992125984251968" footer="0.39370078740157483"/>
  <pageSetup paperSize="9" scale="92" orientation="portrait" r:id="rId1"/>
  <rowBreaks count="1" manualBreakCount="1">
    <brk id="76" max="43" man="1"/>
  </rowBreaks>
  <colBreaks count="1" manualBreakCount="1">
    <brk id="22" min="1" max="75" man="1"/>
  </colBreaks>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dimension ref="A1:Z92"/>
  <sheetViews>
    <sheetView showGridLines="0" showWhiteSpace="0" view="pageBreakPreview" zoomScaleNormal="100" zoomScaleSheetLayoutView="100" zoomScalePageLayoutView="85" workbookViewId="0">
      <selection activeCell="S27" sqref="S27"/>
    </sheetView>
  </sheetViews>
  <sheetFormatPr defaultColWidth="3.109375" defaultRowHeight="16.5"/>
  <cols>
    <col min="1" max="1" width="16.5546875" style="774" customWidth="1"/>
    <col min="2" max="2" width="23.44140625" style="774" customWidth="1"/>
    <col min="3" max="4" width="4.88671875" style="774" customWidth="1"/>
    <col min="5" max="6" width="6.44140625" style="774" customWidth="1"/>
    <col min="7" max="7" width="6.5546875" style="774" customWidth="1"/>
    <col min="8" max="9" width="6.44140625" style="774" customWidth="1"/>
    <col min="10" max="10" width="5.21875" style="774" customWidth="1"/>
    <col min="11" max="11" width="6.6640625" style="774" customWidth="1"/>
    <col min="12" max="15" width="7.109375" style="774" customWidth="1"/>
    <col min="16" max="16" width="7.5546875" style="774" customWidth="1"/>
    <col min="17" max="23" width="7.109375" style="774" customWidth="1"/>
    <col min="24" max="24" width="7.109375" style="795" customWidth="1"/>
    <col min="25" max="254" width="8" style="774" customWidth="1"/>
    <col min="255" max="255" width="14.44140625" style="774" customWidth="1"/>
    <col min="256" max="256" width="22.33203125" style="774" customWidth="1"/>
    <col min="257" max="16384" width="3.109375" style="774"/>
  </cols>
  <sheetData>
    <row r="1" spans="1:25" ht="22.5">
      <c r="A1" s="901" t="s">
        <v>1332</v>
      </c>
    </row>
    <row r="2" spans="1:25" s="771" customFormat="1" ht="10.5" customHeight="1">
      <c r="A2" s="1416" t="s">
        <v>1042</v>
      </c>
      <c r="B2" s="1416"/>
      <c r="C2" s="1416"/>
      <c r="D2" s="1416"/>
      <c r="E2" s="1416"/>
      <c r="F2" s="1416"/>
      <c r="G2" s="1416"/>
      <c r="H2" s="1416"/>
      <c r="I2" s="1416"/>
      <c r="K2" s="1414" t="s">
        <v>1043</v>
      </c>
      <c r="L2" s="1414"/>
      <c r="M2" s="1414"/>
      <c r="N2" s="1414"/>
      <c r="O2" s="1414"/>
      <c r="P2" s="1414"/>
      <c r="Q2" s="1414"/>
      <c r="R2" s="1414"/>
      <c r="S2" s="1414"/>
      <c r="T2" s="1414"/>
      <c r="U2" s="1414"/>
      <c r="V2" s="1414"/>
      <c r="W2" s="1414"/>
      <c r="X2" s="1414"/>
    </row>
    <row r="3" spans="1:25" s="772" customFormat="1" ht="19.5" customHeight="1">
      <c r="A3" s="1426" t="s">
        <v>1252</v>
      </c>
      <c r="B3" s="1426"/>
      <c r="C3" s="1426"/>
      <c r="D3" s="1426"/>
      <c r="E3" s="1426"/>
      <c r="F3" s="1426"/>
      <c r="G3" s="1426"/>
      <c r="H3" s="1426"/>
      <c r="I3" s="1426"/>
      <c r="J3" s="1426"/>
      <c r="K3" s="1426"/>
      <c r="L3" s="1425" t="s">
        <v>1251</v>
      </c>
      <c r="M3" s="1425"/>
      <c r="N3" s="1425"/>
      <c r="O3" s="1425"/>
      <c r="P3" s="1425"/>
      <c r="Q3" s="1425"/>
      <c r="R3" s="1425"/>
      <c r="S3" s="1425"/>
      <c r="T3" s="1425"/>
      <c r="U3" s="1425"/>
      <c r="V3" s="1425"/>
      <c r="W3" s="1425"/>
      <c r="X3" s="1425"/>
    </row>
    <row r="4" spans="1:25" ht="14.1" customHeight="1" thickBot="1">
      <c r="A4" s="1415"/>
      <c r="B4" s="1415"/>
      <c r="C4" s="1415"/>
      <c r="D4" s="1415"/>
      <c r="E4" s="1415"/>
      <c r="F4" s="1415"/>
      <c r="G4" s="1415"/>
      <c r="H4" s="1415"/>
      <c r="I4" s="1415"/>
      <c r="J4" s="773"/>
      <c r="K4" s="2000"/>
      <c r="L4" s="2000"/>
      <c r="M4" s="2000"/>
      <c r="N4" s="2000"/>
      <c r="O4" s="2000"/>
      <c r="P4" s="2000"/>
      <c r="Q4" s="2000"/>
      <c r="R4" s="2000"/>
      <c r="S4" s="2000"/>
      <c r="T4" s="2000"/>
      <c r="U4" s="2000"/>
      <c r="V4" s="2000"/>
      <c r="W4" s="2000"/>
      <c r="X4" s="2000"/>
    </row>
    <row r="5" spans="1:25" s="51" customFormat="1" ht="11.1" customHeight="1">
      <c r="A5" s="1417" t="s">
        <v>2</v>
      </c>
      <c r="B5" s="1418"/>
      <c r="C5" s="1420" t="s">
        <v>1253</v>
      </c>
      <c r="D5" s="2001" t="s">
        <v>844</v>
      </c>
      <c r="E5" s="2002"/>
      <c r="F5" s="2002"/>
      <c r="G5" s="2002"/>
      <c r="H5" s="2002"/>
      <c r="I5" s="2002"/>
      <c r="J5" s="2002"/>
      <c r="K5" s="2002"/>
      <c r="L5" s="2003" t="s">
        <v>844</v>
      </c>
      <c r="M5" s="2003"/>
      <c r="N5" s="2003"/>
      <c r="O5" s="2003"/>
      <c r="P5" s="2003"/>
      <c r="Q5" s="2003"/>
      <c r="R5" s="2003"/>
      <c r="S5" s="2003"/>
      <c r="T5" s="2003"/>
      <c r="U5" s="2003"/>
      <c r="V5" s="2003"/>
      <c r="W5" s="2003"/>
      <c r="X5" s="2003"/>
    </row>
    <row r="6" spans="1:25" s="51" customFormat="1" ht="11.1" customHeight="1">
      <c r="A6" s="2004"/>
      <c r="B6" s="1419"/>
      <c r="C6" s="1421"/>
      <c r="D6" s="1422" t="s">
        <v>845</v>
      </c>
      <c r="E6" s="1423"/>
      <c r="F6" s="1423"/>
      <c r="G6" s="1423"/>
      <c r="H6" s="1423"/>
      <c r="I6" s="1423"/>
      <c r="J6" s="1423"/>
      <c r="K6" s="1423"/>
      <c r="L6" s="1424" t="s">
        <v>845</v>
      </c>
      <c r="M6" s="1424"/>
      <c r="N6" s="1424"/>
      <c r="O6" s="1424"/>
      <c r="P6" s="1424"/>
      <c r="Q6" s="1424"/>
      <c r="R6" s="1424"/>
      <c r="S6" s="1424"/>
      <c r="T6" s="1424"/>
      <c r="U6" s="1424"/>
      <c r="V6" s="1424"/>
      <c r="W6" s="1424"/>
      <c r="X6" s="1424"/>
    </row>
    <row r="7" spans="1:25" s="780" customFormat="1" ht="22.5">
      <c r="A7" s="2004"/>
      <c r="B7" s="1419"/>
      <c r="C7" s="1421"/>
      <c r="D7" s="776" t="s">
        <v>630</v>
      </c>
      <c r="E7" s="983" t="s">
        <v>197</v>
      </c>
      <c r="F7" s="983" t="s">
        <v>199</v>
      </c>
      <c r="G7" s="983" t="s">
        <v>826</v>
      </c>
      <c r="H7" s="984" t="s">
        <v>277</v>
      </c>
      <c r="I7" s="983" t="s">
        <v>278</v>
      </c>
      <c r="J7" s="984" t="s">
        <v>279</v>
      </c>
      <c r="K7" s="984" t="s">
        <v>827</v>
      </c>
      <c r="L7" s="984" t="s">
        <v>828</v>
      </c>
      <c r="M7" s="983" t="s">
        <v>829</v>
      </c>
      <c r="N7" s="983" t="s">
        <v>280</v>
      </c>
      <c r="O7" s="983" t="s">
        <v>281</v>
      </c>
      <c r="P7" s="777" t="s">
        <v>1100</v>
      </c>
      <c r="Q7" s="777" t="s">
        <v>1073</v>
      </c>
      <c r="R7" s="778" t="s">
        <v>1044</v>
      </c>
      <c r="S7" s="983" t="s">
        <v>282</v>
      </c>
      <c r="T7" s="983" t="s">
        <v>811</v>
      </c>
      <c r="U7" s="983" t="s">
        <v>283</v>
      </c>
      <c r="V7" s="983" t="s">
        <v>1133</v>
      </c>
      <c r="W7" s="983" t="s">
        <v>1134</v>
      </c>
      <c r="X7" s="775" t="s">
        <v>202</v>
      </c>
      <c r="Y7" s="779"/>
    </row>
    <row r="8" spans="1:25" s="786" customFormat="1" ht="34.5" customHeight="1">
      <c r="A8" s="2005" t="s">
        <v>7</v>
      </c>
      <c r="B8" s="1413"/>
      <c r="C8" s="981" t="s">
        <v>16</v>
      </c>
      <c r="D8" s="981" t="s">
        <v>16</v>
      </c>
      <c r="E8" s="781" t="s">
        <v>830</v>
      </c>
      <c r="F8" s="782" t="s">
        <v>886</v>
      </c>
      <c r="G8" s="981" t="s">
        <v>813</v>
      </c>
      <c r="H8" s="781" t="s">
        <v>284</v>
      </c>
      <c r="I8" s="981" t="s">
        <v>285</v>
      </c>
      <c r="J8" s="781" t="s">
        <v>286</v>
      </c>
      <c r="K8" s="781" t="s">
        <v>712</v>
      </c>
      <c r="L8" s="781" t="s">
        <v>814</v>
      </c>
      <c r="M8" s="781" t="s">
        <v>831</v>
      </c>
      <c r="N8" s="781" t="s">
        <v>287</v>
      </c>
      <c r="O8" s="781" t="s">
        <v>873</v>
      </c>
      <c r="P8" s="781" t="s">
        <v>1099</v>
      </c>
      <c r="Q8" s="781" t="s">
        <v>1278</v>
      </c>
      <c r="R8" s="781" t="s">
        <v>1254</v>
      </c>
      <c r="S8" s="781" t="s">
        <v>1255</v>
      </c>
      <c r="T8" s="781" t="s">
        <v>812</v>
      </c>
      <c r="U8" s="783" t="s">
        <v>1053</v>
      </c>
      <c r="V8" s="781" t="s">
        <v>1135</v>
      </c>
      <c r="W8" s="783" t="s">
        <v>1277</v>
      </c>
      <c r="X8" s="784" t="s">
        <v>714</v>
      </c>
      <c r="Y8" s="785"/>
    </row>
    <row r="9" spans="1:25" s="788" customFormat="1" ht="11.25" customHeight="1">
      <c r="A9" s="2006" t="s">
        <v>27</v>
      </c>
      <c r="B9" s="2007" t="s">
        <v>16</v>
      </c>
      <c r="C9" s="2008" t="s">
        <v>1346</v>
      </c>
      <c r="D9" s="2008" t="s">
        <v>1447</v>
      </c>
      <c r="E9" s="2008">
        <v>758</v>
      </c>
      <c r="F9" s="2008">
        <v>693</v>
      </c>
      <c r="G9" s="2008">
        <v>93</v>
      </c>
      <c r="H9" s="2009">
        <v>148</v>
      </c>
      <c r="I9" s="2008">
        <v>156</v>
      </c>
      <c r="J9" s="2009">
        <v>160</v>
      </c>
      <c r="K9" s="2009">
        <v>116</v>
      </c>
      <c r="L9" s="2009">
        <v>51</v>
      </c>
      <c r="M9" s="2008">
        <v>197</v>
      </c>
      <c r="N9" s="2008">
        <v>281</v>
      </c>
      <c r="O9" s="2008">
        <v>68</v>
      </c>
      <c r="P9" s="2009">
        <v>258</v>
      </c>
      <c r="Q9" s="2008">
        <v>1</v>
      </c>
      <c r="R9" s="2008">
        <v>74</v>
      </c>
      <c r="S9" s="2008">
        <v>3</v>
      </c>
      <c r="T9" s="2008">
        <v>2</v>
      </c>
      <c r="U9" s="2008">
        <v>1</v>
      </c>
      <c r="V9" s="2008" t="s">
        <v>28</v>
      </c>
      <c r="W9" s="2008" t="s">
        <v>28</v>
      </c>
      <c r="X9" s="2010">
        <v>556</v>
      </c>
      <c r="Y9" s="787"/>
    </row>
    <row r="10" spans="1:25" s="789" customFormat="1" ht="11.25" customHeight="1">
      <c r="A10" s="982" t="s">
        <v>29</v>
      </c>
      <c r="B10" s="2011" t="s">
        <v>190</v>
      </c>
      <c r="C10" s="2012" t="s">
        <v>1352</v>
      </c>
      <c r="D10" s="2012" t="s">
        <v>1448</v>
      </c>
      <c r="E10" s="2012">
        <v>716</v>
      </c>
      <c r="F10" s="2012">
        <v>659</v>
      </c>
      <c r="G10" s="2012">
        <v>76</v>
      </c>
      <c r="H10" s="2013">
        <v>146</v>
      </c>
      <c r="I10" s="2012">
        <v>153</v>
      </c>
      <c r="J10" s="2013">
        <v>154</v>
      </c>
      <c r="K10" s="2013">
        <v>113</v>
      </c>
      <c r="L10" s="2013">
        <v>42</v>
      </c>
      <c r="M10" s="2012">
        <v>187</v>
      </c>
      <c r="N10" s="2012">
        <v>268</v>
      </c>
      <c r="O10" s="2012">
        <v>66</v>
      </c>
      <c r="P10" s="2013">
        <v>248</v>
      </c>
      <c r="Q10" s="2012">
        <v>1</v>
      </c>
      <c r="R10" s="2012">
        <v>71</v>
      </c>
      <c r="S10" s="2012">
        <v>3</v>
      </c>
      <c r="T10" s="2012">
        <v>1</v>
      </c>
      <c r="U10" s="2012">
        <v>1</v>
      </c>
      <c r="V10" s="2012" t="s">
        <v>28</v>
      </c>
      <c r="W10" s="2012" t="s">
        <v>28</v>
      </c>
      <c r="X10" s="2014">
        <v>530</v>
      </c>
      <c r="Y10" s="787"/>
    </row>
    <row r="11" spans="1:25" s="789" customFormat="1" ht="11.25" customHeight="1">
      <c r="A11" s="982" t="s">
        <v>31</v>
      </c>
      <c r="B11" s="2011" t="s">
        <v>191</v>
      </c>
      <c r="C11" s="2012">
        <v>300</v>
      </c>
      <c r="D11" s="2012">
        <v>278</v>
      </c>
      <c r="E11" s="2012">
        <v>42</v>
      </c>
      <c r="F11" s="2012">
        <v>34</v>
      </c>
      <c r="G11" s="2012">
        <v>17</v>
      </c>
      <c r="H11" s="2013">
        <v>2</v>
      </c>
      <c r="I11" s="2012">
        <v>3</v>
      </c>
      <c r="J11" s="2013">
        <v>6</v>
      </c>
      <c r="K11" s="2013">
        <v>3</v>
      </c>
      <c r="L11" s="2013">
        <v>9</v>
      </c>
      <c r="M11" s="2012">
        <v>10</v>
      </c>
      <c r="N11" s="2012">
        <v>13</v>
      </c>
      <c r="O11" s="2012">
        <v>2</v>
      </c>
      <c r="P11" s="2013">
        <v>10</v>
      </c>
      <c r="Q11" s="2012" t="s">
        <v>28</v>
      </c>
      <c r="R11" s="2012">
        <v>3</v>
      </c>
      <c r="S11" s="2012" t="s">
        <v>28</v>
      </c>
      <c r="T11" s="2012">
        <v>1</v>
      </c>
      <c r="U11" s="2012" t="s">
        <v>28</v>
      </c>
      <c r="V11" s="2012" t="s">
        <v>28</v>
      </c>
      <c r="W11" s="2012" t="s">
        <v>28</v>
      </c>
      <c r="X11" s="2014">
        <v>26</v>
      </c>
      <c r="Y11" s="787"/>
    </row>
    <row r="12" spans="1:25" s="788" customFormat="1" ht="11.25" customHeight="1">
      <c r="A12" s="2006" t="s">
        <v>289</v>
      </c>
      <c r="B12" s="2007" t="s">
        <v>832</v>
      </c>
      <c r="C12" s="2008" t="s">
        <v>1449</v>
      </c>
      <c r="D12" s="2008" t="s">
        <v>1450</v>
      </c>
      <c r="E12" s="2008">
        <v>147</v>
      </c>
      <c r="F12" s="2008">
        <v>153</v>
      </c>
      <c r="G12" s="2008">
        <v>38</v>
      </c>
      <c r="H12" s="2009">
        <v>74</v>
      </c>
      <c r="I12" s="2008">
        <v>70</v>
      </c>
      <c r="J12" s="2009">
        <v>63</v>
      </c>
      <c r="K12" s="2009">
        <v>75</v>
      </c>
      <c r="L12" s="2009">
        <v>12</v>
      </c>
      <c r="M12" s="2008">
        <v>52</v>
      </c>
      <c r="N12" s="2008">
        <v>85</v>
      </c>
      <c r="O12" s="2008">
        <v>32</v>
      </c>
      <c r="P12" s="2009">
        <v>145</v>
      </c>
      <c r="Q12" s="2008" t="s">
        <v>28</v>
      </c>
      <c r="R12" s="2008">
        <v>29</v>
      </c>
      <c r="S12" s="2008" t="s">
        <v>28</v>
      </c>
      <c r="T12" s="2008" t="s">
        <v>28</v>
      </c>
      <c r="U12" s="2008" t="s">
        <v>28</v>
      </c>
      <c r="V12" s="2008" t="s">
        <v>28</v>
      </c>
      <c r="W12" s="2008" t="s">
        <v>28</v>
      </c>
      <c r="X12" s="2010">
        <v>110</v>
      </c>
      <c r="Y12" s="787"/>
    </row>
    <row r="13" spans="1:25" s="789" customFormat="1" ht="11.25" customHeight="1">
      <c r="A13" s="982" t="s">
        <v>29</v>
      </c>
      <c r="B13" s="2011" t="s">
        <v>190</v>
      </c>
      <c r="C13" s="2012" t="s">
        <v>1451</v>
      </c>
      <c r="D13" s="2012" t="s">
        <v>1452</v>
      </c>
      <c r="E13" s="2012">
        <v>139</v>
      </c>
      <c r="F13" s="2012">
        <v>152</v>
      </c>
      <c r="G13" s="2012">
        <v>33</v>
      </c>
      <c r="H13" s="2013">
        <v>74</v>
      </c>
      <c r="I13" s="2012">
        <v>69</v>
      </c>
      <c r="J13" s="2013">
        <v>61</v>
      </c>
      <c r="K13" s="2013">
        <v>74</v>
      </c>
      <c r="L13" s="2013">
        <v>9</v>
      </c>
      <c r="M13" s="2012">
        <v>50</v>
      </c>
      <c r="N13" s="2012">
        <v>85</v>
      </c>
      <c r="O13" s="2012">
        <v>31</v>
      </c>
      <c r="P13" s="2013">
        <v>139</v>
      </c>
      <c r="Q13" s="2012" t="s">
        <v>28</v>
      </c>
      <c r="R13" s="2012">
        <v>29</v>
      </c>
      <c r="S13" s="2012" t="s">
        <v>28</v>
      </c>
      <c r="T13" s="2012" t="s">
        <v>28</v>
      </c>
      <c r="U13" s="2012" t="s">
        <v>28</v>
      </c>
      <c r="V13" s="2012" t="s">
        <v>28</v>
      </c>
      <c r="W13" s="2012" t="s">
        <v>28</v>
      </c>
      <c r="X13" s="2014">
        <v>108</v>
      </c>
      <c r="Y13" s="787"/>
    </row>
    <row r="14" spans="1:25" s="789" customFormat="1" ht="11.25" customHeight="1">
      <c r="A14" s="982" t="s">
        <v>31</v>
      </c>
      <c r="B14" s="2011" t="s">
        <v>191</v>
      </c>
      <c r="C14" s="2012">
        <v>48</v>
      </c>
      <c r="D14" s="2012">
        <v>48</v>
      </c>
      <c r="E14" s="2012">
        <v>8</v>
      </c>
      <c r="F14" s="2012">
        <v>1</v>
      </c>
      <c r="G14" s="2012">
        <v>5</v>
      </c>
      <c r="H14" s="2013" t="s">
        <v>28</v>
      </c>
      <c r="I14" s="2012">
        <v>1</v>
      </c>
      <c r="J14" s="2013">
        <v>2</v>
      </c>
      <c r="K14" s="2013">
        <v>1</v>
      </c>
      <c r="L14" s="2013">
        <v>3</v>
      </c>
      <c r="M14" s="2012">
        <v>2</v>
      </c>
      <c r="N14" s="2012" t="s">
        <v>28</v>
      </c>
      <c r="O14" s="2012">
        <v>1</v>
      </c>
      <c r="P14" s="2013">
        <v>6</v>
      </c>
      <c r="Q14" s="2012" t="s">
        <v>28</v>
      </c>
      <c r="R14" s="2012" t="s">
        <v>28</v>
      </c>
      <c r="S14" s="2012" t="s">
        <v>28</v>
      </c>
      <c r="T14" s="2012" t="s">
        <v>28</v>
      </c>
      <c r="U14" s="2012" t="s">
        <v>28</v>
      </c>
      <c r="V14" s="2012" t="s">
        <v>28</v>
      </c>
      <c r="W14" s="2012" t="s">
        <v>28</v>
      </c>
      <c r="X14" s="2014">
        <v>2</v>
      </c>
      <c r="Y14" s="787"/>
    </row>
    <row r="15" spans="1:25" s="788" customFormat="1" ht="11.25" customHeight="1">
      <c r="A15" s="2006" t="s">
        <v>290</v>
      </c>
      <c r="B15" s="2007" t="s">
        <v>833</v>
      </c>
      <c r="C15" s="2008" t="s">
        <v>1453</v>
      </c>
      <c r="D15" s="2008" t="s">
        <v>1454</v>
      </c>
      <c r="E15" s="2008">
        <v>397</v>
      </c>
      <c r="F15" s="2008">
        <v>270</v>
      </c>
      <c r="G15" s="2008">
        <v>24</v>
      </c>
      <c r="H15" s="2009">
        <v>30</v>
      </c>
      <c r="I15" s="2008">
        <v>22</v>
      </c>
      <c r="J15" s="2009">
        <v>27</v>
      </c>
      <c r="K15" s="2009">
        <v>26</v>
      </c>
      <c r="L15" s="2009">
        <v>30</v>
      </c>
      <c r="M15" s="2008">
        <v>108</v>
      </c>
      <c r="N15" s="2008">
        <v>128</v>
      </c>
      <c r="O15" s="2008">
        <v>33</v>
      </c>
      <c r="P15" s="2009">
        <v>70</v>
      </c>
      <c r="Q15" s="2008" t="s">
        <v>28</v>
      </c>
      <c r="R15" s="2008">
        <v>19</v>
      </c>
      <c r="S15" s="2008">
        <v>3</v>
      </c>
      <c r="T15" s="2008" t="s">
        <v>28</v>
      </c>
      <c r="U15" s="2008" t="s">
        <v>28</v>
      </c>
      <c r="V15" s="2008" t="s">
        <v>28</v>
      </c>
      <c r="W15" s="2008" t="s">
        <v>28</v>
      </c>
      <c r="X15" s="2010">
        <v>300</v>
      </c>
      <c r="Y15" s="787"/>
    </row>
    <row r="16" spans="1:25" s="789" customFormat="1" ht="11.25" customHeight="1">
      <c r="A16" s="982" t="s">
        <v>29</v>
      </c>
      <c r="B16" s="2011" t="s">
        <v>190</v>
      </c>
      <c r="C16" s="2012" t="s">
        <v>1455</v>
      </c>
      <c r="D16" s="2012" t="s">
        <v>1456</v>
      </c>
      <c r="E16" s="2012">
        <v>378</v>
      </c>
      <c r="F16" s="2012">
        <v>255</v>
      </c>
      <c r="G16" s="2012">
        <v>20</v>
      </c>
      <c r="H16" s="2013">
        <v>28</v>
      </c>
      <c r="I16" s="2012">
        <v>22</v>
      </c>
      <c r="J16" s="2013">
        <v>26</v>
      </c>
      <c r="K16" s="2013">
        <v>25</v>
      </c>
      <c r="L16" s="2013">
        <v>25</v>
      </c>
      <c r="M16" s="2012">
        <v>104</v>
      </c>
      <c r="N16" s="2012">
        <v>118</v>
      </c>
      <c r="O16" s="2012">
        <v>32</v>
      </c>
      <c r="P16" s="2013">
        <v>70</v>
      </c>
      <c r="Q16" s="2012" t="s">
        <v>28</v>
      </c>
      <c r="R16" s="2012">
        <v>18</v>
      </c>
      <c r="S16" s="2012">
        <v>3</v>
      </c>
      <c r="T16" s="2012" t="s">
        <v>28</v>
      </c>
      <c r="U16" s="2012" t="s">
        <v>28</v>
      </c>
      <c r="V16" s="2012" t="s">
        <v>28</v>
      </c>
      <c r="W16" s="2012" t="s">
        <v>28</v>
      </c>
      <c r="X16" s="2014">
        <v>286</v>
      </c>
      <c r="Y16" s="787"/>
    </row>
    <row r="17" spans="1:25" s="789" customFormat="1" ht="11.25" customHeight="1">
      <c r="A17" s="982" t="s">
        <v>31</v>
      </c>
      <c r="B17" s="2011" t="s">
        <v>191</v>
      </c>
      <c r="C17" s="2012">
        <v>118</v>
      </c>
      <c r="D17" s="2012">
        <v>115</v>
      </c>
      <c r="E17" s="2012">
        <v>19</v>
      </c>
      <c r="F17" s="2012">
        <v>15</v>
      </c>
      <c r="G17" s="2012">
        <v>4</v>
      </c>
      <c r="H17" s="2013">
        <v>2</v>
      </c>
      <c r="I17" s="2012" t="s">
        <v>28</v>
      </c>
      <c r="J17" s="2013">
        <v>1</v>
      </c>
      <c r="K17" s="2013">
        <v>1</v>
      </c>
      <c r="L17" s="2013">
        <v>5</v>
      </c>
      <c r="M17" s="2012">
        <v>4</v>
      </c>
      <c r="N17" s="2012">
        <v>10</v>
      </c>
      <c r="O17" s="2012">
        <v>1</v>
      </c>
      <c r="P17" s="2013" t="s">
        <v>28</v>
      </c>
      <c r="Q17" s="2012" t="s">
        <v>28</v>
      </c>
      <c r="R17" s="2012">
        <v>1</v>
      </c>
      <c r="S17" s="2012" t="s">
        <v>28</v>
      </c>
      <c r="T17" s="2012" t="s">
        <v>28</v>
      </c>
      <c r="U17" s="2012" t="s">
        <v>28</v>
      </c>
      <c r="V17" s="2012" t="s">
        <v>28</v>
      </c>
      <c r="W17" s="2012" t="s">
        <v>28</v>
      </c>
      <c r="X17" s="2014">
        <v>14</v>
      </c>
      <c r="Y17" s="787"/>
    </row>
    <row r="18" spans="1:25" s="788" customFormat="1" ht="11.25" customHeight="1">
      <c r="A18" s="2006" t="s">
        <v>291</v>
      </c>
      <c r="B18" s="2015" t="s">
        <v>292</v>
      </c>
      <c r="C18" s="2008" t="s">
        <v>1457</v>
      </c>
      <c r="D18" s="2008" t="s">
        <v>1458</v>
      </c>
      <c r="E18" s="2008">
        <v>146</v>
      </c>
      <c r="F18" s="2008">
        <v>175</v>
      </c>
      <c r="G18" s="2008">
        <v>19</v>
      </c>
      <c r="H18" s="2009">
        <v>37</v>
      </c>
      <c r="I18" s="2008">
        <v>49</v>
      </c>
      <c r="J18" s="2009">
        <v>49</v>
      </c>
      <c r="K18" s="2009">
        <v>9</v>
      </c>
      <c r="L18" s="2009">
        <v>6</v>
      </c>
      <c r="M18" s="2008">
        <v>26</v>
      </c>
      <c r="N18" s="2008">
        <v>46</v>
      </c>
      <c r="O18" s="2008">
        <v>2</v>
      </c>
      <c r="P18" s="2009">
        <v>24</v>
      </c>
      <c r="Q18" s="2008">
        <v>1</v>
      </c>
      <c r="R18" s="2008">
        <v>14</v>
      </c>
      <c r="S18" s="2008" t="s">
        <v>28</v>
      </c>
      <c r="T18" s="2008">
        <v>1</v>
      </c>
      <c r="U18" s="2008">
        <v>1</v>
      </c>
      <c r="V18" s="2008" t="s">
        <v>28</v>
      </c>
      <c r="W18" s="2008" t="s">
        <v>28</v>
      </c>
      <c r="X18" s="2010">
        <v>57</v>
      </c>
      <c r="Y18" s="787"/>
    </row>
    <row r="19" spans="1:25" s="789" customFormat="1" ht="11.25" customHeight="1">
      <c r="A19" s="982" t="s">
        <v>29</v>
      </c>
      <c r="B19" s="2011" t="s">
        <v>190</v>
      </c>
      <c r="C19" s="2012" t="s">
        <v>1459</v>
      </c>
      <c r="D19" s="2012">
        <v>995</v>
      </c>
      <c r="E19" s="2012">
        <v>138</v>
      </c>
      <c r="F19" s="2012">
        <v>163</v>
      </c>
      <c r="G19" s="2012">
        <v>14</v>
      </c>
      <c r="H19" s="2013">
        <v>37</v>
      </c>
      <c r="I19" s="2012">
        <v>48</v>
      </c>
      <c r="J19" s="2013">
        <v>48</v>
      </c>
      <c r="K19" s="2013">
        <v>8</v>
      </c>
      <c r="L19" s="2013">
        <v>5</v>
      </c>
      <c r="M19" s="2012">
        <v>23</v>
      </c>
      <c r="N19" s="2012">
        <v>44</v>
      </c>
      <c r="O19" s="2012">
        <v>2</v>
      </c>
      <c r="P19" s="2013">
        <v>23</v>
      </c>
      <c r="Q19" s="2012">
        <v>1</v>
      </c>
      <c r="R19" s="2012">
        <v>13</v>
      </c>
      <c r="S19" s="2012" t="s">
        <v>28</v>
      </c>
      <c r="T19" s="2012">
        <v>1</v>
      </c>
      <c r="U19" s="2012">
        <v>1</v>
      </c>
      <c r="V19" s="2012" t="s">
        <v>28</v>
      </c>
      <c r="W19" s="2012" t="s">
        <v>28</v>
      </c>
      <c r="X19" s="2014">
        <v>52</v>
      </c>
      <c r="Y19" s="787"/>
    </row>
    <row r="20" spans="1:25" s="789" customFormat="1" ht="11.25" customHeight="1">
      <c r="A20" s="982" t="s">
        <v>31</v>
      </c>
      <c r="B20" s="2011" t="s">
        <v>191</v>
      </c>
      <c r="C20" s="2012">
        <v>83</v>
      </c>
      <c r="D20" s="2012">
        <v>68</v>
      </c>
      <c r="E20" s="2012">
        <v>8</v>
      </c>
      <c r="F20" s="2012">
        <v>12</v>
      </c>
      <c r="G20" s="2012">
        <v>5</v>
      </c>
      <c r="H20" s="2013" t="s">
        <v>28</v>
      </c>
      <c r="I20" s="2012">
        <v>1</v>
      </c>
      <c r="J20" s="2016">
        <v>1</v>
      </c>
      <c r="K20" s="2013">
        <v>1</v>
      </c>
      <c r="L20" s="2013">
        <v>1</v>
      </c>
      <c r="M20" s="2012">
        <v>3</v>
      </c>
      <c r="N20" s="2012">
        <v>2</v>
      </c>
      <c r="O20" s="2012" t="s">
        <v>28</v>
      </c>
      <c r="P20" s="2013">
        <v>1</v>
      </c>
      <c r="Q20" s="2012" t="s">
        <v>28</v>
      </c>
      <c r="R20" s="2012">
        <v>1</v>
      </c>
      <c r="S20" s="2012" t="s">
        <v>28</v>
      </c>
      <c r="T20" s="2012" t="s">
        <v>28</v>
      </c>
      <c r="U20" s="2012" t="s">
        <v>28</v>
      </c>
      <c r="V20" s="2012" t="s">
        <v>28</v>
      </c>
      <c r="W20" s="2012" t="s">
        <v>28</v>
      </c>
      <c r="X20" s="2014">
        <v>5</v>
      </c>
      <c r="Y20" s="787"/>
    </row>
    <row r="21" spans="1:25" s="788" customFormat="1" ht="11.25" customHeight="1">
      <c r="A21" s="2006" t="s">
        <v>293</v>
      </c>
      <c r="B21" s="2007" t="s">
        <v>294</v>
      </c>
      <c r="C21" s="2008">
        <v>849</v>
      </c>
      <c r="D21" s="2008">
        <v>739</v>
      </c>
      <c r="E21" s="2008">
        <v>67</v>
      </c>
      <c r="F21" s="2008">
        <v>94</v>
      </c>
      <c r="G21" s="2008">
        <v>11</v>
      </c>
      <c r="H21" s="2009">
        <v>6</v>
      </c>
      <c r="I21" s="2008">
        <v>15</v>
      </c>
      <c r="J21" s="2009">
        <v>21</v>
      </c>
      <c r="K21" s="2009">
        <v>6</v>
      </c>
      <c r="L21" s="2009">
        <v>2</v>
      </c>
      <c r="M21" s="2008">
        <v>11</v>
      </c>
      <c r="N21" s="2008">
        <v>21</v>
      </c>
      <c r="O21" s="2008">
        <v>1</v>
      </c>
      <c r="P21" s="2009">
        <v>19</v>
      </c>
      <c r="Q21" s="2008" t="s">
        <v>28</v>
      </c>
      <c r="R21" s="2008">
        <v>12</v>
      </c>
      <c r="S21" s="2008" t="s">
        <v>28</v>
      </c>
      <c r="T21" s="2008" t="s">
        <v>28</v>
      </c>
      <c r="U21" s="2008" t="s">
        <v>28</v>
      </c>
      <c r="V21" s="2008" t="s">
        <v>28</v>
      </c>
      <c r="W21" s="2008" t="s">
        <v>28</v>
      </c>
      <c r="X21" s="2010">
        <v>88</v>
      </c>
      <c r="Y21" s="787"/>
    </row>
    <row r="22" spans="1:25" s="789" customFormat="1" ht="11.25" customHeight="1">
      <c r="A22" s="982" t="s">
        <v>29</v>
      </c>
      <c r="B22" s="2011" t="s">
        <v>190</v>
      </c>
      <c r="C22" s="2012">
        <v>800</v>
      </c>
      <c r="D22" s="2012">
        <v>693</v>
      </c>
      <c r="E22" s="2012">
        <v>60</v>
      </c>
      <c r="F22" s="2012">
        <v>88</v>
      </c>
      <c r="G22" s="2012">
        <v>8</v>
      </c>
      <c r="H22" s="2013">
        <v>6</v>
      </c>
      <c r="I22" s="2012">
        <v>14</v>
      </c>
      <c r="J22" s="2013">
        <v>19</v>
      </c>
      <c r="K22" s="2013">
        <v>6</v>
      </c>
      <c r="L22" s="2013">
        <v>2</v>
      </c>
      <c r="M22" s="2012">
        <v>10</v>
      </c>
      <c r="N22" s="2012">
        <v>20</v>
      </c>
      <c r="O22" s="2012">
        <v>1</v>
      </c>
      <c r="P22" s="2013">
        <v>16</v>
      </c>
      <c r="Q22" s="2012" t="s">
        <v>28</v>
      </c>
      <c r="R22" s="2012">
        <v>11</v>
      </c>
      <c r="S22" s="2012" t="s">
        <v>28</v>
      </c>
      <c r="T22" s="2012" t="s">
        <v>28</v>
      </c>
      <c r="U22" s="2012" t="s">
        <v>28</v>
      </c>
      <c r="V22" s="2012" t="s">
        <v>28</v>
      </c>
      <c r="W22" s="2012" t="s">
        <v>28</v>
      </c>
      <c r="X22" s="2014">
        <v>83</v>
      </c>
      <c r="Y22" s="787"/>
    </row>
    <row r="23" spans="1:25" s="789" customFormat="1" ht="11.25" customHeight="1">
      <c r="A23" s="982" t="s">
        <v>31</v>
      </c>
      <c r="B23" s="2011" t="s">
        <v>191</v>
      </c>
      <c r="C23" s="2012">
        <v>49</v>
      </c>
      <c r="D23" s="2012">
        <v>46</v>
      </c>
      <c r="E23" s="2012">
        <v>7</v>
      </c>
      <c r="F23" s="2012">
        <v>6</v>
      </c>
      <c r="G23" s="2012">
        <v>3</v>
      </c>
      <c r="H23" s="2013" t="s">
        <v>28</v>
      </c>
      <c r="I23" s="2012">
        <v>1</v>
      </c>
      <c r="J23" s="2013">
        <v>2</v>
      </c>
      <c r="K23" s="2013" t="s">
        <v>28</v>
      </c>
      <c r="L23" s="2013" t="s">
        <v>28</v>
      </c>
      <c r="M23" s="2012">
        <v>1</v>
      </c>
      <c r="N23" s="2012">
        <v>1</v>
      </c>
      <c r="O23" s="2012" t="s">
        <v>28</v>
      </c>
      <c r="P23" s="2013">
        <v>3</v>
      </c>
      <c r="Q23" s="2012" t="s">
        <v>28</v>
      </c>
      <c r="R23" s="2012">
        <v>1</v>
      </c>
      <c r="S23" s="2012" t="s">
        <v>28</v>
      </c>
      <c r="T23" s="2012" t="s">
        <v>28</v>
      </c>
      <c r="U23" s="2012" t="s">
        <v>28</v>
      </c>
      <c r="V23" s="2012" t="s">
        <v>28</v>
      </c>
      <c r="W23" s="2012" t="s">
        <v>28</v>
      </c>
      <c r="X23" s="2014">
        <v>5</v>
      </c>
      <c r="Y23" s="787"/>
    </row>
    <row r="24" spans="1:25" s="788" customFormat="1" ht="11.25" customHeight="1">
      <c r="A24" s="2017" t="s">
        <v>295</v>
      </c>
      <c r="B24" s="2007" t="s">
        <v>296</v>
      </c>
      <c r="C24" s="2008">
        <v>23</v>
      </c>
      <c r="D24" s="2008">
        <v>3</v>
      </c>
      <c r="E24" s="2008" t="s">
        <v>28</v>
      </c>
      <c r="F24" s="2008" t="s">
        <v>28</v>
      </c>
      <c r="G24" s="2008" t="s">
        <v>28</v>
      </c>
      <c r="H24" s="2009">
        <v>1</v>
      </c>
      <c r="I24" s="2008" t="s">
        <v>28</v>
      </c>
      <c r="J24" s="2009" t="s">
        <v>28</v>
      </c>
      <c r="K24" s="2009" t="s">
        <v>28</v>
      </c>
      <c r="L24" s="2009" t="s">
        <v>28</v>
      </c>
      <c r="M24" s="2008" t="s">
        <v>28</v>
      </c>
      <c r="N24" s="2008" t="s">
        <v>28</v>
      </c>
      <c r="O24" s="2008" t="s">
        <v>28</v>
      </c>
      <c r="P24" s="2009" t="s">
        <v>28</v>
      </c>
      <c r="Q24" s="2008" t="s">
        <v>28</v>
      </c>
      <c r="R24" s="2008" t="s">
        <v>28</v>
      </c>
      <c r="S24" s="2008" t="s">
        <v>28</v>
      </c>
      <c r="T24" s="2008">
        <v>1</v>
      </c>
      <c r="U24" s="2008" t="s">
        <v>28</v>
      </c>
      <c r="V24" s="2008" t="s">
        <v>28</v>
      </c>
      <c r="W24" s="2008" t="s">
        <v>28</v>
      </c>
      <c r="X24" s="2010" t="s">
        <v>28</v>
      </c>
      <c r="Y24" s="787"/>
    </row>
    <row r="25" spans="1:25" s="789" customFormat="1" ht="11.25" customHeight="1">
      <c r="A25" s="982" t="s">
        <v>29</v>
      </c>
      <c r="B25" s="2011" t="s">
        <v>190</v>
      </c>
      <c r="C25" s="2012">
        <v>22</v>
      </c>
      <c r="D25" s="2012">
        <v>2</v>
      </c>
      <c r="E25" s="2012" t="s">
        <v>28</v>
      </c>
      <c r="F25" s="2012" t="s">
        <v>28</v>
      </c>
      <c r="G25" s="2012" t="s">
        <v>28</v>
      </c>
      <c r="H25" s="2013">
        <v>1</v>
      </c>
      <c r="I25" s="2012" t="s">
        <v>28</v>
      </c>
      <c r="J25" s="2013" t="s">
        <v>28</v>
      </c>
      <c r="K25" s="2013" t="s">
        <v>28</v>
      </c>
      <c r="L25" s="2013" t="s">
        <v>28</v>
      </c>
      <c r="M25" s="2012" t="s">
        <v>28</v>
      </c>
      <c r="N25" s="2012" t="s">
        <v>28</v>
      </c>
      <c r="O25" s="2012" t="s">
        <v>28</v>
      </c>
      <c r="P25" s="2013" t="s">
        <v>28</v>
      </c>
      <c r="Q25" s="2012" t="s">
        <v>28</v>
      </c>
      <c r="R25" s="2012" t="s">
        <v>28</v>
      </c>
      <c r="S25" s="2012" t="s">
        <v>28</v>
      </c>
      <c r="T25" s="2012" t="s">
        <v>28</v>
      </c>
      <c r="U25" s="2012" t="s">
        <v>28</v>
      </c>
      <c r="V25" s="2012" t="s">
        <v>28</v>
      </c>
      <c r="W25" s="2012" t="s">
        <v>28</v>
      </c>
      <c r="X25" s="2014" t="s">
        <v>28</v>
      </c>
      <c r="Y25" s="787"/>
    </row>
    <row r="26" spans="1:25" s="789" customFormat="1" ht="11.25" customHeight="1">
      <c r="A26" s="982" t="s">
        <v>31</v>
      </c>
      <c r="B26" s="2011" t="s">
        <v>191</v>
      </c>
      <c r="C26" s="2012">
        <v>1</v>
      </c>
      <c r="D26" s="2012">
        <v>1</v>
      </c>
      <c r="E26" s="2012" t="s">
        <v>28</v>
      </c>
      <c r="F26" s="2012" t="s">
        <v>28</v>
      </c>
      <c r="G26" s="2012" t="s">
        <v>28</v>
      </c>
      <c r="H26" s="2013" t="s">
        <v>28</v>
      </c>
      <c r="I26" s="2012" t="s">
        <v>28</v>
      </c>
      <c r="J26" s="2013" t="s">
        <v>28</v>
      </c>
      <c r="K26" s="2013" t="s">
        <v>28</v>
      </c>
      <c r="L26" s="2013" t="s">
        <v>28</v>
      </c>
      <c r="M26" s="2012" t="s">
        <v>28</v>
      </c>
      <c r="N26" s="2012" t="s">
        <v>28</v>
      </c>
      <c r="O26" s="2012" t="s">
        <v>28</v>
      </c>
      <c r="P26" s="2013" t="s">
        <v>28</v>
      </c>
      <c r="Q26" s="2012" t="s">
        <v>28</v>
      </c>
      <c r="R26" s="2012" t="s">
        <v>28</v>
      </c>
      <c r="S26" s="2012" t="s">
        <v>28</v>
      </c>
      <c r="T26" s="2012">
        <v>1</v>
      </c>
      <c r="U26" s="2012" t="s">
        <v>28</v>
      </c>
      <c r="V26" s="2012" t="s">
        <v>28</v>
      </c>
      <c r="W26" s="2012" t="s">
        <v>28</v>
      </c>
      <c r="X26" s="2014" t="s">
        <v>28</v>
      </c>
      <c r="Y26" s="787"/>
    </row>
    <row r="27" spans="1:25" s="788" customFormat="1" ht="11.25" customHeight="1">
      <c r="A27" s="2018" t="s">
        <v>297</v>
      </c>
      <c r="B27" s="2007" t="s">
        <v>834</v>
      </c>
      <c r="C27" s="2008">
        <v>11</v>
      </c>
      <c r="D27" s="2008">
        <v>11</v>
      </c>
      <c r="E27" s="2008">
        <v>1</v>
      </c>
      <c r="F27" s="2008">
        <v>1</v>
      </c>
      <c r="G27" s="2008">
        <v>1</v>
      </c>
      <c r="H27" s="2009" t="s">
        <v>28</v>
      </c>
      <c r="I27" s="2008" t="s">
        <v>28</v>
      </c>
      <c r="J27" s="2009" t="s">
        <v>28</v>
      </c>
      <c r="K27" s="2009" t="s">
        <v>28</v>
      </c>
      <c r="L27" s="2009">
        <v>1</v>
      </c>
      <c r="M27" s="2008" t="s">
        <v>28</v>
      </c>
      <c r="N27" s="2008" t="s">
        <v>28</v>
      </c>
      <c r="O27" s="2008" t="s">
        <v>28</v>
      </c>
      <c r="P27" s="2009" t="s">
        <v>28</v>
      </c>
      <c r="Q27" s="2008" t="s">
        <v>28</v>
      </c>
      <c r="R27" s="2008" t="s">
        <v>28</v>
      </c>
      <c r="S27" s="2008" t="s">
        <v>28</v>
      </c>
      <c r="T27" s="2008" t="s">
        <v>28</v>
      </c>
      <c r="U27" s="2008" t="s">
        <v>28</v>
      </c>
      <c r="V27" s="2008" t="s">
        <v>28</v>
      </c>
      <c r="W27" s="2008" t="s">
        <v>28</v>
      </c>
      <c r="X27" s="2010">
        <v>1</v>
      </c>
      <c r="Y27" s="787"/>
    </row>
    <row r="28" spans="1:25" s="789" customFormat="1" ht="11.25" customHeight="1">
      <c r="A28" s="982" t="s">
        <v>29</v>
      </c>
      <c r="B28" s="2011" t="s">
        <v>1460</v>
      </c>
      <c r="C28" s="2012">
        <v>11</v>
      </c>
      <c r="D28" s="2012">
        <v>11</v>
      </c>
      <c r="E28" s="2012">
        <v>1</v>
      </c>
      <c r="F28" s="2012">
        <v>1</v>
      </c>
      <c r="G28" s="2012">
        <v>1</v>
      </c>
      <c r="H28" s="2013" t="s">
        <v>28</v>
      </c>
      <c r="I28" s="2012" t="s">
        <v>28</v>
      </c>
      <c r="J28" s="2013" t="s">
        <v>28</v>
      </c>
      <c r="K28" s="2013" t="s">
        <v>28</v>
      </c>
      <c r="L28" s="2013">
        <v>1</v>
      </c>
      <c r="M28" s="2012" t="s">
        <v>28</v>
      </c>
      <c r="N28" s="2012" t="s">
        <v>28</v>
      </c>
      <c r="O28" s="2012" t="s">
        <v>28</v>
      </c>
      <c r="P28" s="2013" t="s">
        <v>28</v>
      </c>
      <c r="Q28" s="2012" t="s">
        <v>28</v>
      </c>
      <c r="R28" s="2012" t="s">
        <v>28</v>
      </c>
      <c r="S28" s="2012" t="s">
        <v>28</v>
      </c>
      <c r="T28" s="2012" t="s">
        <v>28</v>
      </c>
      <c r="U28" s="2012" t="s">
        <v>28</v>
      </c>
      <c r="V28" s="2012" t="s">
        <v>28</v>
      </c>
      <c r="W28" s="2012" t="s">
        <v>28</v>
      </c>
      <c r="X28" s="2014">
        <v>1</v>
      </c>
      <c r="Y28" s="787"/>
    </row>
    <row r="29" spans="1:25" s="788" customFormat="1" ht="11.25" customHeight="1">
      <c r="A29" s="2006" t="s">
        <v>298</v>
      </c>
      <c r="B29" s="2007" t="s">
        <v>150</v>
      </c>
      <c r="C29" s="2008">
        <v>12</v>
      </c>
      <c r="D29" s="2008">
        <v>1</v>
      </c>
      <c r="E29" s="2008" t="s">
        <v>28</v>
      </c>
      <c r="F29" s="2008" t="s">
        <v>28</v>
      </c>
      <c r="G29" s="2008" t="s">
        <v>28</v>
      </c>
      <c r="H29" s="2009" t="s">
        <v>28</v>
      </c>
      <c r="I29" s="2008" t="s">
        <v>28</v>
      </c>
      <c r="J29" s="2009" t="s">
        <v>28</v>
      </c>
      <c r="K29" s="2009" t="s">
        <v>28</v>
      </c>
      <c r="L29" s="2009" t="s">
        <v>28</v>
      </c>
      <c r="M29" s="2008" t="s">
        <v>28</v>
      </c>
      <c r="N29" s="2008">
        <v>1</v>
      </c>
      <c r="O29" s="2008" t="s">
        <v>28</v>
      </c>
      <c r="P29" s="2009" t="s">
        <v>28</v>
      </c>
      <c r="Q29" s="2008" t="s">
        <v>28</v>
      </c>
      <c r="R29" s="2008" t="s">
        <v>28</v>
      </c>
      <c r="S29" s="2008" t="s">
        <v>28</v>
      </c>
      <c r="T29" s="2008" t="s">
        <v>28</v>
      </c>
      <c r="U29" s="2008" t="s">
        <v>28</v>
      </c>
      <c r="V29" s="2008" t="s">
        <v>28</v>
      </c>
      <c r="W29" s="2008" t="s">
        <v>28</v>
      </c>
      <c r="X29" s="2010" t="s">
        <v>28</v>
      </c>
      <c r="Y29" s="787"/>
    </row>
    <row r="30" spans="1:25" s="788" customFormat="1" ht="11.25" customHeight="1">
      <c r="A30" s="982" t="s">
        <v>29</v>
      </c>
      <c r="B30" s="2011" t="s">
        <v>190</v>
      </c>
      <c r="C30" s="2012">
        <v>11</v>
      </c>
      <c r="D30" s="2012">
        <v>1</v>
      </c>
      <c r="E30" s="2012" t="s">
        <v>28</v>
      </c>
      <c r="F30" s="2012" t="s">
        <v>28</v>
      </c>
      <c r="G30" s="2012" t="s">
        <v>28</v>
      </c>
      <c r="H30" s="2013" t="s">
        <v>28</v>
      </c>
      <c r="I30" s="2012" t="s">
        <v>28</v>
      </c>
      <c r="J30" s="2013" t="s">
        <v>28</v>
      </c>
      <c r="K30" s="2013" t="s">
        <v>28</v>
      </c>
      <c r="L30" s="2013" t="s">
        <v>28</v>
      </c>
      <c r="M30" s="2012" t="s">
        <v>28</v>
      </c>
      <c r="N30" s="2012">
        <v>1</v>
      </c>
      <c r="O30" s="2012" t="s">
        <v>28</v>
      </c>
      <c r="P30" s="2013" t="s">
        <v>28</v>
      </c>
      <c r="Q30" s="2012" t="s">
        <v>28</v>
      </c>
      <c r="R30" s="2012" t="s">
        <v>28</v>
      </c>
      <c r="S30" s="2012" t="s">
        <v>28</v>
      </c>
      <c r="T30" s="2012" t="s">
        <v>28</v>
      </c>
      <c r="U30" s="2012" t="s">
        <v>28</v>
      </c>
      <c r="V30" s="2012" t="s">
        <v>28</v>
      </c>
      <c r="W30" s="2012" t="s">
        <v>28</v>
      </c>
      <c r="X30" s="2014" t="s">
        <v>28</v>
      </c>
      <c r="Y30" s="787"/>
    </row>
    <row r="31" spans="1:25" s="789" customFormat="1" ht="11.25" customHeight="1" thickBot="1">
      <c r="A31" s="982" t="s">
        <v>31</v>
      </c>
      <c r="B31" s="2011" t="s">
        <v>191</v>
      </c>
      <c r="C31" s="2012">
        <v>1</v>
      </c>
      <c r="D31" s="2012" t="s">
        <v>28</v>
      </c>
      <c r="E31" s="2012" t="s">
        <v>28</v>
      </c>
      <c r="F31" s="2012" t="s">
        <v>28</v>
      </c>
      <c r="G31" s="2012" t="s">
        <v>28</v>
      </c>
      <c r="H31" s="2013" t="s">
        <v>28</v>
      </c>
      <c r="I31" s="2012" t="s">
        <v>28</v>
      </c>
      <c r="J31" s="2013" t="s">
        <v>28</v>
      </c>
      <c r="K31" s="2013" t="s">
        <v>28</v>
      </c>
      <c r="L31" s="2013" t="s">
        <v>28</v>
      </c>
      <c r="M31" s="2012" t="s">
        <v>28</v>
      </c>
      <c r="N31" s="2012" t="s">
        <v>28</v>
      </c>
      <c r="O31" s="2012" t="s">
        <v>28</v>
      </c>
      <c r="P31" s="2013" t="s">
        <v>28</v>
      </c>
      <c r="Q31" s="2012" t="s">
        <v>28</v>
      </c>
      <c r="R31" s="2012" t="s">
        <v>28</v>
      </c>
      <c r="S31" s="2012" t="s">
        <v>28</v>
      </c>
      <c r="T31" s="2012" t="s">
        <v>28</v>
      </c>
      <c r="U31" s="2012" t="s">
        <v>28</v>
      </c>
      <c r="V31" s="2012" t="s">
        <v>28</v>
      </c>
      <c r="W31" s="2012" t="s">
        <v>28</v>
      </c>
      <c r="X31" s="2019" t="s">
        <v>28</v>
      </c>
    </row>
    <row r="32" spans="1:25" s="789" customFormat="1" ht="11.25" customHeight="1" thickBot="1">
      <c r="A32" s="2020" t="s">
        <v>846</v>
      </c>
      <c r="B32" s="2020"/>
      <c r="C32" s="2020"/>
      <c r="D32" s="2020"/>
      <c r="E32" s="2020"/>
      <c r="F32" s="2020"/>
      <c r="G32" s="2020"/>
      <c r="H32" s="2020"/>
      <c r="I32" s="2020"/>
      <c r="J32" s="2020"/>
      <c r="K32" s="2020"/>
      <c r="L32" s="2020" t="s">
        <v>646</v>
      </c>
      <c r="M32" s="2020"/>
      <c r="N32" s="2020"/>
      <c r="O32" s="2020"/>
      <c r="P32" s="2020"/>
      <c r="Q32" s="2020"/>
      <c r="R32" s="2020"/>
      <c r="S32" s="2020"/>
      <c r="T32" s="2020"/>
      <c r="U32" s="2020"/>
      <c r="V32" s="2020"/>
      <c r="W32" s="2020"/>
      <c r="X32" s="2020"/>
    </row>
    <row r="33" spans="1:26" s="789" customFormat="1" ht="11.25" customHeight="1">
      <c r="A33" s="2021" t="s">
        <v>35</v>
      </c>
      <c r="B33" s="2022" t="s">
        <v>36</v>
      </c>
      <c r="C33" s="2023" t="s">
        <v>1357</v>
      </c>
      <c r="D33" s="2023" t="s">
        <v>1461</v>
      </c>
      <c r="E33" s="2023">
        <v>150</v>
      </c>
      <c r="F33" s="2023">
        <v>131</v>
      </c>
      <c r="G33" s="2023">
        <v>21</v>
      </c>
      <c r="H33" s="2023">
        <v>27</v>
      </c>
      <c r="I33" s="2023">
        <v>28</v>
      </c>
      <c r="J33" s="2023">
        <v>29</v>
      </c>
      <c r="K33" s="2023">
        <v>20</v>
      </c>
      <c r="L33" s="2024">
        <v>11</v>
      </c>
      <c r="M33" s="2023">
        <v>37</v>
      </c>
      <c r="N33" s="2023">
        <v>54</v>
      </c>
      <c r="O33" s="2023">
        <v>18</v>
      </c>
      <c r="P33" s="2023">
        <v>46</v>
      </c>
      <c r="Q33" s="2023" t="s">
        <v>28</v>
      </c>
      <c r="R33" s="2023">
        <v>12</v>
      </c>
      <c r="S33" s="2023" t="s">
        <v>28</v>
      </c>
      <c r="T33" s="2023" t="s">
        <v>28</v>
      </c>
      <c r="U33" s="2023">
        <v>1</v>
      </c>
      <c r="V33" s="2023" t="s">
        <v>28</v>
      </c>
      <c r="W33" s="2023" t="s">
        <v>28</v>
      </c>
      <c r="X33" s="2025">
        <v>107</v>
      </c>
    </row>
    <row r="34" spans="1:26" s="789" customFormat="1" ht="11.25" customHeight="1">
      <c r="A34" s="982" t="s">
        <v>136</v>
      </c>
      <c r="B34" s="2011" t="s">
        <v>30</v>
      </c>
      <c r="C34" s="2012">
        <v>970</v>
      </c>
      <c r="D34" s="2012">
        <v>858</v>
      </c>
      <c r="E34" s="2012">
        <v>121</v>
      </c>
      <c r="F34" s="2012">
        <v>109</v>
      </c>
      <c r="G34" s="2012">
        <v>10</v>
      </c>
      <c r="H34" s="2013">
        <v>26</v>
      </c>
      <c r="I34" s="2012">
        <v>26</v>
      </c>
      <c r="J34" s="2013">
        <v>24</v>
      </c>
      <c r="K34" s="2013">
        <v>17</v>
      </c>
      <c r="L34" s="2013">
        <v>6</v>
      </c>
      <c r="M34" s="2012">
        <v>30</v>
      </c>
      <c r="N34" s="2012">
        <v>44</v>
      </c>
      <c r="O34" s="2012">
        <v>16</v>
      </c>
      <c r="P34" s="2013">
        <v>39</v>
      </c>
      <c r="Q34" s="2012" t="s">
        <v>28</v>
      </c>
      <c r="R34" s="2012">
        <v>10</v>
      </c>
      <c r="S34" s="2012" t="s">
        <v>28</v>
      </c>
      <c r="T34" s="2012" t="s">
        <v>28</v>
      </c>
      <c r="U34" s="2012">
        <v>1</v>
      </c>
      <c r="V34" s="2012" t="s">
        <v>28</v>
      </c>
      <c r="W34" s="2012" t="s">
        <v>28</v>
      </c>
      <c r="X34" s="2014">
        <v>88</v>
      </c>
    </row>
    <row r="35" spans="1:26" s="789" customFormat="1" ht="11.25" customHeight="1">
      <c r="A35" s="982" t="s">
        <v>137</v>
      </c>
      <c r="B35" s="2011" t="s">
        <v>32</v>
      </c>
      <c r="C35" s="2012">
        <v>202</v>
      </c>
      <c r="D35" s="2012">
        <v>190</v>
      </c>
      <c r="E35" s="2012">
        <v>29</v>
      </c>
      <c r="F35" s="2012">
        <v>22</v>
      </c>
      <c r="G35" s="2012">
        <v>11</v>
      </c>
      <c r="H35" s="2013">
        <v>1</v>
      </c>
      <c r="I35" s="2012">
        <v>2</v>
      </c>
      <c r="J35" s="2013">
        <v>5</v>
      </c>
      <c r="K35" s="2013">
        <v>3</v>
      </c>
      <c r="L35" s="2013">
        <v>5</v>
      </c>
      <c r="M35" s="2012">
        <v>7</v>
      </c>
      <c r="N35" s="2012">
        <v>10</v>
      </c>
      <c r="O35" s="2012">
        <v>2</v>
      </c>
      <c r="P35" s="2013">
        <v>7</v>
      </c>
      <c r="Q35" s="2012" t="s">
        <v>28</v>
      </c>
      <c r="R35" s="2012">
        <v>2</v>
      </c>
      <c r="S35" s="2012" t="s">
        <v>28</v>
      </c>
      <c r="T35" s="2012" t="s">
        <v>28</v>
      </c>
      <c r="U35" s="2012" t="s">
        <v>28</v>
      </c>
      <c r="V35" s="2012" t="s">
        <v>28</v>
      </c>
      <c r="W35" s="2012" t="s">
        <v>28</v>
      </c>
      <c r="X35" s="2014">
        <v>19</v>
      </c>
    </row>
    <row r="36" spans="1:26" s="789" customFormat="1" ht="11.25" customHeight="1">
      <c r="A36" s="2006" t="s">
        <v>37</v>
      </c>
      <c r="B36" s="2007" t="s">
        <v>38</v>
      </c>
      <c r="C36" s="2008" t="s">
        <v>1360</v>
      </c>
      <c r="D36" s="2008" t="s">
        <v>1462</v>
      </c>
      <c r="E36" s="2008">
        <v>168</v>
      </c>
      <c r="F36" s="2008">
        <v>158</v>
      </c>
      <c r="G36" s="2008">
        <v>7</v>
      </c>
      <c r="H36" s="2008">
        <v>39</v>
      </c>
      <c r="I36" s="2008">
        <v>38</v>
      </c>
      <c r="J36" s="2008">
        <v>40</v>
      </c>
      <c r="K36" s="2008">
        <v>26</v>
      </c>
      <c r="L36" s="2009">
        <v>13</v>
      </c>
      <c r="M36" s="2008">
        <v>53</v>
      </c>
      <c r="N36" s="2008">
        <v>60</v>
      </c>
      <c r="O36" s="2008">
        <v>13</v>
      </c>
      <c r="P36" s="2008">
        <v>64</v>
      </c>
      <c r="Q36" s="2008">
        <v>1</v>
      </c>
      <c r="R36" s="2008">
        <v>26</v>
      </c>
      <c r="S36" s="2008" t="s">
        <v>28</v>
      </c>
      <c r="T36" s="2008" t="s">
        <v>28</v>
      </c>
      <c r="U36" s="2008" t="s">
        <v>28</v>
      </c>
      <c r="V36" s="2008" t="s">
        <v>28</v>
      </c>
      <c r="W36" s="2008" t="s">
        <v>28</v>
      </c>
      <c r="X36" s="2010">
        <v>124</v>
      </c>
    </row>
    <row r="37" spans="1:26" s="789" customFormat="1" ht="11.25" customHeight="1">
      <c r="A37" s="982" t="s">
        <v>136</v>
      </c>
      <c r="B37" s="2011" t="s">
        <v>30</v>
      </c>
      <c r="C37" s="2012" t="s">
        <v>1360</v>
      </c>
      <c r="D37" s="2012" t="s">
        <v>1462</v>
      </c>
      <c r="E37" s="2012">
        <v>168</v>
      </c>
      <c r="F37" s="2012">
        <v>158</v>
      </c>
      <c r="G37" s="2012">
        <v>7</v>
      </c>
      <c r="H37" s="2013">
        <v>39</v>
      </c>
      <c r="I37" s="2012">
        <v>38</v>
      </c>
      <c r="J37" s="2013">
        <v>40</v>
      </c>
      <c r="K37" s="2013">
        <v>26</v>
      </c>
      <c r="L37" s="2013">
        <v>13</v>
      </c>
      <c r="M37" s="2012">
        <v>53</v>
      </c>
      <c r="N37" s="2012">
        <v>60</v>
      </c>
      <c r="O37" s="2012">
        <v>13</v>
      </c>
      <c r="P37" s="2013">
        <v>64</v>
      </c>
      <c r="Q37" s="2012">
        <v>1</v>
      </c>
      <c r="R37" s="2012">
        <v>26</v>
      </c>
      <c r="S37" s="2012" t="s">
        <v>28</v>
      </c>
      <c r="T37" s="2012" t="s">
        <v>28</v>
      </c>
      <c r="U37" s="2012" t="s">
        <v>28</v>
      </c>
      <c r="V37" s="2012" t="s">
        <v>28</v>
      </c>
      <c r="W37" s="2012" t="s">
        <v>28</v>
      </c>
      <c r="X37" s="2014">
        <v>124</v>
      </c>
    </row>
    <row r="38" spans="1:26" s="789" customFormat="1" ht="11.25" customHeight="1">
      <c r="A38" s="2006" t="s">
        <v>39</v>
      </c>
      <c r="B38" s="2007" t="s">
        <v>40</v>
      </c>
      <c r="C38" s="2008" t="s">
        <v>1364</v>
      </c>
      <c r="D38" s="2008" t="s">
        <v>1463</v>
      </c>
      <c r="E38" s="2008">
        <v>245</v>
      </c>
      <c r="F38" s="2008">
        <v>229</v>
      </c>
      <c r="G38" s="2008">
        <v>38</v>
      </c>
      <c r="H38" s="2008">
        <v>45</v>
      </c>
      <c r="I38" s="2008">
        <v>52</v>
      </c>
      <c r="J38" s="2008">
        <v>55</v>
      </c>
      <c r="K38" s="2008">
        <v>38</v>
      </c>
      <c r="L38" s="2009">
        <v>17</v>
      </c>
      <c r="M38" s="2008">
        <v>55</v>
      </c>
      <c r="N38" s="2008">
        <v>90</v>
      </c>
      <c r="O38" s="2008">
        <v>23</v>
      </c>
      <c r="P38" s="2008">
        <v>85</v>
      </c>
      <c r="Q38" s="2008" t="s">
        <v>28</v>
      </c>
      <c r="R38" s="2008">
        <v>23</v>
      </c>
      <c r="S38" s="2008">
        <v>3</v>
      </c>
      <c r="T38" s="2008">
        <v>1</v>
      </c>
      <c r="U38" s="2008" t="s">
        <v>28</v>
      </c>
      <c r="V38" s="2008" t="s">
        <v>28</v>
      </c>
      <c r="W38" s="2008" t="s">
        <v>28</v>
      </c>
      <c r="X38" s="2010">
        <v>183</v>
      </c>
    </row>
    <row r="39" spans="1:26" s="789" customFormat="1" ht="11.25" customHeight="1">
      <c r="A39" s="982" t="s">
        <v>136</v>
      </c>
      <c r="B39" s="2011" t="s">
        <v>30</v>
      </c>
      <c r="C39" s="2012" t="s">
        <v>1368</v>
      </c>
      <c r="D39" s="2012" t="s">
        <v>1464</v>
      </c>
      <c r="E39" s="2012">
        <v>236</v>
      </c>
      <c r="F39" s="2012">
        <v>219</v>
      </c>
      <c r="G39" s="2012">
        <v>32</v>
      </c>
      <c r="H39" s="2013">
        <v>45</v>
      </c>
      <c r="I39" s="2012">
        <v>51</v>
      </c>
      <c r="J39" s="2013">
        <v>55</v>
      </c>
      <c r="K39" s="2013">
        <v>38</v>
      </c>
      <c r="L39" s="2013">
        <v>14</v>
      </c>
      <c r="M39" s="2012">
        <v>53</v>
      </c>
      <c r="N39" s="2012">
        <v>88</v>
      </c>
      <c r="O39" s="2012">
        <v>23</v>
      </c>
      <c r="P39" s="2013">
        <v>83</v>
      </c>
      <c r="Q39" s="2012" t="s">
        <v>28</v>
      </c>
      <c r="R39" s="2012">
        <v>22</v>
      </c>
      <c r="S39" s="2012">
        <v>3</v>
      </c>
      <c r="T39" s="2012" t="s">
        <v>28</v>
      </c>
      <c r="U39" s="2012" t="s">
        <v>28</v>
      </c>
      <c r="V39" s="2012" t="s">
        <v>28</v>
      </c>
      <c r="W39" s="2012" t="s">
        <v>28</v>
      </c>
      <c r="X39" s="2014">
        <v>178</v>
      </c>
      <c r="Y39" s="787"/>
      <c r="Z39" s="787"/>
    </row>
    <row r="40" spans="1:26" s="789" customFormat="1" ht="11.25" customHeight="1">
      <c r="A40" s="982" t="s">
        <v>137</v>
      </c>
      <c r="B40" s="2011" t="s">
        <v>32</v>
      </c>
      <c r="C40" s="2012">
        <v>71</v>
      </c>
      <c r="D40" s="2012">
        <v>65</v>
      </c>
      <c r="E40" s="2012">
        <v>9</v>
      </c>
      <c r="F40" s="2012">
        <v>10</v>
      </c>
      <c r="G40" s="2012">
        <v>6</v>
      </c>
      <c r="H40" s="2013" t="s">
        <v>28</v>
      </c>
      <c r="I40" s="2012">
        <v>1</v>
      </c>
      <c r="J40" s="2013" t="s">
        <v>28</v>
      </c>
      <c r="K40" s="2013" t="s">
        <v>28</v>
      </c>
      <c r="L40" s="2013">
        <v>3</v>
      </c>
      <c r="M40" s="2012">
        <v>2</v>
      </c>
      <c r="N40" s="2012">
        <v>2</v>
      </c>
      <c r="O40" s="2012" t="s">
        <v>28</v>
      </c>
      <c r="P40" s="2013">
        <v>2</v>
      </c>
      <c r="Q40" s="2012" t="s">
        <v>28</v>
      </c>
      <c r="R40" s="2012">
        <v>1</v>
      </c>
      <c r="S40" s="2012" t="s">
        <v>28</v>
      </c>
      <c r="T40" s="2012">
        <v>1</v>
      </c>
      <c r="U40" s="2012" t="s">
        <v>28</v>
      </c>
      <c r="V40" s="2012" t="s">
        <v>28</v>
      </c>
      <c r="W40" s="2012" t="s">
        <v>28</v>
      </c>
      <c r="X40" s="2014">
        <v>5</v>
      </c>
      <c r="Y40" s="787"/>
      <c r="Z40" s="787"/>
    </row>
    <row r="41" spans="1:26" s="789" customFormat="1" ht="11.25" customHeight="1">
      <c r="A41" s="2006" t="s">
        <v>41</v>
      </c>
      <c r="B41" s="2007" t="s">
        <v>42</v>
      </c>
      <c r="C41" s="2008" t="s">
        <v>1372</v>
      </c>
      <c r="D41" s="2008" t="s">
        <v>1465</v>
      </c>
      <c r="E41" s="2008">
        <v>176</v>
      </c>
      <c r="F41" s="2008">
        <v>156</v>
      </c>
      <c r="G41" s="2008">
        <v>24</v>
      </c>
      <c r="H41" s="2008">
        <v>31</v>
      </c>
      <c r="I41" s="2008">
        <v>34</v>
      </c>
      <c r="J41" s="2008">
        <v>34</v>
      </c>
      <c r="K41" s="2008">
        <v>29</v>
      </c>
      <c r="L41" s="2009">
        <v>9</v>
      </c>
      <c r="M41" s="2008">
        <v>48</v>
      </c>
      <c r="N41" s="2008">
        <v>69</v>
      </c>
      <c r="O41" s="2008">
        <v>13</v>
      </c>
      <c r="P41" s="2008">
        <v>56</v>
      </c>
      <c r="Q41" s="2008" t="s">
        <v>28</v>
      </c>
      <c r="R41" s="2008">
        <v>11</v>
      </c>
      <c r="S41" s="2008" t="s">
        <v>28</v>
      </c>
      <c r="T41" s="2008">
        <v>1</v>
      </c>
      <c r="U41" s="2008" t="s">
        <v>28</v>
      </c>
      <c r="V41" s="2008" t="s">
        <v>28</v>
      </c>
      <c r="W41" s="2008" t="s">
        <v>28</v>
      </c>
      <c r="X41" s="2010">
        <v>129</v>
      </c>
      <c r="Y41" s="787"/>
      <c r="Z41" s="787"/>
    </row>
    <row r="42" spans="1:26" s="789" customFormat="1" ht="11.25" customHeight="1">
      <c r="A42" s="982" t="s">
        <v>136</v>
      </c>
      <c r="B42" s="2011" t="s">
        <v>30</v>
      </c>
      <c r="C42" s="2012" t="s">
        <v>1372</v>
      </c>
      <c r="D42" s="2012" t="s">
        <v>1465</v>
      </c>
      <c r="E42" s="2012">
        <v>176</v>
      </c>
      <c r="F42" s="2012">
        <v>156</v>
      </c>
      <c r="G42" s="2012">
        <v>24</v>
      </c>
      <c r="H42" s="2013">
        <v>31</v>
      </c>
      <c r="I42" s="2012">
        <v>34</v>
      </c>
      <c r="J42" s="2013">
        <v>34</v>
      </c>
      <c r="K42" s="2013">
        <v>29</v>
      </c>
      <c r="L42" s="2013">
        <v>9</v>
      </c>
      <c r="M42" s="2012">
        <v>48</v>
      </c>
      <c r="N42" s="2012">
        <v>69</v>
      </c>
      <c r="O42" s="2012">
        <v>13</v>
      </c>
      <c r="P42" s="2013">
        <v>56</v>
      </c>
      <c r="Q42" s="2012" t="s">
        <v>28</v>
      </c>
      <c r="R42" s="2012">
        <v>11</v>
      </c>
      <c r="S42" s="2012" t="s">
        <v>28</v>
      </c>
      <c r="T42" s="2012">
        <v>1</v>
      </c>
      <c r="U42" s="2012" t="s">
        <v>28</v>
      </c>
      <c r="V42" s="2012" t="s">
        <v>28</v>
      </c>
      <c r="W42" s="2012" t="s">
        <v>28</v>
      </c>
      <c r="X42" s="2014">
        <v>129</v>
      </c>
      <c r="Y42" s="787"/>
      <c r="Z42" s="787"/>
    </row>
    <row r="43" spans="1:26" s="789" customFormat="1" ht="11.25" customHeight="1">
      <c r="A43" s="2006" t="s">
        <v>43</v>
      </c>
      <c r="B43" s="2007" t="s">
        <v>44</v>
      </c>
      <c r="C43" s="2008">
        <v>170</v>
      </c>
      <c r="D43" s="2008">
        <v>142</v>
      </c>
      <c r="E43" s="2008">
        <v>19</v>
      </c>
      <c r="F43" s="2008">
        <v>19</v>
      </c>
      <c r="G43" s="2008">
        <v>3</v>
      </c>
      <c r="H43" s="2008">
        <v>6</v>
      </c>
      <c r="I43" s="2008">
        <v>4</v>
      </c>
      <c r="J43" s="2008">
        <v>2</v>
      </c>
      <c r="K43" s="2008">
        <v>3</v>
      </c>
      <c r="L43" s="2009">
        <v>1</v>
      </c>
      <c r="M43" s="2008">
        <v>4</v>
      </c>
      <c r="N43" s="2008">
        <v>8</v>
      </c>
      <c r="O43" s="2008">
        <v>1</v>
      </c>
      <c r="P43" s="2008">
        <v>7</v>
      </c>
      <c r="Q43" s="2008" t="s">
        <v>28</v>
      </c>
      <c r="R43" s="2008">
        <v>2</v>
      </c>
      <c r="S43" s="2008" t="s">
        <v>28</v>
      </c>
      <c r="T43" s="2008" t="s">
        <v>28</v>
      </c>
      <c r="U43" s="2008" t="s">
        <v>28</v>
      </c>
      <c r="V43" s="2008" t="s">
        <v>28</v>
      </c>
      <c r="W43" s="2008" t="s">
        <v>28</v>
      </c>
      <c r="X43" s="2010">
        <v>13</v>
      </c>
      <c r="Y43" s="787"/>
      <c r="Z43" s="787"/>
    </row>
    <row r="44" spans="1:26" s="789" customFormat="1" ht="11.25" customHeight="1">
      <c r="A44" s="982" t="s">
        <v>136</v>
      </c>
      <c r="B44" s="2011" t="s">
        <v>30</v>
      </c>
      <c r="C44" s="2012">
        <v>143</v>
      </c>
      <c r="D44" s="2012">
        <v>119</v>
      </c>
      <c r="E44" s="2012">
        <v>15</v>
      </c>
      <c r="F44" s="2012">
        <v>17</v>
      </c>
      <c r="G44" s="2012">
        <v>3</v>
      </c>
      <c r="H44" s="2013">
        <v>5</v>
      </c>
      <c r="I44" s="2012">
        <v>4</v>
      </c>
      <c r="J44" s="2013">
        <v>1</v>
      </c>
      <c r="K44" s="2013">
        <v>3</v>
      </c>
      <c r="L44" s="2013" t="s">
        <v>28</v>
      </c>
      <c r="M44" s="2012">
        <v>3</v>
      </c>
      <c r="N44" s="2012">
        <v>7</v>
      </c>
      <c r="O44" s="2012">
        <v>1</v>
      </c>
      <c r="P44" s="2013">
        <v>6</v>
      </c>
      <c r="Q44" s="2012" t="s">
        <v>28</v>
      </c>
      <c r="R44" s="2012">
        <v>2</v>
      </c>
      <c r="S44" s="2012" t="s">
        <v>28</v>
      </c>
      <c r="T44" s="2012" t="s">
        <v>28</v>
      </c>
      <c r="U44" s="2012" t="s">
        <v>28</v>
      </c>
      <c r="V44" s="2012" t="s">
        <v>28</v>
      </c>
      <c r="W44" s="2012" t="s">
        <v>28</v>
      </c>
      <c r="X44" s="2014">
        <v>11</v>
      </c>
      <c r="Y44" s="787"/>
      <c r="Z44" s="787"/>
    </row>
    <row r="45" spans="1:26" s="791" customFormat="1" ht="11.25" customHeight="1" thickBot="1">
      <c r="A45" s="982" t="s">
        <v>137</v>
      </c>
      <c r="B45" s="2011" t="s">
        <v>32</v>
      </c>
      <c r="C45" s="2012">
        <v>27</v>
      </c>
      <c r="D45" s="2012">
        <v>23</v>
      </c>
      <c r="E45" s="2012">
        <v>4</v>
      </c>
      <c r="F45" s="2012">
        <v>2</v>
      </c>
      <c r="G45" s="2012" t="s">
        <v>28</v>
      </c>
      <c r="H45" s="2026">
        <v>1</v>
      </c>
      <c r="I45" s="2012" t="s">
        <v>28</v>
      </c>
      <c r="J45" s="2026">
        <v>1</v>
      </c>
      <c r="K45" s="2013" t="s">
        <v>28</v>
      </c>
      <c r="L45" s="2026">
        <v>1</v>
      </c>
      <c r="M45" s="2012">
        <v>1</v>
      </c>
      <c r="N45" s="2012">
        <v>1</v>
      </c>
      <c r="O45" s="2012" t="s">
        <v>28</v>
      </c>
      <c r="P45" s="2013">
        <v>1</v>
      </c>
      <c r="Q45" s="2012" t="s">
        <v>28</v>
      </c>
      <c r="R45" s="2012" t="s">
        <v>28</v>
      </c>
      <c r="S45" s="2012" t="s">
        <v>28</v>
      </c>
      <c r="T45" s="2012" t="s">
        <v>28</v>
      </c>
      <c r="U45" s="2012" t="s">
        <v>28</v>
      </c>
      <c r="V45" s="2012" t="s">
        <v>28</v>
      </c>
      <c r="W45" s="2012" t="s">
        <v>28</v>
      </c>
      <c r="X45" s="2019">
        <v>2</v>
      </c>
      <c r="Y45" s="790"/>
      <c r="Z45" s="790"/>
    </row>
    <row r="46" spans="1:26" s="788" customFormat="1" ht="11.25" customHeight="1" thickBot="1">
      <c r="A46" s="2020" t="s">
        <v>364</v>
      </c>
      <c r="B46" s="2020"/>
      <c r="C46" s="2020"/>
      <c r="D46" s="2020"/>
      <c r="E46" s="2020"/>
      <c r="F46" s="2020"/>
      <c r="G46" s="2020"/>
      <c r="H46" s="2020"/>
      <c r="I46" s="2020"/>
      <c r="J46" s="2020"/>
      <c r="K46" s="2020"/>
      <c r="L46" s="2020" t="s">
        <v>649</v>
      </c>
      <c r="M46" s="2020"/>
      <c r="N46" s="2020"/>
      <c r="O46" s="2020"/>
      <c r="P46" s="2020"/>
      <c r="Q46" s="2020"/>
      <c r="R46" s="2020"/>
      <c r="S46" s="2020"/>
      <c r="T46" s="2020"/>
      <c r="U46" s="2020"/>
      <c r="V46" s="2020"/>
      <c r="W46" s="2020"/>
      <c r="X46" s="2020"/>
      <c r="Y46" s="787"/>
      <c r="Z46" s="787"/>
    </row>
    <row r="47" spans="1:26" s="789" customFormat="1" ht="11.25" customHeight="1">
      <c r="A47" s="2021" t="s">
        <v>47</v>
      </c>
      <c r="B47" s="2022" t="s">
        <v>48</v>
      </c>
      <c r="C47" s="2023">
        <v>439</v>
      </c>
      <c r="D47" s="2023">
        <v>387</v>
      </c>
      <c r="E47" s="2023">
        <v>56</v>
      </c>
      <c r="F47" s="2023">
        <v>43</v>
      </c>
      <c r="G47" s="2023">
        <v>8</v>
      </c>
      <c r="H47" s="2024">
        <v>8</v>
      </c>
      <c r="I47" s="2023">
        <v>15</v>
      </c>
      <c r="J47" s="2024">
        <v>9</v>
      </c>
      <c r="K47" s="2024">
        <v>6</v>
      </c>
      <c r="L47" s="2024">
        <v>5</v>
      </c>
      <c r="M47" s="2023">
        <v>15</v>
      </c>
      <c r="N47" s="2023">
        <v>18</v>
      </c>
      <c r="O47" s="2023">
        <v>5</v>
      </c>
      <c r="P47" s="2024">
        <v>19</v>
      </c>
      <c r="Q47" s="2023" t="s">
        <v>28</v>
      </c>
      <c r="R47" s="2023">
        <v>5</v>
      </c>
      <c r="S47" s="2023" t="s">
        <v>28</v>
      </c>
      <c r="T47" s="2023" t="s">
        <v>28</v>
      </c>
      <c r="U47" s="2023" t="s">
        <v>28</v>
      </c>
      <c r="V47" s="2023" t="s">
        <v>28</v>
      </c>
      <c r="W47" s="2023" t="s">
        <v>28</v>
      </c>
      <c r="X47" s="2025">
        <v>42</v>
      </c>
      <c r="Y47" s="787"/>
      <c r="Z47" s="787"/>
    </row>
    <row r="48" spans="1:26" s="789" customFormat="1" ht="11.25" customHeight="1">
      <c r="A48" s="982" t="s">
        <v>29</v>
      </c>
      <c r="B48" s="2011" t="s">
        <v>30</v>
      </c>
      <c r="C48" s="2012">
        <v>354</v>
      </c>
      <c r="D48" s="2012">
        <v>308</v>
      </c>
      <c r="E48" s="2012">
        <v>44</v>
      </c>
      <c r="F48" s="2012">
        <v>35</v>
      </c>
      <c r="G48" s="2012">
        <v>4</v>
      </c>
      <c r="H48" s="2013">
        <v>8</v>
      </c>
      <c r="I48" s="2012">
        <v>14</v>
      </c>
      <c r="J48" s="2013">
        <v>7</v>
      </c>
      <c r="K48" s="2013">
        <v>5</v>
      </c>
      <c r="L48" s="2013">
        <v>3</v>
      </c>
      <c r="M48" s="2012">
        <v>11</v>
      </c>
      <c r="N48" s="2012">
        <v>15</v>
      </c>
      <c r="O48" s="2012">
        <v>4</v>
      </c>
      <c r="P48" s="2013">
        <v>16</v>
      </c>
      <c r="Q48" s="2012" t="s">
        <v>28</v>
      </c>
      <c r="R48" s="2012">
        <v>4</v>
      </c>
      <c r="S48" s="2012" t="s">
        <v>28</v>
      </c>
      <c r="T48" s="2012" t="s">
        <v>28</v>
      </c>
      <c r="U48" s="2012" t="s">
        <v>28</v>
      </c>
      <c r="V48" s="2012" t="s">
        <v>28</v>
      </c>
      <c r="W48" s="2012" t="s">
        <v>28</v>
      </c>
      <c r="X48" s="2014">
        <v>34</v>
      </c>
      <c r="Y48" s="787"/>
      <c r="Z48" s="787"/>
    </row>
    <row r="49" spans="1:26" s="703" customFormat="1" ht="11.25" customHeight="1">
      <c r="A49" s="982" t="s">
        <v>31</v>
      </c>
      <c r="B49" s="2011" t="s">
        <v>32</v>
      </c>
      <c r="C49" s="2012">
        <v>85</v>
      </c>
      <c r="D49" s="2012">
        <v>79</v>
      </c>
      <c r="E49" s="2012">
        <v>12</v>
      </c>
      <c r="F49" s="2012">
        <v>8</v>
      </c>
      <c r="G49" s="2012">
        <v>4</v>
      </c>
      <c r="H49" s="2013" t="s">
        <v>28</v>
      </c>
      <c r="I49" s="2012">
        <v>1</v>
      </c>
      <c r="J49" s="2013">
        <v>2</v>
      </c>
      <c r="K49" s="2013">
        <v>1</v>
      </c>
      <c r="L49" s="2013">
        <v>2</v>
      </c>
      <c r="M49" s="2012">
        <v>4</v>
      </c>
      <c r="N49" s="2012">
        <v>3</v>
      </c>
      <c r="O49" s="2012">
        <v>1</v>
      </c>
      <c r="P49" s="2013">
        <v>3</v>
      </c>
      <c r="Q49" s="2012" t="s">
        <v>28</v>
      </c>
      <c r="R49" s="2012">
        <v>1</v>
      </c>
      <c r="S49" s="2012" t="s">
        <v>28</v>
      </c>
      <c r="T49" s="2012" t="s">
        <v>28</v>
      </c>
      <c r="U49" s="2012" t="s">
        <v>28</v>
      </c>
      <c r="V49" s="2012" t="s">
        <v>28</v>
      </c>
      <c r="W49" s="2012" t="s">
        <v>28</v>
      </c>
      <c r="X49" s="2014">
        <v>8</v>
      </c>
      <c r="Y49" s="792"/>
      <c r="Z49" s="792"/>
    </row>
    <row r="50" spans="1:26" s="703" customFormat="1" ht="11.25" customHeight="1">
      <c r="A50" s="2006" t="s">
        <v>49</v>
      </c>
      <c r="B50" s="2007" t="s">
        <v>50</v>
      </c>
      <c r="C50" s="2008">
        <v>104</v>
      </c>
      <c r="D50" s="2008">
        <v>94</v>
      </c>
      <c r="E50" s="2008">
        <v>15</v>
      </c>
      <c r="F50" s="2008">
        <v>12</v>
      </c>
      <c r="G50" s="2008">
        <v>4</v>
      </c>
      <c r="H50" s="2009">
        <v>3</v>
      </c>
      <c r="I50" s="2008">
        <v>1</v>
      </c>
      <c r="J50" s="2009">
        <v>2</v>
      </c>
      <c r="K50" s="2009">
        <v>2</v>
      </c>
      <c r="L50" s="2009">
        <v>2</v>
      </c>
      <c r="M50" s="2008">
        <v>4</v>
      </c>
      <c r="N50" s="2008">
        <v>5</v>
      </c>
      <c r="O50" s="2008">
        <v>2</v>
      </c>
      <c r="P50" s="2009">
        <v>3</v>
      </c>
      <c r="Q50" s="2008" t="s">
        <v>28</v>
      </c>
      <c r="R50" s="2008">
        <v>1</v>
      </c>
      <c r="S50" s="2008" t="s">
        <v>28</v>
      </c>
      <c r="T50" s="2008" t="s">
        <v>28</v>
      </c>
      <c r="U50" s="2008" t="s">
        <v>28</v>
      </c>
      <c r="V50" s="2008" t="s">
        <v>28</v>
      </c>
      <c r="W50" s="2008" t="s">
        <v>28</v>
      </c>
      <c r="X50" s="2010">
        <v>10</v>
      </c>
      <c r="Y50" s="792"/>
      <c r="Z50" s="792"/>
    </row>
    <row r="51" spans="1:26" s="703" customFormat="1" ht="11.25" customHeight="1">
      <c r="A51" s="982" t="s">
        <v>29</v>
      </c>
      <c r="B51" s="2011" t="s">
        <v>30</v>
      </c>
      <c r="C51" s="2012">
        <v>35</v>
      </c>
      <c r="D51" s="2012">
        <v>29</v>
      </c>
      <c r="E51" s="2012">
        <v>5</v>
      </c>
      <c r="F51" s="2012">
        <v>3</v>
      </c>
      <c r="G51" s="2012" t="s">
        <v>28</v>
      </c>
      <c r="H51" s="2013">
        <v>2</v>
      </c>
      <c r="I51" s="2012">
        <v>1</v>
      </c>
      <c r="J51" s="2013" t="s">
        <v>28</v>
      </c>
      <c r="K51" s="2013" t="s">
        <v>28</v>
      </c>
      <c r="L51" s="2013" t="s">
        <v>28</v>
      </c>
      <c r="M51" s="2012">
        <v>2</v>
      </c>
      <c r="N51" s="2012">
        <v>2</v>
      </c>
      <c r="O51" s="2012">
        <v>1</v>
      </c>
      <c r="P51" s="2013">
        <v>1</v>
      </c>
      <c r="Q51" s="2012" t="s">
        <v>28</v>
      </c>
      <c r="R51" s="2012" t="s">
        <v>28</v>
      </c>
      <c r="S51" s="2012" t="s">
        <v>28</v>
      </c>
      <c r="T51" s="2012" t="s">
        <v>28</v>
      </c>
      <c r="U51" s="2012" t="s">
        <v>28</v>
      </c>
      <c r="V51" s="2012" t="s">
        <v>28</v>
      </c>
      <c r="W51" s="2012" t="s">
        <v>28</v>
      </c>
      <c r="X51" s="2014">
        <v>3</v>
      </c>
      <c r="Y51" s="792"/>
      <c r="Z51" s="792"/>
    </row>
    <row r="52" spans="1:26" s="703" customFormat="1" ht="11.25" customHeight="1">
      <c r="A52" s="982" t="s">
        <v>31</v>
      </c>
      <c r="B52" s="2011" t="s">
        <v>32</v>
      </c>
      <c r="C52" s="2012">
        <v>69</v>
      </c>
      <c r="D52" s="2012">
        <v>65</v>
      </c>
      <c r="E52" s="2012">
        <v>10</v>
      </c>
      <c r="F52" s="2012">
        <v>9</v>
      </c>
      <c r="G52" s="2012">
        <v>4</v>
      </c>
      <c r="H52" s="2013">
        <v>1</v>
      </c>
      <c r="I52" s="2012" t="s">
        <v>28</v>
      </c>
      <c r="J52" s="2013">
        <v>2</v>
      </c>
      <c r="K52" s="2013">
        <v>2</v>
      </c>
      <c r="L52" s="2013">
        <v>2</v>
      </c>
      <c r="M52" s="2012">
        <v>2</v>
      </c>
      <c r="N52" s="2012">
        <v>3</v>
      </c>
      <c r="O52" s="2012">
        <v>1</v>
      </c>
      <c r="P52" s="2013">
        <v>2</v>
      </c>
      <c r="Q52" s="2012" t="s">
        <v>28</v>
      </c>
      <c r="R52" s="2012">
        <v>1</v>
      </c>
      <c r="S52" s="2012" t="s">
        <v>28</v>
      </c>
      <c r="T52" s="2012" t="s">
        <v>28</v>
      </c>
      <c r="U52" s="2012" t="s">
        <v>28</v>
      </c>
      <c r="V52" s="2012" t="s">
        <v>28</v>
      </c>
      <c r="W52" s="2012" t="s">
        <v>28</v>
      </c>
      <c r="X52" s="2014">
        <v>7</v>
      </c>
      <c r="Y52" s="792"/>
      <c r="Z52" s="792"/>
    </row>
    <row r="53" spans="1:26" s="703" customFormat="1" ht="11.25" customHeight="1">
      <c r="A53" s="2006" t="s">
        <v>963</v>
      </c>
      <c r="B53" s="2007" t="s">
        <v>964</v>
      </c>
      <c r="C53" s="2008">
        <v>579</v>
      </c>
      <c r="D53" s="2008">
        <v>523</v>
      </c>
      <c r="E53" s="2008">
        <v>72</v>
      </c>
      <c r="F53" s="2008">
        <v>69</v>
      </c>
      <c r="G53" s="2008">
        <v>9</v>
      </c>
      <c r="H53" s="2009">
        <v>16</v>
      </c>
      <c r="I53" s="2008">
        <v>12</v>
      </c>
      <c r="J53" s="2009">
        <v>15</v>
      </c>
      <c r="K53" s="2009">
        <v>10</v>
      </c>
      <c r="L53" s="2009">
        <v>4</v>
      </c>
      <c r="M53" s="2008">
        <v>14</v>
      </c>
      <c r="N53" s="2008">
        <v>30</v>
      </c>
      <c r="O53" s="2008">
        <v>11</v>
      </c>
      <c r="P53" s="2009">
        <v>22</v>
      </c>
      <c r="Q53" s="2008" t="s">
        <v>28</v>
      </c>
      <c r="R53" s="2008">
        <v>6</v>
      </c>
      <c r="S53" s="2008" t="s">
        <v>28</v>
      </c>
      <c r="T53" s="2008" t="s">
        <v>28</v>
      </c>
      <c r="U53" s="2008">
        <v>1</v>
      </c>
      <c r="V53" s="2008" t="s">
        <v>28</v>
      </c>
      <c r="W53" s="2008" t="s">
        <v>28</v>
      </c>
      <c r="X53" s="2010">
        <v>52</v>
      </c>
      <c r="Y53" s="792"/>
      <c r="Z53" s="792"/>
    </row>
    <row r="54" spans="1:26" s="703" customFormat="1" ht="11.25" customHeight="1">
      <c r="A54" s="982" t="s">
        <v>29</v>
      </c>
      <c r="B54" s="2011" t="s">
        <v>30</v>
      </c>
      <c r="C54" s="2012">
        <v>531</v>
      </c>
      <c r="D54" s="2012">
        <v>477</v>
      </c>
      <c r="E54" s="2012">
        <v>65</v>
      </c>
      <c r="F54" s="2012">
        <v>64</v>
      </c>
      <c r="G54" s="2012">
        <v>6</v>
      </c>
      <c r="H54" s="2013">
        <v>16</v>
      </c>
      <c r="I54" s="2012">
        <v>11</v>
      </c>
      <c r="J54" s="2013">
        <v>14</v>
      </c>
      <c r="K54" s="2013">
        <v>10</v>
      </c>
      <c r="L54" s="2013">
        <v>3</v>
      </c>
      <c r="M54" s="2012">
        <v>13</v>
      </c>
      <c r="N54" s="2012">
        <v>26</v>
      </c>
      <c r="O54" s="2012">
        <v>11</v>
      </c>
      <c r="P54" s="2013">
        <v>20</v>
      </c>
      <c r="Q54" s="2012" t="s">
        <v>28</v>
      </c>
      <c r="R54" s="2012">
        <v>6</v>
      </c>
      <c r="S54" s="2012" t="s">
        <v>28</v>
      </c>
      <c r="T54" s="2012" t="s">
        <v>28</v>
      </c>
      <c r="U54" s="2012">
        <v>1</v>
      </c>
      <c r="V54" s="2012" t="s">
        <v>28</v>
      </c>
      <c r="W54" s="2012" t="s">
        <v>28</v>
      </c>
      <c r="X54" s="2014">
        <v>48</v>
      </c>
      <c r="Y54" s="792"/>
      <c r="Z54" s="792"/>
    </row>
    <row r="55" spans="1:26" s="789" customFormat="1" ht="11.25" customHeight="1">
      <c r="A55" s="982" t="s">
        <v>31</v>
      </c>
      <c r="B55" s="2011" t="s">
        <v>32</v>
      </c>
      <c r="C55" s="2012">
        <v>48</v>
      </c>
      <c r="D55" s="2012">
        <v>46</v>
      </c>
      <c r="E55" s="2012">
        <v>7</v>
      </c>
      <c r="F55" s="2012">
        <v>5</v>
      </c>
      <c r="G55" s="2012">
        <v>3</v>
      </c>
      <c r="H55" s="2013" t="s">
        <v>28</v>
      </c>
      <c r="I55" s="2012">
        <v>1</v>
      </c>
      <c r="J55" s="2013">
        <v>1</v>
      </c>
      <c r="K55" s="2013" t="s">
        <v>28</v>
      </c>
      <c r="L55" s="2013">
        <v>1</v>
      </c>
      <c r="M55" s="2012">
        <v>1</v>
      </c>
      <c r="N55" s="2012">
        <v>4</v>
      </c>
      <c r="O55" s="2012" t="s">
        <v>28</v>
      </c>
      <c r="P55" s="2013">
        <v>2</v>
      </c>
      <c r="Q55" s="2012" t="s">
        <v>28</v>
      </c>
      <c r="R55" s="2012" t="s">
        <v>28</v>
      </c>
      <c r="S55" s="2012" t="s">
        <v>28</v>
      </c>
      <c r="T55" s="2012" t="s">
        <v>28</v>
      </c>
      <c r="U55" s="2012" t="s">
        <v>28</v>
      </c>
      <c r="V55" s="2012" t="s">
        <v>28</v>
      </c>
      <c r="W55" s="2012" t="s">
        <v>28</v>
      </c>
      <c r="X55" s="2014">
        <v>4</v>
      </c>
      <c r="Y55" s="787"/>
      <c r="Z55" s="787"/>
    </row>
    <row r="56" spans="1:26" s="789" customFormat="1" ht="11.25" customHeight="1">
      <c r="A56" s="2006" t="s">
        <v>51</v>
      </c>
      <c r="B56" s="2007" t="s">
        <v>52</v>
      </c>
      <c r="C56" s="2008">
        <v>984</v>
      </c>
      <c r="D56" s="2008">
        <v>886</v>
      </c>
      <c r="E56" s="2008">
        <v>125</v>
      </c>
      <c r="F56" s="2008">
        <v>109</v>
      </c>
      <c r="G56" s="2008">
        <v>22</v>
      </c>
      <c r="H56" s="2009">
        <v>22</v>
      </c>
      <c r="I56" s="2008">
        <v>28</v>
      </c>
      <c r="J56" s="2009">
        <v>25</v>
      </c>
      <c r="K56" s="2009">
        <v>18</v>
      </c>
      <c r="L56" s="2009">
        <v>11</v>
      </c>
      <c r="M56" s="2008">
        <v>23</v>
      </c>
      <c r="N56" s="2008">
        <v>43</v>
      </c>
      <c r="O56" s="2008">
        <v>12</v>
      </c>
      <c r="P56" s="2009">
        <v>42</v>
      </c>
      <c r="Q56" s="2008" t="s">
        <v>28</v>
      </c>
      <c r="R56" s="2008">
        <v>9</v>
      </c>
      <c r="S56" s="2008">
        <v>1</v>
      </c>
      <c r="T56" s="2008">
        <v>1</v>
      </c>
      <c r="U56" s="2008" t="s">
        <v>28</v>
      </c>
      <c r="V56" s="2008" t="s">
        <v>28</v>
      </c>
      <c r="W56" s="2008" t="s">
        <v>28</v>
      </c>
      <c r="X56" s="2010">
        <v>90</v>
      </c>
      <c r="Y56" s="787"/>
      <c r="Z56" s="787"/>
    </row>
    <row r="57" spans="1:26" s="789" customFormat="1" ht="11.25" customHeight="1">
      <c r="A57" s="982" t="s">
        <v>29</v>
      </c>
      <c r="B57" s="2011" t="s">
        <v>30</v>
      </c>
      <c r="C57" s="2012">
        <v>938</v>
      </c>
      <c r="D57" s="2012">
        <v>843</v>
      </c>
      <c r="E57" s="2012">
        <v>119</v>
      </c>
      <c r="F57" s="2012">
        <v>102</v>
      </c>
      <c r="G57" s="2012">
        <v>17</v>
      </c>
      <c r="H57" s="2013">
        <v>22</v>
      </c>
      <c r="I57" s="2012">
        <v>28</v>
      </c>
      <c r="J57" s="2013">
        <v>25</v>
      </c>
      <c r="K57" s="2013">
        <v>18</v>
      </c>
      <c r="L57" s="2013">
        <v>8</v>
      </c>
      <c r="M57" s="2012">
        <v>22</v>
      </c>
      <c r="N57" s="2012">
        <v>43</v>
      </c>
      <c r="O57" s="2012">
        <v>12</v>
      </c>
      <c r="P57" s="2013">
        <v>40</v>
      </c>
      <c r="Q57" s="2012" t="s">
        <v>28</v>
      </c>
      <c r="R57" s="2012">
        <v>8</v>
      </c>
      <c r="S57" s="2012">
        <v>1</v>
      </c>
      <c r="T57" s="2012" t="s">
        <v>28</v>
      </c>
      <c r="U57" s="2012" t="s">
        <v>28</v>
      </c>
      <c r="V57" s="2012" t="s">
        <v>28</v>
      </c>
      <c r="W57" s="2012" t="s">
        <v>28</v>
      </c>
      <c r="X57" s="2014">
        <v>87</v>
      </c>
      <c r="Y57" s="787"/>
      <c r="Z57" s="787"/>
    </row>
    <row r="58" spans="1:26" s="789" customFormat="1" ht="11.25" customHeight="1">
      <c r="A58" s="982" t="s">
        <v>31</v>
      </c>
      <c r="B58" s="2011" t="s">
        <v>32</v>
      </c>
      <c r="C58" s="2012">
        <v>46</v>
      </c>
      <c r="D58" s="2012">
        <v>43</v>
      </c>
      <c r="E58" s="2012">
        <v>6</v>
      </c>
      <c r="F58" s="2012">
        <v>7</v>
      </c>
      <c r="G58" s="2012">
        <v>5</v>
      </c>
      <c r="H58" s="2013" t="s">
        <v>28</v>
      </c>
      <c r="I58" s="2012" t="s">
        <v>28</v>
      </c>
      <c r="J58" s="2013" t="s">
        <v>28</v>
      </c>
      <c r="K58" s="2013" t="s">
        <v>28</v>
      </c>
      <c r="L58" s="2013">
        <v>3</v>
      </c>
      <c r="M58" s="2012">
        <v>1</v>
      </c>
      <c r="N58" s="2012" t="s">
        <v>28</v>
      </c>
      <c r="O58" s="2012" t="s">
        <v>28</v>
      </c>
      <c r="P58" s="2013">
        <v>2</v>
      </c>
      <c r="Q58" s="2012" t="s">
        <v>28</v>
      </c>
      <c r="R58" s="2012">
        <v>1</v>
      </c>
      <c r="S58" s="2012" t="s">
        <v>28</v>
      </c>
      <c r="T58" s="2012">
        <v>1</v>
      </c>
      <c r="U58" s="2012" t="s">
        <v>28</v>
      </c>
      <c r="V58" s="2012" t="s">
        <v>28</v>
      </c>
      <c r="W58" s="2012" t="s">
        <v>28</v>
      </c>
      <c r="X58" s="2014">
        <v>3</v>
      </c>
      <c r="Y58" s="787"/>
      <c r="Z58" s="787"/>
    </row>
    <row r="59" spans="1:26" s="789" customFormat="1" ht="11.25" customHeight="1">
      <c r="A59" s="2006" t="s">
        <v>53</v>
      </c>
      <c r="B59" s="2007" t="s">
        <v>54</v>
      </c>
      <c r="C59" s="2008" t="s">
        <v>1381</v>
      </c>
      <c r="D59" s="2008">
        <v>922</v>
      </c>
      <c r="E59" s="2008">
        <v>120</v>
      </c>
      <c r="F59" s="2008">
        <v>120</v>
      </c>
      <c r="G59" s="2008">
        <v>16</v>
      </c>
      <c r="H59" s="2009">
        <v>23</v>
      </c>
      <c r="I59" s="2008">
        <v>24</v>
      </c>
      <c r="J59" s="2009">
        <v>30</v>
      </c>
      <c r="K59" s="2009">
        <v>20</v>
      </c>
      <c r="L59" s="2009">
        <v>6</v>
      </c>
      <c r="M59" s="2008">
        <v>32</v>
      </c>
      <c r="N59" s="2008">
        <v>47</v>
      </c>
      <c r="O59" s="2008">
        <v>11</v>
      </c>
      <c r="P59" s="2009">
        <v>43</v>
      </c>
      <c r="Q59" s="2008" t="s">
        <v>28</v>
      </c>
      <c r="R59" s="2008">
        <v>14</v>
      </c>
      <c r="S59" s="2008">
        <v>2</v>
      </c>
      <c r="T59" s="2008" t="s">
        <v>28</v>
      </c>
      <c r="U59" s="2008" t="s">
        <v>28</v>
      </c>
      <c r="V59" s="2008" t="s">
        <v>28</v>
      </c>
      <c r="W59" s="2008" t="s">
        <v>28</v>
      </c>
      <c r="X59" s="2010">
        <v>93</v>
      </c>
      <c r="Y59" s="787"/>
      <c r="Z59" s="787"/>
    </row>
    <row r="60" spans="1:26" s="789" customFormat="1" ht="11.25" customHeight="1">
      <c r="A60" s="982" t="s">
        <v>29</v>
      </c>
      <c r="B60" s="2011" t="s">
        <v>30</v>
      </c>
      <c r="C60" s="2012" t="s">
        <v>1383</v>
      </c>
      <c r="D60" s="2012">
        <v>900</v>
      </c>
      <c r="E60" s="2012">
        <v>117</v>
      </c>
      <c r="F60" s="2012">
        <v>117</v>
      </c>
      <c r="G60" s="2012">
        <v>15</v>
      </c>
      <c r="H60" s="2013">
        <v>23</v>
      </c>
      <c r="I60" s="2012">
        <v>23</v>
      </c>
      <c r="J60" s="2013">
        <v>30</v>
      </c>
      <c r="K60" s="2013">
        <v>20</v>
      </c>
      <c r="L60" s="2013">
        <v>6</v>
      </c>
      <c r="M60" s="2012">
        <v>31</v>
      </c>
      <c r="N60" s="2012">
        <v>45</v>
      </c>
      <c r="O60" s="2012">
        <v>11</v>
      </c>
      <c r="P60" s="2013">
        <v>43</v>
      </c>
      <c r="Q60" s="2012" t="s">
        <v>28</v>
      </c>
      <c r="R60" s="2012">
        <v>14</v>
      </c>
      <c r="S60" s="2012">
        <v>2</v>
      </c>
      <c r="T60" s="2012" t="s">
        <v>28</v>
      </c>
      <c r="U60" s="2012" t="s">
        <v>28</v>
      </c>
      <c r="V60" s="2012" t="s">
        <v>28</v>
      </c>
      <c r="W60" s="2012" t="s">
        <v>28</v>
      </c>
      <c r="X60" s="2014">
        <v>91</v>
      </c>
      <c r="Y60" s="787"/>
      <c r="Z60" s="787"/>
    </row>
    <row r="61" spans="1:26" s="788" customFormat="1" ht="11.25" customHeight="1">
      <c r="A61" s="982" t="s">
        <v>31</v>
      </c>
      <c r="B61" s="2011" t="s">
        <v>32</v>
      </c>
      <c r="C61" s="2012">
        <v>25</v>
      </c>
      <c r="D61" s="2012">
        <v>22</v>
      </c>
      <c r="E61" s="2012">
        <v>3</v>
      </c>
      <c r="F61" s="2012">
        <v>3</v>
      </c>
      <c r="G61" s="2012">
        <v>1</v>
      </c>
      <c r="H61" s="2013" t="s">
        <v>28</v>
      </c>
      <c r="I61" s="2012">
        <v>1</v>
      </c>
      <c r="J61" s="2013" t="s">
        <v>28</v>
      </c>
      <c r="K61" s="2013" t="s">
        <v>28</v>
      </c>
      <c r="L61" s="2013" t="s">
        <v>28</v>
      </c>
      <c r="M61" s="2012">
        <v>1</v>
      </c>
      <c r="N61" s="2012">
        <v>2</v>
      </c>
      <c r="O61" s="2012" t="s">
        <v>28</v>
      </c>
      <c r="P61" s="2013" t="s">
        <v>28</v>
      </c>
      <c r="Q61" s="2012" t="s">
        <v>28</v>
      </c>
      <c r="R61" s="2012" t="s">
        <v>28</v>
      </c>
      <c r="S61" s="2012" t="s">
        <v>28</v>
      </c>
      <c r="T61" s="2012" t="s">
        <v>28</v>
      </c>
      <c r="U61" s="2012" t="s">
        <v>28</v>
      </c>
      <c r="V61" s="2012" t="s">
        <v>28</v>
      </c>
      <c r="W61" s="2012" t="s">
        <v>28</v>
      </c>
      <c r="X61" s="2014">
        <v>2</v>
      </c>
      <c r="Y61" s="787"/>
      <c r="Z61" s="787"/>
    </row>
    <row r="62" spans="1:26" s="789" customFormat="1" ht="11.25" customHeight="1">
      <c r="A62" s="2006" t="s">
        <v>55</v>
      </c>
      <c r="B62" s="2007" t="s">
        <v>56</v>
      </c>
      <c r="C62" s="2008">
        <v>907</v>
      </c>
      <c r="D62" s="2008">
        <v>814</v>
      </c>
      <c r="E62" s="2008">
        <v>107</v>
      </c>
      <c r="F62" s="2008">
        <v>102</v>
      </c>
      <c r="G62" s="2008">
        <v>4</v>
      </c>
      <c r="H62" s="2009">
        <v>30</v>
      </c>
      <c r="I62" s="2008">
        <v>21</v>
      </c>
      <c r="J62" s="2009">
        <v>26</v>
      </c>
      <c r="K62" s="2009">
        <v>13</v>
      </c>
      <c r="L62" s="2009">
        <v>4</v>
      </c>
      <c r="M62" s="2008">
        <v>35</v>
      </c>
      <c r="N62" s="2008">
        <v>42</v>
      </c>
      <c r="O62" s="2008">
        <v>8</v>
      </c>
      <c r="P62" s="2009">
        <v>37</v>
      </c>
      <c r="Q62" s="2008">
        <v>1</v>
      </c>
      <c r="R62" s="2008">
        <v>15</v>
      </c>
      <c r="S62" s="2008" t="s">
        <v>28</v>
      </c>
      <c r="T62" s="2008" t="s">
        <v>28</v>
      </c>
      <c r="U62" s="2008" t="s">
        <v>28</v>
      </c>
      <c r="V62" s="2008" t="s">
        <v>28</v>
      </c>
      <c r="W62" s="2008" t="s">
        <v>28</v>
      </c>
      <c r="X62" s="2010">
        <v>77</v>
      </c>
      <c r="Y62" s="787"/>
      <c r="Z62" s="787"/>
    </row>
    <row r="63" spans="1:26" s="788" customFormat="1" ht="11.25" customHeight="1">
      <c r="A63" s="982" t="s">
        <v>29</v>
      </c>
      <c r="B63" s="2011" t="s">
        <v>30</v>
      </c>
      <c r="C63" s="2012">
        <v>907</v>
      </c>
      <c r="D63" s="2012">
        <v>814</v>
      </c>
      <c r="E63" s="2012">
        <v>107</v>
      </c>
      <c r="F63" s="2012">
        <v>102</v>
      </c>
      <c r="G63" s="2012">
        <v>4</v>
      </c>
      <c r="H63" s="2013">
        <v>30</v>
      </c>
      <c r="I63" s="2012">
        <v>21</v>
      </c>
      <c r="J63" s="2013">
        <v>26</v>
      </c>
      <c r="K63" s="2013">
        <v>13</v>
      </c>
      <c r="L63" s="2013">
        <v>4</v>
      </c>
      <c r="M63" s="2012">
        <v>35</v>
      </c>
      <c r="N63" s="2012">
        <v>42</v>
      </c>
      <c r="O63" s="2012">
        <v>8</v>
      </c>
      <c r="P63" s="2013">
        <v>37</v>
      </c>
      <c r="Q63" s="2012">
        <v>1</v>
      </c>
      <c r="R63" s="2012">
        <v>15</v>
      </c>
      <c r="S63" s="2012" t="s">
        <v>28</v>
      </c>
      <c r="T63" s="2012" t="s">
        <v>28</v>
      </c>
      <c r="U63" s="2012" t="s">
        <v>28</v>
      </c>
      <c r="V63" s="2012" t="s">
        <v>28</v>
      </c>
      <c r="W63" s="2012" t="s">
        <v>28</v>
      </c>
      <c r="X63" s="2014">
        <v>77</v>
      </c>
      <c r="Y63" s="787"/>
      <c r="Z63" s="787"/>
    </row>
    <row r="64" spans="1:26" s="789" customFormat="1" ht="11.25" customHeight="1">
      <c r="A64" s="2006" t="s">
        <v>57</v>
      </c>
      <c r="B64" s="2007" t="s">
        <v>58</v>
      </c>
      <c r="C64" s="2008">
        <v>539</v>
      </c>
      <c r="D64" s="2008">
        <v>477</v>
      </c>
      <c r="E64" s="2008">
        <v>61</v>
      </c>
      <c r="F64" s="2008">
        <v>56</v>
      </c>
      <c r="G64" s="2008">
        <v>3</v>
      </c>
      <c r="H64" s="2009">
        <v>9</v>
      </c>
      <c r="I64" s="2008">
        <v>17</v>
      </c>
      <c r="J64" s="2009">
        <v>14</v>
      </c>
      <c r="K64" s="2009">
        <v>13</v>
      </c>
      <c r="L64" s="2009">
        <v>9</v>
      </c>
      <c r="M64" s="2008">
        <v>18</v>
      </c>
      <c r="N64" s="2008">
        <v>18</v>
      </c>
      <c r="O64" s="2008">
        <v>5</v>
      </c>
      <c r="P64" s="2009">
        <v>27</v>
      </c>
      <c r="Q64" s="2008" t="s">
        <v>28</v>
      </c>
      <c r="R64" s="2008">
        <v>11</v>
      </c>
      <c r="S64" s="2008" t="s">
        <v>28</v>
      </c>
      <c r="T64" s="2008" t="s">
        <v>28</v>
      </c>
      <c r="U64" s="2008" t="s">
        <v>28</v>
      </c>
      <c r="V64" s="2008" t="s">
        <v>28</v>
      </c>
      <c r="W64" s="2008" t="s">
        <v>28</v>
      </c>
      <c r="X64" s="2010">
        <v>47</v>
      </c>
      <c r="Y64" s="787"/>
      <c r="Z64" s="787"/>
    </row>
    <row r="65" spans="1:26" s="789" customFormat="1" ht="11.25" customHeight="1">
      <c r="A65" s="982" t="s">
        <v>29</v>
      </c>
      <c r="B65" s="2011" t="s">
        <v>30</v>
      </c>
      <c r="C65" s="2012">
        <v>539</v>
      </c>
      <c r="D65" s="2012">
        <v>477</v>
      </c>
      <c r="E65" s="2012">
        <v>61</v>
      </c>
      <c r="F65" s="2012">
        <v>56</v>
      </c>
      <c r="G65" s="2012">
        <v>3</v>
      </c>
      <c r="H65" s="2013">
        <v>9</v>
      </c>
      <c r="I65" s="2012">
        <v>17</v>
      </c>
      <c r="J65" s="2013">
        <v>14</v>
      </c>
      <c r="K65" s="2013">
        <v>13</v>
      </c>
      <c r="L65" s="2013">
        <v>9</v>
      </c>
      <c r="M65" s="2012">
        <v>18</v>
      </c>
      <c r="N65" s="2012">
        <v>18</v>
      </c>
      <c r="O65" s="2012">
        <v>5</v>
      </c>
      <c r="P65" s="2013">
        <v>27</v>
      </c>
      <c r="Q65" s="2012" t="s">
        <v>28</v>
      </c>
      <c r="R65" s="2012">
        <v>11</v>
      </c>
      <c r="S65" s="2012" t="s">
        <v>28</v>
      </c>
      <c r="T65" s="2012" t="s">
        <v>28</v>
      </c>
      <c r="U65" s="2012" t="s">
        <v>28</v>
      </c>
      <c r="V65" s="2012" t="s">
        <v>28</v>
      </c>
      <c r="W65" s="2012" t="s">
        <v>28</v>
      </c>
      <c r="X65" s="2014">
        <v>47</v>
      </c>
      <c r="Y65" s="787"/>
      <c r="Z65" s="787"/>
    </row>
    <row r="66" spans="1:26" s="789" customFormat="1" ht="11.25" customHeight="1">
      <c r="A66" s="2006" t="s">
        <v>59</v>
      </c>
      <c r="B66" s="2007" t="s">
        <v>60</v>
      </c>
      <c r="C66" s="2008" t="s">
        <v>1372</v>
      </c>
      <c r="D66" s="2008" t="s">
        <v>1465</v>
      </c>
      <c r="E66" s="2008">
        <v>176</v>
      </c>
      <c r="F66" s="2008">
        <v>156</v>
      </c>
      <c r="G66" s="2008">
        <v>24</v>
      </c>
      <c r="H66" s="2009">
        <v>31</v>
      </c>
      <c r="I66" s="2008">
        <v>34</v>
      </c>
      <c r="J66" s="2009">
        <v>34</v>
      </c>
      <c r="K66" s="2009">
        <v>29</v>
      </c>
      <c r="L66" s="2009">
        <v>9</v>
      </c>
      <c r="M66" s="2008">
        <v>48</v>
      </c>
      <c r="N66" s="2008">
        <v>69</v>
      </c>
      <c r="O66" s="2008">
        <v>13</v>
      </c>
      <c r="P66" s="2009">
        <v>56</v>
      </c>
      <c r="Q66" s="2008" t="s">
        <v>28</v>
      </c>
      <c r="R66" s="2008">
        <v>11</v>
      </c>
      <c r="S66" s="2008" t="s">
        <v>28</v>
      </c>
      <c r="T66" s="2008">
        <v>1</v>
      </c>
      <c r="U66" s="2008" t="s">
        <v>28</v>
      </c>
      <c r="V66" s="2008" t="s">
        <v>28</v>
      </c>
      <c r="W66" s="2008" t="s">
        <v>28</v>
      </c>
      <c r="X66" s="2010">
        <v>129</v>
      </c>
      <c r="Y66" s="787"/>
      <c r="Z66" s="787"/>
    </row>
    <row r="67" spans="1:26" s="788" customFormat="1" ht="11.25" customHeight="1">
      <c r="A67" s="982" t="s">
        <v>29</v>
      </c>
      <c r="B67" s="2011" t="s">
        <v>30</v>
      </c>
      <c r="C67" s="2012" t="s">
        <v>1372</v>
      </c>
      <c r="D67" s="2012" t="s">
        <v>1465</v>
      </c>
      <c r="E67" s="2012">
        <v>176</v>
      </c>
      <c r="F67" s="2012">
        <v>156</v>
      </c>
      <c r="G67" s="2012">
        <v>24</v>
      </c>
      <c r="H67" s="2013">
        <v>31</v>
      </c>
      <c r="I67" s="2012">
        <v>34</v>
      </c>
      <c r="J67" s="2013">
        <v>34</v>
      </c>
      <c r="K67" s="2013">
        <v>29</v>
      </c>
      <c r="L67" s="2013">
        <v>9</v>
      </c>
      <c r="M67" s="2012">
        <v>48</v>
      </c>
      <c r="N67" s="2012">
        <v>69</v>
      </c>
      <c r="O67" s="2012">
        <v>13</v>
      </c>
      <c r="P67" s="2013">
        <v>56</v>
      </c>
      <c r="Q67" s="2012" t="s">
        <v>28</v>
      </c>
      <c r="R67" s="2012">
        <v>11</v>
      </c>
      <c r="S67" s="2012" t="s">
        <v>28</v>
      </c>
      <c r="T67" s="2012">
        <v>1</v>
      </c>
      <c r="U67" s="2012" t="s">
        <v>28</v>
      </c>
      <c r="V67" s="2012" t="s">
        <v>28</v>
      </c>
      <c r="W67" s="2012" t="s">
        <v>28</v>
      </c>
      <c r="X67" s="2014">
        <v>129</v>
      </c>
      <c r="Y67" s="787"/>
      <c r="Z67" s="787"/>
    </row>
    <row r="68" spans="1:26" s="789" customFormat="1" ht="11.25" customHeight="1">
      <c r="A68" s="2006" t="s">
        <v>61</v>
      </c>
      <c r="B68" s="2007" t="s">
        <v>62</v>
      </c>
      <c r="C68" s="2008">
        <v>170</v>
      </c>
      <c r="D68" s="2008">
        <v>142</v>
      </c>
      <c r="E68" s="2008">
        <v>19</v>
      </c>
      <c r="F68" s="2008">
        <v>19</v>
      </c>
      <c r="G68" s="2008">
        <v>3</v>
      </c>
      <c r="H68" s="2009">
        <v>6</v>
      </c>
      <c r="I68" s="2008">
        <v>4</v>
      </c>
      <c r="J68" s="2009">
        <v>2</v>
      </c>
      <c r="K68" s="2009">
        <v>3</v>
      </c>
      <c r="L68" s="2009">
        <v>1</v>
      </c>
      <c r="M68" s="2008">
        <v>4</v>
      </c>
      <c r="N68" s="2008">
        <v>8</v>
      </c>
      <c r="O68" s="2008">
        <v>1</v>
      </c>
      <c r="P68" s="2009">
        <v>7</v>
      </c>
      <c r="Q68" s="2008" t="s">
        <v>28</v>
      </c>
      <c r="R68" s="2008">
        <v>2</v>
      </c>
      <c r="S68" s="2008" t="s">
        <v>28</v>
      </c>
      <c r="T68" s="2008" t="s">
        <v>28</v>
      </c>
      <c r="U68" s="2008" t="s">
        <v>28</v>
      </c>
      <c r="V68" s="2008" t="s">
        <v>28</v>
      </c>
      <c r="W68" s="2008" t="s">
        <v>28</v>
      </c>
      <c r="X68" s="2010">
        <v>13</v>
      </c>
      <c r="Y68" s="787"/>
      <c r="Z68" s="787"/>
    </row>
    <row r="69" spans="1:26" s="789" customFormat="1" ht="11.25" customHeight="1">
      <c r="A69" s="982" t="s">
        <v>29</v>
      </c>
      <c r="B69" s="2011" t="s">
        <v>30</v>
      </c>
      <c r="C69" s="2012">
        <v>143</v>
      </c>
      <c r="D69" s="2012">
        <v>119</v>
      </c>
      <c r="E69" s="2012">
        <v>15</v>
      </c>
      <c r="F69" s="2012">
        <v>17</v>
      </c>
      <c r="G69" s="2012">
        <v>3</v>
      </c>
      <c r="H69" s="2013">
        <v>5</v>
      </c>
      <c r="I69" s="2012">
        <v>4</v>
      </c>
      <c r="J69" s="2013">
        <v>1</v>
      </c>
      <c r="K69" s="2013">
        <v>3</v>
      </c>
      <c r="L69" s="2013" t="s">
        <v>28</v>
      </c>
      <c r="M69" s="2012">
        <v>3</v>
      </c>
      <c r="N69" s="2012">
        <v>7</v>
      </c>
      <c r="O69" s="2012">
        <v>1</v>
      </c>
      <c r="P69" s="2013">
        <v>6</v>
      </c>
      <c r="Q69" s="2012" t="s">
        <v>28</v>
      </c>
      <c r="R69" s="2012">
        <v>2</v>
      </c>
      <c r="S69" s="2012" t="s">
        <v>28</v>
      </c>
      <c r="T69" s="2012" t="s">
        <v>28</v>
      </c>
      <c r="U69" s="2012" t="s">
        <v>28</v>
      </c>
      <c r="V69" s="2012" t="s">
        <v>28</v>
      </c>
      <c r="W69" s="2012" t="s">
        <v>28</v>
      </c>
      <c r="X69" s="2014">
        <v>11</v>
      </c>
      <c r="Y69" s="787"/>
      <c r="Z69" s="787"/>
    </row>
    <row r="70" spans="1:26" s="788" customFormat="1" ht="11.25" customHeight="1">
      <c r="A70" s="982" t="s">
        <v>31</v>
      </c>
      <c r="B70" s="2011" t="s">
        <v>32</v>
      </c>
      <c r="C70" s="2012">
        <v>27</v>
      </c>
      <c r="D70" s="2012">
        <v>23</v>
      </c>
      <c r="E70" s="2012">
        <v>4</v>
      </c>
      <c r="F70" s="2012">
        <v>2</v>
      </c>
      <c r="G70" s="2012" t="s">
        <v>28</v>
      </c>
      <c r="H70" s="2013">
        <v>1</v>
      </c>
      <c r="I70" s="2012" t="s">
        <v>28</v>
      </c>
      <c r="J70" s="2013">
        <v>1</v>
      </c>
      <c r="K70" s="2013" t="s">
        <v>28</v>
      </c>
      <c r="L70" s="2013">
        <v>1</v>
      </c>
      <c r="M70" s="2012">
        <v>1</v>
      </c>
      <c r="N70" s="2012">
        <v>1</v>
      </c>
      <c r="O70" s="2012" t="s">
        <v>28</v>
      </c>
      <c r="P70" s="2013">
        <v>1</v>
      </c>
      <c r="Q70" s="2012" t="s">
        <v>28</v>
      </c>
      <c r="R70" s="2012" t="s">
        <v>28</v>
      </c>
      <c r="S70" s="2012" t="s">
        <v>28</v>
      </c>
      <c r="T70" s="2012" t="s">
        <v>28</v>
      </c>
      <c r="U70" s="2012" t="s">
        <v>28</v>
      </c>
      <c r="V70" s="2012" t="s">
        <v>28</v>
      </c>
      <c r="W70" s="2012" t="s">
        <v>28</v>
      </c>
      <c r="X70" s="2014">
        <v>2</v>
      </c>
      <c r="Y70" s="787"/>
      <c r="Z70" s="787"/>
    </row>
    <row r="71" spans="1:26" s="789" customFormat="1" ht="11.25" customHeight="1">
      <c r="A71" s="2006" t="s">
        <v>63</v>
      </c>
      <c r="B71" s="2007" t="s">
        <v>64</v>
      </c>
      <c r="C71" s="2008">
        <v>50</v>
      </c>
      <c r="D71" s="2008">
        <v>44</v>
      </c>
      <c r="E71" s="2008">
        <v>7</v>
      </c>
      <c r="F71" s="2008">
        <v>7</v>
      </c>
      <c r="G71" s="2008" t="s">
        <v>28</v>
      </c>
      <c r="H71" s="2009" t="s">
        <v>28</v>
      </c>
      <c r="I71" s="2008" t="s">
        <v>28</v>
      </c>
      <c r="J71" s="2009">
        <v>3</v>
      </c>
      <c r="K71" s="2009">
        <v>2</v>
      </c>
      <c r="L71" s="2009" t="s">
        <v>28</v>
      </c>
      <c r="M71" s="2008">
        <v>4</v>
      </c>
      <c r="N71" s="2008">
        <v>1</v>
      </c>
      <c r="O71" s="2008" t="s">
        <v>28</v>
      </c>
      <c r="P71" s="2009">
        <v>2</v>
      </c>
      <c r="Q71" s="2008" t="s">
        <v>28</v>
      </c>
      <c r="R71" s="2008" t="s">
        <v>28</v>
      </c>
      <c r="S71" s="2008" t="s">
        <v>28</v>
      </c>
      <c r="T71" s="2008" t="s">
        <v>28</v>
      </c>
      <c r="U71" s="2008" t="s">
        <v>28</v>
      </c>
      <c r="V71" s="2008" t="s">
        <v>28</v>
      </c>
      <c r="W71" s="2008" t="s">
        <v>28</v>
      </c>
      <c r="X71" s="2010">
        <v>3</v>
      </c>
      <c r="Y71" s="787"/>
      <c r="Z71" s="787"/>
    </row>
    <row r="72" spans="1:26" s="789" customFormat="1" ht="83.25" customHeight="1" thickBot="1">
      <c r="A72" s="982" t="s">
        <v>29</v>
      </c>
      <c r="B72" s="2011" t="s">
        <v>30</v>
      </c>
      <c r="C72" s="2012">
        <v>50</v>
      </c>
      <c r="D72" s="2012">
        <v>44</v>
      </c>
      <c r="E72" s="2012">
        <v>7</v>
      </c>
      <c r="F72" s="2012">
        <v>7</v>
      </c>
      <c r="G72" s="2012" t="s">
        <v>28</v>
      </c>
      <c r="H72" s="2013" t="s">
        <v>28</v>
      </c>
      <c r="I72" s="2012" t="s">
        <v>28</v>
      </c>
      <c r="J72" s="2013">
        <v>3</v>
      </c>
      <c r="K72" s="2013">
        <v>2</v>
      </c>
      <c r="L72" s="2013" t="s">
        <v>28</v>
      </c>
      <c r="M72" s="2012">
        <v>4</v>
      </c>
      <c r="N72" s="2012">
        <v>1</v>
      </c>
      <c r="O72" s="2012" t="s">
        <v>28</v>
      </c>
      <c r="P72" s="2013">
        <v>2</v>
      </c>
      <c r="Q72" s="2012" t="s">
        <v>28</v>
      </c>
      <c r="R72" s="2012" t="s">
        <v>28</v>
      </c>
      <c r="S72" s="2012" t="s">
        <v>28</v>
      </c>
      <c r="T72" s="2012" t="s">
        <v>28</v>
      </c>
      <c r="U72" s="2012" t="s">
        <v>28</v>
      </c>
      <c r="V72" s="2012" t="s">
        <v>28</v>
      </c>
      <c r="W72" s="2012" t="s">
        <v>28</v>
      </c>
      <c r="X72" s="2019">
        <v>3</v>
      </c>
    </row>
    <row r="73" spans="1:26">
      <c r="A73" s="2027" t="s">
        <v>1466</v>
      </c>
      <c r="B73" s="2027"/>
      <c r="C73" s="2027"/>
      <c r="D73" s="2027"/>
      <c r="E73" s="2027"/>
      <c r="F73" s="2027"/>
      <c r="G73" s="2027"/>
      <c r="H73" s="2027"/>
      <c r="I73" s="2027"/>
      <c r="J73" s="2027"/>
      <c r="K73" s="2027"/>
      <c r="L73" s="2027" t="s">
        <v>1283</v>
      </c>
      <c r="M73" s="2028"/>
      <c r="N73" s="2028"/>
      <c r="O73" s="2028"/>
      <c r="P73" s="2028"/>
      <c r="Q73" s="2028"/>
      <c r="R73" s="2028"/>
      <c r="S73" s="2028"/>
      <c r="T73" s="2028"/>
      <c r="U73" s="2028"/>
      <c r="V73" s="2028"/>
      <c r="W73" s="2028"/>
      <c r="X73" s="2028"/>
    </row>
    <row r="87" spans="1:6">
      <c r="A87" s="793"/>
      <c r="B87" s="794"/>
      <c r="C87" s="794"/>
      <c r="D87" s="794"/>
      <c r="E87" s="794"/>
      <c r="F87" s="794"/>
    </row>
    <row r="88" spans="1:6">
      <c r="A88" s="796"/>
      <c r="B88" s="794"/>
      <c r="C88" s="794"/>
      <c r="D88" s="794"/>
      <c r="E88" s="794"/>
      <c r="F88" s="794"/>
    </row>
    <row r="89" spans="1:6">
      <c r="A89" s="794"/>
      <c r="B89" s="794"/>
      <c r="C89" s="794"/>
      <c r="D89" s="794"/>
      <c r="E89" s="794"/>
      <c r="F89" s="794"/>
    </row>
    <row r="90" spans="1:6">
      <c r="A90" s="794"/>
      <c r="B90" s="794"/>
      <c r="C90" s="794"/>
      <c r="D90" s="794"/>
      <c r="E90" s="794"/>
      <c r="F90" s="794"/>
    </row>
    <row r="91" spans="1:6">
      <c r="A91" s="797"/>
      <c r="B91" s="797"/>
      <c r="C91" s="797"/>
      <c r="D91" s="797"/>
      <c r="E91" s="797"/>
      <c r="F91" s="797"/>
    </row>
    <row r="92" spans="1:6">
      <c r="A92" s="794"/>
    </row>
  </sheetData>
  <mergeCells count="18">
    <mergeCell ref="A73:K73"/>
    <mergeCell ref="L73:X73"/>
    <mergeCell ref="A8:B8"/>
    <mergeCell ref="K2:X2"/>
    <mergeCell ref="A4:I4"/>
    <mergeCell ref="A2:I2"/>
    <mergeCell ref="A5:B7"/>
    <mergeCell ref="C5:C7"/>
    <mergeCell ref="D5:K5"/>
    <mergeCell ref="D6:K6"/>
    <mergeCell ref="L5:X5"/>
    <mergeCell ref="L6:X6"/>
    <mergeCell ref="L3:X3"/>
    <mergeCell ref="A3:K3"/>
    <mergeCell ref="A32:K32"/>
    <mergeCell ref="L32:X32"/>
    <mergeCell ref="A46:K46"/>
    <mergeCell ref="L46:X46"/>
  </mergeCells>
  <phoneticPr fontId="18" type="noConversion"/>
  <hyperlinks>
    <hyperlink ref="A1" location="목록!A1" display="목록!A1" xr:uid="{CF8707FA-B6F8-4F97-9D35-93A65AD98AE5}"/>
  </hyperlinks>
  <pageMargins left="0.51181102362204722" right="0.43307086614173229" top="0.78740157480314965" bottom="0.39370078740157483" header="0.62992125984251968" footer="0.39370078740157483"/>
  <pageSetup paperSize="9" scale="82" orientation="portrait" r:id="rId1"/>
  <colBreaks count="1" manualBreakCount="1">
    <brk id="11" min="1" max="74" man="1"/>
  </colBreaks>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dimension ref="A1:Y84"/>
  <sheetViews>
    <sheetView showGridLines="0" showWhiteSpace="0" view="pageBreakPreview" zoomScaleNormal="100" zoomScaleSheetLayoutView="100" zoomScalePageLayoutView="85" workbookViewId="0">
      <selection activeCell="A2" sqref="A2:V73"/>
    </sheetView>
  </sheetViews>
  <sheetFormatPr defaultColWidth="2.6640625" defaultRowHeight="16.5"/>
  <cols>
    <col min="1" max="1" width="18.77734375" style="497" customWidth="1"/>
    <col min="2" max="2" width="24.5546875" style="497" customWidth="1"/>
    <col min="3" max="13" width="6.44140625" style="497" customWidth="1"/>
    <col min="14" max="14" width="6.5546875" style="497" customWidth="1"/>
    <col min="15" max="18" width="6.44140625" style="497" customWidth="1"/>
    <col min="19" max="19" width="7.77734375" style="497" customWidth="1"/>
    <col min="20" max="21" width="6.44140625" style="497" customWidth="1"/>
    <col min="22" max="22" width="6.44140625" style="498" customWidth="1"/>
    <col min="23" max="251" width="8" style="55" customWidth="1"/>
    <col min="252" max="252" width="14.44140625" style="55" customWidth="1"/>
    <col min="253" max="253" width="22.33203125" style="55" customWidth="1"/>
    <col min="254" max="16384" width="2.6640625" style="55"/>
  </cols>
  <sheetData>
    <row r="1" spans="1:22" ht="22.5">
      <c r="A1" s="901" t="s">
        <v>1332</v>
      </c>
    </row>
    <row r="2" spans="1:22" s="500" customFormat="1" ht="10.35" customHeight="1">
      <c r="A2" s="1428" t="s">
        <v>1045</v>
      </c>
      <c r="B2" s="1428"/>
      <c r="C2" s="1428"/>
      <c r="D2" s="1428"/>
      <c r="E2" s="1428"/>
      <c r="F2" s="1428"/>
      <c r="G2" s="1428"/>
      <c r="H2" s="1428"/>
      <c r="I2" s="1428"/>
      <c r="J2" s="1427" t="s">
        <v>979</v>
      </c>
      <c r="K2" s="1427"/>
      <c r="L2" s="1427"/>
      <c r="M2" s="1427"/>
      <c r="N2" s="1427"/>
      <c r="O2" s="1427"/>
      <c r="P2" s="1427"/>
      <c r="Q2" s="1427"/>
      <c r="R2" s="1427"/>
      <c r="S2" s="1427"/>
      <c r="T2" s="1427"/>
      <c r="U2" s="1427"/>
      <c r="V2" s="1427"/>
    </row>
    <row r="3" spans="1:22" s="57" customFormat="1" ht="21" customHeight="1">
      <c r="A3" s="1436" t="s">
        <v>908</v>
      </c>
      <c r="B3" s="1436"/>
      <c r="C3" s="1436"/>
      <c r="D3" s="1436"/>
      <c r="E3" s="1436"/>
      <c r="F3" s="1436"/>
      <c r="G3" s="1436"/>
      <c r="H3" s="1436"/>
      <c r="I3" s="1436"/>
      <c r="J3" s="1435" t="s">
        <v>1136</v>
      </c>
      <c r="K3" s="1435"/>
      <c r="L3" s="1435"/>
      <c r="M3" s="1435"/>
      <c r="N3" s="1435"/>
      <c r="O3" s="1435"/>
      <c r="P3" s="1435"/>
      <c r="Q3" s="1435"/>
      <c r="R3" s="1435"/>
      <c r="S3" s="1435"/>
      <c r="T3" s="1435"/>
      <c r="U3" s="1435"/>
      <c r="V3" s="1435"/>
    </row>
    <row r="4" spans="1:22" ht="14.1" customHeight="1" thickBot="1">
      <c r="A4" s="1437"/>
      <c r="B4" s="1437"/>
      <c r="C4" s="1437"/>
      <c r="D4" s="1437"/>
      <c r="E4" s="1437"/>
      <c r="F4" s="1437"/>
      <c r="G4" s="1437"/>
      <c r="H4" s="1437"/>
      <c r="I4" s="1437"/>
      <c r="J4" s="1437"/>
      <c r="K4" s="1437"/>
      <c r="L4" s="1437"/>
      <c r="M4" s="1437"/>
      <c r="N4" s="1437"/>
      <c r="O4" s="1437"/>
      <c r="P4" s="1437"/>
      <c r="Q4" s="1437"/>
      <c r="R4" s="1437"/>
      <c r="S4" s="1437"/>
      <c r="T4" s="1437"/>
      <c r="U4" s="1437"/>
      <c r="V4" s="1437"/>
    </row>
    <row r="5" spans="1:22" s="58" customFormat="1" ht="10.7" customHeight="1">
      <c r="A5" s="1429" t="s">
        <v>2</v>
      </c>
      <c r="B5" s="1430"/>
      <c r="C5" s="2029" t="s">
        <v>844</v>
      </c>
      <c r="D5" s="2030"/>
      <c r="E5" s="2030"/>
      <c r="F5" s="2030"/>
      <c r="G5" s="2030"/>
      <c r="H5" s="2030"/>
      <c r="I5" s="2030"/>
      <c r="J5" s="2030" t="s">
        <v>844</v>
      </c>
      <c r="K5" s="2030"/>
      <c r="L5" s="2030"/>
      <c r="M5" s="2030"/>
      <c r="N5" s="2030"/>
      <c r="O5" s="2030"/>
      <c r="P5" s="2030"/>
      <c r="Q5" s="2030"/>
      <c r="R5" s="2030"/>
      <c r="S5" s="2030"/>
      <c r="T5" s="2030"/>
      <c r="U5" s="2030"/>
      <c r="V5" s="2030"/>
    </row>
    <row r="6" spans="1:22" s="58" customFormat="1" ht="10.7" customHeight="1">
      <c r="A6" s="2031"/>
      <c r="B6" s="1431"/>
      <c r="C6" s="1433" t="s">
        <v>845</v>
      </c>
      <c r="D6" s="1434"/>
      <c r="E6" s="1434"/>
      <c r="F6" s="1434"/>
      <c r="G6" s="1434"/>
      <c r="H6" s="1434"/>
      <c r="I6" s="1434"/>
      <c r="J6" s="1434" t="s">
        <v>845</v>
      </c>
      <c r="K6" s="1434"/>
      <c r="L6" s="1434"/>
      <c r="M6" s="1434"/>
      <c r="N6" s="1434"/>
      <c r="O6" s="1434"/>
      <c r="P6" s="1434"/>
      <c r="Q6" s="1434"/>
      <c r="R6" s="1434"/>
      <c r="S6" s="1434"/>
      <c r="T6" s="1434"/>
      <c r="U6" s="1434"/>
      <c r="V6" s="1434"/>
    </row>
    <row r="7" spans="1:22" s="53" customFormat="1" ht="26.25" customHeight="1">
      <c r="A7" s="2031"/>
      <c r="B7" s="1431"/>
      <c r="C7" s="467" t="s">
        <v>203</v>
      </c>
      <c r="D7" s="985" t="s">
        <v>204</v>
      </c>
      <c r="E7" s="985" t="s">
        <v>151</v>
      </c>
      <c r="F7" s="985" t="s">
        <v>883</v>
      </c>
      <c r="G7" s="988" t="s">
        <v>854</v>
      </c>
      <c r="H7" s="985" t="s">
        <v>1088</v>
      </c>
      <c r="I7" s="985" t="s">
        <v>855</v>
      </c>
      <c r="J7" s="467" t="s">
        <v>856</v>
      </c>
      <c r="K7" s="988" t="s">
        <v>847</v>
      </c>
      <c r="L7" s="988" t="s">
        <v>299</v>
      </c>
      <c r="M7" s="988" t="s">
        <v>300</v>
      </c>
      <c r="N7" s="985" t="s">
        <v>1075</v>
      </c>
      <c r="O7" s="985" t="s">
        <v>848</v>
      </c>
      <c r="P7" s="988" t="s">
        <v>849</v>
      </c>
      <c r="Q7" s="985" t="s">
        <v>996</v>
      </c>
      <c r="R7" s="985" t="s">
        <v>837</v>
      </c>
      <c r="S7" s="468" t="s">
        <v>1169</v>
      </c>
      <c r="T7" s="468" t="s">
        <v>1170</v>
      </c>
      <c r="U7" s="985" t="s">
        <v>1171</v>
      </c>
      <c r="V7" s="469" t="s">
        <v>1172</v>
      </c>
    </row>
    <row r="8" spans="1:22" s="54" customFormat="1" ht="36.75" customHeight="1">
      <c r="A8" s="2032" t="s">
        <v>7</v>
      </c>
      <c r="B8" s="1432"/>
      <c r="C8" s="470" t="s">
        <v>211</v>
      </c>
      <c r="D8" s="470" t="s">
        <v>212</v>
      </c>
      <c r="E8" s="470" t="s">
        <v>1256</v>
      </c>
      <c r="F8" s="986" t="s">
        <v>288</v>
      </c>
      <c r="G8" s="470" t="s">
        <v>704</v>
      </c>
      <c r="H8" s="986" t="s">
        <v>1074</v>
      </c>
      <c r="I8" s="986" t="s">
        <v>705</v>
      </c>
      <c r="J8" s="470" t="s">
        <v>706</v>
      </c>
      <c r="K8" s="470" t="s">
        <v>850</v>
      </c>
      <c r="L8" s="470" t="s">
        <v>707</v>
      </c>
      <c r="M8" s="470" t="s">
        <v>839</v>
      </c>
      <c r="N8" s="471" t="s">
        <v>1257</v>
      </c>
      <c r="O8" s="470" t="s">
        <v>851</v>
      </c>
      <c r="P8" s="470" t="s">
        <v>709</v>
      </c>
      <c r="Q8" s="470" t="s">
        <v>997</v>
      </c>
      <c r="R8" s="471" t="s">
        <v>1173</v>
      </c>
      <c r="S8" s="471" t="s">
        <v>852</v>
      </c>
      <c r="T8" s="470" t="s">
        <v>853</v>
      </c>
      <c r="U8" s="470" t="s">
        <v>1174</v>
      </c>
      <c r="V8" s="815" t="s">
        <v>1175</v>
      </c>
    </row>
    <row r="9" spans="1:22" ht="11.25" customHeight="1">
      <c r="A9" s="2033" t="s">
        <v>27</v>
      </c>
      <c r="B9" s="472" t="s">
        <v>16</v>
      </c>
      <c r="C9" s="2034">
        <v>263</v>
      </c>
      <c r="D9" s="2034">
        <v>238</v>
      </c>
      <c r="E9" s="2034">
        <v>110</v>
      </c>
      <c r="F9" s="2034">
        <v>655</v>
      </c>
      <c r="G9" s="2034" t="s">
        <v>28</v>
      </c>
      <c r="H9" s="2034" t="s">
        <v>28</v>
      </c>
      <c r="I9" s="2034">
        <v>75</v>
      </c>
      <c r="J9" s="2034">
        <v>5</v>
      </c>
      <c r="K9" s="2034">
        <v>33</v>
      </c>
      <c r="L9" s="2034">
        <v>132</v>
      </c>
      <c r="M9" s="2034">
        <v>214</v>
      </c>
      <c r="N9" s="2034" t="s">
        <v>28</v>
      </c>
      <c r="O9" s="2034">
        <v>2</v>
      </c>
      <c r="P9" s="2034">
        <v>2</v>
      </c>
      <c r="Q9" s="2034">
        <v>5</v>
      </c>
      <c r="R9" s="2034">
        <v>133</v>
      </c>
      <c r="S9" s="2034">
        <v>3</v>
      </c>
      <c r="T9" s="2034">
        <v>1</v>
      </c>
      <c r="U9" s="2034">
        <v>4</v>
      </c>
      <c r="V9" s="2035" t="s">
        <v>28</v>
      </c>
    </row>
    <row r="10" spans="1:22" ht="11.25" customHeight="1">
      <c r="A10" s="2036" t="s">
        <v>29</v>
      </c>
      <c r="B10" s="475" t="s">
        <v>190</v>
      </c>
      <c r="C10" s="476">
        <v>248</v>
      </c>
      <c r="D10" s="476">
        <v>226</v>
      </c>
      <c r="E10" s="476">
        <v>109</v>
      </c>
      <c r="F10" s="476">
        <v>622</v>
      </c>
      <c r="G10" s="476" t="s">
        <v>28</v>
      </c>
      <c r="H10" s="476" t="s">
        <v>28</v>
      </c>
      <c r="I10" s="476">
        <v>71</v>
      </c>
      <c r="J10" s="476">
        <v>5</v>
      </c>
      <c r="K10" s="476">
        <v>22</v>
      </c>
      <c r="L10" s="476">
        <v>128</v>
      </c>
      <c r="M10" s="476">
        <v>202</v>
      </c>
      <c r="N10" s="476" t="s">
        <v>28</v>
      </c>
      <c r="O10" s="476">
        <v>2</v>
      </c>
      <c r="P10" s="476">
        <v>2</v>
      </c>
      <c r="Q10" s="476">
        <v>5</v>
      </c>
      <c r="R10" s="476">
        <v>128</v>
      </c>
      <c r="S10" s="476">
        <v>3</v>
      </c>
      <c r="T10" s="476">
        <v>1</v>
      </c>
      <c r="U10" s="476">
        <v>4</v>
      </c>
      <c r="V10" s="477" t="s">
        <v>28</v>
      </c>
    </row>
    <row r="11" spans="1:22" ht="11.25" customHeight="1">
      <c r="A11" s="2036" t="s">
        <v>31</v>
      </c>
      <c r="B11" s="475" t="s">
        <v>191</v>
      </c>
      <c r="C11" s="476">
        <v>15</v>
      </c>
      <c r="D11" s="476">
        <v>12</v>
      </c>
      <c r="E11" s="476">
        <v>1</v>
      </c>
      <c r="F11" s="476">
        <v>33</v>
      </c>
      <c r="G11" s="476" t="s">
        <v>28</v>
      </c>
      <c r="H11" s="476" t="s">
        <v>28</v>
      </c>
      <c r="I11" s="476">
        <v>4</v>
      </c>
      <c r="J11" s="476" t="s">
        <v>28</v>
      </c>
      <c r="K11" s="476">
        <v>11</v>
      </c>
      <c r="L11" s="476">
        <v>4</v>
      </c>
      <c r="M11" s="476">
        <v>12</v>
      </c>
      <c r="N11" s="476" t="s">
        <v>28</v>
      </c>
      <c r="O11" s="476" t="s">
        <v>28</v>
      </c>
      <c r="P11" s="476" t="s">
        <v>28</v>
      </c>
      <c r="Q11" s="476" t="s">
        <v>28</v>
      </c>
      <c r="R11" s="476">
        <v>5</v>
      </c>
      <c r="S11" s="476" t="s">
        <v>28</v>
      </c>
      <c r="T11" s="476" t="s">
        <v>28</v>
      </c>
      <c r="U11" s="476" t="s">
        <v>28</v>
      </c>
      <c r="V11" s="477" t="s">
        <v>28</v>
      </c>
    </row>
    <row r="12" spans="1:22" ht="11.25" customHeight="1">
      <c r="A12" s="2033" t="s">
        <v>289</v>
      </c>
      <c r="B12" s="472" t="s">
        <v>832</v>
      </c>
      <c r="C12" s="478">
        <v>50</v>
      </c>
      <c r="D12" s="478">
        <v>47</v>
      </c>
      <c r="E12" s="478">
        <v>28</v>
      </c>
      <c r="F12" s="478">
        <v>112</v>
      </c>
      <c r="G12" s="478" t="s">
        <v>28</v>
      </c>
      <c r="H12" s="478" t="s">
        <v>28</v>
      </c>
      <c r="I12" s="478">
        <v>4</v>
      </c>
      <c r="J12" s="478">
        <v>1</v>
      </c>
      <c r="K12" s="478">
        <v>16</v>
      </c>
      <c r="L12" s="478">
        <v>106</v>
      </c>
      <c r="M12" s="478">
        <v>56</v>
      </c>
      <c r="N12" s="478" t="s">
        <v>28</v>
      </c>
      <c r="O12" s="478">
        <v>1</v>
      </c>
      <c r="P12" s="478" t="s">
        <v>28</v>
      </c>
      <c r="Q12" s="478" t="s">
        <v>28</v>
      </c>
      <c r="R12" s="478">
        <v>30</v>
      </c>
      <c r="S12" s="478">
        <v>1</v>
      </c>
      <c r="T12" s="478">
        <v>1</v>
      </c>
      <c r="U12" s="478">
        <v>1</v>
      </c>
      <c r="V12" s="479" t="s">
        <v>28</v>
      </c>
    </row>
    <row r="13" spans="1:22" ht="11.25" customHeight="1">
      <c r="A13" s="2036" t="s">
        <v>29</v>
      </c>
      <c r="B13" s="475" t="s">
        <v>190</v>
      </c>
      <c r="C13" s="476">
        <v>48</v>
      </c>
      <c r="D13" s="476">
        <v>45</v>
      </c>
      <c r="E13" s="476">
        <v>28</v>
      </c>
      <c r="F13" s="476">
        <v>108</v>
      </c>
      <c r="G13" s="476" t="s">
        <v>28</v>
      </c>
      <c r="H13" s="476" t="s">
        <v>28</v>
      </c>
      <c r="I13" s="476">
        <v>4</v>
      </c>
      <c r="J13" s="476">
        <v>1</v>
      </c>
      <c r="K13" s="476">
        <v>13</v>
      </c>
      <c r="L13" s="476">
        <v>104</v>
      </c>
      <c r="M13" s="476">
        <v>54</v>
      </c>
      <c r="N13" s="476" t="s">
        <v>28</v>
      </c>
      <c r="O13" s="476">
        <v>1</v>
      </c>
      <c r="P13" s="476" t="s">
        <v>28</v>
      </c>
      <c r="Q13" s="476" t="s">
        <v>28</v>
      </c>
      <c r="R13" s="476">
        <v>29</v>
      </c>
      <c r="S13" s="476">
        <v>1</v>
      </c>
      <c r="T13" s="476">
        <v>1</v>
      </c>
      <c r="U13" s="476">
        <v>1</v>
      </c>
      <c r="V13" s="477" t="s">
        <v>28</v>
      </c>
    </row>
    <row r="14" spans="1:22" ht="11.25" customHeight="1">
      <c r="A14" s="2036" t="s">
        <v>31</v>
      </c>
      <c r="B14" s="475" t="s">
        <v>191</v>
      </c>
      <c r="C14" s="476">
        <v>2</v>
      </c>
      <c r="D14" s="476">
        <v>2</v>
      </c>
      <c r="E14" s="476" t="s">
        <v>28</v>
      </c>
      <c r="F14" s="476">
        <v>4</v>
      </c>
      <c r="G14" s="476" t="s">
        <v>28</v>
      </c>
      <c r="H14" s="476" t="s">
        <v>28</v>
      </c>
      <c r="I14" s="476" t="s">
        <v>28</v>
      </c>
      <c r="J14" s="476" t="s">
        <v>28</v>
      </c>
      <c r="K14" s="476">
        <v>3</v>
      </c>
      <c r="L14" s="476">
        <v>2</v>
      </c>
      <c r="M14" s="476">
        <v>2</v>
      </c>
      <c r="N14" s="476" t="s">
        <v>28</v>
      </c>
      <c r="O14" s="476" t="s">
        <v>28</v>
      </c>
      <c r="P14" s="476" t="s">
        <v>28</v>
      </c>
      <c r="Q14" s="476" t="s">
        <v>28</v>
      </c>
      <c r="R14" s="476">
        <v>1</v>
      </c>
      <c r="S14" s="476" t="s">
        <v>28</v>
      </c>
      <c r="T14" s="476" t="s">
        <v>28</v>
      </c>
      <c r="U14" s="476" t="s">
        <v>28</v>
      </c>
      <c r="V14" s="477" t="s">
        <v>28</v>
      </c>
    </row>
    <row r="15" spans="1:22" ht="11.25" customHeight="1">
      <c r="A15" s="2033" t="s">
        <v>290</v>
      </c>
      <c r="B15" s="472" t="s">
        <v>833</v>
      </c>
      <c r="C15" s="478">
        <v>69</v>
      </c>
      <c r="D15" s="478">
        <v>59</v>
      </c>
      <c r="E15" s="478">
        <v>69</v>
      </c>
      <c r="F15" s="478">
        <v>329</v>
      </c>
      <c r="G15" s="478" t="s">
        <v>28</v>
      </c>
      <c r="H15" s="478" t="s">
        <v>28</v>
      </c>
      <c r="I15" s="478">
        <v>3</v>
      </c>
      <c r="J15" s="478" t="s">
        <v>28</v>
      </c>
      <c r="K15" s="478">
        <v>11</v>
      </c>
      <c r="L15" s="478">
        <v>16</v>
      </c>
      <c r="M15" s="478">
        <v>91</v>
      </c>
      <c r="N15" s="478" t="s">
        <v>28</v>
      </c>
      <c r="O15" s="478" t="s">
        <v>28</v>
      </c>
      <c r="P15" s="478" t="s">
        <v>28</v>
      </c>
      <c r="Q15" s="478" t="s">
        <v>28</v>
      </c>
      <c r="R15" s="478">
        <v>21</v>
      </c>
      <c r="S15" s="478" t="s">
        <v>28</v>
      </c>
      <c r="T15" s="478" t="s">
        <v>28</v>
      </c>
      <c r="U15" s="478" t="s">
        <v>28</v>
      </c>
      <c r="V15" s="479" t="s">
        <v>28</v>
      </c>
    </row>
    <row r="16" spans="1:22" ht="11.25" customHeight="1">
      <c r="A16" s="2036" t="s">
        <v>29</v>
      </c>
      <c r="B16" s="475" t="s">
        <v>190</v>
      </c>
      <c r="C16" s="476">
        <v>63</v>
      </c>
      <c r="D16" s="476">
        <v>54</v>
      </c>
      <c r="E16" s="476">
        <v>68</v>
      </c>
      <c r="F16" s="476">
        <v>312</v>
      </c>
      <c r="G16" s="476" t="s">
        <v>28</v>
      </c>
      <c r="H16" s="476" t="s">
        <v>28</v>
      </c>
      <c r="I16" s="476">
        <v>3</v>
      </c>
      <c r="J16" s="476" t="s">
        <v>28</v>
      </c>
      <c r="K16" s="476">
        <v>7</v>
      </c>
      <c r="L16" s="476">
        <v>16</v>
      </c>
      <c r="M16" s="476">
        <v>87</v>
      </c>
      <c r="N16" s="476" t="s">
        <v>28</v>
      </c>
      <c r="O16" s="476" t="s">
        <v>28</v>
      </c>
      <c r="P16" s="476" t="s">
        <v>28</v>
      </c>
      <c r="Q16" s="476" t="s">
        <v>28</v>
      </c>
      <c r="R16" s="476">
        <v>20</v>
      </c>
      <c r="S16" s="476" t="s">
        <v>28</v>
      </c>
      <c r="T16" s="476" t="s">
        <v>28</v>
      </c>
      <c r="U16" s="476" t="s">
        <v>28</v>
      </c>
      <c r="V16" s="477" t="s">
        <v>28</v>
      </c>
    </row>
    <row r="17" spans="1:22" ht="11.25" customHeight="1">
      <c r="A17" s="2036" t="s">
        <v>31</v>
      </c>
      <c r="B17" s="475" t="s">
        <v>191</v>
      </c>
      <c r="C17" s="476">
        <v>6</v>
      </c>
      <c r="D17" s="476">
        <v>5</v>
      </c>
      <c r="E17" s="476">
        <v>1</v>
      </c>
      <c r="F17" s="476">
        <v>17</v>
      </c>
      <c r="G17" s="476" t="s">
        <v>28</v>
      </c>
      <c r="H17" s="476" t="s">
        <v>28</v>
      </c>
      <c r="I17" s="476" t="s">
        <v>28</v>
      </c>
      <c r="J17" s="476" t="s">
        <v>28</v>
      </c>
      <c r="K17" s="476">
        <v>4</v>
      </c>
      <c r="L17" s="476" t="s">
        <v>28</v>
      </c>
      <c r="M17" s="476">
        <v>4</v>
      </c>
      <c r="N17" s="476" t="s">
        <v>28</v>
      </c>
      <c r="O17" s="476" t="s">
        <v>28</v>
      </c>
      <c r="P17" s="476" t="s">
        <v>28</v>
      </c>
      <c r="Q17" s="476" t="s">
        <v>28</v>
      </c>
      <c r="R17" s="476">
        <v>1</v>
      </c>
      <c r="S17" s="476" t="s">
        <v>28</v>
      </c>
      <c r="T17" s="476" t="s">
        <v>28</v>
      </c>
      <c r="U17" s="476" t="s">
        <v>28</v>
      </c>
      <c r="V17" s="477" t="s">
        <v>28</v>
      </c>
    </row>
    <row r="18" spans="1:22" ht="11.25" customHeight="1">
      <c r="A18" s="2033" t="s">
        <v>291</v>
      </c>
      <c r="B18" s="480" t="s">
        <v>292</v>
      </c>
      <c r="C18" s="478">
        <v>39</v>
      </c>
      <c r="D18" s="478">
        <v>47</v>
      </c>
      <c r="E18" s="478">
        <v>8</v>
      </c>
      <c r="F18" s="478">
        <v>115</v>
      </c>
      <c r="G18" s="478" t="s">
        <v>28</v>
      </c>
      <c r="H18" s="478" t="s">
        <v>28</v>
      </c>
      <c r="I18" s="478">
        <v>53</v>
      </c>
      <c r="J18" s="478">
        <v>4</v>
      </c>
      <c r="K18" s="478">
        <v>5</v>
      </c>
      <c r="L18" s="478">
        <v>5</v>
      </c>
      <c r="M18" s="478">
        <v>51</v>
      </c>
      <c r="N18" s="478" t="s">
        <v>28</v>
      </c>
      <c r="O18" s="478">
        <v>1</v>
      </c>
      <c r="P18" s="478">
        <v>2</v>
      </c>
      <c r="Q18" s="478">
        <v>5</v>
      </c>
      <c r="R18" s="478">
        <v>47</v>
      </c>
      <c r="S18" s="478">
        <v>2</v>
      </c>
      <c r="T18" s="478" t="s">
        <v>28</v>
      </c>
      <c r="U18" s="478">
        <v>3</v>
      </c>
      <c r="V18" s="479" t="s">
        <v>28</v>
      </c>
    </row>
    <row r="19" spans="1:22" ht="11.25" customHeight="1">
      <c r="A19" s="2036" t="s">
        <v>29</v>
      </c>
      <c r="B19" s="475" t="s">
        <v>190</v>
      </c>
      <c r="C19" s="476">
        <v>37</v>
      </c>
      <c r="D19" s="476">
        <v>46</v>
      </c>
      <c r="E19" s="476">
        <v>8</v>
      </c>
      <c r="F19" s="476">
        <v>107</v>
      </c>
      <c r="G19" s="476" t="s">
        <v>28</v>
      </c>
      <c r="H19" s="476" t="s">
        <v>28</v>
      </c>
      <c r="I19" s="476">
        <v>51</v>
      </c>
      <c r="J19" s="476">
        <v>4</v>
      </c>
      <c r="K19" s="476">
        <v>1</v>
      </c>
      <c r="L19" s="476">
        <v>3</v>
      </c>
      <c r="M19" s="476">
        <v>45</v>
      </c>
      <c r="N19" s="476" t="s">
        <v>28</v>
      </c>
      <c r="O19" s="476">
        <v>1</v>
      </c>
      <c r="P19" s="476">
        <v>2</v>
      </c>
      <c r="Q19" s="476">
        <v>5</v>
      </c>
      <c r="R19" s="476">
        <v>45</v>
      </c>
      <c r="S19" s="476">
        <v>2</v>
      </c>
      <c r="T19" s="476" t="s">
        <v>28</v>
      </c>
      <c r="U19" s="476">
        <v>3</v>
      </c>
      <c r="V19" s="477" t="s">
        <v>28</v>
      </c>
    </row>
    <row r="20" spans="1:22" ht="11.25" customHeight="1">
      <c r="A20" s="2036" t="s">
        <v>31</v>
      </c>
      <c r="B20" s="475" t="s">
        <v>191</v>
      </c>
      <c r="C20" s="476">
        <v>2</v>
      </c>
      <c r="D20" s="476">
        <v>1</v>
      </c>
      <c r="E20" s="476" t="s">
        <v>28</v>
      </c>
      <c r="F20" s="476">
        <v>8</v>
      </c>
      <c r="G20" s="476" t="s">
        <v>28</v>
      </c>
      <c r="H20" s="476" t="s">
        <v>28</v>
      </c>
      <c r="I20" s="476">
        <v>2</v>
      </c>
      <c r="J20" s="476" t="s">
        <v>28</v>
      </c>
      <c r="K20" s="476">
        <v>4</v>
      </c>
      <c r="L20" s="476">
        <v>2</v>
      </c>
      <c r="M20" s="476">
        <v>6</v>
      </c>
      <c r="N20" s="476" t="s">
        <v>28</v>
      </c>
      <c r="O20" s="476" t="s">
        <v>28</v>
      </c>
      <c r="P20" s="476" t="s">
        <v>28</v>
      </c>
      <c r="Q20" s="476" t="s">
        <v>28</v>
      </c>
      <c r="R20" s="476">
        <v>2</v>
      </c>
      <c r="S20" s="476" t="s">
        <v>28</v>
      </c>
      <c r="T20" s="476" t="s">
        <v>28</v>
      </c>
      <c r="U20" s="476" t="s">
        <v>28</v>
      </c>
      <c r="V20" s="477" t="s">
        <v>28</v>
      </c>
    </row>
    <row r="21" spans="1:22" ht="11.25" customHeight="1">
      <c r="A21" s="2033" t="s">
        <v>293</v>
      </c>
      <c r="B21" s="472" t="s">
        <v>294</v>
      </c>
      <c r="C21" s="478">
        <v>105</v>
      </c>
      <c r="D21" s="478">
        <v>85</v>
      </c>
      <c r="E21" s="478">
        <v>4</v>
      </c>
      <c r="F21" s="478">
        <v>97</v>
      </c>
      <c r="G21" s="478" t="s">
        <v>28</v>
      </c>
      <c r="H21" s="478" t="s">
        <v>28</v>
      </c>
      <c r="I21" s="478">
        <v>15</v>
      </c>
      <c r="J21" s="478" t="s">
        <v>28</v>
      </c>
      <c r="K21" s="478">
        <v>1</v>
      </c>
      <c r="L21" s="478">
        <v>5</v>
      </c>
      <c r="M21" s="478">
        <v>15</v>
      </c>
      <c r="N21" s="478" t="s">
        <v>28</v>
      </c>
      <c r="O21" s="478" t="s">
        <v>28</v>
      </c>
      <c r="P21" s="478" t="s">
        <v>28</v>
      </c>
      <c r="Q21" s="478" t="s">
        <v>28</v>
      </c>
      <c r="R21" s="478">
        <v>35</v>
      </c>
      <c r="S21" s="478" t="s">
        <v>28</v>
      </c>
      <c r="T21" s="478" t="s">
        <v>28</v>
      </c>
      <c r="U21" s="478" t="s">
        <v>28</v>
      </c>
      <c r="V21" s="479" t="s">
        <v>28</v>
      </c>
    </row>
    <row r="22" spans="1:22" ht="11.25" customHeight="1">
      <c r="A22" s="2036" t="s">
        <v>29</v>
      </c>
      <c r="B22" s="475" t="s">
        <v>190</v>
      </c>
      <c r="C22" s="476">
        <v>100</v>
      </c>
      <c r="D22" s="476">
        <v>81</v>
      </c>
      <c r="E22" s="476">
        <v>4</v>
      </c>
      <c r="F22" s="476">
        <v>93</v>
      </c>
      <c r="G22" s="476" t="s">
        <v>28</v>
      </c>
      <c r="H22" s="476" t="s">
        <v>28</v>
      </c>
      <c r="I22" s="476">
        <v>13</v>
      </c>
      <c r="J22" s="476" t="s">
        <v>28</v>
      </c>
      <c r="K22" s="476">
        <v>1</v>
      </c>
      <c r="L22" s="476">
        <v>5</v>
      </c>
      <c r="M22" s="476">
        <v>15</v>
      </c>
      <c r="N22" s="476" t="s">
        <v>28</v>
      </c>
      <c r="O22" s="476" t="s">
        <v>28</v>
      </c>
      <c r="P22" s="476" t="s">
        <v>28</v>
      </c>
      <c r="Q22" s="476" t="s">
        <v>28</v>
      </c>
      <c r="R22" s="476">
        <v>34</v>
      </c>
      <c r="S22" s="476" t="s">
        <v>28</v>
      </c>
      <c r="T22" s="476" t="s">
        <v>28</v>
      </c>
      <c r="U22" s="476" t="s">
        <v>28</v>
      </c>
      <c r="V22" s="477" t="s">
        <v>28</v>
      </c>
    </row>
    <row r="23" spans="1:22" ht="11.25" customHeight="1">
      <c r="A23" s="2036" t="s">
        <v>31</v>
      </c>
      <c r="B23" s="475" t="s">
        <v>191</v>
      </c>
      <c r="C23" s="476">
        <v>5</v>
      </c>
      <c r="D23" s="476">
        <v>4</v>
      </c>
      <c r="E23" s="476" t="s">
        <v>28</v>
      </c>
      <c r="F23" s="476">
        <v>4</v>
      </c>
      <c r="G23" s="476" t="s">
        <v>28</v>
      </c>
      <c r="H23" s="476" t="s">
        <v>28</v>
      </c>
      <c r="I23" s="476">
        <v>2</v>
      </c>
      <c r="J23" s="476" t="s">
        <v>28</v>
      </c>
      <c r="K23" s="476" t="s">
        <v>28</v>
      </c>
      <c r="L23" s="476" t="s">
        <v>28</v>
      </c>
      <c r="M23" s="476" t="s">
        <v>28</v>
      </c>
      <c r="N23" s="476" t="s">
        <v>28</v>
      </c>
      <c r="O23" s="476" t="s">
        <v>28</v>
      </c>
      <c r="P23" s="476" t="s">
        <v>28</v>
      </c>
      <c r="Q23" s="476" t="s">
        <v>28</v>
      </c>
      <c r="R23" s="476">
        <v>1</v>
      </c>
      <c r="S23" s="476" t="s">
        <v>28</v>
      </c>
      <c r="T23" s="476" t="s">
        <v>28</v>
      </c>
      <c r="U23" s="476" t="s">
        <v>28</v>
      </c>
      <c r="V23" s="477" t="s">
        <v>28</v>
      </c>
    </row>
    <row r="24" spans="1:22" ht="11.25" customHeight="1">
      <c r="A24" s="2033" t="s">
        <v>295</v>
      </c>
      <c r="B24" s="472" t="s">
        <v>296</v>
      </c>
      <c r="C24" s="481" t="s">
        <v>28</v>
      </c>
      <c r="D24" s="481" t="s">
        <v>28</v>
      </c>
      <c r="E24" s="481" t="s">
        <v>28</v>
      </c>
      <c r="F24" s="478">
        <v>1</v>
      </c>
      <c r="G24" s="478" t="s">
        <v>28</v>
      </c>
      <c r="H24" s="478" t="s">
        <v>28</v>
      </c>
      <c r="I24" s="478" t="s">
        <v>28</v>
      </c>
      <c r="J24" s="478" t="s">
        <v>28</v>
      </c>
      <c r="K24" s="478" t="s">
        <v>28</v>
      </c>
      <c r="L24" s="478" t="s">
        <v>28</v>
      </c>
      <c r="M24" s="478" t="s">
        <v>28</v>
      </c>
      <c r="N24" s="478" t="s">
        <v>28</v>
      </c>
      <c r="O24" s="478" t="s">
        <v>28</v>
      </c>
      <c r="P24" s="478" t="s">
        <v>28</v>
      </c>
      <c r="Q24" s="478" t="s">
        <v>28</v>
      </c>
      <c r="R24" s="478" t="s">
        <v>28</v>
      </c>
      <c r="S24" s="478" t="s">
        <v>28</v>
      </c>
      <c r="T24" s="478" t="s">
        <v>28</v>
      </c>
      <c r="U24" s="478" t="s">
        <v>28</v>
      </c>
      <c r="V24" s="479" t="s">
        <v>28</v>
      </c>
    </row>
    <row r="25" spans="1:22" ht="11.25" customHeight="1">
      <c r="A25" s="2036" t="s">
        <v>29</v>
      </c>
      <c r="B25" s="475" t="s">
        <v>190</v>
      </c>
      <c r="C25" s="476" t="s">
        <v>28</v>
      </c>
      <c r="D25" s="476" t="s">
        <v>28</v>
      </c>
      <c r="E25" s="476" t="s">
        <v>28</v>
      </c>
      <c r="F25" s="476">
        <v>1</v>
      </c>
      <c r="G25" s="476" t="s">
        <v>28</v>
      </c>
      <c r="H25" s="476" t="s">
        <v>28</v>
      </c>
      <c r="I25" s="476" t="s">
        <v>28</v>
      </c>
      <c r="J25" s="476" t="s">
        <v>28</v>
      </c>
      <c r="K25" s="476" t="s">
        <v>28</v>
      </c>
      <c r="L25" s="476" t="s">
        <v>28</v>
      </c>
      <c r="M25" s="476" t="s">
        <v>28</v>
      </c>
      <c r="N25" s="476" t="s">
        <v>28</v>
      </c>
      <c r="O25" s="476" t="s">
        <v>28</v>
      </c>
      <c r="P25" s="476" t="s">
        <v>28</v>
      </c>
      <c r="Q25" s="476" t="s">
        <v>28</v>
      </c>
      <c r="R25" s="476" t="s">
        <v>28</v>
      </c>
      <c r="S25" s="476" t="s">
        <v>28</v>
      </c>
      <c r="T25" s="476" t="s">
        <v>28</v>
      </c>
      <c r="U25" s="476" t="s">
        <v>28</v>
      </c>
      <c r="V25" s="477" t="s">
        <v>28</v>
      </c>
    </row>
    <row r="26" spans="1:22" ht="11.25" customHeight="1">
      <c r="A26" s="2036" t="s">
        <v>31</v>
      </c>
      <c r="B26" s="475" t="s">
        <v>191</v>
      </c>
      <c r="C26" s="476" t="s">
        <v>28</v>
      </c>
      <c r="D26" s="476" t="s">
        <v>28</v>
      </c>
      <c r="E26" s="476" t="s">
        <v>28</v>
      </c>
      <c r="F26" s="476" t="s">
        <v>28</v>
      </c>
      <c r="G26" s="476" t="s">
        <v>28</v>
      </c>
      <c r="H26" s="476" t="s">
        <v>28</v>
      </c>
      <c r="I26" s="476" t="s">
        <v>28</v>
      </c>
      <c r="J26" s="476" t="s">
        <v>28</v>
      </c>
      <c r="K26" s="476" t="s">
        <v>28</v>
      </c>
      <c r="L26" s="476" t="s">
        <v>28</v>
      </c>
      <c r="M26" s="476" t="s">
        <v>28</v>
      </c>
      <c r="N26" s="476" t="s">
        <v>28</v>
      </c>
      <c r="O26" s="476" t="s">
        <v>28</v>
      </c>
      <c r="P26" s="476" t="s">
        <v>28</v>
      </c>
      <c r="Q26" s="476" t="s">
        <v>28</v>
      </c>
      <c r="R26" s="476" t="s">
        <v>28</v>
      </c>
      <c r="S26" s="476" t="s">
        <v>28</v>
      </c>
      <c r="T26" s="476" t="s">
        <v>28</v>
      </c>
      <c r="U26" s="476" t="s">
        <v>28</v>
      </c>
      <c r="V26" s="477" t="s">
        <v>28</v>
      </c>
    </row>
    <row r="27" spans="1:22" ht="11.25" customHeight="1">
      <c r="A27" s="2037" t="s">
        <v>297</v>
      </c>
      <c r="B27" s="472" t="s">
        <v>834</v>
      </c>
      <c r="C27" s="481" t="s">
        <v>28</v>
      </c>
      <c r="D27" s="481" t="s">
        <v>28</v>
      </c>
      <c r="E27" s="481">
        <v>1</v>
      </c>
      <c r="F27" s="478">
        <v>1</v>
      </c>
      <c r="G27" s="478" t="s">
        <v>28</v>
      </c>
      <c r="H27" s="478" t="s">
        <v>28</v>
      </c>
      <c r="I27" s="478" t="s">
        <v>28</v>
      </c>
      <c r="J27" s="478" t="s">
        <v>28</v>
      </c>
      <c r="K27" s="478" t="s">
        <v>28</v>
      </c>
      <c r="L27" s="478" t="s">
        <v>28</v>
      </c>
      <c r="M27" s="478">
        <v>1</v>
      </c>
      <c r="N27" s="478" t="s">
        <v>28</v>
      </c>
      <c r="O27" s="478" t="s">
        <v>28</v>
      </c>
      <c r="P27" s="478" t="s">
        <v>28</v>
      </c>
      <c r="Q27" s="478" t="s">
        <v>28</v>
      </c>
      <c r="R27" s="478" t="s">
        <v>28</v>
      </c>
      <c r="S27" s="478" t="s">
        <v>28</v>
      </c>
      <c r="T27" s="478" t="s">
        <v>28</v>
      </c>
      <c r="U27" s="478" t="s">
        <v>28</v>
      </c>
      <c r="V27" s="479" t="s">
        <v>28</v>
      </c>
    </row>
    <row r="28" spans="1:22" ht="11.25" customHeight="1">
      <c r="A28" s="2036" t="s">
        <v>29</v>
      </c>
      <c r="B28" s="475" t="s">
        <v>190</v>
      </c>
      <c r="C28" s="476" t="s">
        <v>28</v>
      </c>
      <c r="D28" s="476" t="s">
        <v>28</v>
      </c>
      <c r="E28" s="476">
        <v>1</v>
      </c>
      <c r="F28" s="476">
        <v>1</v>
      </c>
      <c r="G28" s="476" t="s">
        <v>28</v>
      </c>
      <c r="H28" s="476" t="s">
        <v>28</v>
      </c>
      <c r="I28" s="476" t="s">
        <v>28</v>
      </c>
      <c r="J28" s="476" t="s">
        <v>28</v>
      </c>
      <c r="K28" s="476" t="s">
        <v>28</v>
      </c>
      <c r="L28" s="476" t="s">
        <v>28</v>
      </c>
      <c r="M28" s="476">
        <v>1</v>
      </c>
      <c r="N28" s="476" t="s">
        <v>28</v>
      </c>
      <c r="O28" s="476" t="s">
        <v>28</v>
      </c>
      <c r="P28" s="476" t="s">
        <v>28</v>
      </c>
      <c r="Q28" s="476" t="s">
        <v>28</v>
      </c>
      <c r="R28" s="476" t="s">
        <v>28</v>
      </c>
      <c r="S28" s="476" t="s">
        <v>28</v>
      </c>
      <c r="T28" s="476" t="s">
        <v>28</v>
      </c>
      <c r="U28" s="476" t="s">
        <v>28</v>
      </c>
      <c r="V28" s="477" t="s">
        <v>28</v>
      </c>
    </row>
    <row r="29" spans="1:22" ht="11.25" customHeight="1">
      <c r="A29" s="2033" t="s">
        <v>298</v>
      </c>
      <c r="B29" s="472" t="s">
        <v>150</v>
      </c>
      <c r="C29" s="478" t="s">
        <v>28</v>
      </c>
      <c r="D29" s="478" t="s">
        <v>28</v>
      </c>
      <c r="E29" s="478" t="s">
        <v>28</v>
      </c>
      <c r="F29" s="478" t="s">
        <v>28</v>
      </c>
      <c r="G29" s="478" t="s">
        <v>28</v>
      </c>
      <c r="H29" s="478" t="s">
        <v>28</v>
      </c>
      <c r="I29" s="478" t="s">
        <v>28</v>
      </c>
      <c r="J29" s="478" t="s">
        <v>28</v>
      </c>
      <c r="K29" s="478" t="s">
        <v>28</v>
      </c>
      <c r="L29" s="478" t="s">
        <v>28</v>
      </c>
      <c r="M29" s="478" t="s">
        <v>28</v>
      </c>
      <c r="N29" s="478" t="s">
        <v>28</v>
      </c>
      <c r="O29" s="478" t="s">
        <v>28</v>
      </c>
      <c r="P29" s="478" t="s">
        <v>28</v>
      </c>
      <c r="Q29" s="478" t="s">
        <v>28</v>
      </c>
      <c r="R29" s="478" t="s">
        <v>28</v>
      </c>
      <c r="S29" s="478" t="s">
        <v>28</v>
      </c>
      <c r="T29" s="478" t="s">
        <v>28</v>
      </c>
      <c r="U29" s="478" t="s">
        <v>28</v>
      </c>
      <c r="V29" s="479" t="s">
        <v>28</v>
      </c>
    </row>
    <row r="30" spans="1:22" ht="11.25" customHeight="1">
      <c r="A30" s="2038" t="s">
        <v>29</v>
      </c>
      <c r="B30" s="2039" t="s">
        <v>190</v>
      </c>
      <c r="C30" s="2040" t="s">
        <v>28</v>
      </c>
      <c r="D30" s="2040" t="s">
        <v>28</v>
      </c>
      <c r="E30" s="2040" t="s">
        <v>28</v>
      </c>
      <c r="F30" s="2040" t="s">
        <v>28</v>
      </c>
      <c r="G30" s="2040" t="s">
        <v>28</v>
      </c>
      <c r="H30" s="2040" t="s">
        <v>28</v>
      </c>
      <c r="I30" s="2040" t="s">
        <v>28</v>
      </c>
      <c r="J30" s="2040" t="s">
        <v>28</v>
      </c>
      <c r="K30" s="2040" t="s">
        <v>28</v>
      </c>
      <c r="L30" s="2040" t="s">
        <v>28</v>
      </c>
      <c r="M30" s="2040" t="s">
        <v>28</v>
      </c>
      <c r="N30" s="2040" t="s">
        <v>28</v>
      </c>
      <c r="O30" s="2040" t="s">
        <v>28</v>
      </c>
      <c r="P30" s="2040" t="s">
        <v>28</v>
      </c>
      <c r="Q30" s="2040" t="s">
        <v>28</v>
      </c>
      <c r="R30" s="2040" t="s">
        <v>28</v>
      </c>
      <c r="S30" s="2040" t="s">
        <v>28</v>
      </c>
      <c r="T30" s="2040" t="s">
        <v>28</v>
      </c>
      <c r="U30" s="2040" t="s">
        <v>28</v>
      </c>
      <c r="V30" s="2041" t="s">
        <v>28</v>
      </c>
    </row>
    <row r="31" spans="1:22" ht="11.25" customHeight="1" thickBot="1">
      <c r="A31" s="2036" t="s">
        <v>31</v>
      </c>
      <c r="B31" s="475" t="s">
        <v>191</v>
      </c>
      <c r="C31" s="476" t="s">
        <v>28</v>
      </c>
      <c r="D31" s="476" t="s">
        <v>28</v>
      </c>
      <c r="E31" s="476" t="s">
        <v>28</v>
      </c>
      <c r="F31" s="476" t="s">
        <v>28</v>
      </c>
      <c r="G31" s="476" t="s">
        <v>28</v>
      </c>
      <c r="H31" s="476" t="s">
        <v>28</v>
      </c>
      <c r="I31" s="476" t="s">
        <v>28</v>
      </c>
      <c r="J31" s="476" t="s">
        <v>28</v>
      </c>
      <c r="K31" s="476" t="s">
        <v>28</v>
      </c>
      <c r="L31" s="476" t="s">
        <v>28</v>
      </c>
      <c r="M31" s="476" t="s">
        <v>28</v>
      </c>
      <c r="N31" s="476" t="s">
        <v>28</v>
      </c>
      <c r="O31" s="476" t="s">
        <v>28</v>
      </c>
      <c r="P31" s="476" t="s">
        <v>28</v>
      </c>
      <c r="Q31" s="476" t="s">
        <v>28</v>
      </c>
      <c r="R31" s="476" t="s">
        <v>28</v>
      </c>
      <c r="S31" s="476" t="s">
        <v>28</v>
      </c>
      <c r="T31" s="476" t="s">
        <v>28</v>
      </c>
      <c r="U31" s="476" t="s">
        <v>28</v>
      </c>
      <c r="V31" s="477" t="s">
        <v>28</v>
      </c>
    </row>
    <row r="32" spans="1:22" ht="11.25" customHeight="1" thickBot="1">
      <c r="A32" s="2042" t="s">
        <v>846</v>
      </c>
      <c r="B32" s="2042"/>
      <c r="C32" s="2042"/>
      <c r="D32" s="2042"/>
      <c r="E32" s="2042"/>
      <c r="F32" s="2042"/>
      <c r="G32" s="2042"/>
      <c r="H32" s="2042"/>
      <c r="I32" s="2042"/>
      <c r="J32" s="2042" t="s">
        <v>646</v>
      </c>
      <c r="K32" s="2042"/>
      <c r="L32" s="2042"/>
      <c r="M32" s="2042"/>
      <c r="N32" s="2042"/>
      <c r="O32" s="2042"/>
      <c r="P32" s="2042"/>
      <c r="Q32" s="2042"/>
      <c r="R32" s="2042"/>
      <c r="S32" s="2042"/>
      <c r="T32" s="2042"/>
      <c r="U32" s="2042"/>
      <c r="V32" s="2042"/>
    </row>
    <row r="33" spans="1:22" ht="11.25" customHeight="1">
      <c r="A33" s="484" t="s">
        <v>35</v>
      </c>
      <c r="B33" s="485" t="s">
        <v>36</v>
      </c>
      <c r="C33" s="486">
        <v>49</v>
      </c>
      <c r="D33" s="486">
        <v>43</v>
      </c>
      <c r="E33" s="486">
        <v>16</v>
      </c>
      <c r="F33" s="486">
        <v>127</v>
      </c>
      <c r="G33" s="486" t="s">
        <v>28</v>
      </c>
      <c r="H33" s="486" t="s">
        <v>28</v>
      </c>
      <c r="I33" s="486">
        <v>7</v>
      </c>
      <c r="J33" s="487">
        <v>3</v>
      </c>
      <c r="K33" s="487">
        <v>17</v>
      </c>
      <c r="L33" s="486">
        <v>31</v>
      </c>
      <c r="M33" s="486">
        <v>34</v>
      </c>
      <c r="N33" s="486" t="s">
        <v>28</v>
      </c>
      <c r="O33" s="486" t="s">
        <v>28</v>
      </c>
      <c r="P33" s="486">
        <v>1</v>
      </c>
      <c r="Q33" s="486">
        <v>1</v>
      </c>
      <c r="R33" s="486">
        <v>24</v>
      </c>
      <c r="S33" s="486">
        <v>1</v>
      </c>
      <c r="T33" s="486" t="s">
        <v>28</v>
      </c>
      <c r="U33" s="486" t="s">
        <v>28</v>
      </c>
      <c r="V33" s="488" t="s">
        <v>28</v>
      </c>
    </row>
    <row r="34" spans="1:22" ht="11.25" customHeight="1">
      <c r="A34" s="2036" t="s">
        <v>136</v>
      </c>
      <c r="B34" s="475" t="s">
        <v>30</v>
      </c>
      <c r="C34" s="489">
        <v>39</v>
      </c>
      <c r="D34" s="489">
        <v>36</v>
      </c>
      <c r="E34" s="489">
        <v>16</v>
      </c>
      <c r="F34" s="489">
        <v>102</v>
      </c>
      <c r="G34" s="476" t="s">
        <v>28</v>
      </c>
      <c r="H34" s="489" t="s">
        <v>28</v>
      </c>
      <c r="I34" s="489">
        <v>4</v>
      </c>
      <c r="J34" s="476">
        <v>3</v>
      </c>
      <c r="K34" s="476">
        <v>9</v>
      </c>
      <c r="L34" s="476">
        <v>28</v>
      </c>
      <c r="M34" s="476">
        <v>29</v>
      </c>
      <c r="N34" s="489" t="s">
        <v>28</v>
      </c>
      <c r="O34" s="489" t="s">
        <v>28</v>
      </c>
      <c r="P34" s="476">
        <v>1</v>
      </c>
      <c r="Q34" s="489">
        <v>1</v>
      </c>
      <c r="R34" s="489">
        <v>20</v>
      </c>
      <c r="S34" s="489">
        <v>1</v>
      </c>
      <c r="T34" s="489" t="s">
        <v>28</v>
      </c>
      <c r="U34" s="489" t="s">
        <v>28</v>
      </c>
      <c r="V34" s="477" t="s">
        <v>28</v>
      </c>
    </row>
    <row r="35" spans="1:22" ht="11.25" customHeight="1">
      <c r="A35" s="2036" t="s">
        <v>137</v>
      </c>
      <c r="B35" s="475" t="s">
        <v>32</v>
      </c>
      <c r="C35" s="489">
        <v>10</v>
      </c>
      <c r="D35" s="489">
        <v>7</v>
      </c>
      <c r="E35" s="489" t="s">
        <v>28</v>
      </c>
      <c r="F35" s="489">
        <v>25</v>
      </c>
      <c r="G35" s="476" t="s">
        <v>28</v>
      </c>
      <c r="H35" s="489" t="s">
        <v>28</v>
      </c>
      <c r="I35" s="489">
        <v>3</v>
      </c>
      <c r="J35" s="476" t="s">
        <v>28</v>
      </c>
      <c r="K35" s="476">
        <v>8</v>
      </c>
      <c r="L35" s="476">
        <v>3</v>
      </c>
      <c r="M35" s="476">
        <v>5</v>
      </c>
      <c r="N35" s="489" t="s">
        <v>28</v>
      </c>
      <c r="O35" s="489" t="s">
        <v>28</v>
      </c>
      <c r="P35" s="476" t="s">
        <v>28</v>
      </c>
      <c r="Q35" s="489" t="s">
        <v>28</v>
      </c>
      <c r="R35" s="489">
        <v>4</v>
      </c>
      <c r="S35" s="489" t="s">
        <v>28</v>
      </c>
      <c r="T35" s="489" t="s">
        <v>28</v>
      </c>
      <c r="U35" s="489" t="s">
        <v>28</v>
      </c>
      <c r="V35" s="477" t="s">
        <v>28</v>
      </c>
    </row>
    <row r="36" spans="1:22" ht="11.25" customHeight="1">
      <c r="A36" s="2033" t="s">
        <v>37</v>
      </c>
      <c r="B36" s="472" t="s">
        <v>38</v>
      </c>
      <c r="C36" s="490">
        <v>64</v>
      </c>
      <c r="D36" s="490">
        <v>55</v>
      </c>
      <c r="E36" s="490">
        <v>34</v>
      </c>
      <c r="F36" s="490">
        <v>165</v>
      </c>
      <c r="G36" s="490" t="s">
        <v>28</v>
      </c>
      <c r="H36" s="490" t="s">
        <v>28</v>
      </c>
      <c r="I36" s="490">
        <v>9</v>
      </c>
      <c r="J36" s="478" t="s">
        <v>28</v>
      </c>
      <c r="K36" s="478">
        <v>2</v>
      </c>
      <c r="L36" s="490">
        <v>25</v>
      </c>
      <c r="M36" s="490">
        <v>59</v>
      </c>
      <c r="N36" s="490" t="s">
        <v>28</v>
      </c>
      <c r="O36" s="490">
        <v>2</v>
      </c>
      <c r="P36" s="490" t="s">
        <v>28</v>
      </c>
      <c r="Q36" s="490">
        <v>2</v>
      </c>
      <c r="R36" s="490">
        <v>33</v>
      </c>
      <c r="S36" s="490">
        <v>1</v>
      </c>
      <c r="T36" s="490" t="s">
        <v>28</v>
      </c>
      <c r="U36" s="490">
        <v>3</v>
      </c>
      <c r="V36" s="2043" t="s">
        <v>28</v>
      </c>
    </row>
    <row r="37" spans="1:22" ht="11.25" customHeight="1">
      <c r="A37" s="2036" t="s">
        <v>136</v>
      </c>
      <c r="B37" s="475" t="s">
        <v>30</v>
      </c>
      <c r="C37" s="489">
        <v>64</v>
      </c>
      <c r="D37" s="489">
        <v>55</v>
      </c>
      <c r="E37" s="489">
        <v>34</v>
      </c>
      <c r="F37" s="489">
        <v>165</v>
      </c>
      <c r="G37" s="476" t="s">
        <v>28</v>
      </c>
      <c r="H37" s="489" t="s">
        <v>28</v>
      </c>
      <c r="I37" s="489">
        <v>9</v>
      </c>
      <c r="J37" s="476" t="s">
        <v>28</v>
      </c>
      <c r="K37" s="476">
        <v>2</v>
      </c>
      <c r="L37" s="476">
        <v>25</v>
      </c>
      <c r="M37" s="476">
        <v>59</v>
      </c>
      <c r="N37" s="489" t="s">
        <v>28</v>
      </c>
      <c r="O37" s="489">
        <v>2</v>
      </c>
      <c r="P37" s="476" t="s">
        <v>28</v>
      </c>
      <c r="Q37" s="489">
        <v>2</v>
      </c>
      <c r="R37" s="489">
        <v>33</v>
      </c>
      <c r="S37" s="489">
        <v>1</v>
      </c>
      <c r="T37" s="489" t="s">
        <v>28</v>
      </c>
      <c r="U37" s="489">
        <v>3</v>
      </c>
      <c r="V37" s="477" t="s">
        <v>28</v>
      </c>
    </row>
    <row r="38" spans="1:22" ht="11.25" customHeight="1">
      <c r="A38" s="2033" t="s">
        <v>39</v>
      </c>
      <c r="B38" s="472" t="s">
        <v>40</v>
      </c>
      <c r="C38" s="490">
        <v>90</v>
      </c>
      <c r="D38" s="490">
        <v>81</v>
      </c>
      <c r="E38" s="490">
        <v>41</v>
      </c>
      <c r="F38" s="490">
        <v>208</v>
      </c>
      <c r="G38" s="490" t="s">
        <v>28</v>
      </c>
      <c r="H38" s="490" t="s">
        <v>28</v>
      </c>
      <c r="I38" s="490">
        <v>21</v>
      </c>
      <c r="J38" s="478">
        <v>2</v>
      </c>
      <c r="K38" s="478">
        <v>10</v>
      </c>
      <c r="L38" s="490">
        <v>39</v>
      </c>
      <c r="M38" s="490">
        <v>75</v>
      </c>
      <c r="N38" s="490" t="s">
        <v>28</v>
      </c>
      <c r="O38" s="490" t="s">
        <v>28</v>
      </c>
      <c r="P38" s="490" t="s">
        <v>28</v>
      </c>
      <c r="Q38" s="490">
        <v>1</v>
      </c>
      <c r="R38" s="490">
        <v>44</v>
      </c>
      <c r="S38" s="490">
        <v>1</v>
      </c>
      <c r="T38" s="490" t="s">
        <v>28</v>
      </c>
      <c r="U38" s="490" t="s">
        <v>28</v>
      </c>
      <c r="V38" s="2043" t="s">
        <v>28</v>
      </c>
    </row>
    <row r="39" spans="1:22" ht="11.25" customHeight="1">
      <c r="A39" s="2036" t="s">
        <v>136</v>
      </c>
      <c r="B39" s="475" t="s">
        <v>30</v>
      </c>
      <c r="C39" s="489">
        <v>86</v>
      </c>
      <c r="D39" s="489">
        <v>78</v>
      </c>
      <c r="E39" s="489">
        <v>40</v>
      </c>
      <c r="F39" s="489">
        <v>202</v>
      </c>
      <c r="G39" s="476" t="s">
        <v>28</v>
      </c>
      <c r="H39" s="489" t="s">
        <v>28</v>
      </c>
      <c r="I39" s="489">
        <v>20</v>
      </c>
      <c r="J39" s="476">
        <v>2</v>
      </c>
      <c r="K39" s="476">
        <v>7</v>
      </c>
      <c r="L39" s="476">
        <v>38</v>
      </c>
      <c r="M39" s="476">
        <v>72</v>
      </c>
      <c r="N39" s="489" t="s">
        <v>28</v>
      </c>
      <c r="O39" s="489" t="s">
        <v>28</v>
      </c>
      <c r="P39" s="476" t="s">
        <v>28</v>
      </c>
      <c r="Q39" s="489">
        <v>1</v>
      </c>
      <c r="R39" s="489">
        <v>43</v>
      </c>
      <c r="S39" s="489">
        <v>1</v>
      </c>
      <c r="T39" s="489" t="s">
        <v>28</v>
      </c>
      <c r="U39" s="489" t="s">
        <v>28</v>
      </c>
      <c r="V39" s="477" t="s">
        <v>28</v>
      </c>
    </row>
    <row r="40" spans="1:22" ht="11.25" customHeight="1">
      <c r="A40" s="2036" t="s">
        <v>137</v>
      </c>
      <c r="B40" s="475" t="s">
        <v>32</v>
      </c>
      <c r="C40" s="489">
        <v>4</v>
      </c>
      <c r="D40" s="489">
        <v>3</v>
      </c>
      <c r="E40" s="489">
        <v>1</v>
      </c>
      <c r="F40" s="489">
        <v>6</v>
      </c>
      <c r="G40" s="476" t="s">
        <v>28</v>
      </c>
      <c r="H40" s="489" t="s">
        <v>28</v>
      </c>
      <c r="I40" s="489">
        <v>1</v>
      </c>
      <c r="J40" s="476" t="s">
        <v>28</v>
      </c>
      <c r="K40" s="476">
        <v>3</v>
      </c>
      <c r="L40" s="476">
        <v>1</v>
      </c>
      <c r="M40" s="476">
        <v>3</v>
      </c>
      <c r="N40" s="489" t="s">
        <v>28</v>
      </c>
      <c r="O40" s="489" t="s">
        <v>28</v>
      </c>
      <c r="P40" s="476" t="s">
        <v>28</v>
      </c>
      <c r="Q40" s="489" t="s">
        <v>28</v>
      </c>
      <c r="R40" s="489">
        <v>1</v>
      </c>
      <c r="S40" s="489" t="s">
        <v>28</v>
      </c>
      <c r="T40" s="489" t="s">
        <v>28</v>
      </c>
      <c r="U40" s="489" t="s">
        <v>28</v>
      </c>
      <c r="V40" s="477" t="s">
        <v>28</v>
      </c>
    </row>
    <row r="41" spans="1:22" ht="11.25" customHeight="1">
      <c r="A41" s="2033" t="s">
        <v>41</v>
      </c>
      <c r="B41" s="472" t="s">
        <v>42</v>
      </c>
      <c r="C41" s="490">
        <v>53</v>
      </c>
      <c r="D41" s="490">
        <v>52</v>
      </c>
      <c r="E41" s="490">
        <v>18</v>
      </c>
      <c r="F41" s="490">
        <v>141</v>
      </c>
      <c r="G41" s="490" t="s">
        <v>28</v>
      </c>
      <c r="H41" s="490" t="s">
        <v>28</v>
      </c>
      <c r="I41" s="490">
        <v>35</v>
      </c>
      <c r="J41" s="478" t="s">
        <v>28</v>
      </c>
      <c r="K41" s="478">
        <v>3</v>
      </c>
      <c r="L41" s="490">
        <v>30</v>
      </c>
      <c r="M41" s="490">
        <v>41</v>
      </c>
      <c r="N41" s="490" t="s">
        <v>28</v>
      </c>
      <c r="O41" s="490" t="s">
        <v>28</v>
      </c>
      <c r="P41" s="490">
        <v>1</v>
      </c>
      <c r="Q41" s="490">
        <v>1</v>
      </c>
      <c r="R41" s="490">
        <v>30</v>
      </c>
      <c r="S41" s="490" t="s">
        <v>28</v>
      </c>
      <c r="T41" s="490">
        <v>1</v>
      </c>
      <c r="U41" s="490">
        <v>1</v>
      </c>
      <c r="V41" s="2043" t="s">
        <v>28</v>
      </c>
    </row>
    <row r="42" spans="1:22" ht="11.25" customHeight="1">
      <c r="A42" s="2036" t="s">
        <v>136</v>
      </c>
      <c r="B42" s="475" t="s">
        <v>30</v>
      </c>
      <c r="C42" s="489">
        <v>53</v>
      </c>
      <c r="D42" s="489">
        <v>52</v>
      </c>
      <c r="E42" s="489">
        <v>18</v>
      </c>
      <c r="F42" s="489">
        <v>141</v>
      </c>
      <c r="G42" s="476" t="s">
        <v>28</v>
      </c>
      <c r="H42" s="489" t="s">
        <v>28</v>
      </c>
      <c r="I42" s="489">
        <v>35</v>
      </c>
      <c r="J42" s="476" t="s">
        <v>28</v>
      </c>
      <c r="K42" s="476">
        <v>3</v>
      </c>
      <c r="L42" s="476">
        <v>30</v>
      </c>
      <c r="M42" s="476">
        <v>41</v>
      </c>
      <c r="N42" s="489" t="s">
        <v>28</v>
      </c>
      <c r="O42" s="489" t="s">
        <v>28</v>
      </c>
      <c r="P42" s="476">
        <v>1</v>
      </c>
      <c r="Q42" s="489">
        <v>1</v>
      </c>
      <c r="R42" s="489">
        <v>30</v>
      </c>
      <c r="S42" s="489" t="s">
        <v>28</v>
      </c>
      <c r="T42" s="489">
        <v>1</v>
      </c>
      <c r="U42" s="489">
        <v>1</v>
      </c>
      <c r="V42" s="477" t="s">
        <v>28</v>
      </c>
    </row>
    <row r="43" spans="1:22" ht="11.25" customHeight="1">
      <c r="A43" s="2033" t="s">
        <v>43</v>
      </c>
      <c r="B43" s="472" t="s">
        <v>44</v>
      </c>
      <c r="C43" s="490">
        <v>7</v>
      </c>
      <c r="D43" s="490">
        <v>7</v>
      </c>
      <c r="E43" s="490">
        <v>1</v>
      </c>
      <c r="F43" s="490">
        <v>14</v>
      </c>
      <c r="G43" s="490" t="s">
        <v>28</v>
      </c>
      <c r="H43" s="490" t="s">
        <v>28</v>
      </c>
      <c r="I43" s="490">
        <v>3</v>
      </c>
      <c r="J43" s="478" t="s">
        <v>28</v>
      </c>
      <c r="K43" s="478">
        <v>1</v>
      </c>
      <c r="L43" s="490">
        <v>7</v>
      </c>
      <c r="M43" s="490">
        <v>5</v>
      </c>
      <c r="N43" s="490" t="s">
        <v>28</v>
      </c>
      <c r="O43" s="490" t="s">
        <v>28</v>
      </c>
      <c r="P43" s="490" t="s">
        <v>28</v>
      </c>
      <c r="Q43" s="490" t="s">
        <v>28</v>
      </c>
      <c r="R43" s="490">
        <v>2</v>
      </c>
      <c r="S43" s="490" t="s">
        <v>28</v>
      </c>
      <c r="T43" s="490" t="s">
        <v>28</v>
      </c>
      <c r="U43" s="490" t="s">
        <v>28</v>
      </c>
      <c r="V43" s="2043" t="s">
        <v>28</v>
      </c>
    </row>
    <row r="44" spans="1:22" ht="11.25" customHeight="1">
      <c r="A44" s="2036" t="s">
        <v>136</v>
      </c>
      <c r="B44" s="475" t="s">
        <v>30</v>
      </c>
      <c r="C44" s="489">
        <v>6</v>
      </c>
      <c r="D44" s="489">
        <v>5</v>
      </c>
      <c r="E44" s="489">
        <v>1</v>
      </c>
      <c r="F44" s="489">
        <v>12</v>
      </c>
      <c r="G44" s="476" t="s">
        <v>28</v>
      </c>
      <c r="H44" s="489" t="s">
        <v>28</v>
      </c>
      <c r="I44" s="489">
        <v>3</v>
      </c>
      <c r="J44" s="476" t="s">
        <v>28</v>
      </c>
      <c r="K44" s="476">
        <v>1</v>
      </c>
      <c r="L44" s="476">
        <v>7</v>
      </c>
      <c r="M44" s="476">
        <v>1</v>
      </c>
      <c r="N44" s="489" t="s">
        <v>28</v>
      </c>
      <c r="O44" s="489" t="s">
        <v>28</v>
      </c>
      <c r="P44" s="476" t="s">
        <v>28</v>
      </c>
      <c r="Q44" s="489" t="s">
        <v>28</v>
      </c>
      <c r="R44" s="489">
        <v>2</v>
      </c>
      <c r="S44" s="489" t="s">
        <v>28</v>
      </c>
      <c r="T44" s="489" t="s">
        <v>28</v>
      </c>
      <c r="U44" s="489" t="s">
        <v>28</v>
      </c>
      <c r="V44" s="477" t="s">
        <v>28</v>
      </c>
    </row>
    <row r="45" spans="1:22" s="56" customFormat="1" ht="11.25" customHeight="1" thickBot="1">
      <c r="A45" s="2036" t="s">
        <v>137</v>
      </c>
      <c r="B45" s="475" t="s">
        <v>32</v>
      </c>
      <c r="C45" s="489">
        <v>1</v>
      </c>
      <c r="D45" s="489">
        <v>2</v>
      </c>
      <c r="E45" s="489" t="s">
        <v>28</v>
      </c>
      <c r="F45" s="489">
        <v>2</v>
      </c>
      <c r="G45" s="482" t="s">
        <v>28</v>
      </c>
      <c r="H45" s="489" t="s">
        <v>28</v>
      </c>
      <c r="I45" s="489" t="s">
        <v>28</v>
      </c>
      <c r="J45" s="482" t="s">
        <v>28</v>
      </c>
      <c r="K45" s="482" t="s">
        <v>28</v>
      </c>
      <c r="L45" s="482" t="s">
        <v>28</v>
      </c>
      <c r="M45" s="482">
        <v>4</v>
      </c>
      <c r="N45" s="491" t="s">
        <v>28</v>
      </c>
      <c r="O45" s="491" t="s">
        <v>28</v>
      </c>
      <c r="P45" s="482" t="s">
        <v>28</v>
      </c>
      <c r="Q45" s="491" t="s">
        <v>28</v>
      </c>
      <c r="R45" s="491" t="s">
        <v>28</v>
      </c>
      <c r="S45" s="491" t="s">
        <v>28</v>
      </c>
      <c r="T45" s="491" t="s">
        <v>28</v>
      </c>
      <c r="U45" s="491" t="s">
        <v>28</v>
      </c>
      <c r="V45" s="483" t="s">
        <v>28</v>
      </c>
    </row>
    <row r="46" spans="1:22" ht="11.25" customHeight="1" thickBot="1">
      <c r="A46" s="1438" t="s">
        <v>364</v>
      </c>
      <c r="B46" s="1438"/>
      <c r="C46" s="1438"/>
      <c r="D46" s="1438"/>
      <c r="E46" s="1438"/>
      <c r="F46" s="1438"/>
      <c r="G46" s="1438"/>
      <c r="H46" s="1438"/>
      <c r="I46" s="1438"/>
      <c r="J46" s="1438" t="s">
        <v>394</v>
      </c>
      <c r="K46" s="1438"/>
      <c r="L46" s="1438"/>
      <c r="M46" s="1438"/>
      <c r="N46" s="1438"/>
      <c r="O46" s="1438"/>
      <c r="P46" s="1438"/>
      <c r="Q46" s="1438"/>
      <c r="R46" s="1438"/>
      <c r="S46" s="1438"/>
      <c r="T46" s="1438"/>
      <c r="U46" s="1438"/>
      <c r="V46" s="1438"/>
    </row>
    <row r="47" spans="1:22" ht="11.25" customHeight="1">
      <c r="A47" s="484" t="s">
        <v>47</v>
      </c>
      <c r="B47" s="485" t="s">
        <v>48</v>
      </c>
      <c r="C47" s="486">
        <v>18</v>
      </c>
      <c r="D47" s="486">
        <v>16</v>
      </c>
      <c r="E47" s="486">
        <v>7</v>
      </c>
      <c r="F47" s="486">
        <v>48</v>
      </c>
      <c r="G47" s="487" t="s">
        <v>28</v>
      </c>
      <c r="H47" s="486" t="s">
        <v>28</v>
      </c>
      <c r="I47" s="486">
        <v>2</v>
      </c>
      <c r="J47" s="487" t="s">
        <v>28</v>
      </c>
      <c r="K47" s="487">
        <v>3</v>
      </c>
      <c r="L47" s="487">
        <v>11</v>
      </c>
      <c r="M47" s="487">
        <v>14</v>
      </c>
      <c r="N47" s="486" t="s">
        <v>28</v>
      </c>
      <c r="O47" s="486" t="s">
        <v>28</v>
      </c>
      <c r="P47" s="487">
        <v>1</v>
      </c>
      <c r="Q47" s="486">
        <v>1</v>
      </c>
      <c r="R47" s="486">
        <v>10</v>
      </c>
      <c r="S47" s="486">
        <v>1</v>
      </c>
      <c r="T47" s="486" t="s">
        <v>28</v>
      </c>
      <c r="U47" s="486" t="s">
        <v>28</v>
      </c>
      <c r="V47" s="492" t="s">
        <v>28</v>
      </c>
    </row>
    <row r="48" spans="1:22" ht="11.25" customHeight="1">
      <c r="A48" s="2036" t="s">
        <v>29</v>
      </c>
      <c r="B48" s="475" t="s">
        <v>30</v>
      </c>
      <c r="C48" s="489">
        <v>13</v>
      </c>
      <c r="D48" s="489">
        <v>13</v>
      </c>
      <c r="E48" s="489">
        <v>7</v>
      </c>
      <c r="F48" s="489">
        <v>36</v>
      </c>
      <c r="G48" s="476" t="s">
        <v>28</v>
      </c>
      <c r="H48" s="489" t="s">
        <v>28</v>
      </c>
      <c r="I48" s="489" t="s">
        <v>28</v>
      </c>
      <c r="J48" s="476" t="s">
        <v>28</v>
      </c>
      <c r="K48" s="476">
        <v>1</v>
      </c>
      <c r="L48" s="476">
        <v>10</v>
      </c>
      <c r="M48" s="476">
        <v>12</v>
      </c>
      <c r="N48" s="489" t="s">
        <v>28</v>
      </c>
      <c r="O48" s="489" t="s">
        <v>28</v>
      </c>
      <c r="P48" s="476">
        <v>1</v>
      </c>
      <c r="Q48" s="489">
        <v>1</v>
      </c>
      <c r="R48" s="489">
        <v>8</v>
      </c>
      <c r="S48" s="489">
        <v>1</v>
      </c>
      <c r="T48" s="489" t="s">
        <v>28</v>
      </c>
      <c r="U48" s="489" t="s">
        <v>28</v>
      </c>
      <c r="V48" s="477" t="s">
        <v>28</v>
      </c>
    </row>
    <row r="49" spans="1:22" ht="11.25" customHeight="1">
      <c r="A49" s="2036" t="s">
        <v>31</v>
      </c>
      <c r="B49" s="475" t="s">
        <v>32</v>
      </c>
      <c r="C49" s="489">
        <v>5</v>
      </c>
      <c r="D49" s="489">
        <v>3</v>
      </c>
      <c r="E49" s="489" t="s">
        <v>28</v>
      </c>
      <c r="F49" s="489">
        <v>12</v>
      </c>
      <c r="G49" s="476" t="s">
        <v>28</v>
      </c>
      <c r="H49" s="489" t="s">
        <v>28</v>
      </c>
      <c r="I49" s="489">
        <v>2</v>
      </c>
      <c r="J49" s="476" t="s">
        <v>28</v>
      </c>
      <c r="K49" s="476">
        <v>2</v>
      </c>
      <c r="L49" s="476">
        <v>1</v>
      </c>
      <c r="M49" s="476">
        <v>2</v>
      </c>
      <c r="N49" s="489" t="s">
        <v>28</v>
      </c>
      <c r="O49" s="489" t="s">
        <v>28</v>
      </c>
      <c r="P49" s="476" t="s">
        <v>28</v>
      </c>
      <c r="Q49" s="489" t="s">
        <v>28</v>
      </c>
      <c r="R49" s="489">
        <v>2</v>
      </c>
      <c r="S49" s="489" t="s">
        <v>28</v>
      </c>
      <c r="T49" s="489" t="s">
        <v>28</v>
      </c>
      <c r="U49" s="489" t="s">
        <v>28</v>
      </c>
      <c r="V49" s="477" t="s">
        <v>28</v>
      </c>
    </row>
    <row r="50" spans="1:22" ht="11.25" customHeight="1">
      <c r="A50" s="2033" t="s">
        <v>49</v>
      </c>
      <c r="B50" s="472" t="s">
        <v>50</v>
      </c>
      <c r="C50" s="490">
        <v>4</v>
      </c>
      <c r="D50" s="490">
        <v>3</v>
      </c>
      <c r="E50" s="490">
        <v>1</v>
      </c>
      <c r="F50" s="490">
        <v>11</v>
      </c>
      <c r="G50" s="478" t="s">
        <v>28</v>
      </c>
      <c r="H50" s="490" t="s">
        <v>28</v>
      </c>
      <c r="I50" s="490" t="s">
        <v>28</v>
      </c>
      <c r="J50" s="478" t="s">
        <v>28</v>
      </c>
      <c r="K50" s="478">
        <v>5</v>
      </c>
      <c r="L50" s="478">
        <v>2</v>
      </c>
      <c r="M50" s="478">
        <v>1</v>
      </c>
      <c r="N50" s="490" t="s">
        <v>28</v>
      </c>
      <c r="O50" s="490" t="s">
        <v>28</v>
      </c>
      <c r="P50" s="478" t="s">
        <v>28</v>
      </c>
      <c r="Q50" s="490" t="s">
        <v>28</v>
      </c>
      <c r="R50" s="490">
        <v>1</v>
      </c>
      <c r="S50" s="490" t="s">
        <v>28</v>
      </c>
      <c r="T50" s="490" t="s">
        <v>28</v>
      </c>
      <c r="U50" s="490" t="s">
        <v>28</v>
      </c>
      <c r="V50" s="479" t="s">
        <v>28</v>
      </c>
    </row>
    <row r="51" spans="1:22" ht="11.25" customHeight="1">
      <c r="A51" s="2036" t="s">
        <v>29</v>
      </c>
      <c r="B51" s="475" t="s">
        <v>30</v>
      </c>
      <c r="C51" s="489">
        <v>1</v>
      </c>
      <c r="D51" s="489">
        <v>1</v>
      </c>
      <c r="E51" s="489">
        <v>1</v>
      </c>
      <c r="F51" s="489">
        <v>3</v>
      </c>
      <c r="G51" s="476" t="s">
        <v>28</v>
      </c>
      <c r="H51" s="489" t="s">
        <v>28</v>
      </c>
      <c r="I51" s="489" t="s">
        <v>28</v>
      </c>
      <c r="J51" s="476" t="s">
        <v>28</v>
      </c>
      <c r="K51" s="476">
        <v>1</v>
      </c>
      <c r="L51" s="476">
        <v>1</v>
      </c>
      <c r="M51" s="476">
        <v>1</v>
      </c>
      <c r="N51" s="489" t="s">
        <v>28</v>
      </c>
      <c r="O51" s="489" t="s">
        <v>28</v>
      </c>
      <c r="P51" s="476" t="s">
        <v>28</v>
      </c>
      <c r="Q51" s="489" t="s">
        <v>28</v>
      </c>
      <c r="R51" s="489" t="s">
        <v>28</v>
      </c>
      <c r="S51" s="489" t="s">
        <v>28</v>
      </c>
      <c r="T51" s="489" t="s">
        <v>28</v>
      </c>
      <c r="U51" s="489" t="s">
        <v>28</v>
      </c>
      <c r="V51" s="477" t="s">
        <v>28</v>
      </c>
    </row>
    <row r="52" spans="1:22" ht="11.25" customHeight="1">
      <c r="A52" s="2036" t="s">
        <v>31</v>
      </c>
      <c r="B52" s="475" t="s">
        <v>32</v>
      </c>
      <c r="C52" s="489">
        <v>3</v>
      </c>
      <c r="D52" s="489">
        <v>2</v>
      </c>
      <c r="E52" s="489" t="s">
        <v>28</v>
      </c>
      <c r="F52" s="489">
        <v>8</v>
      </c>
      <c r="G52" s="476" t="s">
        <v>28</v>
      </c>
      <c r="H52" s="489" t="s">
        <v>28</v>
      </c>
      <c r="I52" s="489" t="s">
        <v>28</v>
      </c>
      <c r="J52" s="476" t="s">
        <v>28</v>
      </c>
      <c r="K52" s="476">
        <v>4</v>
      </c>
      <c r="L52" s="476">
        <v>1</v>
      </c>
      <c r="M52" s="476" t="s">
        <v>28</v>
      </c>
      <c r="N52" s="489" t="s">
        <v>28</v>
      </c>
      <c r="O52" s="489" t="s">
        <v>28</v>
      </c>
      <c r="P52" s="476" t="s">
        <v>28</v>
      </c>
      <c r="Q52" s="489" t="s">
        <v>28</v>
      </c>
      <c r="R52" s="489">
        <v>1</v>
      </c>
      <c r="S52" s="489" t="s">
        <v>28</v>
      </c>
      <c r="T52" s="489" t="s">
        <v>28</v>
      </c>
      <c r="U52" s="489" t="s">
        <v>28</v>
      </c>
      <c r="V52" s="477" t="s">
        <v>28</v>
      </c>
    </row>
    <row r="53" spans="1:22" ht="11.25" customHeight="1">
      <c r="A53" s="2033" t="s">
        <v>963</v>
      </c>
      <c r="B53" s="472" t="s">
        <v>964</v>
      </c>
      <c r="C53" s="490">
        <v>26</v>
      </c>
      <c r="D53" s="490">
        <v>22</v>
      </c>
      <c r="E53" s="490">
        <v>8</v>
      </c>
      <c r="F53" s="490">
        <v>61</v>
      </c>
      <c r="G53" s="478" t="s">
        <v>28</v>
      </c>
      <c r="H53" s="490" t="s">
        <v>28</v>
      </c>
      <c r="I53" s="490">
        <v>5</v>
      </c>
      <c r="J53" s="478">
        <v>2</v>
      </c>
      <c r="K53" s="478">
        <v>8</v>
      </c>
      <c r="L53" s="478">
        <v>16</v>
      </c>
      <c r="M53" s="478">
        <v>19</v>
      </c>
      <c r="N53" s="490" t="s">
        <v>28</v>
      </c>
      <c r="O53" s="490" t="s">
        <v>28</v>
      </c>
      <c r="P53" s="478" t="s">
        <v>28</v>
      </c>
      <c r="Q53" s="490" t="s">
        <v>28</v>
      </c>
      <c r="R53" s="490">
        <v>12</v>
      </c>
      <c r="S53" s="490" t="s">
        <v>28</v>
      </c>
      <c r="T53" s="490" t="s">
        <v>28</v>
      </c>
      <c r="U53" s="490" t="s">
        <v>28</v>
      </c>
      <c r="V53" s="479" t="s">
        <v>28</v>
      </c>
    </row>
    <row r="54" spans="1:22" ht="11.25" customHeight="1">
      <c r="A54" s="2036" t="s">
        <v>29</v>
      </c>
      <c r="B54" s="475" t="s">
        <v>30</v>
      </c>
      <c r="C54" s="489">
        <v>24</v>
      </c>
      <c r="D54" s="489">
        <v>20</v>
      </c>
      <c r="E54" s="489">
        <v>8</v>
      </c>
      <c r="F54" s="489">
        <v>56</v>
      </c>
      <c r="G54" s="476" t="s">
        <v>28</v>
      </c>
      <c r="H54" s="489" t="s">
        <v>28</v>
      </c>
      <c r="I54" s="489">
        <v>4</v>
      </c>
      <c r="J54" s="476">
        <v>2</v>
      </c>
      <c r="K54" s="476">
        <v>6</v>
      </c>
      <c r="L54" s="476">
        <v>15</v>
      </c>
      <c r="M54" s="476">
        <v>16</v>
      </c>
      <c r="N54" s="489" t="s">
        <v>28</v>
      </c>
      <c r="O54" s="489" t="s">
        <v>28</v>
      </c>
      <c r="P54" s="476" t="s">
        <v>28</v>
      </c>
      <c r="Q54" s="489" t="s">
        <v>28</v>
      </c>
      <c r="R54" s="489">
        <v>11</v>
      </c>
      <c r="S54" s="489" t="s">
        <v>28</v>
      </c>
      <c r="T54" s="489" t="s">
        <v>28</v>
      </c>
      <c r="U54" s="489" t="s">
        <v>28</v>
      </c>
      <c r="V54" s="477" t="s">
        <v>28</v>
      </c>
    </row>
    <row r="55" spans="1:22" ht="11.25" customHeight="1">
      <c r="A55" s="2036" t="s">
        <v>31</v>
      </c>
      <c r="B55" s="475" t="s">
        <v>32</v>
      </c>
      <c r="C55" s="489">
        <v>2</v>
      </c>
      <c r="D55" s="489">
        <v>2</v>
      </c>
      <c r="E55" s="489" t="s">
        <v>28</v>
      </c>
      <c r="F55" s="489">
        <v>5</v>
      </c>
      <c r="G55" s="476" t="s">
        <v>28</v>
      </c>
      <c r="H55" s="489" t="s">
        <v>28</v>
      </c>
      <c r="I55" s="489">
        <v>1</v>
      </c>
      <c r="J55" s="476" t="s">
        <v>28</v>
      </c>
      <c r="K55" s="476">
        <v>2</v>
      </c>
      <c r="L55" s="476">
        <v>1</v>
      </c>
      <c r="M55" s="476">
        <v>3</v>
      </c>
      <c r="N55" s="489" t="s">
        <v>28</v>
      </c>
      <c r="O55" s="489" t="s">
        <v>28</v>
      </c>
      <c r="P55" s="476" t="s">
        <v>28</v>
      </c>
      <c r="Q55" s="489" t="s">
        <v>28</v>
      </c>
      <c r="R55" s="489">
        <v>1</v>
      </c>
      <c r="S55" s="489" t="s">
        <v>28</v>
      </c>
      <c r="T55" s="489" t="s">
        <v>28</v>
      </c>
      <c r="U55" s="489" t="s">
        <v>28</v>
      </c>
      <c r="V55" s="477" t="s">
        <v>28</v>
      </c>
    </row>
    <row r="56" spans="1:22" ht="11.25" customHeight="1">
      <c r="A56" s="2033" t="s">
        <v>51</v>
      </c>
      <c r="B56" s="472" t="s">
        <v>52</v>
      </c>
      <c r="C56" s="490">
        <v>43</v>
      </c>
      <c r="D56" s="490">
        <v>40</v>
      </c>
      <c r="E56" s="490">
        <v>18</v>
      </c>
      <c r="F56" s="490">
        <v>101</v>
      </c>
      <c r="G56" s="478" t="s">
        <v>28</v>
      </c>
      <c r="H56" s="490" t="s">
        <v>28</v>
      </c>
      <c r="I56" s="490">
        <v>13</v>
      </c>
      <c r="J56" s="478">
        <v>1</v>
      </c>
      <c r="K56" s="478">
        <v>5</v>
      </c>
      <c r="L56" s="478">
        <v>19</v>
      </c>
      <c r="M56" s="478">
        <v>35</v>
      </c>
      <c r="N56" s="490" t="s">
        <v>28</v>
      </c>
      <c r="O56" s="490" t="s">
        <v>28</v>
      </c>
      <c r="P56" s="478" t="s">
        <v>28</v>
      </c>
      <c r="Q56" s="490">
        <v>1</v>
      </c>
      <c r="R56" s="490">
        <v>22</v>
      </c>
      <c r="S56" s="490">
        <v>1</v>
      </c>
      <c r="T56" s="490" t="s">
        <v>28</v>
      </c>
      <c r="U56" s="490" t="s">
        <v>28</v>
      </c>
      <c r="V56" s="479" t="s">
        <v>28</v>
      </c>
    </row>
    <row r="57" spans="1:22" ht="11.25" customHeight="1">
      <c r="A57" s="2036" t="s">
        <v>29</v>
      </c>
      <c r="B57" s="475" t="s">
        <v>30</v>
      </c>
      <c r="C57" s="489">
        <v>41</v>
      </c>
      <c r="D57" s="489">
        <v>38</v>
      </c>
      <c r="E57" s="489">
        <v>18</v>
      </c>
      <c r="F57" s="489">
        <v>97</v>
      </c>
      <c r="G57" s="476" t="s">
        <v>28</v>
      </c>
      <c r="H57" s="489" t="s">
        <v>28</v>
      </c>
      <c r="I57" s="489">
        <v>12</v>
      </c>
      <c r="J57" s="476">
        <v>1</v>
      </c>
      <c r="K57" s="476">
        <v>4</v>
      </c>
      <c r="L57" s="476">
        <v>18</v>
      </c>
      <c r="M57" s="476">
        <v>33</v>
      </c>
      <c r="N57" s="489" t="s">
        <v>28</v>
      </c>
      <c r="O57" s="489" t="s">
        <v>28</v>
      </c>
      <c r="P57" s="476" t="s">
        <v>28</v>
      </c>
      <c r="Q57" s="489">
        <v>1</v>
      </c>
      <c r="R57" s="489">
        <v>21</v>
      </c>
      <c r="S57" s="489">
        <v>1</v>
      </c>
      <c r="T57" s="489" t="s">
        <v>28</v>
      </c>
      <c r="U57" s="489" t="s">
        <v>28</v>
      </c>
      <c r="V57" s="477" t="s">
        <v>28</v>
      </c>
    </row>
    <row r="58" spans="1:22" ht="11.25" customHeight="1">
      <c r="A58" s="2036" t="s">
        <v>31</v>
      </c>
      <c r="B58" s="475" t="s">
        <v>32</v>
      </c>
      <c r="C58" s="489">
        <v>2</v>
      </c>
      <c r="D58" s="489">
        <v>2</v>
      </c>
      <c r="E58" s="489" t="s">
        <v>28</v>
      </c>
      <c r="F58" s="489">
        <v>4</v>
      </c>
      <c r="G58" s="476" t="s">
        <v>28</v>
      </c>
      <c r="H58" s="489" t="s">
        <v>28</v>
      </c>
      <c r="I58" s="489">
        <v>1</v>
      </c>
      <c r="J58" s="476" t="s">
        <v>28</v>
      </c>
      <c r="K58" s="476">
        <v>1</v>
      </c>
      <c r="L58" s="476">
        <v>1</v>
      </c>
      <c r="M58" s="476">
        <v>2</v>
      </c>
      <c r="N58" s="489" t="s">
        <v>28</v>
      </c>
      <c r="O58" s="489" t="s">
        <v>28</v>
      </c>
      <c r="P58" s="476" t="s">
        <v>28</v>
      </c>
      <c r="Q58" s="489" t="s">
        <v>28</v>
      </c>
      <c r="R58" s="489">
        <v>1</v>
      </c>
      <c r="S58" s="489" t="s">
        <v>28</v>
      </c>
      <c r="T58" s="489" t="s">
        <v>28</v>
      </c>
      <c r="U58" s="489" t="s">
        <v>28</v>
      </c>
      <c r="V58" s="477" t="s">
        <v>28</v>
      </c>
    </row>
    <row r="59" spans="1:22" ht="11.25" customHeight="1">
      <c r="A59" s="2033" t="s">
        <v>53</v>
      </c>
      <c r="B59" s="472" t="s">
        <v>54</v>
      </c>
      <c r="C59" s="490">
        <v>47</v>
      </c>
      <c r="D59" s="490">
        <v>41</v>
      </c>
      <c r="E59" s="490">
        <v>23</v>
      </c>
      <c r="F59" s="490">
        <v>107</v>
      </c>
      <c r="G59" s="478" t="s">
        <v>28</v>
      </c>
      <c r="H59" s="490" t="s">
        <v>28</v>
      </c>
      <c r="I59" s="490">
        <v>8</v>
      </c>
      <c r="J59" s="478">
        <v>1</v>
      </c>
      <c r="K59" s="478">
        <v>5</v>
      </c>
      <c r="L59" s="478">
        <v>20</v>
      </c>
      <c r="M59" s="478">
        <v>40</v>
      </c>
      <c r="N59" s="490" t="s">
        <v>28</v>
      </c>
      <c r="O59" s="490" t="s">
        <v>28</v>
      </c>
      <c r="P59" s="478" t="s">
        <v>28</v>
      </c>
      <c r="Q59" s="490" t="s">
        <v>28</v>
      </c>
      <c r="R59" s="490">
        <v>22</v>
      </c>
      <c r="S59" s="490" t="s">
        <v>28</v>
      </c>
      <c r="T59" s="490" t="s">
        <v>28</v>
      </c>
      <c r="U59" s="490" t="s">
        <v>28</v>
      </c>
      <c r="V59" s="479" t="s">
        <v>28</v>
      </c>
    </row>
    <row r="60" spans="1:22" ht="11.25" customHeight="1">
      <c r="A60" s="2036" t="s">
        <v>29</v>
      </c>
      <c r="B60" s="475" t="s">
        <v>30</v>
      </c>
      <c r="C60" s="489">
        <v>45</v>
      </c>
      <c r="D60" s="489">
        <v>40</v>
      </c>
      <c r="E60" s="489">
        <v>22</v>
      </c>
      <c r="F60" s="489">
        <v>105</v>
      </c>
      <c r="G60" s="476" t="s">
        <v>28</v>
      </c>
      <c r="H60" s="489" t="s">
        <v>28</v>
      </c>
      <c r="I60" s="489">
        <v>8</v>
      </c>
      <c r="J60" s="476">
        <v>1</v>
      </c>
      <c r="K60" s="476">
        <v>3</v>
      </c>
      <c r="L60" s="476">
        <v>20</v>
      </c>
      <c r="M60" s="476">
        <v>39</v>
      </c>
      <c r="N60" s="489" t="s">
        <v>28</v>
      </c>
      <c r="O60" s="489" t="s">
        <v>28</v>
      </c>
      <c r="P60" s="476" t="s">
        <v>28</v>
      </c>
      <c r="Q60" s="489" t="s">
        <v>28</v>
      </c>
      <c r="R60" s="489">
        <v>22</v>
      </c>
      <c r="S60" s="489" t="s">
        <v>28</v>
      </c>
      <c r="T60" s="489" t="s">
        <v>28</v>
      </c>
      <c r="U60" s="489" t="s">
        <v>28</v>
      </c>
      <c r="V60" s="477" t="s">
        <v>28</v>
      </c>
    </row>
    <row r="61" spans="1:22" ht="11.25" customHeight="1">
      <c r="A61" s="2036" t="s">
        <v>31</v>
      </c>
      <c r="B61" s="475" t="s">
        <v>32</v>
      </c>
      <c r="C61" s="489">
        <v>2</v>
      </c>
      <c r="D61" s="489">
        <v>1</v>
      </c>
      <c r="E61" s="489">
        <v>1</v>
      </c>
      <c r="F61" s="489">
        <v>2</v>
      </c>
      <c r="G61" s="476" t="s">
        <v>28</v>
      </c>
      <c r="H61" s="489" t="s">
        <v>28</v>
      </c>
      <c r="I61" s="489" t="s">
        <v>28</v>
      </c>
      <c r="J61" s="476" t="s">
        <v>28</v>
      </c>
      <c r="K61" s="476">
        <v>2</v>
      </c>
      <c r="L61" s="476" t="s">
        <v>28</v>
      </c>
      <c r="M61" s="476">
        <v>1</v>
      </c>
      <c r="N61" s="489" t="s">
        <v>28</v>
      </c>
      <c r="O61" s="489" t="s">
        <v>28</v>
      </c>
      <c r="P61" s="476" t="s">
        <v>28</v>
      </c>
      <c r="Q61" s="489" t="s">
        <v>28</v>
      </c>
      <c r="R61" s="489" t="s">
        <v>28</v>
      </c>
      <c r="S61" s="489" t="s">
        <v>28</v>
      </c>
      <c r="T61" s="489" t="s">
        <v>28</v>
      </c>
      <c r="U61" s="489" t="s">
        <v>28</v>
      </c>
      <c r="V61" s="477" t="s">
        <v>28</v>
      </c>
    </row>
    <row r="62" spans="1:22" ht="11.25" customHeight="1">
      <c r="A62" s="2033" t="s">
        <v>55</v>
      </c>
      <c r="B62" s="472" t="s">
        <v>56</v>
      </c>
      <c r="C62" s="490">
        <v>41</v>
      </c>
      <c r="D62" s="490">
        <v>35</v>
      </c>
      <c r="E62" s="490">
        <v>24</v>
      </c>
      <c r="F62" s="490">
        <v>107</v>
      </c>
      <c r="G62" s="478" t="s">
        <v>28</v>
      </c>
      <c r="H62" s="490" t="s">
        <v>28</v>
      </c>
      <c r="I62" s="490">
        <v>4</v>
      </c>
      <c r="J62" s="478" t="s">
        <v>28</v>
      </c>
      <c r="K62" s="478">
        <v>2</v>
      </c>
      <c r="L62" s="478">
        <v>11</v>
      </c>
      <c r="M62" s="478">
        <v>41</v>
      </c>
      <c r="N62" s="490" t="s">
        <v>28</v>
      </c>
      <c r="O62" s="490" t="s">
        <v>28</v>
      </c>
      <c r="P62" s="478" t="s">
        <v>28</v>
      </c>
      <c r="Q62" s="490" t="s">
        <v>28</v>
      </c>
      <c r="R62" s="490">
        <v>19</v>
      </c>
      <c r="S62" s="490">
        <v>1</v>
      </c>
      <c r="T62" s="490" t="s">
        <v>28</v>
      </c>
      <c r="U62" s="490">
        <v>3</v>
      </c>
      <c r="V62" s="479" t="s">
        <v>28</v>
      </c>
    </row>
    <row r="63" spans="1:22" ht="11.25" customHeight="1">
      <c r="A63" s="2036" t="s">
        <v>29</v>
      </c>
      <c r="B63" s="475" t="s">
        <v>30</v>
      </c>
      <c r="C63" s="489">
        <v>41</v>
      </c>
      <c r="D63" s="489">
        <v>35</v>
      </c>
      <c r="E63" s="489">
        <v>24</v>
      </c>
      <c r="F63" s="489">
        <v>107</v>
      </c>
      <c r="G63" s="476" t="s">
        <v>28</v>
      </c>
      <c r="H63" s="489" t="s">
        <v>28</v>
      </c>
      <c r="I63" s="489">
        <v>4</v>
      </c>
      <c r="J63" s="476" t="s">
        <v>28</v>
      </c>
      <c r="K63" s="476">
        <v>2</v>
      </c>
      <c r="L63" s="476">
        <v>11</v>
      </c>
      <c r="M63" s="476">
        <v>41</v>
      </c>
      <c r="N63" s="489" t="s">
        <v>28</v>
      </c>
      <c r="O63" s="489" t="s">
        <v>28</v>
      </c>
      <c r="P63" s="476" t="s">
        <v>28</v>
      </c>
      <c r="Q63" s="489" t="s">
        <v>28</v>
      </c>
      <c r="R63" s="489">
        <v>19</v>
      </c>
      <c r="S63" s="489">
        <v>1</v>
      </c>
      <c r="T63" s="489" t="s">
        <v>28</v>
      </c>
      <c r="U63" s="489">
        <v>3</v>
      </c>
      <c r="V63" s="477" t="s">
        <v>28</v>
      </c>
    </row>
    <row r="64" spans="1:22" ht="11.25" customHeight="1">
      <c r="A64" s="2033" t="s">
        <v>57</v>
      </c>
      <c r="B64" s="472" t="s">
        <v>58</v>
      </c>
      <c r="C64" s="490">
        <v>23</v>
      </c>
      <c r="D64" s="490">
        <v>20</v>
      </c>
      <c r="E64" s="490">
        <v>10</v>
      </c>
      <c r="F64" s="490">
        <v>58</v>
      </c>
      <c r="G64" s="478" t="s">
        <v>28</v>
      </c>
      <c r="H64" s="490" t="s">
        <v>28</v>
      </c>
      <c r="I64" s="490">
        <v>5</v>
      </c>
      <c r="J64" s="478" t="s">
        <v>28</v>
      </c>
      <c r="K64" s="478" t="s">
        <v>28</v>
      </c>
      <c r="L64" s="478">
        <v>14</v>
      </c>
      <c r="M64" s="478">
        <v>18</v>
      </c>
      <c r="N64" s="490" t="s">
        <v>28</v>
      </c>
      <c r="O64" s="490">
        <v>2</v>
      </c>
      <c r="P64" s="478" t="s">
        <v>28</v>
      </c>
      <c r="Q64" s="490">
        <v>2</v>
      </c>
      <c r="R64" s="490">
        <v>14</v>
      </c>
      <c r="S64" s="490" t="s">
        <v>28</v>
      </c>
      <c r="T64" s="490" t="s">
        <v>28</v>
      </c>
      <c r="U64" s="490" t="s">
        <v>28</v>
      </c>
      <c r="V64" s="479" t="s">
        <v>28</v>
      </c>
    </row>
    <row r="65" spans="1:25" ht="11.25" customHeight="1">
      <c r="A65" s="2036" t="s">
        <v>29</v>
      </c>
      <c r="B65" s="475" t="s">
        <v>30</v>
      </c>
      <c r="C65" s="489">
        <v>23</v>
      </c>
      <c r="D65" s="489">
        <v>20</v>
      </c>
      <c r="E65" s="489">
        <v>10</v>
      </c>
      <c r="F65" s="489">
        <v>58</v>
      </c>
      <c r="G65" s="476" t="s">
        <v>28</v>
      </c>
      <c r="H65" s="489" t="s">
        <v>28</v>
      </c>
      <c r="I65" s="489">
        <v>5</v>
      </c>
      <c r="J65" s="476" t="s">
        <v>28</v>
      </c>
      <c r="K65" s="476" t="s">
        <v>28</v>
      </c>
      <c r="L65" s="476">
        <v>14</v>
      </c>
      <c r="M65" s="476">
        <v>18</v>
      </c>
      <c r="N65" s="489" t="s">
        <v>28</v>
      </c>
      <c r="O65" s="489">
        <v>2</v>
      </c>
      <c r="P65" s="476" t="s">
        <v>28</v>
      </c>
      <c r="Q65" s="489">
        <v>2</v>
      </c>
      <c r="R65" s="489">
        <v>14</v>
      </c>
      <c r="S65" s="489" t="s">
        <v>28</v>
      </c>
      <c r="T65" s="489" t="s">
        <v>28</v>
      </c>
      <c r="U65" s="489" t="s">
        <v>28</v>
      </c>
      <c r="V65" s="477" t="s">
        <v>28</v>
      </c>
    </row>
    <row r="66" spans="1:25" ht="11.25" customHeight="1">
      <c r="A66" s="2033" t="s">
        <v>59</v>
      </c>
      <c r="B66" s="472" t="s">
        <v>60</v>
      </c>
      <c r="C66" s="490">
        <v>53</v>
      </c>
      <c r="D66" s="490">
        <v>52</v>
      </c>
      <c r="E66" s="490">
        <v>18</v>
      </c>
      <c r="F66" s="490">
        <v>141</v>
      </c>
      <c r="G66" s="478" t="s">
        <v>28</v>
      </c>
      <c r="H66" s="490" t="s">
        <v>28</v>
      </c>
      <c r="I66" s="490">
        <v>35</v>
      </c>
      <c r="J66" s="478" t="s">
        <v>28</v>
      </c>
      <c r="K66" s="478">
        <v>3</v>
      </c>
      <c r="L66" s="478">
        <v>30</v>
      </c>
      <c r="M66" s="478">
        <v>41</v>
      </c>
      <c r="N66" s="490" t="s">
        <v>28</v>
      </c>
      <c r="O66" s="490" t="s">
        <v>28</v>
      </c>
      <c r="P66" s="478">
        <v>1</v>
      </c>
      <c r="Q66" s="490">
        <v>1</v>
      </c>
      <c r="R66" s="490">
        <v>30</v>
      </c>
      <c r="S66" s="490" t="s">
        <v>28</v>
      </c>
      <c r="T66" s="490">
        <v>1</v>
      </c>
      <c r="U66" s="490">
        <v>1</v>
      </c>
      <c r="V66" s="479" t="s">
        <v>28</v>
      </c>
    </row>
    <row r="67" spans="1:25" ht="11.25" customHeight="1">
      <c r="A67" s="2036" t="s">
        <v>29</v>
      </c>
      <c r="B67" s="475" t="s">
        <v>30</v>
      </c>
      <c r="C67" s="489">
        <v>53</v>
      </c>
      <c r="D67" s="489">
        <v>52</v>
      </c>
      <c r="E67" s="489">
        <v>18</v>
      </c>
      <c r="F67" s="489">
        <v>141</v>
      </c>
      <c r="G67" s="476" t="s">
        <v>28</v>
      </c>
      <c r="H67" s="489" t="s">
        <v>28</v>
      </c>
      <c r="I67" s="489">
        <v>35</v>
      </c>
      <c r="J67" s="476" t="s">
        <v>28</v>
      </c>
      <c r="K67" s="476">
        <v>3</v>
      </c>
      <c r="L67" s="476">
        <v>30</v>
      </c>
      <c r="M67" s="476">
        <v>41</v>
      </c>
      <c r="N67" s="489" t="s">
        <v>28</v>
      </c>
      <c r="O67" s="489" t="s">
        <v>28</v>
      </c>
      <c r="P67" s="476">
        <v>1</v>
      </c>
      <c r="Q67" s="489">
        <v>1</v>
      </c>
      <c r="R67" s="489">
        <v>30</v>
      </c>
      <c r="S67" s="489" t="s">
        <v>28</v>
      </c>
      <c r="T67" s="489">
        <v>1</v>
      </c>
      <c r="U67" s="489">
        <v>1</v>
      </c>
      <c r="V67" s="477" t="s">
        <v>28</v>
      </c>
    </row>
    <row r="68" spans="1:25" ht="11.25" customHeight="1">
      <c r="A68" s="2033" t="s">
        <v>61</v>
      </c>
      <c r="B68" s="472" t="s">
        <v>62</v>
      </c>
      <c r="C68" s="490">
        <v>7</v>
      </c>
      <c r="D68" s="490">
        <v>7</v>
      </c>
      <c r="E68" s="490">
        <v>1</v>
      </c>
      <c r="F68" s="490">
        <v>14</v>
      </c>
      <c r="G68" s="478" t="s">
        <v>28</v>
      </c>
      <c r="H68" s="490" t="s">
        <v>28</v>
      </c>
      <c r="I68" s="490">
        <v>3</v>
      </c>
      <c r="J68" s="478" t="s">
        <v>28</v>
      </c>
      <c r="K68" s="478">
        <v>1</v>
      </c>
      <c r="L68" s="478">
        <v>7</v>
      </c>
      <c r="M68" s="478">
        <v>5</v>
      </c>
      <c r="N68" s="490" t="s">
        <v>28</v>
      </c>
      <c r="O68" s="490" t="s">
        <v>28</v>
      </c>
      <c r="P68" s="478" t="s">
        <v>28</v>
      </c>
      <c r="Q68" s="490" t="s">
        <v>28</v>
      </c>
      <c r="R68" s="490">
        <v>2</v>
      </c>
      <c r="S68" s="490" t="s">
        <v>28</v>
      </c>
      <c r="T68" s="490" t="s">
        <v>28</v>
      </c>
      <c r="U68" s="490" t="s">
        <v>28</v>
      </c>
      <c r="V68" s="479" t="s">
        <v>28</v>
      </c>
    </row>
    <row r="69" spans="1:25" ht="11.25" customHeight="1">
      <c r="A69" s="2036" t="s">
        <v>29</v>
      </c>
      <c r="B69" s="475" t="s">
        <v>30</v>
      </c>
      <c r="C69" s="489">
        <v>6</v>
      </c>
      <c r="D69" s="489">
        <v>5</v>
      </c>
      <c r="E69" s="489">
        <v>1</v>
      </c>
      <c r="F69" s="489">
        <v>12</v>
      </c>
      <c r="G69" s="476" t="s">
        <v>28</v>
      </c>
      <c r="H69" s="489" t="s">
        <v>28</v>
      </c>
      <c r="I69" s="489">
        <v>3</v>
      </c>
      <c r="J69" s="476" t="s">
        <v>28</v>
      </c>
      <c r="K69" s="476">
        <v>1</v>
      </c>
      <c r="L69" s="476">
        <v>7</v>
      </c>
      <c r="M69" s="476">
        <v>1</v>
      </c>
      <c r="N69" s="489" t="s">
        <v>28</v>
      </c>
      <c r="O69" s="489" t="s">
        <v>28</v>
      </c>
      <c r="P69" s="476" t="s">
        <v>28</v>
      </c>
      <c r="Q69" s="489" t="s">
        <v>28</v>
      </c>
      <c r="R69" s="489">
        <v>2</v>
      </c>
      <c r="S69" s="489" t="s">
        <v>28</v>
      </c>
      <c r="T69" s="489" t="s">
        <v>28</v>
      </c>
      <c r="U69" s="489" t="s">
        <v>28</v>
      </c>
      <c r="V69" s="477" t="s">
        <v>28</v>
      </c>
      <c r="W69" s="59"/>
      <c r="X69" s="59"/>
      <c r="Y69" s="59"/>
    </row>
    <row r="70" spans="1:25" ht="11.25" customHeight="1">
      <c r="A70" s="2036" t="s">
        <v>31</v>
      </c>
      <c r="B70" s="475" t="s">
        <v>32</v>
      </c>
      <c r="C70" s="489">
        <v>1</v>
      </c>
      <c r="D70" s="489">
        <v>2</v>
      </c>
      <c r="E70" s="489" t="s">
        <v>28</v>
      </c>
      <c r="F70" s="489">
        <v>2</v>
      </c>
      <c r="G70" s="476" t="s">
        <v>28</v>
      </c>
      <c r="H70" s="489" t="s">
        <v>28</v>
      </c>
      <c r="I70" s="489" t="s">
        <v>28</v>
      </c>
      <c r="J70" s="476" t="s">
        <v>28</v>
      </c>
      <c r="K70" s="476" t="s">
        <v>28</v>
      </c>
      <c r="L70" s="476" t="s">
        <v>28</v>
      </c>
      <c r="M70" s="476">
        <v>4</v>
      </c>
      <c r="N70" s="489" t="s">
        <v>28</v>
      </c>
      <c r="O70" s="489" t="s">
        <v>28</v>
      </c>
      <c r="P70" s="476" t="s">
        <v>28</v>
      </c>
      <c r="Q70" s="489" t="s">
        <v>28</v>
      </c>
      <c r="R70" s="489" t="s">
        <v>28</v>
      </c>
      <c r="S70" s="489" t="s">
        <v>28</v>
      </c>
      <c r="T70" s="489" t="s">
        <v>28</v>
      </c>
      <c r="U70" s="489" t="s">
        <v>28</v>
      </c>
      <c r="V70" s="477" t="s">
        <v>28</v>
      </c>
      <c r="W70" s="59"/>
      <c r="X70" s="59"/>
      <c r="Y70" s="59"/>
    </row>
    <row r="71" spans="1:25" ht="11.25" customHeight="1">
      <c r="A71" s="2033" t="s">
        <v>63</v>
      </c>
      <c r="B71" s="472" t="s">
        <v>64</v>
      </c>
      <c r="C71" s="490">
        <v>1</v>
      </c>
      <c r="D71" s="490">
        <v>2</v>
      </c>
      <c r="E71" s="490" t="s">
        <v>28</v>
      </c>
      <c r="F71" s="490">
        <v>7</v>
      </c>
      <c r="G71" s="478" t="s">
        <v>28</v>
      </c>
      <c r="H71" s="490" t="s">
        <v>28</v>
      </c>
      <c r="I71" s="490" t="s">
        <v>28</v>
      </c>
      <c r="J71" s="478">
        <v>1</v>
      </c>
      <c r="K71" s="478">
        <v>1</v>
      </c>
      <c r="L71" s="478">
        <v>2</v>
      </c>
      <c r="M71" s="478" t="s">
        <v>28</v>
      </c>
      <c r="N71" s="490" t="s">
        <v>28</v>
      </c>
      <c r="O71" s="490" t="s">
        <v>28</v>
      </c>
      <c r="P71" s="478" t="s">
        <v>28</v>
      </c>
      <c r="Q71" s="490" t="s">
        <v>28</v>
      </c>
      <c r="R71" s="490">
        <v>1</v>
      </c>
      <c r="S71" s="490" t="s">
        <v>28</v>
      </c>
      <c r="T71" s="490" t="s">
        <v>28</v>
      </c>
      <c r="U71" s="490" t="s">
        <v>28</v>
      </c>
      <c r="V71" s="479" t="s">
        <v>28</v>
      </c>
      <c r="W71" s="59"/>
      <c r="X71" s="59"/>
      <c r="Y71" s="59"/>
    </row>
    <row r="72" spans="1:25" ht="83.25" customHeight="1" thickBot="1">
      <c r="A72" s="2036" t="s">
        <v>29</v>
      </c>
      <c r="B72" s="475" t="s">
        <v>30</v>
      </c>
      <c r="C72" s="489">
        <v>1</v>
      </c>
      <c r="D72" s="489">
        <v>2</v>
      </c>
      <c r="E72" s="489" t="s">
        <v>28</v>
      </c>
      <c r="F72" s="489">
        <v>7</v>
      </c>
      <c r="G72" s="476" t="s">
        <v>28</v>
      </c>
      <c r="H72" s="489" t="s">
        <v>28</v>
      </c>
      <c r="I72" s="489" t="s">
        <v>28</v>
      </c>
      <c r="J72" s="476">
        <v>1</v>
      </c>
      <c r="K72" s="476">
        <v>1</v>
      </c>
      <c r="L72" s="476">
        <v>2</v>
      </c>
      <c r="M72" s="476" t="s">
        <v>28</v>
      </c>
      <c r="N72" s="489" t="s">
        <v>28</v>
      </c>
      <c r="O72" s="489" t="s">
        <v>28</v>
      </c>
      <c r="P72" s="476" t="s">
        <v>28</v>
      </c>
      <c r="Q72" s="489" t="s">
        <v>28</v>
      </c>
      <c r="R72" s="489">
        <v>1</v>
      </c>
      <c r="S72" s="489" t="s">
        <v>28</v>
      </c>
      <c r="T72" s="489" t="s">
        <v>28</v>
      </c>
      <c r="U72" s="489" t="s">
        <v>28</v>
      </c>
      <c r="V72" s="477" t="s">
        <v>28</v>
      </c>
      <c r="W72" s="59"/>
      <c r="X72" s="59"/>
      <c r="Y72" s="59"/>
    </row>
    <row r="73" spans="1:25" ht="13.5">
      <c r="A73" s="1440" t="s">
        <v>1260</v>
      </c>
      <c r="B73" s="1440"/>
      <c r="C73" s="1440"/>
      <c r="D73" s="1440"/>
      <c r="E73" s="1440"/>
      <c r="F73" s="1440"/>
      <c r="G73" s="1440"/>
      <c r="H73" s="1440"/>
      <c r="I73" s="1440"/>
      <c r="J73" s="1439" t="s">
        <v>1284</v>
      </c>
      <c r="K73" s="1439"/>
      <c r="L73" s="1439"/>
      <c r="M73" s="1439"/>
      <c r="N73" s="1439"/>
      <c r="O73" s="1439"/>
      <c r="P73" s="1439"/>
      <c r="Q73" s="1439"/>
      <c r="R73" s="1439"/>
      <c r="S73" s="1439"/>
      <c r="T73" s="1439"/>
      <c r="U73" s="1439"/>
      <c r="V73" s="1439"/>
    </row>
    <row r="79" spans="1:25">
      <c r="A79" s="495"/>
      <c r="B79" s="496"/>
      <c r="C79" s="496"/>
      <c r="D79" s="496"/>
      <c r="E79" s="496"/>
      <c r="F79" s="496"/>
    </row>
    <row r="80" spans="1:25">
      <c r="A80" s="499"/>
      <c r="B80" s="496"/>
      <c r="C80" s="496"/>
      <c r="D80" s="496"/>
      <c r="E80" s="496"/>
      <c r="F80" s="496"/>
    </row>
    <row r="81" spans="1:6">
      <c r="A81" s="496"/>
      <c r="B81" s="496"/>
      <c r="C81" s="496"/>
      <c r="D81" s="496"/>
      <c r="E81" s="496"/>
      <c r="F81" s="496"/>
    </row>
    <row r="82" spans="1:6">
      <c r="A82" s="496"/>
      <c r="B82" s="496"/>
      <c r="C82" s="496"/>
      <c r="D82" s="496"/>
      <c r="E82" s="496"/>
      <c r="F82" s="496"/>
    </row>
    <row r="83" spans="1:6">
      <c r="A83" s="339"/>
      <c r="B83" s="339"/>
      <c r="C83" s="339"/>
      <c r="D83" s="339"/>
      <c r="E83" s="339"/>
      <c r="F83" s="339"/>
    </row>
    <row r="84" spans="1:6">
      <c r="A84" s="496"/>
    </row>
  </sheetData>
  <mergeCells count="18">
    <mergeCell ref="A73:I73"/>
    <mergeCell ref="J73:V73"/>
    <mergeCell ref="A32:I32"/>
    <mergeCell ref="J32:V32"/>
    <mergeCell ref="A46:I46"/>
    <mergeCell ref="J46:V46"/>
    <mergeCell ref="J2:V2"/>
    <mergeCell ref="A2:I2"/>
    <mergeCell ref="A5:B7"/>
    <mergeCell ref="A8:B8"/>
    <mergeCell ref="C5:I5"/>
    <mergeCell ref="C6:I6"/>
    <mergeCell ref="J5:V5"/>
    <mergeCell ref="J3:V3"/>
    <mergeCell ref="J6:V6"/>
    <mergeCell ref="A3:I3"/>
    <mergeCell ref="A4:I4"/>
    <mergeCell ref="J4:V4"/>
  </mergeCells>
  <phoneticPr fontId="18" type="noConversion"/>
  <hyperlinks>
    <hyperlink ref="A1" location="목록!A1" display="목록!A1" xr:uid="{CB980019-E962-4273-9202-531A6233EEE4}"/>
  </hyperlinks>
  <printOptions horizontalCentered="1"/>
  <pageMargins left="0.59055118110236227" right="0.59055118110236227" top="0.78740157480314965" bottom="0.39370078740157483" header="0.62992125984251968" footer="0.39370078740157483"/>
  <pageSetup paperSize="9" scale="81" orientation="portrait" r:id="rId1"/>
  <colBreaks count="2" manualBreakCount="2">
    <brk id="9" min="1" max="71" man="1"/>
    <brk id="22" min="1" max="71" man="1"/>
  </colBreaks>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W83"/>
  <sheetViews>
    <sheetView showGridLines="0" showWhiteSpace="0" view="pageBreakPreview" zoomScaleNormal="130" zoomScaleSheetLayoutView="100" zoomScalePageLayoutView="85" workbookViewId="0">
      <selection activeCell="L19" sqref="L19"/>
    </sheetView>
  </sheetViews>
  <sheetFormatPr defaultColWidth="5" defaultRowHeight="16.5"/>
  <cols>
    <col min="1" max="1" width="19.44140625" style="497" customWidth="1"/>
    <col min="2" max="2" width="23.109375" style="497" customWidth="1"/>
    <col min="3" max="3" width="7.109375" style="497" customWidth="1"/>
    <col min="4" max="8" width="5.6640625" style="497" customWidth="1"/>
    <col min="9" max="9" width="5.21875" style="498" customWidth="1"/>
    <col min="10" max="11" width="5.21875" style="497" customWidth="1"/>
    <col min="12" max="12" width="5.77734375" style="497" customWidth="1"/>
    <col min="13" max="13" width="5.6640625" style="497" customWidth="1"/>
    <col min="14" max="16" width="5.21875" style="497" customWidth="1"/>
    <col min="17" max="17" width="6.5546875" style="497" customWidth="1"/>
    <col min="18" max="18" width="6.21875" style="497" customWidth="1"/>
    <col min="19" max="19" width="6.109375" style="497" customWidth="1"/>
    <col min="20" max="20" width="6.33203125" style="497" customWidth="1"/>
    <col min="21" max="21" width="6.21875" style="497" customWidth="1"/>
    <col min="22" max="22" width="4.88671875" style="497" customWidth="1"/>
    <col min="23" max="254" width="8" style="59" customWidth="1"/>
    <col min="255" max="255" width="14.44140625" style="59" customWidth="1"/>
    <col min="256" max="256" width="22.21875" style="59" customWidth="1"/>
    <col min="257" max="258" width="5.21875" style="59" customWidth="1"/>
    <col min="259" max="16384" width="5" style="59"/>
  </cols>
  <sheetData>
    <row r="1" spans="1:23" ht="22.5">
      <c r="A1" s="901" t="s">
        <v>1332</v>
      </c>
    </row>
    <row r="2" spans="1:23" s="501" customFormat="1" ht="13.5" customHeight="1">
      <c r="A2" s="1449" t="s">
        <v>1188</v>
      </c>
      <c r="B2" s="1449"/>
      <c r="C2" s="1449"/>
      <c r="D2" s="1449"/>
      <c r="E2" s="1449"/>
      <c r="F2" s="1449"/>
      <c r="G2" s="1449"/>
      <c r="H2" s="1449"/>
      <c r="I2" s="987"/>
      <c r="J2" s="1427" t="s">
        <v>1189</v>
      </c>
      <c r="K2" s="1427"/>
      <c r="L2" s="1427"/>
      <c r="M2" s="1427"/>
      <c r="N2" s="1427"/>
      <c r="O2" s="1427"/>
      <c r="P2" s="1427"/>
      <c r="Q2" s="1427"/>
      <c r="R2" s="1427"/>
      <c r="S2" s="1427"/>
      <c r="T2" s="1427"/>
      <c r="U2" s="1427"/>
      <c r="V2" s="1427"/>
    </row>
    <row r="3" spans="1:23" s="502" customFormat="1" ht="21" customHeight="1">
      <c r="A3" s="1436" t="s">
        <v>907</v>
      </c>
      <c r="B3" s="1436"/>
      <c r="C3" s="1436"/>
      <c r="D3" s="1436"/>
      <c r="E3" s="1436"/>
      <c r="F3" s="1436"/>
      <c r="G3" s="1436"/>
      <c r="H3" s="1436"/>
      <c r="I3" s="1435" t="s">
        <v>906</v>
      </c>
      <c r="J3" s="1435"/>
      <c r="K3" s="1435"/>
      <c r="L3" s="1435"/>
      <c r="M3" s="1435"/>
      <c r="N3" s="1435"/>
      <c r="O3" s="1435"/>
      <c r="P3" s="1435"/>
      <c r="Q3" s="1435"/>
      <c r="R3" s="1435"/>
      <c r="S3" s="1435"/>
      <c r="T3" s="1435"/>
      <c r="U3" s="1435"/>
      <c r="V3" s="1435"/>
    </row>
    <row r="4" spans="1:23" ht="3" customHeight="1" thickBot="1">
      <c r="A4" s="1437"/>
      <c r="B4" s="1437"/>
      <c r="C4" s="1437"/>
      <c r="D4" s="1437"/>
      <c r="E4" s="1437"/>
      <c r="F4" s="1437"/>
      <c r="G4" s="1437"/>
      <c r="H4" s="1437"/>
      <c r="I4" s="1437"/>
      <c r="J4" s="1437"/>
      <c r="K4" s="1437"/>
      <c r="L4" s="1437"/>
      <c r="M4" s="1437"/>
      <c r="N4" s="1437"/>
      <c r="O4" s="1437"/>
      <c r="P4" s="1437"/>
      <c r="Q4" s="1437"/>
      <c r="R4" s="1437"/>
      <c r="S4" s="1437"/>
      <c r="T4" s="1437"/>
      <c r="U4" s="1437"/>
      <c r="V4" s="1437"/>
    </row>
    <row r="5" spans="1:23" ht="10.7" customHeight="1">
      <c r="A5" s="1429" t="s">
        <v>2</v>
      </c>
      <c r="B5" s="1430"/>
      <c r="C5" s="1441" t="s">
        <v>844</v>
      </c>
      <c r="D5" s="1429"/>
      <c r="E5" s="1429"/>
      <c r="F5" s="1429"/>
      <c r="G5" s="1429"/>
      <c r="H5" s="1429"/>
      <c r="I5" s="1429" t="s">
        <v>974</v>
      </c>
      <c r="J5" s="1429"/>
      <c r="K5" s="1429"/>
      <c r="L5" s="1429"/>
      <c r="M5" s="1429"/>
      <c r="N5" s="1429"/>
      <c r="O5" s="1430"/>
      <c r="P5" s="1445" t="s">
        <v>871</v>
      </c>
      <c r="Q5" s="1445" t="s">
        <v>1467</v>
      </c>
      <c r="R5" s="1441" t="s">
        <v>835</v>
      </c>
      <c r="S5" s="1429"/>
      <c r="T5" s="1429"/>
      <c r="U5" s="1429"/>
      <c r="V5" s="1429"/>
    </row>
    <row r="6" spans="1:23" ht="10.7" customHeight="1">
      <c r="A6" s="2031"/>
      <c r="B6" s="1431"/>
      <c r="C6" s="1442" t="s">
        <v>845</v>
      </c>
      <c r="D6" s="1443"/>
      <c r="E6" s="1443"/>
      <c r="F6" s="1443"/>
      <c r="G6" s="1443"/>
      <c r="H6" s="1443"/>
      <c r="I6" s="2044" t="s">
        <v>880</v>
      </c>
      <c r="J6" s="2044"/>
      <c r="K6" s="2044"/>
      <c r="L6" s="2044"/>
      <c r="M6" s="2044"/>
      <c r="N6" s="2044"/>
      <c r="O6" s="1444"/>
      <c r="P6" s="1446"/>
      <c r="Q6" s="1446"/>
      <c r="R6" s="1442" t="s">
        <v>836</v>
      </c>
      <c r="S6" s="1443"/>
      <c r="T6" s="1443"/>
      <c r="U6" s="1443"/>
      <c r="V6" s="1443"/>
    </row>
    <row r="7" spans="1:23" s="503" customFormat="1" ht="33" customHeight="1">
      <c r="A7" s="2031"/>
      <c r="B7" s="1431"/>
      <c r="C7" s="985" t="s">
        <v>867</v>
      </c>
      <c r="D7" s="985" t="s">
        <v>857</v>
      </c>
      <c r="E7" s="985" t="s">
        <v>868</v>
      </c>
      <c r="F7" s="988" t="s">
        <v>858</v>
      </c>
      <c r="G7" s="985" t="s">
        <v>1468</v>
      </c>
      <c r="H7" s="988" t="s">
        <v>1076</v>
      </c>
      <c r="I7" s="467" t="s">
        <v>708</v>
      </c>
      <c r="J7" s="467" t="s">
        <v>859</v>
      </c>
      <c r="K7" s="507" t="s">
        <v>869</v>
      </c>
      <c r="L7" s="508" t="s">
        <v>969</v>
      </c>
      <c r="M7" s="509" t="s">
        <v>970</v>
      </c>
      <c r="N7" s="510" t="s">
        <v>998</v>
      </c>
      <c r="O7" s="510" t="s">
        <v>1001</v>
      </c>
      <c r="P7" s="1447" t="s">
        <v>1101</v>
      </c>
      <c r="Q7" s="1447" t="s">
        <v>838</v>
      </c>
      <c r="R7" s="468" t="s">
        <v>870</v>
      </c>
      <c r="S7" s="468" t="s">
        <v>167</v>
      </c>
      <c r="T7" s="468" t="s">
        <v>168</v>
      </c>
      <c r="U7" s="511" t="s">
        <v>169</v>
      </c>
      <c r="V7" s="2045" t="s">
        <v>148</v>
      </c>
    </row>
    <row r="8" spans="1:23" s="504" customFormat="1" ht="36" customHeight="1">
      <c r="A8" s="1443" t="s">
        <v>7</v>
      </c>
      <c r="B8" s="1448"/>
      <c r="C8" s="512" t="s">
        <v>860</v>
      </c>
      <c r="D8" s="512" t="s">
        <v>861</v>
      </c>
      <c r="E8" s="513" t="s">
        <v>862</v>
      </c>
      <c r="F8" s="514" t="s">
        <v>863</v>
      </c>
      <c r="G8" s="471" t="s">
        <v>864</v>
      </c>
      <c r="H8" s="515" t="s">
        <v>1077</v>
      </c>
      <c r="I8" s="516" t="s">
        <v>711</v>
      </c>
      <c r="J8" s="517" t="s">
        <v>865</v>
      </c>
      <c r="K8" s="517" t="s">
        <v>866</v>
      </c>
      <c r="L8" s="2046" t="s">
        <v>971</v>
      </c>
      <c r="M8" s="518" t="s">
        <v>972</v>
      </c>
      <c r="N8" s="520" t="s">
        <v>1000</v>
      </c>
      <c r="O8" s="519" t="s">
        <v>999</v>
      </c>
      <c r="P8" s="2047"/>
      <c r="Q8" s="2047"/>
      <c r="R8" s="521" t="s">
        <v>840</v>
      </c>
      <c r="S8" s="522" t="s">
        <v>841</v>
      </c>
      <c r="T8" s="522" t="s">
        <v>842</v>
      </c>
      <c r="U8" s="522" t="s">
        <v>843</v>
      </c>
      <c r="V8" s="523" t="s">
        <v>150</v>
      </c>
    </row>
    <row r="9" spans="1:23" ht="11.25" customHeight="1">
      <c r="A9" s="2033" t="s">
        <v>27</v>
      </c>
      <c r="B9" s="472" t="s">
        <v>16</v>
      </c>
      <c r="C9" s="524">
        <v>3</v>
      </c>
      <c r="D9" s="524">
        <v>7</v>
      </c>
      <c r="E9" s="524">
        <v>1</v>
      </c>
      <c r="F9" s="524">
        <v>1</v>
      </c>
      <c r="G9" s="524">
        <v>1</v>
      </c>
      <c r="H9" s="473">
        <v>1</v>
      </c>
      <c r="I9" s="473">
        <v>2</v>
      </c>
      <c r="J9" s="473">
        <v>2</v>
      </c>
      <c r="K9" s="473">
        <v>7</v>
      </c>
      <c r="L9" s="473">
        <v>2</v>
      </c>
      <c r="M9" s="524">
        <v>1</v>
      </c>
      <c r="N9" s="524">
        <v>1</v>
      </c>
      <c r="O9" s="524">
        <v>2</v>
      </c>
      <c r="P9" s="524">
        <v>236</v>
      </c>
      <c r="Q9" s="473">
        <v>2</v>
      </c>
      <c r="R9" s="524">
        <v>108</v>
      </c>
      <c r="S9" s="524">
        <v>72</v>
      </c>
      <c r="T9" s="524">
        <v>187</v>
      </c>
      <c r="U9" s="524">
        <v>46</v>
      </c>
      <c r="V9" s="525">
        <v>12</v>
      </c>
      <c r="W9" s="505"/>
    </row>
    <row r="10" spans="1:23" ht="11.25" customHeight="1">
      <c r="A10" s="2036" t="s">
        <v>29</v>
      </c>
      <c r="B10" s="475" t="s">
        <v>190</v>
      </c>
      <c r="C10" s="489">
        <v>3</v>
      </c>
      <c r="D10" s="489">
        <v>7</v>
      </c>
      <c r="E10" s="489">
        <v>1</v>
      </c>
      <c r="F10" s="489">
        <v>1</v>
      </c>
      <c r="G10" s="489">
        <v>1</v>
      </c>
      <c r="H10" s="476">
        <v>1</v>
      </c>
      <c r="I10" s="476">
        <v>2</v>
      </c>
      <c r="J10" s="476">
        <v>2</v>
      </c>
      <c r="K10" s="476">
        <v>7</v>
      </c>
      <c r="L10" s="476">
        <v>2</v>
      </c>
      <c r="M10" s="489">
        <v>1</v>
      </c>
      <c r="N10" s="489">
        <v>1</v>
      </c>
      <c r="O10" s="489">
        <v>2</v>
      </c>
      <c r="P10" s="489">
        <v>235</v>
      </c>
      <c r="Q10" s="476">
        <v>2</v>
      </c>
      <c r="R10" s="489">
        <v>98</v>
      </c>
      <c r="S10" s="489">
        <v>72</v>
      </c>
      <c r="T10" s="489">
        <v>176</v>
      </c>
      <c r="U10" s="489">
        <v>46</v>
      </c>
      <c r="V10" s="2048">
        <v>12</v>
      </c>
    </row>
    <row r="11" spans="1:23" ht="11.25" customHeight="1">
      <c r="A11" s="2036" t="s">
        <v>31</v>
      </c>
      <c r="B11" s="475" t="s">
        <v>191</v>
      </c>
      <c r="C11" s="489" t="s">
        <v>28</v>
      </c>
      <c r="D11" s="489" t="s">
        <v>28</v>
      </c>
      <c r="E11" s="489" t="s">
        <v>28</v>
      </c>
      <c r="F11" s="489" t="s">
        <v>28</v>
      </c>
      <c r="G11" s="489" t="s">
        <v>28</v>
      </c>
      <c r="H11" s="476" t="s">
        <v>28</v>
      </c>
      <c r="I11" s="476" t="s">
        <v>28</v>
      </c>
      <c r="J11" s="476" t="s">
        <v>28</v>
      </c>
      <c r="K11" s="476" t="s">
        <v>28</v>
      </c>
      <c r="L11" s="476" t="s">
        <v>28</v>
      </c>
      <c r="M11" s="489" t="s">
        <v>28</v>
      </c>
      <c r="N11" s="489" t="s">
        <v>28</v>
      </c>
      <c r="O11" s="489" t="s">
        <v>28</v>
      </c>
      <c r="P11" s="489">
        <v>1</v>
      </c>
      <c r="Q11" s="476" t="s">
        <v>28</v>
      </c>
      <c r="R11" s="489">
        <v>10</v>
      </c>
      <c r="S11" s="489" t="s">
        <v>28</v>
      </c>
      <c r="T11" s="489">
        <v>11</v>
      </c>
      <c r="U11" s="489" t="s">
        <v>28</v>
      </c>
      <c r="V11" s="2048" t="s">
        <v>28</v>
      </c>
    </row>
    <row r="12" spans="1:23" ht="11.25" customHeight="1">
      <c r="A12" s="2033" t="s">
        <v>289</v>
      </c>
      <c r="B12" s="472" t="s">
        <v>832</v>
      </c>
      <c r="C12" s="490">
        <v>1</v>
      </c>
      <c r="D12" s="490">
        <v>3</v>
      </c>
      <c r="E12" s="490" t="s">
        <v>28</v>
      </c>
      <c r="F12" s="490" t="s">
        <v>28</v>
      </c>
      <c r="G12" s="490" t="s">
        <v>28</v>
      </c>
      <c r="H12" s="478" t="s">
        <v>28</v>
      </c>
      <c r="I12" s="478" t="s">
        <v>28</v>
      </c>
      <c r="J12" s="478" t="s">
        <v>28</v>
      </c>
      <c r="K12" s="478">
        <v>5</v>
      </c>
      <c r="L12" s="478">
        <v>1</v>
      </c>
      <c r="M12" s="490">
        <v>1</v>
      </c>
      <c r="N12" s="490" t="s">
        <v>28</v>
      </c>
      <c r="O12" s="490" t="s">
        <v>28</v>
      </c>
      <c r="P12" s="490">
        <v>36</v>
      </c>
      <c r="Q12" s="478" t="s">
        <v>28</v>
      </c>
      <c r="R12" s="490">
        <v>4</v>
      </c>
      <c r="S12" s="490">
        <v>12</v>
      </c>
      <c r="T12" s="490" t="s">
        <v>28</v>
      </c>
      <c r="U12" s="490" t="s">
        <v>28</v>
      </c>
      <c r="V12" s="2043">
        <v>7</v>
      </c>
    </row>
    <row r="13" spans="1:23" ht="11.25" customHeight="1">
      <c r="A13" s="2036" t="s">
        <v>29</v>
      </c>
      <c r="B13" s="475" t="s">
        <v>190</v>
      </c>
      <c r="C13" s="489">
        <v>1</v>
      </c>
      <c r="D13" s="489">
        <v>3</v>
      </c>
      <c r="E13" s="489" t="s">
        <v>28</v>
      </c>
      <c r="F13" s="489" t="s">
        <v>28</v>
      </c>
      <c r="G13" s="489" t="s">
        <v>28</v>
      </c>
      <c r="H13" s="476" t="s">
        <v>28</v>
      </c>
      <c r="I13" s="476" t="s">
        <v>28</v>
      </c>
      <c r="J13" s="476" t="s">
        <v>28</v>
      </c>
      <c r="K13" s="476">
        <v>5</v>
      </c>
      <c r="L13" s="476">
        <v>1</v>
      </c>
      <c r="M13" s="489">
        <v>1</v>
      </c>
      <c r="N13" s="489" t="s">
        <v>28</v>
      </c>
      <c r="O13" s="489" t="s">
        <v>28</v>
      </c>
      <c r="P13" s="489">
        <v>36</v>
      </c>
      <c r="Q13" s="476" t="s">
        <v>28</v>
      </c>
      <c r="R13" s="489">
        <v>4</v>
      </c>
      <c r="S13" s="489">
        <v>12</v>
      </c>
      <c r="T13" s="489" t="s">
        <v>28</v>
      </c>
      <c r="U13" s="489" t="s">
        <v>28</v>
      </c>
      <c r="V13" s="2048">
        <v>7</v>
      </c>
    </row>
    <row r="14" spans="1:23" ht="11.25" customHeight="1">
      <c r="A14" s="2036" t="s">
        <v>31</v>
      </c>
      <c r="B14" s="475" t="s">
        <v>191</v>
      </c>
      <c r="C14" s="489" t="s">
        <v>28</v>
      </c>
      <c r="D14" s="489" t="s">
        <v>28</v>
      </c>
      <c r="E14" s="489" t="s">
        <v>28</v>
      </c>
      <c r="F14" s="489" t="s">
        <v>28</v>
      </c>
      <c r="G14" s="489" t="s">
        <v>28</v>
      </c>
      <c r="H14" s="476" t="s">
        <v>28</v>
      </c>
      <c r="I14" s="476" t="s">
        <v>28</v>
      </c>
      <c r="J14" s="476" t="s">
        <v>28</v>
      </c>
      <c r="K14" s="476" t="s">
        <v>28</v>
      </c>
      <c r="L14" s="476" t="s">
        <v>28</v>
      </c>
      <c r="M14" s="489" t="s">
        <v>28</v>
      </c>
      <c r="N14" s="489" t="s">
        <v>28</v>
      </c>
      <c r="O14" s="489" t="s">
        <v>28</v>
      </c>
      <c r="P14" s="489" t="s">
        <v>28</v>
      </c>
      <c r="Q14" s="476" t="s">
        <v>28</v>
      </c>
      <c r="R14" s="489" t="s">
        <v>28</v>
      </c>
      <c r="S14" s="489" t="s">
        <v>28</v>
      </c>
      <c r="T14" s="489" t="s">
        <v>28</v>
      </c>
      <c r="U14" s="489" t="s">
        <v>28</v>
      </c>
      <c r="V14" s="2048" t="s">
        <v>28</v>
      </c>
    </row>
    <row r="15" spans="1:23" ht="11.25" customHeight="1">
      <c r="A15" s="2033" t="s">
        <v>290</v>
      </c>
      <c r="B15" s="472" t="s">
        <v>833</v>
      </c>
      <c r="C15" s="490" t="s">
        <v>28</v>
      </c>
      <c r="D15" s="490" t="s">
        <v>28</v>
      </c>
      <c r="E15" s="490" t="s">
        <v>28</v>
      </c>
      <c r="F15" s="490" t="s">
        <v>28</v>
      </c>
      <c r="G15" s="490" t="s">
        <v>28</v>
      </c>
      <c r="H15" s="478" t="s">
        <v>28</v>
      </c>
      <c r="I15" s="478" t="s">
        <v>28</v>
      </c>
      <c r="J15" s="478" t="s">
        <v>28</v>
      </c>
      <c r="K15" s="478" t="s">
        <v>28</v>
      </c>
      <c r="L15" s="478" t="s">
        <v>28</v>
      </c>
      <c r="M15" s="490" t="s">
        <v>28</v>
      </c>
      <c r="N15" s="490" t="s">
        <v>28</v>
      </c>
      <c r="O15" s="490" t="s">
        <v>28</v>
      </c>
      <c r="P15" s="490">
        <v>155</v>
      </c>
      <c r="Q15" s="478" t="s">
        <v>28</v>
      </c>
      <c r="R15" s="490">
        <v>11</v>
      </c>
      <c r="S15" s="490">
        <v>3</v>
      </c>
      <c r="T15" s="490" t="s">
        <v>28</v>
      </c>
      <c r="U15" s="490" t="s">
        <v>28</v>
      </c>
      <c r="V15" s="2043">
        <v>3</v>
      </c>
    </row>
    <row r="16" spans="1:23" ht="11.25" customHeight="1">
      <c r="A16" s="2036" t="s">
        <v>29</v>
      </c>
      <c r="B16" s="475" t="s">
        <v>190</v>
      </c>
      <c r="C16" s="489" t="s">
        <v>28</v>
      </c>
      <c r="D16" s="489" t="s">
        <v>28</v>
      </c>
      <c r="E16" s="489" t="s">
        <v>28</v>
      </c>
      <c r="F16" s="489" t="s">
        <v>28</v>
      </c>
      <c r="G16" s="489" t="s">
        <v>28</v>
      </c>
      <c r="H16" s="476" t="s">
        <v>28</v>
      </c>
      <c r="I16" s="476" t="s">
        <v>28</v>
      </c>
      <c r="J16" s="476" t="s">
        <v>28</v>
      </c>
      <c r="K16" s="476" t="s">
        <v>28</v>
      </c>
      <c r="L16" s="476" t="s">
        <v>28</v>
      </c>
      <c r="M16" s="489" t="s">
        <v>28</v>
      </c>
      <c r="N16" s="489" t="s">
        <v>28</v>
      </c>
      <c r="O16" s="489" t="s">
        <v>28</v>
      </c>
      <c r="P16" s="489">
        <v>155</v>
      </c>
      <c r="Q16" s="476" t="s">
        <v>28</v>
      </c>
      <c r="R16" s="489">
        <v>8</v>
      </c>
      <c r="S16" s="489">
        <v>3</v>
      </c>
      <c r="T16" s="489" t="s">
        <v>28</v>
      </c>
      <c r="U16" s="489" t="s">
        <v>28</v>
      </c>
      <c r="V16" s="2048">
        <v>3</v>
      </c>
    </row>
    <row r="17" spans="1:22" ht="11.25" customHeight="1">
      <c r="A17" s="2036" t="s">
        <v>31</v>
      </c>
      <c r="B17" s="475" t="s">
        <v>191</v>
      </c>
      <c r="C17" s="489" t="s">
        <v>28</v>
      </c>
      <c r="D17" s="489" t="s">
        <v>28</v>
      </c>
      <c r="E17" s="489" t="s">
        <v>28</v>
      </c>
      <c r="F17" s="489" t="s">
        <v>28</v>
      </c>
      <c r="G17" s="489" t="s">
        <v>28</v>
      </c>
      <c r="H17" s="476" t="s">
        <v>28</v>
      </c>
      <c r="I17" s="476" t="s">
        <v>28</v>
      </c>
      <c r="J17" s="476" t="s">
        <v>28</v>
      </c>
      <c r="K17" s="476" t="s">
        <v>28</v>
      </c>
      <c r="L17" s="476" t="s">
        <v>28</v>
      </c>
      <c r="M17" s="489" t="s">
        <v>28</v>
      </c>
      <c r="N17" s="489" t="s">
        <v>28</v>
      </c>
      <c r="O17" s="489" t="s">
        <v>28</v>
      </c>
      <c r="P17" s="489" t="s">
        <v>28</v>
      </c>
      <c r="Q17" s="476" t="s">
        <v>28</v>
      </c>
      <c r="R17" s="489">
        <v>3</v>
      </c>
      <c r="S17" s="489" t="s">
        <v>28</v>
      </c>
      <c r="T17" s="489" t="s">
        <v>28</v>
      </c>
      <c r="U17" s="489" t="s">
        <v>28</v>
      </c>
      <c r="V17" s="2048" t="s">
        <v>28</v>
      </c>
    </row>
    <row r="18" spans="1:22" ht="11.25" customHeight="1">
      <c r="A18" s="2033" t="s">
        <v>291</v>
      </c>
      <c r="B18" s="480" t="s">
        <v>292</v>
      </c>
      <c r="C18" s="490">
        <v>2</v>
      </c>
      <c r="D18" s="490">
        <v>3</v>
      </c>
      <c r="E18" s="490">
        <v>1</v>
      </c>
      <c r="F18" s="490">
        <v>1</v>
      </c>
      <c r="G18" s="490">
        <v>1</v>
      </c>
      <c r="H18" s="478" t="s">
        <v>28</v>
      </c>
      <c r="I18" s="478">
        <v>1</v>
      </c>
      <c r="J18" s="478">
        <v>1</v>
      </c>
      <c r="K18" s="478">
        <v>2</v>
      </c>
      <c r="L18" s="478">
        <v>1</v>
      </c>
      <c r="M18" s="490" t="s">
        <v>28</v>
      </c>
      <c r="N18" s="490">
        <v>1</v>
      </c>
      <c r="O18" s="490" t="s">
        <v>28</v>
      </c>
      <c r="P18" s="490">
        <v>21</v>
      </c>
      <c r="Q18" s="478">
        <v>1</v>
      </c>
      <c r="R18" s="490">
        <v>36</v>
      </c>
      <c r="S18" s="490">
        <v>35</v>
      </c>
      <c r="T18" s="490">
        <v>180</v>
      </c>
      <c r="U18" s="490">
        <v>16</v>
      </c>
      <c r="V18" s="2043">
        <v>2</v>
      </c>
    </row>
    <row r="19" spans="1:22" ht="11.25" customHeight="1">
      <c r="A19" s="2036" t="s">
        <v>29</v>
      </c>
      <c r="B19" s="475" t="s">
        <v>190</v>
      </c>
      <c r="C19" s="489">
        <v>2</v>
      </c>
      <c r="D19" s="489">
        <v>3</v>
      </c>
      <c r="E19" s="489">
        <v>1</v>
      </c>
      <c r="F19" s="489">
        <v>1</v>
      </c>
      <c r="G19" s="489">
        <v>1</v>
      </c>
      <c r="H19" s="476" t="s">
        <v>28</v>
      </c>
      <c r="I19" s="476">
        <v>1</v>
      </c>
      <c r="J19" s="476">
        <v>1</v>
      </c>
      <c r="K19" s="476">
        <v>2</v>
      </c>
      <c r="L19" s="476">
        <v>1</v>
      </c>
      <c r="M19" s="489" t="s">
        <v>28</v>
      </c>
      <c r="N19" s="489">
        <v>1</v>
      </c>
      <c r="O19" s="489" t="s">
        <v>28</v>
      </c>
      <c r="P19" s="489">
        <v>20</v>
      </c>
      <c r="Q19" s="476">
        <v>1</v>
      </c>
      <c r="R19" s="489">
        <v>33</v>
      </c>
      <c r="S19" s="489">
        <v>35</v>
      </c>
      <c r="T19" s="489">
        <v>169</v>
      </c>
      <c r="U19" s="489">
        <v>16</v>
      </c>
      <c r="V19" s="2048">
        <v>2</v>
      </c>
    </row>
    <row r="20" spans="1:22" ht="11.25" customHeight="1">
      <c r="A20" s="2036" t="s">
        <v>31</v>
      </c>
      <c r="B20" s="475" t="s">
        <v>191</v>
      </c>
      <c r="C20" s="489" t="s">
        <v>28</v>
      </c>
      <c r="D20" s="489" t="s">
        <v>28</v>
      </c>
      <c r="E20" s="489" t="s">
        <v>28</v>
      </c>
      <c r="F20" s="489" t="s">
        <v>28</v>
      </c>
      <c r="G20" s="489" t="s">
        <v>28</v>
      </c>
      <c r="H20" s="476" t="s">
        <v>28</v>
      </c>
      <c r="I20" s="476" t="s">
        <v>28</v>
      </c>
      <c r="J20" s="476" t="s">
        <v>28</v>
      </c>
      <c r="K20" s="476" t="s">
        <v>28</v>
      </c>
      <c r="L20" s="476" t="s">
        <v>28</v>
      </c>
      <c r="M20" s="489" t="s">
        <v>28</v>
      </c>
      <c r="N20" s="489" t="s">
        <v>28</v>
      </c>
      <c r="O20" s="489" t="s">
        <v>28</v>
      </c>
      <c r="P20" s="489">
        <v>1</v>
      </c>
      <c r="Q20" s="476" t="s">
        <v>28</v>
      </c>
      <c r="R20" s="489">
        <v>3</v>
      </c>
      <c r="S20" s="489" t="s">
        <v>28</v>
      </c>
      <c r="T20" s="489">
        <v>11</v>
      </c>
      <c r="U20" s="489" t="s">
        <v>28</v>
      </c>
      <c r="V20" s="2048" t="s">
        <v>28</v>
      </c>
    </row>
    <row r="21" spans="1:22" ht="11.25" customHeight="1">
      <c r="A21" s="2033" t="s">
        <v>293</v>
      </c>
      <c r="B21" s="472" t="s">
        <v>294</v>
      </c>
      <c r="C21" s="490" t="s">
        <v>28</v>
      </c>
      <c r="D21" s="490">
        <v>1</v>
      </c>
      <c r="E21" s="490" t="s">
        <v>28</v>
      </c>
      <c r="F21" s="490" t="s">
        <v>28</v>
      </c>
      <c r="G21" s="490" t="s">
        <v>28</v>
      </c>
      <c r="H21" s="478">
        <v>1</v>
      </c>
      <c r="I21" s="478" t="s">
        <v>28</v>
      </c>
      <c r="J21" s="478">
        <v>1</v>
      </c>
      <c r="K21" s="478" t="s">
        <v>28</v>
      </c>
      <c r="L21" s="478" t="s">
        <v>28</v>
      </c>
      <c r="M21" s="490" t="s">
        <v>28</v>
      </c>
      <c r="N21" s="490" t="s">
        <v>28</v>
      </c>
      <c r="O21" s="490" t="s">
        <v>28</v>
      </c>
      <c r="P21" s="490">
        <v>22</v>
      </c>
      <c r="Q21" s="478" t="s">
        <v>28</v>
      </c>
      <c r="R21" s="490">
        <v>48</v>
      </c>
      <c r="S21" s="490">
        <v>22</v>
      </c>
      <c r="T21" s="490" t="s">
        <v>28</v>
      </c>
      <c r="U21" s="490">
        <v>18</v>
      </c>
      <c r="V21" s="2043" t="s">
        <v>28</v>
      </c>
    </row>
    <row r="22" spans="1:22" ht="11.25" customHeight="1">
      <c r="A22" s="2036" t="s">
        <v>29</v>
      </c>
      <c r="B22" s="475" t="s">
        <v>190</v>
      </c>
      <c r="C22" s="489" t="s">
        <v>28</v>
      </c>
      <c r="D22" s="489">
        <v>1</v>
      </c>
      <c r="E22" s="489" t="s">
        <v>28</v>
      </c>
      <c r="F22" s="489" t="s">
        <v>28</v>
      </c>
      <c r="G22" s="489" t="s">
        <v>28</v>
      </c>
      <c r="H22" s="476">
        <v>1</v>
      </c>
      <c r="I22" s="476" t="s">
        <v>28</v>
      </c>
      <c r="J22" s="476">
        <v>1</v>
      </c>
      <c r="K22" s="476" t="s">
        <v>28</v>
      </c>
      <c r="L22" s="476" t="s">
        <v>28</v>
      </c>
      <c r="M22" s="489" t="s">
        <v>28</v>
      </c>
      <c r="N22" s="489" t="s">
        <v>28</v>
      </c>
      <c r="O22" s="489" t="s">
        <v>28</v>
      </c>
      <c r="P22" s="489">
        <v>22</v>
      </c>
      <c r="Q22" s="476" t="s">
        <v>28</v>
      </c>
      <c r="R22" s="489">
        <v>45</v>
      </c>
      <c r="S22" s="489">
        <v>22</v>
      </c>
      <c r="T22" s="489" t="s">
        <v>28</v>
      </c>
      <c r="U22" s="489">
        <v>18</v>
      </c>
      <c r="V22" s="2048" t="s">
        <v>28</v>
      </c>
    </row>
    <row r="23" spans="1:22" ht="11.25" customHeight="1">
      <c r="A23" s="2036" t="s">
        <v>31</v>
      </c>
      <c r="B23" s="475" t="s">
        <v>191</v>
      </c>
      <c r="C23" s="489" t="s">
        <v>28</v>
      </c>
      <c r="D23" s="489" t="s">
        <v>28</v>
      </c>
      <c r="E23" s="489" t="s">
        <v>28</v>
      </c>
      <c r="F23" s="489" t="s">
        <v>28</v>
      </c>
      <c r="G23" s="489" t="s">
        <v>28</v>
      </c>
      <c r="H23" s="476" t="s">
        <v>28</v>
      </c>
      <c r="I23" s="476" t="s">
        <v>28</v>
      </c>
      <c r="J23" s="476" t="s">
        <v>28</v>
      </c>
      <c r="K23" s="476" t="s">
        <v>28</v>
      </c>
      <c r="L23" s="476" t="s">
        <v>28</v>
      </c>
      <c r="M23" s="489" t="s">
        <v>28</v>
      </c>
      <c r="N23" s="489" t="s">
        <v>28</v>
      </c>
      <c r="O23" s="489" t="s">
        <v>28</v>
      </c>
      <c r="P23" s="489" t="s">
        <v>28</v>
      </c>
      <c r="Q23" s="476" t="s">
        <v>28</v>
      </c>
      <c r="R23" s="489">
        <v>3</v>
      </c>
      <c r="S23" s="489" t="s">
        <v>28</v>
      </c>
      <c r="T23" s="489" t="s">
        <v>28</v>
      </c>
      <c r="U23" s="489" t="s">
        <v>28</v>
      </c>
      <c r="V23" s="2048" t="s">
        <v>28</v>
      </c>
    </row>
    <row r="24" spans="1:22" ht="11.25" customHeight="1">
      <c r="A24" s="2033" t="s">
        <v>295</v>
      </c>
      <c r="B24" s="472" t="s">
        <v>296</v>
      </c>
      <c r="C24" s="490" t="s">
        <v>28</v>
      </c>
      <c r="D24" s="490" t="s">
        <v>28</v>
      </c>
      <c r="E24" s="490" t="s">
        <v>28</v>
      </c>
      <c r="F24" s="490" t="s">
        <v>28</v>
      </c>
      <c r="G24" s="490" t="s">
        <v>28</v>
      </c>
      <c r="H24" s="478" t="s">
        <v>28</v>
      </c>
      <c r="I24" s="478" t="s">
        <v>28</v>
      </c>
      <c r="J24" s="478" t="s">
        <v>28</v>
      </c>
      <c r="K24" s="478" t="s">
        <v>28</v>
      </c>
      <c r="L24" s="478" t="s">
        <v>28</v>
      </c>
      <c r="M24" s="490" t="s">
        <v>28</v>
      </c>
      <c r="N24" s="490" t="s">
        <v>28</v>
      </c>
      <c r="O24" s="490" t="s">
        <v>28</v>
      </c>
      <c r="P24" s="490" t="s">
        <v>28</v>
      </c>
      <c r="Q24" s="478" t="s">
        <v>28</v>
      </c>
      <c r="R24" s="490">
        <v>8</v>
      </c>
      <c r="S24" s="490" t="s">
        <v>28</v>
      </c>
      <c r="T24" s="490" t="s">
        <v>28</v>
      </c>
      <c r="U24" s="490">
        <v>12</v>
      </c>
      <c r="V24" s="2043" t="s">
        <v>28</v>
      </c>
    </row>
    <row r="25" spans="1:22" ht="11.25" customHeight="1">
      <c r="A25" s="2036" t="s">
        <v>29</v>
      </c>
      <c r="B25" s="475" t="s">
        <v>190</v>
      </c>
      <c r="C25" s="489" t="s">
        <v>28</v>
      </c>
      <c r="D25" s="489" t="s">
        <v>28</v>
      </c>
      <c r="E25" s="489" t="s">
        <v>28</v>
      </c>
      <c r="F25" s="489" t="s">
        <v>28</v>
      </c>
      <c r="G25" s="489" t="s">
        <v>28</v>
      </c>
      <c r="H25" s="476" t="s">
        <v>28</v>
      </c>
      <c r="I25" s="476" t="s">
        <v>28</v>
      </c>
      <c r="J25" s="476" t="s">
        <v>28</v>
      </c>
      <c r="K25" s="476" t="s">
        <v>28</v>
      </c>
      <c r="L25" s="476" t="s">
        <v>28</v>
      </c>
      <c r="M25" s="489" t="s">
        <v>28</v>
      </c>
      <c r="N25" s="489" t="s">
        <v>28</v>
      </c>
      <c r="O25" s="489" t="s">
        <v>28</v>
      </c>
      <c r="P25" s="489" t="s">
        <v>28</v>
      </c>
      <c r="Q25" s="476" t="s">
        <v>28</v>
      </c>
      <c r="R25" s="489">
        <v>8</v>
      </c>
      <c r="S25" s="489" t="s">
        <v>28</v>
      </c>
      <c r="T25" s="489" t="s">
        <v>28</v>
      </c>
      <c r="U25" s="489">
        <v>12</v>
      </c>
      <c r="V25" s="2048" t="s">
        <v>28</v>
      </c>
    </row>
    <row r="26" spans="1:22" ht="11.25" customHeight="1">
      <c r="A26" s="2037" t="s">
        <v>297</v>
      </c>
      <c r="B26" s="472" t="s">
        <v>834</v>
      </c>
      <c r="C26" s="490" t="s">
        <v>28</v>
      </c>
      <c r="D26" s="490" t="s">
        <v>28</v>
      </c>
      <c r="E26" s="490" t="s">
        <v>28</v>
      </c>
      <c r="F26" s="490" t="s">
        <v>28</v>
      </c>
      <c r="G26" s="490" t="s">
        <v>28</v>
      </c>
      <c r="H26" s="478" t="s">
        <v>28</v>
      </c>
      <c r="I26" s="478">
        <v>1</v>
      </c>
      <c r="J26" s="478" t="s">
        <v>28</v>
      </c>
      <c r="K26" s="478" t="s">
        <v>28</v>
      </c>
      <c r="L26" s="478" t="s">
        <v>28</v>
      </c>
      <c r="M26" s="490" t="s">
        <v>28</v>
      </c>
      <c r="N26" s="490" t="s">
        <v>28</v>
      </c>
      <c r="O26" s="490">
        <v>2</v>
      </c>
      <c r="P26" s="490" t="s">
        <v>28</v>
      </c>
      <c r="Q26" s="478" t="s">
        <v>28</v>
      </c>
      <c r="R26" s="490" t="s">
        <v>28</v>
      </c>
      <c r="S26" s="490" t="s">
        <v>28</v>
      </c>
      <c r="T26" s="490" t="s">
        <v>28</v>
      </c>
      <c r="U26" s="490" t="s">
        <v>28</v>
      </c>
      <c r="V26" s="2043" t="s">
        <v>28</v>
      </c>
    </row>
    <row r="27" spans="1:22" ht="11.25" customHeight="1">
      <c r="A27" s="2036" t="s">
        <v>29</v>
      </c>
      <c r="B27" s="475" t="s">
        <v>190</v>
      </c>
      <c r="C27" s="489" t="s">
        <v>28</v>
      </c>
      <c r="D27" s="489" t="s">
        <v>28</v>
      </c>
      <c r="E27" s="489" t="s">
        <v>28</v>
      </c>
      <c r="F27" s="489" t="s">
        <v>28</v>
      </c>
      <c r="G27" s="489" t="s">
        <v>28</v>
      </c>
      <c r="H27" s="476" t="s">
        <v>28</v>
      </c>
      <c r="I27" s="476">
        <v>1</v>
      </c>
      <c r="J27" s="476" t="s">
        <v>28</v>
      </c>
      <c r="K27" s="476" t="s">
        <v>28</v>
      </c>
      <c r="L27" s="476" t="s">
        <v>28</v>
      </c>
      <c r="M27" s="489" t="s">
        <v>28</v>
      </c>
      <c r="N27" s="489" t="s">
        <v>28</v>
      </c>
      <c r="O27" s="489">
        <v>2</v>
      </c>
      <c r="P27" s="489" t="s">
        <v>28</v>
      </c>
      <c r="Q27" s="476" t="s">
        <v>28</v>
      </c>
      <c r="R27" s="489" t="s">
        <v>28</v>
      </c>
      <c r="S27" s="489" t="s">
        <v>28</v>
      </c>
      <c r="T27" s="489" t="s">
        <v>28</v>
      </c>
      <c r="U27" s="489" t="s">
        <v>28</v>
      </c>
      <c r="V27" s="2048" t="s">
        <v>28</v>
      </c>
    </row>
    <row r="28" spans="1:22" ht="11.25" customHeight="1">
      <c r="A28" s="2033" t="s">
        <v>298</v>
      </c>
      <c r="B28" s="472" t="s">
        <v>150</v>
      </c>
      <c r="C28" s="490" t="s">
        <v>28</v>
      </c>
      <c r="D28" s="490" t="s">
        <v>28</v>
      </c>
      <c r="E28" s="490" t="s">
        <v>28</v>
      </c>
      <c r="F28" s="490" t="s">
        <v>28</v>
      </c>
      <c r="G28" s="490" t="s">
        <v>28</v>
      </c>
      <c r="H28" s="478" t="s">
        <v>28</v>
      </c>
      <c r="I28" s="478" t="s">
        <v>28</v>
      </c>
      <c r="J28" s="478" t="s">
        <v>28</v>
      </c>
      <c r="K28" s="478" t="s">
        <v>28</v>
      </c>
      <c r="L28" s="478" t="s">
        <v>28</v>
      </c>
      <c r="M28" s="490" t="s">
        <v>28</v>
      </c>
      <c r="N28" s="490" t="s">
        <v>28</v>
      </c>
      <c r="O28" s="490" t="s">
        <v>28</v>
      </c>
      <c r="P28" s="490">
        <v>2</v>
      </c>
      <c r="Q28" s="478">
        <v>1</v>
      </c>
      <c r="R28" s="490">
        <v>1</v>
      </c>
      <c r="S28" s="490" t="s">
        <v>28</v>
      </c>
      <c r="T28" s="490">
        <v>7</v>
      </c>
      <c r="U28" s="490" t="s">
        <v>28</v>
      </c>
      <c r="V28" s="2043" t="s">
        <v>28</v>
      </c>
    </row>
    <row r="29" spans="1:22" ht="11.25" customHeight="1">
      <c r="A29" s="2036" t="s">
        <v>29</v>
      </c>
      <c r="B29" s="475" t="s">
        <v>190</v>
      </c>
      <c r="C29" s="489" t="s">
        <v>28</v>
      </c>
      <c r="D29" s="489" t="s">
        <v>28</v>
      </c>
      <c r="E29" s="489" t="s">
        <v>28</v>
      </c>
      <c r="F29" s="489" t="s">
        <v>28</v>
      </c>
      <c r="G29" s="489" t="s">
        <v>28</v>
      </c>
      <c r="H29" s="476" t="s">
        <v>28</v>
      </c>
      <c r="I29" s="2040" t="s">
        <v>28</v>
      </c>
      <c r="J29" s="2040" t="s">
        <v>28</v>
      </c>
      <c r="K29" s="2040" t="s">
        <v>28</v>
      </c>
      <c r="L29" s="2040" t="s">
        <v>28</v>
      </c>
      <c r="M29" s="2049" t="s">
        <v>28</v>
      </c>
      <c r="N29" s="2049" t="s">
        <v>28</v>
      </c>
      <c r="O29" s="2049" t="s">
        <v>28</v>
      </c>
      <c r="P29" s="2049">
        <v>2</v>
      </c>
      <c r="Q29" s="2040">
        <v>1</v>
      </c>
      <c r="R29" s="2049" t="s">
        <v>28</v>
      </c>
      <c r="S29" s="2049" t="s">
        <v>28</v>
      </c>
      <c r="T29" s="2049">
        <v>7</v>
      </c>
      <c r="U29" s="2049" t="s">
        <v>28</v>
      </c>
      <c r="V29" s="2050" t="s">
        <v>28</v>
      </c>
    </row>
    <row r="30" spans="1:22" ht="11.25" customHeight="1" thickBot="1">
      <c r="A30" s="2036" t="s">
        <v>31</v>
      </c>
      <c r="B30" s="475" t="s">
        <v>191</v>
      </c>
      <c r="C30" s="2051" t="s">
        <v>28</v>
      </c>
      <c r="D30" s="2051" t="s">
        <v>28</v>
      </c>
      <c r="E30" s="2051" t="s">
        <v>28</v>
      </c>
      <c r="F30" s="2051" t="s">
        <v>28</v>
      </c>
      <c r="G30" s="2051" t="s">
        <v>28</v>
      </c>
      <c r="H30" s="2052" t="s">
        <v>28</v>
      </c>
      <c r="I30" s="2052" t="s">
        <v>28</v>
      </c>
      <c r="J30" s="2052" t="s">
        <v>28</v>
      </c>
      <c r="K30" s="2052" t="s">
        <v>28</v>
      </c>
      <c r="L30" s="2052" t="s">
        <v>28</v>
      </c>
      <c r="M30" s="2051" t="s">
        <v>28</v>
      </c>
      <c r="N30" s="2051" t="s">
        <v>28</v>
      </c>
      <c r="O30" s="2051" t="s">
        <v>28</v>
      </c>
      <c r="P30" s="2051" t="s">
        <v>28</v>
      </c>
      <c r="Q30" s="2052" t="s">
        <v>28</v>
      </c>
      <c r="R30" s="2051">
        <v>1</v>
      </c>
      <c r="S30" s="2051" t="s">
        <v>28</v>
      </c>
      <c r="T30" s="2051" t="s">
        <v>28</v>
      </c>
      <c r="U30" s="2051" t="s">
        <v>28</v>
      </c>
      <c r="V30" s="2053" t="s">
        <v>28</v>
      </c>
    </row>
    <row r="31" spans="1:22" ht="11.25" customHeight="1" thickBot="1">
      <c r="A31" s="2042" t="s">
        <v>363</v>
      </c>
      <c r="B31" s="2042"/>
      <c r="C31" s="2042"/>
      <c r="D31" s="2042"/>
      <c r="E31" s="2042"/>
      <c r="F31" s="2042"/>
      <c r="G31" s="2042"/>
      <c r="H31" s="2042"/>
      <c r="I31" s="2042" t="s">
        <v>393</v>
      </c>
      <c r="J31" s="2042"/>
      <c r="K31" s="2042"/>
      <c r="L31" s="2042"/>
      <c r="M31" s="2042"/>
      <c r="N31" s="2042"/>
      <c r="O31" s="2042"/>
      <c r="P31" s="2042"/>
      <c r="Q31" s="2042"/>
      <c r="R31" s="2042"/>
      <c r="S31" s="2042"/>
      <c r="T31" s="2042"/>
      <c r="U31" s="2042"/>
      <c r="V31" s="2042"/>
    </row>
    <row r="32" spans="1:22" ht="11.25" customHeight="1">
      <c r="A32" s="484" t="s">
        <v>35</v>
      </c>
      <c r="B32" s="485" t="s">
        <v>36</v>
      </c>
      <c r="C32" s="486" t="s">
        <v>28</v>
      </c>
      <c r="D32" s="486">
        <v>1</v>
      </c>
      <c r="E32" s="486" t="s">
        <v>28</v>
      </c>
      <c r="F32" s="486" t="s">
        <v>28</v>
      </c>
      <c r="G32" s="486" t="s">
        <v>28</v>
      </c>
      <c r="H32" s="526" t="s">
        <v>28</v>
      </c>
      <c r="I32" s="2054" t="s">
        <v>28</v>
      </c>
      <c r="J32" s="486" t="s">
        <v>28</v>
      </c>
      <c r="K32" s="486">
        <v>1</v>
      </c>
      <c r="L32" s="486" t="s">
        <v>28</v>
      </c>
      <c r="M32" s="486" t="s">
        <v>28</v>
      </c>
      <c r="N32" s="486" t="s">
        <v>28</v>
      </c>
      <c r="O32" s="486" t="s">
        <v>28</v>
      </c>
      <c r="P32" s="486">
        <v>46</v>
      </c>
      <c r="Q32" s="486">
        <v>1</v>
      </c>
      <c r="R32" s="486">
        <v>22</v>
      </c>
      <c r="S32" s="486">
        <v>9</v>
      </c>
      <c r="T32" s="486">
        <v>37</v>
      </c>
      <c r="U32" s="486">
        <v>9</v>
      </c>
      <c r="V32" s="488" t="s">
        <v>28</v>
      </c>
    </row>
    <row r="33" spans="1:22" ht="11.25" customHeight="1">
      <c r="A33" s="2036" t="s">
        <v>136</v>
      </c>
      <c r="B33" s="475" t="s">
        <v>30</v>
      </c>
      <c r="C33" s="489" t="s">
        <v>28</v>
      </c>
      <c r="D33" s="489">
        <v>1</v>
      </c>
      <c r="E33" s="489" t="s">
        <v>28</v>
      </c>
      <c r="F33" s="489" t="s">
        <v>28</v>
      </c>
      <c r="G33" s="489" t="s">
        <v>28</v>
      </c>
      <c r="H33" s="527" t="s">
        <v>28</v>
      </c>
      <c r="I33" s="528" t="s">
        <v>28</v>
      </c>
      <c r="J33" s="489" t="s">
        <v>28</v>
      </c>
      <c r="K33" s="489">
        <v>1</v>
      </c>
      <c r="L33" s="476" t="s">
        <v>28</v>
      </c>
      <c r="M33" s="489" t="s">
        <v>28</v>
      </c>
      <c r="N33" s="489" t="s">
        <v>28</v>
      </c>
      <c r="O33" s="489" t="s">
        <v>28</v>
      </c>
      <c r="P33" s="489">
        <v>46</v>
      </c>
      <c r="Q33" s="476">
        <v>1</v>
      </c>
      <c r="R33" s="489">
        <v>16</v>
      </c>
      <c r="S33" s="489">
        <v>9</v>
      </c>
      <c r="T33" s="489">
        <v>31</v>
      </c>
      <c r="U33" s="489">
        <v>9</v>
      </c>
      <c r="V33" s="2048" t="s">
        <v>28</v>
      </c>
    </row>
    <row r="34" spans="1:22" ht="11.25" customHeight="1">
      <c r="A34" s="2036" t="s">
        <v>137</v>
      </c>
      <c r="B34" s="475" t="s">
        <v>32</v>
      </c>
      <c r="C34" s="489" t="s">
        <v>28</v>
      </c>
      <c r="D34" s="489" t="s">
        <v>28</v>
      </c>
      <c r="E34" s="489" t="s">
        <v>28</v>
      </c>
      <c r="F34" s="489" t="s">
        <v>28</v>
      </c>
      <c r="G34" s="489" t="s">
        <v>28</v>
      </c>
      <c r="H34" s="527" t="s">
        <v>28</v>
      </c>
      <c r="I34" s="528" t="s">
        <v>28</v>
      </c>
      <c r="J34" s="489" t="s">
        <v>28</v>
      </c>
      <c r="K34" s="489" t="s">
        <v>28</v>
      </c>
      <c r="L34" s="476" t="s">
        <v>28</v>
      </c>
      <c r="M34" s="489" t="s">
        <v>28</v>
      </c>
      <c r="N34" s="489" t="s">
        <v>28</v>
      </c>
      <c r="O34" s="489" t="s">
        <v>28</v>
      </c>
      <c r="P34" s="489" t="s">
        <v>28</v>
      </c>
      <c r="Q34" s="476" t="s">
        <v>28</v>
      </c>
      <c r="R34" s="489">
        <v>6</v>
      </c>
      <c r="S34" s="489" t="s">
        <v>28</v>
      </c>
      <c r="T34" s="489">
        <v>6</v>
      </c>
      <c r="U34" s="489" t="s">
        <v>28</v>
      </c>
      <c r="V34" s="2048" t="s">
        <v>28</v>
      </c>
    </row>
    <row r="35" spans="1:22" ht="11.25" customHeight="1">
      <c r="A35" s="2033" t="s">
        <v>37</v>
      </c>
      <c r="B35" s="472" t="s">
        <v>38</v>
      </c>
      <c r="C35" s="490">
        <v>1</v>
      </c>
      <c r="D35" s="490">
        <v>2</v>
      </c>
      <c r="E35" s="490" t="s">
        <v>28</v>
      </c>
      <c r="F35" s="490">
        <v>1</v>
      </c>
      <c r="G35" s="490">
        <v>1</v>
      </c>
      <c r="H35" s="529" t="s">
        <v>28</v>
      </c>
      <c r="I35" s="530" t="s">
        <v>28</v>
      </c>
      <c r="J35" s="490" t="s">
        <v>28</v>
      </c>
      <c r="K35" s="490">
        <v>1</v>
      </c>
      <c r="L35" s="490" t="s">
        <v>28</v>
      </c>
      <c r="M35" s="490" t="s">
        <v>28</v>
      </c>
      <c r="N35" s="490" t="s">
        <v>28</v>
      </c>
      <c r="O35" s="490">
        <v>1</v>
      </c>
      <c r="P35" s="490">
        <v>55</v>
      </c>
      <c r="Q35" s="490" t="s">
        <v>28</v>
      </c>
      <c r="R35" s="490">
        <v>26</v>
      </c>
      <c r="S35" s="490">
        <v>21</v>
      </c>
      <c r="T35" s="490">
        <v>45</v>
      </c>
      <c r="U35" s="490">
        <v>7</v>
      </c>
      <c r="V35" s="2043">
        <v>1</v>
      </c>
    </row>
    <row r="36" spans="1:22" ht="11.25" customHeight="1">
      <c r="A36" s="2036" t="s">
        <v>136</v>
      </c>
      <c r="B36" s="475" t="s">
        <v>30</v>
      </c>
      <c r="C36" s="489">
        <v>1</v>
      </c>
      <c r="D36" s="489">
        <v>2</v>
      </c>
      <c r="E36" s="489" t="s">
        <v>28</v>
      </c>
      <c r="F36" s="489">
        <v>1</v>
      </c>
      <c r="G36" s="489">
        <v>1</v>
      </c>
      <c r="H36" s="527" t="s">
        <v>28</v>
      </c>
      <c r="I36" s="528" t="s">
        <v>28</v>
      </c>
      <c r="J36" s="489" t="s">
        <v>28</v>
      </c>
      <c r="K36" s="489">
        <v>1</v>
      </c>
      <c r="L36" s="476" t="s">
        <v>28</v>
      </c>
      <c r="M36" s="489" t="s">
        <v>28</v>
      </c>
      <c r="N36" s="489" t="s">
        <v>28</v>
      </c>
      <c r="O36" s="489">
        <v>1</v>
      </c>
      <c r="P36" s="489">
        <v>55</v>
      </c>
      <c r="Q36" s="476" t="s">
        <v>28</v>
      </c>
      <c r="R36" s="489">
        <v>26</v>
      </c>
      <c r="S36" s="489">
        <v>21</v>
      </c>
      <c r="T36" s="489">
        <v>45</v>
      </c>
      <c r="U36" s="489">
        <v>7</v>
      </c>
      <c r="V36" s="2048">
        <v>1</v>
      </c>
    </row>
    <row r="37" spans="1:22" ht="11.25" customHeight="1">
      <c r="A37" s="2033" t="s">
        <v>39</v>
      </c>
      <c r="B37" s="472" t="s">
        <v>40</v>
      </c>
      <c r="C37" s="490" t="s">
        <v>28</v>
      </c>
      <c r="D37" s="490">
        <v>3</v>
      </c>
      <c r="E37" s="490">
        <v>1</v>
      </c>
      <c r="F37" s="490" t="s">
        <v>28</v>
      </c>
      <c r="G37" s="490" t="s">
        <v>28</v>
      </c>
      <c r="H37" s="529" t="s">
        <v>28</v>
      </c>
      <c r="I37" s="530">
        <v>2</v>
      </c>
      <c r="J37" s="490">
        <v>1</v>
      </c>
      <c r="K37" s="490">
        <v>3</v>
      </c>
      <c r="L37" s="490">
        <v>1</v>
      </c>
      <c r="M37" s="490">
        <v>1</v>
      </c>
      <c r="N37" s="490">
        <v>1</v>
      </c>
      <c r="O37" s="490" t="s">
        <v>28</v>
      </c>
      <c r="P37" s="490">
        <v>80</v>
      </c>
      <c r="Q37" s="490">
        <v>1</v>
      </c>
      <c r="R37" s="490">
        <v>35</v>
      </c>
      <c r="S37" s="490">
        <v>24</v>
      </c>
      <c r="T37" s="490">
        <v>54</v>
      </c>
      <c r="U37" s="490">
        <v>13</v>
      </c>
      <c r="V37" s="2043">
        <v>6</v>
      </c>
    </row>
    <row r="38" spans="1:22" ht="11.25" customHeight="1">
      <c r="A38" s="2036" t="s">
        <v>136</v>
      </c>
      <c r="B38" s="475" t="s">
        <v>30</v>
      </c>
      <c r="C38" s="489" t="s">
        <v>28</v>
      </c>
      <c r="D38" s="489">
        <v>3</v>
      </c>
      <c r="E38" s="489">
        <v>1</v>
      </c>
      <c r="F38" s="489" t="s">
        <v>28</v>
      </c>
      <c r="G38" s="489" t="s">
        <v>28</v>
      </c>
      <c r="H38" s="527" t="s">
        <v>28</v>
      </c>
      <c r="I38" s="528">
        <v>2</v>
      </c>
      <c r="J38" s="489">
        <v>1</v>
      </c>
      <c r="K38" s="489">
        <v>3</v>
      </c>
      <c r="L38" s="476">
        <v>1</v>
      </c>
      <c r="M38" s="489">
        <v>1</v>
      </c>
      <c r="N38" s="489">
        <v>1</v>
      </c>
      <c r="O38" s="489" t="s">
        <v>28</v>
      </c>
      <c r="P38" s="489">
        <v>79</v>
      </c>
      <c r="Q38" s="476">
        <v>1</v>
      </c>
      <c r="R38" s="489">
        <v>33</v>
      </c>
      <c r="S38" s="489">
        <v>24</v>
      </c>
      <c r="T38" s="489">
        <v>51</v>
      </c>
      <c r="U38" s="489">
        <v>13</v>
      </c>
      <c r="V38" s="2048">
        <v>6</v>
      </c>
    </row>
    <row r="39" spans="1:22" ht="11.25" customHeight="1">
      <c r="A39" s="2036" t="s">
        <v>137</v>
      </c>
      <c r="B39" s="475" t="s">
        <v>32</v>
      </c>
      <c r="C39" s="489" t="s">
        <v>28</v>
      </c>
      <c r="D39" s="489" t="s">
        <v>28</v>
      </c>
      <c r="E39" s="489" t="s">
        <v>28</v>
      </c>
      <c r="F39" s="489" t="s">
        <v>28</v>
      </c>
      <c r="G39" s="489" t="s">
        <v>28</v>
      </c>
      <c r="H39" s="527" t="s">
        <v>28</v>
      </c>
      <c r="I39" s="528" t="s">
        <v>28</v>
      </c>
      <c r="J39" s="489" t="s">
        <v>28</v>
      </c>
      <c r="K39" s="489" t="s">
        <v>28</v>
      </c>
      <c r="L39" s="476" t="s">
        <v>28</v>
      </c>
      <c r="M39" s="489" t="s">
        <v>28</v>
      </c>
      <c r="N39" s="489" t="s">
        <v>28</v>
      </c>
      <c r="O39" s="489" t="s">
        <v>28</v>
      </c>
      <c r="P39" s="489">
        <v>1</v>
      </c>
      <c r="Q39" s="476" t="s">
        <v>28</v>
      </c>
      <c r="R39" s="489">
        <v>2</v>
      </c>
      <c r="S39" s="489" t="s">
        <v>28</v>
      </c>
      <c r="T39" s="489">
        <v>3</v>
      </c>
      <c r="U39" s="489" t="s">
        <v>28</v>
      </c>
      <c r="V39" s="2048" t="s">
        <v>28</v>
      </c>
    </row>
    <row r="40" spans="1:22" ht="11.25" customHeight="1">
      <c r="A40" s="2033" t="s">
        <v>41</v>
      </c>
      <c r="B40" s="472" t="s">
        <v>42</v>
      </c>
      <c r="C40" s="490">
        <v>1</v>
      </c>
      <c r="D40" s="490">
        <v>1</v>
      </c>
      <c r="E40" s="490" t="s">
        <v>28</v>
      </c>
      <c r="F40" s="490" t="s">
        <v>28</v>
      </c>
      <c r="G40" s="490" t="s">
        <v>28</v>
      </c>
      <c r="H40" s="529">
        <v>1</v>
      </c>
      <c r="I40" s="530" t="s">
        <v>28</v>
      </c>
      <c r="J40" s="490">
        <v>1</v>
      </c>
      <c r="K40" s="490">
        <v>1</v>
      </c>
      <c r="L40" s="490" t="s">
        <v>28</v>
      </c>
      <c r="M40" s="490" t="s">
        <v>28</v>
      </c>
      <c r="N40" s="490" t="s">
        <v>28</v>
      </c>
      <c r="O40" s="490">
        <v>1</v>
      </c>
      <c r="P40" s="490">
        <v>46</v>
      </c>
      <c r="Q40" s="490" t="s">
        <v>28</v>
      </c>
      <c r="R40" s="490">
        <v>20</v>
      </c>
      <c r="S40" s="490">
        <v>15</v>
      </c>
      <c r="T40" s="490">
        <v>44</v>
      </c>
      <c r="U40" s="490">
        <v>13</v>
      </c>
      <c r="V40" s="2043">
        <v>5</v>
      </c>
    </row>
    <row r="41" spans="1:22" ht="11.25" customHeight="1">
      <c r="A41" s="2036" t="s">
        <v>136</v>
      </c>
      <c r="B41" s="475" t="s">
        <v>30</v>
      </c>
      <c r="C41" s="489">
        <v>1</v>
      </c>
      <c r="D41" s="489">
        <v>1</v>
      </c>
      <c r="E41" s="489" t="s">
        <v>28</v>
      </c>
      <c r="F41" s="489" t="s">
        <v>28</v>
      </c>
      <c r="G41" s="489" t="s">
        <v>28</v>
      </c>
      <c r="H41" s="527">
        <v>1</v>
      </c>
      <c r="I41" s="528" t="s">
        <v>28</v>
      </c>
      <c r="J41" s="489">
        <v>1</v>
      </c>
      <c r="K41" s="489">
        <v>1</v>
      </c>
      <c r="L41" s="476" t="s">
        <v>28</v>
      </c>
      <c r="M41" s="489" t="s">
        <v>28</v>
      </c>
      <c r="N41" s="489" t="s">
        <v>28</v>
      </c>
      <c r="O41" s="489">
        <v>1</v>
      </c>
      <c r="P41" s="489">
        <v>46</v>
      </c>
      <c r="Q41" s="476" t="s">
        <v>28</v>
      </c>
      <c r="R41" s="489">
        <v>20</v>
      </c>
      <c r="S41" s="489">
        <v>15</v>
      </c>
      <c r="T41" s="489">
        <v>44</v>
      </c>
      <c r="U41" s="489">
        <v>13</v>
      </c>
      <c r="V41" s="2048">
        <v>5</v>
      </c>
    </row>
    <row r="42" spans="1:22" ht="11.25" customHeight="1">
      <c r="A42" s="2033" t="s">
        <v>43</v>
      </c>
      <c r="B42" s="472" t="s">
        <v>44</v>
      </c>
      <c r="C42" s="490">
        <v>1</v>
      </c>
      <c r="D42" s="490" t="s">
        <v>28</v>
      </c>
      <c r="E42" s="490" t="s">
        <v>28</v>
      </c>
      <c r="F42" s="490" t="s">
        <v>28</v>
      </c>
      <c r="G42" s="490" t="s">
        <v>28</v>
      </c>
      <c r="H42" s="529" t="s">
        <v>28</v>
      </c>
      <c r="I42" s="530" t="s">
        <v>28</v>
      </c>
      <c r="J42" s="490" t="s">
        <v>28</v>
      </c>
      <c r="K42" s="490">
        <v>1</v>
      </c>
      <c r="L42" s="490">
        <v>1</v>
      </c>
      <c r="M42" s="490" t="s">
        <v>28</v>
      </c>
      <c r="N42" s="490" t="s">
        <v>28</v>
      </c>
      <c r="O42" s="490" t="s">
        <v>28</v>
      </c>
      <c r="P42" s="490">
        <v>9</v>
      </c>
      <c r="Q42" s="490" t="s">
        <v>28</v>
      </c>
      <c r="R42" s="490">
        <v>5</v>
      </c>
      <c r="S42" s="490">
        <v>3</v>
      </c>
      <c r="T42" s="490">
        <v>7</v>
      </c>
      <c r="U42" s="490">
        <v>4</v>
      </c>
      <c r="V42" s="2043" t="s">
        <v>28</v>
      </c>
    </row>
    <row r="43" spans="1:22" ht="11.25" customHeight="1">
      <c r="A43" s="2036" t="s">
        <v>136</v>
      </c>
      <c r="B43" s="475" t="s">
        <v>30</v>
      </c>
      <c r="C43" s="489">
        <v>1</v>
      </c>
      <c r="D43" s="489" t="s">
        <v>28</v>
      </c>
      <c r="E43" s="489" t="s">
        <v>28</v>
      </c>
      <c r="F43" s="489" t="s">
        <v>28</v>
      </c>
      <c r="G43" s="489" t="s">
        <v>28</v>
      </c>
      <c r="H43" s="527" t="s">
        <v>28</v>
      </c>
      <c r="I43" s="528" t="s">
        <v>28</v>
      </c>
      <c r="J43" s="489" t="s">
        <v>28</v>
      </c>
      <c r="K43" s="489">
        <v>1</v>
      </c>
      <c r="L43" s="476">
        <v>1</v>
      </c>
      <c r="M43" s="489" t="s">
        <v>28</v>
      </c>
      <c r="N43" s="489" t="s">
        <v>28</v>
      </c>
      <c r="O43" s="489" t="s">
        <v>28</v>
      </c>
      <c r="P43" s="489">
        <v>9</v>
      </c>
      <c r="Q43" s="476" t="s">
        <v>28</v>
      </c>
      <c r="R43" s="489">
        <v>3</v>
      </c>
      <c r="S43" s="489">
        <v>3</v>
      </c>
      <c r="T43" s="489">
        <v>5</v>
      </c>
      <c r="U43" s="489">
        <v>4</v>
      </c>
      <c r="V43" s="2048" t="s">
        <v>28</v>
      </c>
    </row>
    <row r="44" spans="1:22" ht="11.25" customHeight="1" thickBot="1">
      <c r="A44" s="2036" t="s">
        <v>137</v>
      </c>
      <c r="B44" s="475" t="s">
        <v>32</v>
      </c>
      <c r="C44" s="489" t="s">
        <v>28</v>
      </c>
      <c r="D44" s="489" t="s">
        <v>28</v>
      </c>
      <c r="E44" s="489" t="s">
        <v>28</v>
      </c>
      <c r="F44" s="489" t="s">
        <v>28</v>
      </c>
      <c r="G44" s="489" t="s">
        <v>28</v>
      </c>
      <c r="H44" s="531" t="s">
        <v>28</v>
      </c>
      <c r="I44" s="532" t="s">
        <v>28</v>
      </c>
      <c r="J44" s="489" t="s">
        <v>28</v>
      </c>
      <c r="K44" s="489" t="s">
        <v>28</v>
      </c>
      <c r="L44" s="476" t="s">
        <v>28</v>
      </c>
      <c r="M44" s="489" t="s">
        <v>28</v>
      </c>
      <c r="N44" s="489" t="s">
        <v>28</v>
      </c>
      <c r="O44" s="489" t="s">
        <v>28</v>
      </c>
      <c r="P44" s="489" t="s">
        <v>28</v>
      </c>
      <c r="Q44" s="482" t="s">
        <v>28</v>
      </c>
      <c r="R44" s="489">
        <v>2</v>
      </c>
      <c r="S44" s="489" t="s">
        <v>28</v>
      </c>
      <c r="T44" s="489">
        <v>2</v>
      </c>
      <c r="U44" s="489" t="s">
        <v>28</v>
      </c>
      <c r="V44" s="2048" t="s">
        <v>28</v>
      </c>
    </row>
    <row r="45" spans="1:22" s="506" customFormat="1" ht="11.25" customHeight="1" thickBot="1">
      <c r="A45" s="1438" t="s">
        <v>364</v>
      </c>
      <c r="B45" s="1438"/>
      <c r="C45" s="1438"/>
      <c r="D45" s="1438"/>
      <c r="E45" s="1438"/>
      <c r="F45" s="1438"/>
      <c r="G45" s="1438"/>
      <c r="H45" s="1438"/>
      <c r="I45" s="1438" t="s">
        <v>394</v>
      </c>
      <c r="J45" s="1438"/>
      <c r="K45" s="1438"/>
      <c r="L45" s="1438"/>
      <c r="M45" s="1438"/>
      <c r="N45" s="1438"/>
      <c r="O45" s="1438"/>
      <c r="P45" s="1438"/>
      <c r="Q45" s="1438"/>
      <c r="R45" s="1438"/>
      <c r="S45" s="1438"/>
      <c r="T45" s="1438"/>
      <c r="U45" s="1438"/>
      <c r="V45" s="1438"/>
    </row>
    <row r="46" spans="1:22" ht="11.25" customHeight="1">
      <c r="A46" s="484" t="s">
        <v>47</v>
      </c>
      <c r="B46" s="485" t="s">
        <v>48</v>
      </c>
      <c r="C46" s="486" t="s">
        <v>28</v>
      </c>
      <c r="D46" s="486">
        <v>1</v>
      </c>
      <c r="E46" s="486" t="s">
        <v>28</v>
      </c>
      <c r="F46" s="486" t="s">
        <v>28</v>
      </c>
      <c r="G46" s="486" t="s">
        <v>28</v>
      </c>
      <c r="H46" s="487" t="s">
        <v>28</v>
      </c>
      <c r="I46" s="487" t="s">
        <v>28</v>
      </c>
      <c r="J46" s="487" t="s">
        <v>28</v>
      </c>
      <c r="K46" s="487" t="s">
        <v>28</v>
      </c>
      <c r="L46" s="486" t="s">
        <v>28</v>
      </c>
      <c r="M46" s="486" t="s">
        <v>28</v>
      </c>
      <c r="N46" s="486" t="s">
        <v>28</v>
      </c>
      <c r="O46" s="487" t="s">
        <v>28</v>
      </c>
      <c r="P46" s="486">
        <v>17</v>
      </c>
      <c r="Q46" s="486">
        <v>1</v>
      </c>
      <c r="R46" s="486">
        <v>8</v>
      </c>
      <c r="S46" s="486">
        <v>4</v>
      </c>
      <c r="T46" s="486">
        <v>17</v>
      </c>
      <c r="U46" s="486">
        <v>5</v>
      </c>
      <c r="V46" s="488" t="s">
        <v>28</v>
      </c>
    </row>
    <row r="47" spans="1:22" ht="11.25" customHeight="1">
      <c r="A47" s="2036" t="s">
        <v>29</v>
      </c>
      <c r="B47" s="475" t="s">
        <v>30</v>
      </c>
      <c r="C47" s="489" t="s">
        <v>28</v>
      </c>
      <c r="D47" s="489">
        <v>1</v>
      </c>
      <c r="E47" s="489" t="s">
        <v>28</v>
      </c>
      <c r="F47" s="489" t="s">
        <v>28</v>
      </c>
      <c r="G47" s="489" t="s">
        <v>28</v>
      </c>
      <c r="H47" s="476" t="s">
        <v>28</v>
      </c>
      <c r="I47" s="476" t="s">
        <v>28</v>
      </c>
      <c r="J47" s="476" t="s">
        <v>28</v>
      </c>
      <c r="K47" s="476" t="s">
        <v>28</v>
      </c>
      <c r="L47" s="489" t="s">
        <v>28</v>
      </c>
      <c r="M47" s="489" t="s">
        <v>28</v>
      </c>
      <c r="N47" s="489" t="s">
        <v>28</v>
      </c>
      <c r="O47" s="476" t="s">
        <v>28</v>
      </c>
      <c r="P47" s="489">
        <v>17</v>
      </c>
      <c r="Q47" s="489">
        <v>1</v>
      </c>
      <c r="R47" s="489">
        <v>5</v>
      </c>
      <c r="S47" s="489">
        <v>4</v>
      </c>
      <c r="T47" s="489">
        <v>14</v>
      </c>
      <c r="U47" s="489">
        <v>5</v>
      </c>
      <c r="V47" s="2048" t="s">
        <v>28</v>
      </c>
    </row>
    <row r="48" spans="1:22" ht="11.25" customHeight="1">
      <c r="A48" s="2036" t="s">
        <v>31</v>
      </c>
      <c r="B48" s="475" t="s">
        <v>32</v>
      </c>
      <c r="C48" s="489" t="s">
        <v>28</v>
      </c>
      <c r="D48" s="489" t="s">
        <v>28</v>
      </c>
      <c r="E48" s="489" t="s">
        <v>28</v>
      </c>
      <c r="F48" s="489" t="s">
        <v>28</v>
      </c>
      <c r="G48" s="489" t="s">
        <v>28</v>
      </c>
      <c r="H48" s="476" t="s">
        <v>28</v>
      </c>
      <c r="I48" s="476" t="s">
        <v>28</v>
      </c>
      <c r="J48" s="476" t="s">
        <v>28</v>
      </c>
      <c r="K48" s="476" t="s">
        <v>28</v>
      </c>
      <c r="L48" s="489" t="s">
        <v>28</v>
      </c>
      <c r="M48" s="489" t="s">
        <v>28</v>
      </c>
      <c r="N48" s="489" t="s">
        <v>28</v>
      </c>
      <c r="O48" s="476" t="s">
        <v>28</v>
      </c>
      <c r="P48" s="489" t="s">
        <v>28</v>
      </c>
      <c r="Q48" s="489" t="s">
        <v>28</v>
      </c>
      <c r="R48" s="489">
        <v>3</v>
      </c>
      <c r="S48" s="489" t="s">
        <v>28</v>
      </c>
      <c r="T48" s="489">
        <v>3</v>
      </c>
      <c r="U48" s="489" t="s">
        <v>28</v>
      </c>
      <c r="V48" s="2048" t="s">
        <v>28</v>
      </c>
    </row>
    <row r="49" spans="1:22" ht="11.25" customHeight="1">
      <c r="A49" s="2033" t="s">
        <v>49</v>
      </c>
      <c r="B49" s="472" t="s">
        <v>50</v>
      </c>
      <c r="C49" s="490" t="s">
        <v>28</v>
      </c>
      <c r="D49" s="490" t="s">
        <v>28</v>
      </c>
      <c r="E49" s="490" t="s">
        <v>28</v>
      </c>
      <c r="F49" s="490" t="s">
        <v>28</v>
      </c>
      <c r="G49" s="490" t="s">
        <v>28</v>
      </c>
      <c r="H49" s="478" t="s">
        <v>28</v>
      </c>
      <c r="I49" s="478" t="s">
        <v>28</v>
      </c>
      <c r="J49" s="478" t="s">
        <v>28</v>
      </c>
      <c r="K49" s="478" t="s">
        <v>28</v>
      </c>
      <c r="L49" s="490" t="s">
        <v>28</v>
      </c>
      <c r="M49" s="490" t="s">
        <v>28</v>
      </c>
      <c r="N49" s="490" t="s">
        <v>28</v>
      </c>
      <c r="O49" s="478" t="s">
        <v>28</v>
      </c>
      <c r="P49" s="490">
        <v>4</v>
      </c>
      <c r="Q49" s="490" t="s">
        <v>28</v>
      </c>
      <c r="R49" s="490">
        <v>3</v>
      </c>
      <c r="S49" s="490" t="s">
        <v>28</v>
      </c>
      <c r="T49" s="490">
        <v>3</v>
      </c>
      <c r="U49" s="490" t="s">
        <v>28</v>
      </c>
      <c r="V49" s="2043" t="s">
        <v>28</v>
      </c>
    </row>
    <row r="50" spans="1:22" ht="11.25" customHeight="1">
      <c r="A50" s="2036" t="s">
        <v>29</v>
      </c>
      <c r="B50" s="475" t="s">
        <v>30</v>
      </c>
      <c r="C50" s="489" t="s">
        <v>28</v>
      </c>
      <c r="D50" s="489" t="s">
        <v>28</v>
      </c>
      <c r="E50" s="489" t="s">
        <v>28</v>
      </c>
      <c r="F50" s="489" t="s">
        <v>28</v>
      </c>
      <c r="G50" s="489" t="s">
        <v>28</v>
      </c>
      <c r="H50" s="476" t="s">
        <v>28</v>
      </c>
      <c r="I50" s="476" t="s">
        <v>28</v>
      </c>
      <c r="J50" s="476" t="s">
        <v>28</v>
      </c>
      <c r="K50" s="476" t="s">
        <v>28</v>
      </c>
      <c r="L50" s="489" t="s">
        <v>28</v>
      </c>
      <c r="M50" s="489" t="s">
        <v>28</v>
      </c>
      <c r="N50" s="489" t="s">
        <v>28</v>
      </c>
      <c r="O50" s="476" t="s">
        <v>28</v>
      </c>
      <c r="P50" s="489">
        <v>4</v>
      </c>
      <c r="Q50" s="489" t="s">
        <v>28</v>
      </c>
      <c r="R50" s="489">
        <v>1</v>
      </c>
      <c r="S50" s="489" t="s">
        <v>28</v>
      </c>
      <c r="T50" s="489">
        <v>1</v>
      </c>
      <c r="U50" s="489" t="s">
        <v>28</v>
      </c>
      <c r="V50" s="2048" t="s">
        <v>28</v>
      </c>
    </row>
    <row r="51" spans="1:22" ht="11.25" customHeight="1">
      <c r="A51" s="2036" t="s">
        <v>31</v>
      </c>
      <c r="B51" s="475" t="s">
        <v>32</v>
      </c>
      <c r="C51" s="489" t="s">
        <v>28</v>
      </c>
      <c r="D51" s="489" t="s">
        <v>28</v>
      </c>
      <c r="E51" s="489" t="s">
        <v>28</v>
      </c>
      <c r="F51" s="489" t="s">
        <v>28</v>
      </c>
      <c r="G51" s="489" t="s">
        <v>28</v>
      </c>
      <c r="H51" s="476" t="s">
        <v>28</v>
      </c>
      <c r="I51" s="476" t="s">
        <v>28</v>
      </c>
      <c r="J51" s="476" t="s">
        <v>28</v>
      </c>
      <c r="K51" s="476" t="s">
        <v>28</v>
      </c>
      <c r="L51" s="489" t="s">
        <v>28</v>
      </c>
      <c r="M51" s="489" t="s">
        <v>28</v>
      </c>
      <c r="N51" s="489" t="s">
        <v>28</v>
      </c>
      <c r="O51" s="476" t="s">
        <v>28</v>
      </c>
      <c r="P51" s="489" t="s">
        <v>28</v>
      </c>
      <c r="Q51" s="489" t="s">
        <v>28</v>
      </c>
      <c r="R51" s="489">
        <v>2</v>
      </c>
      <c r="S51" s="489" t="s">
        <v>28</v>
      </c>
      <c r="T51" s="489">
        <v>2</v>
      </c>
      <c r="U51" s="489" t="s">
        <v>28</v>
      </c>
      <c r="V51" s="2048" t="s">
        <v>28</v>
      </c>
    </row>
    <row r="52" spans="1:22" ht="11.25" customHeight="1">
      <c r="A52" s="2033" t="s">
        <v>963</v>
      </c>
      <c r="B52" s="472" t="s">
        <v>964</v>
      </c>
      <c r="C52" s="490" t="s">
        <v>28</v>
      </c>
      <c r="D52" s="490" t="s">
        <v>28</v>
      </c>
      <c r="E52" s="490" t="s">
        <v>28</v>
      </c>
      <c r="F52" s="490" t="s">
        <v>28</v>
      </c>
      <c r="G52" s="490" t="s">
        <v>28</v>
      </c>
      <c r="H52" s="478" t="s">
        <v>28</v>
      </c>
      <c r="I52" s="478" t="s">
        <v>28</v>
      </c>
      <c r="J52" s="478" t="s">
        <v>28</v>
      </c>
      <c r="K52" s="478">
        <v>1</v>
      </c>
      <c r="L52" s="490" t="s">
        <v>28</v>
      </c>
      <c r="M52" s="490" t="s">
        <v>28</v>
      </c>
      <c r="N52" s="490" t="s">
        <v>28</v>
      </c>
      <c r="O52" s="478" t="s">
        <v>28</v>
      </c>
      <c r="P52" s="490">
        <v>23</v>
      </c>
      <c r="Q52" s="490" t="s">
        <v>28</v>
      </c>
      <c r="R52" s="490">
        <v>10</v>
      </c>
      <c r="S52" s="490">
        <v>5</v>
      </c>
      <c r="T52" s="490">
        <v>16</v>
      </c>
      <c r="U52" s="490">
        <v>2</v>
      </c>
      <c r="V52" s="2043" t="s">
        <v>28</v>
      </c>
    </row>
    <row r="53" spans="1:22" ht="11.25" customHeight="1">
      <c r="A53" s="2036" t="s">
        <v>29</v>
      </c>
      <c r="B53" s="475" t="s">
        <v>30</v>
      </c>
      <c r="C53" s="489" t="s">
        <v>28</v>
      </c>
      <c r="D53" s="489" t="s">
        <v>28</v>
      </c>
      <c r="E53" s="489" t="s">
        <v>28</v>
      </c>
      <c r="F53" s="489" t="s">
        <v>28</v>
      </c>
      <c r="G53" s="489" t="s">
        <v>28</v>
      </c>
      <c r="H53" s="476" t="s">
        <v>28</v>
      </c>
      <c r="I53" s="476" t="s">
        <v>28</v>
      </c>
      <c r="J53" s="476" t="s">
        <v>28</v>
      </c>
      <c r="K53" s="476">
        <v>1</v>
      </c>
      <c r="L53" s="489" t="s">
        <v>28</v>
      </c>
      <c r="M53" s="489" t="s">
        <v>28</v>
      </c>
      <c r="N53" s="489" t="s">
        <v>28</v>
      </c>
      <c r="O53" s="476" t="s">
        <v>28</v>
      </c>
      <c r="P53" s="489">
        <v>23</v>
      </c>
      <c r="Q53" s="489" t="s">
        <v>28</v>
      </c>
      <c r="R53" s="489">
        <v>9</v>
      </c>
      <c r="S53" s="489">
        <v>5</v>
      </c>
      <c r="T53" s="489">
        <v>15</v>
      </c>
      <c r="U53" s="489">
        <v>2</v>
      </c>
      <c r="V53" s="2048" t="s">
        <v>28</v>
      </c>
    </row>
    <row r="54" spans="1:22" ht="11.25" customHeight="1">
      <c r="A54" s="2036" t="s">
        <v>31</v>
      </c>
      <c r="B54" s="475" t="s">
        <v>32</v>
      </c>
      <c r="C54" s="489" t="s">
        <v>28</v>
      </c>
      <c r="D54" s="489" t="s">
        <v>28</v>
      </c>
      <c r="E54" s="489" t="s">
        <v>28</v>
      </c>
      <c r="F54" s="489" t="s">
        <v>28</v>
      </c>
      <c r="G54" s="489" t="s">
        <v>28</v>
      </c>
      <c r="H54" s="476" t="s">
        <v>28</v>
      </c>
      <c r="I54" s="476" t="s">
        <v>28</v>
      </c>
      <c r="J54" s="476" t="s">
        <v>28</v>
      </c>
      <c r="K54" s="476" t="s">
        <v>28</v>
      </c>
      <c r="L54" s="489" t="s">
        <v>28</v>
      </c>
      <c r="M54" s="489" t="s">
        <v>28</v>
      </c>
      <c r="N54" s="489" t="s">
        <v>28</v>
      </c>
      <c r="O54" s="476" t="s">
        <v>28</v>
      </c>
      <c r="P54" s="489" t="s">
        <v>28</v>
      </c>
      <c r="Q54" s="489" t="s">
        <v>28</v>
      </c>
      <c r="R54" s="489">
        <v>1</v>
      </c>
      <c r="S54" s="489" t="s">
        <v>28</v>
      </c>
      <c r="T54" s="489">
        <v>1</v>
      </c>
      <c r="U54" s="489" t="s">
        <v>28</v>
      </c>
      <c r="V54" s="2048" t="s">
        <v>28</v>
      </c>
    </row>
    <row r="55" spans="1:22" ht="11.25" customHeight="1">
      <c r="A55" s="2033" t="s">
        <v>51</v>
      </c>
      <c r="B55" s="472" t="s">
        <v>52</v>
      </c>
      <c r="C55" s="490" t="s">
        <v>28</v>
      </c>
      <c r="D55" s="490">
        <v>1</v>
      </c>
      <c r="E55" s="490" t="s">
        <v>28</v>
      </c>
      <c r="F55" s="490" t="s">
        <v>28</v>
      </c>
      <c r="G55" s="490" t="s">
        <v>28</v>
      </c>
      <c r="H55" s="478" t="s">
        <v>28</v>
      </c>
      <c r="I55" s="478">
        <v>2</v>
      </c>
      <c r="J55" s="478">
        <v>1</v>
      </c>
      <c r="K55" s="478">
        <v>2</v>
      </c>
      <c r="L55" s="490" t="s">
        <v>28</v>
      </c>
      <c r="M55" s="490" t="s">
        <v>28</v>
      </c>
      <c r="N55" s="490" t="s">
        <v>28</v>
      </c>
      <c r="O55" s="478" t="s">
        <v>28</v>
      </c>
      <c r="P55" s="490">
        <v>31</v>
      </c>
      <c r="Q55" s="490">
        <v>1</v>
      </c>
      <c r="R55" s="490">
        <v>16</v>
      </c>
      <c r="S55" s="490">
        <v>12</v>
      </c>
      <c r="T55" s="490">
        <v>26</v>
      </c>
      <c r="U55" s="490">
        <v>8</v>
      </c>
      <c r="V55" s="2043">
        <v>4</v>
      </c>
    </row>
    <row r="56" spans="1:22" ht="11.25" customHeight="1">
      <c r="A56" s="2036" t="s">
        <v>29</v>
      </c>
      <c r="B56" s="475" t="s">
        <v>30</v>
      </c>
      <c r="C56" s="489" t="s">
        <v>28</v>
      </c>
      <c r="D56" s="489">
        <v>1</v>
      </c>
      <c r="E56" s="489" t="s">
        <v>28</v>
      </c>
      <c r="F56" s="489" t="s">
        <v>28</v>
      </c>
      <c r="G56" s="489" t="s">
        <v>28</v>
      </c>
      <c r="H56" s="476" t="s">
        <v>28</v>
      </c>
      <c r="I56" s="476">
        <v>2</v>
      </c>
      <c r="J56" s="476">
        <v>1</v>
      </c>
      <c r="K56" s="476">
        <v>2</v>
      </c>
      <c r="L56" s="489" t="s">
        <v>28</v>
      </c>
      <c r="M56" s="489" t="s">
        <v>28</v>
      </c>
      <c r="N56" s="489" t="s">
        <v>28</v>
      </c>
      <c r="O56" s="476" t="s">
        <v>28</v>
      </c>
      <c r="P56" s="489">
        <v>30</v>
      </c>
      <c r="Q56" s="489">
        <v>1</v>
      </c>
      <c r="R56" s="489">
        <v>15</v>
      </c>
      <c r="S56" s="489">
        <v>12</v>
      </c>
      <c r="T56" s="489">
        <v>25</v>
      </c>
      <c r="U56" s="489">
        <v>8</v>
      </c>
      <c r="V56" s="2048">
        <v>4</v>
      </c>
    </row>
    <row r="57" spans="1:22" ht="11.25" customHeight="1">
      <c r="A57" s="2036" t="s">
        <v>31</v>
      </c>
      <c r="B57" s="475" t="s">
        <v>32</v>
      </c>
      <c r="C57" s="489" t="s">
        <v>28</v>
      </c>
      <c r="D57" s="489" t="s">
        <v>28</v>
      </c>
      <c r="E57" s="489" t="s">
        <v>28</v>
      </c>
      <c r="F57" s="489" t="s">
        <v>28</v>
      </c>
      <c r="G57" s="489" t="s">
        <v>28</v>
      </c>
      <c r="H57" s="476" t="s">
        <v>28</v>
      </c>
      <c r="I57" s="476" t="s">
        <v>28</v>
      </c>
      <c r="J57" s="476" t="s">
        <v>28</v>
      </c>
      <c r="K57" s="476" t="s">
        <v>28</v>
      </c>
      <c r="L57" s="489" t="s">
        <v>28</v>
      </c>
      <c r="M57" s="489" t="s">
        <v>28</v>
      </c>
      <c r="N57" s="489" t="s">
        <v>28</v>
      </c>
      <c r="O57" s="476" t="s">
        <v>28</v>
      </c>
      <c r="P57" s="489">
        <v>1</v>
      </c>
      <c r="Q57" s="489" t="s">
        <v>28</v>
      </c>
      <c r="R57" s="489">
        <v>1</v>
      </c>
      <c r="S57" s="489" t="s">
        <v>28</v>
      </c>
      <c r="T57" s="489">
        <v>1</v>
      </c>
      <c r="U57" s="489" t="s">
        <v>28</v>
      </c>
      <c r="V57" s="2048" t="s">
        <v>28</v>
      </c>
    </row>
    <row r="58" spans="1:22" ht="11.25" customHeight="1">
      <c r="A58" s="2033" t="s">
        <v>53</v>
      </c>
      <c r="B58" s="472" t="s">
        <v>54</v>
      </c>
      <c r="C58" s="490" t="s">
        <v>28</v>
      </c>
      <c r="D58" s="490">
        <v>2</v>
      </c>
      <c r="E58" s="490">
        <v>1</v>
      </c>
      <c r="F58" s="490" t="s">
        <v>28</v>
      </c>
      <c r="G58" s="490" t="s">
        <v>28</v>
      </c>
      <c r="H58" s="478" t="s">
        <v>28</v>
      </c>
      <c r="I58" s="478" t="s">
        <v>28</v>
      </c>
      <c r="J58" s="478" t="s">
        <v>28</v>
      </c>
      <c r="K58" s="478">
        <v>1</v>
      </c>
      <c r="L58" s="490">
        <v>1</v>
      </c>
      <c r="M58" s="490">
        <v>1</v>
      </c>
      <c r="N58" s="490">
        <v>1</v>
      </c>
      <c r="O58" s="478" t="s">
        <v>28</v>
      </c>
      <c r="P58" s="490">
        <v>49</v>
      </c>
      <c r="Q58" s="490" t="s">
        <v>28</v>
      </c>
      <c r="R58" s="490">
        <v>19</v>
      </c>
      <c r="S58" s="490">
        <v>12</v>
      </c>
      <c r="T58" s="490">
        <v>28</v>
      </c>
      <c r="U58" s="490">
        <v>5</v>
      </c>
      <c r="V58" s="2043">
        <v>2</v>
      </c>
    </row>
    <row r="59" spans="1:22" ht="11.25" customHeight="1">
      <c r="A59" s="2036" t="s">
        <v>29</v>
      </c>
      <c r="B59" s="475" t="s">
        <v>30</v>
      </c>
      <c r="C59" s="489" t="s">
        <v>28</v>
      </c>
      <c r="D59" s="489">
        <v>2</v>
      </c>
      <c r="E59" s="489">
        <v>1</v>
      </c>
      <c r="F59" s="489" t="s">
        <v>28</v>
      </c>
      <c r="G59" s="489" t="s">
        <v>28</v>
      </c>
      <c r="H59" s="476" t="s">
        <v>28</v>
      </c>
      <c r="I59" s="476" t="s">
        <v>28</v>
      </c>
      <c r="J59" s="476" t="s">
        <v>28</v>
      </c>
      <c r="K59" s="476">
        <v>1</v>
      </c>
      <c r="L59" s="489">
        <v>1</v>
      </c>
      <c r="M59" s="489">
        <v>1</v>
      </c>
      <c r="N59" s="489">
        <v>1</v>
      </c>
      <c r="O59" s="476" t="s">
        <v>28</v>
      </c>
      <c r="P59" s="489">
        <v>49</v>
      </c>
      <c r="Q59" s="489" t="s">
        <v>28</v>
      </c>
      <c r="R59" s="489">
        <v>18</v>
      </c>
      <c r="S59" s="489">
        <v>12</v>
      </c>
      <c r="T59" s="489">
        <v>26</v>
      </c>
      <c r="U59" s="489">
        <v>5</v>
      </c>
      <c r="V59" s="2048">
        <v>2</v>
      </c>
    </row>
    <row r="60" spans="1:22" ht="11.25" customHeight="1">
      <c r="A60" s="2036" t="s">
        <v>31</v>
      </c>
      <c r="B60" s="475" t="s">
        <v>32</v>
      </c>
      <c r="C60" s="489" t="s">
        <v>28</v>
      </c>
      <c r="D60" s="489" t="s">
        <v>28</v>
      </c>
      <c r="E60" s="489" t="s">
        <v>28</v>
      </c>
      <c r="F60" s="489" t="s">
        <v>28</v>
      </c>
      <c r="G60" s="489" t="s">
        <v>28</v>
      </c>
      <c r="H60" s="476" t="s">
        <v>28</v>
      </c>
      <c r="I60" s="476" t="s">
        <v>28</v>
      </c>
      <c r="J60" s="476" t="s">
        <v>28</v>
      </c>
      <c r="K60" s="476" t="s">
        <v>28</v>
      </c>
      <c r="L60" s="489" t="s">
        <v>28</v>
      </c>
      <c r="M60" s="489" t="s">
        <v>28</v>
      </c>
      <c r="N60" s="489" t="s">
        <v>28</v>
      </c>
      <c r="O60" s="476" t="s">
        <v>28</v>
      </c>
      <c r="P60" s="489" t="s">
        <v>28</v>
      </c>
      <c r="Q60" s="489" t="s">
        <v>28</v>
      </c>
      <c r="R60" s="489">
        <v>1</v>
      </c>
      <c r="S60" s="489" t="s">
        <v>28</v>
      </c>
      <c r="T60" s="489">
        <v>2</v>
      </c>
      <c r="U60" s="489" t="s">
        <v>28</v>
      </c>
      <c r="V60" s="2048" t="s">
        <v>28</v>
      </c>
    </row>
    <row r="61" spans="1:22" ht="11.25" customHeight="1">
      <c r="A61" s="2033" t="s">
        <v>55</v>
      </c>
      <c r="B61" s="472" t="s">
        <v>56</v>
      </c>
      <c r="C61" s="490" t="s">
        <v>28</v>
      </c>
      <c r="D61" s="490">
        <v>2</v>
      </c>
      <c r="E61" s="490" t="s">
        <v>28</v>
      </c>
      <c r="F61" s="490" t="s">
        <v>28</v>
      </c>
      <c r="G61" s="490">
        <v>1</v>
      </c>
      <c r="H61" s="478" t="s">
        <v>28</v>
      </c>
      <c r="I61" s="478" t="s">
        <v>28</v>
      </c>
      <c r="J61" s="478" t="s">
        <v>28</v>
      </c>
      <c r="K61" s="478">
        <v>1</v>
      </c>
      <c r="L61" s="490" t="s">
        <v>28</v>
      </c>
      <c r="M61" s="490" t="s">
        <v>28</v>
      </c>
      <c r="N61" s="490" t="s">
        <v>28</v>
      </c>
      <c r="O61" s="478" t="s">
        <v>28</v>
      </c>
      <c r="P61" s="490">
        <v>35</v>
      </c>
      <c r="Q61" s="490" t="s">
        <v>28</v>
      </c>
      <c r="R61" s="490">
        <v>14</v>
      </c>
      <c r="S61" s="490">
        <v>12</v>
      </c>
      <c r="T61" s="490">
        <v>27</v>
      </c>
      <c r="U61" s="490">
        <v>5</v>
      </c>
      <c r="V61" s="2043" t="s">
        <v>28</v>
      </c>
    </row>
    <row r="62" spans="1:22" ht="11.25" customHeight="1">
      <c r="A62" s="2036" t="s">
        <v>29</v>
      </c>
      <c r="B62" s="475" t="s">
        <v>30</v>
      </c>
      <c r="C62" s="489" t="s">
        <v>28</v>
      </c>
      <c r="D62" s="489">
        <v>2</v>
      </c>
      <c r="E62" s="489" t="s">
        <v>28</v>
      </c>
      <c r="F62" s="489" t="s">
        <v>28</v>
      </c>
      <c r="G62" s="489">
        <v>1</v>
      </c>
      <c r="H62" s="476" t="s">
        <v>28</v>
      </c>
      <c r="I62" s="476" t="s">
        <v>28</v>
      </c>
      <c r="J62" s="476" t="s">
        <v>28</v>
      </c>
      <c r="K62" s="476">
        <v>1</v>
      </c>
      <c r="L62" s="489" t="s">
        <v>28</v>
      </c>
      <c r="M62" s="489" t="s">
        <v>28</v>
      </c>
      <c r="N62" s="489" t="s">
        <v>28</v>
      </c>
      <c r="O62" s="476" t="s">
        <v>28</v>
      </c>
      <c r="P62" s="489">
        <v>35</v>
      </c>
      <c r="Q62" s="489" t="s">
        <v>28</v>
      </c>
      <c r="R62" s="489">
        <v>14</v>
      </c>
      <c r="S62" s="489">
        <v>12</v>
      </c>
      <c r="T62" s="489">
        <v>27</v>
      </c>
      <c r="U62" s="489">
        <v>5</v>
      </c>
      <c r="V62" s="2048" t="s">
        <v>28</v>
      </c>
    </row>
    <row r="63" spans="1:22" ht="11.25" customHeight="1">
      <c r="A63" s="2033" t="s">
        <v>57</v>
      </c>
      <c r="B63" s="472" t="s">
        <v>58</v>
      </c>
      <c r="C63" s="490">
        <v>1</v>
      </c>
      <c r="D63" s="490" t="s">
        <v>28</v>
      </c>
      <c r="E63" s="490" t="s">
        <v>28</v>
      </c>
      <c r="F63" s="490">
        <v>1</v>
      </c>
      <c r="G63" s="490" t="s">
        <v>28</v>
      </c>
      <c r="H63" s="478" t="s">
        <v>28</v>
      </c>
      <c r="I63" s="478" t="s">
        <v>28</v>
      </c>
      <c r="J63" s="478" t="s">
        <v>28</v>
      </c>
      <c r="K63" s="478" t="s">
        <v>28</v>
      </c>
      <c r="L63" s="490" t="s">
        <v>28</v>
      </c>
      <c r="M63" s="490" t="s">
        <v>28</v>
      </c>
      <c r="N63" s="490" t="s">
        <v>28</v>
      </c>
      <c r="O63" s="478">
        <v>1</v>
      </c>
      <c r="P63" s="490">
        <v>20</v>
      </c>
      <c r="Q63" s="490" t="s">
        <v>28</v>
      </c>
      <c r="R63" s="490">
        <v>12</v>
      </c>
      <c r="S63" s="490">
        <v>9</v>
      </c>
      <c r="T63" s="490">
        <v>18</v>
      </c>
      <c r="U63" s="490">
        <v>2</v>
      </c>
      <c r="V63" s="2043">
        <v>1</v>
      </c>
    </row>
    <row r="64" spans="1:22" ht="11.25" customHeight="1">
      <c r="A64" s="2036" t="s">
        <v>29</v>
      </c>
      <c r="B64" s="475" t="s">
        <v>30</v>
      </c>
      <c r="C64" s="489">
        <v>1</v>
      </c>
      <c r="D64" s="489" t="s">
        <v>28</v>
      </c>
      <c r="E64" s="489" t="s">
        <v>28</v>
      </c>
      <c r="F64" s="489">
        <v>1</v>
      </c>
      <c r="G64" s="489" t="s">
        <v>28</v>
      </c>
      <c r="H64" s="476" t="s">
        <v>28</v>
      </c>
      <c r="I64" s="476" t="s">
        <v>28</v>
      </c>
      <c r="J64" s="476" t="s">
        <v>28</v>
      </c>
      <c r="K64" s="476" t="s">
        <v>28</v>
      </c>
      <c r="L64" s="489" t="s">
        <v>28</v>
      </c>
      <c r="M64" s="489" t="s">
        <v>28</v>
      </c>
      <c r="N64" s="489" t="s">
        <v>28</v>
      </c>
      <c r="O64" s="476">
        <v>1</v>
      </c>
      <c r="P64" s="489">
        <v>20</v>
      </c>
      <c r="Q64" s="489" t="s">
        <v>28</v>
      </c>
      <c r="R64" s="489">
        <v>12</v>
      </c>
      <c r="S64" s="489">
        <v>9</v>
      </c>
      <c r="T64" s="489">
        <v>18</v>
      </c>
      <c r="U64" s="489">
        <v>2</v>
      </c>
      <c r="V64" s="2048">
        <v>1</v>
      </c>
    </row>
    <row r="65" spans="1:22" ht="11.25" customHeight="1">
      <c r="A65" s="2033" t="s">
        <v>59</v>
      </c>
      <c r="B65" s="472" t="s">
        <v>60</v>
      </c>
      <c r="C65" s="490">
        <v>1</v>
      </c>
      <c r="D65" s="490">
        <v>1</v>
      </c>
      <c r="E65" s="490" t="s">
        <v>28</v>
      </c>
      <c r="F65" s="490" t="s">
        <v>28</v>
      </c>
      <c r="G65" s="490" t="s">
        <v>28</v>
      </c>
      <c r="H65" s="478">
        <v>1</v>
      </c>
      <c r="I65" s="478" t="s">
        <v>28</v>
      </c>
      <c r="J65" s="478">
        <v>1</v>
      </c>
      <c r="K65" s="478">
        <v>1</v>
      </c>
      <c r="L65" s="490" t="s">
        <v>28</v>
      </c>
      <c r="M65" s="490" t="s">
        <v>28</v>
      </c>
      <c r="N65" s="490" t="s">
        <v>28</v>
      </c>
      <c r="O65" s="478">
        <v>1</v>
      </c>
      <c r="P65" s="490">
        <v>46</v>
      </c>
      <c r="Q65" s="490" t="s">
        <v>28</v>
      </c>
      <c r="R65" s="490">
        <v>20</v>
      </c>
      <c r="S65" s="490">
        <v>15</v>
      </c>
      <c r="T65" s="490">
        <v>44</v>
      </c>
      <c r="U65" s="490">
        <v>13</v>
      </c>
      <c r="V65" s="2043">
        <v>5</v>
      </c>
    </row>
    <row r="66" spans="1:22" ht="11.25" customHeight="1">
      <c r="A66" s="2036" t="s">
        <v>29</v>
      </c>
      <c r="B66" s="475" t="s">
        <v>30</v>
      </c>
      <c r="C66" s="489">
        <v>1</v>
      </c>
      <c r="D66" s="489">
        <v>1</v>
      </c>
      <c r="E66" s="489" t="s">
        <v>28</v>
      </c>
      <c r="F66" s="489" t="s">
        <v>28</v>
      </c>
      <c r="G66" s="489" t="s">
        <v>28</v>
      </c>
      <c r="H66" s="476">
        <v>1</v>
      </c>
      <c r="I66" s="476" t="s">
        <v>28</v>
      </c>
      <c r="J66" s="476">
        <v>1</v>
      </c>
      <c r="K66" s="476">
        <v>1</v>
      </c>
      <c r="L66" s="489" t="s">
        <v>28</v>
      </c>
      <c r="M66" s="489" t="s">
        <v>28</v>
      </c>
      <c r="N66" s="489" t="s">
        <v>28</v>
      </c>
      <c r="O66" s="476">
        <v>1</v>
      </c>
      <c r="P66" s="489">
        <v>46</v>
      </c>
      <c r="Q66" s="489" t="s">
        <v>28</v>
      </c>
      <c r="R66" s="489">
        <v>20</v>
      </c>
      <c r="S66" s="489">
        <v>15</v>
      </c>
      <c r="T66" s="489">
        <v>44</v>
      </c>
      <c r="U66" s="489">
        <v>13</v>
      </c>
      <c r="V66" s="2048">
        <v>5</v>
      </c>
    </row>
    <row r="67" spans="1:22" ht="11.25" customHeight="1">
      <c r="A67" s="2033" t="s">
        <v>61</v>
      </c>
      <c r="B67" s="472" t="s">
        <v>62</v>
      </c>
      <c r="C67" s="490">
        <v>1</v>
      </c>
      <c r="D67" s="490" t="s">
        <v>28</v>
      </c>
      <c r="E67" s="490" t="s">
        <v>28</v>
      </c>
      <c r="F67" s="490" t="s">
        <v>28</v>
      </c>
      <c r="G67" s="490" t="s">
        <v>28</v>
      </c>
      <c r="H67" s="478" t="s">
        <v>28</v>
      </c>
      <c r="I67" s="478" t="s">
        <v>28</v>
      </c>
      <c r="J67" s="478" t="s">
        <v>28</v>
      </c>
      <c r="K67" s="478">
        <v>1</v>
      </c>
      <c r="L67" s="490">
        <v>1</v>
      </c>
      <c r="M67" s="490" t="s">
        <v>28</v>
      </c>
      <c r="N67" s="490" t="s">
        <v>28</v>
      </c>
      <c r="O67" s="478" t="s">
        <v>28</v>
      </c>
      <c r="P67" s="490">
        <v>9</v>
      </c>
      <c r="Q67" s="490" t="s">
        <v>28</v>
      </c>
      <c r="R67" s="490">
        <v>5</v>
      </c>
      <c r="S67" s="490">
        <v>3</v>
      </c>
      <c r="T67" s="490">
        <v>7</v>
      </c>
      <c r="U67" s="490">
        <v>4</v>
      </c>
      <c r="V67" s="2043" t="s">
        <v>28</v>
      </c>
    </row>
    <row r="68" spans="1:22" ht="11.25" customHeight="1">
      <c r="A68" s="2036" t="s">
        <v>29</v>
      </c>
      <c r="B68" s="475" t="s">
        <v>30</v>
      </c>
      <c r="C68" s="489">
        <v>1</v>
      </c>
      <c r="D68" s="489" t="s">
        <v>28</v>
      </c>
      <c r="E68" s="489" t="s">
        <v>28</v>
      </c>
      <c r="F68" s="489" t="s">
        <v>28</v>
      </c>
      <c r="G68" s="489" t="s">
        <v>28</v>
      </c>
      <c r="H68" s="476" t="s">
        <v>28</v>
      </c>
      <c r="I68" s="476" t="s">
        <v>28</v>
      </c>
      <c r="J68" s="476" t="s">
        <v>28</v>
      </c>
      <c r="K68" s="476">
        <v>1</v>
      </c>
      <c r="L68" s="489">
        <v>1</v>
      </c>
      <c r="M68" s="489" t="s">
        <v>28</v>
      </c>
      <c r="N68" s="489" t="s">
        <v>28</v>
      </c>
      <c r="O68" s="476" t="s">
        <v>28</v>
      </c>
      <c r="P68" s="489">
        <v>9</v>
      </c>
      <c r="Q68" s="489" t="s">
        <v>28</v>
      </c>
      <c r="R68" s="489">
        <v>3</v>
      </c>
      <c r="S68" s="489">
        <v>3</v>
      </c>
      <c r="T68" s="489">
        <v>5</v>
      </c>
      <c r="U68" s="489">
        <v>4</v>
      </c>
      <c r="V68" s="2048" t="s">
        <v>28</v>
      </c>
    </row>
    <row r="69" spans="1:22" ht="11.25" customHeight="1">
      <c r="A69" s="2036" t="s">
        <v>31</v>
      </c>
      <c r="B69" s="475" t="s">
        <v>32</v>
      </c>
      <c r="C69" s="489" t="s">
        <v>28</v>
      </c>
      <c r="D69" s="489" t="s">
        <v>28</v>
      </c>
      <c r="E69" s="489" t="s">
        <v>28</v>
      </c>
      <c r="F69" s="489" t="s">
        <v>28</v>
      </c>
      <c r="G69" s="489" t="s">
        <v>28</v>
      </c>
      <c r="H69" s="476" t="s">
        <v>28</v>
      </c>
      <c r="I69" s="476" t="s">
        <v>28</v>
      </c>
      <c r="J69" s="476" t="s">
        <v>28</v>
      </c>
      <c r="K69" s="476" t="s">
        <v>28</v>
      </c>
      <c r="L69" s="489" t="s">
        <v>28</v>
      </c>
      <c r="M69" s="489" t="s">
        <v>28</v>
      </c>
      <c r="N69" s="489" t="s">
        <v>28</v>
      </c>
      <c r="O69" s="476" t="s">
        <v>28</v>
      </c>
      <c r="P69" s="489" t="s">
        <v>28</v>
      </c>
      <c r="Q69" s="489" t="s">
        <v>28</v>
      </c>
      <c r="R69" s="489">
        <v>2</v>
      </c>
      <c r="S69" s="489" t="s">
        <v>28</v>
      </c>
      <c r="T69" s="489">
        <v>2</v>
      </c>
      <c r="U69" s="489" t="s">
        <v>28</v>
      </c>
      <c r="V69" s="2048" t="s">
        <v>28</v>
      </c>
    </row>
    <row r="70" spans="1:22" ht="11.25" customHeight="1">
      <c r="A70" s="2033" t="s">
        <v>63</v>
      </c>
      <c r="B70" s="472" t="s">
        <v>64</v>
      </c>
      <c r="C70" s="490" t="s">
        <v>28</v>
      </c>
      <c r="D70" s="490" t="s">
        <v>28</v>
      </c>
      <c r="E70" s="490" t="s">
        <v>28</v>
      </c>
      <c r="F70" s="490" t="s">
        <v>28</v>
      </c>
      <c r="G70" s="490" t="s">
        <v>28</v>
      </c>
      <c r="H70" s="478" t="s">
        <v>28</v>
      </c>
      <c r="I70" s="478" t="s">
        <v>28</v>
      </c>
      <c r="J70" s="478" t="s">
        <v>28</v>
      </c>
      <c r="K70" s="478" t="s">
        <v>28</v>
      </c>
      <c r="L70" s="490" t="s">
        <v>28</v>
      </c>
      <c r="M70" s="490" t="s">
        <v>28</v>
      </c>
      <c r="N70" s="490" t="s">
        <v>28</v>
      </c>
      <c r="O70" s="478" t="s">
        <v>28</v>
      </c>
      <c r="P70" s="490">
        <v>2</v>
      </c>
      <c r="Q70" s="490" t="s">
        <v>28</v>
      </c>
      <c r="R70" s="490">
        <v>1</v>
      </c>
      <c r="S70" s="490" t="s">
        <v>28</v>
      </c>
      <c r="T70" s="490">
        <v>1</v>
      </c>
      <c r="U70" s="490">
        <v>2</v>
      </c>
      <c r="V70" s="2043" t="s">
        <v>28</v>
      </c>
    </row>
    <row r="71" spans="1:22" ht="11.25" customHeight="1" thickBot="1">
      <c r="A71" s="2036" t="s">
        <v>29</v>
      </c>
      <c r="B71" s="475" t="s">
        <v>30</v>
      </c>
      <c r="C71" s="489" t="s">
        <v>28</v>
      </c>
      <c r="D71" s="489" t="s">
        <v>28</v>
      </c>
      <c r="E71" s="489" t="s">
        <v>28</v>
      </c>
      <c r="F71" s="489" t="s">
        <v>28</v>
      </c>
      <c r="G71" s="489" t="s">
        <v>28</v>
      </c>
      <c r="H71" s="476" t="s">
        <v>28</v>
      </c>
      <c r="I71" s="476" t="s">
        <v>28</v>
      </c>
      <c r="J71" s="476" t="s">
        <v>28</v>
      </c>
      <c r="K71" s="476" t="s">
        <v>28</v>
      </c>
      <c r="L71" s="489" t="s">
        <v>28</v>
      </c>
      <c r="M71" s="489" t="s">
        <v>28</v>
      </c>
      <c r="N71" s="489" t="s">
        <v>28</v>
      </c>
      <c r="O71" s="476" t="s">
        <v>28</v>
      </c>
      <c r="P71" s="489">
        <v>2</v>
      </c>
      <c r="Q71" s="489" t="s">
        <v>28</v>
      </c>
      <c r="R71" s="489">
        <v>1</v>
      </c>
      <c r="S71" s="489" t="s">
        <v>28</v>
      </c>
      <c r="T71" s="489">
        <v>1</v>
      </c>
      <c r="U71" s="489">
        <v>2</v>
      </c>
      <c r="V71" s="2048" t="s">
        <v>28</v>
      </c>
    </row>
    <row r="72" spans="1:22" ht="79.5" customHeight="1">
      <c r="A72" s="1440" t="s">
        <v>1261</v>
      </c>
      <c r="B72" s="1440"/>
      <c r="C72" s="1440"/>
      <c r="D72" s="1440"/>
      <c r="E72" s="1440"/>
      <c r="F72" s="1440"/>
      <c r="G72" s="1440"/>
      <c r="H72" s="1440"/>
      <c r="I72" s="1440" t="s">
        <v>1285</v>
      </c>
      <c r="J72" s="1440"/>
      <c r="K72" s="1440"/>
      <c r="L72" s="1440"/>
      <c r="M72" s="1440"/>
      <c r="N72" s="1440"/>
      <c r="O72" s="1440"/>
      <c r="P72" s="1440"/>
      <c r="Q72" s="1440"/>
      <c r="R72" s="1440"/>
      <c r="S72" s="1440"/>
      <c r="T72" s="1440"/>
      <c r="U72" s="1440"/>
      <c r="V72" s="1440"/>
    </row>
    <row r="79" spans="1:22">
      <c r="A79" s="495"/>
      <c r="B79" s="496"/>
      <c r="C79" s="496"/>
      <c r="D79" s="496"/>
    </row>
    <row r="80" spans="1:22">
      <c r="A80" s="499"/>
      <c r="B80" s="496"/>
      <c r="C80" s="496"/>
      <c r="D80" s="496"/>
    </row>
    <row r="81" spans="1:4">
      <c r="A81" s="496"/>
      <c r="B81" s="496"/>
      <c r="C81" s="496"/>
      <c r="D81" s="496"/>
    </row>
    <row r="82" spans="1:4">
      <c r="A82" s="496"/>
      <c r="B82" s="496"/>
      <c r="C82" s="496"/>
      <c r="D82" s="496"/>
    </row>
    <row r="83" spans="1:4">
      <c r="A83" s="339"/>
      <c r="B83" s="339"/>
      <c r="C83" s="339"/>
      <c r="D83" s="339"/>
    </row>
  </sheetData>
  <mergeCells count="24">
    <mergeCell ref="I5:O5"/>
    <mergeCell ref="P5:P6"/>
    <mergeCell ref="I6:O6"/>
    <mergeCell ref="P7:P8"/>
    <mergeCell ref="A2:H2"/>
    <mergeCell ref="A3:H3"/>
    <mergeCell ref="I3:V3"/>
    <mergeCell ref="J2:V2"/>
    <mergeCell ref="A4:I4"/>
    <mergeCell ref="J4:V4"/>
    <mergeCell ref="C5:H5"/>
    <mergeCell ref="C6:H6"/>
    <mergeCell ref="A72:H72"/>
    <mergeCell ref="I72:V72"/>
    <mergeCell ref="A5:B7"/>
    <mergeCell ref="Q5:Q6"/>
    <mergeCell ref="R5:V5"/>
    <mergeCell ref="R6:V6"/>
    <mergeCell ref="I31:V31"/>
    <mergeCell ref="I45:V45"/>
    <mergeCell ref="A31:H31"/>
    <mergeCell ref="A45:H45"/>
    <mergeCell ref="Q7:Q8"/>
    <mergeCell ref="A8:B8"/>
  </mergeCells>
  <phoneticPr fontId="4" type="noConversion"/>
  <hyperlinks>
    <hyperlink ref="A1" location="목록!A1" display="목록!A1" xr:uid="{C430AF06-EDF6-42FD-B903-3CE1DF83C1F5}"/>
  </hyperlinks>
  <printOptions horizontalCentered="1"/>
  <pageMargins left="0.59055118110236227" right="0.59055118110236227" top="0.78740157480314965" bottom="0.39370078740157483" header="0.62992125984251968" footer="0.39370078740157483"/>
  <pageSetup paperSize="9" scale="82" orientation="portrait" r:id="rId1"/>
  <colBreaks count="2" manualBreakCount="2">
    <brk id="8" min="1" max="71" man="1"/>
    <brk id="22" min="1" max="71" man="1"/>
  </colBreaks>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V68"/>
  <sheetViews>
    <sheetView showGridLines="0" showWhiteSpace="0" view="pageBreakPreview" zoomScaleNormal="100" zoomScaleSheetLayoutView="100" workbookViewId="0">
      <selection activeCell="A2" sqref="A2:V59"/>
    </sheetView>
  </sheetViews>
  <sheetFormatPr defaultColWidth="8" defaultRowHeight="16.5"/>
  <cols>
    <col min="1" max="2" width="10.44140625" style="497" customWidth="1"/>
    <col min="3" max="3" width="8.33203125" style="497" customWidth="1"/>
    <col min="4" max="11" width="7.33203125" style="497" customWidth="1"/>
    <col min="12" max="12" width="8" style="498" customWidth="1"/>
    <col min="13" max="17" width="8" style="497" customWidth="1"/>
    <col min="18" max="18" width="9" style="497" customWidth="1"/>
    <col min="19" max="22" width="8" style="497" customWidth="1"/>
    <col min="23" max="16384" width="8" style="59"/>
  </cols>
  <sheetData>
    <row r="1" spans="1:22" ht="22.5">
      <c r="A1" s="901" t="s">
        <v>1332</v>
      </c>
    </row>
    <row r="2" spans="1:22" s="501" customFormat="1" ht="13.5" customHeight="1">
      <c r="A2" s="1449" t="s">
        <v>1089</v>
      </c>
      <c r="B2" s="1449"/>
      <c r="C2" s="1449"/>
      <c r="D2" s="1449"/>
      <c r="E2" s="1449"/>
      <c r="F2" s="1449"/>
      <c r="G2" s="1449"/>
      <c r="H2" s="1449"/>
      <c r="I2" s="1449"/>
      <c r="J2" s="1449"/>
      <c r="K2" s="1449"/>
      <c r="L2" s="1427" t="s">
        <v>1190</v>
      </c>
      <c r="M2" s="1427"/>
      <c r="N2" s="1427"/>
      <c r="O2" s="1427"/>
      <c r="P2" s="1427"/>
      <c r="Q2" s="1427"/>
      <c r="R2" s="1427"/>
      <c r="S2" s="1427"/>
      <c r="T2" s="1427"/>
      <c r="U2" s="1427"/>
      <c r="V2" s="1427"/>
    </row>
    <row r="3" spans="1:22" s="502" customFormat="1" ht="22.5" customHeight="1">
      <c r="A3" s="1436" t="s">
        <v>905</v>
      </c>
      <c r="B3" s="1436"/>
      <c r="C3" s="1436"/>
      <c r="D3" s="1436"/>
      <c r="E3" s="1436"/>
      <c r="F3" s="1436"/>
      <c r="G3" s="1436"/>
      <c r="H3" s="1436"/>
      <c r="I3" s="1436"/>
      <c r="J3" s="1436"/>
      <c r="K3" s="1436"/>
      <c r="L3" s="1436" t="s">
        <v>904</v>
      </c>
      <c r="M3" s="1436"/>
      <c r="N3" s="1436"/>
      <c r="O3" s="1436"/>
      <c r="P3" s="1436"/>
      <c r="Q3" s="1436"/>
      <c r="R3" s="1436"/>
      <c r="S3" s="1436"/>
      <c r="T3" s="1436"/>
      <c r="U3" s="1436"/>
      <c r="V3" s="1436"/>
    </row>
    <row r="4" spans="1:22" ht="7.5" customHeight="1" thickBot="1">
      <c r="A4" s="1437"/>
      <c r="B4" s="1437"/>
      <c r="C4" s="1437"/>
      <c r="D4" s="1437"/>
      <c r="E4" s="1437"/>
      <c r="F4" s="1437"/>
      <c r="G4" s="1437"/>
      <c r="H4" s="1437"/>
      <c r="I4" s="1437"/>
      <c r="J4" s="1437"/>
      <c r="K4" s="1437"/>
      <c r="L4" s="1437"/>
      <c r="M4" s="1437"/>
      <c r="N4" s="1437"/>
      <c r="O4" s="1437"/>
      <c r="P4" s="1437"/>
      <c r="Q4" s="1437"/>
      <c r="R4" s="1437"/>
      <c r="S4" s="1437"/>
      <c r="T4" s="1437"/>
      <c r="U4" s="1437"/>
      <c r="V4" s="1437"/>
    </row>
    <row r="5" spans="1:22" ht="13.5" customHeight="1">
      <c r="A5" s="1429" t="s">
        <v>668</v>
      </c>
      <c r="B5" s="1430"/>
      <c r="C5" s="1445" t="s">
        <v>1253</v>
      </c>
      <c r="D5" s="1441" t="s">
        <v>874</v>
      </c>
      <c r="E5" s="1429"/>
      <c r="F5" s="1429"/>
      <c r="G5" s="1429"/>
      <c r="H5" s="1429"/>
      <c r="I5" s="1429"/>
      <c r="J5" s="1429"/>
      <c r="K5" s="1429"/>
      <c r="L5" s="1429" t="s">
        <v>844</v>
      </c>
      <c r="M5" s="1429"/>
      <c r="N5" s="1429"/>
      <c r="O5" s="1429"/>
      <c r="P5" s="1429"/>
      <c r="Q5" s="1429"/>
      <c r="R5" s="1429"/>
      <c r="S5" s="1429"/>
      <c r="T5" s="1429"/>
      <c r="U5" s="1429"/>
      <c r="V5" s="1429"/>
    </row>
    <row r="6" spans="1:22" ht="11.1" customHeight="1">
      <c r="A6" s="2031"/>
      <c r="B6" s="1431"/>
      <c r="C6" s="1453"/>
      <c r="D6" s="1442" t="s">
        <v>880</v>
      </c>
      <c r="E6" s="1443"/>
      <c r="F6" s="1443"/>
      <c r="G6" s="1443"/>
      <c r="H6" s="1443"/>
      <c r="I6" s="1443"/>
      <c r="J6" s="1443"/>
      <c r="K6" s="1443"/>
      <c r="L6" s="1443" t="s">
        <v>845</v>
      </c>
      <c r="M6" s="1443"/>
      <c r="N6" s="1443"/>
      <c r="O6" s="1443"/>
      <c r="P6" s="1443"/>
      <c r="Q6" s="1443"/>
      <c r="R6" s="1443"/>
      <c r="S6" s="1443"/>
      <c r="T6" s="1443"/>
      <c r="U6" s="1443"/>
      <c r="V6" s="1443"/>
    </row>
    <row r="7" spans="1:22" s="506" customFormat="1" ht="12">
      <c r="A7" s="2031"/>
      <c r="B7" s="1431"/>
      <c r="C7" s="1453"/>
      <c r="D7" s="985" t="s">
        <v>13</v>
      </c>
      <c r="E7" s="985" t="s">
        <v>197</v>
      </c>
      <c r="F7" s="985" t="s">
        <v>199</v>
      </c>
      <c r="G7" s="985" t="s">
        <v>826</v>
      </c>
      <c r="H7" s="985" t="s">
        <v>277</v>
      </c>
      <c r="I7" s="985" t="s">
        <v>278</v>
      </c>
      <c r="J7" s="985" t="s">
        <v>279</v>
      </c>
      <c r="K7" s="467" t="s">
        <v>827</v>
      </c>
      <c r="L7" s="988" t="s">
        <v>828</v>
      </c>
      <c r="M7" s="467" t="s">
        <v>829</v>
      </c>
      <c r="N7" s="467" t="s">
        <v>280</v>
      </c>
      <c r="O7" s="988" t="s">
        <v>281</v>
      </c>
      <c r="P7" s="988" t="s">
        <v>1138</v>
      </c>
      <c r="Q7" s="985" t="s">
        <v>1073</v>
      </c>
      <c r="R7" s="988" t="s">
        <v>1139</v>
      </c>
      <c r="S7" s="988" t="s">
        <v>202</v>
      </c>
      <c r="T7" s="988" t="s">
        <v>203</v>
      </c>
      <c r="U7" s="988" t="s">
        <v>204</v>
      </c>
      <c r="V7" s="534" t="s">
        <v>151</v>
      </c>
    </row>
    <row r="8" spans="1:22" s="533" customFormat="1" ht="23.25" customHeight="1">
      <c r="A8" s="2055" t="s">
        <v>1102</v>
      </c>
      <c r="B8" s="1450"/>
      <c r="C8" s="989" t="s">
        <v>16</v>
      </c>
      <c r="D8" s="989" t="s">
        <v>16</v>
      </c>
      <c r="E8" s="989" t="s">
        <v>830</v>
      </c>
      <c r="F8" s="989" t="s">
        <v>1140</v>
      </c>
      <c r="G8" s="989" t="s">
        <v>813</v>
      </c>
      <c r="H8" s="989" t="s">
        <v>284</v>
      </c>
      <c r="I8" s="989" t="s">
        <v>285</v>
      </c>
      <c r="J8" s="989" t="s">
        <v>286</v>
      </c>
      <c r="K8" s="513" t="s">
        <v>712</v>
      </c>
      <c r="L8" s="517" t="s">
        <v>814</v>
      </c>
      <c r="M8" s="517" t="s">
        <v>831</v>
      </c>
      <c r="N8" s="517" t="s">
        <v>287</v>
      </c>
      <c r="O8" s="517" t="s">
        <v>1141</v>
      </c>
      <c r="P8" s="517" t="s">
        <v>713</v>
      </c>
      <c r="Q8" s="989" t="s">
        <v>1137</v>
      </c>
      <c r="R8" s="513" t="s">
        <v>1142</v>
      </c>
      <c r="S8" s="517" t="s">
        <v>714</v>
      </c>
      <c r="T8" s="517" t="s">
        <v>211</v>
      </c>
      <c r="U8" s="517" t="s">
        <v>212</v>
      </c>
      <c r="V8" s="535" t="s">
        <v>1256</v>
      </c>
    </row>
    <row r="9" spans="1:22" ht="12.6" customHeight="1">
      <c r="A9" s="536" t="s">
        <v>27</v>
      </c>
      <c r="B9" s="537" t="s">
        <v>16</v>
      </c>
      <c r="C9" s="524">
        <v>158</v>
      </c>
      <c r="D9" s="524">
        <v>154</v>
      </c>
      <c r="E9" s="524">
        <v>18</v>
      </c>
      <c r="F9" s="524">
        <v>29</v>
      </c>
      <c r="G9" s="524">
        <v>1</v>
      </c>
      <c r="H9" s="524">
        <v>3</v>
      </c>
      <c r="I9" s="524">
        <v>4</v>
      </c>
      <c r="J9" s="524">
        <v>6</v>
      </c>
      <c r="K9" s="473">
        <v>3</v>
      </c>
      <c r="L9" s="473">
        <v>1</v>
      </c>
      <c r="M9" s="473">
        <v>1</v>
      </c>
      <c r="N9" s="473">
        <v>6</v>
      </c>
      <c r="O9" s="473">
        <v>8</v>
      </c>
      <c r="P9" s="473">
        <v>9</v>
      </c>
      <c r="Q9" s="473" t="s">
        <v>28</v>
      </c>
      <c r="R9" s="473">
        <v>8</v>
      </c>
      <c r="S9" s="473">
        <v>6</v>
      </c>
      <c r="T9" s="524">
        <v>8</v>
      </c>
      <c r="U9" s="524">
        <v>3</v>
      </c>
      <c r="V9" s="474">
        <v>4</v>
      </c>
    </row>
    <row r="10" spans="1:22" ht="12.6" customHeight="1">
      <c r="A10" s="2036" t="s">
        <v>29</v>
      </c>
      <c r="B10" s="475" t="s">
        <v>30</v>
      </c>
      <c r="C10" s="489">
        <v>156</v>
      </c>
      <c r="D10" s="489">
        <v>152</v>
      </c>
      <c r="E10" s="489">
        <v>18</v>
      </c>
      <c r="F10" s="489">
        <v>29</v>
      </c>
      <c r="G10" s="489">
        <v>1</v>
      </c>
      <c r="H10" s="489">
        <v>3</v>
      </c>
      <c r="I10" s="489">
        <v>4</v>
      </c>
      <c r="J10" s="489">
        <v>6</v>
      </c>
      <c r="K10" s="476">
        <v>2</v>
      </c>
      <c r="L10" s="476">
        <v>1</v>
      </c>
      <c r="M10" s="476">
        <v>1</v>
      </c>
      <c r="N10" s="476">
        <v>6</v>
      </c>
      <c r="O10" s="476">
        <v>8</v>
      </c>
      <c r="P10" s="476">
        <v>9</v>
      </c>
      <c r="Q10" s="476" t="s">
        <v>28</v>
      </c>
      <c r="R10" s="476">
        <v>8</v>
      </c>
      <c r="S10" s="476">
        <v>5</v>
      </c>
      <c r="T10" s="489">
        <v>8</v>
      </c>
      <c r="U10" s="489">
        <v>3</v>
      </c>
      <c r="V10" s="477">
        <v>4</v>
      </c>
    </row>
    <row r="11" spans="1:22" ht="12.6" customHeight="1" thickBot="1">
      <c r="A11" s="493" t="s">
        <v>31</v>
      </c>
      <c r="B11" s="494" t="s">
        <v>878</v>
      </c>
      <c r="C11" s="491">
        <v>2</v>
      </c>
      <c r="D11" s="491">
        <v>2</v>
      </c>
      <c r="E11" s="491" t="s">
        <v>28</v>
      </c>
      <c r="F11" s="491" t="s">
        <v>28</v>
      </c>
      <c r="G11" s="491" t="s">
        <v>28</v>
      </c>
      <c r="H11" s="491" t="s">
        <v>28</v>
      </c>
      <c r="I11" s="491" t="s">
        <v>28</v>
      </c>
      <c r="J11" s="491" t="s">
        <v>28</v>
      </c>
      <c r="K11" s="482">
        <v>1</v>
      </c>
      <c r="L11" s="482" t="s">
        <v>28</v>
      </c>
      <c r="M11" s="482" t="s">
        <v>28</v>
      </c>
      <c r="N11" s="482" t="s">
        <v>28</v>
      </c>
      <c r="O11" s="482" t="s">
        <v>28</v>
      </c>
      <c r="P11" s="482" t="s">
        <v>28</v>
      </c>
      <c r="Q11" s="482" t="s">
        <v>28</v>
      </c>
      <c r="R11" s="482" t="s">
        <v>28</v>
      </c>
      <c r="S11" s="482">
        <v>1</v>
      </c>
      <c r="T11" s="491" t="s">
        <v>28</v>
      </c>
      <c r="U11" s="491" t="s">
        <v>28</v>
      </c>
      <c r="V11" s="483" t="s">
        <v>28</v>
      </c>
    </row>
    <row r="12" spans="1:22" ht="12.6" customHeight="1" thickBot="1">
      <c r="A12" s="2042" t="s">
        <v>846</v>
      </c>
      <c r="B12" s="2042"/>
      <c r="C12" s="2042"/>
      <c r="D12" s="2042"/>
      <c r="E12" s="2042"/>
      <c r="F12" s="2042"/>
      <c r="G12" s="2042"/>
      <c r="H12" s="2042"/>
      <c r="I12" s="2042"/>
      <c r="J12" s="2042"/>
      <c r="K12" s="2042"/>
      <c r="L12" s="2042" t="s">
        <v>646</v>
      </c>
      <c r="M12" s="2042"/>
      <c r="N12" s="2042"/>
      <c r="O12" s="2042"/>
      <c r="P12" s="2042"/>
      <c r="Q12" s="2042"/>
      <c r="R12" s="2042"/>
      <c r="S12" s="2042"/>
      <c r="T12" s="2042"/>
      <c r="U12" s="2042"/>
      <c r="V12" s="2042"/>
    </row>
    <row r="13" spans="1:22" ht="12.6" customHeight="1">
      <c r="A13" s="484" t="s">
        <v>35</v>
      </c>
      <c r="B13" s="485" t="s">
        <v>36</v>
      </c>
      <c r="C13" s="486">
        <v>21</v>
      </c>
      <c r="D13" s="486">
        <v>21</v>
      </c>
      <c r="E13" s="486">
        <v>1</v>
      </c>
      <c r="F13" s="486">
        <v>4</v>
      </c>
      <c r="G13" s="486" t="s">
        <v>28</v>
      </c>
      <c r="H13" s="486">
        <v>2</v>
      </c>
      <c r="I13" s="486" t="s">
        <v>28</v>
      </c>
      <c r="J13" s="486">
        <v>1</v>
      </c>
      <c r="K13" s="487">
        <v>1</v>
      </c>
      <c r="L13" s="487" t="s">
        <v>28</v>
      </c>
      <c r="M13" s="486">
        <v>1</v>
      </c>
      <c r="N13" s="486">
        <v>2</v>
      </c>
      <c r="O13" s="486">
        <v>1</v>
      </c>
      <c r="P13" s="486">
        <v>1</v>
      </c>
      <c r="Q13" s="486" t="s">
        <v>28</v>
      </c>
      <c r="R13" s="486">
        <v>2</v>
      </c>
      <c r="S13" s="486">
        <v>1</v>
      </c>
      <c r="T13" s="486">
        <v>1</v>
      </c>
      <c r="U13" s="486" t="s">
        <v>28</v>
      </c>
      <c r="V13" s="488" t="s">
        <v>28</v>
      </c>
    </row>
    <row r="14" spans="1:22" ht="12.6" customHeight="1">
      <c r="A14" s="2036" t="s">
        <v>29</v>
      </c>
      <c r="B14" s="475" t="s">
        <v>30</v>
      </c>
      <c r="C14" s="489">
        <v>19</v>
      </c>
      <c r="D14" s="489">
        <v>19</v>
      </c>
      <c r="E14" s="489">
        <v>1</v>
      </c>
      <c r="F14" s="489">
        <v>4</v>
      </c>
      <c r="G14" s="489" t="s">
        <v>28</v>
      </c>
      <c r="H14" s="489">
        <v>2</v>
      </c>
      <c r="I14" s="489" t="s">
        <v>28</v>
      </c>
      <c r="J14" s="489">
        <v>1</v>
      </c>
      <c r="K14" s="476" t="s">
        <v>28</v>
      </c>
      <c r="L14" s="476" t="s">
        <v>28</v>
      </c>
      <c r="M14" s="476">
        <v>1</v>
      </c>
      <c r="N14" s="476">
        <v>2</v>
      </c>
      <c r="O14" s="476">
        <v>1</v>
      </c>
      <c r="P14" s="476">
        <v>1</v>
      </c>
      <c r="Q14" s="476" t="s">
        <v>28</v>
      </c>
      <c r="R14" s="476">
        <v>2</v>
      </c>
      <c r="S14" s="476" t="s">
        <v>28</v>
      </c>
      <c r="T14" s="489">
        <v>1</v>
      </c>
      <c r="U14" s="489" t="s">
        <v>28</v>
      </c>
      <c r="V14" s="477" t="s">
        <v>28</v>
      </c>
    </row>
    <row r="15" spans="1:22" ht="12.6" customHeight="1">
      <c r="A15" s="2036" t="s">
        <v>31</v>
      </c>
      <c r="B15" s="475" t="s">
        <v>32</v>
      </c>
      <c r="C15" s="489">
        <v>2</v>
      </c>
      <c r="D15" s="489">
        <v>2</v>
      </c>
      <c r="E15" s="489" t="s">
        <v>28</v>
      </c>
      <c r="F15" s="489" t="s">
        <v>28</v>
      </c>
      <c r="G15" s="489" t="s">
        <v>28</v>
      </c>
      <c r="H15" s="489" t="s">
        <v>28</v>
      </c>
      <c r="I15" s="489" t="s">
        <v>28</v>
      </c>
      <c r="J15" s="489" t="s">
        <v>28</v>
      </c>
      <c r="K15" s="476">
        <v>1</v>
      </c>
      <c r="L15" s="476" t="s">
        <v>28</v>
      </c>
      <c r="M15" s="476" t="s">
        <v>28</v>
      </c>
      <c r="N15" s="476" t="s">
        <v>28</v>
      </c>
      <c r="O15" s="476" t="s">
        <v>28</v>
      </c>
      <c r="P15" s="476" t="s">
        <v>28</v>
      </c>
      <c r="Q15" s="476" t="s">
        <v>28</v>
      </c>
      <c r="R15" s="476" t="s">
        <v>28</v>
      </c>
      <c r="S15" s="476">
        <v>1</v>
      </c>
      <c r="T15" s="489" t="s">
        <v>28</v>
      </c>
      <c r="U15" s="489" t="s">
        <v>28</v>
      </c>
      <c r="V15" s="477" t="s">
        <v>28</v>
      </c>
    </row>
    <row r="16" spans="1:22" ht="12.6" customHeight="1">
      <c r="A16" s="2033" t="s">
        <v>37</v>
      </c>
      <c r="B16" s="472" t="s">
        <v>38</v>
      </c>
      <c r="C16" s="490">
        <v>55</v>
      </c>
      <c r="D16" s="490">
        <v>53</v>
      </c>
      <c r="E16" s="490">
        <v>11</v>
      </c>
      <c r="F16" s="490">
        <v>12</v>
      </c>
      <c r="G16" s="490" t="s">
        <v>28</v>
      </c>
      <c r="H16" s="490" t="s">
        <v>28</v>
      </c>
      <c r="I16" s="490">
        <v>1</v>
      </c>
      <c r="J16" s="490">
        <v>1</v>
      </c>
      <c r="K16" s="478" t="s">
        <v>28</v>
      </c>
      <c r="L16" s="478" t="s">
        <v>28</v>
      </c>
      <c r="M16" s="490" t="s">
        <v>28</v>
      </c>
      <c r="N16" s="490">
        <v>1</v>
      </c>
      <c r="O16" s="490">
        <v>1</v>
      </c>
      <c r="P16" s="490">
        <v>4</v>
      </c>
      <c r="Q16" s="490" t="s">
        <v>28</v>
      </c>
      <c r="R16" s="490">
        <v>1</v>
      </c>
      <c r="S16" s="490">
        <v>2</v>
      </c>
      <c r="T16" s="490">
        <v>4</v>
      </c>
      <c r="U16" s="490">
        <v>1</v>
      </c>
      <c r="V16" s="2043">
        <v>2</v>
      </c>
    </row>
    <row r="17" spans="1:22" ht="12.6" customHeight="1">
      <c r="A17" s="2036" t="s">
        <v>29</v>
      </c>
      <c r="B17" s="475" t="s">
        <v>30</v>
      </c>
      <c r="C17" s="489">
        <v>55</v>
      </c>
      <c r="D17" s="489">
        <v>53</v>
      </c>
      <c r="E17" s="489">
        <v>11</v>
      </c>
      <c r="F17" s="489">
        <v>12</v>
      </c>
      <c r="G17" s="489" t="s">
        <v>28</v>
      </c>
      <c r="H17" s="489" t="s">
        <v>28</v>
      </c>
      <c r="I17" s="489">
        <v>1</v>
      </c>
      <c r="J17" s="489">
        <v>1</v>
      </c>
      <c r="K17" s="476" t="s">
        <v>28</v>
      </c>
      <c r="L17" s="476" t="s">
        <v>28</v>
      </c>
      <c r="M17" s="476" t="s">
        <v>28</v>
      </c>
      <c r="N17" s="476">
        <v>1</v>
      </c>
      <c r="O17" s="476">
        <v>1</v>
      </c>
      <c r="P17" s="476">
        <v>4</v>
      </c>
      <c r="Q17" s="476" t="s">
        <v>28</v>
      </c>
      <c r="R17" s="476">
        <v>1</v>
      </c>
      <c r="S17" s="476">
        <v>2</v>
      </c>
      <c r="T17" s="489">
        <v>4</v>
      </c>
      <c r="U17" s="489">
        <v>1</v>
      </c>
      <c r="V17" s="477">
        <v>2</v>
      </c>
    </row>
    <row r="18" spans="1:22" ht="12.6" customHeight="1">
      <c r="A18" s="2036" t="s">
        <v>31</v>
      </c>
      <c r="B18" s="475" t="s">
        <v>32</v>
      </c>
      <c r="C18" s="489" t="s">
        <v>28</v>
      </c>
      <c r="D18" s="489" t="s">
        <v>28</v>
      </c>
      <c r="E18" s="489" t="s">
        <v>28</v>
      </c>
      <c r="F18" s="489" t="s">
        <v>28</v>
      </c>
      <c r="G18" s="489" t="s">
        <v>28</v>
      </c>
      <c r="H18" s="489" t="s">
        <v>28</v>
      </c>
      <c r="I18" s="489" t="s">
        <v>28</v>
      </c>
      <c r="J18" s="489" t="s">
        <v>28</v>
      </c>
      <c r="K18" s="476" t="s">
        <v>28</v>
      </c>
      <c r="L18" s="476" t="s">
        <v>28</v>
      </c>
      <c r="M18" s="476" t="s">
        <v>28</v>
      </c>
      <c r="N18" s="476" t="s">
        <v>28</v>
      </c>
      <c r="O18" s="476" t="s">
        <v>28</v>
      </c>
      <c r="P18" s="476" t="s">
        <v>28</v>
      </c>
      <c r="Q18" s="476" t="s">
        <v>28</v>
      </c>
      <c r="R18" s="476" t="s">
        <v>28</v>
      </c>
      <c r="S18" s="476" t="s">
        <v>28</v>
      </c>
      <c r="T18" s="489" t="s">
        <v>28</v>
      </c>
      <c r="U18" s="489" t="s">
        <v>28</v>
      </c>
      <c r="V18" s="477" t="s">
        <v>28</v>
      </c>
    </row>
    <row r="19" spans="1:22" ht="12.6" customHeight="1">
      <c r="A19" s="2033" t="s">
        <v>39</v>
      </c>
      <c r="B19" s="472" t="s">
        <v>40</v>
      </c>
      <c r="C19" s="490">
        <v>50</v>
      </c>
      <c r="D19" s="490">
        <v>48</v>
      </c>
      <c r="E19" s="490">
        <v>4</v>
      </c>
      <c r="F19" s="490">
        <v>11</v>
      </c>
      <c r="G19" s="490">
        <v>1</v>
      </c>
      <c r="H19" s="490" t="s">
        <v>28</v>
      </c>
      <c r="I19" s="490">
        <v>2</v>
      </c>
      <c r="J19" s="490">
        <v>1</v>
      </c>
      <c r="K19" s="478" t="s">
        <v>28</v>
      </c>
      <c r="L19" s="478" t="s">
        <v>28</v>
      </c>
      <c r="M19" s="490" t="s">
        <v>28</v>
      </c>
      <c r="N19" s="490">
        <v>3</v>
      </c>
      <c r="O19" s="490">
        <v>4</v>
      </c>
      <c r="P19" s="490">
        <v>3</v>
      </c>
      <c r="Q19" s="490" t="s">
        <v>28</v>
      </c>
      <c r="R19" s="490">
        <v>1</v>
      </c>
      <c r="S19" s="490">
        <v>1</v>
      </c>
      <c r="T19" s="490">
        <v>2</v>
      </c>
      <c r="U19" s="490">
        <v>1</v>
      </c>
      <c r="V19" s="2043">
        <v>2</v>
      </c>
    </row>
    <row r="20" spans="1:22" ht="12.6" customHeight="1">
      <c r="A20" s="2036" t="s">
        <v>29</v>
      </c>
      <c r="B20" s="475" t="s">
        <v>30</v>
      </c>
      <c r="C20" s="489">
        <v>50</v>
      </c>
      <c r="D20" s="489">
        <v>48</v>
      </c>
      <c r="E20" s="489">
        <v>4</v>
      </c>
      <c r="F20" s="489">
        <v>11</v>
      </c>
      <c r="G20" s="489">
        <v>1</v>
      </c>
      <c r="H20" s="489" t="s">
        <v>28</v>
      </c>
      <c r="I20" s="489">
        <v>2</v>
      </c>
      <c r="J20" s="489">
        <v>1</v>
      </c>
      <c r="K20" s="476" t="s">
        <v>28</v>
      </c>
      <c r="L20" s="476" t="s">
        <v>28</v>
      </c>
      <c r="M20" s="476" t="s">
        <v>28</v>
      </c>
      <c r="N20" s="476">
        <v>3</v>
      </c>
      <c r="O20" s="476">
        <v>4</v>
      </c>
      <c r="P20" s="476">
        <v>3</v>
      </c>
      <c r="Q20" s="476" t="s">
        <v>28</v>
      </c>
      <c r="R20" s="476">
        <v>1</v>
      </c>
      <c r="S20" s="476">
        <v>1</v>
      </c>
      <c r="T20" s="489">
        <v>2</v>
      </c>
      <c r="U20" s="489">
        <v>1</v>
      </c>
      <c r="V20" s="477">
        <v>2</v>
      </c>
    </row>
    <row r="21" spans="1:22" ht="12.6" customHeight="1">
      <c r="A21" s="2036" t="s">
        <v>31</v>
      </c>
      <c r="B21" s="475" t="s">
        <v>32</v>
      </c>
      <c r="C21" s="489" t="s">
        <v>28</v>
      </c>
      <c r="D21" s="489" t="s">
        <v>28</v>
      </c>
      <c r="E21" s="489" t="s">
        <v>28</v>
      </c>
      <c r="F21" s="489" t="s">
        <v>28</v>
      </c>
      <c r="G21" s="489" t="s">
        <v>28</v>
      </c>
      <c r="H21" s="489" t="s">
        <v>28</v>
      </c>
      <c r="I21" s="489" t="s">
        <v>28</v>
      </c>
      <c r="J21" s="489" t="s">
        <v>28</v>
      </c>
      <c r="K21" s="476" t="s">
        <v>28</v>
      </c>
      <c r="L21" s="476" t="s">
        <v>28</v>
      </c>
      <c r="M21" s="476" t="s">
        <v>28</v>
      </c>
      <c r="N21" s="476" t="s">
        <v>28</v>
      </c>
      <c r="O21" s="476" t="s">
        <v>28</v>
      </c>
      <c r="P21" s="476" t="s">
        <v>28</v>
      </c>
      <c r="Q21" s="476" t="s">
        <v>28</v>
      </c>
      <c r="R21" s="476" t="s">
        <v>28</v>
      </c>
      <c r="S21" s="476" t="s">
        <v>28</v>
      </c>
      <c r="T21" s="489" t="s">
        <v>28</v>
      </c>
      <c r="U21" s="489" t="s">
        <v>28</v>
      </c>
      <c r="V21" s="477" t="s">
        <v>28</v>
      </c>
    </row>
    <row r="22" spans="1:22" ht="12.6" customHeight="1">
      <c r="A22" s="2033" t="s">
        <v>41</v>
      </c>
      <c r="B22" s="472" t="s">
        <v>42</v>
      </c>
      <c r="C22" s="490">
        <v>32</v>
      </c>
      <c r="D22" s="490">
        <v>32</v>
      </c>
      <c r="E22" s="490">
        <v>2</v>
      </c>
      <c r="F22" s="490">
        <v>2</v>
      </c>
      <c r="G22" s="490" t="s">
        <v>28</v>
      </c>
      <c r="H22" s="490">
        <v>1</v>
      </c>
      <c r="I22" s="490">
        <v>1</v>
      </c>
      <c r="J22" s="490">
        <v>3</v>
      </c>
      <c r="K22" s="478">
        <v>2</v>
      </c>
      <c r="L22" s="478">
        <v>1</v>
      </c>
      <c r="M22" s="490" t="s">
        <v>28</v>
      </c>
      <c r="N22" s="490" t="s">
        <v>28</v>
      </c>
      <c r="O22" s="490">
        <v>2</v>
      </c>
      <c r="P22" s="490">
        <v>1</v>
      </c>
      <c r="Q22" s="490" t="s">
        <v>28</v>
      </c>
      <c r="R22" s="490">
        <v>4</v>
      </c>
      <c r="S22" s="490">
        <v>2</v>
      </c>
      <c r="T22" s="490">
        <v>1</v>
      </c>
      <c r="U22" s="490">
        <v>1</v>
      </c>
      <c r="V22" s="2043" t="s">
        <v>28</v>
      </c>
    </row>
    <row r="23" spans="1:22" ht="12.6" customHeight="1">
      <c r="A23" s="2036" t="s">
        <v>29</v>
      </c>
      <c r="B23" s="475" t="s">
        <v>30</v>
      </c>
      <c r="C23" s="489">
        <v>32</v>
      </c>
      <c r="D23" s="489">
        <v>32</v>
      </c>
      <c r="E23" s="489">
        <v>2</v>
      </c>
      <c r="F23" s="489">
        <v>2</v>
      </c>
      <c r="G23" s="489" t="s">
        <v>28</v>
      </c>
      <c r="H23" s="489">
        <v>1</v>
      </c>
      <c r="I23" s="489">
        <v>1</v>
      </c>
      <c r="J23" s="489">
        <v>3</v>
      </c>
      <c r="K23" s="476">
        <v>2</v>
      </c>
      <c r="L23" s="476">
        <v>1</v>
      </c>
      <c r="M23" s="476" t="s">
        <v>28</v>
      </c>
      <c r="N23" s="476" t="s">
        <v>28</v>
      </c>
      <c r="O23" s="476">
        <v>2</v>
      </c>
      <c r="P23" s="476">
        <v>1</v>
      </c>
      <c r="Q23" s="476" t="s">
        <v>28</v>
      </c>
      <c r="R23" s="476">
        <v>4</v>
      </c>
      <c r="S23" s="476">
        <v>2</v>
      </c>
      <c r="T23" s="489">
        <v>1</v>
      </c>
      <c r="U23" s="489">
        <v>1</v>
      </c>
      <c r="V23" s="477" t="s">
        <v>28</v>
      </c>
    </row>
    <row r="24" spans="1:22" ht="12.6" customHeight="1">
      <c r="A24" s="2036" t="s">
        <v>31</v>
      </c>
      <c r="B24" s="475" t="s">
        <v>32</v>
      </c>
      <c r="C24" s="489" t="s">
        <v>28</v>
      </c>
      <c r="D24" s="489" t="s">
        <v>28</v>
      </c>
      <c r="E24" s="489" t="s">
        <v>28</v>
      </c>
      <c r="F24" s="489" t="s">
        <v>28</v>
      </c>
      <c r="G24" s="489" t="s">
        <v>28</v>
      </c>
      <c r="H24" s="489" t="s">
        <v>28</v>
      </c>
      <c r="I24" s="489" t="s">
        <v>28</v>
      </c>
      <c r="J24" s="489" t="s">
        <v>28</v>
      </c>
      <c r="K24" s="476" t="s">
        <v>28</v>
      </c>
      <c r="L24" s="476" t="s">
        <v>28</v>
      </c>
      <c r="M24" s="476" t="s">
        <v>28</v>
      </c>
      <c r="N24" s="476" t="s">
        <v>28</v>
      </c>
      <c r="O24" s="476" t="s">
        <v>28</v>
      </c>
      <c r="P24" s="476" t="s">
        <v>28</v>
      </c>
      <c r="Q24" s="476" t="s">
        <v>28</v>
      </c>
      <c r="R24" s="476" t="s">
        <v>28</v>
      </c>
      <c r="S24" s="476" t="s">
        <v>28</v>
      </c>
      <c r="T24" s="489" t="s">
        <v>28</v>
      </c>
      <c r="U24" s="489" t="s">
        <v>28</v>
      </c>
      <c r="V24" s="477" t="s">
        <v>28</v>
      </c>
    </row>
    <row r="25" spans="1:22" ht="12.6" customHeight="1">
      <c r="A25" s="2033" t="s">
        <v>43</v>
      </c>
      <c r="B25" s="472" t="s">
        <v>44</v>
      </c>
      <c r="C25" s="490" t="s">
        <v>28</v>
      </c>
      <c r="D25" s="490" t="s">
        <v>28</v>
      </c>
      <c r="E25" s="490" t="s">
        <v>28</v>
      </c>
      <c r="F25" s="490" t="s">
        <v>28</v>
      </c>
      <c r="G25" s="490" t="s">
        <v>28</v>
      </c>
      <c r="H25" s="490" t="s">
        <v>28</v>
      </c>
      <c r="I25" s="490" t="s">
        <v>28</v>
      </c>
      <c r="J25" s="490" t="s">
        <v>28</v>
      </c>
      <c r="K25" s="478" t="s">
        <v>28</v>
      </c>
      <c r="L25" s="478" t="s">
        <v>28</v>
      </c>
      <c r="M25" s="490" t="s">
        <v>28</v>
      </c>
      <c r="N25" s="490" t="s">
        <v>28</v>
      </c>
      <c r="O25" s="490" t="s">
        <v>28</v>
      </c>
      <c r="P25" s="490" t="s">
        <v>28</v>
      </c>
      <c r="Q25" s="490" t="s">
        <v>28</v>
      </c>
      <c r="R25" s="490" t="s">
        <v>28</v>
      </c>
      <c r="S25" s="490" t="s">
        <v>28</v>
      </c>
      <c r="T25" s="490" t="s">
        <v>28</v>
      </c>
      <c r="U25" s="490" t="s">
        <v>28</v>
      </c>
      <c r="V25" s="2043" t="s">
        <v>28</v>
      </c>
    </row>
    <row r="26" spans="1:22" ht="12.6" customHeight="1">
      <c r="A26" s="2036" t="s">
        <v>29</v>
      </c>
      <c r="B26" s="475" t="s">
        <v>30</v>
      </c>
      <c r="C26" s="489" t="s">
        <v>28</v>
      </c>
      <c r="D26" s="489" t="s">
        <v>28</v>
      </c>
      <c r="E26" s="489" t="s">
        <v>28</v>
      </c>
      <c r="F26" s="489" t="s">
        <v>28</v>
      </c>
      <c r="G26" s="489" t="s">
        <v>28</v>
      </c>
      <c r="H26" s="489" t="s">
        <v>28</v>
      </c>
      <c r="I26" s="489" t="s">
        <v>28</v>
      </c>
      <c r="J26" s="489" t="s">
        <v>28</v>
      </c>
      <c r="K26" s="476" t="s">
        <v>28</v>
      </c>
      <c r="L26" s="476" t="s">
        <v>28</v>
      </c>
      <c r="M26" s="476" t="s">
        <v>28</v>
      </c>
      <c r="N26" s="476" t="s">
        <v>28</v>
      </c>
      <c r="O26" s="476" t="s">
        <v>28</v>
      </c>
      <c r="P26" s="476" t="s">
        <v>28</v>
      </c>
      <c r="Q26" s="476" t="s">
        <v>28</v>
      </c>
      <c r="R26" s="476" t="s">
        <v>28</v>
      </c>
      <c r="S26" s="476" t="s">
        <v>28</v>
      </c>
      <c r="T26" s="489" t="s">
        <v>28</v>
      </c>
      <c r="U26" s="489" t="s">
        <v>28</v>
      </c>
      <c r="V26" s="477" t="s">
        <v>28</v>
      </c>
    </row>
    <row r="27" spans="1:22" ht="12.6" customHeight="1" thickBot="1">
      <c r="A27" s="2036" t="s">
        <v>31</v>
      </c>
      <c r="B27" s="475" t="s">
        <v>32</v>
      </c>
      <c r="C27" s="489" t="s">
        <v>28</v>
      </c>
      <c r="D27" s="489" t="s">
        <v>28</v>
      </c>
      <c r="E27" s="489" t="s">
        <v>28</v>
      </c>
      <c r="F27" s="489" t="s">
        <v>28</v>
      </c>
      <c r="G27" s="489" t="s">
        <v>28</v>
      </c>
      <c r="H27" s="489" t="s">
        <v>28</v>
      </c>
      <c r="I27" s="489" t="s">
        <v>28</v>
      </c>
      <c r="J27" s="489" t="s">
        <v>28</v>
      </c>
      <c r="K27" s="482" t="s">
        <v>28</v>
      </c>
      <c r="L27" s="482" t="s">
        <v>28</v>
      </c>
      <c r="M27" s="482" t="s">
        <v>28</v>
      </c>
      <c r="N27" s="482" t="s">
        <v>28</v>
      </c>
      <c r="O27" s="476" t="s">
        <v>28</v>
      </c>
      <c r="P27" s="476" t="s">
        <v>28</v>
      </c>
      <c r="Q27" s="476" t="s">
        <v>28</v>
      </c>
      <c r="R27" s="482" t="s">
        <v>28</v>
      </c>
      <c r="S27" s="476" t="s">
        <v>28</v>
      </c>
      <c r="T27" s="489" t="s">
        <v>28</v>
      </c>
      <c r="U27" s="489" t="s">
        <v>28</v>
      </c>
      <c r="V27" s="483" t="s">
        <v>28</v>
      </c>
    </row>
    <row r="28" spans="1:22" s="506" customFormat="1" ht="12.6" customHeight="1" thickBot="1">
      <c r="A28" s="1438" t="s">
        <v>80</v>
      </c>
      <c r="B28" s="1438"/>
      <c r="C28" s="1438"/>
      <c r="D28" s="1438"/>
      <c r="E28" s="1438"/>
      <c r="F28" s="1438"/>
      <c r="G28" s="1438"/>
      <c r="H28" s="1438"/>
      <c r="I28" s="1438"/>
      <c r="J28" s="1438"/>
      <c r="K28" s="1438"/>
      <c r="L28" s="1438" t="s">
        <v>81</v>
      </c>
      <c r="M28" s="1438"/>
      <c r="N28" s="1438"/>
      <c r="O28" s="1438"/>
      <c r="P28" s="1438"/>
      <c r="Q28" s="1438"/>
      <c r="R28" s="1438"/>
      <c r="S28" s="1438"/>
      <c r="T28" s="1438"/>
      <c r="U28" s="1438"/>
      <c r="V28" s="1438"/>
    </row>
    <row r="29" spans="1:22" ht="12.6" customHeight="1">
      <c r="A29" s="484" t="s">
        <v>47</v>
      </c>
      <c r="B29" s="485" t="s">
        <v>48</v>
      </c>
      <c r="C29" s="486">
        <v>5</v>
      </c>
      <c r="D29" s="486">
        <v>5</v>
      </c>
      <c r="E29" s="486" t="s">
        <v>28</v>
      </c>
      <c r="F29" s="486">
        <v>1</v>
      </c>
      <c r="G29" s="486" t="s">
        <v>28</v>
      </c>
      <c r="H29" s="486" t="s">
        <v>28</v>
      </c>
      <c r="I29" s="486" t="s">
        <v>28</v>
      </c>
      <c r="J29" s="486" t="s">
        <v>28</v>
      </c>
      <c r="K29" s="487">
        <v>1</v>
      </c>
      <c r="L29" s="487" t="s">
        <v>28</v>
      </c>
      <c r="M29" s="487" t="s">
        <v>28</v>
      </c>
      <c r="N29" s="487" t="s">
        <v>28</v>
      </c>
      <c r="O29" s="487">
        <v>1</v>
      </c>
      <c r="P29" s="487" t="s">
        <v>28</v>
      </c>
      <c r="Q29" s="487" t="s">
        <v>28</v>
      </c>
      <c r="R29" s="487" t="s">
        <v>28</v>
      </c>
      <c r="S29" s="487" t="s">
        <v>28</v>
      </c>
      <c r="T29" s="486" t="s">
        <v>28</v>
      </c>
      <c r="U29" s="486" t="s">
        <v>28</v>
      </c>
      <c r="V29" s="492" t="s">
        <v>28</v>
      </c>
    </row>
    <row r="30" spans="1:22" ht="12.6" customHeight="1">
      <c r="A30" s="2036" t="s">
        <v>29</v>
      </c>
      <c r="B30" s="475" t="s">
        <v>30</v>
      </c>
      <c r="C30" s="489">
        <v>4</v>
      </c>
      <c r="D30" s="489">
        <v>4</v>
      </c>
      <c r="E30" s="489" t="s">
        <v>28</v>
      </c>
      <c r="F30" s="489">
        <v>1</v>
      </c>
      <c r="G30" s="489" t="s">
        <v>28</v>
      </c>
      <c r="H30" s="489" t="s">
        <v>28</v>
      </c>
      <c r="I30" s="489" t="s">
        <v>28</v>
      </c>
      <c r="J30" s="489" t="s">
        <v>28</v>
      </c>
      <c r="K30" s="476" t="s">
        <v>28</v>
      </c>
      <c r="L30" s="476" t="s">
        <v>28</v>
      </c>
      <c r="M30" s="476" t="s">
        <v>28</v>
      </c>
      <c r="N30" s="476" t="s">
        <v>28</v>
      </c>
      <c r="O30" s="476">
        <v>1</v>
      </c>
      <c r="P30" s="476" t="s">
        <v>28</v>
      </c>
      <c r="Q30" s="476" t="s">
        <v>28</v>
      </c>
      <c r="R30" s="476" t="s">
        <v>28</v>
      </c>
      <c r="S30" s="476" t="s">
        <v>28</v>
      </c>
      <c r="T30" s="489" t="s">
        <v>28</v>
      </c>
      <c r="U30" s="489" t="s">
        <v>28</v>
      </c>
      <c r="V30" s="477" t="s">
        <v>28</v>
      </c>
    </row>
    <row r="31" spans="1:22" ht="12.6" customHeight="1">
      <c r="A31" s="2036" t="s">
        <v>31</v>
      </c>
      <c r="B31" s="475" t="s">
        <v>32</v>
      </c>
      <c r="C31" s="489">
        <v>1</v>
      </c>
      <c r="D31" s="489">
        <v>1</v>
      </c>
      <c r="E31" s="489" t="s">
        <v>28</v>
      </c>
      <c r="F31" s="489" t="s">
        <v>28</v>
      </c>
      <c r="G31" s="489" t="s">
        <v>28</v>
      </c>
      <c r="H31" s="489" t="s">
        <v>28</v>
      </c>
      <c r="I31" s="489" t="s">
        <v>28</v>
      </c>
      <c r="J31" s="489" t="s">
        <v>28</v>
      </c>
      <c r="K31" s="476">
        <v>1</v>
      </c>
      <c r="L31" s="476" t="s">
        <v>28</v>
      </c>
      <c r="M31" s="476" t="s">
        <v>28</v>
      </c>
      <c r="N31" s="476" t="s">
        <v>28</v>
      </c>
      <c r="O31" s="476" t="s">
        <v>28</v>
      </c>
      <c r="P31" s="476" t="s">
        <v>28</v>
      </c>
      <c r="Q31" s="476" t="s">
        <v>28</v>
      </c>
      <c r="R31" s="476" t="s">
        <v>28</v>
      </c>
      <c r="S31" s="476" t="s">
        <v>28</v>
      </c>
      <c r="T31" s="489" t="s">
        <v>28</v>
      </c>
      <c r="U31" s="489" t="s">
        <v>28</v>
      </c>
      <c r="V31" s="477" t="s">
        <v>28</v>
      </c>
    </row>
    <row r="32" spans="1:22" ht="12.6" customHeight="1">
      <c r="A32" s="2033" t="s">
        <v>49</v>
      </c>
      <c r="B32" s="472" t="s">
        <v>50</v>
      </c>
      <c r="C32" s="490">
        <v>1</v>
      </c>
      <c r="D32" s="490">
        <v>1</v>
      </c>
      <c r="E32" s="490" t="s">
        <v>28</v>
      </c>
      <c r="F32" s="490" t="s">
        <v>28</v>
      </c>
      <c r="G32" s="490" t="s">
        <v>28</v>
      </c>
      <c r="H32" s="490" t="s">
        <v>28</v>
      </c>
      <c r="I32" s="490" t="s">
        <v>28</v>
      </c>
      <c r="J32" s="490" t="s">
        <v>28</v>
      </c>
      <c r="K32" s="478" t="s">
        <v>28</v>
      </c>
      <c r="L32" s="478" t="s">
        <v>28</v>
      </c>
      <c r="M32" s="478" t="s">
        <v>28</v>
      </c>
      <c r="N32" s="478" t="s">
        <v>28</v>
      </c>
      <c r="O32" s="478" t="s">
        <v>28</v>
      </c>
      <c r="P32" s="478" t="s">
        <v>28</v>
      </c>
      <c r="Q32" s="478" t="s">
        <v>28</v>
      </c>
      <c r="R32" s="478" t="s">
        <v>28</v>
      </c>
      <c r="S32" s="478">
        <v>1</v>
      </c>
      <c r="T32" s="490" t="s">
        <v>28</v>
      </c>
      <c r="U32" s="490" t="s">
        <v>28</v>
      </c>
      <c r="V32" s="479" t="s">
        <v>28</v>
      </c>
    </row>
    <row r="33" spans="1:22" ht="12.6" customHeight="1">
      <c r="A33" s="2036" t="s">
        <v>875</v>
      </c>
      <c r="B33" s="475" t="s">
        <v>876</v>
      </c>
      <c r="C33" s="489" t="s">
        <v>28</v>
      </c>
      <c r="D33" s="489" t="s">
        <v>28</v>
      </c>
      <c r="E33" s="489" t="s">
        <v>28</v>
      </c>
      <c r="F33" s="489" t="s">
        <v>28</v>
      </c>
      <c r="G33" s="489" t="s">
        <v>28</v>
      </c>
      <c r="H33" s="489" t="s">
        <v>28</v>
      </c>
      <c r="I33" s="489" t="s">
        <v>28</v>
      </c>
      <c r="J33" s="489" t="s">
        <v>28</v>
      </c>
      <c r="K33" s="476" t="s">
        <v>28</v>
      </c>
      <c r="L33" s="476" t="s">
        <v>28</v>
      </c>
      <c r="M33" s="476" t="s">
        <v>28</v>
      </c>
      <c r="N33" s="476" t="s">
        <v>28</v>
      </c>
      <c r="O33" s="476" t="s">
        <v>28</v>
      </c>
      <c r="P33" s="476" t="s">
        <v>28</v>
      </c>
      <c r="Q33" s="476" t="s">
        <v>28</v>
      </c>
      <c r="R33" s="476" t="s">
        <v>28</v>
      </c>
      <c r="S33" s="476" t="s">
        <v>28</v>
      </c>
      <c r="T33" s="489" t="s">
        <v>28</v>
      </c>
      <c r="U33" s="489" t="s">
        <v>28</v>
      </c>
      <c r="V33" s="477" t="s">
        <v>28</v>
      </c>
    </row>
    <row r="34" spans="1:22" ht="12.6" customHeight="1">
      <c r="A34" s="2036" t="s">
        <v>877</v>
      </c>
      <c r="B34" s="475" t="s">
        <v>878</v>
      </c>
      <c r="C34" s="489">
        <v>1</v>
      </c>
      <c r="D34" s="489">
        <v>1</v>
      </c>
      <c r="E34" s="489" t="s">
        <v>28</v>
      </c>
      <c r="F34" s="489" t="s">
        <v>28</v>
      </c>
      <c r="G34" s="489" t="s">
        <v>28</v>
      </c>
      <c r="H34" s="489" t="s">
        <v>28</v>
      </c>
      <c r="I34" s="489" t="s">
        <v>28</v>
      </c>
      <c r="J34" s="489" t="s">
        <v>28</v>
      </c>
      <c r="K34" s="476" t="s">
        <v>28</v>
      </c>
      <c r="L34" s="476" t="s">
        <v>28</v>
      </c>
      <c r="M34" s="476" t="s">
        <v>28</v>
      </c>
      <c r="N34" s="476" t="s">
        <v>28</v>
      </c>
      <c r="O34" s="476" t="s">
        <v>28</v>
      </c>
      <c r="P34" s="476" t="s">
        <v>28</v>
      </c>
      <c r="Q34" s="476" t="s">
        <v>28</v>
      </c>
      <c r="R34" s="476" t="s">
        <v>28</v>
      </c>
      <c r="S34" s="476">
        <v>1</v>
      </c>
      <c r="T34" s="489" t="s">
        <v>28</v>
      </c>
      <c r="U34" s="489" t="s">
        <v>28</v>
      </c>
      <c r="V34" s="477" t="s">
        <v>28</v>
      </c>
    </row>
    <row r="35" spans="1:22" ht="12.6" customHeight="1">
      <c r="A35" s="2033" t="s">
        <v>963</v>
      </c>
      <c r="B35" s="472" t="s">
        <v>964</v>
      </c>
      <c r="C35" s="490">
        <v>11</v>
      </c>
      <c r="D35" s="490">
        <v>11</v>
      </c>
      <c r="E35" s="490">
        <v>1</v>
      </c>
      <c r="F35" s="490">
        <v>1</v>
      </c>
      <c r="G35" s="490" t="s">
        <v>28</v>
      </c>
      <c r="H35" s="490">
        <v>1</v>
      </c>
      <c r="I35" s="490" t="s">
        <v>28</v>
      </c>
      <c r="J35" s="490">
        <v>1</v>
      </c>
      <c r="K35" s="478" t="s">
        <v>28</v>
      </c>
      <c r="L35" s="478" t="s">
        <v>28</v>
      </c>
      <c r="M35" s="478" t="s">
        <v>28</v>
      </c>
      <c r="N35" s="478">
        <v>2</v>
      </c>
      <c r="O35" s="478" t="s">
        <v>28</v>
      </c>
      <c r="P35" s="478">
        <v>1</v>
      </c>
      <c r="Q35" s="478" t="s">
        <v>28</v>
      </c>
      <c r="R35" s="478">
        <v>2</v>
      </c>
      <c r="S35" s="478" t="s">
        <v>28</v>
      </c>
      <c r="T35" s="490">
        <v>1</v>
      </c>
      <c r="U35" s="490" t="s">
        <v>28</v>
      </c>
      <c r="V35" s="479" t="s">
        <v>28</v>
      </c>
    </row>
    <row r="36" spans="1:22" ht="12.6" customHeight="1">
      <c r="A36" s="2036" t="s">
        <v>875</v>
      </c>
      <c r="B36" s="475" t="s">
        <v>876</v>
      </c>
      <c r="C36" s="489">
        <v>11</v>
      </c>
      <c r="D36" s="489">
        <v>11</v>
      </c>
      <c r="E36" s="489">
        <v>1</v>
      </c>
      <c r="F36" s="489">
        <v>1</v>
      </c>
      <c r="G36" s="489" t="s">
        <v>28</v>
      </c>
      <c r="H36" s="489">
        <v>1</v>
      </c>
      <c r="I36" s="489" t="s">
        <v>28</v>
      </c>
      <c r="J36" s="489">
        <v>1</v>
      </c>
      <c r="K36" s="476" t="s">
        <v>28</v>
      </c>
      <c r="L36" s="476" t="s">
        <v>28</v>
      </c>
      <c r="M36" s="476" t="s">
        <v>28</v>
      </c>
      <c r="N36" s="476">
        <v>2</v>
      </c>
      <c r="O36" s="476" t="s">
        <v>28</v>
      </c>
      <c r="P36" s="476">
        <v>1</v>
      </c>
      <c r="Q36" s="476" t="s">
        <v>28</v>
      </c>
      <c r="R36" s="476">
        <v>2</v>
      </c>
      <c r="S36" s="476" t="s">
        <v>28</v>
      </c>
      <c r="T36" s="489">
        <v>1</v>
      </c>
      <c r="U36" s="489" t="s">
        <v>28</v>
      </c>
      <c r="V36" s="477" t="s">
        <v>28</v>
      </c>
    </row>
    <row r="37" spans="1:22" ht="12.6" customHeight="1">
      <c r="A37" s="2036" t="s">
        <v>877</v>
      </c>
      <c r="B37" s="475" t="s">
        <v>878</v>
      </c>
      <c r="C37" s="489" t="s">
        <v>28</v>
      </c>
      <c r="D37" s="489" t="s">
        <v>28</v>
      </c>
      <c r="E37" s="489" t="s">
        <v>28</v>
      </c>
      <c r="F37" s="489" t="s">
        <v>28</v>
      </c>
      <c r="G37" s="489" t="s">
        <v>28</v>
      </c>
      <c r="H37" s="489" t="s">
        <v>28</v>
      </c>
      <c r="I37" s="489" t="s">
        <v>28</v>
      </c>
      <c r="J37" s="489" t="s">
        <v>28</v>
      </c>
      <c r="K37" s="476" t="s">
        <v>28</v>
      </c>
      <c r="L37" s="476" t="s">
        <v>28</v>
      </c>
      <c r="M37" s="476" t="s">
        <v>28</v>
      </c>
      <c r="N37" s="476" t="s">
        <v>28</v>
      </c>
      <c r="O37" s="476" t="s">
        <v>28</v>
      </c>
      <c r="P37" s="476" t="s">
        <v>28</v>
      </c>
      <c r="Q37" s="476" t="s">
        <v>28</v>
      </c>
      <c r="R37" s="476" t="s">
        <v>28</v>
      </c>
      <c r="S37" s="476" t="s">
        <v>28</v>
      </c>
      <c r="T37" s="489" t="s">
        <v>28</v>
      </c>
      <c r="U37" s="489" t="s">
        <v>28</v>
      </c>
      <c r="V37" s="477" t="s">
        <v>28</v>
      </c>
    </row>
    <row r="38" spans="1:22" ht="12.6" customHeight="1">
      <c r="A38" s="2033" t="s">
        <v>51</v>
      </c>
      <c r="B38" s="472" t="s">
        <v>52</v>
      </c>
      <c r="C38" s="490">
        <v>25</v>
      </c>
      <c r="D38" s="490">
        <v>23</v>
      </c>
      <c r="E38" s="490">
        <v>3</v>
      </c>
      <c r="F38" s="490">
        <v>5</v>
      </c>
      <c r="G38" s="490">
        <v>1</v>
      </c>
      <c r="H38" s="490" t="s">
        <v>28</v>
      </c>
      <c r="I38" s="490">
        <v>1</v>
      </c>
      <c r="J38" s="490" t="s">
        <v>28</v>
      </c>
      <c r="K38" s="478" t="s">
        <v>28</v>
      </c>
      <c r="L38" s="478" t="s">
        <v>28</v>
      </c>
      <c r="M38" s="478" t="s">
        <v>28</v>
      </c>
      <c r="N38" s="478">
        <v>2</v>
      </c>
      <c r="O38" s="478">
        <v>3</v>
      </c>
      <c r="P38" s="478">
        <v>2</v>
      </c>
      <c r="Q38" s="478" t="s">
        <v>28</v>
      </c>
      <c r="R38" s="478" t="s">
        <v>28</v>
      </c>
      <c r="S38" s="478">
        <v>1</v>
      </c>
      <c r="T38" s="490" t="s">
        <v>28</v>
      </c>
      <c r="U38" s="490" t="s">
        <v>28</v>
      </c>
      <c r="V38" s="479">
        <v>1</v>
      </c>
    </row>
    <row r="39" spans="1:22" ht="12.6" customHeight="1">
      <c r="A39" s="2036" t="s">
        <v>875</v>
      </c>
      <c r="B39" s="475" t="s">
        <v>876</v>
      </c>
      <c r="C39" s="489">
        <v>25</v>
      </c>
      <c r="D39" s="489">
        <v>23</v>
      </c>
      <c r="E39" s="489">
        <v>3</v>
      </c>
      <c r="F39" s="489">
        <v>5</v>
      </c>
      <c r="G39" s="489">
        <v>1</v>
      </c>
      <c r="H39" s="489" t="s">
        <v>28</v>
      </c>
      <c r="I39" s="489">
        <v>1</v>
      </c>
      <c r="J39" s="489" t="s">
        <v>28</v>
      </c>
      <c r="K39" s="476" t="s">
        <v>28</v>
      </c>
      <c r="L39" s="476" t="s">
        <v>28</v>
      </c>
      <c r="M39" s="476" t="s">
        <v>28</v>
      </c>
      <c r="N39" s="476">
        <v>2</v>
      </c>
      <c r="O39" s="476">
        <v>3</v>
      </c>
      <c r="P39" s="476">
        <v>2</v>
      </c>
      <c r="Q39" s="476" t="s">
        <v>28</v>
      </c>
      <c r="R39" s="476" t="s">
        <v>28</v>
      </c>
      <c r="S39" s="476">
        <v>1</v>
      </c>
      <c r="T39" s="489" t="s">
        <v>28</v>
      </c>
      <c r="U39" s="489" t="s">
        <v>28</v>
      </c>
      <c r="V39" s="477">
        <v>1</v>
      </c>
    </row>
    <row r="40" spans="1:22" ht="12.6" customHeight="1">
      <c r="A40" s="2036" t="s">
        <v>31</v>
      </c>
      <c r="B40" s="475" t="s">
        <v>32</v>
      </c>
      <c r="C40" s="489" t="s">
        <v>28</v>
      </c>
      <c r="D40" s="489" t="s">
        <v>28</v>
      </c>
      <c r="E40" s="489" t="s">
        <v>28</v>
      </c>
      <c r="F40" s="489" t="s">
        <v>28</v>
      </c>
      <c r="G40" s="489" t="s">
        <v>28</v>
      </c>
      <c r="H40" s="489" t="s">
        <v>28</v>
      </c>
      <c r="I40" s="489" t="s">
        <v>28</v>
      </c>
      <c r="J40" s="489" t="s">
        <v>28</v>
      </c>
      <c r="K40" s="476" t="s">
        <v>28</v>
      </c>
      <c r="L40" s="476" t="s">
        <v>28</v>
      </c>
      <c r="M40" s="476" t="s">
        <v>28</v>
      </c>
      <c r="N40" s="476" t="s">
        <v>28</v>
      </c>
      <c r="O40" s="476" t="s">
        <v>28</v>
      </c>
      <c r="P40" s="476" t="s">
        <v>28</v>
      </c>
      <c r="Q40" s="476" t="s">
        <v>28</v>
      </c>
      <c r="R40" s="476" t="s">
        <v>28</v>
      </c>
      <c r="S40" s="476" t="s">
        <v>28</v>
      </c>
      <c r="T40" s="489" t="s">
        <v>28</v>
      </c>
      <c r="U40" s="489" t="s">
        <v>28</v>
      </c>
      <c r="V40" s="477" t="s">
        <v>28</v>
      </c>
    </row>
    <row r="41" spans="1:22" ht="12.6" customHeight="1">
      <c r="A41" s="2033" t="s">
        <v>53</v>
      </c>
      <c r="B41" s="472" t="s">
        <v>54</v>
      </c>
      <c r="C41" s="490">
        <v>25</v>
      </c>
      <c r="D41" s="490">
        <v>25</v>
      </c>
      <c r="E41" s="490">
        <v>1</v>
      </c>
      <c r="F41" s="490">
        <v>6</v>
      </c>
      <c r="G41" s="490" t="s">
        <v>28</v>
      </c>
      <c r="H41" s="490" t="s">
        <v>28</v>
      </c>
      <c r="I41" s="490">
        <v>1</v>
      </c>
      <c r="J41" s="490">
        <v>1</v>
      </c>
      <c r="K41" s="478" t="s">
        <v>28</v>
      </c>
      <c r="L41" s="478" t="s">
        <v>28</v>
      </c>
      <c r="M41" s="478" t="s">
        <v>28</v>
      </c>
      <c r="N41" s="478">
        <v>1</v>
      </c>
      <c r="O41" s="478">
        <v>1</v>
      </c>
      <c r="P41" s="478">
        <v>1</v>
      </c>
      <c r="Q41" s="478" t="s">
        <v>28</v>
      </c>
      <c r="R41" s="478">
        <v>1</v>
      </c>
      <c r="S41" s="478" t="s">
        <v>28</v>
      </c>
      <c r="T41" s="490">
        <v>2</v>
      </c>
      <c r="U41" s="490">
        <v>1</v>
      </c>
      <c r="V41" s="479">
        <v>1</v>
      </c>
    </row>
    <row r="42" spans="1:22" ht="12.6" customHeight="1">
      <c r="A42" s="2036" t="s">
        <v>29</v>
      </c>
      <c r="B42" s="475" t="s">
        <v>30</v>
      </c>
      <c r="C42" s="489">
        <v>25</v>
      </c>
      <c r="D42" s="489">
        <v>25</v>
      </c>
      <c r="E42" s="489">
        <v>1</v>
      </c>
      <c r="F42" s="489">
        <v>6</v>
      </c>
      <c r="G42" s="489" t="s">
        <v>28</v>
      </c>
      <c r="H42" s="489" t="s">
        <v>28</v>
      </c>
      <c r="I42" s="489">
        <v>1</v>
      </c>
      <c r="J42" s="489">
        <v>1</v>
      </c>
      <c r="K42" s="476" t="s">
        <v>28</v>
      </c>
      <c r="L42" s="476" t="s">
        <v>28</v>
      </c>
      <c r="M42" s="476" t="s">
        <v>28</v>
      </c>
      <c r="N42" s="476">
        <v>1</v>
      </c>
      <c r="O42" s="476">
        <v>1</v>
      </c>
      <c r="P42" s="476">
        <v>1</v>
      </c>
      <c r="Q42" s="476" t="s">
        <v>28</v>
      </c>
      <c r="R42" s="476">
        <v>1</v>
      </c>
      <c r="S42" s="476" t="s">
        <v>28</v>
      </c>
      <c r="T42" s="489">
        <v>2</v>
      </c>
      <c r="U42" s="489">
        <v>1</v>
      </c>
      <c r="V42" s="477">
        <v>1</v>
      </c>
    </row>
    <row r="43" spans="1:22" ht="12.6" customHeight="1">
      <c r="A43" s="2036" t="s">
        <v>31</v>
      </c>
      <c r="B43" s="475" t="s">
        <v>32</v>
      </c>
      <c r="C43" s="489" t="s">
        <v>28</v>
      </c>
      <c r="D43" s="489" t="s">
        <v>28</v>
      </c>
      <c r="E43" s="489" t="s">
        <v>28</v>
      </c>
      <c r="F43" s="489" t="s">
        <v>28</v>
      </c>
      <c r="G43" s="489" t="s">
        <v>28</v>
      </c>
      <c r="H43" s="489" t="s">
        <v>28</v>
      </c>
      <c r="I43" s="489" t="s">
        <v>28</v>
      </c>
      <c r="J43" s="489" t="s">
        <v>28</v>
      </c>
      <c r="K43" s="476" t="s">
        <v>28</v>
      </c>
      <c r="L43" s="476" t="s">
        <v>28</v>
      </c>
      <c r="M43" s="476" t="s">
        <v>28</v>
      </c>
      <c r="N43" s="476" t="s">
        <v>28</v>
      </c>
      <c r="O43" s="476" t="s">
        <v>28</v>
      </c>
      <c r="P43" s="476" t="s">
        <v>28</v>
      </c>
      <c r="Q43" s="476" t="s">
        <v>28</v>
      </c>
      <c r="R43" s="476" t="s">
        <v>28</v>
      </c>
      <c r="S43" s="476" t="s">
        <v>28</v>
      </c>
      <c r="T43" s="489" t="s">
        <v>28</v>
      </c>
      <c r="U43" s="489" t="s">
        <v>28</v>
      </c>
      <c r="V43" s="477" t="s">
        <v>28</v>
      </c>
    </row>
    <row r="44" spans="1:22" ht="12.6" customHeight="1">
      <c r="A44" s="2033" t="s">
        <v>55</v>
      </c>
      <c r="B44" s="472" t="s">
        <v>56</v>
      </c>
      <c r="C44" s="490">
        <v>40</v>
      </c>
      <c r="D44" s="490">
        <v>38</v>
      </c>
      <c r="E44" s="490">
        <v>9</v>
      </c>
      <c r="F44" s="490">
        <v>8</v>
      </c>
      <c r="G44" s="490" t="s">
        <v>28</v>
      </c>
      <c r="H44" s="490" t="s">
        <v>28</v>
      </c>
      <c r="I44" s="490">
        <v>1</v>
      </c>
      <c r="J44" s="490">
        <v>1</v>
      </c>
      <c r="K44" s="478" t="s">
        <v>28</v>
      </c>
      <c r="L44" s="478" t="s">
        <v>28</v>
      </c>
      <c r="M44" s="478" t="s">
        <v>28</v>
      </c>
      <c r="N44" s="478">
        <v>1</v>
      </c>
      <c r="O44" s="478">
        <v>1</v>
      </c>
      <c r="P44" s="478">
        <v>4</v>
      </c>
      <c r="Q44" s="478" t="s">
        <v>28</v>
      </c>
      <c r="R44" s="478">
        <v>1</v>
      </c>
      <c r="S44" s="478">
        <v>1</v>
      </c>
      <c r="T44" s="490">
        <v>3</v>
      </c>
      <c r="U44" s="490">
        <v>1</v>
      </c>
      <c r="V44" s="479">
        <v>1</v>
      </c>
    </row>
    <row r="45" spans="1:22" ht="12.6" customHeight="1">
      <c r="A45" s="2036" t="s">
        <v>29</v>
      </c>
      <c r="B45" s="475" t="s">
        <v>30</v>
      </c>
      <c r="C45" s="489">
        <v>40</v>
      </c>
      <c r="D45" s="489">
        <v>38</v>
      </c>
      <c r="E45" s="489">
        <v>9</v>
      </c>
      <c r="F45" s="489">
        <v>8</v>
      </c>
      <c r="G45" s="489" t="s">
        <v>28</v>
      </c>
      <c r="H45" s="489" t="s">
        <v>28</v>
      </c>
      <c r="I45" s="489">
        <v>1</v>
      </c>
      <c r="J45" s="489">
        <v>1</v>
      </c>
      <c r="K45" s="476" t="s">
        <v>28</v>
      </c>
      <c r="L45" s="476" t="s">
        <v>28</v>
      </c>
      <c r="M45" s="476" t="s">
        <v>28</v>
      </c>
      <c r="N45" s="476">
        <v>1</v>
      </c>
      <c r="O45" s="476">
        <v>1</v>
      </c>
      <c r="P45" s="476">
        <v>4</v>
      </c>
      <c r="Q45" s="476" t="s">
        <v>28</v>
      </c>
      <c r="R45" s="476">
        <v>1</v>
      </c>
      <c r="S45" s="476">
        <v>1</v>
      </c>
      <c r="T45" s="489">
        <v>3</v>
      </c>
      <c r="U45" s="489">
        <v>1</v>
      </c>
      <c r="V45" s="477">
        <v>1</v>
      </c>
    </row>
    <row r="46" spans="1:22" ht="12.6" customHeight="1">
      <c r="A46" s="2036" t="s">
        <v>31</v>
      </c>
      <c r="B46" s="475" t="s">
        <v>32</v>
      </c>
      <c r="C46" s="489" t="s">
        <v>28</v>
      </c>
      <c r="D46" s="489" t="s">
        <v>28</v>
      </c>
      <c r="E46" s="489" t="s">
        <v>28</v>
      </c>
      <c r="F46" s="489" t="s">
        <v>28</v>
      </c>
      <c r="G46" s="489" t="s">
        <v>28</v>
      </c>
      <c r="H46" s="489" t="s">
        <v>28</v>
      </c>
      <c r="I46" s="489" t="s">
        <v>28</v>
      </c>
      <c r="J46" s="489" t="s">
        <v>28</v>
      </c>
      <c r="K46" s="476" t="s">
        <v>28</v>
      </c>
      <c r="L46" s="476" t="s">
        <v>28</v>
      </c>
      <c r="M46" s="476" t="s">
        <v>28</v>
      </c>
      <c r="N46" s="476" t="s">
        <v>28</v>
      </c>
      <c r="O46" s="476" t="s">
        <v>28</v>
      </c>
      <c r="P46" s="476" t="s">
        <v>28</v>
      </c>
      <c r="Q46" s="476" t="s">
        <v>28</v>
      </c>
      <c r="R46" s="476" t="s">
        <v>28</v>
      </c>
      <c r="S46" s="476" t="s">
        <v>28</v>
      </c>
      <c r="T46" s="489" t="s">
        <v>28</v>
      </c>
      <c r="U46" s="489" t="s">
        <v>28</v>
      </c>
      <c r="V46" s="477" t="s">
        <v>28</v>
      </c>
    </row>
    <row r="47" spans="1:22" ht="12.6" customHeight="1">
      <c r="A47" s="2033" t="s">
        <v>57</v>
      </c>
      <c r="B47" s="472" t="s">
        <v>58</v>
      </c>
      <c r="C47" s="490">
        <v>15</v>
      </c>
      <c r="D47" s="490">
        <v>15</v>
      </c>
      <c r="E47" s="490">
        <v>2</v>
      </c>
      <c r="F47" s="490">
        <v>4</v>
      </c>
      <c r="G47" s="490" t="s">
        <v>28</v>
      </c>
      <c r="H47" s="490" t="s">
        <v>28</v>
      </c>
      <c r="I47" s="490" t="s">
        <v>28</v>
      </c>
      <c r="J47" s="490" t="s">
        <v>28</v>
      </c>
      <c r="K47" s="478" t="s">
        <v>28</v>
      </c>
      <c r="L47" s="478" t="s">
        <v>28</v>
      </c>
      <c r="M47" s="478" t="s">
        <v>28</v>
      </c>
      <c r="N47" s="478" t="s">
        <v>28</v>
      </c>
      <c r="O47" s="478" t="s">
        <v>28</v>
      </c>
      <c r="P47" s="478" t="s">
        <v>28</v>
      </c>
      <c r="Q47" s="478" t="s">
        <v>28</v>
      </c>
      <c r="R47" s="478" t="s">
        <v>28</v>
      </c>
      <c r="S47" s="478">
        <v>1</v>
      </c>
      <c r="T47" s="490">
        <v>1</v>
      </c>
      <c r="U47" s="490" t="s">
        <v>28</v>
      </c>
      <c r="V47" s="479">
        <v>1</v>
      </c>
    </row>
    <row r="48" spans="1:22" ht="12.6" customHeight="1">
      <c r="A48" s="2036" t="s">
        <v>29</v>
      </c>
      <c r="B48" s="475" t="s">
        <v>30</v>
      </c>
      <c r="C48" s="489">
        <v>15</v>
      </c>
      <c r="D48" s="489">
        <v>15</v>
      </c>
      <c r="E48" s="489">
        <v>2</v>
      </c>
      <c r="F48" s="489">
        <v>4</v>
      </c>
      <c r="G48" s="489" t="s">
        <v>28</v>
      </c>
      <c r="H48" s="489" t="s">
        <v>28</v>
      </c>
      <c r="I48" s="489" t="s">
        <v>28</v>
      </c>
      <c r="J48" s="489" t="s">
        <v>28</v>
      </c>
      <c r="K48" s="476" t="s">
        <v>28</v>
      </c>
      <c r="L48" s="476" t="s">
        <v>28</v>
      </c>
      <c r="M48" s="476" t="s">
        <v>28</v>
      </c>
      <c r="N48" s="476" t="s">
        <v>28</v>
      </c>
      <c r="O48" s="476" t="s">
        <v>28</v>
      </c>
      <c r="P48" s="476" t="s">
        <v>28</v>
      </c>
      <c r="Q48" s="476" t="s">
        <v>28</v>
      </c>
      <c r="R48" s="476" t="s">
        <v>28</v>
      </c>
      <c r="S48" s="476">
        <v>1</v>
      </c>
      <c r="T48" s="489">
        <v>1</v>
      </c>
      <c r="U48" s="489" t="s">
        <v>28</v>
      </c>
      <c r="V48" s="477">
        <v>1</v>
      </c>
    </row>
    <row r="49" spans="1:22" ht="12.6" customHeight="1">
      <c r="A49" s="2036" t="s">
        <v>31</v>
      </c>
      <c r="B49" s="475" t="s">
        <v>32</v>
      </c>
      <c r="C49" s="489" t="s">
        <v>28</v>
      </c>
      <c r="D49" s="489" t="s">
        <v>28</v>
      </c>
      <c r="E49" s="489" t="s">
        <v>28</v>
      </c>
      <c r="F49" s="489" t="s">
        <v>28</v>
      </c>
      <c r="G49" s="489" t="s">
        <v>28</v>
      </c>
      <c r="H49" s="489" t="s">
        <v>28</v>
      </c>
      <c r="I49" s="489" t="s">
        <v>28</v>
      </c>
      <c r="J49" s="489" t="s">
        <v>28</v>
      </c>
      <c r="K49" s="476" t="s">
        <v>28</v>
      </c>
      <c r="L49" s="476" t="s">
        <v>28</v>
      </c>
      <c r="M49" s="476" t="s">
        <v>28</v>
      </c>
      <c r="N49" s="476" t="s">
        <v>28</v>
      </c>
      <c r="O49" s="476" t="s">
        <v>28</v>
      </c>
      <c r="P49" s="476" t="s">
        <v>28</v>
      </c>
      <c r="Q49" s="489" t="s">
        <v>28</v>
      </c>
      <c r="R49" s="476" t="s">
        <v>28</v>
      </c>
      <c r="S49" s="476" t="s">
        <v>28</v>
      </c>
      <c r="T49" s="489" t="s">
        <v>28</v>
      </c>
      <c r="U49" s="489" t="s">
        <v>28</v>
      </c>
      <c r="V49" s="477" t="s">
        <v>28</v>
      </c>
    </row>
    <row r="50" spans="1:22" ht="12.6" customHeight="1">
      <c r="A50" s="2033" t="s">
        <v>59</v>
      </c>
      <c r="B50" s="472" t="s">
        <v>60</v>
      </c>
      <c r="C50" s="490">
        <v>32</v>
      </c>
      <c r="D50" s="490">
        <v>32</v>
      </c>
      <c r="E50" s="490">
        <v>2</v>
      </c>
      <c r="F50" s="490">
        <v>2</v>
      </c>
      <c r="G50" s="490" t="s">
        <v>28</v>
      </c>
      <c r="H50" s="490">
        <v>1</v>
      </c>
      <c r="I50" s="490">
        <v>1</v>
      </c>
      <c r="J50" s="490">
        <v>3</v>
      </c>
      <c r="K50" s="478">
        <v>2</v>
      </c>
      <c r="L50" s="478">
        <v>1</v>
      </c>
      <c r="M50" s="478" t="s">
        <v>28</v>
      </c>
      <c r="N50" s="478" t="s">
        <v>28</v>
      </c>
      <c r="O50" s="478">
        <v>2</v>
      </c>
      <c r="P50" s="478">
        <v>1</v>
      </c>
      <c r="Q50" s="478" t="s">
        <v>28</v>
      </c>
      <c r="R50" s="478">
        <v>4</v>
      </c>
      <c r="S50" s="478">
        <v>2</v>
      </c>
      <c r="T50" s="490">
        <v>1</v>
      </c>
      <c r="U50" s="490">
        <v>1</v>
      </c>
      <c r="V50" s="479" t="s">
        <v>28</v>
      </c>
    </row>
    <row r="51" spans="1:22" ht="12.6" customHeight="1">
      <c r="A51" s="2036" t="s">
        <v>29</v>
      </c>
      <c r="B51" s="475" t="s">
        <v>30</v>
      </c>
      <c r="C51" s="489">
        <v>32</v>
      </c>
      <c r="D51" s="489">
        <v>32</v>
      </c>
      <c r="E51" s="489">
        <v>2</v>
      </c>
      <c r="F51" s="489">
        <v>2</v>
      </c>
      <c r="G51" s="489" t="s">
        <v>28</v>
      </c>
      <c r="H51" s="489">
        <v>1</v>
      </c>
      <c r="I51" s="489">
        <v>1</v>
      </c>
      <c r="J51" s="489">
        <v>3</v>
      </c>
      <c r="K51" s="476">
        <v>2</v>
      </c>
      <c r="L51" s="476">
        <v>1</v>
      </c>
      <c r="M51" s="476" t="s">
        <v>28</v>
      </c>
      <c r="N51" s="476" t="s">
        <v>28</v>
      </c>
      <c r="O51" s="476">
        <v>2</v>
      </c>
      <c r="P51" s="476">
        <v>1</v>
      </c>
      <c r="Q51" s="476" t="s">
        <v>28</v>
      </c>
      <c r="R51" s="476">
        <v>4</v>
      </c>
      <c r="S51" s="476">
        <v>2</v>
      </c>
      <c r="T51" s="489">
        <v>1</v>
      </c>
      <c r="U51" s="489">
        <v>1</v>
      </c>
      <c r="V51" s="477" t="s">
        <v>28</v>
      </c>
    </row>
    <row r="52" spans="1:22" ht="12.6" customHeight="1">
      <c r="A52" s="2036" t="s">
        <v>31</v>
      </c>
      <c r="B52" s="475" t="s">
        <v>32</v>
      </c>
      <c r="C52" s="489" t="s">
        <v>28</v>
      </c>
      <c r="D52" s="489" t="s">
        <v>28</v>
      </c>
      <c r="E52" s="489" t="s">
        <v>28</v>
      </c>
      <c r="F52" s="489" t="s">
        <v>28</v>
      </c>
      <c r="G52" s="489" t="s">
        <v>28</v>
      </c>
      <c r="H52" s="489" t="s">
        <v>28</v>
      </c>
      <c r="I52" s="489" t="s">
        <v>28</v>
      </c>
      <c r="J52" s="489" t="s">
        <v>28</v>
      </c>
      <c r="K52" s="476" t="s">
        <v>28</v>
      </c>
      <c r="L52" s="476" t="s">
        <v>28</v>
      </c>
      <c r="M52" s="476" t="s">
        <v>28</v>
      </c>
      <c r="N52" s="476" t="s">
        <v>28</v>
      </c>
      <c r="O52" s="476" t="s">
        <v>28</v>
      </c>
      <c r="P52" s="476" t="s">
        <v>28</v>
      </c>
      <c r="Q52" s="476" t="s">
        <v>28</v>
      </c>
      <c r="R52" s="476" t="s">
        <v>28</v>
      </c>
      <c r="S52" s="476" t="s">
        <v>28</v>
      </c>
      <c r="T52" s="489" t="s">
        <v>28</v>
      </c>
      <c r="U52" s="489" t="s">
        <v>28</v>
      </c>
      <c r="V52" s="477" t="s">
        <v>28</v>
      </c>
    </row>
    <row r="53" spans="1:22" ht="12.6" customHeight="1">
      <c r="A53" s="2033" t="s">
        <v>61</v>
      </c>
      <c r="B53" s="472" t="s">
        <v>62</v>
      </c>
      <c r="C53" s="490" t="s">
        <v>28</v>
      </c>
      <c r="D53" s="490" t="s">
        <v>28</v>
      </c>
      <c r="E53" s="490" t="s">
        <v>28</v>
      </c>
      <c r="F53" s="490" t="s">
        <v>28</v>
      </c>
      <c r="G53" s="490" t="s">
        <v>28</v>
      </c>
      <c r="H53" s="490" t="s">
        <v>28</v>
      </c>
      <c r="I53" s="490" t="s">
        <v>28</v>
      </c>
      <c r="J53" s="490" t="s">
        <v>28</v>
      </c>
      <c r="K53" s="478" t="s">
        <v>28</v>
      </c>
      <c r="L53" s="478" t="s">
        <v>28</v>
      </c>
      <c r="M53" s="478" t="s">
        <v>28</v>
      </c>
      <c r="N53" s="478" t="s">
        <v>28</v>
      </c>
      <c r="O53" s="478" t="s">
        <v>28</v>
      </c>
      <c r="P53" s="478" t="s">
        <v>28</v>
      </c>
      <c r="Q53" s="478" t="s">
        <v>28</v>
      </c>
      <c r="R53" s="478" t="s">
        <v>28</v>
      </c>
      <c r="S53" s="478" t="s">
        <v>28</v>
      </c>
      <c r="T53" s="490" t="s">
        <v>28</v>
      </c>
      <c r="U53" s="490" t="s">
        <v>28</v>
      </c>
      <c r="V53" s="479" t="s">
        <v>28</v>
      </c>
    </row>
    <row r="54" spans="1:22" ht="12.6" customHeight="1">
      <c r="A54" s="2036" t="s">
        <v>875</v>
      </c>
      <c r="B54" s="475" t="s">
        <v>876</v>
      </c>
      <c r="C54" s="489" t="s">
        <v>28</v>
      </c>
      <c r="D54" s="489" t="s">
        <v>28</v>
      </c>
      <c r="E54" s="489" t="s">
        <v>28</v>
      </c>
      <c r="F54" s="489" t="s">
        <v>28</v>
      </c>
      <c r="G54" s="489" t="s">
        <v>28</v>
      </c>
      <c r="H54" s="489" t="s">
        <v>28</v>
      </c>
      <c r="I54" s="489" t="s">
        <v>28</v>
      </c>
      <c r="J54" s="489" t="s">
        <v>28</v>
      </c>
      <c r="K54" s="476" t="s">
        <v>28</v>
      </c>
      <c r="L54" s="476" t="s">
        <v>28</v>
      </c>
      <c r="M54" s="476" t="s">
        <v>28</v>
      </c>
      <c r="N54" s="476" t="s">
        <v>28</v>
      </c>
      <c r="O54" s="476" t="s">
        <v>28</v>
      </c>
      <c r="P54" s="476" t="s">
        <v>28</v>
      </c>
      <c r="Q54" s="476" t="s">
        <v>28</v>
      </c>
      <c r="R54" s="476" t="s">
        <v>28</v>
      </c>
      <c r="S54" s="476" t="s">
        <v>28</v>
      </c>
      <c r="T54" s="489" t="s">
        <v>28</v>
      </c>
      <c r="U54" s="489" t="s">
        <v>28</v>
      </c>
      <c r="V54" s="477" t="s">
        <v>28</v>
      </c>
    </row>
    <row r="55" spans="1:22" ht="12.6" customHeight="1">
      <c r="A55" s="2036" t="s">
        <v>31</v>
      </c>
      <c r="B55" s="475" t="s">
        <v>32</v>
      </c>
      <c r="C55" s="489" t="s">
        <v>28</v>
      </c>
      <c r="D55" s="489" t="s">
        <v>28</v>
      </c>
      <c r="E55" s="489" t="s">
        <v>28</v>
      </c>
      <c r="F55" s="489" t="s">
        <v>28</v>
      </c>
      <c r="G55" s="489" t="s">
        <v>28</v>
      </c>
      <c r="H55" s="489" t="s">
        <v>28</v>
      </c>
      <c r="I55" s="489" t="s">
        <v>28</v>
      </c>
      <c r="J55" s="489" t="s">
        <v>28</v>
      </c>
      <c r="K55" s="476" t="s">
        <v>28</v>
      </c>
      <c r="L55" s="476" t="s">
        <v>28</v>
      </c>
      <c r="M55" s="476" t="s">
        <v>28</v>
      </c>
      <c r="N55" s="476" t="s">
        <v>28</v>
      </c>
      <c r="O55" s="476" t="s">
        <v>28</v>
      </c>
      <c r="P55" s="476" t="s">
        <v>28</v>
      </c>
      <c r="Q55" s="476" t="s">
        <v>28</v>
      </c>
      <c r="R55" s="476" t="s">
        <v>28</v>
      </c>
      <c r="S55" s="476" t="s">
        <v>28</v>
      </c>
      <c r="T55" s="489" t="s">
        <v>28</v>
      </c>
      <c r="U55" s="489" t="s">
        <v>28</v>
      </c>
      <c r="V55" s="477" t="s">
        <v>28</v>
      </c>
    </row>
    <row r="56" spans="1:22" ht="12.6" customHeight="1">
      <c r="A56" s="2033" t="s">
        <v>63</v>
      </c>
      <c r="B56" s="472" t="s">
        <v>64</v>
      </c>
      <c r="C56" s="490">
        <v>4</v>
      </c>
      <c r="D56" s="490">
        <v>4</v>
      </c>
      <c r="E56" s="490" t="s">
        <v>28</v>
      </c>
      <c r="F56" s="490">
        <v>2</v>
      </c>
      <c r="G56" s="490" t="s">
        <v>28</v>
      </c>
      <c r="H56" s="490">
        <v>1</v>
      </c>
      <c r="I56" s="490" t="s">
        <v>28</v>
      </c>
      <c r="J56" s="490" t="s">
        <v>28</v>
      </c>
      <c r="K56" s="478" t="s">
        <v>28</v>
      </c>
      <c r="L56" s="478" t="s">
        <v>28</v>
      </c>
      <c r="M56" s="478">
        <v>1</v>
      </c>
      <c r="N56" s="478" t="s">
        <v>28</v>
      </c>
      <c r="O56" s="478" t="s">
        <v>28</v>
      </c>
      <c r="P56" s="478" t="s">
        <v>28</v>
      </c>
      <c r="Q56" s="478" t="s">
        <v>28</v>
      </c>
      <c r="R56" s="478" t="s">
        <v>28</v>
      </c>
      <c r="S56" s="478" t="s">
        <v>28</v>
      </c>
      <c r="T56" s="490" t="s">
        <v>28</v>
      </c>
      <c r="U56" s="490" t="s">
        <v>28</v>
      </c>
      <c r="V56" s="479" t="s">
        <v>28</v>
      </c>
    </row>
    <row r="57" spans="1:22" ht="12.6" customHeight="1">
      <c r="A57" s="2036" t="s">
        <v>875</v>
      </c>
      <c r="B57" s="475" t="s">
        <v>876</v>
      </c>
      <c r="C57" s="489">
        <v>4</v>
      </c>
      <c r="D57" s="489">
        <v>4</v>
      </c>
      <c r="E57" s="489" t="s">
        <v>28</v>
      </c>
      <c r="F57" s="489">
        <v>2</v>
      </c>
      <c r="G57" s="489" t="s">
        <v>28</v>
      </c>
      <c r="H57" s="489">
        <v>1</v>
      </c>
      <c r="I57" s="489" t="s">
        <v>28</v>
      </c>
      <c r="J57" s="489" t="s">
        <v>28</v>
      </c>
      <c r="K57" s="476" t="s">
        <v>28</v>
      </c>
      <c r="L57" s="476" t="s">
        <v>28</v>
      </c>
      <c r="M57" s="476">
        <v>1</v>
      </c>
      <c r="N57" s="476" t="s">
        <v>28</v>
      </c>
      <c r="O57" s="476" t="s">
        <v>28</v>
      </c>
      <c r="P57" s="476" t="s">
        <v>28</v>
      </c>
      <c r="Q57" s="476" t="s">
        <v>28</v>
      </c>
      <c r="R57" s="476" t="s">
        <v>28</v>
      </c>
      <c r="S57" s="476" t="s">
        <v>28</v>
      </c>
      <c r="T57" s="489" t="s">
        <v>28</v>
      </c>
      <c r="U57" s="489" t="s">
        <v>28</v>
      </c>
      <c r="V57" s="477" t="s">
        <v>28</v>
      </c>
    </row>
    <row r="58" spans="1:22" ht="12.6" customHeight="1" thickBot="1">
      <c r="A58" s="2036" t="s">
        <v>877</v>
      </c>
      <c r="B58" s="475" t="s">
        <v>878</v>
      </c>
      <c r="C58" s="489" t="s">
        <v>28</v>
      </c>
      <c r="D58" s="489" t="s">
        <v>28</v>
      </c>
      <c r="E58" s="489" t="s">
        <v>28</v>
      </c>
      <c r="F58" s="489" t="s">
        <v>28</v>
      </c>
      <c r="G58" s="489" t="s">
        <v>28</v>
      </c>
      <c r="H58" s="489" t="s">
        <v>28</v>
      </c>
      <c r="I58" s="489" t="s">
        <v>28</v>
      </c>
      <c r="J58" s="489" t="s">
        <v>28</v>
      </c>
      <c r="K58" s="482" t="s">
        <v>28</v>
      </c>
      <c r="L58" s="482" t="s">
        <v>28</v>
      </c>
      <c r="M58" s="482" t="s">
        <v>28</v>
      </c>
      <c r="N58" s="482" t="s">
        <v>28</v>
      </c>
      <c r="O58" s="476" t="s">
        <v>28</v>
      </c>
      <c r="P58" s="476" t="s">
        <v>28</v>
      </c>
      <c r="Q58" s="476" t="s">
        <v>28</v>
      </c>
      <c r="R58" s="482" t="s">
        <v>28</v>
      </c>
      <c r="S58" s="476" t="s">
        <v>28</v>
      </c>
      <c r="T58" s="489" t="s">
        <v>28</v>
      </c>
      <c r="U58" s="489" t="s">
        <v>28</v>
      </c>
      <c r="V58" s="483" t="s">
        <v>28</v>
      </c>
    </row>
    <row r="59" spans="1:22" ht="90.75" customHeight="1">
      <c r="A59" s="1451" t="s">
        <v>1262</v>
      </c>
      <c r="B59" s="1451"/>
      <c r="C59" s="1451"/>
      <c r="D59" s="1451"/>
      <c r="E59" s="1451"/>
      <c r="F59" s="1451"/>
      <c r="G59" s="1451"/>
      <c r="H59" s="1451"/>
      <c r="I59" s="1451"/>
      <c r="J59" s="1451"/>
      <c r="K59" s="1451"/>
      <c r="L59" s="1452" t="s">
        <v>1286</v>
      </c>
      <c r="M59" s="1452"/>
      <c r="N59" s="1452"/>
      <c r="O59" s="1452"/>
      <c r="P59" s="1452"/>
      <c r="Q59" s="1452"/>
      <c r="R59" s="1452"/>
      <c r="S59" s="1452"/>
      <c r="T59" s="1452"/>
      <c r="U59" s="1452"/>
      <c r="V59" s="1452"/>
    </row>
    <row r="60" spans="1:22">
      <c r="A60" s="498"/>
      <c r="B60" s="498"/>
      <c r="C60" s="498"/>
      <c r="D60" s="498"/>
      <c r="E60" s="498"/>
      <c r="F60" s="498"/>
      <c r="G60" s="498"/>
      <c r="H60" s="498"/>
      <c r="I60" s="498"/>
      <c r="J60" s="498"/>
      <c r="K60" s="498"/>
      <c r="M60" s="498"/>
      <c r="N60" s="498"/>
      <c r="O60" s="498"/>
      <c r="P60" s="498"/>
      <c r="Q60" s="498"/>
      <c r="R60" s="498"/>
      <c r="S60" s="498"/>
      <c r="T60" s="498"/>
      <c r="U60" s="498"/>
      <c r="V60" s="498"/>
    </row>
    <row r="61" spans="1:22">
      <c r="A61" s="498"/>
      <c r="B61" s="498"/>
      <c r="C61" s="498"/>
      <c r="D61" s="498"/>
      <c r="E61" s="498"/>
      <c r="F61" s="498"/>
      <c r="G61" s="498"/>
      <c r="H61" s="498"/>
      <c r="I61" s="498"/>
      <c r="J61" s="498"/>
      <c r="K61" s="498"/>
      <c r="M61" s="498"/>
      <c r="N61" s="498"/>
      <c r="O61" s="498"/>
      <c r="P61" s="498"/>
      <c r="Q61" s="498"/>
      <c r="R61" s="498"/>
      <c r="S61" s="498"/>
      <c r="T61" s="498"/>
      <c r="U61" s="498"/>
      <c r="V61" s="498"/>
    </row>
    <row r="64" spans="1:22">
      <c r="A64" s="495"/>
      <c r="B64" s="496"/>
      <c r="C64" s="496"/>
      <c r="D64" s="496"/>
    </row>
    <row r="65" spans="1:4">
      <c r="A65" s="499"/>
      <c r="B65" s="496"/>
      <c r="C65" s="496"/>
      <c r="D65" s="496"/>
    </row>
    <row r="66" spans="1:4">
      <c r="A66" s="496"/>
      <c r="B66" s="496"/>
      <c r="C66" s="496"/>
      <c r="D66" s="496"/>
    </row>
    <row r="67" spans="1:4">
      <c r="A67" s="496"/>
      <c r="B67" s="496"/>
      <c r="C67" s="496"/>
      <c r="D67" s="496"/>
    </row>
    <row r="68" spans="1:4">
      <c r="A68" s="339"/>
      <c r="B68" s="339"/>
      <c r="C68" s="339"/>
      <c r="D68" s="339"/>
    </row>
  </sheetData>
  <mergeCells count="19">
    <mergeCell ref="A28:K28"/>
    <mergeCell ref="A5:B7"/>
    <mergeCell ref="C5:C7"/>
    <mergeCell ref="A8:B8"/>
    <mergeCell ref="L12:V12"/>
    <mergeCell ref="L28:V28"/>
    <mergeCell ref="A59:K59"/>
    <mergeCell ref="A2:K2"/>
    <mergeCell ref="L2:V2"/>
    <mergeCell ref="A4:L4"/>
    <mergeCell ref="M4:V4"/>
    <mergeCell ref="L59:V59"/>
    <mergeCell ref="L3:V3"/>
    <mergeCell ref="L5:V5"/>
    <mergeCell ref="L6:V6"/>
    <mergeCell ref="D6:K6"/>
    <mergeCell ref="D5:K5"/>
    <mergeCell ref="A3:K3"/>
    <mergeCell ref="A12:K12"/>
  </mergeCells>
  <phoneticPr fontId="18" type="noConversion"/>
  <hyperlinks>
    <hyperlink ref="A1" location="목록!A1" display="목록!A1" xr:uid="{97FD49B6-CD01-484F-A2C1-E79ADD74B5C0}"/>
  </hyperlinks>
  <printOptions horizontalCentered="1"/>
  <pageMargins left="0.59055118110236227" right="0.59055118110236227" top="0.78740157480314965" bottom="0.39370078740157483" header="0.62992125984251968" footer="0.39370078740157483"/>
  <pageSetup paperSize="9" scale="87" orientation="portrait" r:id="rId1"/>
  <rowBreaks count="1" manualBreakCount="1">
    <brk id="59" max="21" man="1"/>
  </rowBreaks>
  <colBreaks count="1" manualBreakCount="1">
    <brk id="11" min="1" max="58" man="1"/>
  </colBreaks>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9"/>
  <dimension ref="A1:W68"/>
  <sheetViews>
    <sheetView showGridLines="0" showWhiteSpace="0" view="pageBreakPreview" zoomScaleNormal="100" zoomScaleSheetLayoutView="100" workbookViewId="0">
      <selection activeCell="A2" sqref="A2:W59"/>
    </sheetView>
  </sheetViews>
  <sheetFormatPr defaultColWidth="8" defaultRowHeight="16.5"/>
  <cols>
    <col min="1" max="1" width="7.109375" style="497" customWidth="1"/>
    <col min="2" max="2" width="9" style="497" customWidth="1"/>
    <col min="3" max="3" width="6.77734375" style="497" customWidth="1"/>
    <col min="4" max="5" width="7.109375" style="497" customWidth="1"/>
    <col min="6" max="7" width="6.6640625" style="497" customWidth="1"/>
    <col min="8" max="9" width="7.109375" style="497" customWidth="1"/>
    <col min="10" max="10" width="8.21875" style="497" customWidth="1"/>
    <col min="11" max="11" width="7.109375" style="497" customWidth="1"/>
    <col min="12" max="12" width="6.109375" style="498" customWidth="1"/>
    <col min="13" max="14" width="6.109375" style="497" customWidth="1"/>
    <col min="15" max="15" width="6.33203125" style="497" customWidth="1"/>
    <col min="16" max="16" width="6.109375" style="497" customWidth="1"/>
    <col min="17" max="17" width="7" style="497" customWidth="1"/>
    <col min="18" max="18" width="6.77734375" style="497" customWidth="1"/>
    <col min="19" max="19" width="7" style="497" customWidth="1"/>
    <col min="20" max="20" width="6.77734375" style="497" customWidth="1"/>
    <col min="21" max="21" width="6.5546875" style="497" customWidth="1"/>
    <col min="22" max="22" width="7" style="497" customWidth="1"/>
    <col min="23" max="23" width="6.109375" style="498" customWidth="1"/>
    <col min="24" max="16384" width="8" style="59"/>
  </cols>
  <sheetData>
    <row r="1" spans="1:23" ht="22.5">
      <c r="A1" s="901" t="s">
        <v>1332</v>
      </c>
    </row>
    <row r="2" spans="1:23" s="501" customFormat="1" ht="13.5" customHeight="1">
      <c r="A2" s="1449" t="s">
        <v>1191</v>
      </c>
      <c r="B2" s="1449"/>
      <c r="C2" s="1449"/>
      <c r="D2" s="1449"/>
      <c r="E2" s="1449"/>
      <c r="F2" s="1449"/>
      <c r="G2" s="1449"/>
      <c r="H2" s="1449"/>
      <c r="I2" s="1449"/>
      <c r="J2" s="1449"/>
      <c r="K2" s="1449"/>
      <c r="L2" s="1427" t="s">
        <v>1192</v>
      </c>
      <c r="M2" s="1427"/>
      <c r="N2" s="1427"/>
      <c r="O2" s="1427"/>
      <c r="P2" s="1427"/>
      <c r="Q2" s="1427"/>
      <c r="R2" s="1427"/>
      <c r="S2" s="1427"/>
      <c r="T2" s="1427"/>
      <c r="U2" s="1427"/>
      <c r="V2" s="1427"/>
      <c r="W2" s="1427"/>
    </row>
    <row r="3" spans="1:23" s="502" customFormat="1" ht="22.5" customHeight="1">
      <c r="A3" s="1436" t="s">
        <v>903</v>
      </c>
      <c r="B3" s="1436"/>
      <c r="C3" s="1436"/>
      <c r="D3" s="1436"/>
      <c r="E3" s="1436"/>
      <c r="F3" s="1436"/>
      <c r="G3" s="1436"/>
      <c r="H3" s="1436"/>
      <c r="I3" s="1436"/>
      <c r="J3" s="1436"/>
      <c r="K3" s="1436"/>
      <c r="L3" s="1436" t="s">
        <v>902</v>
      </c>
      <c r="M3" s="1436"/>
      <c r="N3" s="1436"/>
      <c r="O3" s="1436"/>
      <c r="P3" s="1436"/>
      <c r="Q3" s="1436"/>
      <c r="R3" s="1436"/>
      <c r="S3" s="1436"/>
      <c r="T3" s="1436"/>
      <c r="U3" s="1436"/>
      <c r="V3" s="1436"/>
      <c r="W3" s="1436"/>
    </row>
    <row r="4" spans="1:23" ht="8.25" customHeight="1" thickBot="1">
      <c r="A4" s="1437"/>
      <c r="B4" s="1437"/>
      <c r="C4" s="1437"/>
      <c r="D4" s="1437"/>
      <c r="E4" s="1437"/>
      <c r="F4" s="1437"/>
      <c r="G4" s="1437"/>
      <c r="H4" s="1437"/>
      <c r="I4" s="1437"/>
      <c r="J4" s="1437"/>
      <c r="K4" s="1437"/>
      <c r="L4" s="1437"/>
      <c r="M4" s="1437"/>
      <c r="N4" s="1437"/>
      <c r="O4" s="1437"/>
      <c r="P4" s="1437"/>
      <c r="Q4" s="1437"/>
      <c r="R4" s="1437"/>
      <c r="S4" s="1437"/>
      <c r="T4" s="1437"/>
      <c r="U4" s="1437"/>
      <c r="V4" s="1437"/>
      <c r="W4" s="1437"/>
    </row>
    <row r="5" spans="1:23" ht="12" customHeight="1">
      <c r="A5" s="1429" t="s">
        <v>668</v>
      </c>
      <c r="B5" s="1430"/>
      <c r="C5" s="1441" t="s">
        <v>874</v>
      </c>
      <c r="D5" s="1429"/>
      <c r="E5" s="1429"/>
      <c r="F5" s="1429"/>
      <c r="G5" s="1429"/>
      <c r="H5" s="1429"/>
      <c r="I5" s="1429"/>
      <c r="J5" s="1429"/>
      <c r="K5" s="1429"/>
      <c r="L5" s="1429" t="s">
        <v>1003</v>
      </c>
      <c r="M5" s="1429"/>
      <c r="N5" s="1429"/>
      <c r="O5" s="1429"/>
      <c r="P5" s="1430"/>
      <c r="Q5" s="1460" t="s">
        <v>879</v>
      </c>
      <c r="R5" s="1462" t="s">
        <v>872</v>
      </c>
      <c r="S5" s="1456" t="s">
        <v>835</v>
      </c>
      <c r="T5" s="1457"/>
      <c r="U5" s="1457"/>
      <c r="V5" s="1457"/>
      <c r="W5" s="1457"/>
    </row>
    <row r="6" spans="1:23" ht="12" customHeight="1">
      <c r="A6" s="2031"/>
      <c r="B6" s="1431"/>
      <c r="C6" s="1442" t="s">
        <v>880</v>
      </c>
      <c r="D6" s="1443"/>
      <c r="E6" s="1443"/>
      <c r="F6" s="1443"/>
      <c r="G6" s="1443"/>
      <c r="H6" s="1443"/>
      <c r="I6" s="1443"/>
      <c r="J6" s="1443"/>
      <c r="K6" s="1443"/>
      <c r="L6" s="1443" t="s">
        <v>1004</v>
      </c>
      <c r="M6" s="1443"/>
      <c r="N6" s="1443"/>
      <c r="O6" s="1443"/>
      <c r="P6" s="1448"/>
      <c r="Q6" s="1461"/>
      <c r="R6" s="2056"/>
      <c r="S6" s="1454" t="s">
        <v>836</v>
      </c>
      <c r="T6" s="1455"/>
      <c r="U6" s="1455"/>
      <c r="V6" s="1455"/>
      <c r="W6" s="1455"/>
    </row>
    <row r="7" spans="1:23" s="506" customFormat="1" ht="30" customHeight="1">
      <c r="A7" s="2031"/>
      <c r="B7" s="1431"/>
      <c r="C7" s="467" t="s">
        <v>883</v>
      </c>
      <c r="D7" s="985" t="s">
        <v>855</v>
      </c>
      <c r="E7" s="985" t="s">
        <v>856</v>
      </c>
      <c r="F7" s="985" t="s">
        <v>299</v>
      </c>
      <c r="G7" s="985" t="s">
        <v>300</v>
      </c>
      <c r="H7" s="985" t="s">
        <v>848</v>
      </c>
      <c r="I7" s="985" t="s">
        <v>837</v>
      </c>
      <c r="J7" s="985" t="s">
        <v>1002</v>
      </c>
      <c r="K7" s="574" t="s">
        <v>1103</v>
      </c>
      <c r="L7" s="575" t="s">
        <v>1007</v>
      </c>
      <c r="M7" s="467" t="s">
        <v>857</v>
      </c>
      <c r="N7" s="467" t="s">
        <v>1008</v>
      </c>
      <c r="O7" s="467" t="s">
        <v>301</v>
      </c>
      <c r="P7" s="467" t="s">
        <v>859</v>
      </c>
      <c r="Q7" s="1458" t="s">
        <v>881</v>
      </c>
      <c r="R7" s="1458" t="s">
        <v>838</v>
      </c>
      <c r="S7" s="990" t="s">
        <v>870</v>
      </c>
      <c r="T7" s="990" t="s">
        <v>167</v>
      </c>
      <c r="U7" s="990" t="s">
        <v>168</v>
      </c>
      <c r="V7" s="990" t="s">
        <v>169</v>
      </c>
      <c r="W7" s="576" t="s">
        <v>148</v>
      </c>
    </row>
    <row r="8" spans="1:23" s="533" customFormat="1" ht="43.5" customHeight="1">
      <c r="A8" s="2055" t="s">
        <v>7</v>
      </c>
      <c r="B8" s="1450"/>
      <c r="C8" s="989" t="s">
        <v>288</v>
      </c>
      <c r="D8" s="989" t="s">
        <v>705</v>
      </c>
      <c r="E8" s="989" t="s">
        <v>706</v>
      </c>
      <c r="F8" s="989" t="s">
        <v>707</v>
      </c>
      <c r="G8" s="989" t="s">
        <v>839</v>
      </c>
      <c r="H8" s="989" t="s">
        <v>851</v>
      </c>
      <c r="I8" s="989" t="s">
        <v>1258</v>
      </c>
      <c r="J8" s="512" t="s">
        <v>1006</v>
      </c>
      <c r="K8" s="577" t="s">
        <v>1104</v>
      </c>
      <c r="L8" s="578" t="s">
        <v>1005</v>
      </c>
      <c r="M8" s="513" t="s">
        <v>861</v>
      </c>
      <c r="N8" s="513" t="s">
        <v>862</v>
      </c>
      <c r="O8" s="513" t="s">
        <v>710</v>
      </c>
      <c r="P8" s="513" t="s">
        <v>865</v>
      </c>
      <c r="Q8" s="2057"/>
      <c r="R8" s="1459"/>
      <c r="S8" s="579" t="s">
        <v>840</v>
      </c>
      <c r="T8" s="579" t="s">
        <v>841</v>
      </c>
      <c r="U8" s="579" t="s">
        <v>842</v>
      </c>
      <c r="V8" s="579" t="s">
        <v>843</v>
      </c>
      <c r="W8" s="580" t="s">
        <v>150</v>
      </c>
    </row>
    <row r="9" spans="1:23" ht="10.5" customHeight="1">
      <c r="A9" s="536" t="s">
        <v>27</v>
      </c>
      <c r="B9" s="537" t="s">
        <v>16</v>
      </c>
      <c r="C9" s="524">
        <v>19</v>
      </c>
      <c r="D9" s="524">
        <v>1</v>
      </c>
      <c r="E9" s="524">
        <v>1</v>
      </c>
      <c r="F9" s="524">
        <v>4</v>
      </c>
      <c r="G9" s="524">
        <v>5</v>
      </c>
      <c r="H9" s="524" t="s">
        <v>28</v>
      </c>
      <c r="I9" s="524">
        <v>3</v>
      </c>
      <c r="J9" s="524" t="s">
        <v>28</v>
      </c>
      <c r="K9" s="581" t="s">
        <v>28</v>
      </c>
      <c r="L9" s="582" t="s">
        <v>28</v>
      </c>
      <c r="M9" s="473">
        <v>2</v>
      </c>
      <c r="N9" s="473" t="s">
        <v>28</v>
      </c>
      <c r="O9" s="473">
        <v>1</v>
      </c>
      <c r="P9" s="473" t="s">
        <v>28</v>
      </c>
      <c r="Q9" s="524">
        <v>1</v>
      </c>
      <c r="R9" s="524" t="s">
        <v>28</v>
      </c>
      <c r="S9" s="524">
        <v>1</v>
      </c>
      <c r="T9" s="473" t="s">
        <v>28</v>
      </c>
      <c r="U9" s="524" t="s">
        <v>28</v>
      </c>
      <c r="V9" s="473" t="s">
        <v>28</v>
      </c>
      <c r="W9" s="525">
        <v>2</v>
      </c>
    </row>
    <row r="10" spans="1:23" ht="10.5" customHeight="1">
      <c r="A10" s="2036" t="s">
        <v>29</v>
      </c>
      <c r="B10" s="475" t="s">
        <v>30</v>
      </c>
      <c r="C10" s="489">
        <v>19</v>
      </c>
      <c r="D10" s="489">
        <v>1</v>
      </c>
      <c r="E10" s="489">
        <v>1</v>
      </c>
      <c r="F10" s="489">
        <v>4</v>
      </c>
      <c r="G10" s="489">
        <v>5</v>
      </c>
      <c r="H10" s="489" t="s">
        <v>28</v>
      </c>
      <c r="I10" s="489">
        <v>3</v>
      </c>
      <c r="J10" s="489" t="s">
        <v>28</v>
      </c>
      <c r="K10" s="527" t="s">
        <v>28</v>
      </c>
      <c r="L10" s="583" t="s">
        <v>28</v>
      </c>
      <c r="M10" s="476">
        <v>2</v>
      </c>
      <c r="N10" s="476" t="s">
        <v>28</v>
      </c>
      <c r="O10" s="476">
        <v>1</v>
      </c>
      <c r="P10" s="476" t="s">
        <v>28</v>
      </c>
      <c r="Q10" s="489">
        <v>1</v>
      </c>
      <c r="R10" s="489" t="s">
        <v>28</v>
      </c>
      <c r="S10" s="489">
        <v>1</v>
      </c>
      <c r="T10" s="476" t="s">
        <v>28</v>
      </c>
      <c r="U10" s="489" t="s">
        <v>28</v>
      </c>
      <c r="V10" s="476" t="s">
        <v>28</v>
      </c>
      <c r="W10" s="2048">
        <v>2</v>
      </c>
    </row>
    <row r="11" spans="1:23" ht="10.5" customHeight="1" thickBot="1">
      <c r="A11" s="493" t="s">
        <v>31</v>
      </c>
      <c r="B11" s="494" t="s">
        <v>32</v>
      </c>
      <c r="C11" s="491" t="s">
        <v>28</v>
      </c>
      <c r="D11" s="491" t="s">
        <v>28</v>
      </c>
      <c r="E11" s="491" t="s">
        <v>28</v>
      </c>
      <c r="F11" s="491" t="s">
        <v>28</v>
      </c>
      <c r="G11" s="491" t="s">
        <v>28</v>
      </c>
      <c r="H11" s="491" t="s">
        <v>28</v>
      </c>
      <c r="I11" s="491" t="s">
        <v>28</v>
      </c>
      <c r="J11" s="491" t="s">
        <v>28</v>
      </c>
      <c r="K11" s="531" t="s">
        <v>28</v>
      </c>
      <c r="L11" s="532" t="s">
        <v>28</v>
      </c>
      <c r="M11" s="482" t="s">
        <v>28</v>
      </c>
      <c r="N11" s="482" t="s">
        <v>28</v>
      </c>
      <c r="O11" s="482" t="s">
        <v>28</v>
      </c>
      <c r="P11" s="482" t="s">
        <v>28</v>
      </c>
      <c r="Q11" s="491" t="s">
        <v>28</v>
      </c>
      <c r="R11" s="491" t="s">
        <v>28</v>
      </c>
      <c r="S11" s="491" t="s">
        <v>28</v>
      </c>
      <c r="T11" s="482" t="s">
        <v>28</v>
      </c>
      <c r="U11" s="491" t="s">
        <v>28</v>
      </c>
      <c r="V11" s="482" t="s">
        <v>28</v>
      </c>
      <c r="W11" s="584" t="s">
        <v>28</v>
      </c>
    </row>
    <row r="12" spans="1:23" ht="10.5" customHeight="1" thickBot="1">
      <c r="A12" s="2042" t="s">
        <v>846</v>
      </c>
      <c r="B12" s="2042"/>
      <c r="C12" s="2042"/>
      <c r="D12" s="2042"/>
      <c r="E12" s="2042"/>
      <c r="F12" s="2042"/>
      <c r="G12" s="2042"/>
      <c r="H12" s="2042"/>
      <c r="I12" s="2042"/>
      <c r="J12" s="2042"/>
      <c r="K12" s="2042"/>
      <c r="L12" s="2042" t="s">
        <v>646</v>
      </c>
      <c r="M12" s="2042"/>
      <c r="N12" s="2042"/>
      <c r="O12" s="2042"/>
      <c r="P12" s="2042"/>
      <c r="Q12" s="2042"/>
      <c r="R12" s="2042"/>
      <c r="S12" s="2042"/>
      <c r="T12" s="2042"/>
      <c r="U12" s="2042"/>
      <c r="V12" s="2042"/>
      <c r="W12" s="2042"/>
    </row>
    <row r="13" spans="1:23" ht="10.5" customHeight="1">
      <c r="A13" s="484" t="s">
        <v>35</v>
      </c>
      <c r="B13" s="485" t="s">
        <v>36</v>
      </c>
      <c r="C13" s="486">
        <v>2</v>
      </c>
      <c r="D13" s="486" t="s">
        <v>28</v>
      </c>
      <c r="E13" s="486" t="s">
        <v>28</v>
      </c>
      <c r="F13" s="486" t="s">
        <v>28</v>
      </c>
      <c r="G13" s="486" t="s">
        <v>28</v>
      </c>
      <c r="H13" s="486" t="s">
        <v>28</v>
      </c>
      <c r="I13" s="486">
        <v>1</v>
      </c>
      <c r="J13" s="486" t="s">
        <v>28</v>
      </c>
      <c r="K13" s="585" t="s">
        <v>28</v>
      </c>
      <c r="L13" s="586" t="s">
        <v>28</v>
      </c>
      <c r="M13" s="486" t="s">
        <v>28</v>
      </c>
      <c r="N13" s="486" t="s">
        <v>28</v>
      </c>
      <c r="O13" s="486" t="s">
        <v>28</v>
      </c>
      <c r="P13" s="486" t="s">
        <v>28</v>
      </c>
      <c r="Q13" s="486" t="s">
        <v>28</v>
      </c>
      <c r="R13" s="486" t="s">
        <v>28</v>
      </c>
      <c r="S13" s="486" t="s">
        <v>28</v>
      </c>
      <c r="T13" s="486" t="s">
        <v>28</v>
      </c>
      <c r="U13" s="486" t="s">
        <v>28</v>
      </c>
      <c r="V13" s="486" t="s">
        <v>28</v>
      </c>
      <c r="W13" s="488" t="s">
        <v>28</v>
      </c>
    </row>
    <row r="14" spans="1:23" ht="10.5" customHeight="1">
      <c r="A14" s="2036" t="s">
        <v>29</v>
      </c>
      <c r="B14" s="475" t="s">
        <v>30</v>
      </c>
      <c r="C14" s="489">
        <v>2</v>
      </c>
      <c r="D14" s="489" t="s">
        <v>28</v>
      </c>
      <c r="E14" s="489" t="s">
        <v>28</v>
      </c>
      <c r="F14" s="489" t="s">
        <v>28</v>
      </c>
      <c r="G14" s="489" t="s">
        <v>28</v>
      </c>
      <c r="H14" s="489" t="s">
        <v>28</v>
      </c>
      <c r="I14" s="489">
        <v>1</v>
      </c>
      <c r="J14" s="489" t="s">
        <v>28</v>
      </c>
      <c r="K14" s="587" t="s">
        <v>28</v>
      </c>
      <c r="L14" s="588" t="s">
        <v>28</v>
      </c>
      <c r="M14" s="489" t="s">
        <v>28</v>
      </c>
      <c r="N14" s="476" t="s">
        <v>28</v>
      </c>
      <c r="O14" s="489" t="s">
        <v>28</v>
      </c>
      <c r="P14" s="489" t="s">
        <v>28</v>
      </c>
      <c r="Q14" s="489" t="s">
        <v>28</v>
      </c>
      <c r="R14" s="489" t="s">
        <v>28</v>
      </c>
      <c r="S14" s="489" t="s">
        <v>28</v>
      </c>
      <c r="T14" s="476" t="s">
        <v>28</v>
      </c>
      <c r="U14" s="489" t="s">
        <v>28</v>
      </c>
      <c r="V14" s="476" t="s">
        <v>28</v>
      </c>
      <c r="W14" s="2048" t="s">
        <v>28</v>
      </c>
    </row>
    <row r="15" spans="1:23" ht="10.5" customHeight="1">
      <c r="A15" s="2036" t="s">
        <v>31</v>
      </c>
      <c r="B15" s="475" t="s">
        <v>32</v>
      </c>
      <c r="C15" s="489" t="s">
        <v>28</v>
      </c>
      <c r="D15" s="489" t="s">
        <v>28</v>
      </c>
      <c r="E15" s="489" t="s">
        <v>28</v>
      </c>
      <c r="F15" s="489" t="s">
        <v>28</v>
      </c>
      <c r="G15" s="489" t="s">
        <v>28</v>
      </c>
      <c r="H15" s="489" t="s">
        <v>28</v>
      </c>
      <c r="I15" s="489" t="s">
        <v>28</v>
      </c>
      <c r="J15" s="489" t="s">
        <v>28</v>
      </c>
      <c r="K15" s="587" t="s">
        <v>28</v>
      </c>
      <c r="L15" s="588" t="s">
        <v>28</v>
      </c>
      <c r="M15" s="489" t="s">
        <v>28</v>
      </c>
      <c r="N15" s="476" t="s">
        <v>28</v>
      </c>
      <c r="O15" s="489" t="s">
        <v>28</v>
      </c>
      <c r="P15" s="489" t="s">
        <v>28</v>
      </c>
      <c r="Q15" s="489" t="s">
        <v>28</v>
      </c>
      <c r="R15" s="489" t="s">
        <v>28</v>
      </c>
      <c r="S15" s="489" t="s">
        <v>28</v>
      </c>
      <c r="T15" s="476" t="s">
        <v>28</v>
      </c>
      <c r="U15" s="489" t="s">
        <v>28</v>
      </c>
      <c r="V15" s="476" t="s">
        <v>28</v>
      </c>
      <c r="W15" s="2048" t="s">
        <v>28</v>
      </c>
    </row>
    <row r="16" spans="1:23" ht="10.5" customHeight="1">
      <c r="A16" s="2033" t="s">
        <v>37</v>
      </c>
      <c r="B16" s="472" t="s">
        <v>38</v>
      </c>
      <c r="C16" s="490">
        <v>8</v>
      </c>
      <c r="D16" s="490" t="s">
        <v>28</v>
      </c>
      <c r="E16" s="490" t="s">
        <v>28</v>
      </c>
      <c r="F16" s="490">
        <v>1</v>
      </c>
      <c r="G16" s="490">
        <v>2</v>
      </c>
      <c r="H16" s="490" t="s">
        <v>28</v>
      </c>
      <c r="I16" s="490" t="s">
        <v>28</v>
      </c>
      <c r="J16" s="490" t="s">
        <v>28</v>
      </c>
      <c r="K16" s="589" t="s">
        <v>28</v>
      </c>
      <c r="L16" s="590" t="s">
        <v>28</v>
      </c>
      <c r="M16" s="490">
        <v>1</v>
      </c>
      <c r="N16" s="490" t="s">
        <v>28</v>
      </c>
      <c r="O16" s="490" t="s">
        <v>28</v>
      </c>
      <c r="P16" s="490" t="s">
        <v>28</v>
      </c>
      <c r="Q16" s="490">
        <v>1</v>
      </c>
      <c r="R16" s="490" t="s">
        <v>28</v>
      </c>
      <c r="S16" s="490">
        <v>1</v>
      </c>
      <c r="T16" s="490" t="s">
        <v>28</v>
      </c>
      <c r="U16" s="490" t="s">
        <v>28</v>
      </c>
      <c r="V16" s="490" t="s">
        <v>28</v>
      </c>
      <c r="W16" s="2043" t="s">
        <v>28</v>
      </c>
    </row>
    <row r="17" spans="1:23" ht="10.5" customHeight="1">
      <c r="A17" s="2036" t="s">
        <v>29</v>
      </c>
      <c r="B17" s="475" t="s">
        <v>30</v>
      </c>
      <c r="C17" s="489">
        <v>8</v>
      </c>
      <c r="D17" s="489" t="s">
        <v>28</v>
      </c>
      <c r="E17" s="489" t="s">
        <v>28</v>
      </c>
      <c r="F17" s="489">
        <v>1</v>
      </c>
      <c r="G17" s="489">
        <v>2</v>
      </c>
      <c r="H17" s="489" t="s">
        <v>28</v>
      </c>
      <c r="I17" s="489" t="s">
        <v>28</v>
      </c>
      <c r="J17" s="489" t="s">
        <v>28</v>
      </c>
      <c r="K17" s="587" t="s">
        <v>28</v>
      </c>
      <c r="L17" s="588" t="s">
        <v>28</v>
      </c>
      <c r="M17" s="489">
        <v>1</v>
      </c>
      <c r="N17" s="476" t="s">
        <v>28</v>
      </c>
      <c r="O17" s="489" t="s">
        <v>28</v>
      </c>
      <c r="P17" s="489" t="s">
        <v>28</v>
      </c>
      <c r="Q17" s="489">
        <v>1</v>
      </c>
      <c r="R17" s="489" t="s">
        <v>28</v>
      </c>
      <c r="S17" s="489">
        <v>1</v>
      </c>
      <c r="T17" s="476" t="s">
        <v>28</v>
      </c>
      <c r="U17" s="489" t="s">
        <v>28</v>
      </c>
      <c r="V17" s="476" t="s">
        <v>28</v>
      </c>
      <c r="W17" s="2048" t="s">
        <v>28</v>
      </c>
    </row>
    <row r="18" spans="1:23" ht="10.5" customHeight="1">
      <c r="A18" s="2036" t="s">
        <v>31</v>
      </c>
      <c r="B18" s="475" t="s">
        <v>32</v>
      </c>
      <c r="C18" s="489" t="s">
        <v>28</v>
      </c>
      <c r="D18" s="489" t="s">
        <v>28</v>
      </c>
      <c r="E18" s="489" t="s">
        <v>28</v>
      </c>
      <c r="F18" s="489" t="s">
        <v>28</v>
      </c>
      <c r="G18" s="489" t="s">
        <v>28</v>
      </c>
      <c r="H18" s="489" t="s">
        <v>28</v>
      </c>
      <c r="I18" s="489" t="s">
        <v>28</v>
      </c>
      <c r="J18" s="489" t="s">
        <v>28</v>
      </c>
      <c r="K18" s="587" t="s">
        <v>28</v>
      </c>
      <c r="L18" s="588" t="s">
        <v>28</v>
      </c>
      <c r="M18" s="489" t="s">
        <v>28</v>
      </c>
      <c r="N18" s="476" t="s">
        <v>28</v>
      </c>
      <c r="O18" s="489" t="s">
        <v>28</v>
      </c>
      <c r="P18" s="489" t="s">
        <v>28</v>
      </c>
      <c r="Q18" s="489" t="s">
        <v>28</v>
      </c>
      <c r="R18" s="489" t="s">
        <v>28</v>
      </c>
      <c r="S18" s="489" t="s">
        <v>28</v>
      </c>
      <c r="T18" s="476" t="s">
        <v>28</v>
      </c>
      <c r="U18" s="489" t="s">
        <v>28</v>
      </c>
      <c r="V18" s="476" t="s">
        <v>28</v>
      </c>
      <c r="W18" s="2048" t="s">
        <v>28</v>
      </c>
    </row>
    <row r="19" spans="1:23" ht="10.5" customHeight="1">
      <c r="A19" s="2033" t="s">
        <v>39</v>
      </c>
      <c r="B19" s="472" t="s">
        <v>40</v>
      </c>
      <c r="C19" s="490">
        <v>3</v>
      </c>
      <c r="D19" s="490" t="s">
        <v>28</v>
      </c>
      <c r="E19" s="490" t="s">
        <v>28</v>
      </c>
      <c r="F19" s="490">
        <v>3</v>
      </c>
      <c r="G19" s="490">
        <v>3</v>
      </c>
      <c r="H19" s="490" t="s">
        <v>28</v>
      </c>
      <c r="I19" s="490">
        <v>1</v>
      </c>
      <c r="J19" s="490" t="s">
        <v>28</v>
      </c>
      <c r="K19" s="589" t="s">
        <v>28</v>
      </c>
      <c r="L19" s="590" t="s">
        <v>28</v>
      </c>
      <c r="M19" s="490">
        <v>1</v>
      </c>
      <c r="N19" s="490" t="s">
        <v>28</v>
      </c>
      <c r="O19" s="490">
        <v>1</v>
      </c>
      <c r="P19" s="490" t="s">
        <v>28</v>
      </c>
      <c r="Q19" s="490" t="s">
        <v>28</v>
      </c>
      <c r="R19" s="490" t="s">
        <v>28</v>
      </c>
      <c r="S19" s="490" t="s">
        <v>28</v>
      </c>
      <c r="T19" s="490" t="s">
        <v>28</v>
      </c>
      <c r="U19" s="490" t="s">
        <v>28</v>
      </c>
      <c r="V19" s="490" t="s">
        <v>28</v>
      </c>
      <c r="W19" s="2043">
        <v>2</v>
      </c>
    </row>
    <row r="20" spans="1:23" ht="10.5" customHeight="1">
      <c r="A20" s="2036" t="s">
        <v>29</v>
      </c>
      <c r="B20" s="475" t="s">
        <v>30</v>
      </c>
      <c r="C20" s="489">
        <v>3</v>
      </c>
      <c r="D20" s="489" t="s">
        <v>28</v>
      </c>
      <c r="E20" s="489" t="s">
        <v>28</v>
      </c>
      <c r="F20" s="489">
        <v>3</v>
      </c>
      <c r="G20" s="489">
        <v>3</v>
      </c>
      <c r="H20" s="489" t="s">
        <v>28</v>
      </c>
      <c r="I20" s="489">
        <v>1</v>
      </c>
      <c r="J20" s="489" t="s">
        <v>28</v>
      </c>
      <c r="K20" s="587" t="s">
        <v>28</v>
      </c>
      <c r="L20" s="588" t="s">
        <v>28</v>
      </c>
      <c r="M20" s="489">
        <v>1</v>
      </c>
      <c r="N20" s="476" t="s">
        <v>28</v>
      </c>
      <c r="O20" s="489">
        <v>1</v>
      </c>
      <c r="P20" s="489" t="s">
        <v>28</v>
      </c>
      <c r="Q20" s="489" t="s">
        <v>28</v>
      </c>
      <c r="R20" s="489" t="s">
        <v>28</v>
      </c>
      <c r="S20" s="489" t="s">
        <v>28</v>
      </c>
      <c r="T20" s="476" t="s">
        <v>28</v>
      </c>
      <c r="U20" s="489" t="s">
        <v>28</v>
      </c>
      <c r="V20" s="476" t="s">
        <v>28</v>
      </c>
      <c r="W20" s="2048">
        <v>2</v>
      </c>
    </row>
    <row r="21" spans="1:23" ht="10.5" customHeight="1">
      <c r="A21" s="2036" t="s">
        <v>31</v>
      </c>
      <c r="B21" s="475" t="s">
        <v>32</v>
      </c>
      <c r="C21" s="489" t="s">
        <v>28</v>
      </c>
      <c r="D21" s="489" t="s">
        <v>28</v>
      </c>
      <c r="E21" s="489" t="s">
        <v>28</v>
      </c>
      <c r="F21" s="489" t="s">
        <v>28</v>
      </c>
      <c r="G21" s="489" t="s">
        <v>28</v>
      </c>
      <c r="H21" s="489" t="s">
        <v>28</v>
      </c>
      <c r="I21" s="489" t="s">
        <v>28</v>
      </c>
      <c r="J21" s="489" t="s">
        <v>28</v>
      </c>
      <c r="K21" s="587" t="s">
        <v>28</v>
      </c>
      <c r="L21" s="588" t="s">
        <v>28</v>
      </c>
      <c r="M21" s="489" t="s">
        <v>28</v>
      </c>
      <c r="N21" s="476" t="s">
        <v>28</v>
      </c>
      <c r="O21" s="489" t="s">
        <v>28</v>
      </c>
      <c r="P21" s="489" t="s">
        <v>28</v>
      </c>
      <c r="Q21" s="489" t="s">
        <v>28</v>
      </c>
      <c r="R21" s="489" t="s">
        <v>28</v>
      </c>
      <c r="S21" s="489" t="s">
        <v>28</v>
      </c>
      <c r="T21" s="476" t="s">
        <v>28</v>
      </c>
      <c r="U21" s="489" t="s">
        <v>28</v>
      </c>
      <c r="V21" s="476" t="s">
        <v>28</v>
      </c>
      <c r="W21" s="2048" t="s">
        <v>28</v>
      </c>
    </row>
    <row r="22" spans="1:23" ht="10.5" customHeight="1">
      <c r="A22" s="2033" t="s">
        <v>41</v>
      </c>
      <c r="B22" s="472" t="s">
        <v>42</v>
      </c>
      <c r="C22" s="490">
        <v>6</v>
      </c>
      <c r="D22" s="490">
        <v>1</v>
      </c>
      <c r="E22" s="490">
        <v>1</v>
      </c>
      <c r="F22" s="490" t="s">
        <v>28</v>
      </c>
      <c r="G22" s="490" t="s">
        <v>28</v>
      </c>
      <c r="H22" s="490" t="s">
        <v>28</v>
      </c>
      <c r="I22" s="490">
        <v>1</v>
      </c>
      <c r="J22" s="490" t="s">
        <v>28</v>
      </c>
      <c r="K22" s="589" t="s">
        <v>28</v>
      </c>
      <c r="L22" s="590" t="s">
        <v>28</v>
      </c>
      <c r="M22" s="490" t="s">
        <v>28</v>
      </c>
      <c r="N22" s="490" t="s">
        <v>28</v>
      </c>
      <c r="O22" s="490" t="s">
        <v>28</v>
      </c>
      <c r="P22" s="490" t="s">
        <v>28</v>
      </c>
      <c r="Q22" s="490" t="s">
        <v>28</v>
      </c>
      <c r="R22" s="490" t="s">
        <v>28</v>
      </c>
      <c r="S22" s="490" t="s">
        <v>28</v>
      </c>
      <c r="T22" s="490" t="s">
        <v>28</v>
      </c>
      <c r="U22" s="490" t="s">
        <v>28</v>
      </c>
      <c r="V22" s="490" t="s">
        <v>28</v>
      </c>
      <c r="W22" s="2043" t="s">
        <v>28</v>
      </c>
    </row>
    <row r="23" spans="1:23" ht="10.5" customHeight="1">
      <c r="A23" s="2036" t="s">
        <v>29</v>
      </c>
      <c r="B23" s="475" t="s">
        <v>30</v>
      </c>
      <c r="C23" s="489">
        <v>6</v>
      </c>
      <c r="D23" s="489">
        <v>1</v>
      </c>
      <c r="E23" s="489">
        <v>1</v>
      </c>
      <c r="F23" s="489" t="s">
        <v>28</v>
      </c>
      <c r="G23" s="489" t="s">
        <v>28</v>
      </c>
      <c r="H23" s="489" t="s">
        <v>28</v>
      </c>
      <c r="I23" s="489">
        <v>1</v>
      </c>
      <c r="J23" s="489" t="s">
        <v>28</v>
      </c>
      <c r="K23" s="587" t="s">
        <v>28</v>
      </c>
      <c r="L23" s="588" t="s">
        <v>28</v>
      </c>
      <c r="M23" s="489" t="s">
        <v>28</v>
      </c>
      <c r="N23" s="476" t="s">
        <v>28</v>
      </c>
      <c r="O23" s="489" t="s">
        <v>28</v>
      </c>
      <c r="P23" s="489" t="s">
        <v>28</v>
      </c>
      <c r="Q23" s="489" t="s">
        <v>28</v>
      </c>
      <c r="R23" s="489" t="s">
        <v>28</v>
      </c>
      <c r="S23" s="489" t="s">
        <v>28</v>
      </c>
      <c r="T23" s="476" t="s">
        <v>28</v>
      </c>
      <c r="U23" s="489" t="s">
        <v>28</v>
      </c>
      <c r="V23" s="476" t="s">
        <v>28</v>
      </c>
      <c r="W23" s="2048" t="s">
        <v>28</v>
      </c>
    </row>
    <row r="24" spans="1:23" ht="10.5" customHeight="1">
      <c r="A24" s="2036" t="s">
        <v>31</v>
      </c>
      <c r="B24" s="475" t="s">
        <v>32</v>
      </c>
      <c r="C24" s="489" t="s">
        <v>28</v>
      </c>
      <c r="D24" s="489" t="s">
        <v>28</v>
      </c>
      <c r="E24" s="489" t="s">
        <v>28</v>
      </c>
      <c r="F24" s="489" t="s">
        <v>28</v>
      </c>
      <c r="G24" s="489" t="s">
        <v>28</v>
      </c>
      <c r="H24" s="489" t="s">
        <v>28</v>
      </c>
      <c r="I24" s="489" t="s">
        <v>28</v>
      </c>
      <c r="J24" s="489" t="s">
        <v>28</v>
      </c>
      <c r="K24" s="587" t="s">
        <v>28</v>
      </c>
      <c r="L24" s="588" t="s">
        <v>28</v>
      </c>
      <c r="M24" s="489" t="s">
        <v>28</v>
      </c>
      <c r="N24" s="476" t="s">
        <v>28</v>
      </c>
      <c r="O24" s="489" t="s">
        <v>28</v>
      </c>
      <c r="P24" s="489" t="s">
        <v>28</v>
      </c>
      <c r="Q24" s="489" t="s">
        <v>28</v>
      </c>
      <c r="R24" s="489" t="s">
        <v>28</v>
      </c>
      <c r="S24" s="489" t="s">
        <v>28</v>
      </c>
      <c r="T24" s="476" t="s">
        <v>28</v>
      </c>
      <c r="U24" s="489" t="s">
        <v>28</v>
      </c>
      <c r="V24" s="476" t="s">
        <v>28</v>
      </c>
      <c r="W24" s="2048" t="s">
        <v>28</v>
      </c>
    </row>
    <row r="25" spans="1:23" ht="10.5" customHeight="1">
      <c r="A25" s="2033" t="s">
        <v>43</v>
      </c>
      <c r="B25" s="472" t="s">
        <v>44</v>
      </c>
      <c r="C25" s="490" t="s">
        <v>28</v>
      </c>
      <c r="D25" s="490" t="s">
        <v>28</v>
      </c>
      <c r="E25" s="490" t="s">
        <v>28</v>
      </c>
      <c r="F25" s="490" t="s">
        <v>28</v>
      </c>
      <c r="G25" s="490" t="s">
        <v>28</v>
      </c>
      <c r="H25" s="490" t="s">
        <v>28</v>
      </c>
      <c r="I25" s="490" t="s">
        <v>28</v>
      </c>
      <c r="J25" s="490" t="s">
        <v>28</v>
      </c>
      <c r="K25" s="589" t="s">
        <v>28</v>
      </c>
      <c r="L25" s="590" t="s">
        <v>28</v>
      </c>
      <c r="M25" s="490" t="s">
        <v>28</v>
      </c>
      <c r="N25" s="490" t="s">
        <v>28</v>
      </c>
      <c r="O25" s="490" t="s">
        <v>28</v>
      </c>
      <c r="P25" s="490" t="s">
        <v>28</v>
      </c>
      <c r="Q25" s="490" t="s">
        <v>28</v>
      </c>
      <c r="R25" s="490" t="s">
        <v>28</v>
      </c>
      <c r="S25" s="490" t="s">
        <v>28</v>
      </c>
      <c r="T25" s="490" t="s">
        <v>28</v>
      </c>
      <c r="U25" s="490" t="s">
        <v>28</v>
      </c>
      <c r="V25" s="490" t="s">
        <v>28</v>
      </c>
      <c r="W25" s="2043" t="s">
        <v>28</v>
      </c>
    </row>
    <row r="26" spans="1:23" ht="10.5" customHeight="1">
      <c r="A26" s="2036" t="s">
        <v>29</v>
      </c>
      <c r="B26" s="475" t="s">
        <v>30</v>
      </c>
      <c r="C26" s="489" t="s">
        <v>28</v>
      </c>
      <c r="D26" s="489" t="s">
        <v>28</v>
      </c>
      <c r="E26" s="489" t="s">
        <v>28</v>
      </c>
      <c r="F26" s="489" t="s">
        <v>28</v>
      </c>
      <c r="G26" s="489" t="s">
        <v>28</v>
      </c>
      <c r="H26" s="489" t="s">
        <v>28</v>
      </c>
      <c r="I26" s="489" t="s">
        <v>28</v>
      </c>
      <c r="J26" s="489" t="s">
        <v>28</v>
      </c>
      <c r="K26" s="587" t="s">
        <v>28</v>
      </c>
      <c r="L26" s="588" t="s">
        <v>28</v>
      </c>
      <c r="M26" s="489" t="s">
        <v>28</v>
      </c>
      <c r="N26" s="476" t="s">
        <v>28</v>
      </c>
      <c r="O26" s="489" t="s">
        <v>28</v>
      </c>
      <c r="P26" s="489" t="s">
        <v>28</v>
      </c>
      <c r="Q26" s="489" t="s">
        <v>28</v>
      </c>
      <c r="R26" s="489" t="s">
        <v>28</v>
      </c>
      <c r="S26" s="489" t="s">
        <v>28</v>
      </c>
      <c r="T26" s="476" t="s">
        <v>28</v>
      </c>
      <c r="U26" s="489" t="s">
        <v>28</v>
      </c>
      <c r="V26" s="476" t="s">
        <v>28</v>
      </c>
      <c r="W26" s="2048" t="s">
        <v>28</v>
      </c>
    </row>
    <row r="27" spans="1:23" ht="10.5" customHeight="1" thickBot="1">
      <c r="A27" s="2036" t="s">
        <v>31</v>
      </c>
      <c r="B27" s="475" t="s">
        <v>32</v>
      </c>
      <c r="C27" s="489" t="s">
        <v>28</v>
      </c>
      <c r="D27" s="489" t="s">
        <v>28</v>
      </c>
      <c r="E27" s="489" t="s">
        <v>28</v>
      </c>
      <c r="F27" s="489" t="s">
        <v>28</v>
      </c>
      <c r="G27" s="489" t="s">
        <v>28</v>
      </c>
      <c r="H27" s="489" t="s">
        <v>28</v>
      </c>
      <c r="I27" s="489" t="s">
        <v>28</v>
      </c>
      <c r="J27" s="489" t="s">
        <v>28</v>
      </c>
      <c r="K27" s="591" t="s">
        <v>28</v>
      </c>
      <c r="L27" s="592" t="s">
        <v>28</v>
      </c>
      <c r="M27" s="489" t="s">
        <v>28</v>
      </c>
      <c r="N27" s="482" t="s">
        <v>28</v>
      </c>
      <c r="O27" s="489" t="s">
        <v>28</v>
      </c>
      <c r="P27" s="489" t="s">
        <v>28</v>
      </c>
      <c r="Q27" s="489" t="s">
        <v>28</v>
      </c>
      <c r="R27" s="489" t="s">
        <v>28</v>
      </c>
      <c r="S27" s="489" t="s">
        <v>28</v>
      </c>
      <c r="T27" s="476" t="s">
        <v>28</v>
      </c>
      <c r="U27" s="489" t="s">
        <v>28</v>
      </c>
      <c r="V27" s="476" t="s">
        <v>28</v>
      </c>
      <c r="W27" s="2048" t="s">
        <v>28</v>
      </c>
    </row>
    <row r="28" spans="1:23" s="506" customFormat="1" ht="10.5" customHeight="1" thickBot="1">
      <c r="A28" s="1438" t="s">
        <v>80</v>
      </c>
      <c r="B28" s="1438"/>
      <c r="C28" s="1438"/>
      <c r="D28" s="1438"/>
      <c r="E28" s="1438"/>
      <c r="F28" s="1438"/>
      <c r="G28" s="1438"/>
      <c r="H28" s="1438"/>
      <c r="I28" s="1438"/>
      <c r="J28" s="1438"/>
      <c r="K28" s="1438"/>
      <c r="L28" s="1438" t="s">
        <v>882</v>
      </c>
      <c r="M28" s="1438"/>
      <c r="N28" s="1438"/>
      <c r="O28" s="1438"/>
      <c r="P28" s="1438"/>
      <c r="Q28" s="1438"/>
      <c r="R28" s="1438"/>
      <c r="S28" s="1438"/>
      <c r="T28" s="1438"/>
      <c r="U28" s="1438"/>
      <c r="V28" s="1438"/>
      <c r="W28" s="1438"/>
    </row>
    <row r="29" spans="1:23" ht="10.5" customHeight="1">
      <c r="A29" s="484" t="s">
        <v>47</v>
      </c>
      <c r="B29" s="485" t="s">
        <v>48</v>
      </c>
      <c r="C29" s="486">
        <v>2</v>
      </c>
      <c r="D29" s="486" t="s">
        <v>28</v>
      </c>
      <c r="E29" s="486" t="s">
        <v>28</v>
      </c>
      <c r="F29" s="486" t="s">
        <v>28</v>
      </c>
      <c r="G29" s="486" t="s">
        <v>28</v>
      </c>
      <c r="H29" s="486" t="s">
        <v>28</v>
      </c>
      <c r="I29" s="486" t="s">
        <v>28</v>
      </c>
      <c r="J29" s="486" t="s">
        <v>28</v>
      </c>
      <c r="K29" s="526" t="s">
        <v>28</v>
      </c>
      <c r="L29" s="2054" t="s">
        <v>28</v>
      </c>
      <c r="M29" s="492" t="s">
        <v>28</v>
      </c>
      <c r="N29" s="2054" t="s">
        <v>28</v>
      </c>
      <c r="O29" s="486" t="s">
        <v>28</v>
      </c>
      <c r="P29" s="486" t="s">
        <v>28</v>
      </c>
      <c r="Q29" s="486" t="s">
        <v>28</v>
      </c>
      <c r="R29" s="486" t="s">
        <v>28</v>
      </c>
      <c r="S29" s="486" t="s">
        <v>28</v>
      </c>
      <c r="T29" s="487" t="s">
        <v>28</v>
      </c>
      <c r="U29" s="486" t="s">
        <v>28</v>
      </c>
      <c r="V29" s="487" t="s">
        <v>28</v>
      </c>
      <c r="W29" s="488" t="s">
        <v>28</v>
      </c>
    </row>
    <row r="30" spans="1:23" ht="10.5" customHeight="1">
      <c r="A30" s="2036" t="s">
        <v>29</v>
      </c>
      <c r="B30" s="475" t="s">
        <v>30</v>
      </c>
      <c r="C30" s="489">
        <v>2</v>
      </c>
      <c r="D30" s="489" t="s">
        <v>28</v>
      </c>
      <c r="E30" s="489" t="s">
        <v>28</v>
      </c>
      <c r="F30" s="489" t="s">
        <v>28</v>
      </c>
      <c r="G30" s="489" t="s">
        <v>28</v>
      </c>
      <c r="H30" s="489" t="s">
        <v>28</v>
      </c>
      <c r="I30" s="489" t="s">
        <v>28</v>
      </c>
      <c r="J30" s="489" t="s">
        <v>28</v>
      </c>
      <c r="K30" s="527" t="s">
        <v>28</v>
      </c>
      <c r="L30" s="583" t="s">
        <v>28</v>
      </c>
      <c r="M30" s="477" t="s">
        <v>28</v>
      </c>
      <c r="N30" s="583" t="s">
        <v>28</v>
      </c>
      <c r="O30" s="489" t="s">
        <v>28</v>
      </c>
      <c r="P30" s="489" t="s">
        <v>28</v>
      </c>
      <c r="Q30" s="489" t="s">
        <v>28</v>
      </c>
      <c r="R30" s="489" t="s">
        <v>28</v>
      </c>
      <c r="S30" s="489" t="s">
        <v>28</v>
      </c>
      <c r="T30" s="476" t="s">
        <v>28</v>
      </c>
      <c r="U30" s="489" t="s">
        <v>28</v>
      </c>
      <c r="V30" s="476" t="s">
        <v>28</v>
      </c>
      <c r="W30" s="2048" t="s">
        <v>28</v>
      </c>
    </row>
    <row r="31" spans="1:23" ht="10.5" customHeight="1">
      <c r="A31" s="2036" t="s">
        <v>31</v>
      </c>
      <c r="B31" s="475" t="s">
        <v>32</v>
      </c>
      <c r="C31" s="489" t="s">
        <v>28</v>
      </c>
      <c r="D31" s="489" t="s">
        <v>28</v>
      </c>
      <c r="E31" s="489" t="s">
        <v>28</v>
      </c>
      <c r="F31" s="489" t="s">
        <v>28</v>
      </c>
      <c r="G31" s="489" t="s">
        <v>28</v>
      </c>
      <c r="H31" s="489" t="s">
        <v>28</v>
      </c>
      <c r="I31" s="489" t="s">
        <v>28</v>
      </c>
      <c r="J31" s="489" t="s">
        <v>28</v>
      </c>
      <c r="K31" s="527" t="s">
        <v>28</v>
      </c>
      <c r="L31" s="583" t="s">
        <v>28</v>
      </c>
      <c r="M31" s="477" t="s">
        <v>28</v>
      </c>
      <c r="N31" s="583" t="s">
        <v>28</v>
      </c>
      <c r="O31" s="489" t="s">
        <v>28</v>
      </c>
      <c r="P31" s="489" t="s">
        <v>28</v>
      </c>
      <c r="Q31" s="489" t="s">
        <v>28</v>
      </c>
      <c r="R31" s="489" t="s">
        <v>28</v>
      </c>
      <c r="S31" s="489" t="s">
        <v>28</v>
      </c>
      <c r="T31" s="476" t="s">
        <v>28</v>
      </c>
      <c r="U31" s="489" t="s">
        <v>28</v>
      </c>
      <c r="V31" s="476" t="s">
        <v>28</v>
      </c>
      <c r="W31" s="2048" t="s">
        <v>28</v>
      </c>
    </row>
    <row r="32" spans="1:23" ht="10.5" customHeight="1">
      <c r="A32" s="2033" t="s">
        <v>49</v>
      </c>
      <c r="B32" s="472" t="s">
        <v>50</v>
      </c>
      <c r="C32" s="490" t="s">
        <v>28</v>
      </c>
      <c r="D32" s="490" t="s">
        <v>28</v>
      </c>
      <c r="E32" s="490" t="s">
        <v>28</v>
      </c>
      <c r="F32" s="490" t="s">
        <v>28</v>
      </c>
      <c r="G32" s="490" t="s">
        <v>28</v>
      </c>
      <c r="H32" s="490" t="s">
        <v>28</v>
      </c>
      <c r="I32" s="490" t="s">
        <v>28</v>
      </c>
      <c r="J32" s="490" t="s">
        <v>28</v>
      </c>
      <c r="K32" s="529" t="s">
        <v>28</v>
      </c>
      <c r="L32" s="593" t="s">
        <v>28</v>
      </c>
      <c r="M32" s="479" t="s">
        <v>28</v>
      </c>
      <c r="N32" s="593" t="s">
        <v>28</v>
      </c>
      <c r="O32" s="490" t="s">
        <v>28</v>
      </c>
      <c r="P32" s="490" t="s">
        <v>28</v>
      </c>
      <c r="Q32" s="490" t="s">
        <v>28</v>
      </c>
      <c r="R32" s="490" t="s">
        <v>28</v>
      </c>
      <c r="S32" s="490" t="s">
        <v>28</v>
      </c>
      <c r="T32" s="478" t="s">
        <v>28</v>
      </c>
      <c r="U32" s="490" t="s">
        <v>28</v>
      </c>
      <c r="V32" s="478" t="s">
        <v>28</v>
      </c>
      <c r="W32" s="2043" t="s">
        <v>28</v>
      </c>
    </row>
    <row r="33" spans="1:23" ht="10.5" customHeight="1">
      <c r="A33" s="2036" t="s">
        <v>875</v>
      </c>
      <c r="B33" s="475" t="s">
        <v>876</v>
      </c>
      <c r="C33" s="489" t="s">
        <v>28</v>
      </c>
      <c r="D33" s="489" t="s">
        <v>28</v>
      </c>
      <c r="E33" s="489" t="s">
        <v>28</v>
      </c>
      <c r="F33" s="489" t="s">
        <v>28</v>
      </c>
      <c r="G33" s="489" t="s">
        <v>28</v>
      </c>
      <c r="H33" s="489" t="s">
        <v>28</v>
      </c>
      <c r="I33" s="489" t="s">
        <v>28</v>
      </c>
      <c r="J33" s="489" t="s">
        <v>28</v>
      </c>
      <c r="K33" s="527" t="s">
        <v>28</v>
      </c>
      <c r="L33" s="583" t="s">
        <v>28</v>
      </c>
      <c r="M33" s="477" t="s">
        <v>28</v>
      </c>
      <c r="N33" s="583" t="s">
        <v>28</v>
      </c>
      <c r="O33" s="489" t="s">
        <v>28</v>
      </c>
      <c r="P33" s="489" t="s">
        <v>28</v>
      </c>
      <c r="Q33" s="489" t="s">
        <v>28</v>
      </c>
      <c r="R33" s="489" t="s">
        <v>28</v>
      </c>
      <c r="S33" s="489" t="s">
        <v>28</v>
      </c>
      <c r="T33" s="476" t="s">
        <v>28</v>
      </c>
      <c r="U33" s="489" t="s">
        <v>28</v>
      </c>
      <c r="V33" s="476" t="s">
        <v>28</v>
      </c>
      <c r="W33" s="2048" t="s">
        <v>28</v>
      </c>
    </row>
    <row r="34" spans="1:23" ht="10.5" customHeight="1">
      <c r="A34" s="2036" t="s">
        <v>877</v>
      </c>
      <c r="B34" s="475" t="s">
        <v>878</v>
      </c>
      <c r="C34" s="489" t="s">
        <v>28</v>
      </c>
      <c r="D34" s="489" t="s">
        <v>28</v>
      </c>
      <c r="E34" s="489" t="s">
        <v>28</v>
      </c>
      <c r="F34" s="489" t="s">
        <v>28</v>
      </c>
      <c r="G34" s="489" t="s">
        <v>28</v>
      </c>
      <c r="H34" s="489" t="s">
        <v>28</v>
      </c>
      <c r="I34" s="489" t="s">
        <v>28</v>
      </c>
      <c r="J34" s="489" t="s">
        <v>28</v>
      </c>
      <c r="K34" s="527" t="s">
        <v>28</v>
      </c>
      <c r="L34" s="583" t="s">
        <v>28</v>
      </c>
      <c r="M34" s="477" t="s">
        <v>28</v>
      </c>
      <c r="N34" s="583" t="s">
        <v>28</v>
      </c>
      <c r="O34" s="489" t="s">
        <v>28</v>
      </c>
      <c r="P34" s="489" t="s">
        <v>28</v>
      </c>
      <c r="Q34" s="489" t="s">
        <v>28</v>
      </c>
      <c r="R34" s="489" t="s">
        <v>28</v>
      </c>
      <c r="S34" s="489" t="s">
        <v>28</v>
      </c>
      <c r="T34" s="476" t="s">
        <v>28</v>
      </c>
      <c r="U34" s="489" t="s">
        <v>28</v>
      </c>
      <c r="V34" s="476" t="s">
        <v>28</v>
      </c>
      <c r="W34" s="2048" t="s">
        <v>28</v>
      </c>
    </row>
    <row r="35" spans="1:23" ht="10.5" customHeight="1">
      <c r="A35" s="2033" t="s">
        <v>963</v>
      </c>
      <c r="B35" s="472" t="s">
        <v>964</v>
      </c>
      <c r="C35" s="490" t="s">
        <v>28</v>
      </c>
      <c r="D35" s="490" t="s">
        <v>28</v>
      </c>
      <c r="E35" s="490" t="s">
        <v>28</v>
      </c>
      <c r="F35" s="490" t="s">
        <v>28</v>
      </c>
      <c r="G35" s="490" t="s">
        <v>28</v>
      </c>
      <c r="H35" s="490" t="s">
        <v>28</v>
      </c>
      <c r="I35" s="490">
        <v>1</v>
      </c>
      <c r="J35" s="490" t="s">
        <v>28</v>
      </c>
      <c r="K35" s="529" t="s">
        <v>28</v>
      </c>
      <c r="L35" s="593" t="s">
        <v>28</v>
      </c>
      <c r="M35" s="479" t="s">
        <v>28</v>
      </c>
      <c r="N35" s="593" t="s">
        <v>28</v>
      </c>
      <c r="O35" s="490" t="s">
        <v>28</v>
      </c>
      <c r="P35" s="490" t="s">
        <v>28</v>
      </c>
      <c r="Q35" s="490" t="s">
        <v>28</v>
      </c>
      <c r="R35" s="490" t="s">
        <v>28</v>
      </c>
      <c r="S35" s="490" t="s">
        <v>28</v>
      </c>
      <c r="T35" s="478" t="s">
        <v>28</v>
      </c>
      <c r="U35" s="490" t="s">
        <v>28</v>
      </c>
      <c r="V35" s="478" t="s">
        <v>28</v>
      </c>
      <c r="W35" s="2043" t="s">
        <v>28</v>
      </c>
    </row>
    <row r="36" spans="1:23" ht="10.5" customHeight="1">
      <c r="A36" s="2036" t="s">
        <v>875</v>
      </c>
      <c r="B36" s="475" t="s">
        <v>876</v>
      </c>
      <c r="C36" s="489" t="s">
        <v>28</v>
      </c>
      <c r="D36" s="489" t="s">
        <v>28</v>
      </c>
      <c r="E36" s="489" t="s">
        <v>28</v>
      </c>
      <c r="F36" s="489" t="s">
        <v>28</v>
      </c>
      <c r="G36" s="489" t="s">
        <v>28</v>
      </c>
      <c r="H36" s="489" t="s">
        <v>28</v>
      </c>
      <c r="I36" s="489">
        <v>1</v>
      </c>
      <c r="J36" s="489" t="s">
        <v>28</v>
      </c>
      <c r="K36" s="527" t="s">
        <v>28</v>
      </c>
      <c r="L36" s="583" t="s">
        <v>28</v>
      </c>
      <c r="M36" s="477" t="s">
        <v>28</v>
      </c>
      <c r="N36" s="583" t="s">
        <v>28</v>
      </c>
      <c r="O36" s="489" t="s">
        <v>28</v>
      </c>
      <c r="P36" s="489" t="s">
        <v>28</v>
      </c>
      <c r="Q36" s="489" t="s">
        <v>28</v>
      </c>
      <c r="R36" s="489" t="s">
        <v>28</v>
      </c>
      <c r="S36" s="489" t="s">
        <v>28</v>
      </c>
      <c r="T36" s="476" t="s">
        <v>28</v>
      </c>
      <c r="U36" s="489" t="s">
        <v>28</v>
      </c>
      <c r="V36" s="476" t="s">
        <v>28</v>
      </c>
      <c r="W36" s="2048" t="s">
        <v>28</v>
      </c>
    </row>
    <row r="37" spans="1:23" ht="10.5" customHeight="1">
      <c r="A37" s="2036" t="s">
        <v>877</v>
      </c>
      <c r="B37" s="475" t="s">
        <v>878</v>
      </c>
      <c r="C37" s="489" t="s">
        <v>28</v>
      </c>
      <c r="D37" s="489" t="s">
        <v>28</v>
      </c>
      <c r="E37" s="489" t="s">
        <v>28</v>
      </c>
      <c r="F37" s="489" t="s">
        <v>28</v>
      </c>
      <c r="G37" s="489" t="s">
        <v>28</v>
      </c>
      <c r="H37" s="489" t="s">
        <v>28</v>
      </c>
      <c r="I37" s="489" t="s">
        <v>28</v>
      </c>
      <c r="J37" s="489" t="s">
        <v>28</v>
      </c>
      <c r="K37" s="527" t="s">
        <v>28</v>
      </c>
      <c r="L37" s="583" t="s">
        <v>28</v>
      </c>
      <c r="M37" s="477" t="s">
        <v>28</v>
      </c>
      <c r="N37" s="583" t="s">
        <v>28</v>
      </c>
      <c r="O37" s="489" t="s">
        <v>28</v>
      </c>
      <c r="P37" s="489" t="s">
        <v>28</v>
      </c>
      <c r="Q37" s="489" t="s">
        <v>28</v>
      </c>
      <c r="R37" s="489" t="s">
        <v>28</v>
      </c>
      <c r="S37" s="489" t="s">
        <v>28</v>
      </c>
      <c r="T37" s="476" t="s">
        <v>28</v>
      </c>
      <c r="U37" s="489" t="s">
        <v>28</v>
      </c>
      <c r="V37" s="476" t="s">
        <v>28</v>
      </c>
      <c r="W37" s="2048" t="s">
        <v>28</v>
      </c>
    </row>
    <row r="38" spans="1:23" ht="10.5" customHeight="1">
      <c r="A38" s="2033" t="s">
        <v>51</v>
      </c>
      <c r="B38" s="472" t="s">
        <v>52</v>
      </c>
      <c r="C38" s="490" t="s">
        <v>28</v>
      </c>
      <c r="D38" s="490" t="s">
        <v>28</v>
      </c>
      <c r="E38" s="490" t="s">
        <v>28</v>
      </c>
      <c r="F38" s="490">
        <v>1</v>
      </c>
      <c r="G38" s="490">
        <v>1</v>
      </c>
      <c r="H38" s="490" t="s">
        <v>28</v>
      </c>
      <c r="I38" s="490">
        <v>1</v>
      </c>
      <c r="J38" s="490" t="s">
        <v>28</v>
      </c>
      <c r="K38" s="529" t="s">
        <v>28</v>
      </c>
      <c r="L38" s="593" t="s">
        <v>28</v>
      </c>
      <c r="M38" s="479">
        <v>1</v>
      </c>
      <c r="N38" s="593" t="s">
        <v>28</v>
      </c>
      <c r="O38" s="490" t="s">
        <v>28</v>
      </c>
      <c r="P38" s="490" t="s">
        <v>28</v>
      </c>
      <c r="Q38" s="490" t="s">
        <v>28</v>
      </c>
      <c r="R38" s="490" t="s">
        <v>28</v>
      </c>
      <c r="S38" s="490" t="s">
        <v>28</v>
      </c>
      <c r="T38" s="478" t="s">
        <v>28</v>
      </c>
      <c r="U38" s="490" t="s">
        <v>28</v>
      </c>
      <c r="V38" s="478" t="s">
        <v>28</v>
      </c>
      <c r="W38" s="2043">
        <v>2</v>
      </c>
    </row>
    <row r="39" spans="1:23" ht="10.5" customHeight="1">
      <c r="A39" s="2036" t="s">
        <v>875</v>
      </c>
      <c r="B39" s="475" t="s">
        <v>876</v>
      </c>
      <c r="C39" s="489" t="s">
        <v>28</v>
      </c>
      <c r="D39" s="489" t="s">
        <v>28</v>
      </c>
      <c r="E39" s="489" t="s">
        <v>28</v>
      </c>
      <c r="F39" s="489">
        <v>1</v>
      </c>
      <c r="G39" s="489">
        <v>1</v>
      </c>
      <c r="H39" s="489" t="s">
        <v>28</v>
      </c>
      <c r="I39" s="489">
        <v>1</v>
      </c>
      <c r="J39" s="489" t="s">
        <v>28</v>
      </c>
      <c r="K39" s="527" t="s">
        <v>28</v>
      </c>
      <c r="L39" s="583" t="s">
        <v>28</v>
      </c>
      <c r="M39" s="477">
        <v>1</v>
      </c>
      <c r="N39" s="583" t="s">
        <v>28</v>
      </c>
      <c r="O39" s="489" t="s">
        <v>28</v>
      </c>
      <c r="P39" s="489" t="s">
        <v>28</v>
      </c>
      <c r="Q39" s="489" t="s">
        <v>28</v>
      </c>
      <c r="R39" s="489" t="s">
        <v>28</v>
      </c>
      <c r="S39" s="489" t="s">
        <v>28</v>
      </c>
      <c r="T39" s="476" t="s">
        <v>28</v>
      </c>
      <c r="U39" s="489" t="s">
        <v>28</v>
      </c>
      <c r="V39" s="476" t="s">
        <v>28</v>
      </c>
      <c r="W39" s="2048">
        <v>2</v>
      </c>
    </row>
    <row r="40" spans="1:23" ht="10.5" customHeight="1">
      <c r="A40" s="2036" t="s">
        <v>31</v>
      </c>
      <c r="B40" s="475" t="s">
        <v>32</v>
      </c>
      <c r="C40" s="489" t="s">
        <v>28</v>
      </c>
      <c r="D40" s="489" t="s">
        <v>28</v>
      </c>
      <c r="E40" s="489" t="s">
        <v>28</v>
      </c>
      <c r="F40" s="489" t="s">
        <v>28</v>
      </c>
      <c r="G40" s="489" t="s">
        <v>28</v>
      </c>
      <c r="H40" s="489" t="s">
        <v>28</v>
      </c>
      <c r="I40" s="489" t="s">
        <v>28</v>
      </c>
      <c r="J40" s="489" t="s">
        <v>28</v>
      </c>
      <c r="K40" s="527" t="s">
        <v>28</v>
      </c>
      <c r="L40" s="583" t="s">
        <v>28</v>
      </c>
      <c r="M40" s="477" t="s">
        <v>28</v>
      </c>
      <c r="N40" s="583" t="s">
        <v>28</v>
      </c>
      <c r="O40" s="489" t="s">
        <v>28</v>
      </c>
      <c r="P40" s="489" t="s">
        <v>28</v>
      </c>
      <c r="Q40" s="489" t="s">
        <v>28</v>
      </c>
      <c r="R40" s="489" t="s">
        <v>28</v>
      </c>
      <c r="S40" s="489" t="s">
        <v>28</v>
      </c>
      <c r="T40" s="476" t="s">
        <v>28</v>
      </c>
      <c r="U40" s="489" t="s">
        <v>28</v>
      </c>
      <c r="V40" s="476" t="s">
        <v>28</v>
      </c>
      <c r="W40" s="2048" t="s">
        <v>28</v>
      </c>
    </row>
    <row r="41" spans="1:23" ht="10.5" customHeight="1">
      <c r="A41" s="2033" t="s">
        <v>53</v>
      </c>
      <c r="B41" s="472" t="s">
        <v>54</v>
      </c>
      <c r="C41" s="490">
        <v>3</v>
      </c>
      <c r="D41" s="490" t="s">
        <v>28</v>
      </c>
      <c r="E41" s="490" t="s">
        <v>28</v>
      </c>
      <c r="F41" s="490">
        <v>2</v>
      </c>
      <c r="G41" s="490">
        <v>2</v>
      </c>
      <c r="H41" s="490" t="s">
        <v>28</v>
      </c>
      <c r="I41" s="490" t="s">
        <v>28</v>
      </c>
      <c r="J41" s="490" t="s">
        <v>28</v>
      </c>
      <c r="K41" s="529" t="s">
        <v>28</v>
      </c>
      <c r="L41" s="593" t="s">
        <v>28</v>
      </c>
      <c r="M41" s="479" t="s">
        <v>28</v>
      </c>
      <c r="N41" s="593" t="s">
        <v>28</v>
      </c>
      <c r="O41" s="490">
        <v>1</v>
      </c>
      <c r="P41" s="490" t="s">
        <v>28</v>
      </c>
      <c r="Q41" s="490" t="s">
        <v>28</v>
      </c>
      <c r="R41" s="490" t="s">
        <v>28</v>
      </c>
      <c r="S41" s="490" t="s">
        <v>28</v>
      </c>
      <c r="T41" s="478" t="s">
        <v>28</v>
      </c>
      <c r="U41" s="490" t="s">
        <v>28</v>
      </c>
      <c r="V41" s="478" t="s">
        <v>28</v>
      </c>
      <c r="W41" s="2043" t="s">
        <v>28</v>
      </c>
    </row>
    <row r="42" spans="1:23" ht="10.5" customHeight="1">
      <c r="A42" s="2036" t="s">
        <v>29</v>
      </c>
      <c r="B42" s="475" t="s">
        <v>30</v>
      </c>
      <c r="C42" s="489">
        <v>3</v>
      </c>
      <c r="D42" s="489" t="s">
        <v>28</v>
      </c>
      <c r="E42" s="489" t="s">
        <v>28</v>
      </c>
      <c r="F42" s="489">
        <v>2</v>
      </c>
      <c r="G42" s="489">
        <v>2</v>
      </c>
      <c r="H42" s="489" t="s">
        <v>28</v>
      </c>
      <c r="I42" s="489" t="s">
        <v>28</v>
      </c>
      <c r="J42" s="489" t="s">
        <v>28</v>
      </c>
      <c r="K42" s="527" t="s">
        <v>28</v>
      </c>
      <c r="L42" s="583" t="s">
        <v>28</v>
      </c>
      <c r="M42" s="477" t="s">
        <v>28</v>
      </c>
      <c r="N42" s="583" t="s">
        <v>28</v>
      </c>
      <c r="O42" s="489">
        <v>1</v>
      </c>
      <c r="P42" s="489" t="s">
        <v>28</v>
      </c>
      <c r="Q42" s="489" t="s">
        <v>28</v>
      </c>
      <c r="R42" s="489" t="s">
        <v>28</v>
      </c>
      <c r="S42" s="489" t="s">
        <v>28</v>
      </c>
      <c r="T42" s="476" t="s">
        <v>28</v>
      </c>
      <c r="U42" s="489" t="s">
        <v>28</v>
      </c>
      <c r="V42" s="476" t="s">
        <v>28</v>
      </c>
      <c r="W42" s="2048" t="s">
        <v>28</v>
      </c>
    </row>
    <row r="43" spans="1:23" ht="10.5" customHeight="1">
      <c r="A43" s="2036" t="s">
        <v>31</v>
      </c>
      <c r="B43" s="475" t="s">
        <v>32</v>
      </c>
      <c r="C43" s="489" t="s">
        <v>28</v>
      </c>
      <c r="D43" s="489" t="s">
        <v>28</v>
      </c>
      <c r="E43" s="489" t="s">
        <v>28</v>
      </c>
      <c r="F43" s="489" t="s">
        <v>28</v>
      </c>
      <c r="G43" s="489" t="s">
        <v>28</v>
      </c>
      <c r="H43" s="489" t="s">
        <v>28</v>
      </c>
      <c r="I43" s="489" t="s">
        <v>28</v>
      </c>
      <c r="J43" s="489" t="s">
        <v>28</v>
      </c>
      <c r="K43" s="527" t="s">
        <v>28</v>
      </c>
      <c r="L43" s="583" t="s">
        <v>28</v>
      </c>
      <c r="M43" s="477" t="s">
        <v>28</v>
      </c>
      <c r="N43" s="583" t="s">
        <v>28</v>
      </c>
      <c r="O43" s="489" t="s">
        <v>28</v>
      </c>
      <c r="P43" s="489" t="s">
        <v>28</v>
      </c>
      <c r="Q43" s="489" t="s">
        <v>28</v>
      </c>
      <c r="R43" s="489" t="s">
        <v>28</v>
      </c>
      <c r="S43" s="489" t="s">
        <v>28</v>
      </c>
      <c r="T43" s="476" t="s">
        <v>28</v>
      </c>
      <c r="U43" s="489" t="s">
        <v>28</v>
      </c>
      <c r="V43" s="476" t="s">
        <v>28</v>
      </c>
      <c r="W43" s="2048" t="s">
        <v>28</v>
      </c>
    </row>
    <row r="44" spans="1:23" ht="10.5" customHeight="1">
      <c r="A44" s="2033" t="s">
        <v>55</v>
      </c>
      <c r="B44" s="472" t="s">
        <v>56</v>
      </c>
      <c r="C44" s="490">
        <v>3</v>
      </c>
      <c r="D44" s="490" t="s">
        <v>28</v>
      </c>
      <c r="E44" s="490" t="s">
        <v>28</v>
      </c>
      <c r="F44" s="490">
        <v>1</v>
      </c>
      <c r="G44" s="490">
        <v>2</v>
      </c>
      <c r="H44" s="490" t="s">
        <v>28</v>
      </c>
      <c r="I44" s="490" t="s">
        <v>28</v>
      </c>
      <c r="J44" s="490" t="s">
        <v>28</v>
      </c>
      <c r="K44" s="529" t="s">
        <v>28</v>
      </c>
      <c r="L44" s="593" t="s">
        <v>28</v>
      </c>
      <c r="M44" s="479" t="s">
        <v>28</v>
      </c>
      <c r="N44" s="593" t="s">
        <v>28</v>
      </c>
      <c r="O44" s="490" t="s">
        <v>28</v>
      </c>
      <c r="P44" s="490" t="s">
        <v>28</v>
      </c>
      <c r="Q44" s="490">
        <v>1</v>
      </c>
      <c r="R44" s="490" t="s">
        <v>28</v>
      </c>
      <c r="S44" s="490">
        <v>1</v>
      </c>
      <c r="T44" s="478" t="s">
        <v>28</v>
      </c>
      <c r="U44" s="490" t="s">
        <v>28</v>
      </c>
      <c r="V44" s="478" t="s">
        <v>28</v>
      </c>
      <c r="W44" s="2043" t="s">
        <v>28</v>
      </c>
    </row>
    <row r="45" spans="1:23" ht="10.5" customHeight="1">
      <c r="A45" s="2036" t="s">
        <v>29</v>
      </c>
      <c r="B45" s="475" t="s">
        <v>30</v>
      </c>
      <c r="C45" s="489">
        <v>3</v>
      </c>
      <c r="D45" s="489" t="s">
        <v>28</v>
      </c>
      <c r="E45" s="489" t="s">
        <v>28</v>
      </c>
      <c r="F45" s="489">
        <v>1</v>
      </c>
      <c r="G45" s="489">
        <v>2</v>
      </c>
      <c r="H45" s="489" t="s">
        <v>28</v>
      </c>
      <c r="I45" s="489" t="s">
        <v>28</v>
      </c>
      <c r="J45" s="489" t="s">
        <v>28</v>
      </c>
      <c r="K45" s="527" t="s">
        <v>28</v>
      </c>
      <c r="L45" s="583" t="s">
        <v>28</v>
      </c>
      <c r="M45" s="477" t="s">
        <v>28</v>
      </c>
      <c r="N45" s="583" t="s">
        <v>28</v>
      </c>
      <c r="O45" s="489" t="s">
        <v>28</v>
      </c>
      <c r="P45" s="489" t="s">
        <v>28</v>
      </c>
      <c r="Q45" s="489">
        <v>1</v>
      </c>
      <c r="R45" s="489" t="s">
        <v>28</v>
      </c>
      <c r="S45" s="489">
        <v>1</v>
      </c>
      <c r="T45" s="476" t="s">
        <v>28</v>
      </c>
      <c r="U45" s="489" t="s">
        <v>28</v>
      </c>
      <c r="V45" s="476" t="s">
        <v>28</v>
      </c>
      <c r="W45" s="2048" t="s">
        <v>28</v>
      </c>
    </row>
    <row r="46" spans="1:23" ht="10.5" customHeight="1">
      <c r="A46" s="2036" t="s">
        <v>31</v>
      </c>
      <c r="B46" s="475" t="s">
        <v>32</v>
      </c>
      <c r="C46" s="489" t="s">
        <v>28</v>
      </c>
      <c r="D46" s="489" t="s">
        <v>28</v>
      </c>
      <c r="E46" s="489" t="s">
        <v>28</v>
      </c>
      <c r="F46" s="489" t="s">
        <v>28</v>
      </c>
      <c r="G46" s="489" t="s">
        <v>28</v>
      </c>
      <c r="H46" s="489" t="s">
        <v>28</v>
      </c>
      <c r="I46" s="489" t="s">
        <v>28</v>
      </c>
      <c r="J46" s="489" t="s">
        <v>28</v>
      </c>
      <c r="K46" s="527" t="s">
        <v>28</v>
      </c>
      <c r="L46" s="583" t="s">
        <v>28</v>
      </c>
      <c r="M46" s="477" t="s">
        <v>28</v>
      </c>
      <c r="N46" s="583" t="s">
        <v>28</v>
      </c>
      <c r="O46" s="489" t="s">
        <v>28</v>
      </c>
      <c r="P46" s="489" t="s">
        <v>28</v>
      </c>
      <c r="Q46" s="489" t="s">
        <v>28</v>
      </c>
      <c r="R46" s="489" t="s">
        <v>28</v>
      </c>
      <c r="S46" s="489" t="s">
        <v>28</v>
      </c>
      <c r="T46" s="476" t="s">
        <v>28</v>
      </c>
      <c r="U46" s="489" t="s">
        <v>28</v>
      </c>
      <c r="V46" s="476" t="s">
        <v>28</v>
      </c>
      <c r="W46" s="2048" t="s">
        <v>28</v>
      </c>
    </row>
    <row r="47" spans="1:23" ht="10.5" customHeight="1">
      <c r="A47" s="2033" t="s">
        <v>57</v>
      </c>
      <c r="B47" s="472" t="s">
        <v>58</v>
      </c>
      <c r="C47" s="490">
        <v>5</v>
      </c>
      <c r="D47" s="490" t="s">
        <v>28</v>
      </c>
      <c r="E47" s="490" t="s">
        <v>28</v>
      </c>
      <c r="F47" s="490" t="s">
        <v>28</v>
      </c>
      <c r="G47" s="490" t="s">
        <v>28</v>
      </c>
      <c r="H47" s="490" t="s">
        <v>28</v>
      </c>
      <c r="I47" s="490" t="s">
        <v>28</v>
      </c>
      <c r="J47" s="490" t="s">
        <v>28</v>
      </c>
      <c r="K47" s="529" t="s">
        <v>28</v>
      </c>
      <c r="L47" s="593" t="s">
        <v>28</v>
      </c>
      <c r="M47" s="479">
        <v>1</v>
      </c>
      <c r="N47" s="593" t="s">
        <v>28</v>
      </c>
      <c r="O47" s="490" t="s">
        <v>28</v>
      </c>
      <c r="P47" s="490" t="s">
        <v>28</v>
      </c>
      <c r="Q47" s="490" t="s">
        <v>28</v>
      </c>
      <c r="R47" s="490" t="s">
        <v>28</v>
      </c>
      <c r="S47" s="490" t="s">
        <v>28</v>
      </c>
      <c r="T47" s="478" t="s">
        <v>28</v>
      </c>
      <c r="U47" s="490" t="s">
        <v>28</v>
      </c>
      <c r="V47" s="478" t="s">
        <v>28</v>
      </c>
      <c r="W47" s="2043" t="s">
        <v>28</v>
      </c>
    </row>
    <row r="48" spans="1:23" ht="10.5" customHeight="1">
      <c r="A48" s="2036" t="s">
        <v>29</v>
      </c>
      <c r="B48" s="475" t="s">
        <v>30</v>
      </c>
      <c r="C48" s="489">
        <v>5</v>
      </c>
      <c r="D48" s="489" t="s">
        <v>28</v>
      </c>
      <c r="E48" s="489" t="s">
        <v>28</v>
      </c>
      <c r="F48" s="489" t="s">
        <v>28</v>
      </c>
      <c r="G48" s="489" t="s">
        <v>28</v>
      </c>
      <c r="H48" s="489" t="s">
        <v>28</v>
      </c>
      <c r="I48" s="489" t="s">
        <v>28</v>
      </c>
      <c r="J48" s="489" t="s">
        <v>28</v>
      </c>
      <c r="K48" s="527" t="s">
        <v>28</v>
      </c>
      <c r="L48" s="583" t="s">
        <v>28</v>
      </c>
      <c r="M48" s="477">
        <v>1</v>
      </c>
      <c r="N48" s="583" t="s">
        <v>28</v>
      </c>
      <c r="O48" s="489" t="s">
        <v>28</v>
      </c>
      <c r="P48" s="489" t="s">
        <v>28</v>
      </c>
      <c r="Q48" s="489" t="s">
        <v>28</v>
      </c>
      <c r="R48" s="489" t="s">
        <v>28</v>
      </c>
      <c r="S48" s="489" t="s">
        <v>28</v>
      </c>
      <c r="T48" s="476" t="s">
        <v>28</v>
      </c>
      <c r="U48" s="489" t="s">
        <v>28</v>
      </c>
      <c r="V48" s="476" t="s">
        <v>28</v>
      </c>
      <c r="W48" s="2048" t="s">
        <v>28</v>
      </c>
    </row>
    <row r="49" spans="1:23" ht="10.5" customHeight="1">
      <c r="A49" s="2036" t="s">
        <v>31</v>
      </c>
      <c r="B49" s="475" t="s">
        <v>32</v>
      </c>
      <c r="C49" s="489" t="s">
        <v>28</v>
      </c>
      <c r="D49" s="489" t="s">
        <v>28</v>
      </c>
      <c r="E49" s="489" t="s">
        <v>28</v>
      </c>
      <c r="F49" s="489" t="s">
        <v>28</v>
      </c>
      <c r="G49" s="489" t="s">
        <v>28</v>
      </c>
      <c r="H49" s="489" t="s">
        <v>28</v>
      </c>
      <c r="I49" s="489" t="s">
        <v>28</v>
      </c>
      <c r="J49" s="489" t="s">
        <v>28</v>
      </c>
      <c r="K49" s="527" t="s">
        <v>28</v>
      </c>
      <c r="L49" s="583" t="s">
        <v>28</v>
      </c>
      <c r="M49" s="477" t="s">
        <v>28</v>
      </c>
      <c r="N49" s="583" t="s">
        <v>28</v>
      </c>
      <c r="O49" s="489" t="s">
        <v>28</v>
      </c>
      <c r="P49" s="489" t="s">
        <v>28</v>
      </c>
      <c r="Q49" s="489" t="s">
        <v>28</v>
      </c>
      <c r="R49" s="489" t="s">
        <v>28</v>
      </c>
      <c r="S49" s="489" t="s">
        <v>28</v>
      </c>
      <c r="T49" s="489" t="s">
        <v>28</v>
      </c>
      <c r="U49" s="489" t="s">
        <v>28</v>
      </c>
      <c r="V49" s="489" t="s">
        <v>28</v>
      </c>
      <c r="W49" s="2048" t="s">
        <v>28</v>
      </c>
    </row>
    <row r="50" spans="1:23" ht="10.5" customHeight="1">
      <c r="A50" s="2033" t="s">
        <v>59</v>
      </c>
      <c r="B50" s="472" t="s">
        <v>60</v>
      </c>
      <c r="C50" s="490">
        <v>6</v>
      </c>
      <c r="D50" s="490">
        <v>1</v>
      </c>
      <c r="E50" s="490">
        <v>1</v>
      </c>
      <c r="F50" s="490" t="s">
        <v>28</v>
      </c>
      <c r="G50" s="490" t="s">
        <v>28</v>
      </c>
      <c r="H50" s="490" t="s">
        <v>28</v>
      </c>
      <c r="I50" s="490">
        <v>1</v>
      </c>
      <c r="J50" s="490" t="s">
        <v>28</v>
      </c>
      <c r="K50" s="529" t="s">
        <v>28</v>
      </c>
      <c r="L50" s="593" t="s">
        <v>28</v>
      </c>
      <c r="M50" s="479" t="s">
        <v>28</v>
      </c>
      <c r="N50" s="593" t="s">
        <v>28</v>
      </c>
      <c r="O50" s="490" t="s">
        <v>28</v>
      </c>
      <c r="P50" s="490" t="s">
        <v>28</v>
      </c>
      <c r="Q50" s="490" t="s">
        <v>28</v>
      </c>
      <c r="R50" s="490" t="s">
        <v>28</v>
      </c>
      <c r="S50" s="490" t="s">
        <v>28</v>
      </c>
      <c r="T50" s="478" t="s">
        <v>28</v>
      </c>
      <c r="U50" s="490" t="s">
        <v>28</v>
      </c>
      <c r="V50" s="478" t="s">
        <v>28</v>
      </c>
      <c r="W50" s="2043" t="s">
        <v>28</v>
      </c>
    </row>
    <row r="51" spans="1:23" ht="10.5" customHeight="1">
      <c r="A51" s="2036" t="s">
        <v>29</v>
      </c>
      <c r="B51" s="475" t="s">
        <v>30</v>
      </c>
      <c r="C51" s="489">
        <v>6</v>
      </c>
      <c r="D51" s="489">
        <v>1</v>
      </c>
      <c r="E51" s="489">
        <v>1</v>
      </c>
      <c r="F51" s="489" t="s">
        <v>28</v>
      </c>
      <c r="G51" s="489" t="s">
        <v>28</v>
      </c>
      <c r="H51" s="489" t="s">
        <v>28</v>
      </c>
      <c r="I51" s="489">
        <v>1</v>
      </c>
      <c r="J51" s="489" t="s">
        <v>28</v>
      </c>
      <c r="K51" s="527" t="s">
        <v>28</v>
      </c>
      <c r="L51" s="583" t="s">
        <v>28</v>
      </c>
      <c r="M51" s="477" t="s">
        <v>28</v>
      </c>
      <c r="N51" s="583" t="s">
        <v>28</v>
      </c>
      <c r="O51" s="489" t="s">
        <v>28</v>
      </c>
      <c r="P51" s="489" t="s">
        <v>28</v>
      </c>
      <c r="Q51" s="489" t="s">
        <v>28</v>
      </c>
      <c r="R51" s="489" t="s">
        <v>28</v>
      </c>
      <c r="S51" s="489" t="s">
        <v>28</v>
      </c>
      <c r="T51" s="476" t="s">
        <v>28</v>
      </c>
      <c r="U51" s="489" t="s">
        <v>28</v>
      </c>
      <c r="V51" s="476" t="s">
        <v>28</v>
      </c>
      <c r="W51" s="2048" t="s">
        <v>28</v>
      </c>
    </row>
    <row r="52" spans="1:23" ht="10.5" customHeight="1">
      <c r="A52" s="2036" t="s">
        <v>31</v>
      </c>
      <c r="B52" s="475" t="s">
        <v>32</v>
      </c>
      <c r="C52" s="489" t="s">
        <v>28</v>
      </c>
      <c r="D52" s="489" t="s">
        <v>28</v>
      </c>
      <c r="E52" s="489" t="s">
        <v>28</v>
      </c>
      <c r="F52" s="489" t="s">
        <v>28</v>
      </c>
      <c r="G52" s="489" t="s">
        <v>28</v>
      </c>
      <c r="H52" s="489" t="s">
        <v>28</v>
      </c>
      <c r="I52" s="489" t="s">
        <v>28</v>
      </c>
      <c r="J52" s="489" t="s">
        <v>28</v>
      </c>
      <c r="K52" s="527" t="s">
        <v>28</v>
      </c>
      <c r="L52" s="583" t="s">
        <v>28</v>
      </c>
      <c r="M52" s="477" t="s">
        <v>28</v>
      </c>
      <c r="N52" s="583" t="s">
        <v>28</v>
      </c>
      <c r="O52" s="489" t="s">
        <v>28</v>
      </c>
      <c r="P52" s="489" t="s">
        <v>28</v>
      </c>
      <c r="Q52" s="489" t="s">
        <v>28</v>
      </c>
      <c r="R52" s="489" t="s">
        <v>28</v>
      </c>
      <c r="S52" s="489" t="s">
        <v>28</v>
      </c>
      <c r="T52" s="476" t="s">
        <v>28</v>
      </c>
      <c r="U52" s="489" t="s">
        <v>28</v>
      </c>
      <c r="V52" s="476" t="s">
        <v>28</v>
      </c>
      <c r="W52" s="2048" t="s">
        <v>28</v>
      </c>
    </row>
    <row r="53" spans="1:23" ht="10.5" customHeight="1">
      <c r="A53" s="2033" t="s">
        <v>61</v>
      </c>
      <c r="B53" s="472" t="s">
        <v>62</v>
      </c>
      <c r="C53" s="490" t="s">
        <v>28</v>
      </c>
      <c r="D53" s="490" t="s">
        <v>28</v>
      </c>
      <c r="E53" s="490" t="s">
        <v>28</v>
      </c>
      <c r="F53" s="490" t="s">
        <v>28</v>
      </c>
      <c r="G53" s="490" t="s">
        <v>28</v>
      </c>
      <c r="H53" s="490" t="s">
        <v>28</v>
      </c>
      <c r="I53" s="490" t="s">
        <v>28</v>
      </c>
      <c r="J53" s="490" t="s">
        <v>28</v>
      </c>
      <c r="K53" s="529" t="s">
        <v>28</v>
      </c>
      <c r="L53" s="593" t="s">
        <v>28</v>
      </c>
      <c r="M53" s="479" t="s">
        <v>28</v>
      </c>
      <c r="N53" s="593" t="s">
        <v>28</v>
      </c>
      <c r="O53" s="490" t="s">
        <v>28</v>
      </c>
      <c r="P53" s="490" t="s">
        <v>28</v>
      </c>
      <c r="Q53" s="490" t="s">
        <v>28</v>
      </c>
      <c r="R53" s="490" t="s">
        <v>28</v>
      </c>
      <c r="S53" s="490" t="s">
        <v>28</v>
      </c>
      <c r="T53" s="478" t="s">
        <v>28</v>
      </c>
      <c r="U53" s="490" t="s">
        <v>28</v>
      </c>
      <c r="V53" s="478" t="s">
        <v>28</v>
      </c>
      <c r="W53" s="2043" t="s">
        <v>28</v>
      </c>
    </row>
    <row r="54" spans="1:23" ht="10.5" customHeight="1">
      <c r="A54" s="2036" t="s">
        <v>875</v>
      </c>
      <c r="B54" s="475" t="s">
        <v>876</v>
      </c>
      <c r="C54" s="489" t="s">
        <v>28</v>
      </c>
      <c r="D54" s="489" t="s">
        <v>28</v>
      </c>
      <c r="E54" s="489" t="s">
        <v>28</v>
      </c>
      <c r="F54" s="489" t="s">
        <v>28</v>
      </c>
      <c r="G54" s="489" t="s">
        <v>28</v>
      </c>
      <c r="H54" s="489" t="s">
        <v>28</v>
      </c>
      <c r="I54" s="489" t="s">
        <v>28</v>
      </c>
      <c r="J54" s="489" t="s">
        <v>28</v>
      </c>
      <c r="K54" s="527" t="s">
        <v>28</v>
      </c>
      <c r="L54" s="583" t="s">
        <v>28</v>
      </c>
      <c r="M54" s="477" t="s">
        <v>28</v>
      </c>
      <c r="N54" s="583" t="s">
        <v>28</v>
      </c>
      <c r="O54" s="489" t="s">
        <v>28</v>
      </c>
      <c r="P54" s="489" t="s">
        <v>28</v>
      </c>
      <c r="Q54" s="489" t="s">
        <v>28</v>
      </c>
      <c r="R54" s="489" t="s">
        <v>28</v>
      </c>
      <c r="S54" s="489" t="s">
        <v>28</v>
      </c>
      <c r="T54" s="476" t="s">
        <v>28</v>
      </c>
      <c r="U54" s="489" t="s">
        <v>28</v>
      </c>
      <c r="V54" s="476" t="s">
        <v>28</v>
      </c>
      <c r="W54" s="2048" t="s">
        <v>28</v>
      </c>
    </row>
    <row r="55" spans="1:23" ht="10.5" customHeight="1">
      <c r="A55" s="2036" t="s">
        <v>31</v>
      </c>
      <c r="B55" s="475" t="s">
        <v>32</v>
      </c>
      <c r="C55" s="489" t="s">
        <v>28</v>
      </c>
      <c r="D55" s="489" t="s">
        <v>28</v>
      </c>
      <c r="E55" s="489" t="s">
        <v>28</v>
      </c>
      <c r="F55" s="489" t="s">
        <v>28</v>
      </c>
      <c r="G55" s="489" t="s">
        <v>28</v>
      </c>
      <c r="H55" s="489" t="s">
        <v>28</v>
      </c>
      <c r="I55" s="489" t="s">
        <v>28</v>
      </c>
      <c r="J55" s="489" t="s">
        <v>28</v>
      </c>
      <c r="K55" s="527" t="s">
        <v>28</v>
      </c>
      <c r="L55" s="583" t="s">
        <v>28</v>
      </c>
      <c r="M55" s="477" t="s">
        <v>28</v>
      </c>
      <c r="N55" s="583" t="s">
        <v>28</v>
      </c>
      <c r="O55" s="489" t="s">
        <v>28</v>
      </c>
      <c r="P55" s="489" t="s">
        <v>28</v>
      </c>
      <c r="Q55" s="489" t="s">
        <v>28</v>
      </c>
      <c r="R55" s="489" t="s">
        <v>28</v>
      </c>
      <c r="S55" s="489" t="s">
        <v>28</v>
      </c>
      <c r="T55" s="476" t="s">
        <v>28</v>
      </c>
      <c r="U55" s="489" t="s">
        <v>28</v>
      </c>
      <c r="V55" s="476" t="s">
        <v>28</v>
      </c>
      <c r="W55" s="2048" t="s">
        <v>28</v>
      </c>
    </row>
    <row r="56" spans="1:23" ht="10.5" customHeight="1">
      <c r="A56" s="2033" t="s">
        <v>63</v>
      </c>
      <c r="B56" s="472" t="s">
        <v>64</v>
      </c>
      <c r="C56" s="490" t="s">
        <v>28</v>
      </c>
      <c r="D56" s="490" t="s">
        <v>28</v>
      </c>
      <c r="E56" s="490" t="s">
        <v>28</v>
      </c>
      <c r="F56" s="490" t="s">
        <v>28</v>
      </c>
      <c r="G56" s="490" t="s">
        <v>28</v>
      </c>
      <c r="H56" s="490" t="s">
        <v>28</v>
      </c>
      <c r="I56" s="490" t="s">
        <v>28</v>
      </c>
      <c r="J56" s="490" t="s">
        <v>28</v>
      </c>
      <c r="K56" s="529" t="s">
        <v>28</v>
      </c>
      <c r="L56" s="593" t="s">
        <v>28</v>
      </c>
      <c r="M56" s="479" t="s">
        <v>28</v>
      </c>
      <c r="N56" s="593" t="s">
        <v>28</v>
      </c>
      <c r="O56" s="490" t="s">
        <v>28</v>
      </c>
      <c r="P56" s="490" t="s">
        <v>28</v>
      </c>
      <c r="Q56" s="490" t="s">
        <v>28</v>
      </c>
      <c r="R56" s="490" t="s">
        <v>28</v>
      </c>
      <c r="S56" s="490" t="s">
        <v>28</v>
      </c>
      <c r="T56" s="478" t="s">
        <v>28</v>
      </c>
      <c r="U56" s="490" t="s">
        <v>28</v>
      </c>
      <c r="V56" s="478" t="s">
        <v>28</v>
      </c>
      <c r="W56" s="2043" t="s">
        <v>28</v>
      </c>
    </row>
    <row r="57" spans="1:23" ht="10.5" customHeight="1">
      <c r="A57" s="2036" t="s">
        <v>875</v>
      </c>
      <c r="B57" s="475" t="s">
        <v>876</v>
      </c>
      <c r="C57" s="489" t="s">
        <v>28</v>
      </c>
      <c r="D57" s="489" t="s">
        <v>28</v>
      </c>
      <c r="E57" s="489" t="s">
        <v>28</v>
      </c>
      <c r="F57" s="489" t="s">
        <v>28</v>
      </c>
      <c r="G57" s="489" t="s">
        <v>28</v>
      </c>
      <c r="H57" s="489" t="s">
        <v>28</v>
      </c>
      <c r="I57" s="489" t="s">
        <v>28</v>
      </c>
      <c r="J57" s="489" t="s">
        <v>28</v>
      </c>
      <c r="K57" s="527" t="s">
        <v>28</v>
      </c>
      <c r="L57" s="583" t="s">
        <v>28</v>
      </c>
      <c r="M57" s="477" t="s">
        <v>28</v>
      </c>
      <c r="N57" s="583" t="s">
        <v>28</v>
      </c>
      <c r="O57" s="489" t="s">
        <v>28</v>
      </c>
      <c r="P57" s="489" t="s">
        <v>28</v>
      </c>
      <c r="Q57" s="489" t="s">
        <v>28</v>
      </c>
      <c r="R57" s="489" t="s">
        <v>28</v>
      </c>
      <c r="S57" s="489" t="s">
        <v>28</v>
      </c>
      <c r="T57" s="476" t="s">
        <v>28</v>
      </c>
      <c r="U57" s="489" t="s">
        <v>28</v>
      </c>
      <c r="V57" s="476" t="s">
        <v>28</v>
      </c>
      <c r="W57" s="2048" t="s">
        <v>28</v>
      </c>
    </row>
    <row r="58" spans="1:23" ht="10.5" customHeight="1" thickBot="1">
      <c r="A58" s="2036" t="s">
        <v>877</v>
      </c>
      <c r="B58" s="475" t="s">
        <v>878</v>
      </c>
      <c r="C58" s="489" t="s">
        <v>28</v>
      </c>
      <c r="D58" s="489" t="s">
        <v>28</v>
      </c>
      <c r="E58" s="489" t="s">
        <v>28</v>
      </c>
      <c r="F58" s="489" t="s">
        <v>28</v>
      </c>
      <c r="G58" s="489" t="s">
        <v>28</v>
      </c>
      <c r="H58" s="489" t="s">
        <v>28</v>
      </c>
      <c r="I58" s="489" t="s">
        <v>28</v>
      </c>
      <c r="J58" s="489" t="s">
        <v>28</v>
      </c>
      <c r="K58" s="531" t="s">
        <v>28</v>
      </c>
      <c r="L58" s="583" t="s">
        <v>28</v>
      </c>
      <c r="M58" s="483" t="s">
        <v>28</v>
      </c>
      <c r="N58" s="532" t="s">
        <v>28</v>
      </c>
      <c r="O58" s="489" t="s">
        <v>28</v>
      </c>
      <c r="P58" s="489" t="s">
        <v>28</v>
      </c>
      <c r="Q58" s="489" t="s">
        <v>28</v>
      </c>
      <c r="R58" s="489" t="s">
        <v>28</v>
      </c>
      <c r="S58" s="489" t="s">
        <v>28</v>
      </c>
      <c r="T58" s="476" t="s">
        <v>28</v>
      </c>
      <c r="U58" s="489" t="s">
        <v>28</v>
      </c>
      <c r="V58" s="476" t="s">
        <v>28</v>
      </c>
      <c r="W58" s="2048" t="s">
        <v>28</v>
      </c>
    </row>
    <row r="59" spans="1:23" ht="90.75" customHeight="1">
      <c r="A59" s="1451" t="s">
        <v>1263</v>
      </c>
      <c r="B59" s="1451"/>
      <c r="C59" s="1451"/>
      <c r="D59" s="1451"/>
      <c r="E59" s="1451"/>
      <c r="F59" s="1451"/>
      <c r="G59" s="1451"/>
      <c r="H59" s="1451"/>
      <c r="I59" s="1451"/>
      <c r="J59" s="1451"/>
      <c r="K59" s="1451"/>
      <c r="L59" s="1452" t="s">
        <v>1259</v>
      </c>
      <c r="M59" s="1452"/>
      <c r="N59" s="1452"/>
      <c r="O59" s="1452"/>
      <c r="P59" s="1452"/>
      <c r="Q59" s="1452"/>
      <c r="R59" s="1452"/>
      <c r="S59" s="1452"/>
      <c r="T59" s="1452"/>
      <c r="U59" s="1452"/>
      <c r="V59" s="1452"/>
      <c r="W59" s="1452"/>
    </row>
    <row r="65" spans="1:4">
      <c r="A65" s="495"/>
      <c r="B65" s="496"/>
      <c r="C65" s="496"/>
      <c r="D65" s="496"/>
    </row>
    <row r="66" spans="1:4">
      <c r="A66" s="499"/>
      <c r="B66" s="496"/>
      <c r="C66" s="496"/>
      <c r="D66" s="496"/>
    </row>
    <row r="67" spans="1:4">
      <c r="A67" s="496"/>
      <c r="B67" s="496"/>
      <c r="C67" s="496"/>
      <c r="D67" s="496"/>
    </row>
    <row r="68" spans="1:4">
      <c r="A68" s="496"/>
      <c r="B68" s="496"/>
      <c r="C68" s="496"/>
      <c r="D68" s="496"/>
    </row>
  </sheetData>
  <mergeCells count="24">
    <mergeCell ref="Q7:Q8"/>
    <mergeCell ref="R7:R8"/>
    <mergeCell ref="A8:B8"/>
    <mergeCell ref="A5:B7"/>
    <mergeCell ref="Q5:Q6"/>
    <mergeCell ref="R5:R6"/>
    <mergeCell ref="C5:K5"/>
    <mergeCell ref="C6:K6"/>
    <mergeCell ref="L5:P5"/>
    <mergeCell ref="L6:P6"/>
    <mergeCell ref="A12:K12"/>
    <mergeCell ref="A28:K28"/>
    <mergeCell ref="L12:W12"/>
    <mergeCell ref="L28:W28"/>
    <mergeCell ref="A59:K59"/>
    <mergeCell ref="L59:W59"/>
    <mergeCell ref="A2:K2"/>
    <mergeCell ref="L2:W2"/>
    <mergeCell ref="A4:M4"/>
    <mergeCell ref="S6:W6"/>
    <mergeCell ref="S5:W5"/>
    <mergeCell ref="N4:W4"/>
    <mergeCell ref="A3:K3"/>
    <mergeCell ref="L3:W3"/>
  </mergeCells>
  <phoneticPr fontId="18" type="noConversion"/>
  <hyperlinks>
    <hyperlink ref="A1" location="목록!A1" display="목록!A1" xr:uid="{3308F871-3B7F-4352-BFF1-34055029E1A4}"/>
  </hyperlinks>
  <printOptions horizontalCentered="1"/>
  <pageMargins left="0.59055118110236227" right="0.59055118110236227" top="0.78740157480314965" bottom="0.35433070866141736" header="0.62992125984251968" footer="0.39370078740157483"/>
  <pageSetup paperSize="9" scale="98" orientation="portrait" r:id="rId1"/>
  <colBreaks count="1" manualBreakCount="1">
    <brk id="11" min="1" max="58"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dimension ref="A1:J58"/>
  <sheetViews>
    <sheetView showGridLines="0" showWhiteSpace="0" view="pageBreakPreview" zoomScaleNormal="100" zoomScaleSheetLayoutView="100" zoomScalePageLayoutView="85" workbookViewId="0">
      <selection activeCell="A2" sqref="A2:J58"/>
    </sheetView>
  </sheetViews>
  <sheetFormatPr defaultRowHeight="16.5"/>
  <cols>
    <col min="1" max="1" width="7.88671875" style="607" customWidth="1"/>
    <col min="2" max="2" width="10" style="608" customWidth="1"/>
    <col min="3" max="6" width="15.109375" style="425" customWidth="1"/>
    <col min="7" max="10" width="19.5546875" style="425" customWidth="1"/>
    <col min="11" max="16384" width="8.88671875" style="418"/>
  </cols>
  <sheetData>
    <row r="1" spans="1:10" ht="22.5">
      <c r="A1" s="901" t="s">
        <v>1332</v>
      </c>
    </row>
    <row r="2" spans="1:10" s="416" customFormat="1" ht="13.5" customHeight="1">
      <c r="A2" s="1351" t="s">
        <v>1193</v>
      </c>
      <c r="B2" s="1351"/>
      <c r="C2" s="1351"/>
      <c r="D2" s="1351"/>
      <c r="E2" s="1351"/>
      <c r="F2" s="1351"/>
      <c r="G2" s="1352" t="s">
        <v>1046</v>
      </c>
      <c r="H2" s="1352"/>
      <c r="I2" s="1352"/>
      <c r="J2" s="1352"/>
    </row>
    <row r="3" spans="1:10" s="417" customFormat="1" ht="22.5" customHeight="1">
      <c r="A3" s="1355" t="s">
        <v>901</v>
      </c>
      <c r="B3" s="1355"/>
      <c r="C3" s="1355"/>
      <c r="D3" s="1355"/>
      <c r="E3" s="1355"/>
      <c r="F3" s="1355"/>
      <c r="G3" s="1355" t="s">
        <v>900</v>
      </c>
      <c r="H3" s="1355"/>
      <c r="I3" s="1355"/>
      <c r="J3" s="1355"/>
    </row>
    <row r="4" spans="1:10" ht="10.5" customHeight="1" thickBot="1">
      <c r="A4" s="2058" t="s">
        <v>642</v>
      </c>
      <c r="B4" s="2058"/>
      <c r="C4" s="2058"/>
      <c r="D4" s="2058"/>
      <c r="E4" s="2058"/>
      <c r="F4" s="2058"/>
      <c r="G4" s="2058"/>
      <c r="H4" s="2058"/>
      <c r="I4" s="2058"/>
      <c r="J4" s="2058"/>
    </row>
    <row r="5" spans="1:10" ht="12.95" customHeight="1">
      <c r="A5" s="2059" t="s">
        <v>668</v>
      </c>
      <c r="B5" s="1471"/>
      <c r="C5" s="595" t="s">
        <v>715</v>
      </c>
      <c r="D5" s="2060" t="s">
        <v>1275</v>
      </c>
      <c r="E5" s="2061"/>
      <c r="F5" s="2062"/>
      <c r="G5" s="1472" t="s">
        <v>643</v>
      </c>
      <c r="H5" s="2059"/>
      <c r="I5" s="2059"/>
      <c r="J5" s="2059"/>
    </row>
    <row r="6" spans="1:10" ht="12.95" customHeight="1">
      <c r="A6" s="2063" t="s">
        <v>7</v>
      </c>
      <c r="B6" s="1464"/>
      <c r="C6" s="596" t="s">
        <v>16</v>
      </c>
      <c r="D6" s="1465" t="s">
        <v>303</v>
      </c>
      <c r="E6" s="1466"/>
      <c r="F6" s="1467"/>
      <c r="G6" s="1465" t="s">
        <v>304</v>
      </c>
      <c r="H6" s="1466"/>
      <c r="I6" s="1466"/>
      <c r="J6" s="1466"/>
    </row>
    <row r="7" spans="1:10" ht="12.95" customHeight="1">
      <c r="A7" s="2064"/>
      <c r="B7" s="1468"/>
      <c r="C7" s="597"/>
      <c r="D7" s="595" t="s">
        <v>13</v>
      </c>
      <c r="E7" s="598" t="s">
        <v>1264</v>
      </c>
      <c r="F7" s="595" t="s">
        <v>644</v>
      </c>
      <c r="G7" s="2065" t="s">
        <v>354</v>
      </c>
      <c r="H7" s="595" t="s">
        <v>716</v>
      </c>
      <c r="I7" s="595" t="s">
        <v>645</v>
      </c>
      <c r="J7" s="2066" t="s">
        <v>298</v>
      </c>
    </row>
    <row r="8" spans="1:10" ht="21" customHeight="1">
      <c r="A8" s="1469"/>
      <c r="B8" s="1470"/>
      <c r="C8" s="599"/>
      <c r="D8" s="992" t="s">
        <v>16</v>
      </c>
      <c r="E8" s="992" t="s">
        <v>1265</v>
      </c>
      <c r="F8" s="992" t="s">
        <v>305</v>
      </c>
      <c r="G8" s="600" t="s">
        <v>16</v>
      </c>
      <c r="H8" s="992" t="s">
        <v>306</v>
      </c>
      <c r="I8" s="992" t="s">
        <v>307</v>
      </c>
      <c r="J8" s="991" t="s">
        <v>150</v>
      </c>
    </row>
    <row r="9" spans="1:10" ht="12" customHeight="1">
      <c r="A9" s="604" t="s">
        <v>27</v>
      </c>
      <c r="B9" s="601" t="s">
        <v>16</v>
      </c>
      <c r="C9" s="2067">
        <v>2094461</v>
      </c>
      <c r="D9" s="2067">
        <v>1972414</v>
      </c>
      <c r="E9" s="2067">
        <v>1212035</v>
      </c>
      <c r="F9" s="2067">
        <v>760379</v>
      </c>
      <c r="G9" s="2068">
        <v>122047</v>
      </c>
      <c r="H9" s="2067">
        <v>4498</v>
      </c>
      <c r="I9" s="2067">
        <v>17430</v>
      </c>
      <c r="J9" s="2069">
        <v>100119</v>
      </c>
    </row>
    <row r="10" spans="1:10" ht="12" customHeight="1">
      <c r="A10" s="605" t="s">
        <v>136</v>
      </c>
      <c r="B10" s="602" t="s">
        <v>30</v>
      </c>
      <c r="C10" s="2070">
        <v>1984299</v>
      </c>
      <c r="D10" s="2070">
        <v>1873140</v>
      </c>
      <c r="E10" s="2070">
        <v>1157282</v>
      </c>
      <c r="F10" s="2070">
        <v>715858</v>
      </c>
      <c r="G10" s="2071">
        <v>111159</v>
      </c>
      <c r="H10" s="2070">
        <v>832</v>
      </c>
      <c r="I10" s="2070">
        <v>17430</v>
      </c>
      <c r="J10" s="2072">
        <v>92897</v>
      </c>
    </row>
    <row r="11" spans="1:10" ht="12" customHeight="1" thickBot="1">
      <c r="A11" s="2073" t="s">
        <v>137</v>
      </c>
      <c r="B11" s="603" t="s">
        <v>32</v>
      </c>
      <c r="C11" s="2074">
        <v>110162</v>
      </c>
      <c r="D11" s="2074">
        <v>99274</v>
      </c>
      <c r="E11" s="2074">
        <v>54753</v>
      </c>
      <c r="F11" s="2074">
        <v>44521</v>
      </c>
      <c r="G11" s="2075">
        <v>10888</v>
      </c>
      <c r="H11" s="2074">
        <v>3666</v>
      </c>
      <c r="I11" s="2074" t="s">
        <v>28</v>
      </c>
      <c r="J11" s="2076">
        <v>7222</v>
      </c>
    </row>
    <row r="12" spans="1:10" s="594" customFormat="1" ht="13.5" customHeight="1" thickBot="1">
      <c r="A12" s="2077" t="s">
        <v>33</v>
      </c>
      <c r="B12" s="2077"/>
      <c r="C12" s="2077"/>
      <c r="D12" s="2077"/>
      <c r="E12" s="2077"/>
      <c r="F12" s="2077"/>
      <c r="G12" s="2077" t="s">
        <v>646</v>
      </c>
      <c r="H12" s="2077"/>
      <c r="I12" s="2077"/>
      <c r="J12" s="2077"/>
    </row>
    <row r="13" spans="1:10" ht="12" customHeight="1">
      <c r="A13" s="604" t="s">
        <v>647</v>
      </c>
      <c r="B13" s="601" t="s">
        <v>648</v>
      </c>
      <c r="C13" s="2067">
        <v>464534</v>
      </c>
      <c r="D13" s="2067">
        <v>464390</v>
      </c>
      <c r="E13" s="2067">
        <v>307320</v>
      </c>
      <c r="F13" s="2078">
        <v>157070</v>
      </c>
      <c r="G13" s="2078">
        <v>144</v>
      </c>
      <c r="H13" s="2067" t="s">
        <v>28</v>
      </c>
      <c r="I13" s="2067" t="s">
        <v>28</v>
      </c>
      <c r="J13" s="2069">
        <v>144</v>
      </c>
    </row>
    <row r="14" spans="1:10" ht="12" customHeight="1">
      <c r="A14" s="605" t="s">
        <v>136</v>
      </c>
      <c r="B14" s="602" t="s">
        <v>30</v>
      </c>
      <c r="C14" s="2070">
        <v>397254</v>
      </c>
      <c r="D14" s="2070">
        <v>397254</v>
      </c>
      <c r="E14" s="2070">
        <v>274487</v>
      </c>
      <c r="F14" s="2071">
        <v>122767</v>
      </c>
      <c r="G14" s="2071" t="s">
        <v>28</v>
      </c>
      <c r="H14" s="2070" t="s">
        <v>28</v>
      </c>
      <c r="I14" s="2070" t="s">
        <v>28</v>
      </c>
      <c r="J14" s="2079" t="s">
        <v>28</v>
      </c>
    </row>
    <row r="15" spans="1:10" ht="12" customHeight="1">
      <c r="A15" s="605" t="s">
        <v>137</v>
      </c>
      <c r="B15" s="602" t="s">
        <v>32</v>
      </c>
      <c r="C15" s="2070">
        <v>67280</v>
      </c>
      <c r="D15" s="2070">
        <v>67136</v>
      </c>
      <c r="E15" s="2070">
        <v>32833</v>
      </c>
      <c r="F15" s="2071">
        <v>34303</v>
      </c>
      <c r="G15" s="2071">
        <v>144</v>
      </c>
      <c r="H15" s="2070" t="s">
        <v>28</v>
      </c>
      <c r="I15" s="2070" t="s">
        <v>28</v>
      </c>
      <c r="J15" s="2079">
        <v>144</v>
      </c>
    </row>
    <row r="16" spans="1:10" ht="12" customHeight="1">
      <c r="A16" s="604" t="s">
        <v>37</v>
      </c>
      <c r="B16" s="601" t="s">
        <v>38</v>
      </c>
      <c r="C16" s="2067">
        <v>567899</v>
      </c>
      <c r="D16" s="2067">
        <v>495829</v>
      </c>
      <c r="E16" s="2067">
        <v>292364</v>
      </c>
      <c r="F16" s="2068">
        <v>203465</v>
      </c>
      <c r="G16" s="2068">
        <v>72070</v>
      </c>
      <c r="H16" s="2067">
        <v>832</v>
      </c>
      <c r="I16" s="2067" t="s">
        <v>28</v>
      </c>
      <c r="J16" s="2069">
        <v>71238</v>
      </c>
    </row>
    <row r="17" spans="1:10" ht="12" customHeight="1">
      <c r="A17" s="605" t="s">
        <v>1148</v>
      </c>
      <c r="B17" s="602" t="s">
        <v>30</v>
      </c>
      <c r="C17" s="2070">
        <v>567899</v>
      </c>
      <c r="D17" s="2070">
        <v>495829</v>
      </c>
      <c r="E17" s="2070">
        <v>292364</v>
      </c>
      <c r="F17" s="2071">
        <v>203465</v>
      </c>
      <c r="G17" s="2071">
        <v>72070</v>
      </c>
      <c r="H17" s="2070">
        <v>832</v>
      </c>
      <c r="I17" s="2070" t="s">
        <v>28</v>
      </c>
      <c r="J17" s="2079">
        <v>71238</v>
      </c>
    </row>
    <row r="18" spans="1:10" ht="12" customHeight="1">
      <c r="A18" s="605" t="s">
        <v>137</v>
      </c>
      <c r="B18" s="602" t="s">
        <v>32</v>
      </c>
      <c r="C18" s="2070" t="s">
        <v>28</v>
      </c>
      <c r="D18" s="2070" t="s">
        <v>28</v>
      </c>
      <c r="E18" s="2070" t="s">
        <v>28</v>
      </c>
      <c r="F18" s="2071" t="s">
        <v>28</v>
      </c>
      <c r="G18" s="2071" t="s">
        <v>28</v>
      </c>
      <c r="H18" s="2070" t="s">
        <v>28</v>
      </c>
      <c r="I18" s="2070" t="s">
        <v>28</v>
      </c>
      <c r="J18" s="2079" t="s">
        <v>28</v>
      </c>
    </row>
    <row r="19" spans="1:10" ht="12" customHeight="1">
      <c r="A19" s="604" t="s">
        <v>39</v>
      </c>
      <c r="B19" s="601" t="s">
        <v>40</v>
      </c>
      <c r="C19" s="2067">
        <v>529316</v>
      </c>
      <c r="D19" s="2067">
        <v>529012</v>
      </c>
      <c r="E19" s="2067">
        <v>313238</v>
      </c>
      <c r="F19" s="2068">
        <v>215774</v>
      </c>
      <c r="G19" s="2068">
        <v>304</v>
      </c>
      <c r="H19" s="2067" t="s">
        <v>28</v>
      </c>
      <c r="I19" s="2067" t="s">
        <v>28</v>
      </c>
      <c r="J19" s="2069">
        <v>304</v>
      </c>
    </row>
    <row r="20" spans="1:10" ht="12" customHeight="1">
      <c r="A20" s="605" t="s">
        <v>136</v>
      </c>
      <c r="B20" s="602" t="s">
        <v>30</v>
      </c>
      <c r="C20" s="2070">
        <v>516359</v>
      </c>
      <c r="D20" s="2070">
        <v>516055</v>
      </c>
      <c r="E20" s="2070">
        <v>303249</v>
      </c>
      <c r="F20" s="2071">
        <v>212806</v>
      </c>
      <c r="G20" s="2071">
        <v>304</v>
      </c>
      <c r="H20" s="2070" t="s">
        <v>28</v>
      </c>
      <c r="I20" s="2070" t="s">
        <v>28</v>
      </c>
      <c r="J20" s="2079">
        <v>304</v>
      </c>
    </row>
    <row r="21" spans="1:10" ht="12" customHeight="1">
      <c r="A21" s="605" t="s">
        <v>137</v>
      </c>
      <c r="B21" s="602" t="s">
        <v>32</v>
      </c>
      <c r="C21" s="2070">
        <v>12957</v>
      </c>
      <c r="D21" s="2070">
        <v>12957</v>
      </c>
      <c r="E21" s="2070">
        <v>9989</v>
      </c>
      <c r="F21" s="2071">
        <v>2968</v>
      </c>
      <c r="G21" s="2071" t="s">
        <v>28</v>
      </c>
      <c r="H21" s="2070" t="s">
        <v>28</v>
      </c>
      <c r="I21" s="2070" t="s">
        <v>28</v>
      </c>
      <c r="J21" s="2079" t="s">
        <v>28</v>
      </c>
    </row>
    <row r="22" spans="1:10" ht="12" customHeight="1">
      <c r="A22" s="604" t="s">
        <v>41</v>
      </c>
      <c r="B22" s="601" t="s">
        <v>42</v>
      </c>
      <c r="C22" s="2067">
        <v>382257</v>
      </c>
      <c r="D22" s="2067">
        <v>381665</v>
      </c>
      <c r="E22" s="2067">
        <v>244003</v>
      </c>
      <c r="F22" s="2068">
        <v>137662</v>
      </c>
      <c r="G22" s="2068">
        <v>592</v>
      </c>
      <c r="H22" s="2067" t="s">
        <v>28</v>
      </c>
      <c r="I22" s="2067" t="s">
        <v>28</v>
      </c>
      <c r="J22" s="2069">
        <v>592</v>
      </c>
    </row>
    <row r="23" spans="1:10" ht="12" customHeight="1">
      <c r="A23" s="605" t="s">
        <v>136</v>
      </c>
      <c r="B23" s="602" t="s">
        <v>30</v>
      </c>
      <c r="C23" s="2070">
        <v>382257</v>
      </c>
      <c r="D23" s="2070">
        <v>381665</v>
      </c>
      <c r="E23" s="2070">
        <v>244003</v>
      </c>
      <c r="F23" s="2071">
        <v>137662</v>
      </c>
      <c r="G23" s="2071">
        <v>592</v>
      </c>
      <c r="H23" s="2070" t="s">
        <v>28</v>
      </c>
      <c r="I23" s="2070" t="s">
        <v>28</v>
      </c>
      <c r="J23" s="2079">
        <v>592</v>
      </c>
    </row>
    <row r="24" spans="1:10" ht="12" customHeight="1">
      <c r="A24" s="605" t="s">
        <v>137</v>
      </c>
      <c r="B24" s="602" t="s">
        <v>32</v>
      </c>
      <c r="C24" s="2070" t="s">
        <v>28</v>
      </c>
      <c r="D24" s="2070" t="s">
        <v>28</v>
      </c>
      <c r="E24" s="2070" t="s">
        <v>28</v>
      </c>
      <c r="F24" s="2071" t="s">
        <v>28</v>
      </c>
      <c r="G24" s="2071" t="s">
        <v>28</v>
      </c>
      <c r="H24" s="2070" t="s">
        <v>28</v>
      </c>
      <c r="I24" s="2070" t="s">
        <v>28</v>
      </c>
      <c r="J24" s="2079" t="s">
        <v>28</v>
      </c>
    </row>
    <row r="25" spans="1:10" ht="12" customHeight="1">
      <c r="A25" s="604" t="s">
        <v>43</v>
      </c>
      <c r="B25" s="601" t="s">
        <v>44</v>
      </c>
      <c r="C25" s="2067">
        <v>150455</v>
      </c>
      <c r="D25" s="2067">
        <v>101518</v>
      </c>
      <c r="E25" s="2067">
        <v>55110</v>
      </c>
      <c r="F25" s="2068">
        <v>46408</v>
      </c>
      <c r="G25" s="2068">
        <v>48937</v>
      </c>
      <c r="H25" s="2067">
        <v>3666</v>
      </c>
      <c r="I25" s="2067">
        <v>17430</v>
      </c>
      <c r="J25" s="2069">
        <v>27841</v>
      </c>
    </row>
    <row r="26" spans="1:10" ht="12" customHeight="1">
      <c r="A26" s="605" t="s">
        <v>136</v>
      </c>
      <c r="B26" s="602" t="s">
        <v>30</v>
      </c>
      <c r="C26" s="2070">
        <v>120530</v>
      </c>
      <c r="D26" s="2070">
        <v>82337</v>
      </c>
      <c r="E26" s="2070">
        <v>43179</v>
      </c>
      <c r="F26" s="2071">
        <v>39158</v>
      </c>
      <c r="G26" s="2071">
        <v>38193</v>
      </c>
      <c r="H26" s="2070" t="s">
        <v>28</v>
      </c>
      <c r="I26" s="2070">
        <v>17430</v>
      </c>
      <c r="J26" s="2079">
        <v>20763</v>
      </c>
    </row>
    <row r="27" spans="1:10" ht="12" customHeight="1" thickBot="1">
      <c r="A27" s="2073" t="s">
        <v>137</v>
      </c>
      <c r="B27" s="603" t="s">
        <v>32</v>
      </c>
      <c r="C27" s="2074">
        <v>29925</v>
      </c>
      <c r="D27" s="2074">
        <v>19181</v>
      </c>
      <c r="E27" s="2074">
        <v>11931</v>
      </c>
      <c r="F27" s="2075">
        <v>7250</v>
      </c>
      <c r="G27" s="2075">
        <v>10744</v>
      </c>
      <c r="H27" s="2074">
        <v>3666</v>
      </c>
      <c r="I27" s="2074" t="s">
        <v>28</v>
      </c>
      <c r="J27" s="2080">
        <v>7078</v>
      </c>
    </row>
    <row r="28" spans="1:10" s="594" customFormat="1" ht="13.5" customHeight="1" thickBot="1">
      <c r="A28" s="1463" t="s">
        <v>45</v>
      </c>
      <c r="B28" s="1463"/>
      <c r="C28" s="1463"/>
      <c r="D28" s="1463"/>
      <c r="E28" s="1463"/>
      <c r="F28" s="1463"/>
      <c r="G28" s="1463" t="s">
        <v>649</v>
      </c>
      <c r="H28" s="1463"/>
      <c r="I28" s="1463"/>
      <c r="J28" s="1463"/>
    </row>
    <row r="29" spans="1:10" ht="12" customHeight="1">
      <c r="A29" s="604" t="s">
        <v>47</v>
      </c>
      <c r="B29" s="606" t="s">
        <v>48</v>
      </c>
      <c r="C29" s="2067">
        <v>125997</v>
      </c>
      <c r="D29" s="2067">
        <v>125853</v>
      </c>
      <c r="E29" s="2067">
        <v>91022</v>
      </c>
      <c r="F29" s="2067">
        <v>34831</v>
      </c>
      <c r="G29" s="2078">
        <v>144</v>
      </c>
      <c r="H29" s="2067" t="s">
        <v>28</v>
      </c>
      <c r="I29" s="2067" t="s">
        <v>28</v>
      </c>
      <c r="J29" s="2081">
        <v>144</v>
      </c>
    </row>
    <row r="30" spans="1:10" ht="12" customHeight="1">
      <c r="A30" s="605" t="s">
        <v>136</v>
      </c>
      <c r="B30" s="602" t="s">
        <v>30</v>
      </c>
      <c r="C30" s="2070">
        <v>105401</v>
      </c>
      <c r="D30" s="2070">
        <v>105401</v>
      </c>
      <c r="E30" s="2070">
        <v>73265</v>
      </c>
      <c r="F30" s="2070">
        <v>32136</v>
      </c>
      <c r="G30" s="2071" t="s">
        <v>28</v>
      </c>
      <c r="H30" s="2070" t="s">
        <v>28</v>
      </c>
      <c r="I30" s="2070" t="s">
        <v>28</v>
      </c>
      <c r="J30" s="2079" t="s">
        <v>28</v>
      </c>
    </row>
    <row r="31" spans="1:10" ht="12" customHeight="1">
      <c r="A31" s="605" t="s">
        <v>137</v>
      </c>
      <c r="B31" s="602" t="s">
        <v>32</v>
      </c>
      <c r="C31" s="2070">
        <v>20596</v>
      </c>
      <c r="D31" s="2070">
        <v>20452</v>
      </c>
      <c r="E31" s="2070">
        <v>17757</v>
      </c>
      <c r="F31" s="2070">
        <v>2695</v>
      </c>
      <c r="G31" s="2071">
        <v>144</v>
      </c>
      <c r="H31" s="2070" t="s">
        <v>28</v>
      </c>
      <c r="I31" s="2070" t="s">
        <v>28</v>
      </c>
      <c r="J31" s="2079">
        <v>144</v>
      </c>
    </row>
    <row r="32" spans="1:10" ht="12" customHeight="1">
      <c r="A32" s="604" t="s">
        <v>49</v>
      </c>
      <c r="B32" s="601" t="s">
        <v>50</v>
      </c>
      <c r="C32" s="2067">
        <v>58621</v>
      </c>
      <c r="D32" s="2067">
        <v>58621</v>
      </c>
      <c r="E32" s="2067">
        <v>21049</v>
      </c>
      <c r="F32" s="2067">
        <v>37572</v>
      </c>
      <c r="G32" s="2068" t="s">
        <v>28</v>
      </c>
      <c r="H32" s="2067" t="s">
        <v>28</v>
      </c>
      <c r="I32" s="2067" t="s">
        <v>28</v>
      </c>
      <c r="J32" s="2082" t="s">
        <v>28</v>
      </c>
    </row>
    <row r="33" spans="1:10" ht="12" customHeight="1">
      <c r="A33" s="605" t="s">
        <v>136</v>
      </c>
      <c r="B33" s="602" t="s">
        <v>30</v>
      </c>
      <c r="C33" s="2070">
        <v>11937</v>
      </c>
      <c r="D33" s="2070">
        <v>11937</v>
      </c>
      <c r="E33" s="2070">
        <v>5973</v>
      </c>
      <c r="F33" s="2070">
        <v>5964</v>
      </c>
      <c r="G33" s="2071" t="s">
        <v>28</v>
      </c>
      <c r="H33" s="2070" t="s">
        <v>28</v>
      </c>
      <c r="I33" s="2070" t="s">
        <v>28</v>
      </c>
      <c r="J33" s="2079" t="s">
        <v>28</v>
      </c>
    </row>
    <row r="34" spans="1:10" ht="12" customHeight="1">
      <c r="A34" s="605" t="s">
        <v>137</v>
      </c>
      <c r="B34" s="602" t="s">
        <v>32</v>
      </c>
      <c r="C34" s="2070">
        <v>46684</v>
      </c>
      <c r="D34" s="2070">
        <v>46684</v>
      </c>
      <c r="E34" s="2070">
        <v>15076</v>
      </c>
      <c r="F34" s="2070">
        <v>31608</v>
      </c>
      <c r="G34" s="2071" t="s">
        <v>28</v>
      </c>
      <c r="H34" s="2070" t="s">
        <v>28</v>
      </c>
      <c r="I34" s="2070" t="s">
        <v>28</v>
      </c>
      <c r="J34" s="2079" t="s">
        <v>28</v>
      </c>
    </row>
    <row r="35" spans="1:10" ht="12" customHeight="1">
      <c r="A35" s="604" t="s">
        <v>963</v>
      </c>
      <c r="B35" s="601" t="s">
        <v>964</v>
      </c>
      <c r="C35" s="2067">
        <v>279916</v>
      </c>
      <c r="D35" s="2067">
        <v>279916</v>
      </c>
      <c r="E35" s="2067">
        <v>195249</v>
      </c>
      <c r="F35" s="2067">
        <v>84667</v>
      </c>
      <c r="G35" s="2068" t="s">
        <v>28</v>
      </c>
      <c r="H35" s="2067" t="s">
        <v>28</v>
      </c>
      <c r="I35" s="2067" t="s">
        <v>28</v>
      </c>
      <c r="J35" s="2082" t="s">
        <v>28</v>
      </c>
    </row>
    <row r="36" spans="1:10" ht="12" customHeight="1">
      <c r="A36" s="605" t="s">
        <v>136</v>
      </c>
      <c r="B36" s="602" t="s">
        <v>30</v>
      </c>
      <c r="C36" s="2070">
        <v>279916</v>
      </c>
      <c r="D36" s="2070">
        <v>279916</v>
      </c>
      <c r="E36" s="2070">
        <v>195249</v>
      </c>
      <c r="F36" s="2070">
        <v>84667</v>
      </c>
      <c r="G36" s="2071" t="s">
        <v>28</v>
      </c>
      <c r="H36" s="2070" t="s">
        <v>28</v>
      </c>
      <c r="I36" s="2070" t="s">
        <v>28</v>
      </c>
      <c r="J36" s="2079" t="s">
        <v>28</v>
      </c>
    </row>
    <row r="37" spans="1:10" ht="12" customHeight="1">
      <c r="A37" s="605" t="s">
        <v>137</v>
      </c>
      <c r="B37" s="602" t="s">
        <v>32</v>
      </c>
      <c r="C37" s="2070" t="s">
        <v>28</v>
      </c>
      <c r="D37" s="2070" t="s">
        <v>28</v>
      </c>
      <c r="E37" s="2070" t="s">
        <v>28</v>
      </c>
      <c r="F37" s="2070" t="s">
        <v>28</v>
      </c>
      <c r="G37" s="2071" t="s">
        <v>28</v>
      </c>
      <c r="H37" s="2070" t="s">
        <v>28</v>
      </c>
      <c r="I37" s="2070" t="s">
        <v>28</v>
      </c>
      <c r="J37" s="2079" t="s">
        <v>28</v>
      </c>
    </row>
    <row r="38" spans="1:10" ht="12" customHeight="1">
      <c r="A38" s="604" t="s">
        <v>51</v>
      </c>
      <c r="B38" s="601" t="s">
        <v>52</v>
      </c>
      <c r="C38" s="2067">
        <v>257707</v>
      </c>
      <c r="D38" s="2067">
        <v>257403</v>
      </c>
      <c r="E38" s="2067">
        <v>160552</v>
      </c>
      <c r="F38" s="2067">
        <v>96851</v>
      </c>
      <c r="G38" s="2068">
        <v>304</v>
      </c>
      <c r="H38" s="2067" t="s">
        <v>28</v>
      </c>
      <c r="I38" s="2067" t="s">
        <v>28</v>
      </c>
      <c r="J38" s="2082">
        <v>304</v>
      </c>
    </row>
    <row r="39" spans="1:10" ht="12" customHeight="1">
      <c r="A39" s="605" t="s">
        <v>136</v>
      </c>
      <c r="B39" s="602" t="s">
        <v>30</v>
      </c>
      <c r="C39" s="2070">
        <v>244750</v>
      </c>
      <c r="D39" s="2070">
        <v>244446</v>
      </c>
      <c r="E39" s="2070">
        <v>150563</v>
      </c>
      <c r="F39" s="2070">
        <v>93883</v>
      </c>
      <c r="G39" s="2071">
        <v>304</v>
      </c>
      <c r="H39" s="2070" t="s">
        <v>28</v>
      </c>
      <c r="I39" s="2070" t="s">
        <v>28</v>
      </c>
      <c r="J39" s="2079">
        <v>304</v>
      </c>
    </row>
    <row r="40" spans="1:10" ht="12" customHeight="1">
      <c r="A40" s="605" t="s">
        <v>137</v>
      </c>
      <c r="B40" s="602" t="s">
        <v>32</v>
      </c>
      <c r="C40" s="2070">
        <v>12957</v>
      </c>
      <c r="D40" s="2070">
        <v>12957</v>
      </c>
      <c r="E40" s="2070">
        <v>9989</v>
      </c>
      <c r="F40" s="2070">
        <v>2968</v>
      </c>
      <c r="G40" s="2071" t="s">
        <v>28</v>
      </c>
      <c r="H40" s="2070" t="s">
        <v>28</v>
      </c>
      <c r="I40" s="2070" t="s">
        <v>28</v>
      </c>
      <c r="J40" s="2079" t="s">
        <v>28</v>
      </c>
    </row>
    <row r="41" spans="1:10" ht="12" customHeight="1">
      <c r="A41" s="604" t="s">
        <v>53</v>
      </c>
      <c r="B41" s="601" t="s">
        <v>54</v>
      </c>
      <c r="C41" s="2067">
        <v>271609</v>
      </c>
      <c r="D41" s="2067">
        <v>271609</v>
      </c>
      <c r="E41" s="2067">
        <v>152686</v>
      </c>
      <c r="F41" s="2067">
        <v>118923</v>
      </c>
      <c r="G41" s="2068" t="s">
        <v>28</v>
      </c>
      <c r="H41" s="2067" t="s">
        <v>28</v>
      </c>
      <c r="I41" s="2067" t="s">
        <v>28</v>
      </c>
      <c r="J41" s="2082" t="s">
        <v>28</v>
      </c>
    </row>
    <row r="42" spans="1:10" ht="12" customHeight="1">
      <c r="A42" s="605" t="s">
        <v>136</v>
      </c>
      <c r="B42" s="602" t="s">
        <v>30</v>
      </c>
      <c r="C42" s="2070">
        <v>271609</v>
      </c>
      <c r="D42" s="2070">
        <v>271609</v>
      </c>
      <c r="E42" s="2070">
        <v>152686</v>
      </c>
      <c r="F42" s="2070">
        <v>118923</v>
      </c>
      <c r="G42" s="2071" t="s">
        <v>28</v>
      </c>
      <c r="H42" s="2070" t="s">
        <v>28</v>
      </c>
      <c r="I42" s="2070" t="s">
        <v>28</v>
      </c>
      <c r="J42" s="2079" t="s">
        <v>28</v>
      </c>
    </row>
    <row r="43" spans="1:10" ht="12" customHeight="1">
      <c r="A43" s="605" t="s">
        <v>137</v>
      </c>
      <c r="B43" s="602" t="s">
        <v>32</v>
      </c>
      <c r="C43" s="2070" t="s">
        <v>28</v>
      </c>
      <c r="D43" s="2070" t="s">
        <v>28</v>
      </c>
      <c r="E43" s="2070" t="s">
        <v>28</v>
      </c>
      <c r="F43" s="2070" t="s">
        <v>28</v>
      </c>
      <c r="G43" s="2071" t="s">
        <v>28</v>
      </c>
      <c r="H43" s="2070" t="s">
        <v>28</v>
      </c>
      <c r="I43" s="2070" t="s">
        <v>28</v>
      </c>
      <c r="J43" s="2079" t="s">
        <v>28</v>
      </c>
    </row>
    <row r="44" spans="1:10" ht="12" customHeight="1">
      <c r="A44" s="604" t="s">
        <v>55</v>
      </c>
      <c r="B44" s="601" t="s">
        <v>56</v>
      </c>
      <c r="C44" s="2067">
        <v>349044</v>
      </c>
      <c r="D44" s="2067">
        <v>303665</v>
      </c>
      <c r="E44" s="2067">
        <v>176689</v>
      </c>
      <c r="F44" s="2067">
        <v>126976</v>
      </c>
      <c r="G44" s="2068">
        <v>45379</v>
      </c>
      <c r="H44" s="2067" t="s">
        <v>28</v>
      </c>
      <c r="I44" s="2067" t="s">
        <v>28</v>
      </c>
      <c r="J44" s="2082">
        <v>45379</v>
      </c>
    </row>
    <row r="45" spans="1:10" ht="12" customHeight="1">
      <c r="A45" s="605" t="s">
        <v>136</v>
      </c>
      <c r="B45" s="602" t="s">
        <v>30</v>
      </c>
      <c r="C45" s="2070">
        <v>349044</v>
      </c>
      <c r="D45" s="2070">
        <v>303665</v>
      </c>
      <c r="E45" s="2070">
        <v>176689</v>
      </c>
      <c r="F45" s="2070">
        <v>126976</v>
      </c>
      <c r="G45" s="2071">
        <v>45379</v>
      </c>
      <c r="H45" s="2070" t="s">
        <v>28</v>
      </c>
      <c r="I45" s="2070" t="s">
        <v>28</v>
      </c>
      <c r="J45" s="2079">
        <v>45379</v>
      </c>
    </row>
    <row r="46" spans="1:10" ht="12" customHeight="1">
      <c r="A46" s="605" t="s">
        <v>137</v>
      </c>
      <c r="B46" s="602" t="s">
        <v>32</v>
      </c>
      <c r="C46" s="2070" t="s">
        <v>28</v>
      </c>
      <c r="D46" s="2070" t="s">
        <v>28</v>
      </c>
      <c r="E46" s="2070" t="s">
        <v>28</v>
      </c>
      <c r="F46" s="2070" t="s">
        <v>28</v>
      </c>
      <c r="G46" s="2071" t="s">
        <v>28</v>
      </c>
      <c r="H46" s="2070" t="s">
        <v>28</v>
      </c>
      <c r="I46" s="2070" t="s">
        <v>28</v>
      </c>
      <c r="J46" s="2079" t="s">
        <v>28</v>
      </c>
    </row>
    <row r="47" spans="1:10" ht="12" customHeight="1">
      <c r="A47" s="604" t="s">
        <v>57</v>
      </c>
      <c r="B47" s="601" t="s">
        <v>58</v>
      </c>
      <c r="C47" s="2067">
        <v>218855</v>
      </c>
      <c r="D47" s="2067">
        <v>192164</v>
      </c>
      <c r="E47" s="2067">
        <v>115675</v>
      </c>
      <c r="F47" s="2067">
        <v>76489</v>
      </c>
      <c r="G47" s="2068">
        <v>26691</v>
      </c>
      <c r="H47" s="2067">
        <v>832</v>
      </c>
      <c r="I47" s="2067" t="s">
        <v>28</v>
      </c>
      <c r="J47" s="2082">
        <v>25859</v>
      </c>
    </row>
    <row r="48" spans="1:10" ht="12" customHeight="1">
      <c r="A48" s="605" t="s">
        <v>136</v>
      </c>
      <c r="B48" s="602" t="s">
        <v>30</v>
      </c>
      <c r="C48" s="2070">
        <v>218855</v>
      </c>
      <c r="D48" s="2070">
        <v>192164</v>
      </c>
      <c r="E48" s="2070">
        <v>115675</v>
      </c>
      <c r="F48" s="2070">
        <v>76489</v>
      </c>
      <c r="G48" s="2071">
        <v>26691</v>
      </c>
      <c r="H48" s="2070">
        <v>832</v>
      </c>
      <c r="I48" s="2070" t="s">
        <v>28</v>
      </c>
      <c r="J48" s="2079">
        <v>25859</v>
      </c>
    </row>
    <row r="49" spans="1:10" ht="12" customHeight="1">
      <c r="A49" s="605" t="s">
        <v>137</v>
      </c>
      <c r="B49" s="602" t="s">
        <v>32</v>
      </c>
      <c r="C49" s="2070" t="s">
        <v>28</v>
      </c>
      <c r="D49" s="2070" t="s">
        <v>28</v>
      </c>
      <c r="E49" s="2070" t="s">
        <v>28</v>
      </c>
      <c r="F49" s="2070" t="s">
        <v>28</v>
      </c>
      <c r="G49" s="2071" t="s">
        <v>28</v>
      </c>
      <c r="H49" s="2070" t="s">
        <v>28</v>
      </c>
      <c r="I49" s="2070" t="s">
        <v>28</v>
      </c>
      <c r="J49" s="2079" t="s">
        <v>28</v>
      </c>
    </row>
    <row r="50" spans="1:10" ht="12" customHeight="1">
      <c r="A50" s="604" t="s">
        <v>59</v>
      </c>
      <c r="B50" s="601" t="s">
        <v>60</v>
      </c>
      <c r="C50" s="2067">
        <v>382257</v>
      </c>
      <c r="D50" s="2067">
        <v>381665</v>
      </c>
      <c r="E50" s="2067">
        <v>244003</v>
      </c>
      <c r="F50" s="2067">
        <v>137662</v>
      </c>
      <c r="G50" s="2068">
        <v>592</v>
      </c>
      <c r="H50" s="2067" t="s">
        <v>28</v>
      </c>
      <c r="I50" s="2067" t="s">
        <v>28</v>
      </c>
      <c r="J50" s="2082">
        <v>592</v>
      </c>
    </row>
    <row r="51" spans="1:10" ht="12" customHeight="1">
      <c r="A51" s="605" t="s">
        <v>136</v>
      </c>
      <c r="B51" s="602" t="s">
        <v>30</v>
      </c>
      <c r="C51" s="2070">
        <v>382257</v>
      </c>
      <c r="D51" s="2070">
        <v>381665</v>
      </c>
      <c r="E51" s="2070">
        <v>244003</v>
      </c>
      <c r="F51" s="2070">
        <v>137662</v>
      </c>
      <c r="G51" s="2071">
        <v>592</v>
      </c>
      <c r="H51" s="2070" t="s">
        <v>28</v>
      </c>
      <c r="I51" s="2070" t="s">
        <v>28</v>
      </c>
      <c r="J51" s="2079">
        <v>592</v>
      </c>
    </row>
    <row r="52" spans="1:10" ht="12" customHeight="1">
      <c r="A52" s="605" t="s">
        <v>137</v>
      </c>
      <c r="B52" s="602" t="s">
        <v>32</v>
      </c>
      <c r="C52" s="2070" t="s">
        <v>28</v>
      </c>
      <c r="D52" s="2070" t="s">
        <v>28</v>
      </c>
      <c r="E52" s="2070" t="s">
        <v>28</v>
      </c>
      <c r="F52" s="2070" t="s">
        <v>28</v>
      </c>
      <c r="G52" s="2071" t="s">
        <v>28</v>
      </c>
      <c r="H52" s="2070" t="s">
        <v>28</v>
      </c>
      <c r="I52" s="2070" t="s">
        <v>28</v>
      </c>
      <c r="J52" s="2079" t="s">
        <v>28</v>
      </c>
    </row>
    <row r="53" spans="1:10" ht="12" customHeight="1">
      <c r="A53" s="604" t="s">
        <v>61</v>
      </c>
      <c r="B53" s="601" t="s">
        <v>62</v>
      </c>
      <c r="C53" s="2067">
        <v>150455</v>
      </c>
      <c r="D53" s="2067">
        <v>101518</v>
      </c>
      <c r="E53" s="2067">
        <v>55110</v>
      </c>
      <c r="F53" s="2067">
        <v>46408</v>
      </c>
      <c r="G53" s="2068">
        <v>48937</v>
      </c>
      <c r="H53" s="2067">
        <v>3666</v>
      </c>
      <c r="I53" s="2067">
        <v>17430</v>
      </c>
      <c r="J53" s="2082">
        <v>27841</v>
      </c>
    </row>
    <row r="54" spans="1:10" ht="12" customHeight="1">
      <c r="A54" s="605" t="s">
        <v>136</v>
      </c>
      <c r="B54" s="602" t="s">
        <v>30</v>
      </c>
      <c r="C54" s="2070">
        <v>120530</v>
      </c>
      <c r="D54" s="2070">
        <v>82337</v>
      </c>
      <c r="E54" s="2070">
        <v>43179</v>
      </c>
      <c r="F54" s="2070">
        <v>39158</v>
      </c>
      <c r="G54" s="2071">
        <v>38193</v>
      </c>
      <c r="H54" s="2070" t="s">
        <v>28</v>
      </c>
      <c r="I54" s="2070">
        <v>17430</v>
      </c>
      <c r="J54" s="2079">
        <v>20763</v>
      </c>
    </row>
    <row r="55" spans="1:10" ht="12" customHeight="1">
      <c r="A55" s="605" t="s">
        <v>137</v>
      </c>
      <c r="B55" s="602" t="s">
        <v>32</v>
      </c>
      <c r="C55" s="2070">
        <v>29925</v>
      </c>
      <c r="D55" s="2070">
        <v>19181</v>
      </c>
      <c r="E55" s="2070">
        <v>11931</v>
      </c>
      <c r="F55" s="2070">
        <v>7250</v>
      </c>
      <c r="G55" s="2071">
        <v>10744</v>
      </c>
      <c r="H55" s="2070">
        <v>3666</v>
      </c>
      <c r="I55" s="2070" t="s">
        <v>28</v>
      </c>
      <c r="J55" s="2079">
        <v>7078</v>
      </c>
    </row>
    <row r="56" spans="1:10" ht="12" customHeight="1">
      <c r="A56" s="604" t="s">
        <v>63</v>
      </c>
      <c r="B56" s="601" t="s">
        <v>64</v>
      </c>
      <c r="C56" s="2067" t="s">
        <v>28</v>
      </c>
      <c r="D56" s="2067" t="s">
        <v>28</v>
      </c>
      <c r="E56" s="2067" t="s">
        <v>28</v>
      </c>
      <c r="F56" s="2067" t="s">
        <v>28</v>
      </c>
      <c r="G56" s="2068" t="s">
        <v>28</v>
      </c>
      <c r="H56" s="2067" t="s">
        <v>28</v>
      </c>
      <c r="I56" s="2067" t="s">
        <v>28</v>
      </c>
      <c r="J56" s="2082" t="s">
        <v>28</v>
      </c>
    </row>
    <row r="57" spans="1:10" ht="12" customHeight="1">
      <c r="A57" s="605" t="s">
        <v>136</v>
      </c>
      <c r="B57" s="602" t="s">
        <v>30</v>
      </c>
      <c r="C57" s="2070" t="s">
        <v>28</v>
      </c>
      <c r="D57" s="2070" t="s">
        <v>28</v>
      </c>
      <c r="E57" s="2070" t="s">
        <v>28</v>
      </c>
      <c r="F57" s="2070" t="s">
        <v>28</v>
      </c>
      <c r="G57" s="2071" t="s">
        <v>28</v>
      </c>
      <c r="H57" s="2070" t="s">
        <v>28</v>
      </c>
      <c r="I57" s="2070" t="s">
        <v>28</v>
      </c>
      <c r="J57" s="2079" t="s">
        <v>28</v>
      </c>
    </row>
    <row r="58" spans="1:10" ht="12" customHeight="1" thickBot="1">
      <c r="A58" s="2073" t="s">
        <v>137</v>
      </c>
      <c r="B58" s="603" t="s">
        <v>32</v>
      </c>
      <c r="C58" s="2074" t="s">
        <v>28</v>
      </c>
      <c r="D58" s="2074" t="s">
        <v>28</v>
      </c>
      <c r="E58" s="2074" t="s">
        <v>28</v>
      </c>
      <c r="F58" s="2074" t="s">
        <v>28</v>
      </c>
      <c r="G58" s="2075" t="s">
        <v>28</v>
      </c>
      <c r="H58" s="2074" t="s">
        <v>28</v>
      </c>
      <c r="I58" s="2074" t="s">
        <v>28</v>
      </c>
      <c r="J58" s="2080" t="s">
        <v>28</v>
      </c>
    </row>
  </sheetData>
  <mergeCells count="17">
    <mergeCell ref="A5:B5"/>
    <mergeCell ref="D5:F5"/>
    <mergeCell ref="G5:J5"/>
    <mergeCell ref="A2:F2"/>
    <mergeCell ref="G2:J2"/>
    <mergeCell ref="A3:F3"/>
    <mergeCell ref="G3:J3"/>
    <mergeCell ref="A4:J4"/>
    <mergeCell ref="A28:F28"/>
    <mergeCell ref="G28:J28"/>
    <mergeCell ref="A6:B6"/>
    <mergeCell ref="D6:F6"/>
    <mergeCell ref="G6:J6"/>
    <mergeCell ref="A7:B7"/>
    <mergeCell ref="A8:B8"/>
    <mergeCell ref="A12:F12"/>
    <mergeCell ref="G12:J12"/>
  </mergeCells>
  <phoneticPr fontId="4" type="noConversion"/>
  <hyperlinks>
    <hyperlink ref="A1" location="목록!A1" display="목록!A1" xr:uid="{6C66DA7B-6C0D-48BA-A49D-5119693A6609}"/>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58" max="9" man="1"/>
  </rowBreaks>
  <colBreaks count="1" manualBreakCount="1">
    <brk id="6" min="1" max="57"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dimension ref="A1:L62"/>
  <sheetViews>
    <sheetView showGridLines="0" showWhiteSpace="0" view="pageBreakPreview" zoomScaleNormal="100" zoomScaleSheetLayoutView="100" workbookViewId="0">
      <selection activeCell="A2" sqref="A2:L58"/>
    </sheetView>
  </sheetViews>
  <sheetFormatPr defaultRowHeight="16.5"/>
  <cols>
    <col min="1" max="1" width="11.5546875" style="573" customWidth="1"/>
    <col min="2" max="2" width="11.88671875" style="571" customWidth="1"/>
    <col min="3" max="6" width="13.77734375" style="572" customWidth="1"/>
    <col min="7" max="12" width="13" style="572" customWidth="1"/>
    <col min="13" max="16384" width="8.88671875" style="540"/>
  </cols>
  <sheetData>
    <row r="1" spans="1:12" ht="22.5">
      <c r="A1" s="901" t="s">
        <v>1332</v>
      </c>
    </row>
    <row r="2" spans="1:12" s="538" customFormat="1" ht="13.5" customHeight="1">
      <c r="A2" s="2083" t="s">
        <v>980</v>
      </c>
      <c r="B2" s="2083"/>
      <c r="C2" s="2083"/>
      <c r="D2" s="2083"/>
      <c r="E2" s="2083"/>
      <c r="F2" s="2083"/>
      <c r="G2" s="2084" t="s">
        <v>1194</v>
      </c>
      <c r="H2" s="2084"/>
      <c r="I2" s="2084"/>
      <c r="J2" s="2084"/>
      <c r="K2" s="2084"/>
      <c r="L2" s="2084"/>
    </row>
    <row r="3" spans="1:12" s="539" customFormat="1" ht="22.5" customHeight="1">
      <c r="A3" s="2085" t="s">
        <v>899</v>
      </c>
      <c r="B3" s="2085"/>
      <c r="C3" s="2085"/>
      <c r="D3" s="2085"/>
      <c r="E3" s="2085"/>
      <c r="F3" s="2085"/>
      <c r="G3" s="2085" t="s">
        <v>898</v>
      </c>
      <c r="H3" s="2085"/>
      <c r="I3" s="2085"/>
      <c r="J3" s="2085"/>
      <c r="K3" s="2085"/>
      <c r="L3" s="2085"/>
    </row>
    <row r="4" spans="1:12" ht="13.5" customHeight="1" thickBot="1">
      <c r="A4" s="2086"/>
      <c r="B4" s="2086"/>
      <c r="C4" s="2086"/>
      <c r="D4" s="2086"/>
      <c r="E4" s="2086"/>
      <c r="F4" s="2086"/>
      <c r="G4" s="2087" t="s">
        <v>730</v>
      </c>
      <c r="H4" s="2087"/>
      <c r="I4" s="2087"/>
      <c r="J4" s="2087"/>
      <c r="K4" s="2087"/>
      <c r="L4" s="2087"/>
    </row>
    <row r="5" spans="1:12" s="541" customFormat="1" ht="15" customHeight="1">
      <c r="A5" s="1474" t="s">
        <v>2</v>
      </c>
      <c r="B5" s="1475"/>
      <c r="C5" s="2088" t="s">
        <v>149</v>
      </c>
      <c r="D5" s="2088" t="s">
        <v>717</v>
      </c>
      <c r="E5" s="2088" t="s">
        <v>718</v>
      </c>
      <c r="F5" s="2088" t="s">
        <v>719</v>
      </c>
      <c r="G5" s="2088" t="s">
        <v>720</v>
      </c>
      <c r="H5" s="2089" t="s">
        <v>1279</v>
      </c>
      <c r="I5" s="1474"/>
      <c r="J5" s="1474"/>
      <c r="K5" s="2090"/>
      <c r="L5" s="993" t="s">
        <v>722</v>
      </c>
    </row>
    <row r="6" spans="1:12" s="541" customFormat="1" ht="22.5" customHeight="1">
      <c r="A6" s="2091" t="s">
        <v>7</v>
      </c>
      <c r="B6" s="1476"/>
      <c r="C6" s="2092" t="s">
        <v>606</v>
      </c>
      <c r="D6" s="2092" t="s">
        <v>723</v>
      </c>
      <c r="E6" s="2092" t="s">
        <v>724</v>
      </c>
      <c r="F6" s="542" t="s">
        <v>1266</v>
      </c>
      <c r="G6" s="2092" t="s">
        <v>1267</v>
      </c>
      <c r="H6" s="2093" t="s">
        <v>150</v>
      </c>
      <c r="I6" s="2091"/>
      <c r="J6" s="2091"/>
      <c r="K6" s="2094"/>
      <c r="L6" s="2095" t="s">
        <v>309</v>
      </c>
    </row>
    <row r="7" spans="1:12" s="541" customFormat="1" ht="15" customHeight="1">
      <c r="A7" s="2095"/>
      <c r="B7" s="994"/>
      <c r="C7" s="2095"/>
      <c r="D7" s="2096"/>
      <c r="E7" s="2095"/>
      <c r="F7" s="543"/>
      <c r="G7" s="2097"/>
      <c r="H7" s="544" t="s">
        <v>725</v>
      </c>
      <c r="I7" s="544" t="s">
        <v>726</v>
      </c>
      <c r="J7" s="544" t="s">
        <v>727</v>
      </c>
      <c r="K7" s="2098" t="s">
        <v>148</v>
      </c>
      <c r="L7" s="2095"/>
    </row>
    <row r="8" spans="1:12" s="541" customFormat="1" ht="15" customHeight="1">
      <c r="A8" s="2095"/>
      <c r="B8" s="994"/>
      <c r="C8" s="2095"/>
      <c r="D8" s="2099"/>
      <c r="E8" s="2095"/>
      <c r="F8" s="545"/>
      <c r="G8" s="2100"/>
      <c r="H8" s="546" t="s">
        <v>308</v>
      </c>
      <c r="I8" s="546" t="s">
        <v>728</v>
      </c>
      <c r="J8" s="546" t="s">
        <v>729</v>
      </c>
      <c r="K8" s="2101" t="s">
        <v>150</v>
      </c>
      <c r="L8" s="2095"/>
    </row>
    <row r="9" spans="1:12" ht="12" customHeight="1">
      <c r="A9" s="547" t="s">
        <v>27</v>
      </c>
      <c r="B9" s="548" t="s">
        <v>16</v>
      </c>
      <c r="C9" s="2102">
        <v>1376963</v>
      </c>
      <c r="D9" s="2102">
        <v>363820</v>
      </c>
      <c r="E9" s="2102">
        <v>372758</v>
      </c>
      <c r="F9" s="2102">
        <v>108413</v>
      </c>
      <c r="G9" s="2102">
        <v>91886</v>
      </c>
      <c r="H9" s="2102">
        <v>396</v>
      </c>
      <c r="I9" s="2102">
        <v>1391</v>
      </c>
      <c r="J9" s="2102">
        <v>328</v>
      </c>
      <c r="K9" s="2102">
        <v>45096</v>
      </c>
      <c r="L9" s="2103">
        <v>392875</v>
      </c>
    </row>
    <row r="10" spans="1:12" ht="12" customHeight="1">
      <c r="A10" s="2104" t="s">
        <v>136</v>
      </c>
      <c r="B10" s="549" t="s">
        <v>30</v>
      </c>
      <c r="C10" s="2105">
        <v>1315599</v>
      </c>
      <c r="D10" s="2105">
        <v>346364</v>
      </c>
      <c r="E10" s="2105">
        <v>356811</v>
      </c>
      <c r="F10" s="2105">
        <v>102982</v>
      </c>
      <c r="G10" s="2105">
        <v>88520</v>
      </c>
      <c r="H10" s="2105" t="s">
        <v>28</v>
      </c>
      <c r="I10" s="2105">
        <v>1277</v>
      </c>
      <c r="J10" s="2105">
        <v>328</v>
      </c>
      <c r="K10" s="2105">
        <v>44413</v>
      </c>
      <c r="L10" s="550">
        <v>374904</v>
      </c>
    </row>
    <row r="11" spans="1:12" ht="12" customHeight="1" thickBot="1">
      <c r="A11" s="551" t="s">
        <v>137</v>
      </c>
      <c r="B11" s="2106" t="s">
        <v>32</v>
      </c>
      <c r="C11" s="2107">
        <v>61364</v>
      </c>
      <c r="D11" s="2107">
        <v>17456</v>
      </c>
      <c r="E11" s="2107">
        <v>15947</v>
      </c>
      <c r="F11" s="2107">
        <v>5431</v>
      </c>
      <c r="G11" s="2107">
        <v>3366</v>
      </c>
      <c r="H11" s="2107">
        <v>396</v>
      </c>
      <c r="I11" s="2107">
        <v>114</v>
      </c>
      <c r="J11" s="2107" t="s">
        <v>28</v>
      </c>
      <c r="K11" s="2107">
        <v>683</v>
      </c>
      <c r="L11" s="2108">
        <v>17971</v>
      </c>
    </row>
    <row r="12" spans="1:12" s="541" customFormat="1" ht="15" customHeight="1" thickBot="1">
      <c r="A12" s="2109" t="s">
        <v>78</v>
      </c>
      <c r="B12" s="2109"/>
      <c r="C12" s="2109"/>
      <c r="D12" s="2109"/>
      <c r="E12" s="2109"/>
      <c r="F12" s="2109"/>
      <c r="G12" s="2109" t="s">
        <v>79</v>
      </c>
      <c r="H12" s="2109"/>
      <c r="I12" s="2109"/>
      <c r="J12" s="2109"/>
      <c r="K12" s="2109"/>
      <c r="L12" s="2109"/>
    </row>
    <row r="13" spans="1:12" ht="12" customHeight="1">
      <c r="A13" s="552" t="s">
        <v>35</v>
      </c>
      <c r="B13" s="553" t="s">
        <v>36</v>
      </c>
      <c r="C13" s="554">
        <v>244770</v>
      </c>
      <c r="D13" s="554">
        <v>67485</v>
      </c>
      <c r="E13" s="554">
        <v>66755</v>
      </c>
      <c r="F13" s="554">
        <v>21611</v>
      </c>
      <c r="G13" s="864">
        <v>15666</v>
      </c>
      <c r="H13" s="554" t="s">
        <v>28</v>
      </c>
      <c r="I13" s="554" t="s">
        <v>28</v>
      </c>
      <c r="J13" s="554" t="s">
        <v>28</v>
      </c>
      <c r="K13" s="554">
        <v>7444</v>
      </c>
      <c r="L13" s="555">
        <v>65809</v>
      </c>
    </row>
    <row r="14" spans="1:12" ht="12" customHeight="1">
      <c r="A14" s="2104" t="s">
        <v>136</v>
      </c>
      <c r="B14" s="549" t="s">
        <v>30</v>
      </c>
      <c r="C14" s="556">
        <v>203857</v>
      </c>
      <c r="D14" s="556">
        <v>54917</v>
      </c>
      <c r="E14" s="556">
        <v>57114</v>
      </c>
      <c r="F14" s="556">
        <v>17930</v>
      </c>
      <c r="G14" s="557">
        <v>13427</v>
      </c>
      <c r="H14" s="557" t="s">
        <v>28</v>
      </c>
      <c r="I14" s="556" t="s">
        <v>28</v>
      </c>
      <c r="J14" s="556" t="s">
        <v>28</v>
      </c>
      <c r="K14" s="556">
        <v>7314</v>
      </c>
      <c r="L14" s="2110">
        <v>53155</v>
      </c>
    </row>
    <row r="15" spans="1:12" ht="12" customHeight="1">
      <c r="A15" s="2104" t="s">
        <v>137</v>
      </c>
      <c r="B15" s="549" t="s">
        <v>32</v>
      </c>
      <c r="C15" s="556">
        <v>40913</v>
      </c>
      <c r="D15" s="556">
        <v>12568</v>
      </c>
      <c r="E15" s="556">
        <v>9641</v>
      </c>
      <c r="F15" s="556">
        <v>3681</v>
      </c>
      <c r="G15" s="557">
        <v>2239</v>
      </c>
      <c r="H15" s="557" t="s">
        <v>28</v>
      </c>
      <c r="I15" s="556" t="s">
        <v>28</v>
      </c>
      <c r="J15" s="556" t="s">
        <v>28</v>
      </c>
      <c r="K15" s="556">
        <v>130</v>
      </c>
      <c r="L15" s="2110">
        <v>12654</v>
      </c>
    </row>
    <row r="16" spans="1:12" ht="12" customHeight="1">
      <c r="A16" s="2111" t="s">
        <v>37</v>
      </c>
      <c r="B16" s="558" t="s">
        <v>38</v>
      </c>
      <c r="C16" s="559">
        <v>346615</v>
      </c>
      <c r="D16" s="559">
        <v>97143</v>
      </c>
      <c r="E16" s="559">
        <v>100133</v>
      </c>
      <c r="F16" s="559">
        <v>27160</v>
      </c>
      <c r="G16" s="865">
        <v>24143</v>
      </c>
      <c r="H16" s="559" t="s">
        <v>28</v>
      </c>
      <c r="I16" s="559" t="s">
        <v>28</v>
      </c>
      <c r="J16" s="559">
        <v>223</v>
      </c>
      <c r="K16" s="559">
        <v>6236</v>
      </c>
      <c r="L16" s="2112">
        <v>91577</v>
      </c>
    </row>
    <row r="17" spans="1:12" ht="12" customHeight="1">
      <c r="A17" s="2104" t="s">
        <v>136</v>
      </c>
      <c r="B17" s="549" t="s">
        <v>30</v>
      </c>
      <c r="C17" s="556">
        <v>346615</v>
      </c>
      <c r="D17" s="556">
        <v>97143</v>
      </c>
      <c r="E17" s="556">
        <v>100133</v>
      </c>
      <c r="F17" s="556">
        <v>27160</v>
      </c>
      <c r="G17" s="557">
        <v>24143</v>
      </c>
      <c r="H17" s="557" t="s">
        <v>28</v>
      </c>
      <c r="I17" s="556" t="s">
        <v>28</v>
      </c>
      <c r="J17" s="556">
        <v>223</v>
      </c>
      <c r="K17" s="556">
        <v>6236</v>
      </c>
      <c r="L17" s="2110">
        <v>91577</v>
      </c>
    </row>
    <row r="18" spans="1:12" ht="12" customHeight="1">
      <c r="A18" s="2104" t="s">
        <v>137</v>
      </c>
      <c r="B18" s="549" t="s">
        <v>32</v>
      </c>
      <c r="C18" s="556" t="s">
        <v>28</v>
      </c>
      <c r="D18" s="556" t="s">
        <v>28</v>
      </c>
      <c r="E18" s="556" t="s">
        <v>28</v>
      </c>
      <c r="F18" s="556" t="s">
        <v>28</v>
      </c>
      <c r="G18" s="557" t="s">
        <v>28</v>
      </c>
      <c r="H18" s="557" t="s">
        <v>28</v>
      </c>
      <c r="I18" s="556" t="s">
        <v>28</v>
      </c>
      <c r="J18" s="556" t="s">
        <v>28</v>
      </c>
      <c r="K18" s="556" t="s">
        <v>28</v>
      </c>
      <c r="L18" s="2110" t="s">
        <v>28</v>
      </c>
    </row>
    <row r="19" spans="1:12" ht="12" customHeight="1">
      <c r="A19" s="2111" t="s">
        <v>39</v>
      </c>
      <c r="B19" s="558" t="s">
        <v>40</v>
      </c>
      <c r="C19" s="559">
        <v>439495</v>
      </c>
      <c r="D19" s="559">
        <v>112438</v>
      </c>
      <c r="E19" s="559">
        <v>115021</v>
      </c>
      <c r="F19" s="559">
        <v>35763</v>
      </c>
      <c r="G19" s="865">
        <v>29954</v>
      </c>
      <c r="H19" s="559" t="s">
        <v>28</v>
      </c>
      <c r="I19" s="559" t="s">
        <v>28</v>
      </c>
      <c r="J19" s="559" t="s">
        <v>28</v>
      </c>
      <c r="K19" s="559">
        <v>12923</v>
      </c>
      <c r="L19" s="2112">
        <v>133396</v>
      </c>
    </row>
    <row r="20" spans="1:12" ht="12" customHeight="1">
      <c r="A20" s="2104" t="s">
        <v>136</v>
      </c>
      <c r="B20" s="549" t="s">
        <v>30</v>
      </c>
      <c r="C20" s="556">
        <v>425750</v>
      </c>
      <c r="D20" s="556">
        <v>108885</v>
      </c>
      <c r="E20" s="556">
        <v>111336</v>
      </c>
      <c r="F20" s="556">
        <v>34639</v>
      </c>
      <c r="G20" s="557">
        <v>29132</v>
      </c>
      <c r="H20" s="557" t="s">
        <v>28</v>
      </c>
      <c r="I20" s="556" t="s">
        <v>28</v>
      </c>
      <c r="J20" s="556" t="s">
        <v>28</v>
      </c>
      <c r="K20" s="556">
        <v>12637</v>
      </c>
      <c r="L20" s="2110">
        <v>129121</v>
      </c>
    </row>
    <row r="21" spans="1:12" ht="12" customHeight="1">
      <c r="A21" s="2104" t="s">
        <v>137</v>
      </c>
      <c r="B21" s="549" t="s">
        <v>32</v>
      </c>
      <c r="C21" s="556">
        <v>13745</v>
      </c>
      <c r="D21" s="556">
        <v>3553</v>
      </c>
      <c r="E21" s="556">
        <v>3685</v>
      </c>
      <c r="F21" s="556">
        <v>1124</v>
      </c>
      <c r="G21" s="557">
        <v>822</v>
      </c>
      <c r="H21" s="557" t="s">
        <v>28</v>
      </c>
      <c r="I21" s="556" t="s">
        <v>28</v>
      </c>
      <c r="J21" s="556" t="s">
        <v>28</v>
      </c>
      <c r="K21" s="556">
        <v>286</v>
      </c>
      <c r="L21" s="2110">
        <v>4275</v>
      </c>
    </row>
    <row r="22" spans="1:12" ht="12" customHeight="1">
      <c r="A22" s="2111" t="s">
        <v>41</v>
      </c>
      <c r="B22" s="558" t="s">
        <v>42</v>
      </c>
      <c r="C22" s="559">
        <v>309434</v>
      </c>
      <c r="D22" s="559">
        <v>79232</v>
      </c>
      <c r="E22" s="559">
        <v>77951</v>
      </c>
      <c r="F22" s="559">
        <v>21107</v>
      </c>
      <c r="G22" s="865">
        <v>20334</v>
      </c>
      <c r="H22" s="559" t="s">
        <v>28</v>
      </c>
      <c r="I22" s="559" t="s">
        <v>28</v>
      </c>
      <c r="J22" s="559">
        <v>105</v>
      </c>
      <c r="K22" s="559">
        <v>16961</v>
      </c>
      <c r="L22" s="2112">
        <v>93744</v>
      </c>
    </row>
    <row r="23" spans="1:12" ht="12" customHeight="1">
      <c r="A23" s="2104" t="s">
        <v>136</v>
      </c>
      <c r="B23" s="549" t="s">
        <v>30</v>
      </c>
      <c r="C23" s="556">
        <v>309434</v>
      </c>
      <c r="D23" s="556">
        <v>79232</v>
      </c>
      <c r="E23" s="556">
        <v>77951</v>
      </c>
      <c r="F23" s="556">
        <v>21107</v>
      </c>
      <c r="G23" s="557">
        <v>20334</v>
      </c>
      <c r="H23" s="557" t="s">
        <v>28</v>
      </c>
      <c r="I23" s="556" t="s">
        <v>28</v>
      </c>
      <c r="J23" s="556">
        <v>105</v>
      </c>
      <c r="K23" s="556">
        <v>16961</v>
      </c>
      <c r="L23" s="2110">
        <v>93744</v>
      </c>
    </row>
    <row r="24" spans="1:12" ht="12" customHeight="1">
      <c r="A24" s="2104" t="s">
        <v>137</v>
      </c>
      <c r="B24" s="549" t="s">
        <v>32</v>
      </c>
      <c r="C24" s="556" t="s">
        <v>28</v>
      </c>
      <c r="D24" s="556" t="s">
        <v>28</v>
      </c>
      <c r="E24" s="556" t="s">
        <v>28</v>
      </c>
      <c r="F24" s="556" t="s">
        <v>28</v>
      </c>
      <c r="G24" s="557" t="s">
        <v>28</v>
      </c>
      <c r="H24" s="557" t="s">
        <v>28</v>
      </c>
      <c r="I24" s="556" t="s">
        <v>28</v>
      </c>
      <c r="J24" s="556" t="s">
        <v>28</v>
      </c>
      <c r="K24" s="556" t="s">
        <v>28</v>
      </c>
      <c r="L24" s="2110" t="s">
        <v>28</v>
      </c>
    </row>
    <row r="25" spans="1:12" ht="12" customHeight="1">
      <c r="A25" s="2111" t="s">
        <v>43</v>
      </c>
      <c r="B25" s="558" t="s">
        <v>44</v>
      </c>
      <c r="C25" s="559">
        <v>36649</v>
      </c>
      <c r="D25" s="559">
        <v>7522</v>
      </c>
      <c r="E25" s="559">
        <v>12898</v>
      </c>
      <c r="F25" s="559">
        <v>2772</v>
      </c>
      <c r="G25" s="865">
        <v>1789</v>
      </c>
      <c r="H25" s="559">
        <v>396</v>
      </c>
      <c r="I25" s="559">
        <v>1391</v>
      </c>
      <c r="J25" s="559" t="s">
        <v>28</v>
      </c>
      <c r="K25" s="559">
        <v>1532</v>
      </c>
      <c r="L25" s="2112">
        <v>8349</v>
      </c>
    </row>
    <row r="26" spans="1:12" ht="12" customHeight="1">
      <c r="A26" s="2104" t="s">
        <v>136</v>
      </c>
      <c r="B26" s="549" t="s">
        <v>30</v>
      </c>
      <c r="C26" s="556">
        <v>29943</v>
      </c>
      <c r="D26" s="556">
        <v>6187</v>
      </c>
      <c r="E26" s="556">
        <v>10277</v>
      </c>
      <c r="F26" s="556">
        <v>2146</v>
      </c>
      <c r="G26" s="557">
        <v>1484</v>
      </c>
      <c r="H26" s="557" t="s">
        <v>28</v>
      </c>
      <c r="I26" s="556">
        <v>1277</v>
      </c>
      <c r="J26" s="556" t="s">
        <v>28</v>
      </c>
      <c r="K26" s="556">
        <v>1265</v>
      </c>
      <c r="L26" s="2110">
        <v>7307</v>
      </c>
    </row>
    <row r="27" spans="1:12" ht="12" customHeight="1" thickBot="1">
      <c r="A27" s="560" t="s">
        <v>137</v>
      </c>
      <c r="B27" s="561" t="s">
        <v>32</v>
      </c>
      <c r="C27" s="562">
        <v>6706</v>
      </c>
      <c r="D27" s="562">
        <v>1335</v>
      </c>
      <c r="E27" s="562">
        <v>2621</v>
      </c>
      <c r="F27" s="562">
        <v>626</v>
      </c>
      <c r="G27" s="563">
        <v>305</v>
      </c>
      <c r="H27" s="563">
        <v>396</v>
      </c>
      <c r="I27" s="562">
        <v>114</v>
      </c>
      <c r="J27" s="562" t="s">
        <v>28</v>
      </c>
      <c r="K27" s="562">
        <v>267</v>
      </c>
      <c r="L27" s="564">
        <v>1042</v>
      </c>
    </row>
    <row r="28" spans="1:12" s="541" customFormat="1" ht="15" customHeight="1" thickBot="1">
      <c r="A28" s="1473" t="s">
        <v>80</v>
      </c>
      <c r="B28" s="1473"/>
      <c r="C28" s="1473"/>
      <c r="D28" s="1473"/>
      <c r="E28" s="1473"/>
      <c r="F28" s="1473"/>
      <c r="G28" s="1473" t="s">
        <v>81</v>
      </c>
      <c r="H28" s="1473"/>
      <c r="I28" s="1473"/>
      <c r="J28" s="1473"/>
      <c r="K28" s="1473"/>
      <c r="L28" s="1473"/>
    </row>
    <row r="29" spans="1:12" ht="12" customHeight="1">
      <c r="A29" s="2113" t="s">
        <v>47</v>
      </c>
      <c r="B29" s="565" t="s">
        <v>48</v>
      </c>
      <c r="C29" s="566">
        <v>103333</v>
      </c>
      <c r="D29" s="566">
        <v>26291</v>
      </c>
      <c r="E29" s="566">
        <v>28156</v>
      </c>
      <c r="F29" s="566">
        <v>9259</v>
      </c>
      <c r="G29" s="566">
        <v>6803</v>
      </c>
      <c r="H29" s="566" t="s">
        <v>28</v>
      </c>
      <c r="I29" s="566" t="s">
        <v>28</v>
      </c>
      <c r="J29" s="566" t="s">
        <v>28</v>
      </c>
      <c r="K29" s="566">
        <v>4953</v>
      </c>
      <c r="L29" s="567">
        <v>27871</v>
      </c>
    </row>
    <row r="30" spans="1:12" ht="12" customHeight="1">
      <c r="A30" s="2104" t="s">
        <v>136</v>
      </c>
      <c r="B30" s="549" t="s">
        <v>30</v>
      </c>
      <c r="C30" s="2105">
        <v>81804</v>
      </c>
      <c r="D30" s="2105">
        <v>20281</v>
      </c>
      <c r="E30" s="2105">
        <v>23118</v>
      </c>
      <c r="F30" s="2105">
        <v>7498</v>
      </c>
      <c r="G30" s="2105">
        <v>5535</v>
      </c>
      <c r="H30" s="2105" t="s">
        <v>28</v>
      </c>
      <c r="I30" s="2105" t="s">
        <v>28</v>
      </c>
      <c r="J30" s="2105" t="s">
        <v>28</v>
      </c>
      <c r="K30" s="2105">
        <v>4876</v>
      </c>
      <c r="L30" s="550">
        <v>20496</v>
      </c>
    </row>
    <row r="31" spans="1:12" ht="12" customHeight="1">
      <c r="A31" s="2104" t="s">
        <v>137</v>
      </c>
      <c r="B31" s="549" t="s">
        <v>32</v>
      </c>
      <c r="C31" s="2105">
        <v>21529</v>
      </c>
      <c r="D31" s="2105">
        <v>6010</v>
      </c>
      <c r="E31" s="2105">
        <v>5038</v>
      </c>
      <c r="F31" s="2105">
        <v>1761</v>
      </c>
      <c r="G31" s="2105">
        <v>1268</v>
      </c>
      <c r="H31" s="2105" t="s">
        <v>28</v>
      </c>
      <c r="I31" s="2105" t="s">
        <v>28</v>
      </c>
      <c r="J31" s="2105" t="s">
        <v>28</v>
      </c>
      <c r="K31" s="2105">
        <v>77</v>
      </c>
      <c r="L31" s="550">
        <v>7375</v>
      </c>
    </row>
    <row r="32" spans="1:12" ht="12" customHeight="1">
      <c r="A32" s="2111" t="s">
        <v>49</v>
      </c>
      <c r="B32" s="558" t="s">
        <v>50</v>
      </c>
      <c r="C32" s="2114">
        <v>18452</v>
      </c>
      <c r="D32" s="2114">
        <v>5841</v>
      </c>
      <c r="E32" s="2114">
        <v>4552</v>
      </c>
      <c r="F32" s="2114">
        <v>1827</v>
      </c>
      <c r="G32" s="2114">
        <v>1173</v>
      </c>
      <c r="H32" s="2114" t="s">
        <v>28</v>
      </c>
      <c r="I32" s="2114" t="s">
        <v>28</v>
      </c>
      <c r="J32" s="2114" t="s">
        <v>28</v>
      </c>
      <c r="K32" s="2114">
        <v>78</v>
      </c>
      <c r="L32" s="568">
        <v>4981</v>
      </c>
    </row>
    <row r="33" spans="1:12" ht="12" customHeight="1">
      <c r="A33" s="2104" t="s">
        <v>136</v>
      </c>
      <c r="B33" s="549" t="s">
        <v>30</v>
      </c>
      <c r="C33" s="2105">
        <v>9319</v>
      </c>
      <c r="D33" s="2105">
        <v>2443</v>
      </c>
      <c r="E33" s="2105">
        <v>3151</v>
      </c>
      <c r="F33" s="2105">
        <v>815</v>
      </c>
      <c r="G33" s="2105">
        <v>579</v>
      </c>
      <c r="H33" s="2105" t="s">
        <v>28</v>
      </c>
      <c r="I33" s="2105" t="s">
        <v>28</v>
      </c>
      <c r="J33" s="2105" t="s">
        <v>28</v>
      </c>
      <c r="K33" s="2105">
        <v>37</v>
      </c>
      <c r="L33" s="550">
        <v>2294</v>
      </c>
    </row>
    <row r="34" spans="1:12" ht="12" customHeight="1">
      <c r="A34" s="2104" t="s">
        <v>137</v>
      </c>
      <c r="B34" s="549" t="s">
        <v>32</v>
      </c>
      <c r="C34" s="2105">
        <v>9133</v>
      </c>
      <c r="D34" s="2105">
        <v>3398</v>
      </c>
      <c r="E34" s="2105">
        <v>1401</v>
      </c>
      <c r="F34" s="2105">
        <v>1012</v>
      </c>
      <c r="G34" s="2105">
        <v>594</v>
      </c>
      <c r="H34" s="2105" t="s">
        <v>28</v>
      </c>
      <c r="I34" s="2105" t="s">
        <v>28</v>
      </c>
      <c r="J34" s="2105" t="s">
        <v>28</v>
      </c>
      <c r="K34" s="2105">
        <v>41</v>
      </c>
      <c r="L34" s="550">
        <v>2687</v>
      </c>
    </row>
    <row r="35" spans="1:12" ht="12" customHeight="1">
      <c r="A35" s="2111" t="s">
        <v>963</v>
      </c>
      <c r="B35" s="558" t="s">
        <v>964</v>
      </c>
      <c r="C35" s="2114">
        <v>120385</v>
      </c>
      <c r="D35" s="2114">
        <v>34497</v>
      </c>
      <c r="E35" s="2114">
        <v>33621</v>
      </c>
      <c r="F35" s="2114">
        <v>10157</v>
      </c>
      <c r="G35" s="2114">
        <v>7553</v>
      </c>
      <c r="H35" s="2114" t="s">
        <v>28</v>
      </c>
      <c r="I35" s="2114" t="s">
        <v>28</v>
      </c>
      <c r="J35" s="2114" t="s">
        <v>28</v>
      </c>
      <c r="K35" s="2114">
        <v>2413</v>
      </c>
      <c r="L35" s="568">
        <v>32144</v>
      </c>
    </row>
    <row r="36" spans="1:12" ht="12" customHeight="1">
      <c r="A36" s="2104" t="s">
        <v>136</v>
      </c>
      <c r="B36" s="549" t="s">
        <v>30</v>
      </c>
      <c r="C36" s="2105">
        <v>110134</v>
      </c>
      <c r="D36" s="2105">
        <v>31337</v>
      </c>
      <c r="E36" s="2105">
        <v>30419</v>
      </c>
      <c r="F36" s="2105">
        <v>9249</v>
      </c>
      <c r="G36" s="2105">
        <v>7176</v>
      </c>
      <c r="H36" s="2105" t="s">
        <v>28</v>
      </c>
      <c r="I36" s="2105" t="s">
        <v>28</v>
      </c>
      <c r="J36" s="2105" t="s">
        <v>28</v>
      </c>
      <c r="K36" s="2105">
        <v>2401</v>
      </c>
      <c r="L36" s="550">
        <v>29552</v>
      </c>
    </row>
    <row r="37" spans="1:12" ht="12" customHeight="1">
      <c r="A37" s="2104" t="s">
        <v>137</v>
      </c>
      <c r="B37" s="549" t="s">
        <v>32</v>
      </c>
      <c r="C37" s="2105">
        <v>10251</v>
      </c>
      <c r="D37" s="2105">
        <v>3160</v>
      </c>
      <c r="E37" s="2105">
        <v>3202</v>
      </c>
      <c r="F37" s="2105">
        <v>908</v>
      </c>
      <c r="G37" s="2105">
        <v>377</v>
      </c>
      <c r="H37" s="2105" t="s">
        <v>28</v>
      </c>
      <c r="I37" s="2105" t="s">
        <v>28</v>
      </c>
      <c r="J37" s="2105" t="s">
        <v>28</v>
      </c>
      <c r="K37" s="2105">
        <v>12</v>
      </c>
      <c r="L37" s="550">
        <v>2592</v>
      </c>
    </row>
    <row r="38" spans="1:12" ht="12" customHeight="1">
      <c r="A38" s="2111" t="s">
        <v>51</v>
      </c>
      <c r="B38" s="558" t="s">
        <v>52</v>
      </c>
      <c r="C38" s="2114">
        <v>232235</v>
      </c>
      <c r="D38" s="2114">
        <v>56551</v>
      </c>
      <c r="E38" s="2114">
        <v>61403</v>
      </c>
      <c r="F38" s="2114">
        <v>17883</v>
      </c>
      <c r="G38" s="2114">
        <v>15964</v>
      </c>
      <c r="H38" s="2114" t="s">
        <v>28</v>
      </c>
      <c r="I38" s="2114" t="s">
        <v>28</v>
      </c>
      <c r="J38" s="2114" t="s">
        <v>28</v>
      </c>
      <c r="K38" s="2114">
        <v>6546</v>
      </c>
      <c r="L38" s="568">
        <v>73888</v>
      </c>
    </row>
    <row r="39" spans="1:12" ht="12" customHeight="1">
      <c r="A39" s="2104" t="s">
        <v>136</v>
      </c>
      <c r="B39" s="549" t="s">
        <v>30</v>
      </c>
      <c r="C39" s="2105">
        <v>220863</v>
      </c>
      <c r="D39" s="2105">
        <v>54104</v>
      </c>
      <c r="E39" s="2105">
        <v>58090</v>
      </c>
      <c r="F39" s="2105">
        <v>17065</v>
      </c>
      <c r="G39" s="2105">
        <v>15233</v>
      </c>
      <c r="H39" s="2105" t="s">
        <v>28</v>
      </c>
      <c r="I39" s="2105" t="s">
        <v>28</v>
      </c>
      <c r="J39" s="2105" t="s">
        <v>28</v>
      </c>
      <c r="K39" s="2105">
        <v>6260</v>
      </c>
      <c r="L39" s="550">
        <v>70111</v>
      </c>
    </row>
    <row r="40" spans="1:12" ht="12" customHeight="1">
      <c r="A40" s="2104" t="s">
        <v>137</v>
      </c>
      <c r="B40" s="549" t="s">
        <v>32</v>
      </c>
      <c r="C40" s="2105">
        <v>11372</v>
      </c>
      <c r="D40" s="2105">
        <v>2447</v>
      </c>
      <c r="E40" s="2105">
        <v>3313</v>
      </c>
      <c r="F40" s="2105">
        <v>818</v>
      </c>
      <c r="G40" s="2105">
        <v>731</v>
      </c>
      <c r="H40" s="2105" t="s">
        <v>28</v>
      </c>
      <c r="I40" s="2105" t="s">
        <v>28</v>
      </c>
      <c r="J40" s="2105" t="s">
        <v>28</v>
      </c>
      <c r="K40" s="2105">
        <v>286</v>
      </c>
      <c r="L40" s="550">
        <v>3777</v>
      </c>
    </row>
    <row r="41" spans="1:12" ht="12" customHeight="1">
      <c r="A41" s="2111" t="s">
        <v>53</v>
      </c>
      <c r="B41" s="558" t="s">
        <v>54</v>
      </c>
      <c r="C41" s="2114">
        <v>207260</v>
      </c>
      <c r="D41" s="2114">
        <v>55887</v>
      </c>
      <c r="E41" s="2114">
        <v>53618</v>
      </c>
      <c r="F41" s="2114">
        <v>17880</v>
      </c>
      <c r="G41" s="2114">
        <v>13990</v>
      </c>
      <c r="H41" s="2114" t="s">
        <v>28</v>
      </c>
      <c r="I41" s="2114" t="s">
        <v>28</v>
      </c>
      <c r="J41" s="2114" t="s">
        <v>28</v>
      </c>
      <c r="K41" s="2114">
        <v>6377</v>
      </c>
      <c r="L41" s="568">
        <v>59508</v>
      </c>
    </row>
    <row r="42" spans="1:12" ht="12" customHeight="1">
      <c r="A42" s="2104" t="s">
        <v>136</v>
      </c>
      <c r="B42" s="549" t="s">
        <v>30</v>
      </c>
      <c r="C42" s="2105">
        <v>204887</v>
      </c>
      <c r="D42" s="2105">
        <v>54781</v>
      </c>
      <c r="E42" s="2105">
        <v>53246</v>
      </c>
      <c r="F42" s="2105">
        <v>17574</v>
      </c>
      <c r="G42" s="2105">
        <v>13899</v>
      </c>
      <c r="H42" s="2105" t="s">
        <v>28</v>
      </c>
      <c r="I42" s="2105" t="s">
        <v>28</v>
      </c>
      <c r="J42" s="2105" t="s">
        <v>28</v>
      </c>
      <c r="K42" s="2105">
        <v>6377</v>
      </c>
      <c r="L42" s="550">
        <v>59010</v>
      </c>
    </row>
    <row r="43" spans="1:12" ht="12" customHeight="1">
      <c r="A43" s="2104" t="s">
        <v>137</v>
      </c>
      <c r="B43" s="549" t="s">
        <v>32</v>
      </c>
      <c r="C43" s="2105">
        <v>2373</v>
      </c>
      <c r="D43" s="2105">
        <v>1106</v>
      </c>
      <c r="E43" s="2105">
        <v>372</v>
      </c>
      <c r="F43" s="2105">
        <v>306</v>
      </c>
      <c r="G43" s="2105">
        <v>91</v>
      </c>
      <c r="H43" s="2105" t="s">
        <v>28</v>
      </c>
      <c r="I43" s="2105" t="s">
        <v>28</v>
      </c>
      <c r="J43" s="2105" t="s">
        <v>28</v>
      </c>
      <c r="K43" s="2105" t="s">
        <v>28</v>
      </c>
      <c r="L43" s="550">
        <v>498</v>
      </c>
    </row>
    <row r="44" spans="1:12" ht="12" customHeight="1">
      <c r="A44" s="2111" t="s">
        <v>55</v>
      </c>
      <c r="B44" s="558" t="s">
        <v>56</v>
      </c>
      <c r="C44" s="2114">
        <v>195091</v>
      </c>
      <c r="D44" s="2114">
        <v>57088</v>
      </c>
      <c r="E44" s="2114">
        <v>55931</v>
      </c>
      <c r="F44" s="2114">
        <v>15979</v>
      </c>
      <c r="G44" s="2114">
        <v>12828</v>
      </c>
      <c r="H44" s="2114" t="s">
        <v>28</v>
      </c>
      <c r="I44" s="2114" t="s">
        <v>28</v>
      </c>
      <c r="J44" s="2114" t="s">
        <v>28</v>
      </c>
      <c r="K44" s="2114">
        <v>3711</v>
      </c>
      <c r="L44" s="568">
        <v>49554</v>
      </c>
    </row>
    <row r="45" spans="1:12" ht="12" customHeight="1">
      <c r="A45" s="2104" t="s">
        <v>136</v>
      </c>
      <c r="B45" s="549" t="s">
        <v>30</v>
      </c>
      <c r="C45" s="2105">
        <v>195091</v>
      </c>
      <c r="D45" s="2105">
        <v>57088</v>
      </c>
      <c r="E45" s="2105">
        <v>55931</v>
      </c>
      <c r="F45" s="2105">
        <v>15979</v>
      </c>
      <c r="G45" s="2105">
        <v>12828</v>
      </c>
      <c r="H45" s="2105" t="s">
        <v>28</v>
      </c>
      <c r="I45" s="2105" t="s">
        <v>28</v>
      </c>
      <c r="J45" s="2105" t="s">
        <v>28</v>
      </c>
      <c r="K45" s="2105">
        <v>3711</v>
      </c>
      <c r="L45" s="550">
        <v>49554</v>
      </c>
    </row>
    <row r="46" spans="1:12" ht="12" customHeight="1">
      <c r="A46" s="2104" t="s">
        <v>137</v>
      </c>
      <c r="B46" s="549" t="s">
        <v>32</v>
      </c>
      <c r="C46" s="2105" t="s">
        <v>28</v>
      </c>
      <c r="D46" s="2105" t="s">
        <v>28</v>
      </c>
      <c r="E46" s="2105" t="s">
        <v>28</v>
      </c>
      <c r="F46" s="2105" t="s">
        <v>28</v>
      </c>
      <c r="G46" s="2105" t="s">
        <v>28</v>
      </c>
      <c r="H46" s="2105" t="s">
        <v>28</v>
      </c>
      <c r="I46" s="2105" t="s">
        <v>28</v>
      </c>
      <c r="J46" s="2105" t="s">
        <v>28</v>
      </c>
      <c r="K46" s="2105" t="s">
        <v>28</v>
      </c>
      <c r="L46" s="550" t="s">
        <v>28</v>
      </c>
    </row>
    <row r="47" spans="1:12" ht="12" customHeight="1">
      <c r="A47" s="2111" t="s">
        <v>57</v>
      </c>
      <c r="B47" s="558" t="s">
        <v>58</v>
      </c>
      <c r="C47" s="2114">
        <v>151524</v>
      </c>
      <c r="D47" s="2114">
        <v>40055</v>
      </c>
      <c r="E47" s="2114">
        <v>44202</v>
      </c>
      <c r="F47" s="2114">
        <v>11181</v>
      </c>
      <c r="G47" s="2114">
        <v>11315</v>
      </c>
      <c r="H47" s="2114" t="s">
        <v>28</v>
      </c>
      <c r="I47" s="2114" t="s">
        <v>28</v>
      </c>
      <c r="J47" s="2114">
        <v>223</v>
      </c>
      <c r="K47" s="2114">
        <v>2525</v>
      </c>
      <c r="L47" s="568">
        <v>42023</v>
      </c>
    </row>
    <row r="48" spans="1:12" ht="12" customHeight="1">
      <c r="A48" s="2104" t="s">
        <v>136</v>
      </c>
      <c r="B48" s="549" t="s">
        <v>30</v>
      </c>
      <c r="C48" s="2105">
        <v>151524</v>
      </c>
      <c r="D48" s="2105">
        <v>40055</v>
      </c>
      <c r="E48" s="2105">
        <v>44202</v>
      </c>
      <c r="F48" s="2105">
        <v>11181</v>
      </c>
      <c r="G48" s="2105">
        <v>11315</v>
      </c>
      <c r="H48" s="2105" t="s">
        <v>28</v>
      </c>
      <c r="I48" s="2105" t="s">
        <v>28</v>
      </c>
      <c r="J48" s="2105">
        <v>223</v>
      </c>
      <c r="K48" s="2105">
        <v>2525</v>
      </c>
      <c r="L48" s="550">
        <v>42023</v>
      </c>
    </row>
    <row r="49" spans="1:12" ht="12" customHeight="1">
      <c r="A49" s="2104" t="s">
        <v>137</v>
      </c>
      <c r="B49" s="549" t="s">
        <v>32</v>
      </c>
      <c r="C49" s="2105" t="s">
        <v>28</v>
      </c>
      <c r="D49" s="2105" t="s">
        <v>28</v>
      </c>
      <c r="E49" s="2105" t="s">
        <v>28</v>
      </c>
      <c r="F49" s="2105" t="s">
        <v>28</v>
      </c>
      <c r="G49" s="2105" t="s">
        <v>28</v>
      </c>
      <c r="H49" s="2105" t="s">
        <v>28</v>
      </c>
      <c r="I49" s="2105" t="s">
        <v>28</v>
      </c>
      <c r="J49" s="2105" t="s">
        <v>28</v>
      </c>
      <c r="K49" s="2105" t="s">
        <v>28</v>
      </c>
      <c r="L49" s="550" t="s">
        <v>28</v>
      </c>
    </row>
    <row r="50" spans="1:12" ht="12" customHeight="1">
      <c r="A50" s="2111" t="s">
        <v>59</v>
      </c>
      <c r="B50" s="558" t="s">
        <v>60</v>
      </c>
      <c r="C50" s="2115">
        <v>309434</v>
      </c>
      <c r="D50" s="2115">
        <v>79232</v>
      </c>
      <c r="E50" s="2115">
        <v>77951</v>
      </c>
      <c r="F50" s="2115">
        <v>21107</v>
      </c>
      <c r="G50" s="2115">
        <v>20334</v>
      </c>
      <c r="H50" s="2115" t="s">
        <v>28</v>
      </c>
      <c r="I50" s="2115" t="s">
        <v>28</v>
      </c>
      <c r="J50" s="2115">
        <v>105</v>
      </c>
      <c r="K50" s="2115">
        <v>16961</v>
      </c>
      <c r="L50" s="569">
        <v>93744</v>
      </c>
    </row>
    <row r="51" spans="1:12" ht="12" customHeight="1">
      <c r="A51" s="2104" t="s">
        <v>136</v>
      </c>
      <c r="B51" s="549" t="s">
        <v>30</v>
      </c>
      <c r="C51" s="2105">
        <v>309434</v>
      </c>
      <c r="D51" s="2105">
        <v>79232</v>
      </c>
      <c r="E51" s="2105">
        <v>77951</v>
      </c>
      <c r="F51" s="2105">
        <v>21107</v>
      </c>
      <c r="G51" s="2105">
        <v>20334</v>
      </c>
      <c r="H51" s="2105" t="s">
        <v>28</v>
      </c>
      <c r="I51" s="2105" t="s">
        <v>28</v>
      </c>
      <c r="J51" s="2105">
        <v>105</v>
      </c>
      <c r="K51" s="2105">
        <v>16961</v>
      </c>
      <c r="L51" s="550">
        <v>93744</v>
      </c>
    </row>
    <row r="52" spans="1:12" ht="12" customHeight="1">
      <c r="A52" s="2104" t="s">
        <v>137</v>
      </c>
      <c r="B52" s="549" t="s">
        <v>32</v>
      </c>
      <c r="C52" s="2105" t="s">
        <v>28</v>
      </c>
      <c r="D52" s="2105" t="s">
        <v>28</v>
      </c>
      <c r="E52" s="2105" t="s">
        <v>28</v>
      </c>
      <c r="F52" s="2105" t="s">
        <v>28</v>
      </c>
      <c r="G52" s="2105" t="s">
        <v>28</v>
      </c>
      <c r="H52" s="2105" t="s">
        <v>28</v>
      </c>
      <c r="I52" s="2105" t="s">
        <v>28</v>
      </c>
      <c r="J52" s="2105" t="s">
        <v>28</v>
      </c>
      <c r="K52" s="2105" t="s">
        <v>28</v>
      </c>
      <c r="L52" s="550" t="s">
        <v>28</v>
      </c>
    </row>
    <row r="53" spans="1:12" ht="12" customHeight="1">
      <c r="A53" s="2111" t="s">
        <v>61</v>
      </c>
      <c r="B53" s="558" t="s">
        <v>62</v>
      </c>
      <c r="C53" s="2114">
        <v>36649</v>
      </c>
      <c r="D53" s="2114">
        <v>7522</v>
      </c>
      <c r="E53" s="2114">
        <v>12898</v>
      </c>
      <c r="F53" s="2114">
        <v>2772</v>
      </c>
      <c r="G53" s="2114">
        <v>1789</v>
      </c>
      <c r="H53" s="2114">
        <v>396</v>
      </c>
      <c r="I53" s="2114">
        <v>1391</v>
      </c>
      <c r="J53" s="2114" t="s">
        <v>28</v>
      </c>
      <c r="K53" s="2114">
        <v>1532</v>
      </c>
      <c r="L53" s="568">
        <v>8349</v>
      </c>
    </row>
    <row r="54" spans="1:12" ht="12" customHeight="1">
      <c r="A54" s="2104" t="s">
        <v>136</v>
      </c>
      <c r="B54" s="549" t="s">
        <v>30</v>
      </c>
      <c r="C54" s="2105">
        <v>29943</v>
      </c>
      <c r="D54" s="2105">
        <v>6187</v>
      </c>
      <c r="E54" s="2105">
        <v>10277</v>
      </c>
      <c r="F54" s="2105">
        <v>2146</v>
      </c>
      <c r="G54" s="2105">
        <v>1484</v>
      </c>
      <c r="H54" s="2105" t="s">
        <v>28</v>
      </c>
      <c r="I54" s="2105">
        <v>1277</v>
      </c>
      <c r="J54" s="2105" t="s">
        <v>28</v>
      </c>
      <c r="K54" s="2105">
        <v>1265</v>
      </c>
      <c r="L54" s="550">
        <v>7307</v>
      </c>
    </row>
    <row r="55" spans="1:12" ht="12" customHeight="1">
      <c r="A55" s="2104" t="s">
        <v>137</v>
      </c>
      <c r="B55" s="549" t="s">
        <v>32</v>
      </c>
      <c r="C55" s="2105">
        <v>6706</v>
      </c>
      <c r="D55" s="2105">
        <v>1335</v>
      </c>
      <c r="E55" s="2105">
        <v>2621</v>
      </c>
      <c r="F55" s="2105">
        <v>626</v>
      </c>
      <c r="G55" s="2105">
        <v>305</v>
      </c>
      <c r="H55" s="2105">
        <v>396</v>
      </c>
      <c r="I55" s="2105">
        <v>114</v>
      </c>
      <c r="J55" s="2105" t="s">
        <v>28</v>
      </c>
      <c r="K55" s="2105">
        <v>267</v>
      </c>
      <c r="L55" s="550">
        <v>1042</v>
      </c>
    </row>
    <row r="56" spans="1:12" ht="12" customHeight="1">
      <c r="A56" s="2111" t="s">
        <v>63</v>
      </c>
      <c r="B56" s="558" t="s">
        <v>64</v>
      </c>
      <c r="C56" s="2114">
        <v>2600</v>
      </c>
      <c r="D56" s="2114">
        <v>856</v>
      </c>
      <c r="E56" s="2114">
        <v>426</v>
      </c>
      <c r="F56" s="2114">
        <v>368</v>
      </c>
      <c r="G56" s="2114">
        <v>137</v>
      </c>
      <c r="H56" s="2114" t="s">
        <v>28</v>
      </c>
      <c r="I56" s="2114" t="s">
        <v>28</v>
      </c>
      <c r="J56" s="2114" t="s">
        <v>28</v>
      </c>
      <c r="K56" s="2114" t="s">
        <v>28</v>
      </c>
      <c r="L56" s="568">
        <v>813</v>
      </c>
    </row>
    <row r="57" spans="1:12" ht="12" customHeight="1">
      <c r="A57" s="2104" t="s">
        <v>136</v>
      </c>
      <c r="B57" s="549" t="s">
        <v>30</v>
      </c>
      <c r="C57" s="2105">
        <v>2600</v>
      </c>
      <c r="D57" s="2105">
        <v>856</v>
      </c>
      <c r="E57" s="2105">
        <v>426</v>
      </c>
      <c r="F57" s="2105">
        <v>368</v>
      </c>
      <c r="G57" s="2105">
        <v>137</v>
      </c>
      <c r="H57" s="2105" t="s">
        <v>28</v>
      </c>
      <c r="I57" s="2105" t="s">
        <v>28</v>
      </c>
      <c r="J57" s="2105" t="s">
        <v>28</v>
      </c>
      <c r="K57" s="2105" t="s">
        <v>28</v>
      </c>
      <c r="L57" s="550">
        <v>813</v>
      </c>
    </row>
    <row r="58" spans="1:12" ht="12" customHeight="1" thickBot="1">
      <c r="A58" s="551" t="s">
        <v>137</v>
      </c>
      <c r="B58" s="2106" t="s">
        <v>32</v>
      </c>
      <c r="C58" s="2107" t="s">
        <v>28</v>
      </c>
      <c r="D58" s="2107" t="s">
        <v>28</v>
      </c>
      <c r="E58" s="2107" t="s">
        <v>28</v>
      </c>
      <c r="F58" s="2107" t="s">
        <v>28</v>
      </c>
      <c r="G58" s="2107" t="s">
        <v>28</v>
      </c>
      <c r="H58" s="2107" t="s">
        <v>28</v>
      </c>
      <c r="I58" s="2107" t="s">
        <v>28</v>
      </c>
      <c r="J58" s="2107" t="s">
        <v>28</v>
      </c>
      <c r="K58" s="2107" t="s">
        <v>28</v>
      </c>
      <c r="L58" s="2108" t="s">
        <v>28</v>
      </c>
    </row>
    <row r="62" spans="1:12">
      <c r="A62" s="570"/>
    </row>
  </sheetData>
  <mergeCells count="14">
    <mergeCell ref="A2:F2"/>
    <mergeCell ref="G2:L2"/>
    <mergeCell ref="A3:F3"/>
    <mergeCell ref="G3:L3"/>
    <mergeCell ref="A4:F4"/>
    <mergeCell ref="G4:L4"/>
    <mergeCell ref="A28:F28"/>
    <mergeCell ref="G28:L28"/>
    <mergeCell ref="A5:B5"/>
    <mergeCell ref="H5:K5"/>
    <mergeCell ref="A6:B6"/>
    <mergeCell ref="H6:K6"/>
    <mergeCell ref="A12:F12"/>
    <mergeCell ref="G12:L12"/>
  </mergeCells>
  <phoneticPr fontId="4" type="noConversion"/>
  <hyperlinks>
    <hyperlink ref="A1" location="목록!A1" display="목록!A1" xr:uid="{3FA955F7-B822-4B35-BF58-DD749665D9A9}"/>
  </hyperlinks>
  <pageMargins left="0.59055118110236227" right="0.59055118110236227" top="0.78740157480314965" bottom="0.59055118110236227" header="0.62992125984251968" footer="0.39370078740157483"/>
  <pageSetup paperSize="9" orientation="portrait" r:id="rId1"/>
  <rowBreaks count="1" manualBreakCount="1">
    <brk id="58" max="11" man="1"/>
  </rowBreaks>
  <colBreaks count="2" manualBreakCount="2">
    <brk id="6" min="1" max="57" man="1"/>
    <brk id="12"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dimension ref="A1:R59"/>
  <sheetViews>
    <sheetView showGridLines="0" showWhiteSpace="0" view="pageBreakPreview" zoomScaleNormal="100" zoomScaleSheetLayoutView="100" workbookViewId="0">
      <selection activeCell="A2" sqref="A2:R58"/>
    </sheetView>
  </sheetViews>
  <sheetFormatPr defaultColWidth="8.88671875" defaultRowHeight="16.5"/>
  <cols>
    <col min="1" max="1" width="7.77734375" style="50" customWidth="1"/>
    <col min="2" max="2" width="10.44140625" style="50" customWidth="1"/>
    <col min="3" max="7" width="8.33203125" style="46" customWidth="1"/>
    <col min="8" max="10" width="8" style="46" customWidth="1"/>
    <col min="11" max="18" width="9.77734375" style="46" customWidth="1"/>
    <col min="19" max="16384" width="8.88671875" style="46"/>
  </cols>
  <sheetData>
    <row r="1" spans="1:18" ht="22.5">
      <c r="A1" s="901" t="s">
        <v>1332</v>
      </c>
    </row>
    <row r="2" spans="1:18" s="44" customFormat="1" ht="13.5" customHeight="1">
      <c r="A2" s="1486" t="s">
        <v>1195</v>
      </c>
      <c r="B2" s="1486"/>
      <c r="C2" s="1486"/>
      <c r="D2" s="1486"/>
      <c r="E2" s="1486"/>
      <c r="F2" s="1486"/>
      <c r="G2" s="1486"/>
      <c r="H2" s="1486"/>
      <c r="I2" s="1486"/>
      <c r="J2" s="1486"/>
      <c r="K2" s="1487" t="s">
        <v>1047</v>
      </c>
      <c r="L2" s="1487"/>
      <c r="M2" s="1487"/>
      <c r="N2" s="1487"/>
      <c r="O2" s="1487"/>
      <c r="P2" s="1487"/>
      <c r="Q2" s="1487"/>
      <c r="R2" s="1487"/>
    </row>
    <row r="3" spans="1:18" s="45" customFormat="1" ht="22.5" customHeight="1">
      <c r="A3" s="1488" t="s">
        <v>897</v>
      </c>
      <c r="B3" s="1488"/>
      <c r="C3" s="1488"/>
      <c r="D3" s="1488"/>
      <c r="E3" s="1488"/>
      <c r="F3" s="1488"/>
      <c r="G3" s="1488"/>
      <c r="H3" s="1488"/>
      <c r="I3" s="1488"/>
      <c r="J3" s="1488"/>
      <c r="K3" s="1488" t="s">
        <v>1280</v>
      </c>
      <c r="L3" s="1488"/>
      <c r="M3" s="1488"/>
      <c r="N3" s="1488"/>
      <c r="O3" s="1488"/>
      <c r="P3" s="1488"/>
      <c r="Q3" s="1488"/>
      <c r="R3" s="1488"/>
    </row>
    <row r="4" spans="1:18" s="884" customFormat="1" ht="13.5" customHeight="1" thickBot="1">
      <c r="A4" s="2116"/>
      <c r="B4" s="2116"/>
      <c r="C4" s="2116"/>
      <c r="D4" s="2116"/>
      <c r="E4" s="2116"/>
      <c r="F4" s="2116"/>
      <c r="G4" s="2116"/>
      <c r="H4" s="2116"/>
      <c r="I4" s="2116"/>
      <c r="J4" s="2116"/>
      <c r="K4" s="2117" t="s">
        <v>302</v>
      </c>
      <c r="L4" s="2117"/>
      <c r="M4" s="2117"/>
      <c r="N4" s="2117"/>
      <c r="O4" s="2117"/>
      <c r="P4" s="2117"/>
      <c r="Q4" s="2117"/>
      <c r="R4" s="2117"/>
    </row>
    <row r="5" spans="1:18" s="885" customFormat="1" ht="12" customHeight="1">
      <c r="A5" s="2118" t="s">
        <v>668</v>
      </c>
      <c r="B5" s="1480"/>
      <c r="C5" s="2118" t="s">
        <v>715</v>
      </c>
      <c r="D5" s="2118"/>
      <c r="E5" s="2118"/>
      <c r="F5" s="2118"/>
      <c r="G5" s="2118"/>
      <c r="H5" s="2118"/>
      <c r="I5" s="2118"/>
      <c r="J5" s="1489"/>
      <c r="K5" s="1481" t="s">
        <v>717</v>
      </c>
      <c r="L5" s="2118"/>
      <c r="M5" s="2118"/>
      <c r="N5" s="2118"/>
      <c r="O5" s="2118"/>
      <c r="P5" s="2118"/>
      <c r="Q5" s="2118"/>
      <c r="R5" s="2118"/>
    </row>
    <row r="6" spans="1:18" ht="9.9499999999999993" customHeight="1">
      <c r="A6" s="2116" t="s">
        <v>7</v>
      </c>
      <c r="B6" s="1482"/>
      <c r="C6" s="1483" t="s">
        <v>606</v>
      </c>
      <c r="D6" s="1483"/>
      <c r="E6" s="1483"/>
      <c r="F6" s="1483"/>
      <c r="G6" s="1483"/>
      <c r="H6" s="1483"/>
      <c r="I6" s="1483"/>
      <c r="J6" s="1484"/>
      <c r="K6" s="1485" t="s">
        <v>723</v>
      </c>
      <c r="L6" s="1483"/>
      <c r="M6" s="1483"/>
      <c r="N6" s="1483"/>
      <c r="O6" s="1483"/>
      <c r="P6" s="1483"/>
      <c r="Q6" s="1483"/>
      <c r="R6" s="1483"/>
    </row>
    <row r="7" spans="1:18" s="47" customFormat="1" ht="22.5">
      <c r="A7" s="2119"/>
      <c r="B7" s="1477"/>
      <c r="C7" s="800" t="s">
        <v>13</v>
      </c>
      <c r="D7" s="800" t="s">
        <v>731</v>
      </c>
      <c r="E7" s="800" t="s">
        <v>732</v>
      </c>
      <c r="F7" s="803" t="s">
        <v>1143</v>
      </c>
      <c r="G7" s="800" t="s">
        <v>733</v>
      </c>
      <c r="H7" s="800" t="s">
        <v>734</v>
      </c>
      <c r="I7" s="800" t="s">
        <v>735</v>
      </c>
      <c r="J7" s="800" t="s">
        <v>736</v>
      </c>
      <c r="K7" s="2120" t="s">
        <v>13</v>
      </c>
      <c r="L7" s="800" t="s">
        <v>737</v>
      </c>
      <c r="M7" s="800" t="s">
        <v>738</v>
      </c>
      <c r="N7" s="803" t="s">
        <v>1143</v>
      </c>
      <c r="O7" s="800" t="s">
        <v>739</v>
      </c>
      <c r="P7" s="800" t="s">
        <v>740</v>
      </c>
      <c r="Q7" s="800" t="s">
        <v>741</v>
      </c>
      <c r="R7" s="2121" t="s">
        <v>298</v>
      </c>
    </row>
    <row r="8" spans="1:18" ht="33" customHeight="1">
      <c r="A8" s="1478"/>
      <c r="B8" s="1479"/>
      <c r="C8" s="801" t="s">
        <v>16</v>
      </c>
      <c r="D8" s="801" t="s">
        <v>742</v>
      </c>
      <c r="E8" s="801" t="s">
        <v>1269</v>
      </c>
      <c r="F8" s="801" t="s">
        <v>1144</v>
      </c>
      <c r="G8" s="801" t="s">
        <v>743</v>
      </c>
      <c r="H8" s="801" t="s">
        <v>744</v>
      </c>
      <c r="I8" s="801" t="s">
        <v>745</v>
      </c>
      <c r="J8" s="801" t="s">
        <v>150</v>
      </c>
      <c r="K8" s="802" t="s">
        <v>16</v>
      </c>
      <c r="L8" s="801" t="s">
        <v>317</v>
      </c>
      <c r="M8" s="801" t="s">
        <v>1268</v>
      </c>
      <c r="N8" s="801" t="s">
        <v>1144</v>
      </c>
      <c r="O8" s="801" t="s">
        <v>746</v>
      </c>
      <c r="P8" s="801" t="s">
        <v>315</v>
      </c>
      <c r="Q8" s="801" t="s">
        <v>316</v>
      </c>
      <c r="R8" s="804" t="s">
        <v>150</v>
      </c>
    </row>
    <row r="9" spans="1:18" s="48" customFormat="1" ht="12" customHeight="1">
      <c r="A9" s="2122" t="s">
        <v>27</v>
      </c>
      <c r="B9" s="2123" t="s">
        <v>16</v>
      </c>
      <c r="C9" s="2124">
        <v>1376963</v>
      </c>
      <c r="D9" s="2124">
        <v>1290225</v>
      </c>
      <c r="E9" s="2124">
        <v>19823</v>
      </c>
      <c r="F9" s="2124">
        <v>62937</v>
      </c>
      <c r="G9" s="2124">
        <v>2016</v>
      </c>
      <c r="H9" s="2124">
        <v>245</v>
      </c>
      <c r="I9" s="2124" t="s">
        <v>28</v>
      </c>
      <c r="J9" s="2124">
        <v>1717</v>
      </c>
      <c r="K9" s="2125">
        <v>363820</v>
      </c>
      <c r="L9" s="2124">
        <v>346677</v>
      </c>
      <c r="M9" s="2124">
        <v>1931</v>
      </c>
      <c r="N9" s="2124">
        <v>15087</v>
      </c>
      <c r="O9" s="2124" t="s">
        <v>28</v>
      </c>
      <c r="P9" s="2124">
        <v>95</v>
      </c>
      <c r="Q9" s="2124" t="s">
        <v>28</v>
      </c>
      <c r="R9" s="2126">
        <v>30</v>
      </c>
    </row>
    <row r="10" spans="1:18" s="49" customFormat="1" ht="12" customHeight="1">
      <c r="A10" s="995" t="s">
        <v>136</v>
      </c>
      <c r="B10" s="2127" t="s">
        <v>30</v>
      </c>
      <c r="C10" s="2128">
        <v>1315599</v>
      </c>
      <c r="D10" s="2128">
        <v>1242465</v>
      </c>
      <c r="E10" s="2128">
        <v>18476</v>
      </c>
      <c r="F10" s="2128">
        <v>51565</v>
      </c>
      <c r="G10" s="2128">
        <v>1397</v>
      </c>
      <c r="H10" s="2128" t="s">
        <v>28</v>
      </c>
      <c r="I10" s="2128" t="s">
        <v>28</v>
      </c>
      <c r="J10" s="2128">
        <v>1696</v>
      </c>
      <c r="K10" s="2129">
        <v>346364</v>
      </c>
      <c r="L10" s="2128">
        <v>331864</v>
      </c>
      <c r="M10" s="2128">
        <v>1830</v>
      </c>
      <c r="N10" s="2128">
        <v>12640</v>
      </c>
      <c r="O10" s="2128" t="s">
        <v>28</v>
      </c>
      <c r="P10" s="2128" t="s">
        <v>28</v>
      </c>
      <c r="Q10" s="2128" t="s">
        <v>28</v>
      </c>
      <c r="R10" s="2130">
        <v>30</v>
      </c>
    </row>
    <row r="11" spans="1:18" s="886" customFormat="1" ht="12" customHeight="1" thickBot="1">
      <c r="A11" s="2131" t="s">
        <v>137</v>
      </c>
      <c r="B11" s="2132" t="s">
        <v>32</v>
      </c>
      <c r="C11" s="2133">
        <v>61364</v>
      </c>
      <c r="D11" s="2133">
        <v>47760</v>
      </c>
      <c r="E11" s="2133">
        <v>1347</v>
      </c>
      <c r="F11" s="2133">
        <v>11372</v>
      </c>
      <c r="G11" s="2133">
        <v>619</v>
      </c>
      <c r="H11" s="2133">
        <v>245</v>
      </c>
      <c r="I11" s="2133" t="s">
        <v>28</v>
      </c>
      <c r="J11" s="2133">
        <v>21</v>
      </c>
      <c r="K11" s="2134">
        <v>17456</v>
      </c>
      <c r="L11" s="2133">
        <v>14813</v>
      </c>
      <c r="M11" s="2133">
        <v>101</v>
      </c>
      <c r="N11" s="2133">
        <v>2447</v>
      </c>
      <c r="O11" s="2133" t="s">
        <v>28</v>
      </c>
      <c r="P11" s="2133">
        <v>95</v>
      </c>
      <c r="Q11" s="2133" t="s">
        <v>28</v>
      </c>
      <c r="R11" s="2135" t="s">
        <v>28</v>
      </c>
    </row>
    <row r="12" spans="1:18" s="887" customFormat="1" ht="12" customHeight="1" thickBot="1">
      <c r="A12" s="2136" t="s">
        <v>33</v>
      </c>
      <c r="B12" s="2136"/>
      <c r="C12" s="2136"/>
      <c r="D12" s="2136"/>
      <c r="E12" s="2136"/>
      <c r="F12" s="2136"/>
      <c r="G12" s="2136"/>
      <c r="H12" s="2136"/>
      <c r="I12" s="2136"/>
      <c r="J12" s="2136"/>
      <c r="K12" s="2136" t="s">
        <v>34</v>
      </c>
      <c r="L12" s="2136"/>
      <c r="M12" s="2136"/>
      <c r="N12" s="2136"/>
      <c r="O12" s="2136"/>
      <c r="P12" s="2136"/>
      <c r="Q12" s="2136"/>
      <c r="R12" s="2136"/>
    </row>
    <row r="13" spans="1:18" s="48" customFormat="1" ht="12" customHeight="1">
      <c r="A13" s="2137" t="s">
        <v>35</v>
      </c>
      <c r="B13" s="2138" t="s">
        <v>36</v>
      </c>
      <c r="C13" s="2139">
        <v>244770</v>
      </c>
      <c r="D13" s="2139">
        <v>209172</v>
      </c>
      <c r="E13" s="2139">
        <v>5755</v>
      </c>
      <c r="F13" s="2139">
        <v>28656</v>
      </c>
      <c r="G13" s="2139">
        <v>109</v>
      </c>
      <c r="H13" s="2139" t="s">
        <v>28</v>
      </c>
      <c r="I13" s="2139" t="s">
        <v>28</v>
      </c>
      <c r="J13" s="2139">
        <v>1078</v>
      </c>
      <c r="K13" s="2140">
        <v>67485</v>
      </c>
      <c r="L13" s="2139">
        <v>61255</v>
      </c>
      <c r="M13" s="2139" t="s">
        <v>28</v>
      </c>
      <c r="N13" s="2139">
        <v>6230</v>
      </c>
      <c r="O13" s="2139" t="s">
        <v>28</v>
      </c>
      <c r="P13" s="2139" t="s">
        <v>28</v>
      </c>
      <c r="Q13" s="2139" t="s">
        <v>28</v>
      </c>
      <c r="R13" s="2141" t="s">
        <v>28</v>
      </c>
    </row>
    <row r="14" spans="1:18" s="49" customFormat="1" ht="12" customHeight="1">
      <c r="A14" s="995" t="s">
        <v>136</v>
      </c>
      <c r="B14" s="2127" t="s">
        <v>30</v>
      </c>
      <c r="C14" s="2128">
        <v>203857</v>
      </c>
      <c r="D14" s="2128">
        <v>169151</v>
      </c>
      <c r="E14" s="2128">
        <v>4972</v>
      </c>
      <c r="F14" s="2128">
        <v>28656</v>
      </c>
      <c r="G14" s="2128" t="s">
        <v>28</v>
      </c>
      <c r="H14" s="2128" t="s">
        <v>28</v>
      </c>
      <c r="I14" s="2128" t="s">
        <v>28</v>
      </c>
      <c r="J14" s="2128">
        <v>1078</v>
      </c>
      <c r="K14" s="2129">
        <v>54917</v>
      </c>
      <c r="L14" s="2128">
        <v>48687</v>
      </c>
      <c r="M14" s="2128" t="s">
        <v>28</v>
      </c>
      <c r="N14" s="2128">
        <v>6230</v>
      </c>
      <c r="O14" s="2128" t="s">
        <v>28</v>
      </c>
      <c r="P14" s="2128" t="s">
        <v>28</v>
      </c>
      <c r="Q14" s="2128" t="s">
        <v>28</v>
      </c>
      <c r="R14" s="2142" t="s">
        <v>28</v>
      </c>
    </row>
    <row r="15" spans="1:18" s="49" customFormat="1" ht="12" customHeight="1">
      <c r="A15" s="995" t="s">
        <v>137</v>
      </c>
      <c r="B15" s="2127" t="s">
        <v>32</v>
      </c>
      <c r="C15" s="2128">
        <v>40913</v>
      </c>
      <c r="D15" s="2128">
        <v>40021</v>
      </c>
      <c r="E15" s="2128">
        <v>783</v>
      </c>
      <c r="F15" s="2128" t="s">
        <v>28</v>
      </c>
      <c r="G15" s="2128">
        <v>109</v>
      </c>
      <c r="H15" s="2128" t="s">
        <v>28</v>
      </c>
      <c r="I15" s="2128" t="s">
        <v>28</v>
      </c>
      <c r="J15" s="2128" t="s">
        <v>28</v>
      </c>
      <c r="K15" s="2129">
        <v>12568</v>
      </c>
      <c r="L15" s="2128">
        <v>12568</v>
      </c>
      <c r="M15" s="2128" t="s">
        <v>28</v>
      </c>
      <c r="N15" s="2128" t="s">
        <v>28</v>
      </c>
      <c r="O15" s="2128" t="s">
        <v>28</v>
      </c>
      <c r="P15" s="2128" t="s">
        <v>28</v>
      </c>
      <c r="Q15" s="2128" t="s">
        <v>28</v>
      </c>
      <c r="R15" s="2142" t="s">
        <v>28</v>
      </c>
    </row>
    <row r="16" spans="1:18" s="48" customFormat="1" ht="12" customHeight="1">
      <c r="A16" s="2122" t="s">
        <v>37</v>
      </c>
      <c r="B16" s="2123" t="s">
        <v>38</v>
      </c>
      <c r="C16" s="2124">
        <v>346615</v>
      </c>
      <c r="D16" s="2124">
        <v>333343</v>
      </c>
      <c r="E16" s="2124">
        <v>2656</v>
      </c>
      <c r="F16" s="2124">
        <v>9993</v>
      </c>
      <c r="G16" s="2124">
        <v>473</v>
      </c>
      <c r="H16" s="2124" t="s">
        <v>28</v>
      </c>
      <c r="I16" s="2124" t="s">
        <v>28</v>
      </c>
      <c r="J16" s="2124">
        <v>150</v>
      </c>
      <c r="K16" s="2125">
        <v>97143</v>
      </c>
      <c r="L16" s="2124">
        <v>94096</v>
      </c>
      <c r="M16" s="2124">
        <v>566</v>
      </c>
      <c r="N16" s="2124">
        <v>2451</v>
      </c>
      <c r="O16" s="2124" t="s">
        <v>28</v>
      </c>
      <c r="P16" s="2124" t="s">
        <v>28</v>
      </c>
      <c r="Q16" s="2124" t="s">
        <v>28</v>
      </c>
      <c r="R16" s="2143">
        <v>30</v>
      </c>
    </row>
    <row r="17" spans="1:18" s="49" customFormat="1" ht="12" customHeight="1">
      <c r="A17" s="995" t="s">
        <v>136</v>
      </c>
      <c r="B17" s="2127" t="s">
        <v>30</v>
      </c>
      <c r="C17" s="2128">
        <v>346615</v>
      </c>
      <c r="D17" s="2128">
        <v>333343</v>
      </c>
      <c r="E17" s="2128">
        <v>2656</v>
      </c>
      <c r="F17" s="2128">
        <v>9993</v>
      </c>
      <c r="G17" s="2128">
        <v>473</v>
      </c>
      <c r="H17" s="2128" t="s">
        <v>28</v>
      </c>
      <c r="I17" s="2128" t="s">
        <v>28</v>
      </c>
      <c r="J17" s="2128">
        <v>150</v>
      </c>
      <c r="K17" s="2129">
        <v>97143</v>
      </c>
      <c r="L17" s="2128">
        <v>94096</v>
      </c>
      <c r="M17" s="2128">
        <v>566</v>
      </c>
      <c r="N17" s="2128">
        <v>2451</v>
      </c>
      <c r="O17" s="2128" t="s">
        <v>28</v>
      </c>
      <c r="P17" s="2128" t="s">
        <v>28</v>
      </c>
      <c r="Q17" s="2128" t="s">
        <v>28</v>
      </c>
      <c r="R17" s="2142">
        <v>30</v>
      </c>
    </row>
    <row r="18" spans="1:18" s="49" customFormat="1" ht="12" customHeight="1">
      <c r="A18" s="995" t="s">
        <v>137</v>
      </c>
      <c r="B18" s="2127" t="s">
        <v>32</v>
      </c>
      <c r="C18" s="2128" t="s">
        <v>28</v>
      </c>
      <c r="D18" s="2128" t="s">
        <v>28</v>
      </c>
      <c r="E18" s="2128" t="s">
        <v>28</v>
      </c>
      <c r="F18" s="2128" t="s">
        <v>28</v>
      </c>
      <c r="G18" s="2128" t="s">
        <v>28</v>
      </c>
      <c r="H18" s="2128" t="s">
        <v>28</v>
      </c>
      <c r="I18" s="2128" t="s">
        <v>28</v>
      </c>
      <c r="J18" s="2128" t="s">
        <v>28</v>
      </c>
      <c r="K18" s="2129" t="s">
        <v>28</v>
      </c>
      <c r="L18" s="2128" t="s">
        <v>28</v>
      </c>
      <c r="M18" s="2128" t="s">
        <v>28</v>
      </c>
      <c r="N18" s="2128" t="s">
        <v>28</v>
      </c>
      <c r="O18" s="2128" t="s">
        <v>28</v>
      </c>
      <c r="P18" s="2128" t="s">
        <v>28</v>
      </c>
      <c r="Q18" s="2128" t="s">
        <v>28</v>
      </c>
      <c r="R18" s="2142" t="s">
        <v>28</v>
      </c>
    </row>
    <row r="19" spans="1:18" s="48" customFormat="1" ht="12" customHeight="1">
      <c r="A19" s="2122" t="s">
        <v>39</v>
      </c>
      <c r="B19" s="2123" t="s">
        <v>40</v>
      </c>
      <c r="C19" s="2124">
        <v>439495</v>
      </c>
      <c r="D19" s="2124">
        <v>419404</v>
      </c>
      <c r="E19" s="2124">
        <v>6997</v>
      </c>
      <c r="F19" s="2124">
        <v>12374</v>
      </c>
      <c r="G19" s="2124">
        <v>640</v>
      </c>
      <c r="H19" s="2124" t="s">
        <v>28</v>
      </c>
      <c r="I19" s="2124" t="s">
        <v>28</v>
      </c>
      <c r="J19" s="2124">
        <v>80</v>
      </c>
      <c r="K19" s="2125">
        <v>112438</v>
      </c>
      <c r="L19" s="2124">
        <v>109543</v>
      </c>
      <c r="M19" s="2124">
        <v>448</v>
      </c>
      <c r="N19" s="2124">
        <v>2447</v>
      </c>
      <c r="O19" s="2124" t="s">
        <v>28</v>
      </c>
      <c r="P19" s="2124" t="s">
        <v>28</v>
      </c>
      <c r="Q19" s="2124" t="s">
        <v>28</v>
      </c>
      <c r="R19" s="2143" t="s">
        <v>28</v>
      </c>
    </row>
    <row r="20" spans="1:18" s="49" customFormat="1" ht="12" customHeight="1">
      <c r="A20" s="995" t="s">
        <v>136</v>
      </c>
      <c r="B20" s="2127" t="s">
        <v>30</v>
      </c>
      <c r="C20" s="2128">
        <v>425750</v>
      </c>
      <c r="D20" s="2128">
        <v>417031</v>
      </c>
      <c r="E20" s="2128">
        <v>6997</v>
      </c>
      <c r="F20" s="2128">
        <v>1002</v>
      </c>
      <c r="G20" s="2128">
        <v>640</v>
      </c>
      <c r="H20" s="2128" t="s">
        <v>28</v>
      </c>
      <c r="I20" s="2128" t="s">
        <v>28</v>
      </c>
      <c r="J20" s="2128">
        <v>80</v>
      </c>
      <c r="K20" s="2129">
        <v>108885</v>
      </c>
      <c r="L20" s="2128">
        <v>108437</v>
      </c>
      <c r="M20" s="2128">
        <v>448</v>
      </c>
      <c r="N20" s="2128" t="s">
        <v>28</v>
      </c>
      <c r="O20" s="2128" t="s">
        <v>28</v>
      </c>
      <c r="P20" s="2128" t="s">
        <v>28</v>
      </c>
      <c r="Q20" s="2128" t="s">
        <v>28</v>
      </c>
      <c r="R20" s="2142" t="s">
        <v>28</v>
      </c>
    </row>
    <row r="21" spans="1:18" s="49" customFormat="1" ht="12" customHeight="1">
      <c r="A21" s="995" t="s">
        <v>137</v>
      </c>
      <c r="B21" s="2127" t="s">
        <v>32</v>
      </c>
      <c r="C21" s="2128">
        <v>13745</v>
      </c>
      <c r="D21" s="2128">
        <v>2373</v>
      </c>
      <c r="E21" s="2128" t="s">
        <v>28</v>
      </c>
      <c r="F21" s="2128">
        <v>11372</v>
      </c>
      <c r="G21" s="2128" t="s">
        <v>28</v>
      </c>
      <c r="H21" s="2128" t="s">
        <v>28</v>
      </c>
      <c r="I21" s="2128" t="s">
        <v>28</v>
      </c>
      <c r="J21" s="2128" t="s">
        <v>28</v>
      </c>
      <c r="K21" s="2129">
        <v>3553</v>
      </c>
      <c r="L21" s="2128">
        <v>1106</v>
      </c>
      <c r="M21" s="2128" t="s">
        <v>28</v>
      </c>
      <c r="N21" s="2128">
        <v>2447</v>
      </c>
      <c r="O21" s="2128" t="s">
        <v>28</v>
      </c>
      <c r="P21" s="2128" t="s">
        <v>28</v>
      </c>
      <c r="Q21" s="2128" t="s">
        <v>28</v>
      </c>
      <c r="R21" s="2142" t="s">
        <v>28</v>
      </c>
    </row>
    <row r="22" spans="1:18" s="48" customFormat="1" ht="12" customHeight="1">
      <c r="A22" s="2122" t="s">
        <v>41</v>
      </c>
      <c r="B22" s="2123" t="s">
        <v>42</v>
      </c>
      <c r="C22" s="2124">
        <v>309434</v>
      </c>
      <c r="D22" s="2124">
        <v>293763</v>
      </c>
      <c r="E22" s="2124">
        <v>3470</v>
      </c>
      <c r="F22" s="2124">
        <v>11819</v>
      </c>
      <c r="G22" s="2124">
        <v>57</v>
      </c>
      <c r="H22" s="2124" t="s">
        <v>28</v>
      </c>
      <c r="I22" s="2124" t="s">
        <v>28</v>
      </c>
      <c r="J22" s="2124">
        <v>325</v>
      </c>
      <c r="K22" s="2125">
        <v>79232</v>
      </c>
      <c r="L22" s="2124">
        <v>74457</v>
      </c>
      <c r="M22" s="2124">
        <v>816</v>
      </c>
      <c r="N22" s="2124">
        <v>3959</v>
      </c>
      <c r="O22" s="2124" t="s">
        <v>28</v>
      </c>
      <c r="P22" s="2124" t="s">
        <v>28</v>
      </c>
      <c r="Q22" s="2124" t="s">
        <v>28</v>
      </c>
      <c r="R22" s="2143" t="s">
        <v>28</v>
      </c>
    </row>
    <row r="23" spans="1:18" s="49" customFormat="1" ht="12" customHeight="1">
      <c r="A23" s="995" t="s">
        <v>136</v>
      </c>
      <c r="B23" s="2127" t="s">
        <v>30</v>
      </c>
      <c r="C23" s="2128">
        <v>309434</v>
      </c>
      <c r="D23" s="2128">
        <v>293763</v>
      </c>
      <c r="E23" s="2128">
        <v>3470</v>
      </c>
      <c r="F23" s="2128">
        <v>11819</v>
      </c>
      <c r="G23" s="2128">
        <v>57</v>
      </c>
      <c r="H23" s="2128" t="s">
        <v>28</v>
      </c>
      <c r="I23" s="2128" t="s">
        <v>28</v>
      </c>
      <c r="J23" s="2128">
        <v>325</v>
      </c>
      <c r="K23" s="2129">
        <v>79232</v>
      </c>
      <c r="L23" s="2128">
        <v>74457</v>
      </c>
      <c r="M23" s="2128">
        <v>816</v>
      </c>
      <c r="N23" s="2128">
        <v>3959</v>
      </c>
      <c r="O23" s="2128" t="s">
        <v>28</v>
      </c>
      <c r="P23" s="2128" t="s">
        <v>28</v>
      </c>
      <c r="Q23" s="2128" t="s">
        <v>28</v>
      </c>
      <c r="R23" s="2142" t="s">
        <v>28</v>
      </c>
    </row>
    <row r="24" spans="1:18" s="49" customFormat="1" ht="12" customHeight="1">
      <c r="A24" s="995" t="s">
        <v>137</v>
      </c>
      <c r="B24" s="2127" t="s">
        <v>32</v>
      </c>
      <c r="C24" s="2128" t="s">
        <v>28</v>
      </c>
      <c r="D24" s="2128" t="s">
        <v>28</v>
      </c>
      <c r="E24" s="2128" t="s">
        <v>28</v>
      </c>
      <c r="F24" s="2128" t="s">
        <v>28</v>
      </c>
      <c r="G24" s="2128" t="s">
        <v>28</v>
      </c>
      <c r="H24" s="2128" t="s">
        <v>28</v>
      </c>
      <c r="I24" s="2128" t="s">
        <v>28</v>
      </c>
      <c r="J24" s="2128" t="s">
        <v>28</v>
      </c>
      <c r="K24" s="2129" t="s">
        <v>28</v>
      </c>
      <c r="L24" s="2128" t="s">
        <v>28</v>
      </c>
      <c r="M24" s="2128" t="s">
        <v>28</v>
      </c>
      <c r="N24" s="2128" t="s">
        <v>28</v>
      </c>
      <c r="O24" s="2128" t="s">
        <v>28</v>
      </c>
      <c r="P24" s="2128" t="s">
        <v>28</v>
      </c>
      <c r="Q24" s="2128" t="s">
        <v>28</v>
      </c>
      <c r="R24" s="2142" t="s">
        <v>28</v>
      </c>
    </row>
    <row r="25" spans="1:18" s="48" customFormat="1" ht="12" customHeight="1">
      <c r="A25" s="2122" t="s">
        <v>43</v>
      </c>
      <c r="B25" s="2123" t="s">
        <v>44</v>
      </c>
      <c r="C25" s="2124">
        <v>36649</v>
      </c>
      <c r="D25" s="2124">
        <v>34543</v>
      </c>
      <c r="E25" s="2124">
        <v>945</v>
      </c>
      <c r="F25" s="2124">
        <v>95</v>
      </c>
      <c r="G25" s="2124">
        <v>737</v>
      </c>
      <c r="H25" s="2124">
        <v>245</v>
      </c>
      <c r="I25" s="2124" t="s">
        <v>28</v>
      </c>
      <c r="J25" s="2124">
        <v>84</v>
      </c>
      <c r="K25" s="2125">
        <v>7522</v>
      </c>
      <c r="L25" s="2124">
        <v>7326</v>
      </c>
      <c r="M25" s="2124">
        <v>101</v>
      </c>
      <c r="N25" s="2124" t="s">
        <v>28</v>
      </c>
      <c r="O25" s="2124" t="s">
        <v>28</v>
      </c>
      <c r="P25" s="2124">
        <v>95</v>
      </c>
      <c r="Q25" s="2124" t="s">
        <v>28</v>
      </c>
      <c r="R25" s="2143" t="s">
        <v>28</v>
      </c>
    </row>
    <row r="26" spans="1:18" s="49" customFormat="1" ht="12" customHeight="1">
      <c r="A26" s="995" t="s">
        <v>136</v>
      </c>
      <c r="B26" s="2127" t="s">
        <v>30</v>
      </c>
      <c r="C26" s="2128">
        <v>29943</v>
      </c>
      <c r="D26" s="2128">
        <v>29177</v>
      </c>
      <c r="E26" s="2128">
        <v>381</v>
      </c>
      <c r="F26" s="2128">
        <v>95</v>
      </c>
      <c r="G26" s="2128">
        <v>227</v>
      </c>
      <c r="H26" s="2128" t="s">
        <v>28</v>
      </c>
      <c r="I26" s="2128" t="s">
        <v>28</v>
      </c>
      <c r="J26" s="2128">
        <v>63</v>
      </c>
      <c r="K26" s="2129">
        <v>6187</v>
      </c>
      <c r="L26" s="2128">
        <v>6187</v>
      </c>
      <c r="M26" s="2128" t="s">
        <v>28</v>
      </c>
      <c r="N26" s="2128" t="s">
        <v>28</v>
      </c>
      <c r="O26" s="2128" t="s">
        <v>28</v>
      </c>
      <c r="P26" s="2128" t="s">
        <v>28</v>
      </c>
      <c r="Q26" s="2128" t="s">
        <v>28</v>
      </c>
      <c r="R26" s="2142" t="s">
        <v>28</v>
      </c>
    </row>
    <row r="27" spans="1:18" s="886" customFormat="1" ht="12" customHeight="1" thickBot="1">
      <c r="A27" s="2131" t="s">
        <v>137</v>
      </c>
      <c r="B27" s="2132" t="s">
        <v>32</v>
      </c>
      <c r="C27" s="2133">
        <v>6706</v>
      </c>
      <c r="D27" s="2133">
        <v>5366</v>
      </c>
      <c r="E27" s="2133">
        <v>564</v>
      </c>
      <c r="F27" s="2133" t="s">
        <v>28</v>
      </c>
      <c r="G27" s="2133">
        <v>510</v>
      </c>
      <c r="H27" s="2133">
        <v>245</v>
      </c>
      <c r="I27" s="2133" t="s">
        <v>28</v>
      </c>
      <c r="J27" s="2133">
        <v>21</v>
      </c>
      <c r="K27" s="2134">
        <v>1335</v>
      </c>
      <c r="L27" s="2133">
        <v>1139</v>
      </c>
      <c r="M27" s="2133">
        <v>101</v>
      </c>
      <c r="N27" s="2133" t="s">
        <v>28</v>
      </c>
      <c r="O27" s="2133" t="s">
        <v>28</v>
      </c>
      <c r="P27" s="2133">
        <v>95</v>
      </c>
      <c r="Q27" s="2133" t="s">
        <v>28</v>
      </c>
      <c r="R27" s="2144" t="s">
        <v>28</v>
      </c>
    </row>
    <row r="28" spans="1:18" s="887" customFormat="1" ht="12" customHeight="1" thickBot="1">
      <c r="A28" s="2136" t="s">
        <v>45</v>
      </c>
      <c r="B28" s="2136"/>
      <c r="C28" s="2136"/>
      <c r="D28" s="2136"/>
      <c r="E28" s="2136"/>
      <c r="F28" s="2136"/>
      <c r="G28" s="2136"/>
      <c r="H28" s="2136"/>
      <c r="I28" s="2136"/>
      <c r="J28" s="2136"/>
      <c r="K28" s="2136" t="s">
        <v>46</v>
      </c>
      <c r="L28" s="2136"/>
      <c r="M28" s="2136"/>
      <c r="N28" s="2136"/>
      <c r="O28" s="2136"/>
      <c r="P28" s="2136"/>
      <c r="Q28" s="2136"/>
      <c r="R28" s="2136"/>
    </row>
    <row r="29" spans="1:18" s="48" customFormat="1" ht="12" customHeight="1">
      <c r="A29" s="2137" t="s">
        <v>47</v>
      </c>
      <c r="B29" s="2138" t="s">
        <v>48</v>
      </c>
      <c r="C29" s="2139">
        <v>103333</v>
      </c>
      <c r="D29" s="2139">
        <v>87306</v>
      </c>
      <c r="E29" s="2139">
        <v>1345</v>
      </c>
      <c r="F29" s="2139">
        <v>14628</v>
      </c>
      <c r="G29" s="2139" t="s">
        <v>28</v>
      </c>
      <c r="H29" s="2139" t="s">
        <v>28</v>
      </c>
      <c r="I29" s="2139" t="s">
        <v>28</v>
      </c>
      <c r="J29" s="2139">
        <v>54</v>
      </c>
      <c r="K29" s="2140">
        <v>26291</v>
      </c>
      <c r="L29" s="2139">
        <v>23537</v>
      </c>
      <c r="M29" s="2139" t="s">
        <v>28</v>
      </c>
      <c r="N29" s="2139">
        <v>2754</v>
      </c>
      <c r="O29" s="2139" t="s">
        <v>28</v>
      </c>
      <c r="P29" s="2139" t="s">
        <v>28</v>
      </c>
      <c r="Q29" s="2139" t="s">
        <v>28</v>
      </c>
      <c r="R29" s="2141" t="s">
        <v>28</v>
      </c>
    </row>
    <row r="30" spans="1:18" s="49" customFormat="1" ht="12" customHeight="1">
      <c r="A30" s="995" t="s">
        <v>136</v>
      </c>
      <c r="B30" s="2127" t="s">
        <v>30</v>
      </c>
      <c r="C30" s="2128">
        <v>81804</v>
      </c>
      <c r="D30" s="2128">
        <v>65777</v>
      </c>
      <c r="E30" s="2128">
        <v>1345</v>
      </c>
      <c r="F30" s="2128">
        <v>14628</v>
      </c>
      <c r="G30" s="2128" t="s">
        <v>28</v>
      </c>
      <c r="H30" s="2128" t="s">
        <v>28</v>
      </c>
      <c r="I30" s="2128" t="s">
        <v>28</v>
      </c>
      <c r="J30" s="2128">
        <v>54</v>
      </c>
      <c r="K30" s="2129">
        <v>20281</v>
      </c>
      <c r="L30" s="2128">
        <v>17527</v>
      </c>
      <c r="M30" s="2128" t="s">
        <v>28</v>
      </c>
      <c r="N30" s="2128">
        <v>2754</v>
      </c>
      <c r="O30" s="2128" t="s">
        <v>28</v>
      </c>
      <c r="P30" s="2128" t="s">
        <v>28</v>
      </c>
      <c r="Q30" s="2128" t="s">
        <v>28</v>
      </c>
      <c r="R30" s="2142" t="s">
        <v>28</v>
      </c>
    </row>
    <row r="31" spans="1:18" s="49" customFormat="1" ht="12" customHeight="1">
      <c r="A31" s="995" t="s">
        <v>137</v>
      </c>
      <c r="B31" s="2127" t="s">
        <v>32</v>
      </c>
      <c r="C31" s="2128">
        <v>21529</v>
      </c>
      <c r="D31" s="2128">
        <v>21529</v>
      </c>
      <c r="E31" s="2128" t="s">
        <v>28</v>
      </c>
      <c r="F31" s="2128" t="s">
        <v>28</v>
      </c>
      <c r="G31" s="2128" t="s">
        <v>28</v>
      </c>
      <c r="H31" s="2128" t="s">
        <v>28</v>
      </c>
      <c r="I31" s="2128" t="s">
        <v>28</v>
      </c>
      <c r="J31" s="2128" t="s">
        <v>28</v>
      </c>
      <c r="K31" s="2129">
        <v>6010</v>
      </c>
      <c r="L31" s="2128">
        <v>6010</v>
      </c>
      <c r="M31" s="2128" t="s">
        <v>28</v>
      </c>
      <c r="N31" s="2128" t="s">
        <v>28</v>
      </c>
      <c r="O31" s="2128" t="s">
        <v>28</v>
      </c>
      <c r="P31" s="2128" t="s">
        <v>28</v>
      </c>
      <c r="Q31" s="2128" t="s">
        <v>28</v>
      </c>
      <c r="R31" s="2142" t="s">
        <v>28</v>
      </c>
    </row>
    <row r="32" spans="1:18" s="48" customFormat="1" ht="12" customHeight="1">
      <c r="A32" s="2122" t="s">
        <v>49</v>
      </c>
      <c r="B32" s="2123" t="s">
        <v>50</v>
      </c>
      <c r="C32" s="2124">
        <v>18452</v>
      </c>
      <c r="D32" s="2124">
        <v>18286</v>
      </c>
      <c r="E32" s="2124">
        <v>20</v>
      </c>
      <c r="F32" s="2124" t="s">
        <v>28</v>
      </c>
      <c r="G32" s="2124">
        <v>81</v>
      </c>
      <c r="H32" s="2124" t="s">
        <v>28</v>
      </c>
      <c r="I32" s="2124" t="s">
        <v>28</v>
      </c>
      <c r="J32" s="2124">
        <v>65</v>
      </c>
      <c r="K32" s="2125">
        <v>5841</v>
      </c>
      <c r="L32" s="2124">
        <v>5841</v>
      </c>
      <c r="M32" s="2124" t="s">
        <v>28</v>
      </c>
      <c r="N32" s="2124" t="s">
        <v>28</v>
      </c>
      <c r="O32" s="2124" t="s">
        <v>28</v>
      </c>
      <c r="P32" s="2124" t="s">
        <v>28</v>
      </c>
      <c r="Q32" s="2124" t="s">
        <v>28</v>
      </c>
      <c r="R32" s="2143" t="s">
        <v>28</v>
      </c>
    </row>
    <row r="33" spans="1:18" s="49" customFormat="1" ht="12" customHeight="1">
      <c r="A33" s="995" t="s">
        <v>136</v>
      </c>
      <c r="B33" s="2127" t="s">
        <v>30</v>
      </c>
      <c r="C33" s="2128">
        <v>9319</v>
      </c>
      <c r="D33" s="2128">
        <v>9254</v>
      </c>
      <c r="E33" s="2128" t="s">
        <v>28</v>
      </c>
      <c r="F33" s="2128" t="s">
        <v>28</v>
      </c>
      <c r="G33" s="2128" t="s">
        <v>28</v>
      </c>
      <c r="H33" s="2128" t="s">
        <v>28</v>
      </c>
      <c r="I33" s="2128" t="s">
        <v>28</v>
      </c>
      <c r="J33" s="2128">
        <v>65</v>
      </c>
      <c r="K33" s="2129">
        <v>2443</v>
      </c>
      <c r="L33" s="2128">
        <v>2443</v>
      </c>
      <c r="M33" s="2128" t="s">
        <v>28</v>
      </c>
      <c r="N33" s="2128" t="s">
        <v>28</v>
      </c>
      <c r="O33" s="2128" t="s">
        <v>28</v>
      </c>
      <c r="P33" s="2128" t="s">
        <v>28</v>
      </c>
      <c r="Q33" s="2128" t="s">
        <v>28</v>
      </c>
      <c r="R33" s="2142" t="s">
        <v>28</v>
      </c>
    </row>
    <row r="34" spans="1:18" s="49" customFormat="1" ht="12" customHeight="1">
      <c r="A34" s="995" t="s">
        <v>137</v>
      </c>
      <c r="B34" s="2127" t="s">
        <v>32</v>
      </c>
      <c r="C34" s="2128">
        <v>9133</v>
      </c>
      <c r="D34" s="2128">
        <v>9032</v>
      </c>
      <c r="E34" s="2128">
        <v>20</v>
      </c>
      <c r="F34" s="2128" t="s">
        <v>28</v>
      </c>
      <c r="G34" s="2128">
        <v>81</v>
      </c>
      <c r="H34" s="2128" t="s">
        <v>28</v>
      </c>
      <c r="I34" s="2128" t="s">
        <v>28</v>
      </c>
      <c r="J34" s="2128" t="s">
        <v>28</v>
      </c>
      <c r="K34" s="2129">
        <v>3398</v>
      </c>
      <c r="L34" s="2128">
        <v>3398</v>
      </c>
      <c r="M34" s="2128" t="s">
        <v>28</v>
      </c>
      <c r="N34" s="2128" t="s">
        <v>28</v>
      </c>
      <c r="O34" s="2128" t="s">
        <v>28</v>
      </c>
      <c r="P34" s="2128" t="s">
        <v>28</v>
      </c>
      <c r="Q34" s="2128" t="s">
        <v>28</v>
      </c>
      <c r="R34" s="2142" t="s">
        <v>28</v>
      </c>
    </row>
    <row r="35" spans="1:18" s="48" customFormat="1" ht="12" customHeight="1">
      <c r="A35" s="2122" t="s">
        <v>963</v>
      </c>
      <c r="B35" s="2123" t="s">
        <v>964</v>
      </c>
      <c r="C35" s="2124">
        <v>120385</v>
      </c>
      <c r="D35" s="2124">
        <v>103580</v>
      </c>
      <c r="E35" s="2124">
        <v>4390</v>
      </c>
      <c r="F35" s="2124">
        <v>11428</v>
      </c>
      <c r="G35" s="2124">
        <v>28</v>
      </c>
      <c r="H35" s="2124" t="s">
        <v>28</v>
      </c>
      <c r="I35" s="2124" t="s">
        <v>28</v>
      </c>
      <c r="J35" s="2124">
        <v>959</v>
      </c>
      <c r="K35" s="2125">
        <v>34497</v>
      </c>
      <c r="L35" s="2124">
        <v>31877</v>
      </c>
      <c r="M35" s="2124" t="s">
        <v>28</v>
      </c>
      <c r="N35" s="2124">
        <v>2620</v>
      </c>
      <c r="O35" s="2124" t="s">
        <v>28</v>
      </c>
      <c r="P35" s="2124" t="s">
        <v>28</v>
      </c>
      <c r="Q35" s="2124" t="s">
        <v>28</v>
      </c>
      <c r="R35" s="2143" t="s">
        <v>28</v>
      </c>
    </row>
    <row r="36" spans="1:18" s="49" customFormat="1" ht="12" customHeight="1">
      <c r="A36" s="995" t="s">
        <v>136</v>
      </c>
      <c r="B36" s="2127" t="s">
        <v>30</v>
      </c>
      <c r="C36" s="2128">
        <v>110134</v>
      </c>
      <c r="D36" s="2128">
        <v>94120</v>
      </c>
      <c r="E36" s="2128">
        <v>3627</v>
      </c>
      <c r="F36" s="2128">
        <v>11428</v>
      </c>
      <c r="G36" s="2128" t="s">
        <v>28</v>
      </c>
      <c r="H36" s="2128" t="s">
        <v>28</v>
      </c>
      <c r="I36" s="2128" t="s">
        <v>28</v>
      </c>
      <c r="J36" s="2128">
        <v>959</v>
      </c>
      <c r="K36" s="2129">
        <v>31337</v>
      </c>
      <c r="L36" s="2128">
        <v>28717</v>
      </c>
      <c r="M36" s="2128" t="s">
        <v>28</v>
      </c>
      <c r="N36" s="2128">
        <v>2620</v>
      </c>
      <c r="O36" s="2128" t="s">
        <v>28</v>
      </c>
      <c r="P36" s="2128" t="s">
        <v>28</v>
      </c>
      <c r="Q36" s="2128" t="s">
        <v>28</v>
      </c>
      <c r="R36" s="2142" t="s">
        <v>28</v>
      </c>
    </row>
    <row r="37" spans="1:18" s="49" customFormat="1" ht="12" customHeight="1">
      <c r="A37" s="995" t="s">
        <v>137</v>
      </c>
      <c r="B37" s="2127" t="s">
        <v>32</v>
      </c>
      <c r="C37" s="2128">
        <v>10251</v>
      </c>
      <c r="D37" s="2128">
        <v>9460</v>
      </c>
      <c r="E37" s="2128">
        <v>763</v>
      </c>
      <c r="F37" s="2128" t="s">
        <v>28</v>
      </c>
      <c r="G37" s="2128">
        <v>28</v>
      </c>
      <c r="H37" s="2128" t="s">
        <v>28</v>
      </c>
      <c r="I37" s="2128" t="s">
        <v>28</v>
      </c>
      <c r="J37" s="2128" t="s">
        <v>28</v>
      </c>
      <c r="K37" s="2129">
        <v>3160</v>
      </c>
      <c r="L37" s="2128">
        <v>3160</v>
      </c>
      <c r="M37" s="2128" t="s">
        <v>28</v>
      </c>
      <c r="N37" s="2128" t="s">
        <v>28</v>
      </c>
      <c r="O37" s="2128" t="s">
        <v>28</v>
      </c>
      <c r="P37" s="2128" t="s">
        <v>28</v>
      </c>
      <c r="Q37" s="2128" t="s">
        <v>28</v>
      </c>
      <c r="R37" s="2142" t="s">
        <v>28</v>
      </c>
    </row>
    <row r="38" spans="1:18" s="48" customFormat="1" ht="12" customHeight="1">
      <c r="A38" s="2122" t="s">
        <v>51</v>
      </c>
      <c r="B38" s="2123" t="s">
        <v>52</v>
      </c>
      <c r="C38" s="2124">
        <v>232235</v>
      </c>
      <c r="D38" s="2124">
        <v>214907</v>
      </c>
      <c r="E38" s="2124">
        <v>5547</v>
      </c>
      <c r="F38" s="2124">
        <v>11608</v>
      </c>
      <c r="G38" s="2124">
        <v>160</v>
      </c>
      <c r="H38" s="2124" t="s">
        <v>28</v>
      </c>
      <c r="I38" s="2124" t="s">
        <v>28</v>
      </c>
      <c r="J38" s="2124">
        <v>13</v>
      </c>
      <c r="K38" s="2125">
        <v>56551</v>
      </c>
      <c r="L38" s="2124">
        <v>54104</v>
      </c>
      <c r="M38" s="2124" t="s">
        <v>28</v>
      </c>
      <c r="N38" s="2124">
        <v>2447</v>
      </c>
      <c r="O38" s="2124" t="s">
        <v>28</v>
      </c>
      <c r="P38" s="2124" t="s">
        <v>28</v>
      </c>
      <c r="Q38" s="2124" t="s">
        <v>28</v>
      </c>
      <c r="R38" s="2143" t="s">
        <v>28</v>
      </c>
    </row>
    <row r="39" spans="1:18" s="49" customFormat="1" ht="12" customHeight="1">
      <c r="A39" s="995" t="s">
        <v>136</v>
      </c>
      <c r="B39" s="2127" t="s">
        <v>30</v>
      </c>
      <c r="C39" s="2128">
        <v>220863</v>
      </c>
      <c r="D39" s="2128">
        <v>214907</v>
      </c>
      <c r="E39" s="2128">
        <v>5547</v>
      </c>
      <c r="F39" s="2128">
        <v>236</v>
      </c>
      <c r="G39" s="2128">
        <v>160</v>
      </c>
      <c r="H39" s="2128" t="s">
        <v>28</v>
      </c>
      <c r="I39" s="2128" t="s">
        <v>28</v>
      </c>
      <c r="J39" s="2128">
        <v>13</v>
      </c>
      <c r="K39" s="2129">
        <v>54104</v>
      </c>
      <c r="L39" s="2128">
        <v>54104</v>
      </c>
      <c r="M39" s="2128" t="s">
        <v>28</v>
      </c>
      <c r="N39" s="2128" t="s">
        <v>28</v>
      </c>
      <c r="O39" s="2128" t="s">
        <v>28</v>
      </c>
      <c r="P39" s="2128" t="s">
        <v>28</v>
      </c>
      <c r="Q39" s="2128" t="s">
        <v>28</v>
      </c>
      <c r="R39" s="2142" t="s">
        <v>28</v>
      </c>
    </row>
    <row r="40" spans="1:18" s="49" customFormat="1" ht="12" customHeight="1">
      <c r="A40" s="995" t="s">
        <v>137</v>
      </c>
      <c r="B40" s="2127" t="s">
        <v>32</v>
      </c>
      <c r="C40" s="2128">
        <v>11372</v>
      </c>
      <c r="D40" s="2128" t="s">
        <v>28</v>
      </c>
      <c r="E40" s="2128" t="s">
        <v>28</v>
      </c>
      <c r="F40" s="2128">
        <v>11372</v>
      </c>
      <c r="G40" s="2128" t="s">
        <v>28</v>
      </c>
      <c r="H40" s="2128" t="s">
        <v>28</v>
      </c>
      <c r="I40" s="2128" t="s">
        <v>28</v>
      </c>
      <c r="J40" s="2128" t="s">
        <v>28</v>
      </c>
      <c r="K40" s="2129">
        <v>2447</v>
      </c>
      <c r="L40" s="2128" t="s">
        <v>28</v>
      </c>
      <c r="M40" s="2128" t="s">
        <v>28</v>
      </c>
      <c r="N40" s="2128">
        <v>2447</v>
      </c>
      <c r="O40" s="2128" t="s">
        <v>28</v>
      </c>
      <c r="P40" s="2128" t="s">
        <v>28</v>
      </c>
      <c r="Q40" s="2128" t="s">
        <v>28</v>
      </c>
      <c r="R40" s="2142" t="s">
        <v>28</v>
      </c>
    </row>
    <row r="41" spans="1:18" s="48" customFormat="1" ht="12" customHeight="1">
      <c r="A41" s="2122" t="s">
        <v>53</v>
      </c>
      <c r="B41" s="2123" t="s">
        <v>54</v>
      </c>
      <c r="C41" s="2124">
        <v>207260</v>
      </c>
      <c r="D41" s="2124">
        <v>204497</v>
      </c>
      <c r="E41" s="2124">
        <v>1450</v>
      </c>
      <c r="F41" s="2124">
        <v>766</v>
      </c>
      <c r="G41" s="2124">
        <v>480</v>
      </c>
      <c r="H41" s="2124" t="s">
        <v>28</v>
      </c>
      <c r="I41" s="2124" t="s">
        <v>28</v>
      </c>
      <c r="J41" s="2124">
        <v>67</v>
      </c>
      <c r="K41" s="2125">
        <v>55887</v>
      </c>
      <c r="L41" s="2124">
        <v>55439</v>
      </c>
      <c r="M41" s="2124">
        <v>448</v>
      </c>
      <c r="N41" s="2124" t="s">
        <v>28</v>
      </c>
      <c r="O41" s="2124" t="s">
        <v>28</v>
      </c>
      <c r="P41" s="2124" t="s">
        <v>28</v>
      </c>
      <c r="Q41" s="2124" t="s">
        <v>28</v>
      </c>
      <c r="R41" s="2143" t="s">
        <v>28</v>
      </c>
    </row>
    <row r="42" spans="1:18" s="49" customFormat="1" ht="12" customHeight="1">
      <c r="A42" s="995" t="s">
        <v>136</v>
      </c>
      <c r="B42" s="2127" t="s">
        <v>30</v>
      </c>
      <c r="C42" s="2128">
        <v>204887</v>
      </c>
      <c r="D42" s="2128">
        <v>202124</v>
      </c>
      <c r="E42" s="2128">
        <v>1450</v>
      </c>
      <c r="F42" s="2128">
        <v>766</v>
      </c>
      <c r="G42" s="2128">
        <v>480</v>
      </c>
      <c r="H42" s="2128" t="s">
        <v>28</v>
      </c>
      <c r="I42" s="2128" t="s">
        <v>28</v>
      </c>
      <c r="J42" s="2128">
        <v>67</v>
      </c>
      <c r="K42" s="2129">
        <v>54781</v>
      </c>
      <c r="L42" s="2128">
        <v>54333</v>
      </c>
      <c r="M42" s="2128">
        <v>448</v>
      </c>
      <c r="N42" s="2128" t="s">
        <v>28</v>
      </c>
      <c r="O42" s="2128" t="s">
        <v>28</v>
      </c>
      <c r="P42" s="2128" t="s">
        <v>28</v>
      </c>
      <c r="Q42" s="2128" t="s">
        <v>28</v>
      </c>
      <c r="R42" s="2142" t="s">
        <v>28</v>
      </c>
    </row>
    <row r="43" spans="1:18" s="49" customFormat="1" ht="12" customHeight="1">
      <c r="A43" s="995" t="s">
        <v>137</v>
      </c>
      <c r="B43" s="2127" t="s">
        <v>32</v>
      </c>
      <c r="C43" s="2128">
        <v>2373</v>
      </c>
      <c r="D43" s="2128">
        <v>2373</v>
      </c>
      <c r="E43" s="2128" t="s">
        <v>28</v>
      </c>
      <c r="F43" s="2128" t="s">
        <v>28</v>
      </c>
      <c r="G43" s="2128" t="s">
        <v>28</v>
      </c>
      <c r="H43" s="2128" t="s">
        <v>28</v>
      </c>
      <c r="I43" s="2128" t="s">
        <v>28</v>
      </c>
      <c r="J43" s="2128" t="s">
        <v>28</v>
      </c>
      <c r="K43" s="2129">
        <v>1106</v>
      </c>
      <c r="L43" s="2128">
        <v>1106</v>
      </c>
      <c r="M43" s="2128" t="s">
        <v>28</v>
      </c>
      <c r="N43" s="2128" t="s">
        <v>28</v>
      </c>
      <c r="O43" s="2128" t="s">
        <v>28</v>
      </c>
      <c r="P43" s="2128" t="s">
        <v>28</v>
      </c>
      <c r="Q43" s="2128" t="s">
        <v>28</v>
      </c>
      <c r="R43" s="2142" t="s">
        <v>28</v>
      </c>
    </row>
    <row r="44" spans="1:18" s="48" customFormat="1" ht="12" customHeight="1">
      <c r="A44" s="2122" t="s">
        <v>55</v>
      </c>
      <c r="B44" s="2123" t="s">
        <v>56</v>
      </c>
      <c r="C44" s="2124">
        <v>195091</v>
      </c>
      <c r="D44" s="2124">
        <v>186366</v>
      </c>
      <c r="E44" s="2124">
        <v>2003</v>
      </c>
      <c r="F44" s="2124">
        <v>6143</v>
      </c>
      <c r="G44" s="2124">
        <v>466</v>
      </c>
      <c r="H44" s="2124" t="s">
        <v>28</v>
      </c>
      <c r="I44" s="2124" t="s">
        <v>28</v>
      </c>
      <c r="J44" s="2124">
        <v>113</v>
      </c>
      <c r="K44" s="2125">
        <v>57088</v>
      </c>
      <c r="L44" s="2124">
        <v>54452</v>
      </c>
      <c r="M44" s="2124">
        <v>185</v>
      </c>
      <c r="N44" s="2124">
        <v>2451</v>
      </c>
      <c r="O44" s="2124" t="s">
        <v>28</v>
      </c>
      <c r="P44" s="2124" t="s">
        <v>28</v>
      </c>
      <c r="Q44" s="2124" t="s">
        <v>28</v>
      </c>
      <c r="R44" s="2143" t="s">
        <v>28</v>
      </c>
    </row>
    <row r="45" spans="1:18" s="49" customFormat="1" ht="12" customHeight="1">
      <c r="A45" s="995" t="s">
        <v>136</v>
      </c>
      <c r="B45" s="2127" t="s">
        <v>30</v>
      </c>
      <c r="C45" s="2128">
        <v>195091</v>
      </c>
      <c r="D45" s="2128">
        <v>186366</v>
      </c>
      <c r="E45" s="2128">
        <v>2003</v>
      </c>
      <c r="F45" s="2128">
        <v>6143</v>
      </c>
      <c r="G45" s="2128">
        <v>466</v>
      </c>
      <c r="H45" s="2128" t="s">
        <v>28</v>
      </c>
      <c r="I45" s="2128" t="s">
        <v>28</v>
      </c>
      <c r="J45" s="2128">
        <v>113</v>
      </c>
      <c r="K45" s="2129">
        <v>57088</v>
      </c>
      <c r="L45" s="2128">
        <v>54452</v>
      </c>
      <c r="M45" s="2128">
        <v>185</v>
      </c>
      <c r="N45" s="2128">
        <v>2451</v>
      </c>
      <c r="O45" s="2128" t="s">
        <v>28</v>
      </c>
      <c r="P45" s="2128" t="s">
        <v>28</v>
      </c>
      <c r="Q45" s="2128" t="s">
        <v>28</v>
      </c>
      <c r="R45" s="2142" t="s">
        <v>28</v>
      </c>
    </row>
    <row r="46" spans="1:18" s="49" customFormat="1" ht="12" customHeight="1">
      <c r="A46" s="995" t="s">
        <v>137</v>
      </c>
      <c r="B46" s="2127" t="s">
        <v>32</v>
      </c>
      <c r="C46" s="2128" t="s">
        <v>28</v>
      </c>
      <c r="D46" s="2128" t="s">
        <v>28</v>
      </c>
      <c r="E46" s="2128" t="s">
        <v>28</v>
      </c>
      <c r="F46" s="2128" t="s">
        <v>28</v>
      </c>
      <c r="G46" s="2128" t="s">
        <v>28</v>
      </c>
      <c r="H46" s="2128" t="s">
        <v>28</v>
      </c>
      <c r="I46" s="2128" t="s">
        <v>28</v>
      </c>
      <c r="J46" s="2128" t="s">
        <v>28</v>
      </c>
      <c r="K46" s="2129" t="s">
        <v>28</v>
      </c>
      <c r="L46" s="2128" t="s">
        <v>28</v>
      </c>
      <c r="M46" s="2128" t="s">
        <v>28</v>
      </c>
      <c r="N46" s="2128" t="s">
        <v>28</v>
      </c>
      <c r="O46" s="2128" t="s">
        <v>28</v>
      </c>
      <c r="P46" s="2128" t="s">
        <v>28</v>
      </c>
      <c r="Q46" s="2128" t="s">
        <v>28</v>
      </c>
      <c r="R46" s="2142" t="s">
        <v>28</v>
      </c>
    </row>
    <row r="47" spans="1:18" s="48" customFormat="1" ht="12" customHeight="1">
      <c r="A47" s="2122" t="s">
        <v>57</v>
      </c>
      <c r="B47" s="2123" t="s">
        <v>58</v>
      </c>
      <c r="C47" s="2124">
        <v>151524</v>
      </c>
      <c r="D47" s="2124">
        <v>146977</v>
      </c>
      <c r="E47" s="2124">
        <v>653</v>
      </c>
      <c r="F47" s="2124">
        <v>3850</v>
      </c>
      <c r="G47" s="2124">
        <v>7</v>
      </c>
      <c r="H47" s="2124" t="s">
        <v>28</v>
      </c>
      <c r="I47" s="2124" t="s">
        <v>28</v>
      </c>
      <c r="J47" s="2124">
        <v>37</v>
      </c>
      <c r="K47" s="2125">
        <v>40055</v>
      </c>
      <c r="L47" s="2124">
        <v>39644</v>
      </c>
      <c r="M47" s="2124">
        <v>381</v>
      </c>
      <c r="N47" s="2124" t="s">
        <v>28</v>
      </c>
      <c r="O47" s="2124" t="s">
        <v>28</v>
      </c>
      <c r="P47" s="2124" t="s">
        <v>28</v>
      </c>
      <c r="Q47" s="2124" t="s">
        <v>28</v>
      </c>
      <c r="R47" s="2143">
        <v>30</v>
      </c>
    </row>
    <row r="48" spans="1:18" s="49" customFormat="1" ht="12" customHeight="1">
      <c r="A48" s="995" t="s">
        <v>136</v>
      </c>
      <c r="B48" s="2127" t="s">
        <v>30</v>
      </c>
      <c r="C48" s="2128">
        <v>151524</v>
      </c>
      <c r="D48" s="2128">
        <v>146977</v>
      </c>
      <c r="E48" s="2128">
        <v>653</v>
      </c>
      <c r="F48" s="2128">
        <v>3850</v>
      </c>
      <c r="G48" s="2128">
        <v>7</v>
      </c>
      <c r="H48" s="2128" t="s">
        <v>28</v>
      </c>
      <c r="I48" s="2128" t="s">
        <v>28</v>
      </c>
      <c r="J48" s="2128">
        <v>37</v>
      </c>
      <c r="K48" s="2129">
        <v>40055</v>
      </c>
      <c r="L48" s="2128">
        <v>39644</v>
      </c>
      <c r="M48" s="2128">
        <v>381</v>
      </c>
      <c r="N48" s="2128" t="s">
        <v>28</v>
      </c>
      <c r="O48" s="2128" t="s">
        <v>28</v>
      </c>
      <c r="P48" s="2128" t="s">
        <v>28</v>
      </c>
      <c r="Q48" s="2128" t="s">
        <v>28</v>
      </c>
      <c r="R48" s="2130">
        <v>30</v>
      </c>
    </row>
    <row r="49" spans="1:18" s="49" customFormat="1" ht="12" customHeight="1">
      <c r="A49" s="995" t="s">
        <v>137</v>
      </c>
      <c r="B49" s="2127" t="s">
        <v>32</v>
      </c>
      <c r="C49" s="2128" t="s">
        <v>28</v>
      </c>
      <c r="D49" s="2128" t="s">
        <v>28</v>
      </c>
      <c r="E49" s="2128" t="s">
        <v>28</v>
      </c>
      <c r="F49" s="2128" t="s">
        <v>28</v>
      </c>
      <c r="G49" s="2128" t="s">
        <v>28</v>
      </c>
      <c r="H49" s="2128" t="s">
        <v>28</v>
      </c>
      <c r="I49" s="2128" t="s">
        <v>28</v>
      </c>
      <c r="J49" s="2128" t="s">
        <v>28</v>
      </c>
      <c r="K49" s="2129" t="s">
        <v>28</v>
      </c>
      <c r="L49" s="2128" t="s">
        <v>28</v>
      </c>
      <c r="M49" s="2128" t="s">
        <v>28</v>
      </c>
      <c r="N49" s="2128" t="s">
        <v>28</v>
      </c>
      <c r="O49" s="2128" t="s">
        <v>28</v>
      </c>
      <c r="P49" s="2128" t="s">
        <v>28</v>
      </c>
      <c r="Q49" s="2128" t="s">
        <v>28</v>
      </c>
      <c r="R49" s="2142" t="s">
        <v>28</v>
      </c>
    </row>
    <row r="50" spans="1:18" s="48" customFormat="1" ht="12" customHeight="1">
      <c r="A50" s="2122" t="s">
        <v>59</v>
      </c>
      <c r="B50" s="2123" t="s">
        <v>60</v>
      </c>
      <c r="C50" s="2124">
        <v>309434</v>
      </c>
      <c r="D50" s="2124">
        <v>293763</v>
      </c>
      <c r="E50" s="2124">
        <v>3470</v>
      </c>
      <c r="F50" s="2124">
        <v>11819</v>
      </c>
      <c r="G50" s="2124">
        <v>57</v>
      </c>
      <c r="H50" s="2124" t="s">
        <v>28</v>
      </c>
      <c r="I50" s="2124" t="s">
        <v>28</v>
      </c>
      <c r="J50" s="2124">
        <v>325</v>
      </c>
      <c r="K50" s="2125">
        <v>79232</v>
      </c>
      <c r="L50" s="2124">
        <v>74457</v>
      </c>
      <c r="M50" s="2124">
        <v>816</v>
      </c>
      <c r="N50" s="2124">
        <v>3959</v>
      </c>
      <c r="O50" s="2124" t="s">
        <v>28</v>
      </c>
      <c r="P50" s="2124" t="s">
        <v>28</v>
      </c>
      <c r="Q50" s="2124" t="s">
        <v>28</v>
      </c>
      <c r="R50" s="2143" t="s">
        <v>28</v>
      </c>
    </row>
    <row r="51" spans="1:18" s="49" customFormat="1" ht="12" customHeight="1">
      <c r="A51" s="995" t="s">
        <v>136</v>
      </c>
      <c r="B51" s="2127" t="s">
        <v>30</v>
      </c>
      <c r="C51" s="2128">
        <v>309434</v>
      </c>
      <c r="D51" s="2128">
        <v>293763</v>
      </c>
      <c r="E51" s="2128">
        <v>3470</v>
      </c>
      <c r="F51" s="2128">
        <v>11819</v>
      </c>
      <c r="G51" s="2128">
        <v>57</v>
      </c>
      <c r="H51" s="2128" t="s">
        <v>28</v>
      </c>
      <c r="I51" s="2128" t="s">
        <v>28</v>
      </c>
      <c r="J51" s="2128">
        <v>325</v>
      </c>
      <c r="K51" s="2129">
        <v>79232</v>
      </c>
      <c r="L51" s="2128">
        <v>74457</v>
      </c>
      <c r="M51" s="2128">
        <v>816</v>
      </c>
      <c r="N51" s="2128">
        <v>3959</v>
      </c>
      <c r="O51" s="2128" t="s">
        <v>28</v>
      </c>
      <c r="P51" s="2128" t="s">
        <v>28</v>
      </c>
      <c r="Q51" s="2128" t="s">
        <v>28</v>
      </c>
      <c r="R51" s="2142" t="s">
        <v>28</v>
      </c>
    </row>
    <row r="52" spans="1:18" s="49" customFormat="1" ht="12" customHeight="1">
      <c r="A52" s="995" t="s">
        <v>137</v>
      </c>
      <c r="B52" s="2127" t="s">
        <v>32</v>
      </c>
      <c r="C52" s="2128" t="s">
        <v>28</v>
      </c>
      <c r="D52" s="2128" t="s">
        <v>28</v>
      </c>
      <c r="E52" s="2128" t="s">
        <v>28</v>
      </c>
      <c r="F52" s="2128" t="s">
        <v>28</v>
      </c>
      <c r="G52" s="2128" t="s">
        <v>28</v>
      </c>
      <c r="H52" s="2128" t="s">
        <v>28</v>
      </c>
      <c r="I52" s="2128" t="s">
        <v>28</v>
      </c>
      <c r="J52" s="2128" t="s">
        <v>28</v>
      </c>
      <c r="K52" s="2129" t="s">
        <v>28</v>
      </c>
      <c r="L52" s="2128" t="s">
        <v>28</v>
      </c>
      <c r="M52" s="2128" t="s">
        <v>28</v>
      </c>
      <c r="N52" s="2128" t="s">
        <v>28</v>
      </c>
      <c r="O52" s="2128" t="s">
        <v>28</v>
      </c>
      <c r="P52" s="2128" t="s">
        <v>28</v>
      </c>
      <c r="Q52" s="2128" t="s">
        <v>28</v>
      </c>
      <c r="R52" s="2142" t="s">
        <v>28</v>
      </c>
    </row>
    <row r="53" spans="1:18" s="48" customFormat="1" ht="12" customHeight="1">
      <c r="A53" s="2122" t="s">
        <v>61</v>
      </c>
      <c r="B53" s="2123" t="s">
        <v>62</v>
      </c>
      <c r="C53" s="2124">
        <v>36649</v>
      </c>
      <c r="D53" s="2124">
        <v>34543</v>
      </c>
      <c r="E53" s="2124">
        <v>945</v>
      </c>
      <c r="F53" s="2124">
        <v>95</v>
      </c>
      <c r="G53" s="2124">
        <v>737</v>
      </c>
      <c r="H53" s="2124">
        <v>245</v>
      </c>
      <c r="I53" s="2124" t="s">
        <v>28</v>
      </c>
      <c r="J53" s="2124">
        <v>84</v>
      </c>
      <c r="K53" s="2125">
        <v>7522</v>
      </c>
      <c r="L53" s="2124">
        <v>7326</v>
      </c>
      <c r="M53" s="2124">
        <v>101</v>
      </c>
      <c r="N53" s="2124" t="s">
        <v>28</v>
      </c>
      <c r="O53" s="2124" t="s">
        <v>28</v>
      </c>
      <c r="P53" s="2124">
        <v>95</v>
      </c>
      <c r="Q53" s="2124" t="s">
        <v>28</v>
      </c>
      <c r="R53" s="2143" t="s">
        <v>28</v>
      </c>
    </row>
    <row r="54" spans="1:18" s="49" customFormat="1" ht="12" customHeight="1">
      <c r="A54" s="995" t="s">
        <v>136</v>
      </c>
      <c r="B54" s="2127" t="s">
        <v>30</v>
      </c>
      <c r="C54" s="2128">
        <v>29943</v>
      </c>
      <c r="D54" s="2128">
        <v>29177</v>
      </c>
      <c r="E54" s="2128">
        <v>381</v>
      </c>
      <c r="F54" s="2128">
        <v>95</v>
      </c>
      <c r="G54" s="2128">
        <v>227</v>
      </c>
      <c r="H54" s="2128" t="s">
        <v>28</v>
      </c>
      <c r="I54" s="2128" t="s">
        <v>28</v>
      </c>
      <c r="J54" s="2128">
        <v>63</v>
      </c>
      <c r="K54" s="2129">
        <v>6187</v>
      </c>
      <c r="L54" s="2128">
        <v>6187</v>
      </c>
      <c r="M54" s="2128" t="s">
        <v>28</v>
      </c>
      <c r="N54" s="2128" t="s">
        <v>28</v>
      </c>
      <c r="O54" s="2128" t="s">
        <v>28</v>
      </c>
      <c r="P54" s="2128" t="s">
        <v>28</v>
      </c>
      <c r="Q54" s="2128" t="s">
        <v>28</v>
      </c>
      <c r="R54" s="2142" t="s">
        <v>28</v>
      </c>
    </row>
    <row r="55" spans="1:18" s="49" customFormat="1" ht="12" customHeight="1">
      <c r="A55" s="995" t="s">
        <v>137</v>
      </c>
      <c r="B55" s="2127" t="s">
        <v>32</v>
      </c>
      <c r="C55" s="2128">
        <v>6706</v>
      </c>
      <c r="D55" s="2128">
        <v>5366</v>
      </c>
      <c r="E55" s="2128">
        <v>564</v>
      </c>
      <c r="F55" s="2128" t="s">
        <v>28</v>
      </c>
      <c r="G55" s="2128">
        <v>510</v>
      </c>
      <c r="H55" s="2128">
        <v>245</v>
      </c>
      <c r="I55" s="2128" t="s">
        <v>28</v>
      </c>
      <c r="J55" s="2128">
        <v>21</v>
      </c>
      <c r="K55" s="2129">
        <v>1335</v>
      </c>
      <c r="L55" s="2128">
        <v>1139</v>
      </c>
      <c r="M55" s="2128">
        <v>101</v>
      </c>
      <c r="N55" s="2128" t="s">
        <v>28</v>
      </c>
      <c r="O55" s="2128" t="s">
        <v>28</v>
      </c>
      <c r="P55" s="2128">
        <v>95</v>
      </c>
      <c r="Q55" s="2128" t="s">
        <v>28</v>
      </c>
      <c r="R55" s="2142" t="s">
        <v>28</v>
      </c>
    </row>
    <row r="56" spans="1:18" s="48" customFormat="1" ht="12" customHeight="1">
      <c r="A56" s="2122" t="s">
        <v>63</v>
      </c>
      <c r="B56" s="2123" t="s">
        <v>64</v>
      </c>
      <c r="C56" s="2124">
        <v>2600</v>
      </c>
      <c r="D56" s="2124" t="s">
        <v>28</v>
      </c>
      <c r="E56" s="2124" t="s">
        <v>28</v>
      </c>
      <c r="F56" s="2124">
        <v>2600</v>
      </c>
      <c r="G56" s="2124" t="s">
        <v>28</v>
      </c>
      <c r="H56" s="2124" t="s">
        <v>28</v>
      </c>
      <c r="I56" s="2124" t="s">
        <v>28</v>
      </c>
      <c r="J56" s="2124" t="s">
        <v>28</v>
      </c>
      <c r="K56" s="2125">
        <v>856</v>
      </c>
      <c r="L56" s="2124" t="s">
        <v>28</v>
      </c>
      <c r="M56" s="2124" t="s">
        <v>28</v>
      </c>
      <c r="N56" s="2124">
        <v>856</v>
      </c>
      <c r="O56" s="2124" t="s">
        <v>28</v>
      </c>
      <c r="P56" s="2124" t="s">
        <v>28</v>
      </c>
      <c r="Q56" s="2124" t="s">
        <v>28</v>
      </c>
      <c r="R56" s="2143" t="s">
        <v>28</v>
      </c>
    </row>
    <row r="57" spans="1:18" s="49" customFormat="1" ht="12" customHeight="1">
      <c r="A57" s="995" t="s">
        <v>136</v>
      </c>
      <c r="B57" s="2127" t="s">
        <v>30</v>
      </c>
      <c r="C57" s="2128">
        <v>2600</v>
      </c>
      <c r="D57" s="2128" t="s">
        <v>28</v>
      </c>
      <c r="E57" s="2128" t="s">
        <v>28</v>
      </c>
      <c r="F57" s="2128">
        <v>2600</v>
      </c>
      <c r="G57" s="2128" t="s">
        <v>28</v>
      </c>
      <c r="H57" s="2128" t="s">
        <v>28</v>
      </c>
      <c r="I57" s="2128" t="s">
        <v>28</v>
      </c>
      <c r="J57" s="2128" t="s">
        <v>28</v>
      </c>
      <c r="K57" s="2129">
        <v>856</v>
      </c>
      <c r="L57" s="2128" t="s">
        <v>28</v>
      </c>
      <c r="M57" s="2128" t="s">
        <v>28</v>
      </c>
      <c r="N57" s="2128">
        <v>856</v>
      </c>
      <c r="O57" s="2128" t="s">
        <v>28</v>
      </c>
      <c r="P57" s="2128" t="s">
        <v>28</v>
      </c>
      <c r="Q57" s="2128" t="s">
        <v>28</v>
      </c>
      <c r="R57" s="2142" t="s">
        <v>28</v>
      </c>
    </row>
    <row r="58" spans="1:18" s="886" customFormat="1" ht="12" customHeight="1" thickBot="1">
      <c r="A58" s="2131" t="s">
        <v>137</v>
      </c>
      <c r="B58" s="2132" t="s">
        <v>32</v>
      </c>
      <c r="C58" s="2133" t="s">
        <v>28</v>
      </c>
      <c r="D58" s="2133" t="s">
        <v>28</v>
      </c>
      <c r="E58" s="2133" t="s">
        <v>28</v>
      </c>
      <c r="F58" s="2133" t="s">
        <v>28</v>
      </c>
      <c r="G58" s="2133" t="s">
        <v>28</v>
      </c>
      <c r="H58" s="2133" t="s">
        <v>28</v>
      </c>
      <c r="I58" s="2133" t="s">
        <v>28</v>
      </c>
      <c r="J58" s="2133" t="s">
        <v>28</v>
      </c>
      <c r="K58" s="2134" t="s">
        <v>28</v>
      </c>
      <c r="L58" s="2133" t="s">
        <v>28</v>
      </c>
      <c r="M58" s="2133" t="s">
        <v>28</v>
      </c>
      <c r="N58" s="2133" t="s">
        <v>28</v>
      </c>
      <c r="O58" s="2133" t="s">
        <v>28</v>
      </c>
      <c r="P58" s="2133" t="s">
        <v>28</v>
      </c>
      <c r="Q58" s="2133" t="s">
        <v>28</v>
      </c>
      <c r="R58" s="2144" t="s">
        <v>28</v>
      </c>
    </row>
    <row r="59" spans="1:18" s="884" customFormat="1">
      <c r="A59" s="50"/>
      <c r="B59" s="50"/>
      <c r="C59" s="46"/>
      <c r="D59" s="46"/>
      <c r="E59" s="46"/>
      <c r="F59" s="46"/>
      <c r="G59" s="46"/>
      <c r="H59" s="46"/>
      <c r="I59" s="46"/>
      <c r="J59" s="46"/>
      <c r="K59" s="46"/>
      <c r="L59" s="46"/>
      <c r="M59" s="46"/>
      <c r="N59" s="46"/>
      <c r="O59" s="46"/>
      <c r="P59" s="46"/>
      <c r="Q59" s="46"/>
      <c r="R59" s="46"/>
    </row>
  </sheetData>
  <mergeCells count="18">
    <mergeCell ref="A2:J2"/>
    <mergeCell ref="K2:R2"/>
    <mergeCell ref="A3:J3"/>
    <mergeCell ref="K3:R3"/>
    <mergeCell ref="A4:J4"/>
    <mergeCell ref="K4:R4"/>
    <mergeCell ref="A5:B5"/>
    <mergeCell ref="C5:J5"/>
    <mergeCell ref="K5:R5"/>
    <mergeCell ref="A6:B6"/>
    <mergeCell ref="C6:J6"/>
    <mergeCell ref="K6:R6"/>
    <mergeCell ref="A7:B7"/>
    <mergeCell ref="A8:B8"/>
    <mergeCell ref="A12:J12"/>
    <mergeCell ref="K12:R12"/>
    <mergeCell ref="A28:J28"/>
    <mergeCell ref="K28:R28"/>
  </mergeCells>
  <phoneticPr fontId="4" type="noConversion"/>
  <hyperlinks>
    <hyperlink ref="A1" location="목록!A1" display="목록!A1" xr:uid="{F3C02A74-9F5C-4520-B369-033F675E72B5}"/>
  </hyperlinks>
  <pageMargins left="0.59055118110236227" right="0.59055118110236227" top="0.78740157480314965" bottom="0.59055118110236227" header="0.62992125984251968" footer="0.39370078740157483"/>
  <pageSetup paperSize="9" scale="91" orientation="portrait" r:id="rId1"/>
  <rowBreaks count="1" manualBreakCount="1">
    <brk id="58" max="17" man="1"/>
  </rowBreaks>
  <colBreaks count="1" manualBreakCount="1">
    <brk id="10" min="1" max="57" man="1"/>
  </colBreak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3"/>
  <dimension ref="A1:Z59"/>
  <sheetViews>
    <sheetView showGridLines="0" showWhiteSpace="0" view="pageBreakPreview" zoomScaleNormal="100" zoomScaleSheetLayoutView="100" workbookViewId="0">
      <selection activeCell="A2" sqref="A2:Z58"/>
    </sheetView>
  </sheetViews>
  <sheetFormatPr defaultColWidth="8.88671875" defaultRowHeight="16.5"/>
  <cols>
    <col min="1" max="1" width="6.5546875" style="50" customWidth="1"/>
    <col min="2" max="2" width="9.88671875" style="50" customWidth="1"/>
    <col min="3" max="5" width="5.88671875" style="46" customWidth="1"/>
    <col min="6" max="6" width="6.21875" style="46" customWidth="1"/>
    <col min="7" max="13" width="5.88671875" style="46" customWidth="1"/>
    <col min="14" max="21" width="6" style="46" customWidth="1"/>
    <col min="22" max="22" width="6.33203125" style="46" customWidth="1"/>
    <col min="23" max="26" width="6" style="46" customWidth="1"/>
    <col min="27" max="16384" width="8.88671875" style="46"/>
  </cols>
  <sheetData>
    <row r="1" spans="1:26" ht="22.5">
      <c r="A1" s="901" t="s">
        <v>1332</v>
      </c>
    </row>
    <row r="2" spans="1:26" s="44" customFormat="1" ht="13.5" customHeight="1">
      <c r="A2" s="1486" t="s">
        <v>1196</v>
      </c>
      <c r="B2" s="1486"/>
      <c r="C2" s="1486"/>
      <c r="D2" s="1486"/>
      <c r="E2" s="1486"/>
      <c r="F2" s="1486"/>
      <c r="G2" s="1486"/>
      <c r="H2" s="1486"/>
      <c r="I2" s="1486"/>
      <c r="J2" s="1486"/>
      <c r="K2" s="1486"/>
      <c r="L2" s="1486"/>
      <c r="M2" s="1486"/>
      <c r="N2" s="1487" t="s">
        <v>1048</v>
      </c>
      <c r="O2" s="1487"/>
      <c r="P2" s="1487"/>
      <c r="Q2" s="1487"/>
      <c r="R2" s="1487"/>
      <c r="S2" s="1487"/>
      <c r="T2" s="1487"/>
      <c r="U2" s="1487"/>
      <c r="V2" s="1487"/>
      <c r="W2" s="1487"/>
      <c r="X2" s="1487"/>
      <c r="Y2" s="1487"/>
      <c r="Z2" s="1487"/>
    </row>
    <row r="3" spans="1:26" s="45" customFormat="1" ht="22.5" customHeight="1">
      <c r="A3" s="1488" t="s">
        <v>896</v>
      </c>
      <c r="B3" s="1488"/>
      <c r="C3" s="1488"/>
      <c r="D3" s="1488"/>
      <c r="E3" s="1488"/>
      <c r="F3" s="1488"/>
      <c r="G3" s="1488"/>
      <c r="H3" s="1488"/>
      <c r="I3" s="1488"/>
      <c r="J3" s="1488"/>
      <c r="K3" s="1488"/>
      <c r="L3" s="1488"/>
      <c r="M3" s="1488"/>
      <c r="N3" s="1488" t="s">
        <v>1281</v>
      </c>
      <c r="O3" s="1488"/>
      <c r="P3" s="1488"/>
      <c r="Q3" s="1488"/>
      <c r="R3" s="1488"/>
      <c r="S3" s="1488"/>
      <c r="T3" s="1488"/>
      <c r="U3" s="1488"/>
      <c r="V3" s="1488"/>
      <c r="W3" s="1488"/>
      <c r="X3" s="1488"/>
      <c r="Y3" s="1488"/>
      <c r="Z3" s="1488"/>
    </row>
    <row r="4" spans="1:26" s="884" customFormat="1" ht="13.5" customHeight="1" thickBot="1">
      <c r="A4" s="2116"/>
      <c r="B4" s="2116"/>
      <c r="C4" s="2116"/>
      <c r="D4" s="2116"/>
      <c r="E4" s="2116"/>
      <c r="F4" s="2116"/>
      <c r="G4" s="2116"/>
      <c r="H4" s="2116"/>
      <c r="I4" s="2116"/>
      <c r="J4" s="2116"/>
      <c r="K4" s="2116"/>
      <c r="L4" s="2116"/>
      <c r="M4" s="2116"/>
      <c r="N4" s="2117" t="s">
        <v>302</v>
      </c>
      <c r="O4" s="2117"/>
      <c r="P4" s="2117"/>
      <c r="Q4" s="2117"/>
      <c r="R4" s="2117"/>
      <c r="S4" s="2117"/>
      <c r="T4" s="2117"/>
      <c r="U4" s="2117"/>
      <c r="V4" s="2117"/>
      <c r="W4" s="2117"/>
      <c r="X4" s="2117"/>
      <c r="Y4" s="2117"/>
      <c r="Z4" s="2117"/>
    </row>
    <row r="5" spans="1:26" s="885" customFormat="1" ht="12" customHeight="1">
      <c r="A5" s="2118" t="s">
        <v>668</v>
      </c>
      <c r="B5" s="1480"/>
      <c r="C5" s="2118" t="s">
        <v>747</v>
      </c>
      <c r="D5" s="2118"/>
      <c r="E5" s="2118"/>
      <c r="F5" s="2118"/>
      <c r="G5" s="2118"/>
      <c r="H5" s="2118"/>
      <c r="I5" s="2118"/>
      <c r="J5" s="1489"/>
      <c r="K5" s="1481" t="s">
        <v>719</v>
      </c>
      <c r="L5" s="2118"/>
      <c r="M5" s="2118"/>
      <c r="N5" s="2118" t="s">
        <v>719</v>
      </c>
      <c r="O5" s="2118"/>
      <c r="P5" s="2118"/>
      <c r="Q5" s="2118"/>
      <c r="R5" s="1489"/>
      <c r="S5" s="1481" t="s">
        <v>721</v>
      </c>
      <c r="T5" s="2118"/>
      <c r="U5" s="2118"/>
      <c r="V5" s="2118"/>
      <c r="W5" s="2118"/>
      <c r="X5" s="2118"/>
      <c r="Y5" s="2118"/>
      <c r="Z5" s="2118"/>
    </row>
    <row r="6" spans="1:26" ht="9.9499999999999993" customHeight="1">
      <c r="A6" s="2116" t="s">
        <v>7</v>
      </c>
      <c r="B6" s="1482"/>
      <c r="C6" s="1483" t="s">
        <v>724</v>
      </c>
      <c r="D6" s="1483"/>
      <c r="E6" s="1483"/>
      <c r="F6" s="1483"/>
      <c r="G6" s="1483"/>
      <c r="H6" s="1483"/>
      <c r="I6" s="1483"/>
      <c r="J6" s="1484"/>
      <c r="K6" s="1490" t="s">
        <v>748</v>
      </c>
      <c r="L6" s="1491"/>
      <c r="M6" s="1491"/>
      <c r="N6" s="1483" t="s">
        <v>748</v>
      </c>
      <c r="O6" s="1483"/>
      <c r="P6" s="1483"/>
      <c r="Q6" s="1483"/>
      <c r="R6" s="1484"/>
      <c r="S6" s="1485" t="s">
        <v>150</v>
      </c>
      <c r="T6" s="1483"/>
      <c r="U6" s="1483"/>
      <c r="V6" s="1483"/>
      <c r="W6" s="1483"/>
      <c r="X6" s="1483"/>
      <c r="Y6" s="1483"/>
      <c r="Z6" s="1483"/>
    </row>
    <row r="7" spans="1:26" s="47" customFormat="1" ht="22.5">
      <c r="A7" s="2119"/>
      <c r="B7" s="1477"/>
      <c r="C7" s="800" t="s">
        <v>13</v>
      </c>
      <c r="D7" s="800" t="s">
        <v>737</v>
      </c>
      <c r="E7" s="800" t="s">
        <v>738</v>
      </c>
      <c r="F7" s="800" t="s">
        <v>1145</v>
      </c>
      <c r="G7" s="800" t="s">
        <v>739</v>
      </c>
      <c r="H7" s="800" t="s">
        <v>740</v>
      </c>
      <c r="I7" s="800" t="s">
        <v>741</v>
      </c>
      <c r="J7" s="800" t="s">
        <v>298</v>
      </c>
      <c r="K7" s="800" t="s">
        <v>13</v>
      </c>
      <c r="L7" s="800" t="s">
        <v>737</v>
      </c>
      <c r="M7" s="800" t="s">
        <v>738</v>
      </c>
      <c r="N7" s="2145" t="s">
        <v>1282</v>
      </c>
      <c r="O7" s="800" t="s">
        <v>739</v>
      </c>
      <c r="P7" s="2120" t="s">
        <v>740</v>
      </c>
      <c r="Q7" s="2120" t="s">
        <v>741</v>
      </c>
      <c r="R7" s="800" t="s">
        <v>298</v>
      </c>
      <c r="S7" s="2120" t="s">
        <v>13</v>
      </c>
      <c r="T7" s="800" t="s">
        <v>737</v>
      </c>
      <c r="U7" s="800" t="s">
        <v>738</v>
      </c>
      <c r="V7" s="800" t="s">
        <v>1145</v>
      </c>
      <c r="W7" s="800" t="s">
        <v>739</v>
      </c>
      <c r="X7" s="800" t="s">
        <v>740</v>
      </c>
      <c r="Y7" s="800" t="s">
        <v>741</v>
      </c>
      <c r="Z7" s="2121" t="s">
        <v>298</v>
      </c>
    </row>
    <row r="8" spans="1:26" ht="42.75" customHeight="1">
      <c r="A8" s="1478"/>
      <c r="B8" s="1479"/>
      <c r="C8" s="801" t="s">
        <v>16</v>
      </c>
      <c r="D8" s="801" t="s">
        <v>317</v>
      </c>
      <c r="E8" s="801" t="s">
        <v>1268</v>
      </c>
      <c r="F8" s="801" t="s">
        <v>1146</v>
      </c>
      <c r="G8" s="801" t="s">
        <v>746</v>
      </c>
      <c r="H8" s="801" t="s">
        <v>315</v>
      </c>
      <c r="I8" s="801" t="s">
        <v>316</v>
      </c>
      <c r="J8" s="801" t="s">
        <v>150</v>
      </c>
      <c r="K8" s="801" t="s">
        <v>16</v>
      </c>
      <c r="L8" s="801" t="s">
        <v>317</v>
      </c>
      <c r="M8" s="801" t="s">
        <v>1268</v>
      </c>
      <c r="N8" s="802" t="s">
        <v>1270</v>
      </c>
      <c r="O8" s="801" t="s">
        <v>746</v>
      </c>
      <c r="P8" s="802" t="s">
        <v>315</v>
      </c>
      <c r="Q8" s="802" t="s">
        <v>316</v>
      </c>
      <c r="R8" s="801" t="s">
        <v>150</v>
      </c>
      <c r="S8" s="802" t="s">
        <v>16</v>
      </c>
      <c r="T8" s="801" t="s">
        <v>317</v>
      </c>
      <c r="U8" s="801" t="s">
        <v>1268</v>
      </c>
      <c r="V8" s="801" t="s">
        <v>1146</v>
      </c>
      <c r="W8" s="801" t="s">
        <v>746</v>
      </c>
      <c r="X8" s="801" t="s">
        <v>315</v>
      </c>
      <c r="Y8" s="801" t="s">
        <v>316</v>
      </c>
      <c r="Z8" s="804" t="s">
        <v>150</v>
      </c>
    </row>
    <row r="9" spans="1:26" s="48" customFormat="1" ht="12" customHeight="1">
      <c r="A9" s="2122" t="s">
        <v>27</v>
      </c>
      <c r="B9" s="2123" t="s">
        <v>16</v>
      </c>
      <c r="C9" s="2124">
        <v>372758</v>
      </c>
      <c r="D9" s="2124">
        <v>335725</v>
      </c>
      <c r="E9" s="2124">
        <v>11638</v>
      </c>
      <c r="F9" s="2124">
        <v>24363</v>
      </c>
      <c r="G9" s="2124">
        <v>304</v>
      </c>
      <c r="H9" s="2124">
        <v>95</v>
      </c>
      <c r="I9" s="2124" t="s">
        <v>28</v>
      </c>
      <c r="J9" s="2124">
        <v>633</v>
      </c>
      <c r="K9" s="2124">
        <v>108413</v>
      </c>
      <c r="L9" s="2124">
        <v>102359</v>
      </c>
      <c r="M9" s="2124">
        <v>1221</v>
      </c>
      <c r="N9" s="2125">
        <v>3794</v>
      </c>
      <c r="O9" s="2124">
        <v>536</v>
      </c>
      <c r="P9" s="2125">
        <v>55</v>
      </c>
      <c r="Q9" s="2125" t="s">
        <v>28</v>
      </c>
      <c r="R9" s="2124">
        <v>448</v>
      </c>
      <c r="S9" s="2125">
        <v>531972</v>
      </c>
      <c r="T9" s="2124">
        <v>505464</v>
      </c>
      <c r="U9" s="2124">
        <v>5033</v>
      </c>
      <c r="V9" s="2124">
        <v>19693</v>
      </c>
      <c r="W9" s="2124">
        <v>1176</v>
      </c>
      <c r="X9" s="2124" t="s">
        <v>28</v>
      </c>
      <c r="Y9" s="2124" t="s">
        <v>28</v>
      </c>
      <c r="Z9" s="2126">
        <v>606</v>
      </c>
    </row>
    <row r="10" spans="1:26" s="49" customFormat="1" ht="12" customHeight="1">
      <c r="A10" s="995" t="s">
        <v>136</v>
      </c>
      <c r="B10" s="2127" t="s">
        <v>30</v>
      </c>
      <c r="C10" s="2128">
        <v>356811</v>
      </c>
      <c r="D10" s="2128">
        <v>323949</v>
      </c>
      <c r="E10" s="2128">
        <v>10875</v>
      </c>
      <c r="F10" s="2128">
        <v>21050</v>
      </c>
      <c r="G10" s="2128">
        <v>304</v>
      </c>
      <c r="H10" s="2128" t="s">
        <v>28</v>
      </c>
      <c r="I10" s="2128" t="s">
        <v>28</v>
      </c>
      <c r="J10" s="2128">
        <v>633</v>
      </c>
      <c r="K10" s="2128">
        <v>102982</v>
      </c>
      <c r="L10" s="2128">
        <v>97988</v>
      </c>
      <c r="M10" s="2128">
        <v>1118</v>
      </c>
      <c r="N10" s="2129">
        <v>2976</v>
      </c>
      <c r="O10" s="2128">
        <v>473</v>
      </c>
      <c r="P10" s="2129" t="s">
        <v>28</v>
      </c>
      <c r="Q10" s="2129" t="s">
        <v>28</v>
      </c>
      <c r="R10" s="2128">
        <v>427</v>
      </c>
      <c r="S10" s="2129">
        <v>509442</v>
      </c>
      <c r="T10" s="2128">
        <v>488664</v>
      </c>
      <c r="U10" s="2128">
        <v>4653</v>
      </c>
      <c r="V10" s="2128">
        <v>14899</v>
      </c>
      <c r="W10" s="2128">
        <v>620</v>
      </c>
      <c r="X10" s="2128" t="s">
        <v>28</v>
      </c>
      <c r="Y10" s="2128" t="s">
        <v>28</v>
      </c>
      <c r="Z10" s="2130">
        <v>606</v>
      </c>
    </row>
    <row r="11" spans="1:26" s="886" customFormat="1" ht="12" customHeight="1" thickBot="1">
      <c r="A11" s="2131" t="s">
        <v>137</v>
      </c>
      <c r="B11" s="2132" t="s">
        <v>32</v>
      </c>
      <c r="C11" s="2133">
        <v>15947</v>
      </c>
      <c r="D11" s="2133">
        <v>11776</v>
      </c>
      <c r="E11" s="2133">
        <v>763</v>
      </c>
      <c r="F11" s="2133">
        <v>3313</v>
      </c>
      <c r="G11" s="2133" t="s">
        <v>28</v>
      </c>
      <c r="H11" s="2133">
        <v>95</v>
      </c>
      <c r="I11" s="2133" t="s">
        <v>28</v>
      </c>
      <c r="J11" s="2133" t="s">
        <v>28</v>
      </c>
      <c r="K11" s="2133">
        <v>5431</v>
      </c>
      <c r="L11" s="2133">
        <v>4371</v>
      </c>
      <c r="M11" s="2133">
        <v>103</v>
      </c>
      <c r="N11" s="2134">
        <v>818</v>
      </c>
      <c r="O11" s="2133">
        <v>63</v>
      </c>
      <c r="P11" s="2134">
        <v>55</v>
      </c>
      <c r="Q11" s="2134" t="s">
        <v>28</v>
      </c>
      <c r="R11" s="2133">
        <v>21</v>
      </c>
      <c r="S11" s="2134">
        <v>22530</v>
      </c>
      <c r="T11" s="2133">
        <v>16800</v>
      </c>
      <c r="U11" s="2133">
        <v>380</v>
      </c>
      <c r="V11" s="2133">
        <v>4794</v>
      </c>
      <c r="W11" s="2133">
        <v>556</v>
      </c>
      <c r="X11" s="2133" t="s">
        <v>28</v>
      </c>
      <c r="Y11" s="2133" t="s">
        <v>28</v>
      </c>
      <c r="Z11" s="2135" t="s">
        <v>28</v>
      </c>
    </row>
    <row r="12" spans="1:26" s="887" customFormat="1" ht="12" customHeight="1" thickBot="1">
      <c r="A12" s="2136" t="s">
        <v>33</v>
      </c>
      <c r="B12" s="2136"/>
      <c r="C12" s="2136"/>
      <c r="D12" s="2136"/>
      <c r="E12" s="2136"/>
      <c r="F12" s="2136"/>
      <c r="G12" s="2136"/>
      <c r="H12" s="2136"/>
      <c r="I12" s="2136"/>
      <c r="J12" s="2136"/>
      <c r="K12" s="2136"/>
      <c r="L12" s="2136"/>
      <c r="M12" s="2136"/>
      <c r="N12" s="2136" t="s">
        <v>34</v>
      </c>
      <c r="O12" s="2136"/>
      <c r="P12" s="2136"/>
      <c r="Q12" s="2136"/>
      <c r="R12" s="2136"/>
      <c r="S12" s="2136"/>
      <c r="T12" s="2136"/>
      <c r="U12" s="2136"/>
      <c r="V12" s="2136"/>
      <c r="W12" s="2136"/>
      <c r="X12" s="2136"/>
      <c r="Y12" s="2136"/>
      <c r="Z12" s="2136"/>
    </row>
    <row r="13" spans="1:26" s="48" customFormat="1" ht="12" customHeight="1">
      <c r="A13" s="2137" t="s">
        <v>35</v>
      </c>
      <c r="B13" s="2138" t="s">
        <v>36</v>
      </c>
      <c r="C13" s="2139">
        <v>66755</v>
      </c>
      <c r="D13" s="2139">
        <v>50010</v>
      </c>
      <c r="E13" s="2139">
        <v>5316</v>
      </c>
      <c r="F13" s="2139">
        <v>10831</v>
      </c>
      <c r="G13" s="2139" t="s">
        <v>28</v>
      </c>
      <c r="H13" s="2139" t="s">
        <v>28</v>
      </c>
      <c r="I13" s="2139" t="s">
        <v>28</v>
      </c>
      <c r="J13" s="2139">
        <v>598</v>
      </c>
      <c r="K13" s="2139">
        <v>21611</v>
      </c>
      <c r="L13" s="2139">
        <v>19414</v>
      </c>
      <c r="M13" s="2146">
        <v>312</v>
      </c>
      <c r="N13" s="2147">
        <v>1729</v>
      </c>
      <c r="O13" s="2139">
        <v>63</v>
      </c>
      <c r="P13" s="2139" t="s">
        <v>28</v>
      </c>
      <c r="Q13" s="2139" t="s">
        <v>28</v>
      </c>
      <c r="R13" s="2139">
        <v>93</v>
      </c>
      <c r="S13" s="2139">
        <v>88919</v>
      </c>
      <c r="T13" s="2139">
        <v>78493</v>
      </c>
      <c r="U13" s="2139">
        <v>127</v>
      </c>
      <c r="V13" s="2139">
        <v>9866</v>
      </c>
      <c r="W13" s="2139">
        <v>46</v>
      </c>
      <c r="X13" s="2139" t="s">
        <v>28</v>
      </c>
      <c r="Y13" s="2139" t="s">
        <v>28</v>
      </c>
      <c r="Z13" s="2141">
        <v>387</v>
      </c>
    </row>
    <row r="14" spans="1:26" s="49" customFormat="1" ht="12" customHeight="1">
      <c r="A14" s="995" t="s">
        <v>136</v>
      </c>
      <c r="B14" s="2127" t="s">
        <v>30</v>
      </c>
      <c r="C14" s="2128">
        <v>57114</v>
      </c>
      <c r="D14" s="2128">
        <v>41132</v>
      </c>
      <c r="E14" s="2128">
        <v>4553</v>
      </c>
      <c r="F14" s="2128">
        <v>10831</v>
      </c>
      <c r="G14" s="2128" t="s">
        <v>28</v>
      </c>
      <c r="H14" s="2128" t="s">
        <v>28</v>
      </c>
      <c r="I14" s="2128" t="s">
        <v>28</v>
      </c>
      <c r="J14" s="2128">
        <v>598</v>
      </c>
      <c r="K14" s="2128">
        <v>17930</v>
      </c>
      <c r="L14" s="2128">
        <v>15816</v>
      </c>
      <c r="M14" s="2148">
        <v>292</v>
      </c>
      <c r="N14" s="2149">
        <v>1729</v>
      </c>
      <c r="O14" s="2128" t="s">
        <v>28</v>
      </c>
      <c r="P14" s="2129" t="s">
        <v>28</v>
      </c>
      <c r="Q14" s="2129" t="s">
        <v>28</v>
      </c>
      <c r="R14" s="2128">
        <v>93</v>
      </c>
      <c r="S14" s="2128">
        <v>73896</v>
      </c>
      <c r="T14" s="2128">
        <v>63516</v>
      </c>
      <c r="U14" s="2128">
        <v>127</v>
      </c>
      <c r="V14" s="2128">
        <v>9866</v>
      </c>
      <c r="W14" s="2128" t="s">
        <v>28</v>
      </c>
      <c r="X14" s="2128" t="s">
        <v>28</v>
      </c>
      <c r="Y14" s="2128" t="s">
        <v>28</v>
      </c>
      <c r="Z14" s="2142">
        <v>387</v>
      </c>
    </row>
    <row r="15" spans="1:26" s="49" customFormat="1" ht="12" customHeight="1">
      <c r="A15" s="995" t="s">
        <v>137</v>
      </c>
      <c r="B15" s="2127" t="s">
        <v>32</v>
      </c>
      <c r="C15" s="2128">
        <v>9641</v>
      </c>
      <c r="D15" s="2128">
        <v>8878</v>
      </c>
      <c r="E15" s="2128">
        <v>763</v>
      </c>
      <c r="F15" s="2128" t="s">
        <v>28</v>
      </c>
      <c r="G15" s="2128" t="s">
        <v>28</v>
      </c>
      <c r="H15" s="2128" t="s">
        <v>28</v>
      </c>
      <c r="I15" s="2128" t="s">
        <v>28</v>
      </c>
      <c r="J15" s="2128" t="s">
        <v>28</v>
      </c>
      <c r="K15" s="2128">
        <v>3681</v>
      </c>
      <c r="L15" s="2128">
        <v>3598</v>
      </c>
      <c r="M15" s="2148">
        <v>20</v>
      </c>
      <c r="N15" s="2149" t="s">
        <v>28</v>
      </c>
      <c r="O15" s="2128">
        <v>63</v>
      </c>
      <c r="P15" s="2129" t="s">
        <v>28</v>
      </c>
      <c r="Q15" s="2129" t="s">
        <v>28</v>
      </c>
      <c r="R15" s="2128" t="s">
        <v>28</v>
      </c>
      <c r="S15" s="2128">
        <v>15023</v>
      </c>
      <c r="T15" s="2128">
        <v>14977</v>
      </c>
      <c r="U15" s="2128" t="s">
        <v>28</v>
      </c>
      <c r="V15" s="2128" t="s">
        <v>28</v>
      </c>
      <c r="W15" s="2128">
        <v>46</v>
      </c>
      <c r="X15" s="2128" t="s">
        <v>28</v>
      </c>
      <c r="Y15" s="2128" t="s">
        <v>28</v>
      </c>
      <c r="Z15" s="2142" t="s">
        <v>28</v>
      </c>
    </row>
    <row r="16" spans="1:26" s="48" customFormat="1" ht="12" customHeight="1">
      <c r="A16" s="2122" t="s">
        <v>37</v>
      </c>
      <c r="B16" s="2123" t="s">
        <v>38</v>
      </c>
      <c r="C16" s="2124">
        <v>100133</v>
      </c>
      <c r="D16" s="2124">
        <v>92577</v>
      </c>
      <c r="E16" s="2124">
        <v>1078</v>
      </c>
      <c r="F16" s="2124">
        <v>6278</v>
      </c>
      <c r="G16" s="2124">
        <v>165</v>
      </c>
      <c r="H16" s="2124" t="s">
        <v>28</v>
      </c>
      <c r="I16" s="2124" t="s">
        <v>28</v>
      </c>
      <c r="J16" s="2124">
        <v>35</v>
      </c>
      <c r="K16" s="2124">
        <v>27160</v>
      </c>
      <c r="L16" s="2124">
        <v>26171</v>
      </c>
      <c r="M16" s="2150">
        <v>295</v>
      </c>
      <c r="N16" s="2151">
        <v>456</v>
      </c>
      <c r="O16" s="2124">
        <v>172</v>
      </c>
      <c r="P16" s="2124" t="s">
        <v>28</v>
      </c>
      <c r="Q16" s="2124" t="s">
        <v>28</v>
      </c>
      <c r="R16" s="2124">
        <v>66</v>
      </c>
      <c r="S16" s="2124">
        <v>122179</v>
      </c>
      <c r="T16" s="2124">
        <v>120499</v>
      </c>
      <c r="U16" s="2124">
        <v>717</v>
      </c>
      <c r="V16" s="2124">
        <v>808</v>
      </c>
      <c r="W16" s="2124">
        <v>136</v>
      </c>
      <c r="X16" s="2124" t="s">
        <v>28</v>
      </c>
      <c r="Y16" s="2124" t="s">
        <v>28</v>
      </c>
      <c r="Z16" s="2143">
        <v>19</v>
      </c>
    </row>
    <row r="17" spans="1:26" s="49" customFormat="1" ht="12" customHeight="1">
      <c r="A17" s="995" t="s">
        <v>136</v>
      </c>
      <c r="B17" s="2127" t="s">
        <v>30</v>
      </c>
      <c r="C17" s="2128">
        <v>100133</v>
      </c>
      <c r="D17" s="2128">
        <v>92577</v>
      </c>
      <c r="E17" s="2128">
        <v>1078</v>
      </c>
      <c r="F17" s="2128">
        <v>6278</v>
      </c>
      <c r="G17" s="2128">
        <v>165</v>
      </c>
      <c r="H17" s="2128" t="s">
        <v>28</v>
      </c>
      <c r="I17" s="2128" t="s">
        <v>28</v>
      </c>
      <c r="J17" s="2128">
        <v>35</v>
      </c>
      <c r="K17" s="2128">
        <v>27160</v>
      </c>
      <c r="L17" s="2128">
        <v>26171</v>
      </c>
      <c r="M17" s="2148">
        <v>295</v>
      </c>
      <c r="N17" s="2149">
        <v>456</v>
      </c>
      <c r="O17" s="2128">
        <v>172</v>
      </c>
      <c r="P17" s="2129" t="s">
        <v>28</v>
      </c>
      <c r="Q17" s="2129" t="s">
        <v>28</v>
      </c>
      <c r="R17" s="2128">
        <v>66</v>
      </c>
      <c r="S17" s="2128">
        <v>122179</v>
      </c>
      <c r="T17" s="2128">
        <v>120499</v>
      </c>
      <c r="U17" s="2128">
        <v>717</v>
      </c>
      <c r="V17" s="2128">
        <v>808</v>
      </c>
      <c r="W17" s="2128">
        <v>136</v>
      </c>
      <c r="X17" s="2128" t="s">
        <v>28</v>
      </c>
      <c r="Y17" s="2128" t="s">
        <v>28</v>
      </c>
      <c r="Z17" s="2142">
        <v>19</v>
      </c>
    </row>
    <row r="18" spans="1:26" s="49" customFormat="1" ht="12" customHeight="1">
      <c r="A18" s="995" t="s">
        <v>137</v>
      </c>
      <c r="B18" s="2127" t="s">
        <v>32</v>
      </c>
      <c r="C18" s="2128" t="s">
        <v>28</v>
      </c>
      <c r="D18" s="2128" t="s">
        <v>28</v>
      </c>
      <c r="E18" s="2128" t="s">
        <v>28</v>
      </c>
      <c r="F18" s="2128" t="s">
        <v>28</v>
      </c>
      <c r="G18" s="2128" t="s">
        <v>28</v>
      </c>
      <c r="H18" s="2128" t="s">
        <v>28</v>
      </c>
      <c r="I18" s="2128" t="s">
        <v>28</v>
      </c>
      <c r="J18" s="2128" t="s">
        <v>28</v>
      </c>
      <c r="K18" s="2128" t="s">
        <v>28</v>
      </c>
      <c r="L18" s="2128" t="s">
        <v>28</v>
      </c>
      <c r="M18" s="2148" t="s">
        <v>28</v>
      </c>
      <c r="N18" s="2149" t="s">
        <v>28</v>
      </c>
      <c r="O18" s="2128" t="s">
        <v>28</v>
      </c>
      <c r="P18" s="2129" t="s">
        <v>28</v>
      </c>
      <c r="Q18" s="2129" t="s">
        <v>28</v>
      </c>
      <c r="R18" s="2128" t="s">
        <v>28</v>
      </c>
      <c r="S18" s="2128" t="s">
        <v>28</v>
      </c>
      <c r="T18" s="2128" t="s">
        <v>28</v>
      </c>
      <c r="U18" s="2128" t="s">
        <v>28</v>
      </c>
      <c r="V18" s="2128" t="s">
        <v>28</v>
      </c>
      <c r="W18" s="2128" t="s">
        <v>28</v>
      </c>
      <c r="X18" s="2128" t="s">
        <v>28</v>
      </c>
      <c r="Y18" s="2128" t="s">
        <v>28</v>
      </c>
      <c r="Z18" s="2142" t="s">
        <v>28</v>
      </c>
    </row>
    <row r="19" spans="1:26" s="48" customFormat="1" ht="12" customHeight="1">
      <c r="A19" s="2122" t="s">
        <v>39</v>
      </c>
      <c r="B19" s="2123" t="s">
        <v>40</v>
      </c>
      <c r="C19" s="2124">
        <v>115021</v>
      </c>
      <c r="D19" s="2124">
        <v>106782</v>
      </c>
      <c r="E19" s="2124">
        <v>3994</v>
      </c>
      <c r="F19" s="2124">
        <v>4106</v>
      </c>
      <c r="G19" s="2124">
        <v>139</v>
      </c>
      <c r="H19" s="2124" t="s">
        <v>28</v>
      </c>
      <c r="I19" s="2124" t="s">
        <v>28</v>
      </c>
      <c r="J19" s="2124" t="s">
        <v>28</v>
      </c>
      <c r="K19" s="2124">
        <v>35763</v>
      </c>
      <c r="L19" s="2124">
        <v>34390</v>
      </c>
      <c r="M19" s="2150">
        <v>301</v>
      </c>
      <c r="N19" s="2151">
        <v>818</v>
      </c>
      <c r="O19" s="2124">
        <v>174</v>
      </c>
      <c r="P19" s="2124" t="s">
        <v>28</v>
      </c>
      <c r="Q19" s="2124" t="s">
        <v>28</v>
      </c>
      <c r="R19" s="2124">
        <v>80</v>
      </c>
      <c r="S19" s="2124">
        <v>176273</v>
      </c>
      <c r="T19" s="2124">
        <v>168689</v>
      </c>
      <c r="U19" s="2124">
        <v>2254</v>
      </c>
      <c r="V19" s="2124">
        <v>5003</v>
      </c>
      <c r="W19" s="2124">
        <v>327</v>
      </c>
      <c r="X19" s="2124" t="s">
        <v>28</v>
      </c>
      <c r="Y19" s="2124" t="s">
        <v>28</v>
      </c>
      <c r="Z19" s="2143" t="s">
        <v>28</v>
      </c>
    </row>
    <row r="20" spans="1:26" s="49" customFormat="1" ht="12" customHeight="1">
      <c r="A20" s="995" t="s">
        <v>136</v>
      </c>
      <c r="B20" s="2127" t="s">
        <v>30</v>
      </c>
      <c r="C20" s="2128">
        <v>111336</v>
      </c>
      <c r="D20" s="2128">
        <v>106410</v>
      </c>
      <c r="E20" s="2128">
        <v>3994</v>
      </c>
      <c r="F20" s="2128">
        <v>793</v>
      </c>
      <c r="G20" s="2128">
        <v>139</v>
      </c>
      <c r="H20" s="2128" t="s">
        <v>28</v>
      </c>
      <c r="I20" s="2128" t="s">
        <v>28</v>
      </c>
      <c r="J20" s="2128" t="s">
        <v>28</v>
      </c>
      <c r="K20" s="2128">
        <v>34639</v>
      </c>
      <c r="L20" s="2128">
        <v>34084</v>
      </c>
      <c r="M20" s="2148">
        <v>301</v>
      </c>
      <c r="N20" s="2149" t="s">
        <v>28</v>
      </c>
      <c r="O20" s="2128">
        <v>174</v>
      </c>
      <c r="P20" s="2129" t="s">
        <v>28</v>
      </c>
      <c r="Q20" s="2129" t="s">
        <v>28</v>
      </c>
      <c r="R20" s="2129">
        <v>80</v>
      </c>
      <c r="S20" s="2128">
        <v>170890</v>
      </c>
      <c r="T20" s="2128">
        <v>168100</v>
      </c>
      <c r="U20" s="2128">
        <v>2254</v>
      </c>
      <c r="V20" s="2128">
        <v>209</v>
      </c>
      <c r="W20" s="2128">
        <v>327</v>
      </c>
      <c r="X20" s="2128" t="s">
        <v>28</v>
      </c>
      <c r="Y20" s="2128" t="s">
        <v>28</v>
      </c>
      <c r="Z20" s="2142" t="s">
        <v>28</v>
      </c>
    </row>
    <row r="21" spans="1:26" s="49" customFormat="1" ht="12" customHeight="1">
      <c r="A21" s="995" t="s">
        <v>137</v>
      </c>
      <c r="B21" s="2127" t="s">
        <v>32</v>
      </c>
      <c r="C21" s="2128">
        <v>3685</v>
      </c>
      <c r="D21" s="2128">
        <v>372</v>
      </c>
      <c r="E21" s="2128" t="s">
        <v>28</v>
      </c>
      <c r="F21" s="2128">
        <v>3313</v>
      </c>
      <c r="G21" s="2128" t="s">
        <v>28</v>
      </c>
      <c r="H21" s="2128" t="s">
        <v>28</v>
      </c>
      <c r="I21" s="2128" t="s">
        <v>28</v>
      </c>
      <c r="J21" s="2128" t="s">
        <v>28</v>
      </c>
      <c r="K21" s="2128">
        <v>1124</v>
      </c>
      <c r="L21" s="2128">
        <v>306</v>
      </c>
      <c r="M21" s="2148" t="s">
        <v>28</v>
      </c>
      <c r="N21" s="2149">
        <v>818</v>
      </c>
      <c r="O21" s="2128" t="s">
        <v>28</v>
      </c>
      <c r="P21" s="2129" t="s">
        <v>28</v>
      </c>
      <c r="Q21" s="2129" t="s">
        <v>28</v>
      </c>
      <c r="R21" s="2128" t="s">
        <v>28</v>
      </c>
      <c r="S21" s="2128">
        <v>5383</v>
      </c>
      <c r="T21" s="2128">
        <v>589</v>
      </c>
      <c r="U21" s="2128" t="s">
        <v>28</v>
      </c>
      <c r="V21" s="2128">
        <v>4794</v>
      </c>
      <c r="W21" s="2128" t="s">
        <v>28</v>
      </c>
      <c r="X21" s="2128" t="s">
        <v>28</v>
      </c>
      <c r="Y21" s="2128" t="s">
        <v>28</v>
      </c>
      <c r="Z21" s="2142" t="s">
        <v>28</v>
      </c>
    </row>
    <row r="22" spans="1:26" s="48" customFormat="1" ht="12" customHeight="1">
      <c r="A22" s="2122" t="s">
        <v>41</v>
      </c>
      <c r="B22" s="2123" t="s">
        <v>42</v>
      </c>
      <c r="C22" s="2124">
        <v>77951</v>
      </c>
      <c r="D22" s="2124">
        <v>73813</v>
      </c>
      <c r="E22" s="2124">
        <v>990</v>
      </c>
      <c r="F22" s="2124">
        <v>3148</v>
      </c>
      <c r="G22" s="2124" t="s">
        <v>28</v>
      </c>
      <c r="H22" s="2124" t="s">
        <v>28</v>
      </c>
      <c r="I22" s="2124" t="s">
        <v>28</v>
      </c>
      <c r="J22" s="2124" t="s">
        <v>28</v>
      </c>
      <c r="K22" s="2124">
        <v>21107</v>
      </c>
      <c r="L22" s="2124">
        <v>19962</v>
      </c>
      <c r="M22" s="2150">
        <v>155</v>
      </c>
      <c r="N22" s="2151">
        <v>791</v>
      </c>
      <c r="O22" s="2124">
        <v>43</v>
      </c>
      <c r="P22" s="2124" t="s">
        <v>28</v>
      </c>
      <c r="Q22" s="2124" t="s">
        <v>28</v>
      </c>
      <c r="R22" s="2124">
        <v>156</v>
      </c>
      <c r="S22" s="2124">
        <v>131144</v>
      </c>
      <c r="T22" s="2124">
        <v>125531</v>
      </c>
      <c r="U22" s="2124">
        <v>1509</v>
      </c>
      <c r="V22" s="2124">
        <v>3921</v>
      </c>
      <c r="W22" s="2124">
        <v>14</v>
      </c>
      <c r="X22" s="2124" t="s">
        <v>28</v>
      </c>
      <c r="Y22" s="2124" t="s">
        <v>28</v>
      </c>
      <c r="Z22" s="2143">
        <v>169</v>
      </c>
    </row>
    <row r="23" spans="1:26" s="49" customFormat="1" ht="12" customHeight="1">
      <c r="A23" s="995" t="s">
        <v>136</v>
      </c>
      <c r="B23" s="2127" t="s">
        <v>30</v>
      </c>
      <c r="C23" s="2128">
        <v>77951</v>
      </c>
      <c r="D23" s="2128">
        <v>73813</v>
      </c>
      <c r="E23" s="2128">
        <v>990</v>
      </c>
      <c r="F23" s="2128">
        <v>3148</v>
      </c>
      <c r="G23" s="2128" t="s">
        <v>28</v>
      </c>
      <c r="H23" s="2128" t="s">
        <v>28</v>
      </c>
      <c r="I23" s="2128" t="s">
        <v>28</v>
      </c>
      <c r="J23" s="2128" t="s">
        <v>28</v>
      </c>
      <c r="K23" s="2128">
        <v>21107</v>
      </c>
      <c r="L23" s="2128">
        <v>19962</v>
      </c>
      <c r="M23" s="2148">
        <v>155</v>
      </c>
      <c r="N23" s="2149">
        <v>791</v>
      </c>
      <c r="O23" s="2128">
        <v>43</v>
      </c>
      <c r="P23" s="2129" t="s">
        <v>28</v>
      </c>
      <c r="Q23" s="2129" t="s">
        <v>28</v>
      </c>
      <c r="R23" s="2128">
        <v>156</v>
      </c>
      <c r="S23" s="2129">
        <v>131144</v>
      </c>
      <c r="T23" s="2128">
        <v>125531</v>
      </c>
      <c r="U23" s="2128">
        <v>1509</v>
      </c>
      <c r="V23" s="2128">
        <v>3921</v>
      </c>
      <c r="W23" s="2128">
        <v>14</v>
      </c>
      <c r="X23" s="2128" t="s">
        <v>28</v>
      </c>
      <c r="Y23" s="2128" t="s">
        <v>28</v>
      </c>
      <c r="Z23" s="2142">
        <v>169</v>
      </c>
    </row>
    <row r="24" spans="1:26" s="49" customFormat="1" ht="12" customHeight="1">
      <c r="A24" s="995" t="s">
        <v>137</v>
      </c>
      <c r="B24" s="2127" t="s">
        <v>32</v>
      </c>
      <c r="C24" s="2128" t="s">
        <v>28</v>
      </c>
      <c r="D24" s="2128" t="s">
        <v>28</v>
      </c>
      <c r="E24" s="2128" t="s">
        <v>28</v>
      </c>
      <c r="F24" s="2128" t="s">
        <v>28</v>
      </c>
      <c r="G24" s="2128" t="s">
        <v>28</v>
      </c>
      <c r="H24" s="2128" t="s">
        <v>28</v>
      </c>
      <c r="I24" s="2128" t="s">
        <v>28</v>
      </c>
      <c r="J24" s="2128" t="s">
        <v>28</v>
      </c>
      <c r="K24" s="2128" t="s">
        <v>28</v>
      </c>
      <c r="L24" s="2128" t="s">
        <v>28</v>
      </c>
      <c r="M24" s="2148" t="s">
        <v>28</v>
      </c>
      <c r="N24" s="2149" t="s">
        <v>28</v>
      </c>
      <c r="O24" s="2128" t="s">
        <v>28</v>
      </c>
      <c r="P24" s="2129" t="s">
        <v>28</v>
      </c>
      <c r="Q24" s="2129" t="s">
        <v>28</v>
      </c>
      <c r="R24" s="2128" t="s">
        <v>28</v>
      </c>
      <c r="S24" s="2128" t="s">
        <v>28</v>
      </c>
      <c r="T24" s="2128" t="s">
        <v>28</v>
      </c>
      <c r="U24" s="2128" t="s">
        <v>28</v>
      </c>
      <c r="V24" s="2128" t="s">
        <v>28</v>
      </c>
      <c r="W24" s="2128" t="s">
        <v>28</v>
      </c>
      <c r="X24" s="2128" t="s">
        <v>28</v>
      </c>
      <c r="Y24" s="2128" t="s">
        <v>28</v>
      </c>
      <c r="Z24" s="2142" t="s">
        <v>28</v>
      </c>
    </row>
    <row r="25" spans="1:26" s="48" customFormat="1" ht="12" customHeight="1">
      <c r="A25" s="2122" t="s">
        <v>43</v>
      </c>
      <c r="B25" s="2123" t="s">
        <v>44</v>
      </c>
      <c r="C25" s="2124">
        <v>12898</v>
      </c>
      <c r="D25" s="2124">
        <v>12543</v>
      </c>
      <c r="E25" s="2124">
        <v>260</v>
      </c>
      <c r="F25" s="2124" t="s">
        <v>28</v>
      </c>
      <c r="G25" s="2124" t="s">
        <v>28</v>
      </c>
      <c r="H25" s="2124">
        <v>95</v>
      </c>
      <c r="I25" s="2124" t="s">
        <v>28</v>
      </c>
      <c r="J25" s="2124" t="s">
        <v>28</v>
      </c>
      <c r="K25" s="2124">
        <v>2772</v>
      </c>
      <c r="L25" s="2124">
        <v>2422</v>
      </c>
      <c r="M25" s="2150">
        <v>158</v>
      </c>
      <c r="N25" s="2151" t="s">
        <v>28</v>
      </c>
      <c r="O25" s="2124">
        <v>84</v>
      </c>
      <c r="P25" s="2124">
        <v>55</v>
      </c>
      <c r="Q25" s="2124" t="s">
        <v>28</v>
      </c>
      <c r="R25" s="2124">
        <v>53</v>
      </c>
      <c r="S25" s="2124">
        <v>13457</v>
      </c>
      <c r="T25" s="2124">
        <v>12252</v>
      </c>
      <c r="U25" s="2124">
        <v>426</v>
      </c>
      <c r="V25" s="2124">
        <v>95</v>
      </c>
      <c r="W25" s="2124">
        <v>653</v>
      </c>
      <c r="X25" s="2124" t="s">
        <v>28</v>
      </c>
      <c r="Y25" s="2124" t="s">
        <v>28</v>
      </c>
      <c r="Z25" s="2143">
        <v>31</v>
      </c>
    </row>
    <row r="26" spans="1:26" s="49" customFormat="1" ht="12" customHeight="1">
      <c r="A26" s="995" t="s">
        <v>136</v>
      </c>
      <c r="B26" s="2127" t="s">
        <v>30</v>
      </c>
      <c r="C26" s="2128">
        <v>10277</v>
      </c>
      <c r="D26" s="2128">
        <v>10017</v>
      </c>
      <c r="E26" s="2128">
        <v>260</v>
      </c>
      <c r="F26" s="2128" t="s">
        <v>28</v>
      </c>
      <c r="G26" s="2128" t="s">
        <v>28</v>
      </c>
      <c r="H26" s="2128" t="s">
        <v>28</v>
      </c>
      <c r="I26" s="2128" t="s">
        <v>28</v>
      </c>
      <c r="J26" s="2128" t="s">
        <v>28</v>
      </c>
      <c r="K26" s="2128">
        <v>2146</v>
      </c>
      <c r="L26" s="2128">
        <v>1955</v>
      </c>
      <c r="M26" s="2148">
        <v>75</v>
      </c>
      <c r="N26" s="2149" t="s">
        <v>28</v>
      </c>
      <c r="O26" s="2128">
        <v>84</v>
      </c>
      <c r="P26" s="2129" t="s">
        <v>28</v>
      </c>
      <c r="Q26" s="2129" t="s">
        <v>28</v>
      </c>
      <c r="R26" s="2128">
        <v>32</v>
      </c>
      <c r="S26" s="2128">
        <v>11333</v>
      </c>
      <c r="T26" s="2128">
        <v>11018</v>
      </c>
      <c r="U26" s="2128">
        <v>46</v>
      </c>
      <c r="V26" s="2128">
        <v>95</v>
      </c>
      <c r="W26" s="2128">
        <v>143</v>
      </c>
      <c r="X26" s="2128" t="s">
        <v>28</v>
      </c>
      <c r="Y26" s="2128" t="s">
        <v>28</v>
      </c>
      <c r="Z26" s="2142">
        <v>31</v>
      </c>
    </row>
    <row r="27" spans="1:26" s="886" customFormat="1" ht="12" customHeight="1" thickBot="1">
      <c r="A27" s="2131" t="s">
        <v>137</v>
      </c>
      <c r="B27" s="2132" t="s">
        <v>32</v>
      </c>
      <c r="C27" s="2133">
        <v>2621</v>
      </c>
      <c r="D27" s="2133">
        <v>2526</v>
      </c>
      <c r="E27" s="2133" t="s">
        <v>28</v>
      </c>
      <c r="F27" s="2133" t="s">
        <v>28</v>
      </c>
      <c r="G27" s="2133" t="s">
        <v>28</v>
      </c>
      <c r="H27" s="2133">
        <v>95</v>
      </c>
      <c r="I27" s="2133" t="s">
        <v>28</v>
      </c>
      <c r="J27" s="2133" t="s">
        <v>28</v>
      </c>
      <c r="K27" s="2133">
        <v>626</v>
      </c>
      <c r="L27" s="2133">
        <v>467</v>
      </c>
      <c r="M27" s="2152">
        <v>83</v>
      </c>
      <c r="N27" s="2153" t="s">
        <v>28</v>
      </c>
      <c r="O27" s="2133" t="s">
        <v>28</v>
      </c>
      <c r="P27" s="2134">
        <v>55</v>
      </c>
      <c r="Q27" s="2134" t="s">
        <v>28</v>
      </c>
      <c r="R27" s="2133">
        <v>21</v>
      </c>
      <c r="S27" s="2133">
        <v>2124</v>
      </c>
      <c r="T27" s="2133">
        <v>1234</v>
      </c>
      <c r="U27" s="2133">
        <v>380</v>
      </c>
      <c r="V27" s="2133" t="s">
        <v>28</v>
      </c>
      <c r="W27" s="2133">
        <v>510</v>
      </c>
      <c r="X27" s="2133" t="s">
        <v>28</v>
      </c>
      <c r="Y27" s="2133" t="s">
        <v>28</v>
      </c>
      <c r="Z27" s="2144" t="s">
        <v>28</v>
      </c>
    </row>
    <row r="28" spans="1:26" s="887" customFormat="1" ht="12" customHeight="1" thickBot="1">
      <c r="A28" s="2136" t="s">
        <v>45</v>
      </c>
      <c r="B28" s="2136"/>
      <c r="C28" s="2136"/>
      <c r="D28" s="2136"/>
      <c r="E28" s="2136"/>
      <c r="F28" s="2136"/>
      <c r="G28" s="2136"/>
      <c r="H28" s="2136"/>
      <c r="I28" s="2136"/>
      <c r="J28" s="2136"/>
      <c r="K28" s="2136"/>
      <c r="L28" s="2136"/>
      <c r="M28" s="2136"/>
      <c r="N28" s="2136" t="s">
        <v>46</v>
      </c>
      <c r="O28" s="2136"/>
      <c r="P28" s="2136"/>
      <c r="Q28" s="2136"/>
      <c r="R28" s="2136"/>
      <c r="S28" s="2136"/>
      <c r="T28" s="2136"/>
      <c r="U28" s="2136"/>
      <c r="V28" s="2136"/>
      <c r="W28" s="2136"/>
      <c r="X28" s="2136"/>
      <c r="Y28" s="2136"/>
      <c r="Z28" s="2136"/>
    </row>
    <row r="29" spans="1:26" s="48" customFormat="1" ht="12" customHeight="1">
      <c r="A29" s="2137" t="s">
        <v>47</v>
      </c>
      <c r="B29" s="2138" t="s">
        <v>48</v>
      </c>
      <c r="C29" s="2139">
        <v>28156</v>
      </c>
      <c r="D29" s="2139">
        <v>20954</v>
      </c>
      <c r="E29" s="2139">
        <v>1240</v>
      </c>
      <c r="F29" s="2139">
        <v>5913</v>
      </c>
      <c r="G29" s="2139" t="s">
        <v>28</v>
      </c>
      <c r="H29" s="2139" t="s">
        <v>28</v>
      </c>
      <c r="I29" s="2139" t="s">
        <v>28</v>
      </c>
      <c r="J29" s="2139">
        <v>49</v>
      </c>
      <c r="K29" s="2139">
        <v>9259</v>
      </c>
      <c r="L29" s="2139">
        <v>8485</v>
      </c>
      <c r="M29" s="2139">
        <v>57</v>
      </c>
      <c r="N29" s="2140">
        <v>712</v>
      </c>
      <c r="O29" s="2139" t="s">
        <v>28</v>
      </c>
      <c r="P29" s="2140" t="s">
        <v>28</v>
      </c>
      <c r="Q29" s="2140" t="s">
        <v>28</v>
      </c>
      <c r="R29" s="2139">
        <v>5</v>
      </c>
      <c r="S29" s="2139">
        <v>39627</v>
      </c>
      <c r="T29" s="2139">
        <v>34330</v>
      </c>
      <c r="U29" s="2139">
        <v>48</v>
      </c>
      <c r="V29" s="2139">
        <v>5249</v>
      </c>
      <c r="W29" s="2139" t="s">
        <v>28</v>
      </c>
      <c r="X29" s="2139" t="s">
        <v>28</v>
      </c>
      <c r="Y29" s="2139" t="s">
        <v>28</v>
      </c>
      <c r="Z29" s="2141" t="s">
        <v>28</v>
      </c>
    </row>
    <row r="30" spans="1:26" s="49" customFormat="1" ht="12" customHeight="1">
      <c r="A30" s="995" t="s">
        <v>136</v>
      </c>
      <c r="B30" s="2127" t="s">
        <v>30</v>
      </c>
      <c r="C30" s="2128">
        <v>23118</v>
      </c>
      <c r="D30" s="2128">
        <v>15916</v>
      </c>
      <c r="E30" s="2128">
        <v>1240</v>
      </c>
      <c r="F30" s="2128">
        <v>5913</v>
      </c>
      <c r="G30" s="2128" t="s">
        <v>28</v>
      </c>
      <c r="H30" s="2128" t="s">
        <v>28</v>
      </c>
      <c r="I30" s="2128" t="s">
        <v>28</v>
      </c>
      <c r="J30" s="2128">
        <v>49</v>
      </c>
      <c r="K30" s="2128">
        <v>7498</v>
      </c>
      <c r="L30" s="2128">
        <v>6724</v>
      </c>
      <c r="M30" s="2128">
        <v>57</v>
      </c>
      <c r="N30" s="2129">
        <v>712</v>
      </c>
      <c r="O30" s="2128" t="s">
        <v>28</v>
      </c>
      <c r="P30" s="2129" t="s">
        <v>28</v>
      </c>
      <c r="Q30" s="2129" t="s">
        <v>28</v>
      </c>
      <c r="R30" s="2128">
        <v>5</v>
      </c>
      <c r="S30" s="2128">
        <v>30907</v>
      </c>
      <c r="T30" s="2128">
        <v>25610</v>
      </c>
      <c r="U30" s="2128">
        <v>48</v>
      </c>
      <c r="V30" s="2128">
        <v>5249</v>
      </c>
      <c r="W30" s="2128" t="s">
        <v>28</v>
      </c>
      <c r="X30" s="2128" t="s">
        <v>28</v>
      </c>
      <c r="Y30" s="2128" t="s">
        <v>28</v>
      </c>
      <c r="Z30" s="2142" t="s">
        <v>28</v>
      </c>
    </row>
    <row r="31" spans="1:26" s="49" customFormat="1" ht="12" customHeight="1">
      <c r="A31" s="995" t="s">
        <v>137</v>
      </c>
      <c r="B31" s="2127" t="s">
        <v>32</v>
      </c>
      <c r="C31" s="2128">
        <v>5038</v>
      </c>
      <c r="D31" s="2128">
        <v>5038</v>
      </c>
      <c r="E31" s="2128" t="s">
        <v>28</v>
      </c>
      <c r="F31" s="2128" t="s">
        <v>28</v>
      </c>
      <c r="G31" s="2128" t="s">
        <v>28</v>
      </c>
      <c r="H31" s="2128" t="s">
        <v>28</v>
      </c>
      <c r="I31" s="2128" t="s">
        <v>28</v>
      </c>
      <c r="J31" s="2128" t="s">
        <v>28</v>
      </c>
      <c r="K31" s="2128">
        <v>1761</v>
      </c>
      <c r="L31" s="2128">
        <v>1761</v>
      </c>
      <c r="M31" s="2128" t="s">
        <v>28</v>
      </c>
      <c r="N31" s="2129" t="s">
        <v>28</v>
      </c>
      <c r="O31" s="2128" t="s">
        <v>28</v>
      </c>
      <c r="P31" s="2129" t="s">
        <v>28</v>
      </c>
      <c r="Q31" s="2129" t="s">
        <v>28</v>
      </c>
      <c r="R31" s="2128" t="s">
        <v>28</v>
      </c>
      <c r="S31" s="2128">
        <v>8720</v>
      </c>
      <c r="T31" s="2128">
        <v>8720</v>
      </c>
      <c r="U31" s="2128" t="s">
        <v>28</v>
      </c>
      <c r="V31" s="2128" t="s">
        <v>28</v>
      </c>
      <c r="W31" s="2128" t="s">
        <v>28</v>
      </c>
      <c r="X31" s="2128" t="s">
        <v>28</v>
      </c>
      <c r="Y31" s="2128" t="s">
        <v>28</v>
      </c>
      <c r="Z31" s="2142" t="s">
        <v>28</v>
      </c>
    </row>
    <row r="32" spans="1:26" s="48" customFormat="1" ht="12" customHeight="1">
      <c r="A32" s="2122" t="s">
        <v>49</v>
      </c>
      <c r="B32" s="2123" t="s">
        <v>50</v>
      </c>
      <c r="C32" s="2124">
        <v>4552</v>
      </c>
      <c r="D32" s="2124">
        <v>4552</v>
      </c>
      <c r="E32" s="2124" t="s">
        <v>28</v>
      </c>
      <c r="F32" s="2124" t="s">
        <v>28</v>
      </c>
      <c r="G32" s="2124" t="s">
        <v>28</v>
      </c>
      <c r="H32" s="2124" t="s">
        <v>28</v>
      </c>
      <c r="I32" s="2124" t="s">
        <v>28</v>
      </c>
      <c r="J32" s="2124" t="s">
        <v>28</v>
      </c>
      <c r="K32" s="2124">
        <v>1827</v>
      </c>
      <c r="L32" s="2124">
        <v>1695</v>
      </c>
      <c r="M32" s="2124">
        <v>20</v>
      </c>
      <c r="N32" s="2125" t="s">
        <v>28</v>
      </c>
      <c r="O32" s="2124">
        <v>47</v>
      </c>
      <c r="P32" s="2125" t="s">
        <v>28</v>
      </c>
      <c r="Q32" s="2125" t="s">
        <v>28</v>
      </c>
      <c r="R32" s="2124">
        <v>65</v>
      </c>
      <c r="S32" s="2124">
        <v>6232</v>
      </c>
      <c r="T32" s="2124">
        <v>6198</v>
      </c>
      <c r="U32" s="2124" t="s">
        <v>28</v>
      </c>
      <c r="V32" s="2124" t="s">
        <v>28</v>
      </c>
      <c r="W32" s="2124">
        <v>34</v>
      </c>
      <c r="X32" s="2124" t="s">
        <v>28</v>
      </c>
      <c r="Y32" s="2124" t="s">
        <v>28</v>
      </c>
      <c r="Z32" s="2143" t="s">
        <v>28</v>
      </c>
    </row>
    <row r="33" spans="1:26" s="49" customFormat="1" ht="12" customHeight="1">
      <c r="A33" s="995" t="s">
        <v>136</v>
      </c>
      <c r="B33" s="2127" t="s">
        <v>30</v>
      </c>
      <c r="C33" s="2128">
        <v>3151</v>
      </c>
      <c r="D33" s="2128">
        <v>3151</v>
      </c>
      <c r="E33" s="2128" t="s">
        <v>28</v>
      </c>
      <c r="F33" s="2128" t="s">
        <v>28</v>
      </c>
      <c r="G33" s="2128" t="s">
        <v>28</v>
      </c>
      <c r="H33" s="2128" t="s">
        <v>28</v>
      </c>
      <c r="I33" s="2128" t="s">
        <v>28</v>
      </c>
      <c r="J33" s="2128" t="s">
        <v>28</v>
      </c>
      <c r="K33" s="2128">
        <v>815</v>
      </c>
      <c r="L33" s="2128">
        <v>750</v>
      </c>
      <c r="M33" s="2128" t="s">
        <v>28</v>
      </c>
      <c r="N33" s="2129" t="s">
        <v>28</v>
      </c>
      <c r="O33" s="2128" t="s">
        <v>28</v>
      </c>
      <c r="P33" s="2129" t="s">
        <v>28</v>
      </c>
      <c r="Q33" s="2129" t="s">
        <v>28</v>
      </c>
      <c r="R33" s="2128">
        <v>65</v>
      </c>
      <c r="S33" s="2128">
        <v>2910</v>
      </c>
      <c r="T33" s="2128">
        <v>2910</v>
      </c>
      <c r="U33" s="2128" t="s">
        <v>28</v>
      </c>
      <c r="V33" s="2128" t="s">
        <v>28</v>
      </c>
      <c r="W33" s="2128" t="s">
        <v>28</v>
      </c>
      <c r="X33" s="2128" t="s">
        <v>28</v>
      </c>
      <c r="Y33" s="2128" t="s">
        <v>28</v>
      </c>
      <c r="Z33" s="2142" t="s">
        <v>28</v>
      </c>
    </row>
    <row r="34" spans="1:26" s="49" customFormat="1" ht="12" customHeight="1">
      <c r="A34" s="995" t="s">
        <v>137</v>
      </c>
      <c r="B34" s="2127" t="s">
        <v>32</v>
      </c>
      <c r="C34" s="2128">
        <v>1401</v>
      </c>
      <c r="D34" s="2128">
        <v>1401</v>
      </c>
      <c r="E34" s="2128" t="s">
        <v>28</v>
      </c>
      <c r="F34" s="2128" t="s">
        <v>28</v>
      </c>
      <c r="G34" s="2128" t="s">
        <v>28</v>
      </c>
      <c r="H34" s="2128" t="s">
        <v>28</v>
      </c>
      <c r="I34" s="2128" t="s">
        <v>28</v>
      </c>
      <c r="J34" s="2128" t="s">
        <v>28</v>
      </c>
      <c r="K34" s="2128">
        <v>1012</v>
      </c>
      <c r="L34" s="2128">
        <v>945</v>
      </c>
      <c r="M34" s="2128">
        <v>20</v>
      </c>
      <c r="N34" s="2129" t="s">
        <v>28</v>
      </c>
      <c r="O34" s="2128">
        <v>47</v>
      </c>
      <c r="P34" s="2129" t="s">
        <v>28</v>
      </c>
      <c r="Q34" s="2129" t="s">
        <v>28</v>
      </c>
      <c r="R34" s="2128" t="s">
        <v>28</v>
      </c>
      <c r="S34" s="2128">
        <v>3322</v>
      </c>
      <c r="T34" s="2128">
        <v>3288</v>
      </c>
      <c r="U34" s="2128" t="s">
        <v>28</v>
      </c>
      <c r="V34" s="2128" t="s">
        <v>28</v>
      </c>
      <c r="W34" s="2128">
        <v>34</v>
      </c>
      <c r="X34" s="2128" t="s">
        <v>28</v>
      </c>
      <c r="Y34" s="2128" t="s">
        <v>28</v>
      </c>
      <c r="Z34" s="2142" t="s">
        <v>28</v>
      </c>
    </row>
    <row r="35" spans="1:26" s="48" customFormat="1" ht="12" customHeight="1">
      <c r="A35" s="2122" t="s">
        <v>963</v>
      </c>
      <c r="B35" s="2123" t="s">
        <v>964</v>
      </c>
      <c r="C35" s="2124">
        <v>33621</v>
      </c>
      <c r="D35" s="2124">
        <v>24504</v>
      </c>
      <c r="E35" s="2124">
        <v>4076</v>
      </c>
      <c r="F35" s="2124">
        <v>4492</v>
      </c>
      <c r="G35" s="2124" t="s">
        <v>28</v>
      </c>
      <c r="H35" s="2124" t="s">
        <v>28</v>
      </c>
      <c r="I35" s="2124" t="s">
        <v>28</v>
      </c>
      <c r="J35" s="2124">
        <v>549</v>
      </c>
      <c r="K35" s="2124">
        <v>10157</v>
      </c>
      <c r="L35" s="2124">
        <v>9234</v>
      </c>
      <c r="M35" s="2124">
        <v>235</v>
      </c>
      <c r="N35" s="2125">
        <v>649</v>
      </c>
      <c r="O35" s="2124">
        <v>16</v>
      </c>
      <c r="P35" s="2125" t="s">
        <v>28</v>
      </c>
      <c r="Q35" s="2125" t="s">
        <v>28</v>
      </c>
      <c r="R35" s="2124">
        <v>23</v>
      </c>
      <c r="S35" s="2124">
        <v>42110</v>
      </c>
      <c r="T35" s="2124">
        <v>37965</v>
      </c>
      <c r="U35" s="2124">
        <v>79</v>
      </c>
      <c r="V35" s="2124">
        <v>3667</v>
      </c>
      <c r="W35" s="2124">
        <v>12</v>
      </c>
      <c r="X35" s="2124" t="s">
        <v>28</v>
      </c>
      <c r="Y35" s="2124" t="s">
        <v>28</v>
      </c>
      <c r="Z35" s="2143">
        <v>387</v>
      </c>
    </row>
    <row r="36" spans="1:26" s="49" customFormat="1" ht="12" customHeight="1">
      <c r="A36" s="995" t="s">
        <v>136</v>
      </c>
      <c r="B36" s="2127" t="s">
        <v>30</v>
      </c>
      <c r="C36" s="2128">
        <v>30419</v>
      </c>
      <c r="D36" s="2128">
        <v>22065</v>
      </c>
      <c r="E36" s="2128">
        <v>3313</v>
      </c>
      <c r="F36" s="2128">
        <v>4492</v>
      </c>
      <c r="G36" s="2128" t="s">
        <v>28</v>
      </c>
      <c r="H36" s="2128" t="s">
        <v>28</v>
      </c>
      <c r="I36" s="2128" t="s">
        <v>28</v>
      </c>
      <c r="J36" s="2128">
        <v>549</v>
      </c>
      <c r="K36" s="2128">
        <v>9249</v>
      </c>
      <c r="L36" s="2128">
        <v>8342</v>
      </c>
      <c r="M36" s="2128">
        <v>235</v>
      </c>
      <c r="N36" s="2129">
        <v>649</v>
      </c>
      <c r="O36" s="2128" t="s">
        <v>28</v>
      </c>
      <c r="P36" s="2129" t="s">
        <v>28</v>
      </c>
      <c r="Q36" s="2129" t="s">
        <v>28</v>
      </c>
      <c r="R36" s="2128">
        <v>23</v>
      </c>
      <c r="S36" s="2128">
        <v>39129</v>
      </c>
      <c r="T36" s="2128">
        <v>34996</v>
      </c>
      <c r="U36" s="2128">
        <v>79</v>
      </c>
      <c r="V36" s="2128">
        <v>3667</v>
      </c>
      <c r="W36" s="2128" t="s">
        <v>28</v>
      </c>
      <c r="X36" s="2128" t="s">
        <v>28</v>
      </c>
      <c r="Y36" s="2128" t="s">
        <v>28</v>
      </c>
      <c r="Z36" s="2142">
        <v>387</v>
      </c>
    </row>
    <row r="37" spans="1:26" s="49" customFormat="1" ht="12" customHeight="1">
      <c r="A37" s="995" t="s">
        <v>137</v>
      </c>
      <c r="B37" s="2127" t="s">
        <v>32</v>
      </c>
      <c r="C37" s="2128">
        <v>3202</v>
      </c>
      <c r="D37" s="2128">
        <v>2439</v>
      </c>
      <c r="E37" s="2128">
        <v>763</v>
      </c>
      <c r="F37" s="2128" t="s">
        <v>28</v>
      </c>
      <c r="G37" s="2128" t="s">
        <v>28</v>
      </c>
      <c r="H37" s="2128" t="s">
        <v>28</v>
      </c>
      <c r="I37" s="2128" t="s">
        <v>28</v>
      </c>
      <c r="J37" s="2128" t="s">
        <v>28</v>
      </c>
      <c r="K37" s="2128">
        <v>908</v>
      </c>
      <c r="L37" s="2128">
        <v>892</v>
      </c>
      <c r="M37" s="2128" t="s">
        <v>28</v>
      </c>
      <c r="N37" s="2129" t="s">
        <v>28</v>
      </c>
      <c r="O37" s="2128">
        <v>16</v>
      </c>
      <c r="P37" s="2129" t="s">
        <v>28</v>
      </c>
      <c r="Q37" s="2129" t="s">
        <v>28</v>
      </c>
      <c r="R37" s="2128" t="s">
        <v>28</v>
      </c>
      <c r="S37" s="2128">
        <v>2981</v>
      </c>
      <c r="T37" s="2128">
        <v>2969</v>
      </c>
      <c r="U37" s="2128" t="s">
        <v>28</v>
      </c>
      <c r="V37" s="2128" t="s">
        <v>28</v>
      </c>
      <c r="W37" s="2128">
        <v>12</v>
      </c>
      <c r="X37" s="2128" t="s">
        <v>28</v>
      </c>
      <c r="Y37" s="2128" t="s">
        <v>28</v>
      </c>
      <c r="Z37" s="2142" t="s">
        <v>28</v>
      </c>
    </row>
    <row r="38" spans="1:26" s="48" customFormat="1" ht="12" customHeight="1">
      <c r="A38" s="2122" t="s">
        <v>51</v>
      </c>
      <c r="B38" s="2123" t="s">
        <v>52</v>
      </c>
      <c r="C38" s="2124">
        <v>61403</v>
      </c>
      <c r="D38" s="2124">
        <v>54712</v>
      </c>
      <c r="E38" s="2124">
        <v>3205</v>
      </c>
      <c r="F38" s="2124">
        <v>3486</v>
      </c>
      <c r="G38" s="2124" t="s">
        <v>28</v>
      </c>
      <c r="H38" s="2124" t="s">
        <v>28</v>
      </c>
      <c r="I38" s="2124" t="s">
        <v>28</v>
      </c>
      <c r="J38" s="2124" t="s">
        <v>28</v>
      </c>
      <c r="K38" s="2124">
        <v>17883</v>
      </c>
      <c r="L38" s="2124">
        <v>16786</v>
      </c>
      <c r="M38" s="2124">
        <v>212</v>
      </c>
      <c r="N38" s="2125">
        <v>818</v>
      </c>
      <c r="O38" s="2124">
        <v>54</v>
      </c>
      <c r="P38" s="2125" t="s">
        <v>28</v>
      </c>
      <c r="Q38" s="2125" t="s">
        <v>28</v>
      </c>
      <c r="R38" s="2124">
        <v>13</v>
      </c>
      <c r="S38" s="2124">
        <v>96398</v>
      </c>
      <c r="T38" s="2124">
        <v>89305</v>
      </c>
      <c r="U38" s="2124">
        <v>2130</v>
      </c>
      <c r="V38" s="2124">
        <v>4857</v>
      </c>
      <c r="W38" s="2124">
        <v>106</v>
      </c>
      <c r="X38" s="2124" t="s">
        <v>28</v>
      </c>
      <c r="Y38" s="2124" t="s">
        <v>28</v>
      </c>
      <c r="Z38" s="2143" t="s">
        <v>28</v>
      </c>
    </row>
    <row r="39" spans="1:26" s="49" customFormat="1" ht="12" customHeight="1">
      <c r="A39" s="995" t="s">
        <v>136</v>
      </c>
      <c r="B39" s="2127" t="s">
        <v>30</v>
      </c>
      <c r="C39" s="2128">
        <v>58090</v>
      </c>
      <c r="D39" s="2128">
        <v>54712</v>
      </c>
      <c r="E39" s="2128">
        <v>3205</v>
      </c>
      <c r="F39" s="2128">
        <v>173</v>
      </c>
      <c r="G39" s="2128" t="s">
        <v>28</v>
      </c>
      <c r="H39" s="2128" t="s">
        <v>28</v>
      </c>
      <c r="I39" s="2128" t="s">
        <v>28</v>
      </c>
      <c r="J39" s="2128" t="s">
        <v>28</v>
      </c>
      <c r="K39" s="2128">
        <v>17065</v>
      </c>
      <c r="L39" s="2128">
        <v>16786</v>
      </c>
      <c r="M39" s="2128">
        <v>212</v>
      </c>
      <c r="N39" s="2129" t="s">
        <v>28</v>
      </c>
      <c r="O39" s="2128">
        <v>54</v>
      </c>
      <c r="P39" s="2129" t="s">
        <v>28</v>
      </c>
      <c r="Q39" s="2129" t="s">
        <v>28</v>
      </c>
      <c r="R39" s="2128">
        <v>13</v>
      </c>
      <c r="S39" s="2128">
        <v>91604</v>
      </c>
      <c r="T39" s="2128">
        <v>89305</v>
      </c>
      <c r="U39" s="2128">
        <v>2130</v>
      </c>
      <c r="V39" s="2128">
        <v>63</v>
      </c>
      <c r="W39" s="2128">
        <v>106</v>
      </c>
      <c r="X39" s="2128" t="s">
        <v>28</v>
      </c>
      <c r="Y39" s="2128" t="s">
        <v>28</v>
      </c>
      <c r="Z39" s="2142" t="s">
        <v>28</v>
      </c>
    </row>
    <row r="40" spans="1:26" s="49" customFormat="1" ht="12" customHeight="1">
      <c r="A40" s="995" t="s">
        <v>137</v>
      </c>
      <c r="B40" s="2127" t="s">
        <v>32</v>
      </c>
      <c r="C40" s="2128">
        <v>3313</v>
      </c>
      <c r="D40" s="2128" t="s">
        <v>28</v>
      </c>
      <c r="E40" s="2128" t="s">
        <v>28</v>
      </c>
      <c r="F40" s="2128">
        <v>3313</v>
      </c>
      <c r="G40" s="2128" t="s">
        <v>28</v>
      </c>
      <c r="H40" s="2128" t="s">
        <v>28</v>
      </c>
      <c r="I40" s="2128" t="s">
        <v>28</v>
      </c>
      <c r="J40" s="2128" t="s">
        <v>28</v>
      </c>
      <c r="K40" s="2128">
        <v>818</v>
      </c>
      <c r="L40" s="2128" t="s">
        <v>28</v>
      </c>
      <c r="M40" s="2128" t="s">
        <v>28</v>
      </c>
      <c r="N40" s="2129">
        <v>818</v>
      </c>
      <c r="O40" s="2128" t="s">
        <v>28</v>
      </c>
      <c r="P40" s="2129" t="s">
        <v>28</v>
      </c>
      <c r="Q40" s="2129" t="s">
        <v>28</v>
      </c>
      <c r="R40" s="2128" t="s">
        <v>28</v>
      </c>
      <c r="S40" s="2128">
        <v>4794</v>
      </c>
      <c r="T40" s="2128" t="s">
        <v>28</v>
      </c>
      <c r="U40" s="2128" t="s">
        <v>28</v>
      </c>
      <c r="V40" s="2128">
        <v>4794</v>
      </c>
      <c r="W40" s="2128" t="s">
        <v>28</v>
      </c>
      <c r="X40" s="2128" t="s">
        <v>28</v>
      </c>
      <c r="Y40" s="2128" t="s">
        <v>28</v>
      </c>
      <c r="Z40" s="2142" t="s">
        <v>28</v>
      </c>
    </row>
    <row r="41" spans="1:26" s="48" customFormat="1" ht="12" customHeight="1">
      <c r="A41" s="2122" t="s">
        <v>53</v>
      </c>
      <c r="B41" s="2123" t="s">
        <v>54</v>
      </c>
      <c r="C41" s="2124">
        <v>53618</v>
      </c>
      <c r="D41" s="2124">
        <v>52070</v>
      </c>
      <c r="E41" s="2124">
        <v>789</v>
      </c>
      <c r="F41" s="2124">
        <v>620</v>
      </c>
      <c r="G41" s="2124">
        <v>139</v>
      </c>
      <c r="H41" s="2124" t="s">
        <v>28</v>
      </c>
      <c r="I41" s="2124" t="s">
        <v>28</v>
      </c>
      <c r="J41" s="2124" t="s">
        <v>28</v>
      </c>
      <c r="K41" s="2124">
        <v>17880</v>
      </c>
      <c r="L41" s="2124">
        <v>17604</v>
      </c>
      <c r="M41" s="2124">
        <v>89</v>
      </c>
      <c r="N41" s="2125" t="s">
        <v>28</v>
      </c>
      <c r="O41" s="2124">
        <v>120</v>
      </c>
      <c r="P41" s="2125" t="s">
        <v>28</v>
      </c>
      <c r="Q41" s="2125" t="s">
        <v>28</v>
      </c>
      <c r="R41" s="2124">
        <v>67</v>
      </c>
      <c r="S41" s="2124">
        <v>79875</v>
      </c>
      <c r="T41" s="2124">
        <v>79384</v>
      </c>
      <c r="U41" s="2124">
        <v>124</v>
      </c>
      <c r="V41" s="2124">
        <v>146</v>
      </c>
      <c r="W41" s="2124">
        <v>221</v>
      </c>
      <c r="X41" s="2124" t="s">
        <v>28</v>
      </c>
      <c r="Y41" s="2124" t="s">
        <v>28</v>
      </c>
      <c r="Z41" s="2143" t="s">
        <v>28</v>
      </c>
    </row>
    <row r="42" spans="1:26" s="49" customFormat="1" ht="12" customHeight="1">
      <c r="A42" s="995" t="s">
        <v>136</v>
      </c>
      <c r="B42" s="2127" t="s">
        <v>30</v>
      </c>
      <c r="C42" s="2128">
        <v>53246</v>
      </c>
      <c r="D42" s="2128">
        <v>51698</v>
      </c>
      <c r="E42" s="2128">
        <v>789</v>
      </c>
      <c r="F42" s="2128">
        <v>620</v>
      </c>
      <c r="G42" s="2128">
        <v>139</v>
      </c>
      <c r="H42" s="2128" t="s">
        <v>28</v>
      </c>
      <c r="I42" s="2128" t="s">
        <v>28</v>
      </c>
      <c r="J42" s="2128" t="s">
        <v>28</v>
      </c>
      <c r="K42" s="2128">
        <v>17574</v>
      </c>
      <c r="L42" s="2128">
        <v>17298</v>
      </c>
      <c r="M42" s="2128">
        <v>89</v>
      </c>
      <c r="N42" s="2129" t="s">
        <v>28</v>
      </c>
      <c r="O42" s="2128">
        <v>120</v>
      </c>
      <c r="P42" s="2129" t="s">
        <v>28</v>
      </c>
      <c r="Q42" s="2129" t="s">
        <v>28</v>
      </c>
      <c r="R42" s="2128">
        <v>67</v>
      </c>
      <c r="S42" s="2128">
        <v>79286</v>
      </c>
      <c r="T42" s="2128">
        <v>78795</v>
      </c>
      <c r="U42" s="2128">
        <v>124</v>
      </c>
      <c r="V42" s="2128">
        <v>146</v>
      </c>
      <c r="W42" s="2128">
        <v>221</v>
      </c>
      <c r="X42" s="2128" t="s">
        <v>28</v>
      </c>
      <c r="Y42" s="2128" t="s">
        <v>28</v>
      </c>
      <c r="Z42" s="2142" t="s">
        <v>28</v>
      </c>
    </row>
    <row r="43" spans="1:26" s="49" customFormat="1" ht="12" customHeight="1">
      <c r="A43" s="995" t="s">
        <v>137</v>
      </c>
      <c r="B43" s="2127" t="s">
        <v>32</v>
      </c>
      <c r="C43" s="2128">
        <v>372</v>
      </c>
      <c r="D43" s="2128">
        <v>372</v>
      </c>
      <c r="E43" s="2128" t="s">
        <v>28</v>
      </c>
      <c r="F43" s="2128" t="s">
        <v>28</v>
      </c>
      <c r="G43" s="2128" t="s">
        <v>28</v>
      </c>
      <c r="H43" s="2128" t="s">
        <v>28</v>
      </c>
      <c r="I43" s="2128" t="s">
        <v>28</v>
      </c>
      <c r="J43" s="2128" t="s">
        <v>28</v>
      </c>
      <c r="K43" s="2128">
        <v>306</v>
      </c>
      <c r="L43" s="2128">
        <v>306</v>
      </c>
      <c r="M43" s="2128" t="s">
        <v>28</v>
      </c>
      <c r="N43" s="2129" t="s">
        <v>28</v>
      </c>
      <c r="O43" s="2128" t="s">
        <v>28</v>
      </c>
      <c r="P43" s="2129" t="s">
        <v>28</v>
      </c>
      <c r="Q43" s="2129" t="s">
        <v>28</v>
      </c>
      <c r="R43" s="2128" t="s">
        <v>28</v>
      </c>
      <c r="S43" s="2128">
        <v>589</v>
      </c>
      <c r="T43" s="2128">
        <v>589</v>
      </c>
      <c r="U43" s="2128" t="s">
        <v>28</v>
      </c>
      <c r="V43" s="2128" t="s">
        <v>28</v>
      </c>
      <c r="W43" s="2128" t="s">
        <v>28</v>
      </c>
      <c r="X43" s="2128" t="s">
        <v>28</v>
      </c>
      <c r="Y43" s="2128" t="s">
        <v>28</v>
      </c>
      <c r="Z43" s="2142" t="s">
        <v>28</v>
      </c>
    </row>
    <row r="44" spans="1:26" s="48" customFormat="1" ht="12" customHeight="1">
      <c r="A44" s="2122" t="s">
        <v>55</v>
      </c>
      <c r="B44" s="2123" t="s">
        <v>56</v>
      </c>
      <c r="C44" s="2124">
        <v>55931</v>
      </c>
      <c r="D44" s="2124">
        <v>52294</v>
      </c>
      <c r="E44" s="2124">
        <v>1009</v>
      </c>
      <c r="F44" s="2124">
        <v>2428</v>
      </c>
      <c r="G44" s="2124">
        <v>165</v>
      </c>
      <c r="H44" s="2124" t="s">
        <v>28</v>
      </c>
      <c r="I44" s="2124" t="s">
        <v>28</v>
      </c>
      <c r="J44" s="2124">
        <v>35</v>
      </c>
      <c r="K44" s="2124">
        <v>15979</v>
      </c>
      <c r="L44" s="2124">
        <v>15115</v>
      </c>
      <c r="M44" s="2124">
        <v>172</v>
      </c>
      <c r="N44" s="2125">
        <v>456</v>
      </c>
      <c r="O44" s="2124">
        <v>172</v>
      </c>
      <c r="P44" s="2125" t="s">
        <v>28</v>
      </c>
      <c r="Q44" s="2125" t="s">
        <v>28</v>
      </c>
      <c r="R44" s="2124">
        <v>64</v>
      </c>
      <c r="S44" s="2124">
        <v>66093</v>
      </c>
      <c r="T44" s="2124">
        <v>64505</v>
      </c>
      <c r="U44" s="2124">
        <v>637</v>
      </c>
      <c r="V44" s="2124">
        <v>808</v>
      </c>
      <c r="W44" s="2124">
        <v>129</v>
      </c>
      <c r="X44" s="2124" t="s">
        <v>28</v>
      </c>
      <c r="Y44" s="2124" t="s">
        <v>28</v>
      </c>
      <c r="Z44" s="2143">
        <v>14</v>
      </c>
    </row>
    <row r="45" spans="1:26" s="49" customFormat="1" ht="12" customHeight="1">
      <c r="A45" s="995" t="s">
        <v>136</v>
      </c>
      <c r="B45" s="2127" t="s">
        <v>30</v>
      </c>
      <c r="C45" s="2128">
        <v>55931</v>
      </c>
      <c r="D45" s="2128">
        <v>52294</v>
      </c>
      <c r="E45" s="2128">
        <v>1009</v>
      </c>
      <c r="F45" s="2128">
        <v>2428</v>
      </c>
      <c r="G45" s="2128">
        <v>165</v>
      </c>
      <c r="H45" s="2128" t="s">
        <v>28</v>
      </c>
      <c r="I45" s="2128" t="s">
        <v>28</v>
      </c>
      <c r="J45" s="2128">
        <v>35</v>
      </c>
      <c r="K45" s="2128">
        <v>15979</v>
      </c>
      <c r="L45" s="2128">
        <v>15115</v>
      </c>
      <c r="M45" s="2128">
        <v>172</v>
      </c>
      <c r="N45" s="2129">
        <v>456</v>
      </c>
      <c r="O45" s="2128">
        <v>172</v>
      </c>
      <c r="P45" s="2129" t="s">
        <v>28</v>
      </c>
      <c r="Q45" s="2129" t="s">
        <v>28</v>
      </c>
      <c r="R45" s="2128">
        <v>64</v>
      </c>
      <c r="S45" s="2128">
        <v>66093</v>
      </c>
      <c r="T45" s="2128">
        <v>64505</v>
      </c>
      <c r="U45" s="2128">
        <v>637</v>
      </c>
      <c r="V45" s="2128">
        <v>808</v>
      </c>
      <c r="W45" s="2128">
        <v>129</v>
      </c>
      <c r="X45" s="2128" t="s">
        <v>28</v>
      </c>
      <c r="Y45" s="2128" t="s">
        <v>28</v>
      </c>
      <c r="Z45" s="2142">
        <v>14</v>
      </c>
    </row>
    <row r="46" spans="1:26" s="49" customFormat="1" ht="12" customHeight="1">
      <c r="A46" s="995" t="s">
        <v>137</v>
      </c>
      <c r="B46" s="2127" t="s">
        <v>32</v>
      </c>
      <c r="C46" s="2128" t="s">
        <v>28</v>
      </c>
      <c r="D46" s="2128" t="s">
        <v>28</v>
      </c>
      <c r="E46" s="2128" t="s">
        <v>28</v>
      </c>
      <c r="F46" s="2128" t="s">
        <v>28</v>
      </c>
      <c r="G46" s="2128" t="s">
        <v>28</v>
      </c>
      <c r="H46" s="2128" t="s">
        <v>28</v>
      </c>
      <c r="I46" s="2128" t="s">
        <v>28</v>
      </c>
      <c r="J46" s="2128" t="s">
        <v>28</v>
      </c>
      <c r="K46" s="2128" t="s">
        <v>28</v>
      </c>
      <c r="L46" s="2128" t="s">
        <v>28</v>
      </c>
      <c r="M46" s="2128" t="s">
        <v>28</v>
      </c>
      <c r="N46" s="2129" t="s">
        <v>28</v>
      </c>
      <c r="O46" s="2128" t="s">
        <v>28</v>
      </c>
      <c r="P46" s="2129" t="s">
        <v>28</v>
      </c>
      <c r="Q46" s="2129" t="s">
        <v>28</v>
      </c>
      <c r="R46" s="2128" t="s">
        <v>28</v>
      </c>
      <c r="S46" s="2128" t="s">
        <v>28</v>
      </c>
      <c r="T46" s="2128" t="s">
        <v>28</v>
      </c>
      <c r="U46" s="2128" t="s">
        <v>28</v>
      </c>
      <c r="V46" s="2128" t="s">
        <v>28</v>
      </c>
      <c r="W46" s="2128" t="s">
        <v>28</v>
      </c>
      <c r="X46" s="2128" t="s">
        <v>28</v>
      </c>
      <c r="Y46" s="2128" t="s">
        <v>28</v>
      </c>
      <c r="Z46" s="2142" t="s">
        <v>28</v>
      </c>
    </row>
    <row r="47" spans="1:26" s="48" customFormat="1" ht="12" customHeight="1">
      <c r="A47" s="2122" t="s">
        <v>57</v>
      </c>
      <c r="B47" s="2123" t="s">
        <v>58</v>
      </c>
      <c r="C47" s="2124">
        <v>44202</v>
      </c>
      <c r="D47" s="2124">
        <v>40283</v>
      </c>
      <c r="E47" s="2124">
        <v>69</v>
      </c>
      <c r="F47" s="2124">
        <v>3850</v>
      </c>
      <c r="G47" s="2124" t="s">
        <v>28</v>
      </c>
      <c r="H47" s="2124" t="s">
        <v>28</v>
      </c>
      <c r="I47" s="2124" t="s">
        <v>28</v>
      </c>
      <c r="J47" s="2124" t="s">
        <v>28</v>
      </c>
      <c r="K47" s="2124">
        <v>11181</v>
      </c>
      <c r="L47" s="2124">
        <v>11056</v>
      </c>
      <c r="M47" s="2124">
        <v>123</v>
      </c>
      <c r="N47" s="2125" t="s">
        <v>28</v>
      </c>
      <c r="O47" s="2124" t="s">
        <v>28</v>
      </c>
      <c r="P47" s="2125" t="s">
        <v>28</v>
      </c>
      <c r="Q47" s="2125" t="s">
        <v>28</v>
      </c>
      <c r="R47" s="2124">
        <v>2</v>
      </c>
      <c r="S47" s="2124">
        <v>56086</v>
      </c>
      <c r="T47" s="2124">
        <v>55994</v>
      </c>
      <c r="U47" s="2124">
        <v>80</v>
      </c>
      <c r="V47" s="2124" t="s">
        <v>28</v>
      </c>
      <c r="W47" s="2124">
        <v>7</v>
      </c>
      <c r="X47" s="2124" t="s">
        <v>28</v>
      </c>
      <c r="Y47" s="2124" t="s">
        <v>28</v>
      </c>
      <c r="Z47" s="2143">
        <v>5</v>
      </c>
    </row>
    <row r="48" spans="1:26" s="49" customFormat="1" ht="12" customHeight="1">
      <c r="A48" s="995" t="s">
        <v>136</v>
      </c>
      <c r="B48" s="2127" t="s">
        <v>30</v>
      </c>
      <c r="C48" s="2128">
        <v>44202</v>
      </c>
      <c r="D48" s="2128">
        <v>40283</v>
      </c>
      <c r="E48" s="2128">
        <v>69</v>
      </c>
      <c r="F48" s="2128">
        <v>3850</v>
      </c>
      <c r="G48" s="2128" t="s">
        <v>28</v>
      </c>
      <c r="H48" s="2128" t="s">
        <v>28</v>
      </c>
      <c r="I48" s="2128" t="s">
        <v>28</v>
      </c>
      <c r="J48" s="2128" t="s">
        <v>28</v>
      </c>
      <c r="K48" s="2128">
        <v>11181</v>
      </c>
      <c r="L48" s="2128">
        <v>11056</v>
      </c>
      <c r="M48" s="2128">
        <v>123</v>
      </c>
      <c r="N48" s="2129" t="s">
        <v>28</v>
      </c>
      <c r="O48" s="2128" t="s">
        <v>28</v>
      </c>
      <c r="P48" s="2129" t="s">
        <v>28</v>
      </c>
      <c r="Q48" s="2129" t="s">
        <v>28</v>
      </c>
      <c r="R48" s="2128">
        <v>2</v>
      </c>
      <c r="S48" s="2129">
        <v>56086</v>
      </c>
      <c r="T48" s="2128">
        <v>55994</v>
      </c>
      <c r="U48" s="2128">
        <v>80</v>
      </c>
      <c r="V48" s="2128" t="s">
        <v>28</v>
      </c>
      <c r="W48" s="2128">
        <v>7</v>
      </c>
      <c r="X48" s="2128" t="s">
        <v>28</v>
      </c>
      <c r="Y48" s="2128" t="s">
        <v>28</v>
      </c>
      <c r="Z48" s="2130">
        <v>5</v>
      </c>
    </row>
    <row r="49" spans="1:26" s="49" customFormat="1" ht="12" customHeight="1">
      <c r="A49" s="995" t="s">
        <v>137</v>
      </c>
      <c r="B49" s="2127" t="s">
        <v>32</v>
      </c>
      <c r="C49" s="2128" t="s">
        <v>28</v>
      </c>
      <c r="D49" s="2128" t="s">
        <v>28</v>
      </c>
      <c r="E49" s="2128" t="s">
        <v>28</v>
      </c>
      <c r="F49" s="2128" t="s">
        <v>28</v>
      </c>
      <c r="G49" s="2128" t="s">
        <v>28</v>
      </c>
      <c r="H49" s="2128" t="s">
        <v>28</v>
      </c>
      <c r="I49" s="2128" t="s">
        <v>28</v>
      </c>
      <c r="J49" s="2128" t="s">
        <v>28</v>
      </c>
      <c r="K49" s="2128" t="s">
        <v>28</v>
      </c>
      <c r="L49" s="2128" t="s">
        <v>28</v>
      </c>
      <c r="M49" s="2128" t="s">
        <v>28</v>
      </c>
      <c r="N49" s="2129" t="s">
        <v>28</v>
      </c>
      <c r="O49" s="2128" t="s">
        <v>28</v>
      </c>
      <c r="P49" s="2129" t="s">
        <v>28</v>
      </c>
      <c r="Q49" s="2129" t="s">
        <v>28</v>
      </c>
      <c r="R49" s="2128" t="s">
        <v>28</v>
      </c>
      <c r="S49" s="2128" t="s">
        <v>28</v>
      </c>
      <c r="T49" s="2128" t="s">
        <v>28</v>
      </c>
      <c r="U49" s="2128" t="s">
        <v>28</v>
      </c>
      <c r="V49" s="2128" t="s">
        <v>28</v>
      </c>
      <c r="W49" s="2128" t="s">
        <v>28</v>
      </c>
      <c r="X49" s="2128" t="s">
        <v>28</v>
      </c>
      <c r="Y49" s="2128" t="s">
        <v>28</v>
      </c>
      <c r="Z49" s="2142" t="s">
        <v>28</v>
      </c>
    </row>
    <row r="50" spans="1:26" s="48" customFormat="1" ht="12" customHeight="1">
      <c r="A50" s="2122" t="s">
        <v>59</v>
      </c>
      <c r="B50" s="2123" t="s">
        <v>60</v>
      </c>
      <c r="C50" s="2124">
        <v>77951</v>
      </c>
      <c r="D50" s="2124">
        <v>73813</v>
      </c>
      <c r="E50" s="2124">
        <v>990</v>
      </c>
      <c r="F50" s="2124">
        <v>3148</v>
      </c>
      <c r="G50" s="2124" t="s">
        <v>28</v>
      </c>
      <c r="H50" s="2124" t="s">
        <v>28</v>
      </c>
      <c r="I50" s="2124" t="s">
        <v>28</v>
      </c>
      <c r="J50" s="2124" t="s">
        <v>28</v>
      </c>
      <c r="K50" s="2124">
        <v>21107</v>
      </c>
      <c r="L50" s="2124">
        <v>19962</v>
      </c>
      <c r="M50" s="2124">
        <v>155</v>
      </c>
      <c r="N50" s="2125">
        <v>791</v>
      </c>
      <c r="O50" s="2124">
        <v>43</v>
      </c>
      <c r="P50" s="2125" t="s">
        <v>28</v>
      </c>
      <c r="Q50" s="2125" t="s">
        <v>28</v>
      </c>
      <c r="R50" s="2124">
        <v>156</v>
      </c>
      <c r="S50" s="2124">
        <v>131144</v>
      </c>
      <c r="T50" s="2124">
        <v>125531</v>
      </c>
      <c r="U50" s="2124">
        <v>1509</v>
      </c>
      <c r="V50" s="2124">
        <v>3921</v>
      </c>
      <c r="W50" s="2124">
        <v>14</v>
      </c>
      <c r="X50" s="2124" t="s">
        <v>28</v>
      </c>
      <c r="Y50" s="2124" t="s">
        <v>28</v>
      </c>
      <c r="Z50" s="2143">
        <v>169</v>
      </c>
    </row>
    <row r="51" spans="1:26" s="49" customFormat="1" ht="12" customHeight="1">
      <c r="A51" s="995" t="s">
        <v>136</v>
      </c>
      <c r="B51" s="2127" t="s">
        <v>30</v>
      </c>
      <c r="C51" s="2128">
        <v>77951</v>
      </c>
      <c r="D51" s="2128">
        <v>73813</v>
      </c>
      <c r="E51" s="2128">
        <v>990</v>
      </c>
      <c r="F51" s="2128">
        <v>3148</v>
      </c>
      <c r="G51" s="2128" t="s">
        <v>28</v>
      </c>
      <c r="H51" s="2128" t="s">
        <v>28</v>
      </c>
      <c r="I51" s="2128" t="s">
        <v>28</v>
      </c>
      <c r="J51" s="2128" t="s">
        <v>28</v>
      </c>
      <c r="K51" s="2128">
        <v>21107</v>
      </c>
      <c r="L51" s="2128">
        <v>19962</v>
      </c>
      <c r="M51" s="2128">
        <v>155</v>
      </c>
      <c r="N51" s="2129">
        <v>791</v>
      </c>
      <c r="O51" s="2128">
        <v>43</v>
      </c>
      <c r="P51" s="2129" t="s">
        <v>28</v>
      </c>
      <c r="Q51" s="2129" t="s">
        <v>28</v>
      </c>
      <c r="R51" s="2128">
        <v>156</v>
      </c>
      <c r="S51" s="2128">
        <v>131144</v>
      </c>
      <c r="T51" s="2128">
        <v>125531</v>
      </c>
      <c r="U51" s="2128">
        <v>1509</v>
      </c>
      <c r="V51" s="2128">
        <v>3921</v>
      </c>
      <c r="W51" s="2128">
        <v>14</v>
      </c>
      <c r="X51" s="2128" t="s">
        <v>28</v>
      </c>
      <c r="Y51" s="2128" t="s">
        <v>28</v>
      </c>
      <c r="Z51" s="2142">
        <v>169</v>
      </c>
    </row>
    <row r="52" spans="1:26" s="49" customFormat="1" ht="12" customHeight="1">
      <c r="A52" s="995" t="s">
        <v>137</v>
      </c>
      <c r="B52" s="2127" t="s">
        <v>32</v>
      </c>
      <c r="C52" s="2128" t="s">
        <v>28</v>
      </c>
      <c r="D52" s="2128" t="s">
        <v>28</v>
      </c>
      <c r="E52" s="2128" t="s">
        <v>28</v>
      </c>
      <c r="F52" s="2128" t="s">
        <v>28</v>
      </c>
      <c r="G52" s="2128" t="s">
        <v>28</v>
      </c>
      <c r="H52" s="2128" t="s">
        <v>28</v>
      </c>
      <c r="I52" s="2128" t="s">
        <v>28</v>
      </c>
      <c r="J52" s="2128" t="s">
        <v>28</v>
      </c>
      <c r="K52" s="2128" t="s">
        <v>28</v>
      </c>
      <c r="L52" s="2128" t="s">
        <v>28</v>
      </c>
      <c r="M52" s="2128" t="s">
        <v>28</v>
      </c>
      <c r="N52" s="2129" t="s">
        <v>28</v>
      </c>
      <c r="O52" s="2128" t="s">
        <v>28</v>
      </c>
      <c r="P52" s="2129" t="s">
        <v>28</v>
      </c>
      <c r="Q52" s="2129" t="s">
        <v>28</v>
      </c>
      <c r="R52" s="2128" t="s">
        <v>28</v>
      </c>
      <c r="S52" s="2128" t="s">
        <v>28</v>
      </c>
      <c r="T52" s="2128" t="s">
        <v>28</v>
      </c>
      <c r="U52" s="2128" t="s">
        <v>28</v>
      </c>
      <c r="V52" s="2128" t="s">
        <v>28</v>
      </c>
      <c r="W52" s="2128" t="s">
        <v>28</v>
      </c>
      <c r="X52" s="2128" t="s">
        <v>28</v>
      </c>
      <c r="Y52" s="2128" t="s">
        <v>28</v>
      </c>
      <c r="Z52" s="2142" t="s">
        <v>28</v>
      </c>
    </row>
    <row r="53" spans="1:26" s="48" customFormat="1" ht="12" customHeight="1">
      <c r="A53" s="2122" t="s">
        <v>61</v>
      </c>
      <c r="B53" s="2123" t="s">
        <v>62</v>
      </c>
      <c r="C53" s="2124">
        <v>12898</v>
      </c>
      <c r="D53" s="2124">
        <v>12543</v>
      </c>
      <c r="E53" s="2124">
        <v>260</v>
      </c>
      <c r="F53" s="2124" t="s">
        <v>28</v>
      </c>
      <c r="G53" s="2124" t="s">
        <v>28</v>
      </c>
      <c r="H53" s="2124">
        <v>95</v>
      </c>
      <c r="I53" s="2124" t="s">
        <v>28</v>
      </c>
      <c r="J53" s="2124" t="s">
        <v>28</v>
      </c>
      <c r="K53" s="2124">
        <v>2772</v>
      </c>
      <c r="L53" s="2124">
        <v>2422</v>
      </c>
      <c r="M53" s="2124">
        <v>158</v>
      </c>
      <c r="N53" s="2125" t="s">
        <v>28</v>
      </c>
      <c r="O53" s="2124">
        <v>84</v>
      </c>
      <c r="P53" s="2125">
        <v>55</v>
      </c>
      <c r="Q53" s="2125" t="s">
        <v>28</v>
      </c>
      <c r="R53" s="2124">
        <v>53</v>
      </c>
      <c r="S53" s="2124">
        <v>13457</v>
      </c>
      <c r="T53" s="2124">
        <v>12252</v>
      </c>
      <c r="U53" s="2124">
        <v>426</v>
      </c>
      <c r="V53" s="2124">
        <v>95</v>
      </c>
      <c r="W53" s="2124">
        <v>653</v>
      </c>
      <c r="X53" s="2124" t="s">
        <v>28</v>
      </c>
      <c r="Y53" s="2124" t="s">
        <v>28</v>
      </c>
      <c r="Z53" s="2143">
        <v>31</v>
      </c>
    </row>
    <row r="54" spans="1:26" s="49" customFormat="1" ht="12" customHeight="1">
      <c r="A54" s="995" t="s">
        <v>136</v>
      </c>
      <c r="B54" s="2127" t="s">
        <v>30</v>
      </c>
      <c r="C54" s="2128">
        <v>10277</v>
      </c>
      <c r="D54" s="2128">
        <v>10017</v>
      </c>
      <c r="E54" s="2128">
        <v>260</v>
      </c>
      <c r="F54" s="2128" t="s">
        <v>28</v>
      </c>
      <c r="G54" s="2128" t="s">
        <v>28</v>
      </c>
      <c r="H54" s="2128" t="s">
        <v>28</v>
      </c>
      <c r="I54" s="2128" t="s">
        <v>28</v>
      </c>
      <c r="J54" s="2128" t="s">
        <v>28</v>
      </c>
      <c r="K54" s="2128">
        <v>2146</v>
      </c>
      <c r="L54" s="2128">
        <v>1955</v>
      </c>
      <c r="M54" s="2128">
        <v>75</v>
      </c>
      <c r="N54" s="2129" t="s">
        <v>28</v>
      </c>
      <c r="O54" s="2128">
        <v>84</v>
      </c>
      <c r="P54" s="2129" t="s">
        <v>28</v>
      </c>
      <c r="Q54" s="2129" t="s">
        <v>28</v>
      </c>
      <c r="R54" s="2128">
        <v>32</v>
      </c>
      <c r="S54" s="2128">
        <v>11333</v>
      </c>
      <c r="T54" s="2128">
        <v>11018</v>
      </c>
      <c r="U54" s="2128">
        <v>46</v>
      </c>
      <c r="V54" s="2128">
        <v>95</v>
      </c>
      <c r="W54" s="2128">
        <v>143</v>
      </c>
      <c r="X54" s="2128" t="s">
        <v>28</v>
      </c>
      <c r="Y54" s="2128" t="s">
        <v>28</v>
      </c>
      <c r="Z54" s="2142">
        <v>31</v>
      </c>
    </row>
    <row r="55" spans="1:26" s="49" customFormat="1" ht="12" customHeight="1">
      <c r="A55" s="995" t="s">
        <v>137</v>
      </c>
      <c r="B55" s="2127" t="s">
        <v>32</v>
      </c>
      <c r="C55" s="2128">
        <v>2621</v>
      </c>
      <c r="D55" s="2128">
        <v>2526</v>
      </c>
      <c r="E55" s="2128" t="s">
        <v>28</v>
      </c>
      <c r="F55" s="2128" t="s">
        <v>28</v>
      </c>
      <c r="G55" s="2128" t="s">
        <v>28</v>
      </c>
      <c r="H55" s="2128">
        <v>95</v>
      </c>
      <c r="I55" s="2128" t="s">
        <v>28</v>
      </c>
      <c r="J55" s="2128" t="s">
        <v>28</v>
      </c>
      <c r="K55" s="2128">
        <v>626</v>
      </c>
      <c r="L55" s="2128">
        <v>467</v>
      </c>
      <c r="M55" s="2128">
        <v>83</v>
      </c>
      <c r="N55" s="2129" t="s">
        <v>28</v>
      </c>
      <c r="O55" s="2128" t="s">
        <v>28</v>
      </c>
      <c r="P55" s="2129">
        <v>55</v>
      </c>
      <c r="Q55" s="2129" t="s">
        <v>28</v>
      </c>
      <c r="R55" s="2128">
        <v>21</v>
      </c>
      <c r="S55" s="2128">
        <v>2124</v>
      </c>
      <c r="T55" s="2128">
        <v>1234</v>
      </c>
      <c r="U55" s="2128">
        <v>380</v>
      </c>
      <c r="V55" s="2128" t="s">
        <v>28</v>
      </c>
      <c r="W55" s="2128">
        <v>510</v>
      </c>
      <c r="X55" s="2128" t="s">
        <v>28</v>
      </c>
      <c r="Y55" s="2128" t="s">
        <v>28</v>
      </c>
      <c r="Z55" s="2142" t="s">
        <v>28</v>
      </c>
    </row>
    <row r="56" spans="1:26" s="48" customFormat="1" ht="12" customHeight="1">
      <c r="A56" s="2122" t="s">
        <v>63</v>
      </c>
      <c r="B56" s="2123" t="s">
        <v>64</v>
      </c>
      <c r="C56" s="2124">
        <v>426</v>
      </c>
      <c r="D56" s="2124" t="s">
        <v>28</v>
      </c>
      <c r="E56" s="2124" t="s">
        <v>28</v>
      </c>
      <c r="F56" s="2124">
        <v>426</v>
      </c>
      <c r="G56" s="2124" t="s">
        <v>28</v>
      </c>
      <c r="H56" s="2124" t="s">
        <v>28</v>
      </c>
      <c r="I56" s="2124" t="s">
        <v>28</v>
      </c>
      <c r="J56" s="2124" t="s">
        <v>28</v>
      </c>
      <c r="K56" s="2124">
        <v>368</v>
      </c>
      <c r="L56" s="2124" t="s">
        <v>28</v>
      </c>
      <c r="M56" s="2124" t="s">
        <v>28</v>
      </c>
      <c r="N56" s="2125">
        <v>368</v>
      </c>
      <c r="O56" s="2124" t="s">
        <v>28</v>
      </c>
      <c r="P56" s="2125" t="s">
        <v>28</v>
      </c>
      <c r="Q56" s="2125" t="s">
        <v>28</v>
      </c>
      <c r="R56" s="2124" t="s">
        <v>28</v>
      </c>
      <c r="S56" s="2124">
        <v>950</v>
      </c>
      <c r="T56" s="2124" t="s">
        <v>28</v>
      </c>
      <c r="U56" s="2124" t="s">
        <v>28</v>
      </c>
      <c r="V56" s="2124">
        <v>950</v>
      </c>
      <c r="W56" s="2124" t="s">
        <v>28</v>
      </c>
      <c r="X56" s="2124" t="s">
        <v>28</v>
      </c>
      <c r="Y56" s="2124" t="s">
        <v>28</v>
      </c>
      <c r="Z56" s="2143" t="s">
        <v>28</v>
      </c>
    </row>
    <row r="57" spans="1:26" s="49" customFormat="1" ht="12" customHeight="1">
      <c r="A57" s="995" t="s">
        <v>136</v>
      </c>
      <c r="B57" s="2127" t="s">
        <v>30</v>
      </c>
      <c r="C57" s="2128">
        <v>426</v>
      </c>
      <c r="D57" s="2128" t="s">
        <v>28</v>
      </c>
      <c r="E57" s="2128" t="s">
        <v>28</v>
      </c>
      <c r="F57" s="2128">
        <v>426</v>
      </c>
      <c r="G57" s="2128" t="s">
        <v>28</v>
      </c>
      <c r="H57" s="2128" t="s">
        <v>28</v>
      </c>
      <c r="I57" s="2128" t="s">
        <v>28</v>
      </c>
      <c r="J57" s="2128" t="s">
        <v>28</v>
      </c>
      <c r="K57" s="2128">
        <v>368</v>
      </c>
      <c r="L57" s="2128" t="s">
        <v>28</v>
      </c>
      <c r="M57" s="2128" t="s">
        <v>28</v>
      </c>
      <c r="N57" s="2129">
        <v>368</v>
      </c>
      <c r="O57" s="2128" t="s">
        <v>28</v>
      </c>
      <c r="P57" s="2129" t="s">
        <v>28</v>
      </c>
      <c r="Q57" s="2129" t="s">
        <v>28</v>
      </c>
      <c r="R57" s="2128" t="s">
        <v>28</v>
      </c>
      <c r="S57" s="2128">
        <v>950</v>
      </c>
      <c r="T57" s="2128" t="s">
        <v>28</v>
      </c>
      <c r="U57" s="2128" t="s">
        <v>28</v>
      </c>
      <c r="V57" s="2128">
        <v>950</v>
      </c>
      <c r="W57" s="2128" t="s">
        <v>28</v>
      </c>
      <c r="X57" s="2128" t="s">
        <v>28</v>
      </c>
      <c r="Y57" s="2128" t="s">
        <v>28</v>
      </c>
      <c r="Z57" s="2142" t="s">
        <v>28</v>
      </c>
    </row>
    <row r="58" spans="1:26" s="886" customFormat="1" ht="12" customHeight="1" thickBot="1">
      <c r="A58" s="2131" t="s">
        <v>137</v>
      </c>
      <c r="B58" s="2132" t="s">
        <v>32</v>
      </c>
      <c r="C58" s="2133" t="s">
        <v>28</v>
      </c>
      <c r="D58" s="2133" t="s">
        <v>28</v>
      </c>
      <c r="E58" s="2133" t="s">
        <v>28</v>
      </c>
      <c r="F58" s="2133" t="s">
        <v>28</v>
      </c>
      <c r="G58" s="2133" t="s">
        <v>28</v>
      </c>
      <c r="H58" s="2133" t="s">
        <v>28</v>
      </c>
      <c r="I58" s="2133" t="s">
        <v>28</v>
      </c>
      <c r="J58" s="2133" t="s">
        <v>28</v>
      </c>
      <c r="K58" s="2133" t="s">
        <v>28</v>
      </c>
      <c r="L58" s="2133" t="s">
        <v>28</v>
      </c>
      <c r="M58" s="2133" t="s">
        <v>28</v>
      </c>
      <c r="N58" s="2134" t="s">
        <v>28</v>
      </c>
      <c r="O58" s="2133" t="s">
        <v>28</v>
      </c>
      <c r="P58" s="2134" t="s">
        <v>28</v>
      </c>
      <c r="Q58" s="2134" t="s">
        <v>28</v>
      </c>
      <c r="R58" s="2133" t="s">
        <v>28</v>
      </c>
      <c r="S58" s="2133" t="s">
        <v>28</v>
      </c>
      <c r="T58" s="2133" t="s">
        <v>28</v>
      </c>
      <c r="U58" s="2133" t="s">
        <v>28</v>
      </c>
      <c r="V58" s="2133" t="s">
        <v>28</v>
      </c>
      <c r="W58" s="2133" t="s">
        <v>28</v>
      </c>
      <c r="X58" s="2133" t="s">
        <v>28</v>
      </c>
      <c r="Y58" s="2133" t="s">
        <v>28</v>
      </c>
      <c r="Z58" s="2144" t="s">
        <v>28</v>
      </c>
    </row>
    <row r="59" spans="1:26" s="884" customFormat="1">
      <c r="A59" s="50"/>
      <c r="B59" s="50"/>
      <c r="C59" s="46"/>
      <c r="D59" s="46"/>
      <c r="E59" s="46"/>
      <c r="F59" s="46"/>
      <c r="G59" s="46"/>
      <c r="H59" s="46"/>
      <c r="I59" s="46"/>
      <c r="J59" s="46"/>
      <c r="K59" s="46"/>
      <c r="L59" s="46"/>
      <c r="M59" s="46"/>
      <c r="N59" s="46"/>
      <c r="O59" s="46"/>
      <c r="P59" s="46"/>
      <c r="Q59" s="46"/>
      <c r="R59" s="46"/>
      <c r="S59" s="46"/>
      <c r="T59" s="46"/>
      <c r="U59" s="46"/>
      <c r="V59" s="46"/>
      <c r="W59" s="46"/>
      <c r="X59" s="46"/>
      <c r="Y59" s="46"/>
      <c r="Z59" s="46"/>
    </row>
  </sheetData>
  <mergeCells count="22">
    <mergeCell ref="A2:M2"/>
    <mergeCell ref="N2:Z2"/>
    <mergeCell ref="A3:M3"/>
    <mergeCell ref="N3:Z3"/>
    <mergeCell ref="A4:M4"/>
    <mergeCell ref="N4:Z4"/>
    <mergeCell ref="A6:B6"/>
    <mergeCell ref="C6:J6"/>
    <mergeCell ref="K6:M6"/>
    <mergeCell ref="N6:R6"/>
    <mergeCell ref="S6:Z6"/>
    <mergeCell ref="A5:B5"/>
    <mergeCell ref="C5:J5"/>
    <mergeCell ref="K5:M5"/>
    <mergeCell ref="N5:R5"/>
    <mergeCell ref="S5:Z5"/>
    <mergeCell ref="A7:B7"/>
    <mergeCell ref="A8:B8"/>
    <mergeCell ref="A12:M12"/>
    <mergeCell ref="N12:Z12"/>
    <mergeCell ref="A28:M28"/>
    <mergeCell ref="N28:Z28"/>
  </mergeCells>
  <phoneticPr fontId="4" type="noConversion"/>
  <hyperlinks>
    <hyperlink ref="A1" location="목록!A1" display="목록!A1" xr:uid="{58731D65-4B14-4A51-95B4-CF91D6290269}"/>
  </hyperlinks>
  <pageMargins left="0.59055118110236227" right="0.59055118110236227" top="0.78740157480314965" bottom="0.59055118110236227" header="0.62992125984251968" footer="0.39370078740157483"/>
  <pageSetup paperSize="9" scale="96" orientation="portrait" r:id="rId1"/>
  <rowBreaks count="1" manualBreakCount="1">
    <brk id="58" max="25" man="1"/>
  </rowBreaks>
  <colBreaks count="1" manualBreakCount="1">
    <brk id="13" min="1" max="57" man="1"/>
  </colBreaks>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4"/>
  <dimension ref="A1:Q58"/>
  <sheetViews>
    <sheetView showGridLines="0" showWhiteSpace="0" view="pageBreakPreview" zoomScaleNormal="100" zoomScaleSheetLayoutView="100" zoomScalePageLayoutView="145" workbookViewId="0">
      <selection activeCell="H10" sqref="H10"/>
    </sheetView>
  </sheetViews>
  <sheetFormatPr defaultColWidth="8.88671875" defaultRowHeight="16.5"/>
  <cols>
    <col min="1" max="1" width="5.88671875" style="703" customWidth="1"/>
    <col min="2" max="2" width="8.5546875" style="705" customWidth="1"/>
    <col min="3" max="10" width="8" style="703" customWidth="1"/>
    <col min="11" max="16384" width="8.88671875" style="703"/>
  </cols>
  <sheetData>
    <row r="1" spans="1:17" ht="22.5">
      <c r="A1" s="901" t="s">
        <v>1332</v>
      </c>
    </row>
    <row r="2" spans="1:17" s="701" customFormat="1" ht="13.5" customHeight="1">
      <c r="A2" s="1254" t="s">
        <v>1049</v>
      </c>
      <c r="B2" s="1254"/>
      <c r="C2" s="1254"/>
      <c r="D2" s="1254"/>
      <c r="E2" s="1254"/>
      <c r="F2" s="1254"/>
      <c r="G2" s="1254"/>
      <c r="H2" s="1254"/>
      <c r="I2" s="1254"/>
      <c r="J2" s="1254"/>
    </row>
    <row r="3" spans="1:17" ht="22.5" customHeight="1">
      <c r="A3" s="1252" t="s">
        <v>895</v>
      </c>
      <c r="B3" s="1252"/>
      <c r="C3" s="1252"/>
      <c r="D3" s="1252"/>
      <c r="E3" s="1252"/>
      <c r="F3" s="1252"/>
      <c r="G3" s="1252"/>
      <c r="H3" s="1252"/>
      <c r="I3" s="1252"/>
      <c r="J3" s="1252"/>
      <c r="K3" s="702"/>
      <c r="L3" s="702"/>
      <c r="M3" s="702"/>
      <c r="N3" s="702"/>
      <c r="O3" s="702"/>
      <c r="P3" s="702"/>
      <c r="Q3" s="702"/>
    </row>
    <row r="4" spans="1:17" ht="22.5" customHeight="1">
      <c r="A4" s="1388" t="s">
        <v>1276</v>
      </c>
      <c r="B4" s="1388"/>
      <c r="C4" s="1388"/>
      <c r="D4" s="1388"/>
      <c r="E4" s="1388"/>
      <c r="F4" s="1388"/>
      <c r="G4" s="1388"/>
      <c r="H4" s="1388"/>
      <c r="I4" s="1388"/>
      <c r="J4" s="1388"/>
    </row>
    <row r="5" spans="1:17" s="710" customFormat="1" ht="13.5" customHeight="1" thickBot="1">
      <c r="A5" s="1899" t="s">
        <v>1105</v>
      </c>
      <c r="B5" s="1899"/>
      <c r="C5" s="1899"/>
      <c r="D5" s="1899"/>
      <c r="E5" s="1899"/>
      <c r="F5" s="1899"/>
      <c r="G5" s="1899"/>
      <c r="H5" s="1899"/>
      <c r="I5" s="1899"/>
      <c r="J5" s="1899"/>
    </row>
    <row r="6" spans="1:17" s="883" customFormat="1" ht="24.75" customHeight="1">
      <c r="A6" s="1680" t="s">
        <v>2</v>
      </c>
      <c r="B6" s="1281"/>
      <c r="C6" s="958" t="s">
        <v>13</v>
      </c>
      <c r="D6" s="958" t="s">
        <v>388</v>
      </c>
      <c r="E6" s="958" t="s">
        <v>311</v>
      </c>
      <c r="F6" s="958" t="s">
        <v>1145</v>
      </c>
      <c r="G6" s="958" t="s">
        <v>389</v>
      </c>
      <c r="H6" s="958" t="s">
        <v>312</v>
      </c>
      <c r="I6" s="958" t="s">
        <v>313</v>
      </c>
      <c r="J6" s="957" t="s">
        <v>148</v>
      </c>
    </row>
    <row r="7" spans="1:17" s="705" customFormat="1" ht="31.5" customHeight="1">
      <c r="A7" s="1257" t="s">
        <v>7</v>
      </c>
      <c r="B7" s="1225"/>
      <c r="C7" s="799" t="s">
        <v>16</v>
      </c>
      <c r="D7" s="799" t="s">
        <v>317</v>
      </c>
      <c r="E7" s="799" t="s">
        <v>1268</v>
      </c>
      <c r="F7" s="799" t="s">
        <v>1146</v>
      </c>
      <c r="G7" s="799" t="s">
        <v>314</v>
      </c>
      <c r="H7" s="799" t="s">
        <v>315</v>
      </c>
      <c r="I7" s="799" t="s">
        <v>316</v>
      </c>
      <c r="J7" s="945" t="s">
        <v>150</v>
      </c>
    </row>
    <row r="8" spans="1:17" s="706" customFormat="1" ht="12" customHeight="1">
      <c r="A8" s="2154" t="s">
        <v>27</v>
      </c>
      <c r="B8" s="2155" t="s">
        <v>16</v>
      </c>
      <c r="C8" s="2156">
        <v>615</v>
      </c>
      <c r="D8" s="2156">
        <v>374</v>
      </c>
      <c r="E8" s="2156">
        <v>135</v>
      </c>
      <c r="F8" s="2156">
        <v>27</v>
      </c>
      <c r="G8" s="2156">
        <v>39</v>
      </c>
      <c r="H8" s="2156">
        <v>2</v>
      </c>
      <c r="I8" s="2156" t="s">
        <v>28</v>
      </c>
      <c r="J8" s="2157">
        <v>38</v>
      </c>
    </row>
    <row r="9" spans="1:17" s="707" customFormat="1" ht="12" customHeight="1">
      <c r="A9" s="954" t="s">
        <v>136</v>
      </c>
      <c r="B9" s="1691" t="s">
        <v>30</v>
      </c>
      <c r="C9" s="1708">
        <v>573</v>
      </c>
      <c r="D9" s="1708">
        <v>347</v>
      </c>
      <c r="E9" s="1708">
        <v>131</v>
      </c>
      <c r="F9" s="1708">
        <v>26</v>
      </c>
      <c r="G9" s="1708">
        <v>32</v>
      </c>
      <c r="H9" s="1708" t="s">
        <v>28</v>
      </c>
      <c r="I9" s="1708" t="s">
        <v>28</v>
      </c>
      <c r="J9" s="1710">
        <v>37</v>
      </c>
    </row>
    <row r="10" spans="1:17" s="881" customFormat="1" ht="12" customHeight="1" thickBot="1">
      <c r="A10" s="1696" t="s">
        <v>137</v>
      </c>
      <c r="B10" s="1697" t="s">
        <v>32</v>
      </c>
      <c r="C10" s="1714">
        <v>42</v>
      </c>
      <c r="D10" s="1714">
        <v>27</v>
      </c>
      <c r="E10" s="1714">
        <v>4</v>
      </c>
      <c r="F10" s="1714">
        <v>1</v>
      </c>
      <c r="G10" s="1714">
        <v>7</v>
      </c>
      <c r="H10" s="1714">
        <v>2</v>
      </c>
      <c r="I10" s="1714" t="s">
        <v>28</v>
      </c>
      <c r="J10" s="1716">
        <v>1</v>
      </c>
    </row>
    <row r="11" spans="1:17" s="882" customFormat="1" ht="12.75" customHeight="1" thickBot="1">
      <c r="A11" s="1262" t="s">
        <v>87</v>
      </c>
      <c r="B11" s="1262"/>
      <c r="C11" s="1262"/>
      <c r="D11" s="1262"/>
      <c r="E11" s="1262"/>
      <c r="F11" s="1262"/>
      <c r="G11" s="1262"/>
      <c r="H11" s="1262"/>
      <c r="I11" s="1262"/>
      <c r="J11" s="1262"/>
    </row>
    <row r="12" spans="1:17" s="706" customFormat="1" ht="12" customHeight="1">
      <c r="A12" s="1702" t="s">
        <v>35</v>
      </c>
      <c r="B12" s="1703" t="s">
        <v>36</v>
      </c>
      <c r="C12" s="1704">
        <v>125</v>
      </c>
      <c r="D12" s="1704">
        <v>74</v>
      </c>
      <c r="E12" s="1704">
        <v>28</v>
      </c>
      <c r="F12" s="1704">
        <v>9</v>
      </c>
      <c r="G12" s="1704">
        <v>5</v>
      </c>
      <c r="H12" s="1704" t="s">
        <v>28</v>
      </c>
      <c r="I12" s="1704" t="s">
        <v>28</v>
      </c>
      <c r="J12" s="1707">
        <v>9</v>
      </c>
    </row>
    <row r="13" spans="1:17" s="707" customFormat="1" ht="12" customHeight="1">
      <c r="A13" s="954" t="s">
        <v>136</v>
      </c>
      <c r="B13" s="1691" t="s">
        <v>30</v>
      </c>
      <c r="C13" s="1708">
        <v>100</v>
      </c>
      <c r="D13" s="1708">
        <v>56</v>
      </c>
      <c r="E13" s="1708">
        <v>26</v>
      </c>
      <c r="F13" s="1708">
        <v>9</v>
      </c>
      <c r="G13" s="1708" t="s">
        <v>28</v>
      </c>
      <c r="H13" s="1708" t="s">
        <v>28</v>
      </c>
      <c r="I13" s="1708" t="s">
        <v>28</v>
      </c>
      <c r="J13" s="1710">
        <v>9</v>
      </c>
    </row>
    <row r="14" spans="1:17" s="707" customFormat="1" ht="12" customHeight="1">
      <c r="A14" s="954" t="s">
        <v>137</v>
      </c>
      <c r="B14" s="1691" t="s">
        <v>32</v>
      </c>
      <c r="C14" s="1708">
        <v>25</v>
      </c>
      <c r="D14" s="1708">
        <v>18</v>
      </c>
      <c r="E14" s="1708">
        <v>2</v>
      </c>
      <c r="F14" s="1708" t="s">
        <v>28</v>
      </c>
      <c r="G14" s="1708">
        <v>5</v>
      </c>
      <c r="H14" s="1708" t="s">
        <v>28</v>
      </c>
      <c r="I14" s="1708" t="s">
        <v>28</v>
      </c>
      <c r="J14" s="1710" t="s">
        <v>28</v>
      </c>
    </row>
    <row r="15" spans="1:17" s="706" customFormat="1" ht="12" customHeight="1">
      <c r="A15" s="1685" t="s">
        <v>37</v>
      </c>
      <c r="B15" s="1686" t="s">
        <v>38</v>
      </c>
      <c r="C15" s="1711">
        <v>181</v>
      </c>
      <c r="D15" s="1711">
        <v>111</v>
      </c>
      <c r="E15" s="1711">
        <v>39</v>
      </c>
      <c r="F15" s="1711">
        <v>8</v>
      </c>
      <c r="G15" s="1711">
        <v>11</v>
      </c>
      <c r="H15" s="1711" t="s">
        <v>28</v>
      </c>
      <c r="I15" s="1711" t="s">
        <v>28</v>
      </c>
      <c r="J15" s="1713">
        <v>12</v>
      </c>
    </row>
    <row r="16" spans="1:17" s="707" customFormat="1" ht="12" customHeight="1">
      <c r="A16" s="954" t="s">
        <v>136</v>
      </c>
      <c r="B16" s="1691" t="s">
        <v>30</v>
      </c>
      <c r="C16" s="1708">
        <v>181</v>
      </c>
      <c r="D16" s="1708">
        <v>111</v>
      </c>
      <c r="E16" s="1708">
        <v>39</v>
      </c>
      <c r="F16" s="1708">
        <v>8</v>
      </c>
      <c r="G16" s="1708">
        <v>11</v>
      </c>
      <c r="H16" s="1708" t="s">
        <v>28</v>
      </c>
      <c r="I16" s="1708" t="s">
        <v>28</v>
      </c>
      <c r="J16" s="1710">
        <v>12</v>
      </c>
    </row>
    <row r="17" spans="1:10" s="707" customFormat="1" ht="12" customHeight="1">
      <c r="A17" s="954" t="s">
        <v>137</v>
      </c>
      <c r="B17" s="1691" t="s">
        <v>32</v>
      </c>
      <c r="C17" s="1708" t="s">
        <v>28</v>
      </c>
      <c r="D17" s="1708" t="s">
        <v>28</v>
      </c>
      <c r="E17" s="1708" t="s">
        <v>28</v>
      </c>
      <c r="F17" s="1708" t="s">
        <v>28</v>
      </c>
      <c r="G17" s="1708" t="s">
        <v>28</v>
      </c>
      <c r="H17" s="1708" t="s">
        <v>28</v>
      </c>
      <c r="I17" s="1708" t="s">
        <v>28</v>
      </c>
      <c r="J17" s="1710" t="s">
        <v>28</v>
      </c>
    </row>
    <row r="18" spans="1:10" s="706" customFormat="1" ht="12" customHeight="1">
      <c r="A18" s="1685" t="s">
        <v>39</v>
      </c>
      <c r="B18" s="1686" t="s">
        <v>40</v>
      </c>
      <c r="C18" s="1711">
        <v>152</v>
      </c>
      <c r="D18" s="1711">
        <v>93</v>
      </c>
      <c r="E18" s="1711">
        <v>39</v>
      </c>
      <c r="F18" s="1711">
        <v>3</v>
      </c>
      <c r="G18" s="1711">
        <v>13</v>
      </c>
      <c r="H18" s="1711" t="s">
        <v>28</v>
      </c>
      <c r="I18" s="1711" t="s">
        <v>28</v>
      </c>
      <c r="J18" s="1713">
        <v>4</v>
      </c>
    </row>
    <row r="19" spans="1:10" s="707" customFormat="1" ht="12" customHeight="1">
      <c r="A19" s="954" t="s">
        <v>136</v>
      </c>
      <c r="B19" s="1691" t="s">
        <v>30</v>
      </c>
      <c r="C19" s="1708">
        <v>150</v>
      </c>
      <c r="D19" s="1708">
        <v>92</v>
      </c>
      <c r="E19" s="1708">
        <v>39</v>
      </c>
      <c r="F19" s="1708">
        <v>2</v>
      </c>
      <c r="G19" s="1708">
        <v>13</v>
      </c>
      <c r="H19" s="1708" t="s">
        <v>28</v>
      </c>
      <c r="I19" s="1708" t="s">
        <v>28</v>
      </c>
      <c r="J19" s="1710">
        <v>4</v>
      </c>
    </row>
    <row r="20" spans="1:10" s="707" customFormat="1" ht="12" customHeight="1">
      <c r="A20" s="954" t="s">
        <v>137</v>
      </c>
      <c r="B20" s="1691" t="s">
        <v>32</v>
      </c>
      <c r="C20" s="1708">
        <v>2</v>
      </c>
      <c r="D20" s="1708">
        <v>1</v>
      </c>
      <c r="E20" s="1708" t="s">
        <v>28</v>
      </c>
      <c r="F20" s="1708">
        <v>1</v>
      </c>
      <c r="G20" s="1708" t="s">
        <v>28</v>
      </c>
      <c r="H20" s="1708" t="s">
        <v>28</v>
      </c>
      <c r="I20" s="1708" t="s">
        <v>28</v>
      </c>
      <c r="J20" s="1710" t="s">
        <v>28</v>
      </c>
    </row>
    <row r="21" spans="1:10" s="706" customFormat="1" ht="12" customHeight="1">
      <c r="A21" s="1685" t="s">
        <v>41</v>
      </c>
      <c r="B21" s="1686" t="s">
        <v>42</v>
      </c>
      <c r="C21" s="1711">
        <v>102</v>
      </c>
      <c r="D21" s="1711">
        <v>66</v>
      </c>
      <c r="E21" s="1711">
        <v>20</v>
      </c>
      <c r="F21" s="1711">
        <v>6</v>
      </c>
      <c r="G21" s="1711">
        <v>2</v>
      </c>
      <c r="H21" s="1711" t="s">
        <v>28</v>
      </c>
      <c r="I21" s="1711" t="s">
        <v>28</v>
      </c>
      <c r="J21" s="1713">
        <v>8</v>
      </c>
    </row>
    <row r="22" spans="1:10" s="707" customFormat="1" ht="12" customHeight="1">
      <c r="A22" s="954" t="s">
        <v>136</v>
      </c>
      <c r="B22" s="1691" t="s">
        <v>30</v>
      </c>
      <c r="C22" s="1708">
        <v>102</v>
      </c>
      <c r="D22" s="1708">
        <v>66</v>
      </c>
      <c r="E22" s="1708">
        <v>20</v>
      </c>
      <c r="F22" s="1708">
        <v>6</v>
      </c>
      <c r="G22" s="1708">
        <v>2</v>
      </c>
      <c r="H22" s="1708" t="s">
        <v>28</v>
      </c>
      <c r="I22" s="1708" t="s">
        <v>28</v>
      </c>
      <c r="J22" s="1710">
        <v>8</v>
      </c>
    </row>
    <row r="23" spans="1:10" s="707" customFormat="1" ht="12" customHeight="1">
      <c r="A23" s="954" t="s">
        <v>137</v>
      </c>
      <c r="B23" s="1691" t="s">
        <v>32</v>
      </c>
      <c r="C23" s="1708" t="s">
        <v>28</v>
      </c>
      <c r="D23" s="1708" t="s">
        <v>28</v>
      </c>
      <c r="E23" s="1708" t="s">
        <v>28</v>
      </c>
      <c r="F23" s="1708" t="s">
        <v>28</v>
      </c>
      <c r="G23" s="1708" t="s">
        <v>28</v>
      </c>
      <c r="H23" s="1708" t="s">
        <v>28</v>
      </c>
      <c r="I23" s="1708" t="s">
        <v>28</v>
      </c>
      <c r="J23" s="1710" t="s">
        <v>28</v>
      </c>
    </row>
    <row r="24" spans="1:10" s="706" customFormat="1" ht="12" customHeight="1">
      <c r="A24" s="1685" t="s">
        <v>43</v>
      </c>
      <c r="B24" s="1686" t="s">
        <v>44</v>
      </c>
      <c r="C24" s="1711">
        <v>55</v>
      </c>
      <c r="D24" s="1711">
        <v>30</v>
      </c>
      <c r="E24" s="1711">
        <v>9</v>
      </c>
      <c r="F24" s="1711">
        <v>1</v>
      </c>
      <c r="G24" s="1711">
        <v>8</v>
      </c>
      <c r="H24" s="1711">
        <v>2</v>
      </c>
      <c r="I24" s="1711" t="s">
        <v>28</v>
      </c>
      <c r="J24" s="1713">
        <v>5</v>
      </c>
    </row>
    <row r="25" spans="1:10" s="707" customFormat="1" ht="12" customHeight="1">
      <c r="A25" s="954" t="s">
        <v>136</v>
      </c>
      <c r="B25" s="1691" t="s">
        <v>30</v>
      </c>
      <c r="C25" s="1708">
        <v>40</v>
      </c>
      <c r="D25" s="1708">
        <v>22</v>
      </c>
      <c r="E25" s="1708">
        <v>7</v>
      </c>
      <c r="F25" s="1708">
        <v>1</v>
      </c>
      <c r="G25" s="1708">
        <v>6</v>
      </c>
      <c r="H25" s="1708" t="s">
        <v>28</v>
      </c>
      <c r="I25" s="1708" t="s">
        <v>28</v>
      </c>
      <c r="J25" s="1710">
        <v>4</v>
      </c>
    </row>
    <row r="26" spans="1:10" s="881" customFormat="1" ht="12" customHeight="1" thickBot="1">
      <c r="A26" s="1696" t="s">
        <v>137</v>
      </c>
      <c r="B26" s="1697" t="s">
        <v>32</v>
      </c>
      <c r="C26" s="1714">
        <v>15</v>
      </c>
      <c r="D26" s="1714">
        <v>8</v>
      </c>
      <c r="E26" s="1714">
        <v>2</v>
      </c>
      <c r="F26" s="1714" t="s">
        <v>28</v>
      </c>
      <c r="G26" s="1714">
        <v>2</v>
      </c>
      <c r="H26" s="1714">
        <v>2</v>
      </c>
      <c r="I26" s="1714" t="s">
        <v>28</v>
      </c>
      <c r="J26" s="1716">
        <v>1</v>
      </c>
    </row>
    <row r="27" spans="1:10" s="882" customFormat="1" ht="12.75" customHeight="1" thickBot="1">
      <c r="A27" s="1262" t="s">
        <v>88</v>
      </c>
      <c r="B27" s="1262"/>
      <c r="C27" s="1262"/>
      <c r="D27" s="1262"/>
      <c r="E27" s="1262"/>
      <c r="F27" s="1262"/>
      <c r="G27" s="1262"/>
      <c r="H27" s="1262"/>
      <c r="I27" s="1262"/>
      <c r="J27" s="1262"/>
    </row>
    <row r="28" spans="1:10" s="706" customFormat="1" ht="12" customHeight="1">
      <c r="A28" s="1702" t="s">
        <v>47</v>
      </c>
      <c r="B28" s="1703" t="s">
        <v>48</v>
      </c>
      <c r="C28" s="1704">
        <v>38</v>
      </c>
      <c r="D28" s="1704">
        <v>26</v>
      </c>
      <c r="E28" s="1704">
        <v>8</v>
      </c>
      <c r="F28" s="1704">
        <v>2</v>
      </c>
      <c r="G28" s="1704" t="s">
        <v>28</v>
      </c>
      <c r="H28" s="1704" t="s">
        <v>28</v>
      </c>
      <c r="I28" s="1704" t="s">
        <v>28</v>
      </c>
      <c r="J28" s="1707">
        <v>2</v>
      </c>
    </row>
    <row r="29" spans="1:10" s="707" customFormat="1" ht="12" customHeight="1">
      <c r="A29" s="954" t="s">
        <v>136</v>
      </c>
      <c r="B29" s="1691" t="s">
        <v>30</v>
      </c>
      <c r="C29" s="1708">
        <v>29</v>
      </c>
      <c r="D29" s="1708">
        <v>17</v>
      </c>
      <c r="E29" s="1708">
        <v>8</v>
      </c>
      <c r="F29" s="1708">
        <v>2</v>
      </c>
      <c r="G29" s="1708" t="s">
        <v>28</v>
      </c>
      <c r="H29" s="1708" t="s">
        <v>28</v>
      </c>
      <c r="I29" s="1708" t="s">
        <v>28</v>
      </c>
      <c r="J29" s="1710">
        <v>2</v>
      </c>
    </row>
    <row r="30" spans="1:10" s="707" customFormat="1" ht="12" customHeight="1">
      <c r="A30" s="954" t="s">
        <v>137</v>
      </c>
      <c r="B30" s="1691" t="s">
        <v>32</v>
      </c>
      <c r="C30" s="1708">
        <v>9</v>
      </c>
      <c r="D30" s="1708">
        <v>9</v>
      </c>
      <c r="E30" s="1708" t="s">
        <v>28</v>
      </c>
      <c r="F30" s="1708" t="s">
        <v>28</v>
      </c>
      <c r="G30" s="1708" t="s">
        <v>28</v>
      </c>
      <c r="H30" s="1708" t="s">
        <v>28</v>
      </c>
      <c r="I30" s="1708" t="s">
        <v>28</v>
      </c>
      <c r="J30" s="1710" t="s">
        <v>28</v>
      </c>
    </row>
    <row r="31" spans="1:10" s="706" customFormat="1" ht="12" customHeight="1">
      <c r="A31" s="1685" t="s">
        <v>49</v>
      </c>
      <c r="B31" s="1686" t="s">
        <v>50</v>
      </c>
      <c r="C31" s="1711">
        <v>13</v>
      </c>
      <c r="D31" s="1711">
        <v>9</v>
      </c>
      <c r="E31" s="1711">
        <v>1</v>
      </c>
      <c r="F31" s="1711" t="s">
        <v>28</v>
      </c>
      <c r="G31" s="1711">
        <v>2</v>
      </c>
      <c r="H31" s="1711" t="s">
        <v>28</v>
      </c>
      <c r="I31" s="1711" t="s">
        <v>28</v>
      </c>
      <c r="J31" s="1713">
        <v>1</v>
      </c>
    </row>
    <row r="32" spans="1:10" s="707" customFormat="1" ht="12" customHeight="1">
      <c r="A32" s="954" t="s">
        <v>136</v>
      </c>
      <c r="B32" s="1691" t="s">
        <v>30</v>
      </c>
      <c r="C32" s="1708">
        <v>4</v>
      </c>
      <c r="D32" s="1708">
        <v>3</v>
      </c>
      <c r="E32" s="1708" t="s">
        <v>28</v>
      </c>
      <c r="F32" s="1708" t="s">
        <v>28</v>
      </c>
      <c r="G32" s="1708" t="s">
        <v>28</v>
      </c>
      <c r="H32" s="1708" t="s">
        <v>28</v>
      </c>
      <c r="I32" s="1708" t="s">
        <v>28</v>
      </c>
      <c r="J32" s="1710">
        <v>1</v>
      </c>
    </row>
    <row r="33" spans="1:10" s="707" customFormat="1" ht="12" customHeight="1">
      <c r="A33" s="954" t="s">
        <v>137</v>
      </c>
      <c r="B33" s="1691" t="s">
        <v>32</v>
      </c>
      <c r="C33" s="1708">
        <v>9</v>
      </c>
      <c r="D33" s="1708">
        <v>6</v>
      </c>
      <c r="E33" s="1708">
        <v>1</v>
      </c>
      <c r="F33" s="1708" t="s">
        <v>28</v>
      </c>
      <c r="G33" s="1708">
        <v>2</v>
      </c>
      <c r="H33" s="1708" t="s">
        <v>28</v>
      </c>
      <c r="I33" s="1708" t="s">
        <v>28</v>
      </c>
      <c r="J33" s="1710" t="s">
        <v>28</v>
      </c>
    </row>
    <row r="34" spans="1:10" s="706" customFormat="1" ht="12" customHeight="1">
      <c r="A34" s="1685" t="s">
        <v>963</v>
      </c>
      <c r="B34" s="1686" t="s">
        <v>964</v>
      </c>
      <c r="C34" s="1711">
        <v>73</v>
      </c>
      <c r="D34" s="1711">
        <v>39</v>
      </c>
      <c r="E34" s="1711">
        <v>19</v>
      </c>
      <c r="F34" s="1711">
        <v>6</v>
      </c>
      <c r="G34" s="1711">
        <v>3</v>
      </c>
      <c r="H34" s="1711" t="s">
        <v>28</v>
      </c>
      <c r="I34" s="1711" t="s">
        <v>28</v>
      </c>
      <c r="J34" s="1713">
        <v>6</v>
      </c>
    </row>
    <row r="35" spans="1:10" s="707" customFormat="1" ht="12" customHeight="1">
      <c r="A35" s="954" t="s">
        <v>136</v>
      </c>
      <c r="B35" s="1691" t="s">
        <v>30</v>
      </c>
      <c r="C35" s="1708">
        <v>66</v>
      </c>
      <c r="D35" s="1708">
        <v>36</v>
      </c>
      <c r="E35" s="1708">
        <v>18</v>
      </c>
      <c r="F35" s="1708">
        <v>6</v>
      </c>
      <c r="G35" s="1708" t="s">
        <v>28</v>
      </c>
      <c r="H35" s="1708" t="s">
        <v>28</v>
      </c>
      <c r="I35" s="1708" t="s">
        <v>28</v>
      </c>
      <c r="J35" s="1710">
        <v>6</v>
      </c>
    </row>
    <row r="36" spans="1:10" s="707" customFormat="1" ht="12" customHeight="1">
      <c r="A36" s="954" t="s">
        <v>137</v>
      </c>
      <c r="B36" s="1691" t="s">
        <v>32</v>
      </c>
      <c r="C36" s="1708">
        <v>7</v>
      </c>
      <c r="D36" s="1708">
        <v>3</v>
      </c>
      <c r="E36" s="1708">
        <v>1</v>
      </c>
      <c r="F36" s="1708" t="s">
        <v>28</v>
      </c>
      <c r="G36" s="1708">
        <v>3</v>
      </c>
      <c r="H36" s="1708" t="s">
        <v>28</v>
      </c>
      <c r="I36" s="1708" t="s">
        <v>28</v>
      </c>
      <c r="J36" s="1710" t="s">
        <v>28</v>
      </c>
    </row>
    <row r="37" spans="1:10" s="706" customFormat="1" ht="12" customHeight="1">
      <c r="A37" s="1685" t="s">
        <v>51</v>
      </c>
      <c r="B37" s="1686" t="s">
        <v>52</v>
      </c>
      <c r="C37" s="1711">
        <v>66</v>
      </c>
      <c r="D37" s="1711">
        <v>40</v>
      </c>
      <c r="E37" s="1711">
        <v>19</v>
      </c>
      <c r="F37" s="1711">
        <v>2</v>
      </c>
      <c r="G37" s="1711">
        <v>4</v>
      </c>
      <c r="H37" s="1711" t="s">
        <v>28</v>
      </c>
      <c r="I37" s="1711" t="s">
        <v>28</v>
      </c>
      <c r="J37" s="1713">
        <v>1</v>
      </c>
    </row>
    <row r="38" spans="1:10" s="707" customFormat="1" ht="12" customHeight="1">
      <c r="A38" s="954" t="s">
        <v>136</v>
      </c>
      <c r="B38" s="1691" t="s">
        <v>30</v>
      </c>
      <c r="C38" s="1708">
        <v>65</v>
      </c>
      <c r="D38" s="1708">
        <v>40</v>
      </c>
      <c r="E38" s="1708">
        <v>19</v>
      </c>
      <c r="F38" s="1708">
        <v>1</v>
      </c>
      <c r="G38" s="1708">
        <v>4</v>
      </c>
      <c r="H38" s="1708" t="s">
        <v>28</v>
      </c>
      <c r="I38" s="1708" t="s">
        <v>28</v>
      </c>
      <c r="J38" s="1710">
        <v>1</v>
      </c>
    </row>
    <row r="39" spans="1:10" s="707" customFormat="1" ht="12" customHeight="1">
      <c r="A39" s="954" t="s">
        <v>137</v>
      </c>
      <c r="B39" s="1691" t="s">
        <v>32</v>
      </c>
      <c r="C39" s="1708">
        <v>1</v>
      </c>
      <c r="D39" s="1708" t="s">
        <v>28</v>
      </c>
      <c r="E39" s="1708" t="s">
        <v>28</v>
      </c>
      <c r="F39" s="1708">
        <v>1</v>
      </c>
      <c r="G39" s="1708" t="s">
        <v>28</v>
      </c>
      <c r="H39" s="1708" t="s">
        <v>28</v>
      </c>
      <c r="I39" s="1708" t="s">
        <v>28</v>
      </c>
      <c r="J39" s="1710" t="s">
        <v>28</v>
      </c>
    </row>
    <row r="40" spans="1:10" s="706" customFormat="1" ht="12" customHeight="1">
      <c r="A40" s="1685" t="s">
        <v>53</v>
      </c>
      <c r="B40" s="1686" t="s">
        <v>54</v>
      </c>
      <c r="C40" s="1711">
        <v>86</v>
      </c>
      <c r="D40" s="1711">
        <v>53</v>
      </c>
      <c r="E40" s="1711">
        <v>20</v>
      </c>
      <c r="F40" s="1711">
        <v>1</v>
      </c>
      <c r="G40" s="1711">
        <v>9</v>
      </c>
      <c r="H40" s="1711" t="s">
        <v>28</v>
      </c>
      <c r="I40" s="1711" t="s">
        <v>28</v>
      </c>
      <c r="J40" s="1713">
        <v>3</v>
      </c>
    </row>
    <row r="41" spans="1:10" s="707" customFormat="1" ht="12" customHeight="1">
      <c r="A41" s="954" t="s">
        <v>136</v>
      </c>
      <c r="B41" s="1691" t="s">
        <v>30</v>
      </c>
      <c r="C41" s="1708">
        <v>85</v>
      </c>
      <c r="D41" s="1708">
        <v>52</v>
      </c>
      <c r="E41" s="1708">
        <v>20</v>
      </c>
      <c r="F41" s="1708">
        <v>1</v>
      </c>
      <c r="G41" s="1708">
        <v>9</v>
      </c>
      <c r="H41" s="1708" t="s">
        <v>28</v>
      </c>
      <c r="I41" s="1708" t="s">
        <v>28</v>
      </c>
      <c r="J41" s="1710">
        <v>3</v>
      </c>
    </row>
    <row r="42" spans="1:10" s="707" customFormat="1" ht="12" customHeight="1">
      <c r="A42" s="954" t="s">
        <v>137</v>
      </c>
      <c r="B42" s="1691" t="s">
        <v>32</v>
      </c>
      <c r="C42" s="1708">
        <v>1</v>
      </c>
      <c r="D42" s="1708">
        <v>1</v>
      </c>
      <c r="E42" s="1708" t="s">
        <v>28</v>
      </c>
      <c r="F42" s="1708" t="s">
        <v>28</v>
      </c>
      <c r="G42" s="1708" t="s">
        <v>28</v>
      </c>
      <c r="H42" s="1708" t="s">
        <v>28</v>
      </c>
      <c r="I42" s="1708" t="s">
        <v>28</v>
      </c>
      <c r="J42" s="1710" t="s">
        <v>28</v>
      </c>
    </row>
    <row r="43" spans="1:10" s="706" customFormat="1" ht="12" customHeight="1">
      <c r="A43" s="1685" t="s">
        <v>55</v>
      </c>
      <c r="B43" s="1686" t="s">
        <v>56</v>
      </c>
      <c r="C43" s="1711">
        <v>122</v>
      </c>
      <c r="D43" s="1711">
        <v>71</v>
      </c>
      <c r="E43" s="1711">
        <v>27</v>
      </c>
      <c r="F43" s="1711">
        <v>5</v>
      </c>
      <c r="G43" s="1711">
        <v>10</v>
      </c>
      <c r="H43" s="1711" t="s">
        <v>28</v>
      </c>
      <c r="I43" s="1711" t="s">
        <v>28</v>
      </c>
      <c r="J43" s="1713">
        <v>9</v>
      </c>
    </row>
    <row r="44" spans="1:10" s="707" customFormat="1" ht="12" customHeight="1">
      <c r="A44" s="954" t="s">
        <v>136</v>
      </c>
      <c r="B44" s="1691" t="s">
        <v>30</v>
      </c>
      <c r="C44" s="1708">
        <v>122</v>
      </c>
      <c r="D44" s="1708">
        <v>71</v>
      </c>
      <c r="E44" s="1708">
        <v>27</v>
      </c>
      <c r="F44" s="1708">
        <v>5</v>
      </c>
      <c r="G44" s="1708">
        <v>10</v>
      </c>
      <c r="H44" s="1708" t="s">
        <v>28</v>
      </c>
      <c r="I44" s="1708" t="s">
        <v>28</v>
      </c>
      <c r="J44" s="1710">
        <v>9</v>
      </c>
    </row>
    <row r="45" spans="1:10" s="707" customFormat="1" ht="12" customHeight="1">
      <c r="A45" s="954" t="s">
        <v>137</v>
      </c>
      <c r="B45" s="1691" t="s">
        <v>32</v>
      </c>
      <c r="C45" s="1708" t="s">
        <v>28</v>
      </c>
      <c r="D45" s="1708" t="s">
        <v>28</v>
      </c>
      <c r="E45" s="1708" t="s">
        <v>28</v>
      </c>
      <c r="F45" s="1708" t="s">
        <v>28</v>
      </c>
      <c r="G45" s="1708" t="s">
        <v>28</v>
      </c>
      <c r="H45" s="1708" t="s">
        <v>28</v>
      </c>
      <c r="I45" s="1708" t="s">
        <v>28</v>
      </c>
      <c r="J45" s="1710" t="s">
        <v>28</v>
      </c>
    </row>
    <row r="46" spans="1:10" s="706" customFormat="1" ht="12" customHeight="1">
      <c r="A46" s="1685" t="s">
        <v>57</v>
      </c>
      <c r="B46" s="1686" t="s">
        <v>58</v>
      </c>
      <c r="C46" s="1711">
        <v>59</v>
      </c>
      <c r="D46" s="1711">
        <v>40</v>
      </c>
      <c r="E46" s="1711">
        <v>12</v>
      </c>
      <c r="F46" s="1711">
        <v>3</v>
      </c>
      <c r="G46" s="1711">
        <v>1</v>
      </c>
      <c r="H46" s="1711" t="s">
        <v>28</v>
      </c>
      <c r="I46" s="1711" t="s">
        <v>28</v>
      </c>
      <c r="J46" s="1713">
        <v>3</v>
      </c>
    </row>
    <row r="47" spans="1:10" s="707" customFormat="1" ht="12" customHeight="1">
      <c r="A47" s="954" t="s">
        <v>136</v>
      </c>
      <c r="B47" s="1691" t="s">
        <v>30</v>
      </c>
      <c r="C47" s="1708">
        <v>59</v>
      </c>
      <c r="D47" s="1708">
        <v>40</v>
      </c>
      <c r="E47" s="1708">
        <v>12</v>
      </c>
      <c r="F47" s="1708">
        <v>3</v>
      </c>
      <c r="G47" s="1708">
        <v>1</v>
      </c>
      <c r="H47" s="1708" t="s">
        <v>28</v>
      </c>
      <c r="I47" s="1708" t="s">
        <v>28</v>
      </c>
      <c r="J47" s="1710">
        <v>3</v>
      </c>
    </row>
    <row r="48" spans="1:10" s="707" customFormat="1" ht="12" customHeight="1">
      <c r="A48" s="954" t="s">
        <v>137</v>
      </c>
      <c r="B48" s="1691" t="s">
        <v>32</v>
      </c>
      <c r="C48" s="1708" t="s">
        <v>28</v>
      </c>
      <c r="D48" s="1708" t="s">
        <v>28</v>
      </c>
      <c r="E48" s="1708" t="s">
        <v>28</v>
      </c>
      <c r="F48" s="1708" t="s">
        <v>28</v>
      </c>
      <c r="G48" s="1708" t="s">
        <v>28</v>
      </c>
      <c r="H48" s="1708" t="s">
        <v>28</v>
      </c>
      <c r="I48" s="1708" t="s">
        <v>28</v>
      </c>
      <c r="J48" s="1710" t="s">
        <v>28</v>
      </c>
    </row>
    <row r="49" spans="1:10" s="706" customFormat="1" ht="12" customHeight="1">
      <c r="A49" s="1685" t="s">
        <v>59</v>
      </c>
      <c r="B49" s="1686" t="s">
        <v>60</v>
      </c>
      <c r="C49" s="1711">
        <v>102</v>
      </c>
      <c r="D49" s="1711">
        <v>66</v>
      </c>
      <c r="E49" s="1711">
        <v>20</v>
      </c>
      <c r="F49" s="1711">
        <v>6</v>
      </c>
      <c r="G49" s="1711">
        <v>2</v>
      </c>
      <c r="H49" s="1711" t="s">
        <v>28</v>
      </c>
      <c r="I49" s="1711" t="s">
        <v>28</v>
      </c>
      <c r="J49" s="1713">
        <v>8</v>
      </c>
    </row>
    <row r="50" spans="1:10" s="707" customFormat="1" ht="12" customHeight="1">
      <c r="A50" s="954" t="s">
        <v>136</v>
      </c>
      <c r="B50" s="1691" t="s">
        <v>30</v>
      </c>
      <c r="C50" s="1708">
        <v>102</v>
      </c>
      <c r="D50" s="1708">
        <v>66</v>
      </c>
      <c r="E50" s="1708">
        <v>20</v>
      </c>
      <c r="F50" s="1708">
        <v>6</v>
      </c>
      <c r="G50" s="1708">
        <v>2</v>
      </c>
      <c r="H50" s="1708" t="s">
        <v>28</v>
      </c>
      <c r="I50" s="1708" t="s">
        <v>28</v>
      </c>
      <c r="J50" s="1710">
        <v>8</v>
      </c>
    </row>
    <row r="51" spans="1:10" s="707" customFormat="1" ht="12" customHeight="1">
      <c r="A51" s="954" t="s">
        <v>137</v>
      </c>
      <c r="B51" s="1691" t="s">
        <v>32</v>
      </c>
      <c r="C51" s="1708" t="s">
        <v>28</v>
      </c>
      <c r="D51" s="1708" t="s">
        <v>28</v>
      </c>
      <c r="E51" s="1708" t="s">
        <v>28</v>
      </c>
      <c r="F51" s="1708" t="s">
        <v>28</v>
      </c>
      <c r="G51" s="1708" t="s">
        <v>28</v>
      </c>
      <c r="H51" s="1708" t="s">
        <v>28</v>
      </c>
      <c r="I51" s="1708" t="s">
        <v>28</v>
      </c>
      <c r="J51" s="1710" t="s">
        <v>28</v>
      </c>
    </row>
    <row r="52" spans="1:10" s="706" customFormat="1" ht="12" customHeight="1">
      <c r="A52" s="1685" t="s">
        <v>61</v>
      </c>
      <c r="B52" s="1686" t="s">
        <v>62</v>
      </c>
      <c r="C52" s="1711">
        <v>55</v>
      </c>
      <c r="D52" s="1711">
        <v>30</v>
      </c>
      <c r="E52" s="1711">
        <v>9</v>
      </c>
      <c r="F52" s="1711">
        <v>1</v>
      </c>
      <c r="G52" s="1711">
        <v>8</v>
      </c>
      <c r="H52" s="1711">
        <v>2</v>
      </c>
      <c r="I52" s="1711" t="s">
        <v>28</v>
      </c>
      <c r="J52" s="1713">
        <v>5</v>
      </c>
    </row>
    <row r="53" spans="1:10" s="707" customFormat="1" ht="12" customHeight="1">
      <c r="A53" s="954" t="s">
        <v>136</v>
      </c>
      <c r="B53" s="1691" t="s">
        <v>30</v>
      </c>
      <c r="C53" s="1708">
        <v>40</v>
      </c>
      <c r="D53" s="1708">
        <v>22</v>
      </c>
      <c r="E53" s="1708">
        <v>7</v>
      </c>
      <c r="F53" s="1708">
        <v>1</v>
      </c>
      <c r="G53" s="1708">
        <v>6</v>
      </c>
      <c r="H53" s="1708" t="s">
        <v>28</v>
      </c>
      <c r="I53" s="1708" t="s">
        <v>28</v>
      </c>
      <c r="J53" s="1710">
        <v>4</v>
      </c>
    </row>
    <row r="54" spans="1:10" s="707" customFormat="1" ht="12" customHeight="1">
      <c r="A54" s="954" t="s">
        <v>137</v>
      </c>
      <c r="B54" s="1691" t="s">
        <v>32</v>
      </c>
      <c r="C54" s="1708">
        <v>15</v>
      </c>
      <c r="D54" s="1708">
        <v>8</v>
      </c>
      <c r="E54" s="1708">
        <v>2</v>
      </c>
      <c r="F54" s="1708" t="s">
        <v>28</v>
      </c>
      <c r="G54" s="1708">
        <v>2</v>
      </c>
      <c r="H54" s="1708">
        <v>2</v>
      </c>
      <c r="I54" s="1708" t="s">
        <v>28</v>
      </c>
      <c r="J54" s="1710">
        <v>1</v>
      </c>
    </row>
    <row r="55" spans="1:10" s="706" customFormat="1" ht="12" customHeight="1">
      <c r="A55" s="1685" t="s">
        <v>63</v>
      </c>
      <c r="B55" s="1686" t="s">
        <v>64</v>
      </c>
      <c r="C55" s="1711">
        <v>1</v>
      </c>
      <c r="D55" s="1711" t="s">
        <v>28</v>
      </c>
      <c r="E55" s="1711" t="s">
        <v>28</v>
      </c>
      <c r="F55" s="1711">
        <v>1</v>
      </c>
      <c r="G55" s="1711" t="s">
        <v>28</v>
      </c>
      <c r="H55" s="1711" t="s">
        <v>28</v>
      </c>
      <c r="I55" s="1711" t="s">
        <v>28</v>
      </c>
      <c r="J55" s="1713" t="s">
        <v>28</v>
      </c>
    </row>
    <row r="56" spans="1:10" s="707" customFormat="1" ht="12" customHeight="1">
      <c r="A56" s="954" t="s">
        <v>136</v>
      </c>
      <c r="B56" s="1691" t="s">
        <v>30</v>
      </c>
      <c r="C56" s="1708">
        <v>1</v>
      </c>
      <c r="D56" s="1708" t="s">
        <v>28</v>
      </c>
      <c r="E56" s="1708" t="s">
        <v>28</v>
      </c>
      <c r="F56" s="1708">
        <v>1</v>
      </c>
      <c r="G56" s="1708" t="s">
        <v>28</v>
      </c>
      <c r="H56" s="1708" t="s">
        <v>28</v>
      </c>
      <c r="I56" s="1708" t="s">
        <v>28</v>
      </c>
      <c r="J56" s="1710" t="s">
        <v>28</v>
      </c>
    </row>
    <row r="57" spans="1:10" s="881" customFormat="1" ht="12" customHeight="1" thickBot="1">
      <c r="A57" s="1696" t="s">
        <v>137</v>
      </c>
      <c r="B57" s="1697" t="s">
        <v>32</v>
      </c>
      <c r="C57" s="1714" t="s">
        <v>28</v>
      </c>
      <c r="D57" s="1714" t="s">
        <v>28</v>
      </c>
      <c r="E57" s="1714" t="s">
        <v>28</v>
      </c>
      <c r="F57" s="1714" t="s">
        <v>28</v>
      </c>
      <c r="G57" s="1714" t="s">
        <v>28</v>
      </c>
      <c r="H57" s="1714" t="s">
        <v>28</v>
      </c>
      <c r="I57" s="1714" t="s">
        <v>28</v>
      </c>
      <c r="J57" s="1716" t="s">
        <v>28</v>
      </c>
    </row>
    <row r="58" spans="1:10" s="710" customFormat="1">
      <c r="A58" s="703"/>
      <c r="B58" s="705"/>
      <c r="C58" s="703"/>
      <c r="D58" s="703"/>
      <c r="E58" s="703"/>
      <c r="F58" s="703"/>
      <c r="G58" s="703"/>
      <c r="H58" s="703"/>
      <c r="I58" s="703"/>
      <c r="J58" s="703"/>
    </row>
  </sheetData>
  <mergeCells count="8">
    <mergeCell ref="A2:J2"/>
    <mergeCell ref="A27:J27"/>
    <mergeCell ref="A6:B6"/>
    <mergeCell ref="A7:B7"/>
    <mergeCell ref="A5:J5"/>
    <mergeCell ref="A3:J3"/>
    <mergeCell ref="A4:J4"/>
    <mergeCell ref="A11:J11"/>
  </mergeCells>
  <phoneticPr fontId="4" type="noConversion"/>
  <hyperlinks>
    <hyperlink ref="A1" location="목록!A1" display="목록!A1" xr:uid="{3261BAC3-616B-4D43-A478-85E337496C86}"/>
  </hyperlinks>
  <pageMargins left="0.59055118110236227" right="0.59055118110236227" top="0.78740157480314965" bottom="0.59055118110236227" header="0.62992125984251968" footer="0.3937007874015748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5"/>
  <dimension ref="A1:S60"/>
  <sheetViews>
    <sheetView showGridLines="0" showWhiteSpace="0" view="pageBreakPreview" zoomScaleNormal="100" zoomScaleSheetLayoutView="100" zoomScalePageLayoutView="115" workbookViewId="0">
      <selection activeCell="A2" sqref="A2:I59"/>
    </sheetView>
  </sheetViews>
  <sheetFormatPr defaultColWidth="8.88671875" defaultRowHeight="16.5"/>
  <cols>
    <col min="1" max="1" width="5.88671875" style="728" customWidth="1"/>
    <col min="2" max="2" width="8.5546875" style="731" customWidth="1"/>
    <col min="3" max="7" width="9" style="728" customWidth="1"/>
    <col min="8" max="8" width="8.5546875" style="728" customWidth="1"/>
    <col min="9" max="9" width="10.5546875" style="728" customWidth="1"/>
    <col min="10" max="16384" width="8.88671875" style="728"/>
  </cols>
  <sheetData>
    <row r="1" spans="1:19" ht="22.5">
      <c r="A1" s="901" t="s">
        <v>1332</v>
      </c>
    </row>
    <row r="2" spans="1:19" s="727" customFormat="1" ht="13.5" customHeight="1">
      <c r="A2" s="2158" t="s">
        <v>1197</v>
      </c>
      <c r="B2" s="2158"/>
      <c r="C2" s="2158"/>
      <c r="D2" s="2158"/>
      <c r="E2" s="2158"/>
      <c r="F2" s="2158"/>
      <c r="G2" s="2158"/>
      <c r="H2" s="2158"/>
      <c r="I2" s="2158"/>
    </row>
    <row r="3" spans="1:19" ht="22.5" customHeight="1">
      <c r="A3" s="2159" t="s">
        <v>894</v>
      </c>
      <c r="B3" s="2159"/>
      <c r="C3" s="2159"/>
      <c r="D3" s="2159"/>
      <c r="E3" s="2159"/>
      <c r="F3" s="2159"/>
      <c r="G3" s="2159"/>
      <c r="H3" s="2159"/>
      <c r="I3" s="2159"/>
      <c r="J3" s="798"/>
      <c r="K3" s="798"/>
      <c r="L3" s="798"/>
      <c r="M3" s="798"/>
      <c r="N3" s="798"/>
      <c r="O3" s="798"/>
      <c r="P3" s="798"/>
      <c r="Q3" s="798"/>
      <c r="R3" s="798"/>
      <c r="S3" s="798"/>
    </row>
    <row r="4" spans="1:19" ht="22.5" customHeight="1">
      <c r="A4" s="2160" t="s">
        <v>318</v>
      </c>
      <c r="B4" s="2160"/>
      <c r="C4" s="2160"/>
      <c r="D4" s="2160"/>
      <c r="E4" s="2160"/>
      <c r="F4" s="2160"/>
      <c r="G4" s="2160"/>
      <c r="H4" s="2160"/>
      <c r="I4" s="2160"/>
    </row>
    <row r="5" spans="1:19" s="729" customFormat="1" ht="13.5" customHeight="1" thickBot="1">
      <c r="A5" s="2161" t="s">
        <v>1469</v>
      </c>
      <c r="B5" s="2161"/>
      <c r="C5" s="2161"/>
      <c r="D5" s="2161"/>
      <c r="E5" s="2161"/>
      <c r="F5" s="2161"/>
      <c r="G5" s="2161"/>
      <c r="H5" s="2161"/>
      <c r="I5" s="2161"/>
    </row>
    <row r="6" spans="1:19" s="730" customFormat="1" ht="15" customHeight="1">
      <c r="A6" s="2162" t="s">
        <v>2</v>
      </c>
      <c r="B6" s="2163"/>
      <c r="C6" s="2164" t="s">
        <v>319</v>
      </c>
      <c r="D6" s="2163"/>
      <c r="E6" s="2165" t="s">
        <v>320</v>
      </c>
      <c r="F6" s="2162" t="s">
        <v>148</v>
      </c>
      <c r="G6" s="2162"/>
      <c r="H6" s="2162"/>
      <c r="I6" s="2162"/>
    </row>
    <row r="7" spans="1:19" s="731" customFormat="1" ht="12.95" customHeight="1">
      <c r="A7" s="2166" t="s">
        <v>7</v>
      </c>
      <c r="B7" s="2167"/>
      <c r="C7" s="1314" t="s">
        <v>321</v>
      </c>
      <c r="D7" s="1315"/>
      <c r="E7" s="2168" t="s">
        <v>322</v>
      </c>
      <c r="F7" s="2169" t="s">
        <v>150</v>
      </c>
      <c r="G7" s="2169"/>
      <c r="H7" s="2169"/>
      <c r="I7" s="2169"/>
    </row>
    <row r="8" spans="1:19" s="732" customFormat="1" ht="26.1" customHeight="1">
      <c r="A8" s="1313"/>
      <c r="B8" s="2170"/>
      <c r="C8" s="2171" t="s">
        <v>815</v>
      </c>
      <c r="D8" s="2171" t="s">
        <v>816</v>
      </c>
      <c r="E8" s="2172" t="s">
        <v>782</v>
      </c>
      <c r="F8" s="2171" t="s">
        <v>783</v>
      </c>
      <c r="G8" s="2171" t="s">
        <v>784</v>
      </c>
      <c r="H8" s="2171" t="s">
        <v>785</v>
      </c>
      <c r="I8" s="960" t="s">
        <v>817</v>
      </c>
    </row>
    <row r="9" spans="1:19" s="731" customFormat="1" ht="23.1" customHeight="1">
      <c r="A9" s="2169"/>
      <c r="B9" s="1315"/>
      <c r="C9" s="961" t="s">
        <v>787</v>
      </c>
      <c r="D9" s="961" t="s">
        <v>786</v>
      </c>
      <c r="E9" s="2168" t="s">
        <v>326</v>
      </c>
      <c r="F9" s="961" t="s">
        <v>323</v>
      </c>
      <c r="G9" s="961" t="s">
        <v>324</v>
      </c>
      <c r="H9" s="961" t="s">
        <v>325</v>
      </c>
      <c r="I9" s="2173" t="s">
        <v>788</v>
      </c>
    </row>
    <row r="10" spans="1:19" s="734" customFormat="1" ht="11.45" customHeight="1">
      <c r="A10" s="1815" t="s">
        <v>27</v>
      </c>
      <c r="B10" s="1767" t="s">
        <v>16</v>
      </c>
      <c r="C10" s="1723">
        <v>49641234</v>
      </c>
      <c r="D10" s="1723">
        <v>392950</v>
      </c>
      <c r="E10" s="1729">
        <v>855758</v>
      </c>
      <c r="F10" s="1723">
        <v>3611845</v>
      </c>
      <c r="G10" s="1723">
        <v>3810</v>
      </c>
      <c r="H10" s="1723" t="s">
        <v>28</v>
      </c>
      <c r="I10" s="1730">
        <v>2724523</v>
      </c>
    </row>
    <row r="11" spans="1:19" s="735" customFormat="1" ht="11.45" customHeight="1">
      <c r="A11" s="1816" t="s">
        <v>136</v>
      </c>
      <c r="B11" s="1779" t="s">
        <v>30</v>
      </c>
      <c r="C11" s="1732">
        <v>47229559</v>
      </c>
      <c r="D11" s="1732">
        <v>353157</v>
      </c>
      <c r="E11" s="1738">
        <v>831205</v>
      </c>
      <c r="F11" s="1732">
        <v>3588435</v>
      </c>
      <c r="G11" s="1732">
        <v>3193</v>
      </c>
      <c r="H11" s="1732" t="s">
        <v>28</v>
      </c>
      <c r="I11" s="712">
        <v>2693668</v>
      </c>
    </row>
    <row r="12" spans="1:19" s="736" customFormat="1" ht="11.45" customHeight="1" thickBot="1">
      <c r="A12" s="1789" t="s">
        <v>137</v>
      </c>
      <c r="B12" s="1790" t="s">
        <v>32</v>
      </c>
      <c r="C12" s="1740">
        <v>2411675</v>
      </c>
      <c r="D12" s="1740">
        <v>39793</v>
      </c>
      <c r="E12" s="1746">
        <v>24553</v>
      </c>
      <c r="F12" s="1740">
        <v>23410</v>
      </c>
      <c r="G12" s="1740">
        <v>617</v>
      </c>
      <c r="H12" s="1740" t="s">
        <v>28</v>
      </c>
      <c r="I12" s="1747">
        <v>30855</v>
      </c>
    </row>
    <row r="13" spans="1:19" s="737" customFormat="1" ht="12.95" customHeight="1" thickBot="1">
      <c r="A13" s="1313" t="s">
        <v>437</v>
      </c>
      <c r="B13" s="1313"/>
      <c r="C13" s="1313"/>
      <c r="D13" s="1313"/>
      <c r="E13" s="1313"/>
      <c r="F13" s="1313"/>
      <c r="G13" s="1313"/>
      <c r="H13" s="1313"/>
      <c r="I13" s="1313"/>
    </row>
    <row r="14" spans="1:19" s="734" customFormat="1" ht="11.45" customHeight="1">
      <c r="A14" s="1799" t="s">
        <v>35</v>
      </c>
      <c r="B14" s="1800" t="s">
        <v>36</v>
      </c>
      <c r="C14" s="1749">
        <v>8650984</v>
      </c>
      <c r="D14" s="1749">
        <v>40535</v>
      </c>
      <c r="E14" s="1749">
        <v>143048</v>
      </c>
      <c r="F14" s="1749">
        <v>575839</v>
      </c>
      <c r="G14" s="1749">
        <v>400</v>
      </c>
      <c r="H14" s="1749" t="s">
        <v>28</v>
      </c>
      <c r="I14" s="1752">
        <v>649638</v>
      </c>
    </row>
    <row r="15" spans="1:19" s="735" customFormat="1" ht="11.45" customHeight="1">
      <c r="A15" s="1816" t="s">
        <v>136</v>
      </c>
      <c r="B15" s="1779" t="s">
        <v>30</v>
      </c>
      <c r="C15" s="1732">
        <v>7055637</v>
      </c>
      <c r="D15" s="1732">
        <v>40535</v>
      </c>
      <c r="E15" s="1732">
        <v>129082</v>
      </c>
      <c r="F15" s="1732">
        <v>568217</v>
      </c>
      <c r="G15" s="1732" t="s">
        <v>28</v>
      </c>
      <c r="H15" s="1732" t="s">
        <v>28</v>
      </c>
      <c r="I15" s="1754">
        <v>649638</v>
      </c>
    </row>
    <row r="16" spans="1:19" s="735" customFormat="1" ht="11.45" customHeight="1">
      <c r="A16" s="1816" t="s">
        <v>137</v>
      </c>
      <c r="B16" s="1779" t="s">
        <v>32</v>
      </c>
      <c r="C16" s="1732">
        <v>1595347</v>
      </c>
      <c r="D16" s="1732" t="s">
        <v>28</v>
      </c>
      <c r="E16" s="1732">
        <v>13966</v>
      </c>
      <c r="F16" s="1732">
        <v>7622</v>
      </c>
      <c r="G16" s="1732">
        <v>400</v>
      </c>
      <c r="H16" s="1732" t="s">
        <v>28</v>
      </c>
      <c r="I16" s="1754" t="s">
        <v>28</v>
      </c>
    </row>
    <row r="17" spans="1:9" s="734" customFormat="1" ht="11.45" customHeight="1">
      <c r="A17" s="1815" t="s">
        <v>37</v>
      </c>
      <c r="B17" s="1767" t="s">
        <v>38</v>
      </c>
      <c r="C17" s="1723">
        <v>13066198</v>
      </c>
      <c r="D17" s="1723">
        <v>81093</v>
      </c>
      <c r="E17" s="1723">
        <v>217602</v>
      </c>
      <c r="F17" s="1723">
        <v>989193</v>
      </c>
      <c r="G17" s="1723" t="s">
        <v>28</v>
      </c>
      <c r="H17" s="1723" t="s">
        <v>28</v>
      </c>
      <c r="I17" s="1756">
        <v>682663</v>
      </c>
    </row>
    <row r="18" spans="1:9" s="735" customFormat="1" ht="11.45" customHeight="1">
      <c r="A18" s="1816" t="s">
        <v>136</v>
      </c>
      <c r="B18" s="1779" t="s">
        <v>30</v>
      </c>
      <c r="C18" s="1732">
        <v>13066198</v>
      </c>
      <c r="D18" s="1732">
        <v>81093</v>
      </c>
      <c r="E18" s="1732">
        <v>217602</v>
      </c>
      <c r="F18" s="1732">
        <v>989193</v>
      </c>
      <c r="G18" s="1732" t="s">
        <v>28</v>
      </c>
      <c r="H18" s="1732" t="s">
        <v>28</v>
      </c>
      <c r="I18" s="1754">
        <v>682663</v>
      </c>
    </row>
    <row r="19" spans="1:9" s="735" customFormat="1" ht="11.45" customHeight="1">
      <c r="A19" s="1816" t="s">
        <v>137</v>
      </c>
      <c r="B19" s="1779" t="s">
        <v>32</v>
      </c>
      <c r="C19" s="1732" t="s">
        <v>28</v>
      </c>
      <c r="D19" s="1732" t="s">
        <v>28</v>
      </c>
      <c r="E19" s="1732" t="s">
        <v>28</v>
      </c>
      <c r="F19" s="1732" t="s">
        <v>28</v>
      </c>
      <c r="G19" s="1732" t="s">
        <v>28</v>
      </c>
      <c r="H19" s="1732" t="s">
        <v>28</v>
      </c>
      <c r="I19" s="1754" t="s">
        <v>28</v>
      </c>
    </row>
    <row r="20" spans="1:9" s="734" customFormat="1" ht="11.45" customHeight="1">
      <c r="A20" s="1815" t="s">
        <v>39</v>
      </c>
      <c r="B20" s="1767" t="s">
        <v>40</v>
      </c>
      <c r="C20" s="1723">
        <v>16094189</v>
      </c>
      <c r="D20" s="1723">
        <v>35784</v>
      </c>
      <c r="E20" s="1723">
        <v>280711</v>
      </c>
      <c r="F20" s="1723">
        <v>1116209</v>
      </c>
      <c r="G20" s="1723">
        <v>193</v>
      </c>
      <c r="H20" s="1723" t="s">
        <v>28</v>
      </c>
      <c r="I20" s="1756">
        <v>413186</v>
      </c>
    </row>
    <row r="21" spans="1:9" s="735" customFormat="1" ht="11.45" customHeight="1">
      <c r="A21" s="1816" t="s">
        <v>136</v>
      </c>
      <c r="B21" s="1779" t="s">
        <v>30</v>
      </c>
      <c r="C21" s="1732">
        <v>15669628</v>
      </c>
      <c r="D21" s="1732">
        <v>35784</v>
      </c>
      <c r="E21" s="1732">
        <v>275741</v>
      </c>
      <c r="F21" s="1732">
        <v>1102316</v>
      </c>
      <c r="G21" s="1732">
        <v>193</v>
      </c>
      <c r="H21" s="1732" t="s">
        <v>28</v>
      </c>
      <c r="I21" s="1754">
        <v>382331</v>
      </c>
    </row>
    <row r="22" spans="1:9" s="735" customFormat="1" ht="11.45" customHeight="1">
      <c r="A22" s="1816" t="s">
        <v>137</v>
      </c>
      <c r="B22" s="1779" t="s">
        <v>32</v>
      </c>
      <c r="C22" s="1732">
        <v>424561</v>
      </c>
      <c r="D22" s="1732" t="s">
        <v>28</v>
      </c>
      <c r="E22" s="1732">
        <v>4970</v>
      </c>
      <c r="F22" s="1732">
        <v>13893</v>
      </c>
      <c r="G22" s="1732" t="s">
        <v>28</v>
      </c>
      <c r="H22" s="1732" t="s">
        <v>28</v>
      </c>
      <c r="I22" s="1754">
        <v>30855</v>
      </c>
    </row>
    <row r="23" spans="1:9" s="734" customFormat="1" ht="11.45" customHeight="1">
      <c r="A23" s="1815" t="s">
        <v>41</v>
      </c>
      <c r="B23" s="1767" t="s">
        <v>42</v>
      </c>
      <c r="C23" s="1723">
        <v>10437999</v>
      </c>
      <c r="D23" s="1723">
        <v>152385</v>
      </c>
      <c r="E23" s="1723">
        <v>191266</v>
      </c>
      <c r="F23" s="1723">
        <v>853415</v>
      </c>
      <c r="G23" s="1723" t="s">
        <v>28</v>
      </c>
      <c r="H23" s="1723" t="s">
        <v>28</v>
      </c>
      <c r="I23" s="1756">
        <v>895055</v>
      </c>
    </row>
    <row r="24" spans="1:9" s="735" customFormat="1" ht="11.45" customHeight="1">
      <c r="A24" s="1816" t="s">
        <v>136</v>
      </c>
      <c r="B24" s="1779" t="s">
        <v>30</v>
      </c>
      <c r="C24" s="1732">
        <v>10437999</v>
      </c>
      <c r="D24" s="1732">
        <v>152385</v>
      </c>
      <c r="E24" s="1732">
        <v>191266</v>
      </c>
      <c r="F24" s="1732">
        <v>853415</v>
      </c>
      <c r="G24" s="1732" t="s">
        <v>28</v>
      </c>
      <c r="H24" s="1732" t="s">
        <v>28</v>
      </c>
      <c r="I24" s="1754">
        <v>895055</v>
      </c>
    </row>
    <row r="25" spans="1:9" s="735" customFormat="1" ht="11.45" customHeight="1">
      <c r="A25" s="1816" t="s">
        <v>137</v>
      </c>
      <c r="B25" s="1779" t="s">
        <v>32</v>
      </c>
      <c r="C25" s="1732" t="s">
        <v>28</v>
      </c>
      <c r="D25" s="1732" t="s">
        <v>28</v>
      </c>
      <c r="E25" s="1732" t="s">
        <v>28</v>
      </c>
      <c r="F25" s="1732" t="s">
        <v>28</v>
      </c>
      <c r="G25" s="1732" t="s">
        <v>28</v>
      </c>
      <c r="H25" s="1732" t="s">
        <v>28</v>
      </c>
      <c r="I25" s="1754" t="s">
        <v>28</v>
      </c>
    </row>
    <row r="26" spans="1:9" s="734" customFormat="1" ht="11.45" customHeight="1">
      <c r="A26" s="1815" t="s">
        <v>43</v>
      </c>
      <c r="B26" s="1767" t="s">
        <v>44</v>
      </c>
      <c r="C26" s="1723">
        <v>1391864</v>
      </c>
      <c r="D26" s="1723">
        <v>83153</v>
      </c>
      <c r="E26" s="1723">
        <v>23131</v>
      </c>
      <c r="F26" s="1723">
        <v>77189</v>
      </c>
      <c r="G26" s="1723">
        <v>3217</v>
      </c>
      <c r="H26" s="1723" t="s">
        <v>28</v>
      </c>
      <c r="I26" s="1756">
        <v>83981</v>
      </c>
    </row>
    <row r="27" spans="1:9" s="735" customFormat="1" ht="11.45" customHeight="1">
      <c r="A27" s="1816" t="s">
        <v>136</v>
      </c>
      <c r="B27" s="1779" t="s">
        <v>30</v>
      </c>
      <c r="C27" s="1732">
        <v>1000097</v>
      </c>
      <c r="D27" s="1732">
        <v>43360</v>
      </c>
      <c r="E27" s="1732">
        <v>17514</v>
      </c>
      <c r="F27" s="1732">
        <v>75294</v>
      </c>
      <c r="G27" s="1732">
        <v>3000</v>
      </c>
      <c r="H27" s="1732" t="s">
        <v>28</v>
      </c>
      <c r="I27" s="1754">
        <v>83981</v>
      </c>
    </row>
    <row r="28" spans="1:9" s="736" customFormat="1" ht="11.45" customHeight="1" thickBot="1">
      <c r="A28" s="1789" t="s">
        <v>137</v>
      </c>
      <c r="B28" s="1790" t="s">
        <v>32</v>
      </c>
      <c r="C28" s="1740">
        <v>391767</v>
      </c>
      <c r="D28" s="1740">
        <v>39793</v>
      </c>
      <c r="E28" s="1740">
        <v>5617</v>
      </c>
      <c r="F28" s="1740">
        <v>1895</v>
      </c>
      <c r="G28" s="1740">
        <v>217</v>
      </c>
      <c r="H28" s="1740" t="s">
        <v>28</v>
      </c>
      <c r="I28" s="1758" t="s">
        <v>28</v>
      </c>
    </row>
    <row r="29" spans="1:9" s="737" customFormat="1" ht="12.95" customHeight="1" thickBot="1">
      <c r="A29" s="1313" t="s">
        <v>88</v>
      </c>
      <c r="B29" s="1313"/>
      <c r="C29" s="1313"/>
      <c r="D29" s="1313"/>
      <c r="E29" s="1313"/>
      <c r="F29" s="1313"/>
      <c r="G29" s="1313"/>
      <c r="H29" s="1313"/>
      <c r="I29" s="1313"/>
    </row>
    <row r="30" spans="1:9" s="734" customFormat="1" ht="11.45" customHeight="1">
      <c r="A30" s="1799" t="s">
        <v>47</v>
      </c>
      <c r="B30" s="1800" t="s">
        <v>48</v>
      </c>
      <c r="C30" s="1749">
        <v>3547690</v>
      </c>
      <c r="D30" s="1749">
        <v>1</v>
      </c>
      <c r="E30" s="1749">
        <v>50489</v>
      </c>
      <c r="F30" s="1749">
        <v>220474</v>
      </c>
      <c r="G30" s="1749" t="s">
        <v>28</v>
      </c>
      <c r="H30" s="1749" t="s">
        <v>28</v>
      </c>
      <c r="I30" s="2174">
        <v>619847</v>
      </c>
    </row>
    <row r="31" spans="1:9" s="735" customFormat="1" ht="11.45" customHeight="1">
      <c r="A31" s="1816" t="s">
        <v>136</v>
      </c>
      <c r="B31" s="1779" t="s">
        <v>30</v>
      </c>
      <c r="C31" s="1732">
        <v>2493676</v>
      </c>
      <c r="D31" s="1732">
        <v>1</v>
      </c>
      <c r="E31" s="1732">
        <v>42914</v>
      </c>
      <c r="F31" s="1732">
        <v>212852</v>
      </c>
      <c r="G31" s="1732" t="s">
        <v>28</v>
      </c>
      <c r="H31" s="1732" t="s">
        <v>28</v>
      </c>
      <c r="I31" s="712">
        <v>619847</v>
      </c>
    </row>
    <row r="32" spans="1:9" s="735" customFormat="1" ht="11.45" customHeight="1">
      <c r="A32" s="1816" t="s">
        <v>137</v>
      </c>
      <c r="B32" s="1779" t="s">
        <v>32</v>
      </c>
      <c r="C32" s="1732">
        <v>1054014</v>
      </c>
      <c r="D32" s="1732" t="s">
        <v>28</v>
      </c>
      <c r="E32" s="1732">
        <v>7575</v>
      </c>
      <c r="F32" s="1732">
        <v>7622</v>
      </c>
      <c r="G32" s="1732" t="s">
        <v>28</v>
      </c>
      <c r="H32" s="1732" t="s">
        <v>28</v>
      </c>
      <c r="I32" s="712" t="s">
        <v>28</v>
      </c>
    </row>
    <row r="33" spans="1:9" s="734" customFormat="1" ht="11.45" customHeight="1">
      <c r="A33" s="1815" t="s">
        <v>49</v>
      </c>
      <c r="B33" s="1767" t="s">
        <v>50</v>
      </c>
      <c r="C33" s="1723">
        <v>900620</v>
      </c>
      <c r="D33" s="1723" t="s">
        <v>28</v>
      </c>
      <c r="E33" s="1723">
        <v>11372</v>
      </c>
      <c r="F33" s="1723">
        <v>34226</v>
      </c>
      <c r="G33" s="1723" t="s">
        <v>28</v>
      </c>
      <c r="H33" s="1723" t="s">
        <v>28</v>
      </c>
      <c r="I33" s="1730" t="s">
        <v>28</v>
      </c>
    </row>
    <row r="34" spans="1:9" s="735" customFormat="1" ht="11.45" customHeight="1">
      <c r="A34" s="1816" t="s">
        <v>136</v>
      </c>
      <c r="B34" s="1779" t="s">
        <v>30</v>
      </c>
      <c r="C34" s="1732">
        <v>359287</v>
      </c>
      <c r="D34" s="1732" t="s">
        <v>28</v>
      </c>
      <c r="E34" s="1732">
        <v>4981</v>
      </c>
      <c r="F34" s="1732">
        <v>34226</v>
      </c>
      <c r="G34" s="1732" t="s">
        <v>28</v>
      </c>
      <c r="H34" s="1732" t="s">
        <v>28</v>
      </c>
      <c r="I34" s="712" t="s">
        <v>28</v>
      </c>
    </row>
    <row r="35" spans="1:9" s="735" customFormat="1" ht="11.45" customHeight="1">
      <c r="A35" s="1816" t="s">
        <v>137</v>
      </c>
      <c r="B35" s="1779" t="s">
        <v>32</v>
      </c>
      <c r="C35" s="1732">
        <v>541333</v>
      </c>
      <c r="D35" s="1732" t="s">
        <v>28</v>
      </c>
      <c r="E35" s="1732">
        <v>6391</v>
      </c>
      <c r="F35" s="1732" t="s">
        <v>28</v>
      </c>
      <c r="G35" s="1732" t="s">
        <v>28</v>
      </c>
      <c r="H35" s="1732" t="s">
        <v>28</v>
      </c>
      <c r="I35" s="712" t="s">
        <v>28</v>
      </c>
    </row>
    <row r="36" spans="1:9" s="734" customFormat="1" ht="11.45" customHeight="1">
      <c r="A36" s="2175" t="s">
        <v>963</v>
      </c>
      <c r="B36" s="1767" t="s">
        <v>964</v>
      </c>
      <c r="C36" s="1723">
        <v>4202674</v>
      </c>
      <c r="D36" s="1723">
        <v>40534</v>
      </c>
      <c r="E36" s="1723">
        <v>81187</v>
      </c>
      <c r="F36" s="1723">
        <v>321139</v>
      </c>
      <c r="G36" s="1723">
        <v>400</v>
      </c>
      <c r="H36" s="1723" t="s">
        <v>28</v>
      </c>
      <c r="I36" s="1730">
        <v>29791</v>
      </c>
    </row>
    <row r="37" spans="1:9" s="735" customFormat="1" ht="11.45" customHeight="1">
      <c r="A37" s="1816" t="s">
        <v>136</v>
      </c>
      <c r="B37" s="1779" t="s">
        <v>30</v>
      </c>
      <c r="C37" s="1732">
        <v>4202674</v>
      </c>
      <c r="D37" s="1732">
        <v>40534</v>
      </c>
      <c r="E37" s="1732">
        <v>81187</v>
      </c>
      <c r="F37" s="1732">
        <v>321139</v>
      </c>
      <c r="G37" s="1732" t="s">
        <v>28</v>
      </c>
      <c r="H37" s="1732" t="s">
        <v>28</v>
      </c>
      <c r="I37" s="712">
        <v>29791</v>
      </c>
    </row>
    <row r="38" spans="1:9" s="735" customFormat="1" ht="11.45" customHeight="1">
      <c r="A38" s="1816" t="s">
        <v>137</v>
      </c>
      <c r="B38" s="1779" t="s">
        <v>32</v>
      </c>
      <c r="C38" s="1732" t="s">
        <v>28</v>
      </c>
      <c r="D38" s="1732" t="s">
        <v>28</v>
      </c>
      <c r="E38" s="1732" t="s">
        <v>28</v>
      </c>
      <c r="F38" s="1732" t="s">
        <v>28</v>
      </c>
      <c r="G38" s="1732">
        <v>400</v>
      </c>
      <c r="H38" s="1732" t="s">
        <v>28</v>
      </c>
      <c r="I38" s="712" t="s">
        <v>28</v>
      </c>
    </row>
    <row r="39" spans="1:9" s="734" customFormat="1" ht="11.45" customHeight="1">
      <c r="A39" s="1815" t="s">
        <v>51</v>
      </c>
      <c r="B39" s="1767" t="s">
        <v>52</v>
      </c>
      <c r="C39" s="1723">
        <v>7459129</v>
      </c>
      <c r="D39" s="1723">
        <v>17171</v>
      </c>
      <c r="E39" s="1723">
        <v>136899</v>
      </c>
      <c r="F39" s="1723">
        <v>596557</v>
      </c>
      <c r="G39" s="1723" t="s">
        <v>28</v>
      </c>
      <c r="H39" s="1723" t="s">
        <v>28</v>
      </c>
      <c r="I39" s="1730">
        <v>253983</v>
      </c>
    </row>
    <row r="40" spans="1:9" s="735" customFormat="1" ht="11.45" customHeight="1">
      <c r="A40" s="1816" t="s">
        <v>136</v>
      </c>
      <c r="B40" s="1779" t="s">
        <v>30</v>
      </c>
      <c r="C40" s="1732">
        <v>7034568</v>
      </c>
      <c r="D40" s="1732">
        <v>17171</v>
      </c>
      <c r="E40" s="1732">
        <v>131929</v>
      </c>
      <c r="F40" s="1732">
        <v>582664</v>
      </c>
      <c r="G40" s="1732" t="s">
        <v>28</v>
      </c>
      <c r="H40" s="1732" t="s">
        <v>28</v>
      </c>
      <c r="I40" s="712">
        <v>223128</v>
      </c>
    </row>
    <row r="41" spans="1:9" s="735" customFormat="1" ht="11.45" customHeight="1">
      <c r="A41" s="1816" t="s">
        <v>137</v>
      </c>
      <c r="B41" s="1779" t="s">
        <v>32</v>
      </c>
      <c r="C41" s="1732">
        <v>424561</v>
      </c>
      <c r="D41" s="1732" t="s">
        <v>28</v>
      </c>
      <c r="E41" s="1732">
        <v>4970</v>
      </c>
      <c r="F41" s="1732">
        <v>13893</v>
      </c>
      <c r="G41" s="1732" t="s">
        <v>28</v>
      </c>
      <c r="H41" s="1732" t="s">
        <v>28</v>
      </c>
      <c r="I41" s="712">
        <v>30855</v>
      </c>
    </row>
    <row r="42" spans="1:9" s="734" customFormat="1" ht="11.45" customHeight="1">
      <c r="A42" s="1815" t="s">
        <v>53</v>
      </c>
      <c r="B42" s="1767" t="s">
        <v>54</v>
      </c>
      <c r="C42" s="1723">
        <v>8635060</v>
      </c>
      <c r="D42" s="1723">
        <v>18613</v>
      </c>
      <c r="E42" s="1723">
        <v>143812</v>
      </c>
      <c r="F42" s="1723">
        <v>519652</v>
      </c>
      <c r="G42" s="1723">
        <v>193</v>
      </c>
      <c r="H42" s="1723" t="s">
        <v>28</v>
      </c>
      <c r="I42" s="1730">
        <v>159203</v>
      </c>
    </row>
    <row r="43" spans="1:9" s="735" customFormat="1" ht="11.45" customHeight="1">
      <c r="A43" s="1816" t="s">
        <v>136</v>
      </c>
      <c r="B43" s="1779" t="s">
        <v>30</v>
      </c>
      <c r="C43" s="1732">
        <v>8635060</v>
      </c>
      <c r="D43" s="1732">
        <v>18613</v>
      </c>
      <c r="E43" s="1732">
        <v>143812</v>
      </c>
      <c r="F43" s="1732">
        <v>519652</v>
      </c>
      <c r="G43" s="1732">
        <v>193</v>
      </c>
      <c r="H43" s="1732" t="s">
        <v>28</v>
      </c>
      <c r="I43" s="712">
        <v>159203</v>
      </c>
    </row>
    <row r="44" spans="1:9" s="735" customFormat="1" ht="11.45" customHeight="1">
      <c r="A44" s="1816" t="s">
        <v>137</v>
      </c>
      <c r="B44" s="1779" t="s">
        <v>32</v>
      </c>
      <c r="C44" s="1732" t="s">
        <v>28</v>
      </c>
      <c r="D44" s="1732" t="s">
        <v>28</v>
      </c>
      <c r="E44" s="1732" t="s">
        <v>28</v>
      </c>
      <c r="F44" s="1732" t="s">
        <v>28</v>
      </c>
      <c r="G44" s="1732" t="s">
        <v>28</v>
      </c>
      <c r="H44" s="1732" t="s">
        <v>28</v>
      </c>
      <c r="I44" s="712" t="s">
        <v>28</v>
      </c>
    </row>
    <row r="45" spans="1:9" s="734" customFormat="1" ht="11.45" customHeight="1">
      <c r="A45" s="1815" t="s">
        <v>55</v>
      </c>
      <c r="B45" s="1767" t="s">
        <v>56</v>
      </c>
      <c r="C45" s="1723">
        <v>7578674</v>
      </c>
      <c r="D45" s="1723">
        <v>55512</v>
      </c>
      <c r="E45" s="1723">
        <v>138238</v>
      </c>
      <c r="F45" s="1723">
        <v>665218</v>
      </c>
      <c r="G45" s="1723" t="s">
        <v>28</v>
      </c>
      <c r="H45" s="1723" t="s">
        <v>28</v>
      </c>
      <c r="I45" s="1730">
        <v>134636</v>
      </c>
    </row>
    <row r="46" spans="1:9" s="735" customFormat="1" ht="11.45" customHeight="1">
      <c r="A46" s="1816" t="s">
        <v>136</v>
      </c>
      <c r="B46" s="1779" t="s">
        <v>30</v>
      </c>
      <c r="C46" s="1732">
        <v>7578674</v>
      </c>
      <c r="D46" s="1732">
        <v>55512</v>
      </c>
      <c r="E46" s="1732">
        <v>138238</v>
      </c>
      <c r="F46" s="1732">
        <v>665218</v>
      </c>
      <c r="G46" s="1732" t="s">
        <v>28</v>
      </c>
      <c r="H46" s="1732" t="s">
        <v>28</v>
      </c>
      <c r="I46" s="712">
        <v>134636</v>
      </c>
    </row>
    <row r="47" spans="1:9" s="735" customFormat="1" ht="11.45" customHeight="1">
      <c r="A47" s="1816" t="s">
        <v>137</v>
      </c>
      <c r="B47" s="1779" t="s">
        <v>32</v>
      </c>
      <c r="C47" s="1732" t="s">
        <v>28</v>
      </c>
      <c r="D47" s="1732" t="s">
        <v>28</v>
      </c>
      <c r="E47" s="1732" t="s">
        <v>28</v>
      </c>
      <c r="F47" s="1732" t="s">
        <v>28</v>
      </c>
      <c r="G47" s="1732" t="s">
        <v>28</v>
      </c>
      <c r="H47" s="1732" t="s">
        <v>28</v>
      </c>
      <c r="I47" s="712" t="s">
        <v>28</v>
      </c>
    </row>
    <row r="48" spans="1:9" s="734" customFormat="1" ht="11.45" customHeight="1">
      <c r="A48" s="1815" t="s">
        <v>57</v>
      </c>
      <c r="B48" s="1767" t="s">
        <v>58</v>
      </c>
      <c r="C48" s="1723">
        <v>5487524</v>
      </c>
      <c r="D48" s="1723">
        <v>25581</v>
      </c>
      <c r="E48" s="1723">
        <v>79364</v>
      </c>
      <c r="F48" s="1723">
        <v>323975</v>
      </c>
      <c r="G48" s="1723" t="s">
        <v>28</v>
      </c>
      <c r="H48" s="1723" t="s">
        <v>28</v>
      </c>
      <c r="I48" s="1730">
        <v>548027</v>
      </c>
    </row>
    <row r="49" spans="1:9" s="735" customFormat="1" ht="11.45" customHeight="1">
      <c r="A49" s="1816" t="s">
        <v>136</v>
      </c>
      <c r="B49" s="1779" t="s">
        <v>30</v>
      </c>
      <c r="C49" s="1732">
        <v>5487524</v>
      </c>
      <c r="D49" s="1732">
        <v>25581</v>
      </c>
      <c r="E49" s="1732">
        <v>79364</v>
      </c>
      <c r="F49" s="1732">
        <v>323975</v>
      </c>
      <c r="G49" s="1732" t="s">
        <v>28</v>
      </c>
      <c r="H49" s="1732" t="s">
        <v>28</v>
      </c>
      <c r="I49" s="712">
        <v>548027</v>
      </c>
    </row>
    <row r="50" spans="1:9" s="735" customFormat="1" ht="11.45" customHeight="1">
      <c r="A50" s="1816" t="s">
        <v>137</v>
      </c>
      <c r="B50" s="1779" t="s">
        <v>32</v>
      </c>
      <c r="C50" s="1732" t="s">
        <v>28</v>
      </c>
      <c r="D50" s="1732" t="s">
        <v>28</v>
      </c>
      <c r="E50" s="1732" t="s">
        <v>28</v>
      </c>
      <c r="F50" s="1732" t="s">
        <v>28</v>
      </c>
      <c r="G50" s="1732" t="s">
        <v>28</v>
      </c>
      <c r="H50" s="1732" t="s">
        <v>28</v>
      </c>
      <c r="I50" s="712" t="s">
        <v>28</v>
      </c>
    </row>
    <row r="51" spans="1:9" s="734" customFormat="1" ht="11.45" customHeight="1">
      <c r="A51" s="1815" t="s">
        <v>59</v>
      </c>
      <c r="B51" s="1767" t="s">
        <v>60</v>
      </c>
      <c r="C51" s="1723">
        <v>10437999</v>
      </c>
      <c r="D51" s="1723">
        <v>152385</v>
      </c>
      <c r="E51" s="1723">
        <v>191266</v>
      </c>
      <c r="F51" s="1723">
        <v>853415</v>
      </c>
      <c r="G51" s="1723" t="s">
        <v>28</v>
      </c>
      <c r="H51" s="1723" t="s">
        <v>28</v>
      </c>
      <c r="I51" s="1730">
        <v>895055</v>
      </c>
    </row>
    <row r="52" spans="1:9" s="735" customFormat="1" ht="11.45" customHeight="1">
      <c r="A52" s="1816" t="s">
        <v>136</v>
      </c>
      <c r="B52" s="1779" t="s">
        <v>30</v>
      </c>
      <c r="C52" s="1732">
        <v>10437999</v>
      </c>
      <c r="D52" s="1732">
        <v>152385</v>
      </c>
      <c r="E52" s="1732">
        <v>191266</v>
      </c>
      <c r="F52" s="1732">
        <v>853415</v>
      </c>
      <c r="G52" s="1732" t="s">
        <v>28</v>
      </c>
      <c r="H52" s="1732" t="s">
        <v>28</v>
      </c>
      <c r="I52" s="712">
        <v>895055</v>
      </c>
    </row>
    <row r="53" spans="1:9" s="735" customFormat="1" ht="11.45" customHeight="1">
      <c r="A53" s="1816" t="s">
        <v>137</v>
      </c>
      <c r="B53" s="1779" t="s">
        <v>32</v>
      </c>
      <c r="C53" s="1732" t="s">
        <v>28</v>
      </c>
      <c r="D53" s="1732" t="s">
        <v>28</v>
      </c>
      <c r="E53" s="1732" t="s">
        <v>28</v>
      </c>
      <c r="F53" s="1732" t="s">
        <v>28</v>
      </c>
      <c r="G53" s="1732" t="s">
        <v>28</v>
      </c>
      <c r="H53" s="1732" t="s">
        <v>28</v>
      </c>
      <c r="I53" s="712" t="s">
        <v>28</v>
      </c>
    </row>
    <row r="54" spans="1:9" s="734" customFormat="1" ht="11.45" customHeight="1">
      <c r="A54" s="1815" t="s">
        <v>61</v>
      </c>
      <c r="B54" s="1767" t="s">
        <v>62</v>
      </c>
      <c r="C54" s="1723">
        <v>1391864</v>
      </c>
      <c r="D54" s="1723">
        <v>83153</v>
      </c>
      <c r="E54" s="1723">
        <v>23131</v>
      </c>
      <c r="F54" s="1723">
        <v>77189</v>
      </c>
      <c r="G54" s="1723">
        <v>3217</v>
      </c>
      <c r="H54" s="1723" t="s">
        <v>28</v>
      </c>
      <c r="I54" s="1730">
        <v>83981</v>
      </c>
    </row>
    <row r="55" spans="1:9" s="735" customFormat="1" ht="11.45" customHeight="1">
      <c r="A55" s="1816" t="s">
        <v>136</v>
      </c>
      <c r="B55" s="1779" t="s">
        <v>30</v>
      </c>
      <c r="C55" s="1732">
        <v>1000097</v>
      </c>
      <c r="D55" s="1732">
        <v>43360</v>
      </c>
      <c r="E55" s="1732">
        <v>17514</v>
      </c>
      <c r="F55" s="1732">
        <v>75294</v>
      </c>
      <c r="G55" s="1732">
        <v>3000</v>
      </c>
      <c r="H55" s="1732" t="s">
        <v>28</v>
      </c>
      <c r="I55" s="712">
        <v>83981</v>
      </c>
    </row>
    <row r="56" spans="1:9" s="735" customFormat="1" ht="11.45" customHeight="1">
      <c r="A56" s="1816" t="s">
        <v>137</v>
      </c>
      <c r="B56" s="1779" t="s">
        <v>32</v>
      </c>
      <c r="C56" s="1732">
        <v>391767</v>
      </c>
      <c r="D56" s="1732">
        <v>39793</v>
      </c>
      <c r="E56" s="1732">
        <v>5617</v>
      </c>
      <c r="F56" s="1732">
        <v>1895</v>
      </c>
      <c r="G56" s="1732">
        <v>217</v>
      </c>
      <c r="H56" s="1732" t="s">
        <v>28</v>
      </c>
      <c r="I56" s="712" t="s">
        <v>28</v>
      </c>
    </row>
    <row r="57" spans="1:9" s="734" customFormat="1" ht="11.45" customHeight="1">
      <c r="A57" s="1815" t="s">
        <v>63</v>
      </c>
      <c r="B57" s="1767" t="s">
        <v>64</v>
      </c>
      <c r="C57" s="1723" t="s">
        <v>28</v>
      </c>
      <c r="D57" s="1723" t="s">
        <v>28</v>
      </c>
      <c r="E57" s="1723" t="s">
        <v>28</v>
      </c>
      <c r="F57" s="1723" t="s">
        <v>28</v>
      </c>
      <c r="G57" s="1723" t="s">
        <v>28</v>
      </c>
      <c r="H57" s="1723" t="s">
        <v>28</v>
      </c>
      <c r="I57" s="1730" t="s">
        <v>28</v>
      </c>
    </row>
    <row r="58" spans="1:9" s="735" customFormat="1" ht="11.45" customHeight="1">
      <c r="A58" s="1816" t="s">
        <v>136</v>
      </c>
      <c r="B58" s="1779" t="s">
        <v>30</v>
      </c>
      <c r="C58" s="1732" t="s">
        <v>28</v>
      </c>
      <c r="D58" s="1732" t="s">
        <v>28</v>
      </c>
      <c r="E58" s="1732" t="s">
        <v>28</v>
      </c>
      <c r="F58" s="1732" t="s">
        <v>28</v>
      </c>
      <c r="G58" s="1732" t="s">
        <v>28</v>
      </c>
      <c r="H58" s="1732" t="s">
        <v>28</v>
      </c>
      <c r="I58" s="712" t="s">
        <v>28</v>
      </c>
    </row>
    <row r="59" spans="1:9" s="736" customFormat="1" ht="11.45" customHeight="1" thickBot="1">
      <c r="A59" s="1789" t="s">
        <v>137</v>
      </c>
      <c r="B59" s="1790" t="s">
        <v>32</v>
      </c>
      <c r="C59" s="1740" t="s">
        <v>28</v>
      </c>
      <c r="D59" s="1740" t="s">
        <v>28</v>
      </c>
      <c r="E59" s="1740" t="s">
        <v>28</v>
      </c>
      <c r="F59" s="1740" t="s">
        <v>28</v>
      </c>
      <c r="G59" s="1740" t="s">
        <v>28</v>
      </c>
      <c r="H59" s="1740" t="s">
        <v>28</v>
      </c>
      <c r="I59" s="1747" t="s">
        <v>28</v>
      </c>
    </row>
    <row r="60" spans="1:9" s="729" customFormat="1">
      <c r="A60" s="728"/>
      <c r="B60" s="731"/>
      <c r="C60" s="728"/>
      <c r="D60" s="728"/>
      <c r="E60" s="728"/>
      <c r="F60" s="728"/>
      <c r="G60" s="728"/>
      <c r="H60" s="728"/>
      <c r="I60" s="728"/>
    </row>
  </sheetData>
  <mergeCells count="14">
    <mergeCell ref="A9:B9"/>
    <mergeCell ref="A13:I13"/>
    <mergeCell ref="A29:I29"/>
    <mergeCell ref="A6:B6"/>
    <mergeCell ref="C6:D6"/>
    <mergeCell ref="F6:I6"/>
    <mergeCell ref="A7:B7"/>
    <mergeCell ref="C7:D7"/>
    <mergeCell ref="F7:I7"/>
    <mergeCell ref="A3:I3"/>
    <mergeCell ref="A4:I4"/>
    <mergeCell ref="A5:I5"/>
    <mergeCell ref="A2:I2"/>
    <mergeCell ref="A8:B8"/>
  </mergeCells>
  <phoneticPr fontId="4" type="noConversion"/>
  <hyperlinks>
    <hyperlink ref="A1" location="목록!A1" display="목록!A1" xr:uid="{B3469C65-38A0-493B-828B-ECE3BA89D567}"/>
  </hyperlinks>
  <pageMargins left="0.59055118110236227" right="0.59055118110236227" top="0.78740157480314965" bottom="0.59055118110236227" header="0.62992125984251968" footer="0.39370078740157483"/>
  <pageSetup paperSize="9" orientation="portrait" r:id="rId1"/>
  <rowBreaks count="1" manualBreakCount="1">
    <brk id="59" max="8"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6"/>
  <dimension ref="A1:N61"/>
  <sheetViews>
    <sheetView showGridLines="0" showWhiteSpace="0" view="pageBreakPreview" zoomScaleNormal="100" zoomScaleSheetLayoutView="100" workbookViewId="0">
      <selection activeCell="A2" sqref="A2:N61"/>
    </sheetView>
  </sheetViews>
  <sheetFormatPr defaultRowHeight="16.5"/>
  <cols>
    <col min="1" max="1" width="6.21875" style="33" customWidth="1"/>
    <col min="2" max="2" width="10.33203125" style="37" customWidth="1"/>
    <col min="3" max="8" width="10.33203125" style="35" customWidth="1"/>
    <col min="9" max="14" width="13" style="35" customWidth="1"/>
    <col min="15" max="16384" width="8.88671875" style="35"/>
  </cols>
  <sheetData>
    <row r="1" spans="1:14" ht="22.5">
      <c r="A1" s="901" t="s">
        <v>1332</v>
      </c>
    </row>
    <row r="2" spans="1:14" s="33" customFormat="1" ht="13.5" customHeight="1">
      <c r="A2" s="2176" t="s">
        <v>1050</v>
      </c>
      <c r="B2" s="2176"/>
      <c r="C2" s="2176"/>
      <c r="D2" s="2176"/>
      <c r="E2" s="2176"/>
      <c r="F2" s="2176"/>
      <c r="G2" s="2176"/>
      <c r="H2" s="2176"/>
      <c r="I2" s="2177" t="s">
        <v>1115</v>
      </c>
      <c r="J2" s="2177"/>
      <c r="K2" s="2177"/>
      <c r="L2" s="2177"/>
      <c r="M2" s="2177"/>
      <c r="N2" s="2177"/>
    </row>
    <row r="3" spans="1:14" s="34" customFormat="1" ht="22.5" customHeight="1">
      <c r="A3" s="2178" t="s">
        <v>892</v>
      </c>
      <c r="B3" s="2178"/>
      <c r="C3" s="2178"/>
      <c r="D3" s="2178"/>
      <c r="E3" s="2178"/>
      <c r="F3" s="2178"/>
      <c r="G3" s="2178"/>
      <c r="H3" s="2178"/>
      <c r="I3" s="2178" t="s">
        <v>893</v>
      </c>
      <c r="J3" s="2178"/>
      <c r="K3" s="2178"/>
      <c r="L3" s="2178"/>
      <c r="M3" s="2178"/>
      <c r="N3" s="2178"/>
    </row>
    <row r="4" spans="1:14" ht="13.5" customHeight="1" thickBot="1">
      <c r="A4" s="1503"/>
      <c r="B4" s="1503"/>
      <c r="C4" s="1503"/>
      <c r="D4" s="1503"/>
      <c r="E4" s="1503"/>
      <c r="F4" s="1503"/>
      <c r="G4" s="1503"/>
      <c r="H4" s="1503"/>
      <c r="I4" s="1504" t="s">
        <v>302</v>
      </c>
      <c r="J4" s="1504"/>
      <c r="K4" s="1504"/>
      <c r="L4" s="1504"/>
      <c r="M4" s="1504"/>
      <c r="N4" s="1504"/>
    </row>
    <row r="5" spans="1:14" s="36" customFormat="1" ht="13.5" customHeight="1">
      <c r="A5" s="1493" t="s">
        <v>2</v>
      </c>
      <c r="B5" s="1494"/>
      <c r="C5" s="2179" t="s">
        <v>1271</v>
      </c>
      <c r="D5" s="2180" t="s">
        <v>749</v>
      </c>
      <c r="E5" s="1493"/>
      <c r="F5" s="1493"/>
      <c r="G5" s="1493"/>
      <c r="H5" s="1493"/>
      <c r="I5" s="1493" t="s">
        <v>749</v>
      </c>
      <c r="J5" s="1494"/>
      <c r="K5" s="996" t="s">
        <v>1272</v>
      </c>
      <c r="L5" s="2181" t="s">
        <v>327</v>
      </c>
      <c r="M5" s="2182" t="s">
        <v>750</v>
      </c>
      <c r="N5" s="996" t="s">
        <v>751</v>
      </c>
    </row>
    <row r="6" spans="1:14" s="37" customFormat="1" ht="18.75" customHeight="1">
      <c r="A6" s="2183" t="s">
        <v>7</v>
      </c>
      <c r="B6" s="1495"/>
      <c r="C6" s="2184" t="s">
        <v>387</v>
      </c>
      <c r="D6" s="1500" t="s">
        <v>752</v>
      </c>
      <c r="E6" s="1501"/>
      <c r="F6" s="1501"/>
      <c r="G6" s="1501"/>
      <c r="H6" s="1501"/>
      <c r="I6" s="1501" t="s">
        <v>752</v>
      </c>
      <c r="J6" s="1502"/>
      <c r="K6" s="1492" t="s">
        <v>1273</v>
      </c>
      <c r="L6" s="1492" t="s">
        <v>753</v>
      </c>
      <c r="M6" s="1492" t="s">
        <v>754</v>
      </c>
      <c r="N6" s="2185" t="s">
        <v>755</v>
      </c>
    </row>
    <row r="7" spans="1:14" s="36" customFormat="1" ht="13.5" customHeight="1">
      <c r="A7" s="2186"/>
      <c r="B7" s="1496"/>
      <c r="C7" s="2182"/>
      <c r="D7" s="1497" t="s">
        <v>328</v>
      </c>
      <c r="E7" s="1498"/>
      <c r="F7" s="1498"/>
      <c r="G7" s="1498"/>
      <c r="H7" s="1499"/>
      <c r="I7" s="2187" t="s">
        <v>329</v>
      </c>
      <c r="J7" s="2187" t="s">
        <v>756</v>
      </c>
      <c r="K7" s="1492"/>
      <c r="L7" s="1492"/>
      <c r="M7" s="1492"/>
      <c r="N7" s="2185"/>
    </row>
    <row r="8" spans="1:14" s="37" customFormat="1" ht="13.5" customHeight="1">
      <c r="A8" s="2183"/>
      <c r="B8" s="1495"/>
      <c r="C8" s="1000"/>
      <c r="D8" s="1500" t="s">
        <v>330</v>
      </c>
      <c r="E8" s="1501"/>
      <c r="F8" s="1501"/>
      <c r="G8" s="1501"/>
      <c r="H8" s="1502"/>
      <c r="I8" s="1492" t="s">
        <v>757</v>
      </c>
      <c r="J8" s="1492" t="s">
        <v>758</v>
      </c>
      <c r="K8" s="2184"/>
      <c r="L8" s="1000"/>
      <c r="M8" s="1000"/>
      <c r="N8" s="2188"/>
    </row>
    <row r="9" spans="1:14" s="36" customFormat="1" ht="13.5" customHeight="1">
      <c r="A9" s="2186"/>
      <c r="B9" s="1496"/>
      <c r="C9" s="999"/>
      <c r="D9" s="2182" t="s">
        <v>759</v>
      </c>
      <c r="E9" s="2182" t="s">
        <v>331</v>
      </c>
      <c r="F9" s="2182" t="s">
        <v>332</v>
      </c>
      <c r="G9" s="2182" t="s">
        <v>333</v>
      </c>
      <c r="H9" s="2182" t="s">
        <v>760</v>
      </c>
      <c r="I9" s="1492"/>
      <c r="J9" s="1492"/>
      <c r="K9" s="2184"/>
      <c r="L9" s="1000"/>
      <c r="M9" s="2182"/>
      <c r="N9" s="2189"/>
    </row>
    <row r="10" spans="1:14" s="37" customFormat="1" ht="13.5" customHeight="1">
      <c r="A10" s="2183"/>
      <c r="B10" s="1495"/>
      <c r="C10" s="998"/>
      <c r="D10" s="1000" t="s">
        <v>761</v>
      </c>
      <c r="E10" s="1000" t="s">
        <v>323</v>
      </c>
      <c r="F10" s="1000" t="s">
        <v>324</v>
      </c>
      <c r="G10" s="1000" t="s">
        <v>325</v>
      </c>
      <c r="H10" s="1000" t="s">
        <v>762</v>
      </c>
      <c r="I10" s="1000"/>
      <c r="J10" s="1000"/>
      <c r="K10" s="2184"/>
      <c r="L10" s="1000"/>
      <c r="M10" s="1000"/>
      <c r="N10" s="2188"/>
    </row>
    <row r="11" spans="1:14" s="38" customFormat="1" ht="11.25" customHeight="1">
      <c r="A11" s="2190" t="s">
        <v>27</v>
      </c>
      <c r="B11" s="2191" t="s">
        <v>16</v>
      </c>
      <c r="C11" s="2192">
        <v>1376963</v>
      </c>
      <c r="D11" s="2193">
        <v>517641</v>
      </c>
      <c r="E11" s="2193" t="s">
        <v>1176</v>
      </c>
      <c r="F11" s="2193" t="s">
        <v>28</v>
      </c>
      <c r="G11" s="2193" t="s">
        <v>28</v>
      </c>
      <c r="H11" s="2193" t="s">
        <v>28</v>
      </c>
      <c r="I11" s="2193">
        <v>420211</v>
      </c>
      <c r="J11" s="2193">
        <v>11866</v>
      </c>
      <c r="K11" s="2193">
        <v>427245</v>
      </c>
      <c r="L11" s="2193">
        <v>901065</v>
      </c>
      <c r="M11" s="2193" t="s">
        <v>28</v>
      </c>
      <c r="N11" s="2194">
        <v>14443</v>
      </c>
    </row>
    <row r="12" spans="1:14" s="39" customFormat="1" ht="11.25" customHeight="1">
      <c r="A12" s="2195" t="s">
        <v>136</v>
      </c>
      <c r="B12" s="2196" t="s">
        <v>30</v>
      </c>
      <c r="C12" s="2197">
        <v>1315599</v>
      </c>
      <c r="D12" s="2198">
        <v>498490</v>
      </c>
      <c r="E12" s="2198" t="s">
        <v>1176</v>
      </c>
      <c r="F12" s="2198" t="s">
        <v>28</v>
      </c>
      <c r="G12" s="2198" t="s">
        <v>28</v>
      </c>
      <c r="H12" s="2198" t="s">
        <v>28</v>
      </c>
      <c r="I12" s="2198">
        <v>398231</v>
      </c>
      <c r="J12" s="2198">
        <v>494</v>
      </c>
      <c r="K12" s="2198">
        <v>418384</v>
      </c>
      <c r="L12" s="2198">
        <v>858902</v>
      </c>
      <c r="M12" s="2198" t="s">
        <v>28</v>
      </c>
      <c r="N12" s="2199">
        <v>13701</v>
      </c>
    </row>
    <row r="13" spans="1:14" s="39" customFormat="1" ht="11.25" customHeight="1" thickBot="1">
      <c r="A13" s="997" t="s">
        <v>137</v>
      </c>
      <c r="B13" s="2200" t="s">
        <v>32</v>
      </c>
      <c r="C13" s="2201">
        <v>61364</v>
      </c>
      <c r="D13" s="2202">
        <v>19151</v>
      </c>
      <c r="E13" s="2202" t="s">
        <v>1176</v>
      </c>
      <c r="F13" s="2202" t="s">
        <v>28</v>
      </c>
      <c r="G13" s="2202" t="s">
        <v>28</v>
      </c>
      <c r="H13" s="2202" t="s">
        <v>28</v>
      </c>
      <c r="I13" s="2202">
        <v>21980</v>
      </c>
      <c r="J13" s="2202">
        <v>11372</v>
      </c>
      <c r="K13" s="2202">
        <v>8861</v>
      </c>
      <c r="L13" s="2202">
        <v>42163</v>
      </c>
      <c r="M13" s="2202" t="s">
        <v>28</v>
      </c>
      <c r="N13" s="2203">
        <v>742</v>
      </c>
    </row>
    <row r="14" spans="1:14" s="40" customFormat="1" ht="15" customHeight="1" thickBot="1">
      <c r="A14" s="2204" t="s">
        <v>310</v>
      </c>
      <c r="B14" s="2204"/>
      <c r="C14" s="2204"/>
      <c r="D14" s="2204"/>
      <c r="E14" s="2204"/>
      <c r="F14" s="2204"/>
      <c r="G14" s="2204"/>
      <c r="H14" s="2204"/>
      <c r="I14" s="2204" t="s">
        <v>34</v>
      </c>
      <c r="J14" s="2204"/>
      <c r="K14" s="2204"/>
      <c r="L14" s="2204"/>
      <c r="M14" s="2204"/>
      <c r="N14" s="2204"/>
    </row>
    <row r="15" spans="1:14" s="38" customFormat="1" ht="11.25" customHeight="1">
      <c r="A15" s="2205" t="s">
        <v>35</v>
      </c>
      <c r="B15" s="2206" t="s">
        <v>36</v>
      </c>
      <c r="C15" s="2207">
        <v>244770</v>
      </c>
      <c r="D15" s="2207">
        <v>83559</v>
      </c>
      <c r="E15" s="2207" t="s">
        <v>1176</v>
      </c>
      <c r="F15" s="2207" t="s">
        <v>28</v>
      </c>
      <c r="G15" s="2207" t="s">
        <v>28</v>
      </c>
      <c r="H15" s="2208" t="s">
        <v>28</v>
      </c>
      <c r="I15" s="2209">
        <v>90876</v>
      </c>
      <c r="J15" s="2207" t="s">
        <v>28</v>
      </c>
      <c r="K15" s="2207">
        <v>70335</v>
      </c>
      <c r="L15" s="2207">
        <v>157898</v>
      </c>
      <c r="M15" s="2207" t="s">
        <v>28</v>
      </c>
      <c r="N15" s="2210">
        <v>2021</v>
      </c>
    </row>
    <row r="16" spans="1:14" s="39" customFormat="1" ht="11.25" customHeight="1">
      <c r="A16" s="2195" t="s">
        <v>136</v>
      </c>
      <c r="B16" s="2196" t="s">
        <v>30</v>
      </c>
      <c r="C16" s="2197">
        <v>203857</v>
      </c>
      <c r="D16" s="2197">
        <v>72605</v>
      </c>
      <c r="E16" s="2197" t="s">
        <v>1176</v>
      </c>
      <c r="F16" s="2198" t="s">
        <v>28</v>
      </c>
      <c r="G16" s="2198" t="s">
        <v>28</v>
      </c>
      <c r="H16" s="2211" t="s">
        <v>28</v>
      </c>
      <c r="I16" s="2212">
        <v>68896</v>
      </c>
      <c r="J16" s="2197" t="s">
        <v>28</v>
      </c>
      <c r="K16" s="2197">
        <v>62356</v>
      </c>
      <c r="L16" s="2197">
        <v>129067</v>
      </c>
      <c r="M16" s="2198" t="s">
        <v>28</v>
      </c>
      <c r="N16" s="2213">
        <v>1989</v>
      </c>
    </row>
    <row r="17" spans="1:14" s="39" customFormat="1" ht="11.25" customHeight="1">
      <c r="A17" s="2195" t="s">
        <v>137</v>
      </c>
      <c r="B17" s="2196" t="s">
        <v>32</v>
      </c>
      <c r="C17" s="2197">
        <v>40913</v>
      </c>
      <c r="D17" s="2197">
        <v>10954</v>
      </c>
      <c r="E17" s="2197" t="s">
        <v>1176</v>
      </c>
      <c r="F17" s="2198" t="s">
        <v>28</v>
      </c>
      <c r="G17" s="2198" t="s">
        <v>28</v>
      </c>
      <c r="H17" s="2211" t="s">
        <v>28</v>
      </c>
      <c r="I17" s="2212">
        <v>21980</v>
      </c>
      <c r="J17" s="2197" t="s">
        <v>28</v>
      </c>
      <c r="K17" s="2197">
        <v>7979</v>
      </c>
      <c r="L17" s="2197">
        <v>28831</v>
      </c>
      <c r="M17" s="2198" t="s">
        <v>28</v>
      </c>
      <c r="N17" s="2213">
        <v>32</v>
      </c>
    </row>
    <row r="18" spans="1:14" s="38" customFormat="1" ht="11.25" customHeight="1">
      <c r="A18" s="2214" t="s">
        <v>37</v>
      </c>
      <c r="B18" s="2215" t="s">
        <v>38</v>
      </c>
      <c r="C18" s="2216">
        <v>346615</v>
      </c>
      <c r="D18" s="2216">
        <v>152461</v>
      </c>
      <c r="E18" s="2216" t="s">
        <v>1176</v>
      </c>
      <c r="F18" s="2216" t="s">
        <v>28</v>
      </c>
      <c r="G18" s="2216" t="s">
        <v>28</v>
      </c>
      <c r="H18" s="2217" t="s">
        <v>28</v>
      </c>
      <c r="I18" s="2218">
        <v>95047</v>
      </c>
      <c r="J18" s="2216">
        <v>494</v>
      </c>
      <c r="K18" s="2216">
        <v>98613</v>
      </c>
      <c r="L18" s="2216">
        <v>236283</v>
      </c>
      <c r="M18" s="2216" t="s">
        <v>28</v>
      </c>
      <c r="N18" s="2219">
        <v>3093</v>
      </c>
    </row>
    <row r="19" spans="1:14" s="39" customFormat="1" ht="11.25" customHeight="1">
      <c r="A19" s="2195" t="s">
        <v>136</v>
      </c>
      <c r="B19" s="2196" t="s">
        <v>30</v>
      </c>
      <c r="C19" s="2197">
        <v>346615</v>
      </c>
      <c r="D19" s="2197">
        <v>152461</v>
      </c>
      <c r="E19" s="2197" t="s">
        <v>1176</v>
      </c>
      <c r="F19" s="2198" t="s">
        <v>28</v>
      </c>
      <c r="G19" s="2198" t="s">
        <v>28</v>
      </c>
      <c r="H19" s="2211" t="s">
        <v>28</v>
      </c>
      <c r="I19" s="2212">
        <v>95047</v>
      </c>
      <c r="J19" s="2197">
        <v>494</v>
      </c>
      <c r="K19" s="2197">
        <v>98613</v>
      </c>
      <c r="L19" s="2197">
        <v>236283</v>
      </c>
      <c r="M19" s="2198" t="s">
        <v>28</v>
      </c>
      <c r="N19" s="2213">
        <v>3093</v>
      </c>
    </row>
    <row r="20" spans="1:14" s="39" customFormat="1" ht="11.25" customHeight="1">
      <c r="A20" s="2195" t="s">
        <v>137</v>
      </c>
      <c r="B20" s="2196" t="s">
        <v>32</v>
      </c>
      <c r="C20" s="2197" t="s">
        <v>28</v>
      </c>
      <c r="D20" s="2197" t="s">
        <v>28</v>
      </c>
      <c r="E20" s="2197" t="s">
        <v>1176</v>
      </c>
      <c r="F20" s="2198" t="s">
        <v>28</v>
      </c>
      <c r="G20" s="2198" t="s">
        <v>28</v>
      </c>
      <c r="H20" s="2211" t="s">
        <v>28</v>
      </c>
      <c r="I20" s="2212" t="s">
        <v>28</v>
      </c>
      <c r="J20" s="2197" t="s">
        <v>28</v>
      </c>
      <c r="K20" s="2197" t="s">
        <v>28</v>
      </c>
      <c r="L20" s="2197" t="s">
        <v>28</v>
      </c>
      <c r="M20" s="2198" t="s">
        <v>28</v>
      </c>
      <c r="N20" s="2213" t="s">
        <v>28</v>
      </c>
    </row>
    <row r="21" spans="1:14" s="38" customFormat="1" ht="11.25" customHeight="1">
      <c r="A21" s="2214" t="s">
        <v>39</v>
      </c>
      <c r="B21" s="2215" t="s">
        <v>40</v>
      </c>
      <c r="C21" s="2216">
        <v>439495</v>
      </c>
      <c r="D21" s="2216">
        <v>165050</v>
      </c>
      <c r="E21" s="2216" t="s">
        <v>1176</v>
      </c>
      <c r="F21" s="2216" t="s">
        <v>28</v>
      </c>
      <c r="G21" s="2216" t="s">
        <v>28</v>
      </c>
      <c r="H21" s="2217" t="s">
        <v>28</v>
      </c>
      <c r="I21" s="2218">
        <v>128026</v>
      </c>
      <c r="J21" s="2216">
        <v>11372</v>
      </c>
      <c r="K21" s="2216">
        <v>135047</v>
      </c>
      <c r="L21" s="2216">
        <v>286152</v>
      </c>
      <c r="M21" s="2216" t="s">
        <v>28</v>
      </c>
      <c r="N21" s="2219">
        <v>4626</v>
      </c>
    </row>
    <row r="22" spans="1:14" s="39" customFormat="1" ht="11.25" customHeight="1">
      <c r="A22" s="2195" t="s">
        <v>136</v>
      </c>
      <c r="B22" s="2196" t="s">
        <v>30</v>
      </c>
      <c r="C22" s="2197">
        <v>425750</v>
      </c>
      <c r="D22" s="2197">
        <v>162677</v>
      </c>
      <c r="E22" s="2197" t="s">
        <v>1176</v>
      </c>
      <c r="F22" s="2198" t="s">
        <v>28</v>
      </c>
      <c r="G22" s="2198" t="s">
        <v>28</v>
      </c>
      <c r="H22" s="2211" t="s">
        <v>28</v>
      </c>
      <c r="I22" s="2212">
        <v>128026</v>
      </c>
      <c r="J22" s="2197" t="s">
        <v>28</v>
      </c>
      <c r="K22" s="2197">
        <v>135047</v>
      </c>
      <c r="L22" s="2197">
        <v>278619</v>
      </c>
      <c r="M22" s="2198" t="s">
        <v>28</v>
      </c>
      <c r="N22" s="2213">
        <v>4498</v>
      </c>
    </row>
    <row r="23" spans="1:14" s="39" customFormat="1" ht="11.25" customHeight="1">
      <c r="A23" s="2195" t="s">
        <v>137</v>
      </c>
      <c r="B23" s="2196" t="s">
        <v>32</v>
      </c>
      <c r="C23" s="2197">
        <v>13745</v>
      </c>
      <c r="D23" s="2197">
        <v>2373</v>
      </c>
      <c r="E23" s="2197" t="s">
        <v>1176</v>
      </c>
      <c r="F23" s="2198" t="s">
        <v>28</v>
      </c>
      <c r="G23" s="2198" t="s">
        <v>28</v>
      </c>
      <c r="H23" s="2211" t="s">
        <v>28</v>
      </c>
      <c r="I23" s="2212" t="s">
        <v>28</v>
      </c>
      <c r="J23" s="2197">
        <v>11372</v>
      </c>
      <c r="K23" s="2197" t="s">
        <v>28</v>
      </c>
      <c r="L23" s="2197">
        <v>7533</v>
      </c>
      <c r="M23" s="2198" t="s">
        <v>28</v>
      </c>
      <c r="N23" s="2213">
        <v>128</v>
      </c>
    </row>
    <row r="24" spans="1:14" s="38" customFormat="1" ht="11.25" customHeight="1">
      <c r="A24" s="2214" t="s">
        <v>41</v>
      </c>
      <c r="B24" s="2215" t="s">
        <v>42</v>
      </c>
      <c r="C24" s="2216">
        <v>309434</v>
      </c>
      <c r="D24" s="2216">
        <v>95953</v>
      </c>
      <c r="E24" s="2216" t="s">
        <v>1176</v>
      </c>
      <c r="F24" s="2216" t="s">
        <v>28</v>
      </c>
      <c r="G24" s="2216" t="s">
        <v>28</v>
      </c>
      <c r="H24" s="2217" t="s">
        <v>28</v>
      </c>
      <c r="I24" s="2218">
        <v>101915</v>
      </c>
      <c r="J24" s="2216" t="s">
        <v>28</v>
      </c>
      <c r="K24" s="2216">
        <v>111566</v>
      </c>
      <c r="L24" s="2216">
        <v>192844</v>
      </c>
      <c r="M24" s="2216" t="s">
        <v>28</v>
      </c>
      <c r="N24" s="2219">
        <v>3599</v>
      </c>
    </row>
    <row r="25" spans="1:14" s="39" customFormat="1" ht="11.25" customHeight="1">
      <c r="A25" s="2195" t="s">
        <v>136</v>
      </c>
      <c r="B25" s="2196" t="s">
        <v>30</v>
      </c>
      <c r="C25" s="2197">
        <v>309434</v>
      </c>
      <c r="D25" s="2197">
        <v>95953</v>
      </c>
      <c r="E25" s="2197" t="s">
        <v>1176</v>
      </c>
      <c r="F25" s="2197" t="s">
        <v>28</v>
      </c>
      <c r="G25" s="2198" t="s">
        <v>28</v>
      </c>
      <c r="H25" s="2211" t="s">
        <v>28</v>
      </c>
      <c r="I25" s="2212">
        <v>101915</v>
      </c>
      <c r="J25" s="2197" t="s">
        <v>28</v>
      </c>
      <c r="K25" s="2197">
        <v>111566</v>
      </c>
      <c r="L25" s="2197">
        <v>192844</v>
      </c>
      <c r="M25" s="2198" t="s">
        <v>28</v>
      </c>
      <c r="N25" s="2213">
        <v>3599</v>
      </c>
    </row>
    <row r="26" spans="1:14" s="39" customFormat="1" ht="11.25" customHeight="1">
      <c r="A26" s="2195" t="s">
        <v>137</v>
      </c>
      <c r="B26" s="2196" t="s">
        <v>32</v>
      </c>
      <c r="C26" s="2197" t="s">
        <v>28</v>
      </c>
      <c r="D26" s="2197" t="s">
        <v>28</v>
      </c>
      <c r="E26" s="2197" t="s">
        <v>1176</v>
      </c>
      <c r="F26" s="2197" t="s">
        <v>28</v>
      </c>
      <c r="G26" s="2198" t="s">
        <v>28</v>
      </c>
      <c r="H26" s="2211" t="s">
        <v>28</v>
      </c>
      <c r="I26" s="2212" t="s">
        <v>28</v>
      </c>
      <c r="J26" s="2197" t="s">
        <v>28</v>
      </c>
      <c r="K26" s="2197" t="s">
        <v>28</v>
      </c>
      <c r="L26" s="2197" t="s">
        <v>28</v>
      </c>
      <c r="M26" s="2198" t="s">
        <v>28</v>
      </c>
      <c r="N26" s="2213" t="s">
        <v>28</v>
      </c>
    </row>
    <row r="27" spans="1:14" s="38" customFormat="1" ht="11.25" customHeight="1">
      <c r="A27" s="2214" t="s">
        <v>43</v>
      </c>
      <c r="B27" s="2215" t="s">
        <v>44</v>
      </c>
      <c r="C27" s="2216">
        <v>36649</v>
      </c>
      <c r="D27" s="2216">
        <v>20618</v>
      </c>
      <c r="E27" s="2216" t="s">
        <v>1176</v>
      </c>
      <c r="F27" s="2216" t="s">
        <v>28</v>
      </c>
      <c r="G27" s="2216" t="s">
        <v>28</v>
      </c>
      <c r="H27" s="2217" t="s">
        <v>28</v>
      </c>
      <c r="I27" s="2218">
        <v>4347</v>
      </c>
      <c r="J27" s="2216" t="s">
        <v>28</v>
      </c>
      <c r="K27" s="2216">
        <v>11684</v>
      </c>
      <c r="L27" s="2216">
        <v>27888</v>
      </c>
      <c r="M27" s="2216" t="s">
        <v>28</v>
      </c>
      <c r="N27" s="2219">
        <v>1104</v>
      </c>
    </row>
    <row r="28" spans="1:14" s="39" customFormat="1" ht="11.25" customHeight="1">
      <c r="A28" s="2195" t="s">
        <v>136</v>
      </c>
      <c r="B28" s="2196" t="s">
        <v>30</v>
      </c>
      <c r="C28" s="2197">
        <v>29943</v>
      </c>
      <c r="D28" s="2197">
        <v>14794</v>
      </c>
      <c r="E28" s="2197" t="s">
        <v>1176</v>
      </c>
      <c r="F28" s="2198" t="s">
        <v>28</v>
      </c>
      <c r="G28" s="2198" t="s">
        <v>28</v>
      </c>
      <c r="H28" s="2211" t="s">
        <v>28</v>
      </c>
      <c r="I28" s="2212">
        <v>4347</v>
      </c>
      <c r="J28" s="2197" t="s">
        <v>28</v>
      </c>
      <c r="K28" s="2197">
        <v>10802</v>
      </c>
      <c r="L28" s="2197">
        <v>22089</v>
      </c>
      <c r="M28" s="2198" t="s">
        <v>28</v>
      </c>
      <c r="N28" s="2213">
        <v>522</v>
      </c>
    </row>
    <row r="29" spans="1:14" s="39" customFormat="1" ht="11.25" customHeight="1" thickBot="1">
      <c r="A29" s="997" t="s">
        <v>137</v>
      </c>
      <c r="B29" s="2200" t="s">
        <v>32</v>
      </c>
      <c r="C29" s="2201">
        <v>6706</v>
      </c>
      <c r="D29" s="2201">
        <v>5824</v>
      </c>
      <c r="E29" s="2201" t="s">
        <v>1176</v>
      </c>
      <c r="F29" s="2202" t="s">
        <v>28</v>
      </c>
      <c r="G29" s="2202" t="s">
        <v>28</v>
      </c>
      <c r="H29" s="2220" t="s">
        <v>28</v>
      </c>
      <c r="I29" s="2221" t="s">
        <v>28</v>
      </c>
      <c r="J29" s="2201" t="s">
        <v>28</v>
      </c>
      <c r="K29" s="2201">
        <v>882</v>
      </c>
      <c r="L29" s="2201">
        <v>5799</v>
      </c>
      <c r="M29" s="2202" t="s">
        <v>28</v>
      </c>
      <c r="N29" s="2222">
        <v>582</v>
      </c>
    </row>
    <row r="30" spans="1:14" s="40" customFormat="1" ht="15" customHeight="1" thickBot="1">
      <c r="A30" s="2204" t="s">
        <v>763</v>
      </c>
      <c r="B30" s="2204"/>
      <c r="C30" s="2204"/>
      <c r="D30" s="2204"/>
      <c r="E30" s="2204"/>
      <c r="F30" s="2204"/>
      <c r="G30" s="2204"/>
      <c r="H30" s="2204"/>
      <c r="I30" s="2204" t="s">
        <v>46</v>
      </c>
      <c r="J30" s="2204"/>
      <c r="K30" s="2204"/>
      <c r="L30" s="2204"/>
      <c r="M30" s="2204"/>
      <c r="N30" s="2204"/>
    </row>
    <row r="31" spans="1:14" s="38" customFormat="1" ht="11.25" customHeight="1">
      <c r="A31" s="2205" t="s">
        <v>47</v>
      </c>
      <c r="B31" s="2206" t="s">
        <v>48</v>
      </c>
      <c r="C31" s="2207">
        <v>103333</v>
      </c>
      <c r="D31" s="2207">
        <v>26309</v>
      </c>
      <c r="E31" s="2207" t="s">
        <v>1176</v>
      </c>
      <c r="F31" s="2223" t="s">
        <v>28</v>
      </c>
      <c r="G31" s="2223" t="s">
        <v>28</v>
      </c>
      <c r="H31" s="2223" t="s">
        <v>28</v>
      </c>
      <c r="I31" s="2223">
        <v>41281</v>
      </c>
      <c r="J31" s="2207" t="s">
        <v>28</v>
      </c>
      <c r="K31" s="2207">
        <v>35743</v>
      </c>
      <c r="L31" s="2207">
        <v>61841</v>
      </c>
      <c r="M31" s="2223" t="s">
        <v>28</v>
      </c>
      <c r="N31" s="2224">
        <v>1133</v>
      </c>
    </row>
    <row r="32" spans="1:14" s="39" customFormat="1" ht="11.25" customHeight="1">
      <c r="A32" s="2195" t="s">
        <v>136</v>
      </c>
      <c r="B32" s="2196" t="s">
        <v>30</v>
      </c>
      <c r="C32" s="2197">
        <v>81804</v>
      </c>
      <c r="D32" s="2197">
        <v>23149</v>
      </c>
      <c r="E32" s="2197" t="s">
        <v>1176</v>
      </c>
      <c r="F32" s="2198" t="s">
        <v>28</v>
      </c>
      <c r="G32" s="2198" t="s">
        <v>28</v>
      </c>
      <c r="H32" s="2198" t="s">
        <v>28</v>
      </c>
      <c r="I32" s="2198">
        <v>27791</v>
      </c>
      <c r="J32" s="2197" t="s">
        <v>28</v>
      </c>
      <c r="K32" s="2197">
        <v>30864</v>
      </c>
      <c r="L32" s="2197">
        <v>49178</v>
      </c>
      <c r="M32" s="2198" t="s">
        <v>28</v>
      </c>
      <c r="N32" s="2199">
        <v>1101</v>
      </c>
    </row>
    <row r="33" spans="1:14" s="39" customFormat="1" ht="11.25" customHeight="1">
      <c r="A33" s="2195" t="s">
        <v>137</v>
      </c>
      <c r="B33" s="2196" t="s">
        <v>32</v>
      </c>
      <c r="C33" s="2197">
        <v>21529</v>
      </c>
      <c r="D33" s="2197">
        <v>3160</v>
      </c>
      <c r="E33" s="2197" t="s">
        <v>1176</v>
      </c>
      <c r="F33" s="2198" t="s">
        <v>28</v>
      </c>
      <c r="G33" s="2198" t="s">
        <v>28</v>
      </c>
      <c r="H33" s="2198" t="s">
        <v>28</v>
      </c>
      <c r="I33" s="2198">
        <v>13490</v>
      </c>
      <c r="J33" s="2197" t="s">
        <v>28</v>
      </c>
      <c r="K33" s="2197">
        <v>4879</v>
      </c>
      <c r="L33" s="2197">
        <v>12663</v>
      </c>
      <c r="M33" s="2198" t="s">
        <v>28</v>
      </c>
      <c r="N33" s="2199">
        <v>32</v>
      </c>
    </row>
    <row r="34" spans="1:14" s="38" customFormat="1" ht="11.25" customHeight="1">
      <c r="A34" s="2214" t="s">
        <v>49</v>
      </c>
      <c r="B34" s="2215" t="s">
        <v>50</v>
      </c>
      <c r="C34" s="2216">
        <v>18452</v>
      </c>
      <c r="D34" s="2216">
        <v>12274</v>
      </c>
      <c r="E34" s="2216" t="s">
        <v>1176</v>
      </c>
      <c r="F34" s="2225" t="s">
        <v>28</v>
      </c>
      <c r="G34" s="2225" t="s">
        <v>28</v>
      </c>
      <c r="H34" s="2225" t="s">
        <v>28</v>
      </c>
      <c r="I34" s="2225">
        <v>1012</v>
      </c>
      <c r="J34" s="2216" t="s">
        <v>28</v>
      </c>
      <c r="K34" s="2216">
        <v>5166</v>
      </c>
      <c r="L34" s="2216">
        <v>13190</v>
      </c>
      <c r="M34" s="2225" t="s">
        <v>28</v>
      </c>
      <c r="N34" s="2226">
        <v>61</v>
      </c>
    </row>
    <row r="35" spans="1:14" s="39" customFormat="1" ht="11.25" customHeight="1">
      <c r="A35" s="2195" t="s">
        <v>136</v>
      </c>
      <c r="B35" s="2196" t="s">
        <v>30</v>
      </c>
      <c r="C35" s="2197">
        <v>9319</v>
      </c>
      <c r="D35" s="2197">
        <v>6219</v>
      </c>
      <c r="E35" s="2197" t="s">
        <v>1176</v>
      </c>
      <c r="F35" s="2198" t="s">
        <v>28</v>
      </c>
      <c r="G35" s="2198" t="s">
        <v>28</v>
      </c>
      <c r="H35" s="2198" t="s">
        <v>28</v>
      </c>
      <c r="I35" s="2198">
        <v>1012</v>
      </c>
      <c r="J35" s="2197" t="s">
        <v>28</v>
      </c>
      <c r="K35" s="2197">
        <v>2088</v>
      </c>
      <c r="L35" s="2197">
        <v>7231</v>
      </c>
      <c r="M35" s="2198" t="s">
        <v>28</v>
      </c>
      <c r="N35" s="2199">
        <v>61</v>
      </c>
    </row>
    <row r="36" spans="1:14" s="39" customFormat="1" ht="11.25" customHeight="1">
      <c r="A36" s="2195" t="s">
        <v>137</v>
      </c>
      <c r="B36" s="2196" t="s">
        <v>32</v>
      </c>
      <c r="C36" s="2197">
        <v>9133</v>
      </c>
      <c r="D36" s="2197">
        <v>6055</v>
      </c>
      <c r="E36" s="2197" t="s">
        <v>1176</v>
      </c>
      <c r="F36" s="2198" t="s">
        <v>28</v>
      </c>
      <c r="G36" s="2198" t="s">
        <v>28</v>
      </c>
      <c r="H36" s="2198" t="s">
        <v>28</v>
      </c>
      <c r="I36" s="2198" t="s">
        <v>28</v>
      </c>
      <c r="J36" s="2197" t="s">
        <v>28</v>
      </c>
      <c r="K36" s="2197">
        <v>3078</v>
      </c>
      <c r="L36" s="2197">
        <v>5959</v>
      </c>
      <c r="M36" s="2198" t="s">
        <v>28</v>
      </c>
      <c r="N36" s="2199" t="s">
        <v>28</v>
      </c>
    </row>
    <row r="37" spans="1:14" s="38" customFormat="1" ht="11.25" customHeight="1">
      <c r="A37" s="2214" t="s">
        <v>963</v>
      </c>
      <c r="B37" s="2215" t="s">
        <v>964</v>
      </c>
      <c r="C37" s="2216">
        <v>120385</v>
      </c>
      <c r="D37" s="2216">
        <v>42376</v>
      </c>
      <c r="E37" s="2216" t="s">
        <v>1176</v>
      </c>
      <c r="F37" s="2225" t="s">
        <v>28</v>
      </c>
      <c r="G37" s="2225" t="s">
        <v>28</v>
      </c>
      <c r="H37" s="2225" t="s">
        <v>28</v>
      </c>
      <c r="I37" s="2225">
        <v>48583</v>
      </c>
      <c r="J37" s="2216" t="s">
        <v>28</v>
      </c>
      <c r="K37" s="2216">
        <v>29426</v>
      </c>
      <c r="L37" s="2216">
        <v>81254</v>
      </c>
      <c r="M37" s="2225" t="s">
        <v>28</v>
      </c>
      <c r="N37" s="2226">
        <v>567</v>
      </c>
    </row>
    <row r="38" spans="1:14" s="39" customFormat="1" ht="11.25" customHeight="1">
      <c r="A38" s="2195" t="s">
        <v>136</v>
      </c>
      <c r="B38" s="2196" t="s">
        <v>30</v>
      </c>
      <c r="C38" s="2197">
        <v>110134</v>
      </c>
      <c r="D38" s="2197">
        <v>40637</v>
      </c>
      <c r="E38" s="2197" t="s">
        <v>1176</v>
      </c>
      <c r="F38" s="2198" t="s">
        <v>28</v>
      </c>
      <c r="G38" s="2198" t="s">
        <v>28</v>
      </c>
      <c r="H38" s="2198" t="s">
        <v>28</v>
      </c>
      <c r="I38" s="2198">
        <v>40093</v>
      </c>
      <c r="J38" s="2197" t="s">
        <v>28</v>
      </c>
      <c r="K38" s="2197">
        <v>29404</v>
      </c>
      <c r="L38" s="2197">
        <v>71045</v>
      </c>
      <c r="M38" s="2198" t="s">
        <v>28</v>
      </c>
      <c r="N38" s="2199">
        <v>567</v>
      </c>
    </row>
    <row r="39" spans="1:14" s="39" customFormat="1" ht="11.25" customHeight="1">
      <c r="A39" s="2195" t="s">
        <v>137</v>
      </c>
      <c r="B39" s="2196" t="s">
        <v>32</v>
      </c>
      <c r="C39" s="2197">
        <v>10251</v>
      </c>
      <c r="D39" s="2197">
        <v>1739</v>
      </c>
      <c r="E39" s="2197" t="s">
        <v>1176</v>
      </c>
      <c r="F39" s="2198" t="s">
        <v>28</v>
      </c>
      <c r="G39" s="2198" t="s">
        <v>28</v>
      </c>
      <c r="H39" s="2198" t="s">
        <v>28</v>
      </c>
      <c r="I39" s="2198">
        <v>8490</v>
      </c>
      <c r="J39" s="2197" t="s">
        <v>28</v>
      </c>
      <c r="K39" s="2197">
        <v>22</v>
      </c>
      <c r="L39" s="2197">
        <v>10209</v>
      </c>
      <c r="M39" s="2198" t="s">
        <v>28</v>
      </c>
      <c r="N39" s="2199" t="s">
        <v>28</v>
      </c>
    </row>
    <row r="40" spans="1:14" s="38" customFormat="1" ht="11.25" customHeight="1">
      <c r="A40" s="2214" t="s">
        <v>51</v>
      </c>
      <c r="B40" s="2215" t="s">
        <v>52</v>
      </c>
      <c r="C40" s="2216">
        <v>232235</v>
      </c>
      <c r="D40" s="2216">
        <v>101109</v>
      </c>
      <c r="E40" s="2216" t="s">
        <v>1176</v>
      </c>
      <c r="F40" s="2225" t="s">
        <v>28</v>
      </c>
      <c r="G40" s="2225" t="s">
        <v>28</v>
      </c>
      <c r="H40" s="2225" t="s">
        <v>28</v>
      </c>
      <c r="I40" s="2225">
        <v>51450</v>
      </c>
      <c r="J40" s="2216">
        <v>11372</v>
      </c>
      <c r="K40" s="2216">
        <v>68304</v>
      </c>
      <c r="L40" s="2216">
        <v>150858</v>
      </c>
      <c r="M40" s="2225" t="s">
        <v>28</v>
      </c>
      <c r="N40" s="2226">
        <v>1776</v>
      </c>
    </row>
    <row r="41" spans="1:14" s="39" customFormat="1" ht="11.25" customHeight="1">
      <c r="A41" s="2195" t="s">
        <v>136</v>
      </c>
      <c r="B41" s="2196" t="s">
        <v>30</v>
      </c>
      <c r="C41" s="2197">
        <v>220863</v>
      </c>
      <c r="D41" s="2197">
        <v>101109</v>
      </c>
      <c r="E41" s="2197" t="s">
        <v>1176</v>
      </c>
      <c r="F41" s="2198" t="s">
        <v>28</v>
      </c>
      <c r="G41" s="2198" t="s">
        <v>28</v>
      </c>
      <c r="H41" s="2198" t="s">
        <v>28</v>
      </c>
      <c r="I41" s="2198">
        <v>51450</v>
      </c>
      <c r="J41" s="2197" t="s">
        <v>28</v>
      </c>
      <c r="K41" s="2197">
        <v>68304</v>
      </c>
      <c r="L41" s="2197">
        <v>145698</v>
      </c>
      <c r="M41" s="2198" t="s">
        <v>28</v>
      </c>
      <c r="N41" s="2199">
        <v>1648</v>
      </c>
    </row>
    <row r="42" spans="1:14" s="39" customFormat="1" ht="11.25" customHeight="1">
      <c r="A42" s="2195" t="s">
        <v>137</v>
      </c>
      <c r="B42" s="2196" t="s">
        <v>32</v>
      </c>
      <c r="C42" s="2197">
        <v>11372</v>
      </c>
      <c r="D42" s="2197" t="s">
        <v>28</v>
      </c>
      <c r="E42" s="2197" t="s">
        <v>1176</v>
      </c>
      <c r="F42" s="2198" t="s">
        <v>28</v>
      </c>
      <c r="G42" s="2198" t="s">
        <v>28</v>
      </c>
      <c r="H42" s="2198" t="s">
        <v>28</v>
      </c>
      <c r="I42" s="2198" t="s">
        <v>28</v>
      </c>
      <c r="J42" s="2197">
        <v>11372</v>
      </c>
      <c r="K42" s="2197" t="s">
        <v>28</v>
      </c>
      <c r="L42" s="2197">
        <v>5160</v>
      </c>
      <c r="M42" s="2198" t="s">
        <v>28</v>
      </c>
      <c r="N42" s="2199">
        <v>128</v>
      </c>
    </row>
    <row r="43" spans="1:14" s="38" customFormat="1" ht="11.25" customHeight="1">
      <c r="A43" s="2214" t="s">
        <v>53</v>
      </c>
      <c r="B43" s="2215" t="s">
        <v>54</v>
      </c>
      <c r="C43" s="2216">
        <v>207260</v>
      </c>
      <c r="D43" s="2216">
        <v>63941</v>
      </c>
      <c r="E43" s="2216" t="s">
        <v>1176</v>
      </c>
      <c r="F43" s="2225" t="s">
        <v>28</v>
      </c>
      <c r="G43" s="2225" t="s">
        <v>28</v>
      </c>
      <c r="H43" s="2225" t="s">
        <v>28</v>
      </c>
      <c r="I43" s="2225">
        <v>76576</v>
      </c>
      <c r="J43" s="2216" t="s">
        <v>28</v>
      </c>
      <c r="K43" s="2216">
        <v>66743</v>
      </c>
      <c r="L43" s="2216">
        <v>135294</v>
      </c>
      <c r="M43" s="2225" t="s">
        <v>28</v>
      </c>
      <c r="N43" s="2226">
        <v>2850</v>
      </c>
    </row>
    <row r="44" spans="1:14" s="39" customFormat="1" ht="11.25" customHeight="1">
      <c r="A44" s="2195" t="s">
        <v>136</v>
      </c>
      <c r="B44" s="2196" t="s">
        <v>30</v>
      </c>
      <c r="C44" s="2197">
        <v>204887</v>
      </c>
      <c r="D44" s="2197">
        <v>61568</v>
      </c>
      <c r="E44" s="2197" t="s">
        <v>1176</v>
      </c>
      <c r="F44" s="2198" t="s">
        <v>28</v>
      </c>
      <c r="G44" s="2198" t="s">
        <v>28</v>
      </c>
      <c r="H44" s="2198" t="s">
        <v>28</v>
      </c>
      <c r="I44" s="2198">
        <v>76576</v>
      </c>
      <c r="J44" s="2197" t="s">
        <v>28</v>
      </c>
      <c r="K44" s="2197">
        <v>66743</v>
      </c>
      <c r="L44" s="2197">
        <v>132921</v>
      </c>
      <c r="M44" s="2198" t="s">
        <v>28</v>
      </c>
      <c r="N44" s="2199">
        <v>2850</v>
      </c>
    </row>
    <row r="45" spans="1:14" s="39" customFormat="1" ht="11.25" customHeight="1">
      <c r="A45" s="2195" t="s">
        <v>137</v>
      </c>
      <c r="B45" s="2196" t="s">
        <v>32</v>
      </c>
      <c r="C45" s="2197">
        <v>2373</v>
      </c>
      <c r="D45" s="2197">
        <v>2373</v>
      </c>
      <c r="E45" s="2197" t="s">
        <v>1176</v>
      </c>
      <c r="F45" s="2198" t="s">
        <v>28</v>
      </c>
      <c r="G45" s="2198" t="s">
        <v>28</v>
      </c>
      <c r="H45" s="2198" t="s">
        <v>28</v>
      </c>
      <c r="I45" s="2198" t="s">
        <v>28</v>
      </c>
      <c r="J45" s="2197" t="s">
        <v>28</v>
      </c>
      <c r="K45" s="2197" t="s">
        <v>28</v>
      </c>
      <c r="L45" s="2197">
        <v>2373</v>
      </c>
      <c r="M45" s="2198" t="s">
        <v>28</v>
      </c>
      <c r="N45" s="2199" t="s">
        <v>28</v>
      </c>
    </row>
    <row r="46" spans="1:14" s="38" customFormat="1" ht="11.25" customHeight="1">
      <c r="A46" s="2214" t="s">
        <v>55</v>
      </c>
      <c r="B46" s="2215" t="s">
        <v>56</v>
      </c>
      <c r="C46" s="2216">
        <v>195091</v>
      </c>
      <c r="D46" s="2216">
        <v>78000</v>
      </c>
      <c r="E46" s="2216" t="s">
        <v>1176</v>
      </c>
      <c r="F46" s="2225" t="s">
        <v>28</v>
      </c>
      <c r="G46" s="2225" t="s">
        <v>28</v>
      </c>
      <c r="H46" s="2225" t="s">
        <v>28</v>
      </c>
      <c r="I46" s="2225">
        <v>62141</v>
      </c>
      <c r="J46" s="2216">
        <v>494</v>
      </c>
      <c r="K46" s="2216">
        <v>54456</v>
      </c>
      <c r="L46" s="2216">
        <v>137332</v>
      </c>
      <c r="M46" s="2225" t="s">
        <v>28</v>
      </c>
      <c r="N46" s="2226">
        <v>2243</v>
      </c>
    </row>
    <row r="47" spans="1:14" s="39" customFormat="1" ht="11.25" customHeight="1">
      <c r="A47" s="2195" t="s">
        <v>136</v>
      </c>
      <c r="B47" s="2196" t="s">
        <v>30</v>
      </c>
      <c r="C47" s="2197">
        <v>195091</v>
      </c>
      <c r="D47" s="2197">
        <v>78000</v>
      </c>
      <c r="E47" s="2197" t="s">
        <v>1176</v>
      </c>
      <c r="F47" s="2198" t="s">
        <v>28</v>
      </c>
      <c r="G47" s="2198" t="s">
        <v>28</v>
      </c>
      <c r="H47" s="2198" t="s">
        <v>28</v>
      </c>
      <c r="I47" s="2198">
        <v>62141</v>
      </c>
      <c r="J47" s="2197">
        <v>494</v>
      </c>
      <c r="K47" s="2197">
        <v>54456</v>
      </c>
      <c r="L47" s="2197">
        <v>137332</v>
      </c>
      <c r="M47" s="2198" t="s">
        <v>28</v>
      </c>
      <c r="N47" s="2199">
        <v>2243</v>
      </c>
    </row>
    <row r="48" spans="1:14" s="39" customFormat="1" ht="11.25" customHeight="1">
      <c r="A48" s="2195" t="s">
        <v>137</v>
      </c>
      <c r="B48" s="2196" t="s">
        <v>32</v>
      </c>
      <c r="C48" s="2197" t="s">
        <v>28</v>
      </c>
      <c r="D48" s="2197" t="s">
        <v>28</v>
      </c>
      <c r="E48" s="2197" t="s">
        <v>1176</v>
      </c>
      <c r="F48" s="2198" t="s">
        <v>28</v>
      </c>
      <c r="G48" s="2198" t="s">
        <v>28</v>
      </c>
      <c r="H48" s="2198" t="s">
        <v>28</v>
      </c>
      <c r="I48" s="2198" t="s">
        <v>28</v>
      </c>
      <c r="J48" s="2197" t="s">
        <v>28</v>
      </c>
      <c r="K48" s="2197" t="s">
        <v>28</v>
      </c>
      <c r="L48" s="2197" t="s">
        <v>28</v>
      </c>
      <c r="M48" s="2198" t="s">
        <v>28</v>
      </c>
      <c r="N48" s="2199" t="s">
        <v>28</v>
      </c>
    </row>
    <row r="49" spans="1:14" s="38" customFormat="1" ht="11.25" customHeight="1">
      <c r="A49" s="2214" t="s">
        <v>57</v>
      </c>
      <c r="B49" s="2215" t="s">
        <v>58</v>
      </c>
      <c r="C49" s="2216">
        <v>151524</v>
      </c>
      <c r="D49" s="2216">
        <v>74461</v>
      </c>
      <c r="E49" s="2216" t="s">
        <v>1176</v>
      </c>
      <c r="F49" s="2225" t="s">
        <v>28</v>
      </c>
      <c r="G49" s="2225" t="s">
        <v>28</v>
      </c>
      <c r="H49" s="2225" t="s">
        <v>28</v>
      </c>
      <c r="I49" s="2225">
        <v>32906</v>
      </c>
      <c r="J49" s="2216" t="s">
        <v>28</v>
      </c>
      <c r="K49" s="2216">
        <v>44157</v>
      </c>
      <c r="L49" s="2216">
        <v>98951</v>
      </c>
      <c r="M49" s="2225" t="s">
        <v>28</v>
      </c>
      <c r="N49" s="2226">
        <v>850</v>
      </c>
    </row>
    <row r="50" spans="1:14" s="39" customFormat="1" ht="11.25" customHeight="1">
      <c r="A50" s="2195" t="s">
        <v>136</v>
      </c>
      <c r="B50" s="2196" t="s">
        <v>30</v>
      </c>
      <c r="C50" s="2197">
        <v>151524</v>
      </c>
      <c r="D50" s="2197">
        <v>74461</v>
      </c>
      <c r="E50" s="2197" t="s">
        <v>1176</v>
      </c>
      <c r="F50" s="2198" t="s">
        <v>28</v>
      </c>
      <c r="G50" s="2198" t="s">
        <v>28</v>
      </c>
      <c r="H50" s="2198" t="s">
        <v>28</v>
      </c>
      <c r="I50" s="2198">
        <v>32906</v>
      </c>
      <c r="J50" s="2197" t="s">
        <v>28</v>
      </c>
      <c r="K50" s="2197">
        <v>44157</v>
      </c>
      <c r="L50" s="2197">
        <v>98951</v>
      </c>
      <c r="M50" s="2198" t="s">
        <v>28</v>
      </c>
      <c r="N50" s="2199">
        <v>850</v>
      </c>
    </row>
    <row r="51" spans="1:14" s="39" customFormat="1" ht="11.25" customHeight="1">
      <c r="A51" s="2195" t="s">
        <v>137</v>
      </c>
      <c r="B51" s="2196" t="s">
        <v>32</v>
      </c>
      <c r="C51" s="2197" t="s">
        <v>28</v>
      </c>
      <c r="D51" s="2197" t="s">
        <v>28</v>
      </c>
      <c r="E51" s="2197" t="s">
        <v>1176</v>
      </c>
      <c r="F51" s="2198" t="s">
        <v>28</v>
      </c>
      <c r="G51" s="2198" t="s">
        <v>28</v>
      </c>
      <c r="H51" s="2198" t="s">
        <v>28</v>
      </c>
      <c r="I51" s="2198" t="s">
        <v>28</v>
      </c>
      <c r="J51" s="2197" t="s">
        <v>28</v>
      </c>
      <c r="K51" s="2197" t="s">
        <v>28</v>
      </c>
      <c r="L51" s="2197" t="s">
        <v>28</v>
      </c>
      <c r="M51" s="2198" t="s">
        <v>28</v>
      </c>
      <c r="N51" s="2199" t="s">
        <v>28</v>
      </c>
    </row>
    <row r="52" spans="1:14" s="38" customFormat="1" ht="11.25" customHeight="1">
      <c r="A52" s="2214" t="s">
        <v>59</v>
      </c>
      <c r="B52" s="2215" t="s">
        <v>60</v>
      </c>
      <c r="C52" s="2216">
        <v>309434</v>
      </c>
      <c r="D52" s="2216">
        <v>95953</v>
      </c>
      <c r="E52" s="2216" t="s">
        <v>1176</v>
      </c>
      <c r="F52" s="2225" t="s">
        <v>28</v>
      </c>
      <c r="G52" s="2225" t="s">
        <v>28</v>
      </c>
      <c r="H52" s="2225" t="s">
        <v>28</v>
      </c>
      <c r="I52" s="2225">
        <v>101915</v>
      </c>
      <c r="J52" s="2216" t="s">
        <v>28</v>
      </c>
      <c r="K52" s="2216">
        <v>111566</v>
      </c>
      <c r="L52" s="2216">
        <v>192844</v>
      </c>
      <c r="M52" s="2225" t="s">
        <v>28</v>
      </c>
      <c r="N52" s="2226">
        <v>3599</v>
      </c>
    </row>
    <row r="53" spans="1:14" s="39" customFormat="1" ht="11.25" customHeight="1">
      <c r="A53" s="2195" t="s">
        <v>136</v>
      </c>
      <c r="B53" s="2196" t="s">
        <v>30</v>
      </c>
      <c r="C53" s="2197">
        <v>309434</v>
      </c>
      <c r="D53" s="2197">
        <v>95953</v>
      </c>
      <c r="E53" s="2197" t="s">
        <v>1176</v>
      </c>
      <c r="F53" s="2198" t="s">
        <v>28</v>
      </c>
      <c r="G53" s="2198" t="s">
        <v>28</v>
      </c>
      <c r="H53" s="2198" t="s">
        <v>28</v>
      </c>
      <c r="I53" s="2198">
        <v>101915</v>
      </c>
      <c r="J53" s="2197" t="s">
        <v>28</v>
      </c>
      <c r="K53" s="2197">
        <v>111566</v>
      </c>
      <c r="L53" s="2197">
        <v>192844</v>
      </c>
      <c r="M53" s="2198" t="s">
        <v>28</v>
      </c>
      <c r="N53" s="2199">
        <v>3599</v>
      </c>
    </row>
    <row r="54" spans="1:14" s="39" customFormat="1" ht="11.25" customHeight="1">
      <c r="A54" s="2195" t="s">
        <v>137</v>
      </c>
      <c r="B54" s="2196" t="s">
        <v>32</v>
      </c>
      <c r="C54" s="2197" t="s">
        <v>28</v>
      </c>
      <c r="D54" s="2197" t="s">
        <v>28</v>
      </c>
      <c r="E54" s="2197" t="s">
        <v>1176</v>
      </c>
      <c r="F54" s="2198" t="s">
        <v>28</v>
      </c>
      <c r="G54" s="2198" t="s">
        <v>28</v>
      </c>
      <c r="H54" s="2198" t="s">
        <v>28</v>
      </c>
      <c r="I54" s="2198" t="s">
        <v>28</v>
      </c>
      <c r="J54" s="2197" t="s">
        <v>28</v>
      </c>
      <c r="K54" s="2197" t="s">
        <v>28</v>
      </c>
      <c r="L54" s="2197" t="s">
        <v>28</v>
      </c>
      <c r="M54" s="2198" t="s">
        <v>28</v>
      </c>
      <c r="N54" s="2199" t="s">
        <v>28</v>
      </c>
    </row>
    <row r="55" spans="1:14" s="38" customFormat="1" ht="11.25" customHeight="1">
      <c r="A55" s="2214" t="s">
        <v>61</v>
      </c>
      <c r="B55" s="2215" t="s">
        <v>62</v>
      </c>
      <c r="C55" s="2216">
        <v>36649</v>
      </c>
      <c r="D55" s="2216">
        <v>20618</v>
      </c>
      <c r="E55" s="2216" t="s">
        <v>1176</v>
      </c>
      <c r="F55" s="2225" t="s">
        <v>28</v>
      </c>
      <c r="G55" s="2225" t="s">
        <v>28</v>
      </c>
      <c r="H55" s="2225" t="s">
        <v>28</v>
      </c>
      <c r="I55" s="2225">
        <v>4347</v>
      </c>
      <c r="J55" s="2216" t="s">
        <v>28</v>
      </c>
      <c r="K55" s="2216">
        <v>11684</v>
      </c>
      <c r="L55" s="2216">
        <v>27888</v>
      </c>
      <c r="M55" s="2225" t="s">
        <v>28</v>
      </c>
      <c r="N55" s="2226">
        <v>1104</v>
      </c>
    </row>
    <row r="56" spans="1:14" s="39" customFormat="1" ht="11.25" customHeight="1">
      <c r="A56" s="2195" t="s">
        <v>136</v>
      </c>
      <c r="B56" s="2196" t="s">
        <v>30</v>
      </c>
      <c r="C56" s="2197">
        <v>29943</v>
      </c>
      <c r="D56" s="2197">
        <v>14794</v>
      </c>
      <c r="E56" s="2197" t="s">
        <v>1176</v>
      </c>
      <c r="F56" s="2198" t="s">
        <v>28</v>
      </c>
      <c r="G56" s="2198" t="s">
        <v>28</v>
      </c>
      <c r="H56" s="2198" t="s">
        <v>28</v>
      </c>
      <c r="I56" s="2198">
        <v>4347</v>
      </c>
      <c r="J56" s="2197" t="s">
        <v>28</v>
      </c>
      <c r="K56" s="2197">
        <v>10802</v>
      </c>
      <c r="L56" s="2197">
        <v>22089</v>
      </c>
      <c r="M56" s="2198" t="s">
        <v>28</v>
      </c>
      <c r="N56" s="2199">
        <v>522</v>
      </c>
    </row>
    <row r="57" spans="1:14" s="39" customFormat="1" ht="11.25" customHeight="1">
      <c r="A57" s="2195" t="s">
        <v>137</v>
      </c>
      <c r="B57" s="2196" t="s">
        <v>32</v>
      </c>
      <c r="C57" s="2197">
        <v>6706</v>
      </c>
      <c r="D57" s="2197">
        <v>5824</v>
      </c>
      <c r="E57" s="2197" t="s">
        <v>1176</v>
      </c>
      <c r="F57" s="2198" t="s">
        <v>28</v>
      </c>
      <c r="G57" s="2198" t="s">
        <v>28</v>
      </c>
      <c r="H57" s="2198" t="s">
        <v>28</v>
      </c>
      <c r="I57" s="2198" t="s">
        <v>28</v>
      </c>
      <c r="J57" s="2197" t="s">
        <v>28</v>
      </c>
      <c r="K57" s="2197">
        <v>882</v>
      </c>
      <c r="L57" s="2197">
        <v>5799</v>
      </c>
      <c r="M57" s="2198" t="s">
        <v>28</v>
      </c>
      <c r="N57" s="2199">
        <v>582</v>
      </c>
    </row>
    <row r="58" spans="1:14" s="38" customFormat="1" ht="11.25" customHeight="1">
      <c r="A58" s="2214" t="s">
        <v>63</v>
      </c>
      <c r="B58" s="2215" t="s">
        <v>64</v>
      </c>
      <c r="C58" s="2216">
        <v>2600</v>
      </c>
      <c r="D58" s="2216">
        <v>2600</v>
      </c>
      <c r="E58" s="2216" t="s">
        <v>1176</v>
      </c>
      <c r="F58" s="2225" t="s">
        <v>28</v>
      </c>
      <c r="G58" s="2225" t="s">
        <v>28</v>
      </c>
      <c r="H58" s="2225" t="s">
        <v>28</v>
      </c>
      <c r="I58" s="2225" t="s">
        <v>28</v>
      </c>
      <c r="J58" s="2216" t="s">
        <v>28</v>
      </c>
      <c r="K58" s="2216" t="s">
        <v>28</v>
      </c>
      <c r="L58" s="2216">
        <v>1613</v>
      </c>
      <c r="M58" s="2225" t="s">
        <v>28</v>
      </c>
      <c r="N58" s="2226">
        <v>260</v>
      </c>
    </row>
    <row r="59" spans="1:14" s="39" customFormat="1" ht="11.25" customHeight="1">
      <c r="A59" s="2195" t="s">
        <v>136</v>
      </c>
      <c r="B59" s="2196" t="s">
        <v>30</v>
      </c>
      <c r="C59" s="2197">
        <v>2600</v>
      </c>
      <c r="D59" s="2197">
        <v>2600</v>
      </c>
      <c r="E59" s="2197" t="s">
        <v>1176</v>
      </c>
      <c r="F59" s="2198" t="s">
        <v>28</v>
      </c>
      <c r="G59" s="2198" t="s">
        <v>28</v>
      </c>
      <c r="H59" s="2198" t="s">
        <v>28</v>
      </c>
      <c r="I59" s="2198" t="s">
        <v>28</v>
      </c>
      <c r="J59" s="2197" t="s">
        <v>28</v>
      </c>
      <c r="K59" s="2197" t="s">
        <v>28</v>
      </c>
      <c r="L59" s="2197">
        <v>1613</v>
      </c>
      <c r="M59" s="2198" t="s">
        <v>28</v>
      </c>
      <c r="N59" s="2199">
        <v>260</v>
      </c>
    </row>
    <row r="60" spans="1:14" s="39" customFormat="1" ht="11.25" customHeight="1" thickBot="1">
      <c r="A60" s="997" t="s">
        <v>137</v>
      </c>
      <c r="B60" s="2200" t="s">
        <v>32</v>
      </c>
      <c r="C60" s="2201" t="s">
        <v>28</v>
      </c>
      <c r="D60" s="2201" t="s">
        <v>28</v>
      </c>
      <c r="E60" s="2201" t="s">
        <v>1176</v>
      </c>
      <c r="F60" s="2202" t="s">
        <v>28</v>
      </c>
      <c r="G60" s="2202" t="s">
        <v>28</v>
      </c>
      <c r="H60" s="2202" t="s">
        <v>28</v>
      </c>
      <c r="I60" s="2202" t="s">
        <v>28</v>
      </c>
      <c r="J60" s="2201" t="s">
        <v>28</v>
      </c>
      <c r="K60" s="2201" t="s">
        <v>28</v>
      </c>
      <c r="L60" s="2201" t="s">
        <v>28</v>
      </c>
      <c r="M60" s="2202" t="s">
        <v>28</v>
      </c>
      <c r="N60" s="2203" t="s">
        <v>28</v>
      </c>
    </row>
    <row r="61" spans="1:14">
      <c r="A61" s="2227" t="s">
        <v>1078</v>
      </c>
      <c r="B61" s="2227"/>
      <c r="C61" s="2227"/>
      <c r="D61" s="2227"/>
      <c r="E61" s="2227"/>
      <c r="F61" s="2227"/>
      <c r="G61" s="2227"/>
      <c r="H61" s="2227"/>
      <c r="I61" s="2227" t="s">
        <v>1079</v>
      </c>
      <c r="J61" s="2227"/>
      <c r="K61" s="2227"/>
      <c r="L61" s="2227"/>
      <c r="M61" s="2227"/>
      <c r="N61" s="2227"/>
    </row>
  </sheetData>
  <mergeCells count="30">
    <mergeCell ref="I5:J5"/>
    <mergeCell ref="I6:J6"/>
    <mergeCell ref="A2:H2"/>
    <mergeCell ref="I2:N2"/>
    <mergeCell ref="A3:H3"/>
    <mergeCell ref="I3:N3"/>
    <mergeCell ref="A4:H4"/>
    <mergeCell ref="I4:N4"/>
    <mergeCell ref="N6:N7"/>
    <mergeCell ref="A61:H61"/>
    <mergeCell ref="I61:N61"/>
    <mergeCell ref="A5:B5"/>
    <mergeCell ref="A6:B6"/>
    <mergeCell ref="A14:H14"/>
    <mergeCell ref="I14:N14"/>
    <mergeCell ref="A30:H30"/>
    <mergeCell ref="I30:N30"/>
    <mergeCell ref="A7:B7"/>
    <mergeCell ref="D7:H7"/>
    <mergeCell ref="A8:B8"/>
    <mergeCell ref="D8:H8"/>
    <mergeCell ref="A9:B9"/>
    <mergeCell ref="A10:B10"/>
    <mergeCell ref="D5:H5"/>
    <mergeCell ref="D6:H6"/>
    <mergeCell ref="I8:I9"/>
    <mergeCell ref="J8:J9"/>
    <mergeCell ref="K6:K7"/>
    <mergeCell ref="L6:L7"/>
    <mergeCell ref="M6:M7"/>
  </mergeCells>
  <phoneticPr fontId="4" type="noConversion"/>
  <hyperlinks>
    <hyperlink ref="A1" location="목록!A1" display="목록!A1" xr:uid="{D2B9EAE3-0BBF-41F6-8A1B-798E596FB8C7}"/>
  </hyperlinks>
  <pageMargins left="0.59055118110236227" right="0.59055118110236227" top="0.78740157480314965" bottom="0.59055118110236227" header="0.62992125984251968" footer="0.39370078740157483"/>
  <pageSetup paperSize="9" orientation="portrait" r:id="rId1"/>
  <rowBreaks count="1" manualBreakCount="1">
    <brk id="61" max="13" man="1"/>
  </rowBreak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7"/>
  <dimension ref="A1:AA65"/>
  <sheetViews>
    <sheetView showGridLines="0" showWhiteSpace="0" view="pageBreakPreview" zoomScaleNormal="100" zoomScaleSheetLayoutView="100" zoomScalePageLayoutView="85" workbookViewId="0">
      <selection activeCell="A2" sqref="A2:AA59"/>
    </sheetView>
  </sheetViews>
  <sheetFormatPr defaultRowHeight="16.5"/>
  <cols>
    <col min="1" max="1" width="8.33203125" style="152" customWidth="1"/>
    <col min="2" max="2" width="9.44140625" style="153" customWidth="1"/>
    <col min="3" max="3" width="6" style="152" customWidth="1"/>
    <col min="4" max="4" width="7" style="152" customWidth="1"/>
    <col min="5" max="8" width="6" style="152" customWidth="1"/>
    <col min="9" max="9" width="7" style="152" customWidth="1"/>
    <col min="10" max="13" width="6" style="152" customWidth="1"/>
    <col min="14" max="14" width="7.21875" style="152" bestFit="1" customWidth="1"/>
    <col min="15" max="16" width="5.44140625" style="152" customWidth="1"/>
    <col min="17" max="17" width="4.77734375" style="152" customWidth="1"/>
    <col min="18" max="18" width="5.44140625" style="152" customWidth="1"/>
    <col min="19" max="19" width="7.21875" style="152" bestFit="1" customWidth="1"/>
    <col min="20" max="21" width="5.44140625" style="152" customWidth="1"/>
    <col min="22" max="22" width="4.77734375" style="152" customWidth="1"/>
    <col min="23" max="23" width="5.44140625" style="152" customWidth="1"/>
    <col min="24" max="24" width="7.21875" style="152" bestFit="1" customWidth="1"/>
    <col min="25" max="26" width="5.44140625" style="152" customWidth="1"/>
    <col min="27" max="27" width="4.77734375" style="152" customWidth="1"/>
    <col min="28" max="16384" width="8.88671875" style="60"/>
  </cols>
  <sheetData>
    <row r="1" spans="1:27" ht="22.5">
      <c r="A1" s="901" t="s">
        <v>1332</v>
      </c>
    </row>
    <row r="2" spans="1:27" s="122" customFormat="1" ht="13.5" customHeight="1">
      <c r="A2" s="1046" t="s">
        <v>1198</v>
      </c>
      <c r="B2" s="1046"/>
      <c r="C2" s="1046"/>
      <c r="D2" s="1046"/>
      <c r="E2" s="1046"/>
      <c r="F2" s="1046"/>
      <c r="G2" s="1046"/>
      <c r="H2" s="1046"/>
      <c r="I2" s="1046"/>
      <c r="J2" s="1046"/>
      <c r="K2" s="1046"/>
      <c r="L2" s="1046"/>
      <c r="M2" s="1046"/>
      <c r="N2" s="1049" t="s">
        <v>1199</v>
      </c>
      <c r="O2" s="1049"/>
      <c r="P2" s="1049"/>
      <c r="Q2" s="1049"/>
      <c r="R2" s="1049"/>
      <c r="S2" s="1049"/>
      <c r="T2" s="1049"/>
      <c r="U2" s="1049"/>
      <c r="V2" s="1049"/>
      <c r="W2" s="1049"/>
      <c r="X2" s="1049"/>
      <c r="Y2" s="1049"/>
      <c r="Z2" s="1049"/>
      <c r="AA2" s="1049"/>
    </row>
    <row r="3" spans="1:27" ht="22.5" customHeight="1">
      <c r="A3" s="1050" t="s">
        <v>891</v>
      </c>
      <c r="B3" s="1050"/>
      <c r="C3" s="1050"/>
      <c r="D3" s="1050"/>
      <c r="E3" s="1050"/>
      <c r="F3" s="1050"/>
      <c r="G3" s="1050"/>
      <c r="H3" s="1050"/>
      <c r="I3" s="1050"/>
      <c r="J3" s="1050"/>
      <c r="K3" s="1050"/>
      <c r="L3" s="1050"/>
      <c r="M3" s="1050" t="s">
        <v>1114</v>
      </c>
      <c r="N3" s="1050"/>
      <c r="O3" s="1050"/>
      <c r="P3" s="1050"/>
      <c r="Q3" s="1050"/>
      <c r="R3" s="1050"/>
      <c r="S3" s="1050"/>
      <c r="T3" s="1050"/>
      <c r="U3" s="1050"/>
      <c r="V3" s="1050"/>
      <c r="W3" s="1050"/>
      <c r="X3" s="1050"/>
      <c r="Y3" s="1050"/>
      <c r="Z3" s="1050"/>
      <c r="AA3" s="1050"/>
    </row>
    <row r="4" spans="1:27" ht="13.5" customHeight="1" thickBot="1">
      <c r="A4" s="1506" t="s">
        <v>1470</v>
      </c>
      <c r="B4" s="1506"/>
      <c r="C4" s="1506"/>
      <c r="D4" s="1506"/>
      <c r="E4" s="1506"/>
      <c r="F4" s="1506"/>
      <c r="G4" s="1506"/>
      <c r="H4" s="1506"/>
      <c r="I4" s="1506"/>
      <c r="J4" s="1506"/>
      <c r="K4" s="1506"/>
      <c r="L4" s="1506"/>
      <c r="M4" s="1506"/>
      <c r="N4" s="1505"/>
      <c r="O4" s="1505"/>
      <c r="P4" s="1505"/>
      <c r="Q4" s="1505"/>
      <c r="R4" s="1505"/>
      <c r="S4" s="1505"/>
      <c r="T4" s="1505"/>
      <c r="U4" s="1505"/>
      <c r="V4" s="1505"/>
      <c r="W4" s="1505"/>
      <c r="X4" s="1505"/>
      <c r="Y4" s="1505"/>
      <c r="Z4" s="1505"/>
      <c r="AA4" s="1505"/>
    </row>
    <row r="5" spans="1:27" s="125" customFormat="1" ht="13.5" customHeight="1">
      <c r="A5" s="1507" t="s">
        <v>2</v>
      </c>
      <c r="B5" s="1056"/>
      <c r="C5" s="1126" t="s">
        <v>95</v>
      </c>
      <c r="D5" s="1141"/>
      <c r="E5" s="1141"/>
      <c r="F5" s="1141"/>
      <c r="G5" s="1127"/>
      <c r="H5" s="1126" t="s">
        <v>946</v>
      </c>
      <c r="I5" s="1141"/>
      <c r="J5" s="1141"/>
      <c r="K5" s="1141"/>
      <c r="L5" s="1127"/>
      <c r="M5" s="1126" t="s">
        <v>334</v>
      </c>
      <c r="N5" s="1141"/>
      <c r="O5" s="1141"/>
      <c r="P5" s="1141"/>
      <c r="Q5" s="1127"/>
      <c r="R5" s="1126" t="s">
        <v>947</v>
      </c>
      <c r="S5" s="1141"/>
      <c r="T5" s="1141"/>
      <c r="U5" s="1141"/>
      <c r="V5" s="1127"/>
      <c r="W5" s="1126" t="s">
        <v>148</v>
      </c>
      <c r="X5" s="1141"/>
      <c r="Y5" s="1141"/>
      <c r="Z5" s="1141"/>
      <c r="AA5" s="1141"/>
    </row>
    <row r="6" spans="1:27" s="260" customFormat="1" ht="9.75" customHeight="1">
      <c r="A6" s="1136" t="s">
        <v>7</v>
      </c>
      <c r="B6" s="1082"/>
      <c r="C6" s="1083" t="s">
        <v>16</v>
      </c>
      <c r="D6" s="1051"/>
      <c r="E6" s="1051"/>
      <c r="F6" s="1051"/>
      <c r="G6" s="1052"/>
      <c r="H6" s="1083" t="s">
        <v>335</v>
      </c>
      <c r="I6" s="1051"/>
      <c r="J6" s="1051"/>
      <c r="K6" s="1051"/>
      <c r="L6" s="1052"/>
      <c r="M6" s="1083" t="s">
        <v>336</v>
      </c>
      <c r="N6" s="1051"/>
      <c r="O6" s="1051"/>
      <c r="P6" s="1051"/>
      <c r="Q6" s="1052"/>
      <c r="R6" s="1083" t="s">
        <v>337</v>
      </c>
      <c r="S6" s="1051"/>
      <c r="T6" s="1051"/>
      <c r="U6" s="1051"/>
      <c r="V6" s="1052"/>
      <c r="W6" s="1083" t="s">
        <v>150</v>
      </c>
      <c r="X6" s="1051"/>
      <c r="Y6" s="1051"/>
      <c r="Z6" s="1051"/>
      <c r="AA6" s="1051"/>
    </row>
    <row r="7" spans="1:27" s="125" customFormat="1" ht="13.5" customHeight="1">
      <c r="A7" s="1507"/>
      <c r="B7" s="1056"/>
      <c r="C7" s="920" t="s">
        <v>149</v>
      </c>
      <c r="D7" s="920" t="s">
        <v>479</v>
      </c>
      <c r="E7" s="920" t="s">
        <v>480</v>
      </c>
      <c r="F7" s="929" t="s">
        <v>1106</v>
      </c>
      <c r="G7" s="929" t="s">
        <v>148</v>
      </c>
      <c r="H7" s="262" t="s">
        <v>13</v>
      </c>
      <c r="I7" s="920" t="s">
        <v>479</v>
      </c>
      <c r="J7" s="920" t="s">
        <v>480</v>
      </c>
      <c r="K7" s="929" t="s">
        <v>1106</v>
      </c>
      <c r="L7" s="929" t="s">
        <v>148</v>
      </c>
      <c r="M7" s="262" t="s">
        <v>13</v>
      </c>
      <c r="N7" s="262" t="s">
        <v>479</v>
      </c>
      <c r="O7" s="920" t="s">
        <v>480</v>
      </c>
      <c r="P7" s="929" t="s">
        <v>1106</v>
      </c>
      <c r="Q7" s="929" t="s">
        <v>148</v>
      </c>
      <c r="R7" s="920" t="s">
        <v>13</v>
      </c>
      <c r="S7" s="920" t="s">
        <v>479</v>
      </c>
      <c r="T7" s="920" t="s">
        <v>480</v>
      </c>
      <c r="U7" s="929" t="s">
        <v>1106</v>
      </c>
      <c r="V7" s="929" t="s">
        <v>148</v>
      </c>
      <c r="W7" s="920" t="s">
        <v>13</v>
      </c>
      <c r="X7" s="920" t="s">
        <v>479</v>
      </c>
      <c r="Y7" s="920" t="s">
        <v>480</v>
      </c>
      <c r="Z7" s="262" t="s">
        <v>1106</v>
      </c>
      <c r="AA7" s="609" t="s">
        <v>148</v>
      </c>
    </row>
    <row r="8" spans="1:27" s="260" customFormat="1" ht="9.75">
      <c r="A8" s="1051"/>
      <c r="B8" s="1052"/>
      <c r="C8" s="923" t="s">
        <v>16</v>
      </c>
      <c r="D8" s="923" t="s">
        <v>481</v>
      </c>
      <c r="E8" s="923" t="s">
        <v>482</v>
      </c>
      <c r="F8" s="923" t="s">
        <v>1107</v>
      </c>
      <c r="G8" s="923" t="s">
        <v>150</v>
      </c>
      <c r="H8" s="928" t="s">
        <v>16</v>
      </c>
      <c r="I8" s="923" t="s">
        <v>481</v>
      </c>
      <c r="J8" s="923" t="s">
        <v>482</v>
      </c>
      <c r="K8" s="923" t="s">
        <v>1107</v>
      </c>
      <c r="L8" s="923" t="s">
        <v>150</v>
      </c>
      <c r="M8" s="928" t="s">
        <v>16</v>
      </c>
      <c r="N8" s="928" t="s">
        <v>481</v>
      </c>
      <c r="O8" s="923" t="s">
        <v>482</v>
      </c>
      <c r="P8" s="923" t="s">
        <v>1107</v>
      </c>
      <c r="Q8" s="923" t="s">
        <v>150</v>
      </c>
      <c r="R8" s="923" t="s">
        <v>16</v>
      </c>
      <c r="S8" s="923" t="s">
        <v>481</v>
      </c>
      <c r="T8" s="923" t="s">
        <v>482</v>
      </c>
      <c r="U8" s="923" t="s">
        <v>1107</v>
      </c>
      <c r="V8" s="923" t="s">
        <v>150</v>
      </c>
      <c r="W8" s="923" t="s">
        <v>16</v>
      </c>
      <c r="X8" s="923" t="s">
        <v>481</v>
      </c>
      <c r="Y8" s="923" t="s">
        <v>482</v>
      </c>
      <c r="Z8" s="928" t="s">
        <v>1107</v>
      </c>
      <c r="AA8" s="927" t="s">
        <v>150</v>
      </c>
    </row>
    <row r="9" spans="1:27" ht="12.75" customHeight="1">
      <c r="A9" s="128" t="s">
        <v>27</v>
      </c>
      <c r="B9" s="129" t="s">
        <v>16</v>
      </c>
      <c r="C9" s="91">
        <v>94217</v>
      </c>
      <c r="D9" s="91">
        <v>15243</v>
      </c>
      <c r="E9" s="91">
        <v>61282</v>
      </c>
      <c r="F9" s="91">
        <v>17451</v>
      </c>
      <c r="G9" s="91">
        <v>241</v>
      </c>
      <c r="H9" s="92">
        <v>76882</v>
      </c>
      <c r="I9" s="91">
        <v>6158</v>
      </c>
      <c r="J9" s="91">
        <v>54803</v>
      </c>
      <c r="K9" s="91">
        <v>15765</v>
      </c>
      <c r="L9" s="91">
        <v>156</v>
      </c>
      <c r="M9" s="92">
        <v>15437</v>
      </c>
      <c r="N9" s="92">
        <v>7440</v>
      </c>
      <c r="O9" s="91">
        <v>6274</v>
      </c>
      <c r="P9" s="91">
        <v>1644</v>
      </c>
      <c r="Q9" s="91">
        <v>79</v>
      </c>
      <c r="R9" s="91">
        <v>1201</v>
      </c>
      <c r="S9" s="91">
        <v>1102</v>
      </c>
      <c r="T9" s="91">
        <v>72</v>
      </c>
      <c r="U9" s="91">
        <v>25</v>
      </c>
      <c r="V9" s="91">
        <v>2</v>
      </c>
      <c r="W9" s="91">
        <v>697</v>
      </c>
      <c r="X9" s="91">
        <v>543</v>
      </c>
      <c r="Y9" s="91">
        <v>133</v>
      </c>
      <c r="Z9" s="92">
        <v>17</v>
      </c>
      <c r="AA9" s="98">
        <v>4</v>
      </c>
    </row>
    <row r="10" spans="1:27" ht="12.75" customHeight="1">
      <c r="A10" s="130" t="s">
        <v>136</v>
      </c>
      <c r="B10" s="131" t="s">
        <v>30</v>
      </c>
      <c r="C10" s="95">
        <v>88494</v>
      </c>
      <c r="D10" s="95">
        <v>14405</v>
      </c>
      <c r="E10" s="95">
        <v>57803</v>
      </c>
      <c r="F10" s="95">
        <v>16069</v>
      </c>
      <c r="G10" s="95">
        <v>217</v>
      </c>
      <c r="H10" s="96">
        <v>72286</v>
      </c>
      <c r="I10" s="95">
        <v>5801</v>
      </c>
      <c r="J10" s="95">
        <v>51744</v>
      </c>
      <c r="K10" s="95">
        <v>14609</v>
      </c>
      <c r="L10" s="95">
        <v>132</v>
      </c>
      <c r="M10" s="96">
        <v>14473</v>
      </c>
      <c r="N10" s="96">
        <v>7110</v>
      </c>
      <c r="O10" s="95">
        <v>5863</v>
      </c>
      <c r="P10" s="95">
        <v>1421</v>
      </c>
      <c r="Q10" s="95">
        <v>79</v>
      </c>
      <c r="R10" s="95">
        <v>1108</v>
      </c>
      <c r="S10" s="95">
        <v>1017</v>
      </c>
      <c r="T10" s="95">
        <v>67</v>
      </c>
      <c r="U10" s="95">
        <v>22</v>
      </c>
      <c r="V10" s="95">
        <v>2</v>
      </c>
      <c r="W10" s="95">
        <v>627</v>
      </c>
      <c r="X10" s="95">
        <v>477</v>
      </c>
      <c r="Y10" s="95">
        <v>129</v>
      </c>
      <c r="Z10" s="96">
        <v>17</v>
      </c>
      <c r="AA10" s="97">
        <v>4</v>
      </c>
    </row>
    <row r="11" spans="1:27" ht="12.75" customHeight="1" thickBot="1">
      <c r="A11" s="2228" t="s">
        <v>137</v>
      </c>
      <c r="B11" s="132" t="s">
        <v>32</v>
      </c>
      <c r="C11" s="99">
        <v>5723</v>
      </c>
      <c r="D11" s="99">
        <v>838</v>
      </c>
      <c r="E11" s="99">
        <v>3479</v>
      </c>
      <c r="F11" s="99">
        <v>1382</v>
      </c>
      <c r="G11" s="99">
        <v>24</v>
      </c>
      <c r="H11" s="100">
        <v>4596</v>
      </c>
      <c r="I11" s="99">
        <v>357</v>
      </c>
      <c r="J11" s="99">
        <v>3059</v>
      </c>
      <c r="K11" s="99">
        <v>1156</v>
      </c>
      <c r="L11" s="99">
        <v>24</v>
      </c>
      <c r="M11" s="100">
        <v>964</v>
      </c>
      <c r="N11" s="100">
        <v>330</v>
      </c>
      <c r="O11" s="99">
        <v>411</v>
      </c>
      <c r="P11" s="99">
        <v>223</v>
      </c>
      <c r="Q11" s="99" t="s">
        <v>28</v>
      </c>
      <c r="R11" s="99">
        <v>93</v>
      </c>
      <c r="S11" s="99">
        <v>85</v>
      </c>
      <c r="T11" s="99">
        <v>5</v>
      </c>
      <c r="U11" s="99">
        <v>3</v>
      </c>
      <c r="V11" s="99" t="s">
        <v>28</v>
      </c>
      <c r="W11" s="99">
        <v>70</v>
      </c>
      <c r="X11" s="99">
        <v>66</v>
      </c>
      <c r="Y11" s="99">
        <v>4</v>
      </c>
      <c r="Z11" s="100" t="s">
        <v>28</v>
      </c>
      <c r="AA11" s="101" t="s">
        <v>28</v>
      </c>
    </row>
    <row r="12" spans="1:27" s="125" customFormat="1" ht="14.25" customHeight="1" thickBot="1">
      <c r="A12" s="2229" t="s">
        <v>33</v>
      </c>
      <c r="B12" s="2229"/>
      <c r="C12" s="2229"/>
      <c r="D12" s="2229"/>
      <c r="E12" s="2229"/>
      <c r="F12" s="2229"/>
      <c r="G12" s="2229"/>
      <c r="H12" s="2229"/>
      <c r="I12" s="2229"/>
      <c r="J12" s="2229"/>
      <c r="K12" s="2229"/>
      <c r="L12" s="2229"/>
      <c r="M12" s="2230" t="s">
        <v>34</v>
      </c>
      <c r="N12" s="2230"/>
      <c r="O12" s="2230"/>
      <c r="P12" s="2230"/>
      <c r="Q12" s="2230"/>
      <c r="R12" s="2230"/>
      <c r="S12" s="2230"/>
      <c r="T12" s="2230"/>
      <c r="U12" s="2230"/>
      <c r="V12" s="2230"/>
      <c r="W12" s="2230"/>
      <c r="X12" s="2230"/>
      <c r="Y12" s="2230"/>
      <c r="Z12" s="2230"/>
      <c r="AA12" s="2230"/>
    </row>
    <row r="13" spans="1:27" ht="12.75" customHeight="1">
      <c r="A13" s="128" t="s">
        <v>35</v>
      </c>
      <c r="B13" s="129" t="s">
        <v>36</v>
      </c>
      <c r="C13" s="91">
        <v>18490</v>
      </c>
      <c r="D13" s="91">
        <v>2918</v>
      </c>
      <c r="E13" s="91">
        <v>12174</v>
      </c>
      <c r="F13" s="91">
        <v>3358</v>
      </c>
      <c r="G13" s="91">
        <v>40</v>
      </c>
      <c r="H13" s="91">
        <v>15426</v>
      </c>
      <c r="I13" s="91">
        <v>1293</v>
      </c>
      <c r="J13" s="91">
        <v>10976</v>
      </c>
      <c r="K13" s="91">
        <v>3133</v>
      </c>
      <c r="L13" s="91">
        <v>24</v>
      </c>
      <c r="M13" s="93">
        <v>2737</v>
      </c>
      <c r="N13" s="93">
        <v>1342</v>
      </c>
      <c r="O13" s="91">
        <v>1162</v>
      </c>
      <c r="P13" s="91">
        <v>219</v>
      </c>
      <c r="Q13" s="91">
        <v>14</v>
      </c>
      <c r="R13" s="91">
        <v>199</v>
      </c>
      <c r="S13" s="91">
        <v>178</v>
      </c>
      <c r="T13" s="91">
        <v>19</v>
      </c>
      <c r="U13" s="91" t="s">
        <v>28</v>
      </c>
      <c r="V13" s="91">
        <v>2</v>
      </c>
      <c r="W13" s="91">
        <v>128</v>
      </c>
      <c r="X13" s="91">
        <v>105</v>
      </c>
      <c r="Y13" s="91">
        <v>17</v>
      </c>
      <c r="Z13" s="91">
        <v>6</v>
      </c>
      <c r="AA13" s="171" t="s">
        <v>28</v>
      </c>
    </row>
    <row r="14" spans="1:27" ht="12.75" customHeight="1">
      <c r="A14" s="130" t="s">
        <v>136</v>
      </c>
      <c r="B14" s="131" t="s">
        <v>30</v>
      </c>
      <c r="C14" s="95">
        <v>14749</v>
      </c>
      <c r="D14" s="95">
        <v>2198</v>
      </c>
      <c r="E14" s="95">
        <v>10048</v>
      </c>
      <c r="F14" s="95">
        <v>2487</v>
      </c>
      <c r="G14" s="95">
        <v>16</v>
      </c>
      <c r="H14" s="95">
        <v>12561</v>
      </c>
      <c r="I14" s="95">
        <v>970</v>
      </c>
      <c r="J14" s="95">
        <v>9165</v>
      </c>
      <c r="K14" s="95">
        <v>2426</v>
      </c>
      <c r="L14" s="95" t="s">
        <v>28</v>
      </c>
      <c r="M14" s="96">
        <v>1992</v>
      </c>
      <c r="N14" s="96">
        <v>1071</v>
      </c>
      <c r="O14" s="95">
        <v>852</v>
      </c>
      <c r="P14" s="95">
        <v>55</v>
      </c>
      <c r="Q14" s="95">
        <v>14</v>
      </c>
      <c r="R14" s="95">
        <v>130</v>
      </c>
      <c r="S14" s="95">
        <v>110</v>
      </c>
      <c r="T14" s="95">
        <v>18</v>
      </c>
      <c r="U14" s="95" t="s">
        <v>28</v>
      </c>
      <c r="V14" s="95">
        <v>2</v>
      </c>
      <c r="W14" s="95">
        <v>66</v>
      </c>
      <c r="X14" s="95">
        <v>47</v>
      </c>
      <c r="Y14" s="95">
        <v>13</v>
      </c>
      <c r="Z14" s="96">
        <v>6</v>
      </c>
      <c r="AA14" s="97" t="s">
        <v>28</v>
      </c>
    </row>
    <row r="15" spans="1:27" ht="12.75" customHeight="1">
      <c r="A15" s="130" t="s">
        <v>137</v>
      </c>
      <c r="B15" s="131" t="s">
        <v>32</v>
      </c>
      <c r="C15" s="95">
        <v>3741</v>
      </c>
      <c r="D15" s="95">
        <v>720</v>
      </c>
      <c r="E15" s="95">
        <v>2126</v>
      </c>
      <c r="F15" s="95">
        <v>871</v>
      </c>
      <c r="G15" s="95">
        <v>24</v>
      </c>
      <c r="H15" s="95">
        <v>2865</v>
      </c>
      <c r="I15" s="95">
        <v>323</v>
      </c>
      <c r="J15" s="95">
        <v>1811</v>
      </c>
      <c r="K15" s="95">
        <v>707</v>
      </c>
      <c r="L15" s="95">
        <v>24</v>
      </c>
      <c r="M15" s="96">
        <v>745</v>
      </c>
      <c r="N15" s="96">
        <v>271</v>
      </c>
      <c r="O15" s="95">
        <v>310</v>
      </c>
      <c r="P15" s="95">
        <v>164</v>
      </c>
      <c r="Q15" s="95" t="s">
        <v>28</v>
      </c>
      <c r="R15" s="95">
        <v>69</v>
      </c>
      <c r="S15" s="95">
        <v>68</v>
      </c>
      <c r="T15" s="95">
        <v>1</v>
      </c>
      <c r="U15" s="95" t="s">
        <v>28</v>
      </c>
      <c r="V15" s="95" t="s">
        <v>28</v>
      </c>
      <c r="W15" s="95">
        <v>62</v>
      </c>
      <c r="X15" s="95">
        <v>58</v>
      </c>
      <c r="Y15" s="95">
        <v>4</v>
      </c>
      <c r="Z15" s="96" t="s">
        <v>28</v>
      </c>
      <c r="AA15" s="97" t="s">
        <v>28</v>
      </c>
    </row>
    <row r="16" spans="1:27" ht="12.75" customHeight="1">
      <c r="A16" s="128" t="s">
        <v>37</v>
      </c>
      <c r="B16" s="129" t="s">
        <v>38</v>
      </c>
      <c r="C16" s="91">
        <v>22906</v>
      </c>
      <c r="D16" s="91">
        <v>3945</v>
      </c>
      <c r="E16" s="91">
        <v>13960</v>
      </c>
      <c r="F16" s="91">
        <v>4836</v>
      </c>
      <c r="G16" s="91">
        <v>165</v>
      </c>
      <c r="H16" s="91">
        <v>18459</v>
      </c>
      <c r="I16" s="91">
        <v>1615</v>
      </c>
      <c r="J16" s="91">
        <v>12212</v>
      </c>
      <c r="K16" s="91">
        <v>4515</v>
      </c>
      <c r="L16" s="91">
        <v>117</v>
      </c>
      <c r="M16" s="92">
        <v>3973</v>
      </c>
      <c r="N16" s="92">
        <v>1971</v>
      </c>
      <c r="O16" s="91">
        <v>1642</v>
      </c>
      <c r="P16" s="91">
        <v>312</v>
      </c>
      <c r="Q16" s="91">
        <v>48</v>
      </c>
      <c r="R16" s="91">
        <v>297</v>
      </c>
      <c r="S16" s="91">
        <v>278</v>
      </c>
      <c r="T16" s="91">
        <v>13</v>
      </c>
      <c r="U16" s="91">
        <v>6</v>
      </c>
      <c r="V16" s="91" t="s">
        <v>28</v>
      </c>
      <c r="W16" s="91">
        <v>177</v>
      </c>
      <c r="X16" s="91">
        <v>81</v>
      </c>
      <c r="Y16" s="91">
        <v>93</v>
      </c>
      <c r="Z16" s="91">
        <v>3</v>
      </c>
      <c r="AA16" s="171" t="s">
        <v>28</v>
      </c>
    </row>
    <row r="17" spans="1:27" ht="12.75" customHeight="1">
      <c r="A17" s="130" t="s">
        <v>136</v>
      </c>
      <c r="B17" s="131" t="s">
        <v>30</v>
      </c>
      <c r="C17" s="95">
        <v>22906</v>
      </c>
      <c r="D17" s="95">
        <v>3945</v>
      </c>
      <c r="E17" s="95">
        <v>13960</v>
      </c>
      <c r="F17" s="95">
        <v>4836</v>
      </c>
      <c r="G17" s="95">
        <v>165</v>
      </c>
      <c r="H17" s="95">
        <v>18459</v>
      </c>
      <c r="I17" s="95">
        <v>1615</v>
      </c>
      <c r="J17" s="95">
        <v>12212</v>
      </c>
      <c r="K17" s="95">
        <v>4515</v>
      </c>
      <c r="L17" s="95">
        <v>117</v>
      </c>
      <c r="M17" s="96">
        <v>3973</v>
      </c>
      <c r="N17" s="96">
        <v>1971</v>
      </c>
      <c r="O17" s="95">
        <v>1642</v>
      </c>
      <c r="P17" s="95">
        <v>312</v>
      </c>
      <c r="Q17" s="95">
        <v>48</v>
      </c>
      <c r="R17" s="95">
        <v>297</v>
      </c>
      <c r="S17" s="95">
        <v>278</v>
      </c>
      <c r="T17" s="95">
        <v>13</v>
      </c>
      <c r="U17" s="95">
        <v>6</v>
      </c>
      <c r="V17" s="95" t="s">
        <v>28</v>
      </c>
      <c r="W17" s="95">
        <v>177</v>
      </c>
      <c r="X17" s="95">
        <v>81</v>
      </c>
      <c r="Y17" s="95">
        <v>93</v>
      </c>
      <c r="Z17" s="96">
        <v>3</v>
      </c>
      <c r="AA17" s="97" t="s">
        <v>28</v>
      </c>
    </row>
    <row r="18" spans="1:27" ht="12.75" customHeight="1">
      <c r="A18" s="130" t="s">
        <v>137</v>
      </c>
      <c r="B18" s="131" t="s">
        <v>32</v>
      </c>
      <c r="C18" s="95" t="s">
        <v>28</v>
      </c>
      <c r="D18" s="95" t="s">
        <v>28</v>
      </c>
      <c r="E18" s="95" t="s">
        <v>28</v>
      </c>
      <c r="F18" s="95" t="s">
        <v>28</v>
      </c>
      <c r="G18" s="95" t="s">
        <v>28</v>
      </c>
      <c r="H18" s="95" t="s">
        <v>28</v>
      </c>
      <c r="I18" s="95" t="s">
        <v>28</v>
      </c>
      <c r="J18" s="95" t="s">
        <v>28</v>
      </c>
      <c r="K18" s="95" t="s">
        <v>28</v>
      </c>
      <c r="L18" s="95" t="s">
        <v>28</v>
      </c>
      <c r="M18" s="96" t="s">
        <v>28</v>
      </c>
      <c r="N18" s="96" t="s">
        <v>28</v>
      </c>
      <c r="O18" s="95" t="s">
        <v>28</v>
      </c>
      <c r="P18" s="95" t="s">
        <v>28</v>
      </c>
      <c r="Q18" s="95" t="s">
        <v>28</v>
      </c>
      <c r="R18" s="95" t="s">
        <v>28</v>
      </c>
      <c r="S18" s="95" t="s">
        <v>28</v>
      </c>
      <c r="T18" s="95" t="s">
        <v>28</v>
      </c>
      <c r="U18" s="95" t="s">
        <v>28</v>
      </c>
      <c r="V18" s="95" t="s">
        <v>28</v>
      </c>
      <c r="W18" s="95" t="s">
        <v>28</v>
      </c>
      <c r="X18" s="95" t="s">
        <v>28</v>
      </c>
      <c r="Y18" s="95" t="s">
        <v>28</v>
      </c>
      <c r="Z18" s="96" t="s">
        <v>28</v>
      </c>
      <c r="AA18" s="97" t="s">
        <v>28</v>
      </c>
    </row>
    <row r="19" spans="1:27" ht="12.75" customHeight="1">
      <c r="A19" s="128" t="s">
        <v>39</v>
      </c>
      <c r="B19" s="129" t="s">
        <v>40</v>
      </c>
      <c r="C19" s="91">
        <v>32009</v>
      </c>
      <c r="D19" s="91">
        <v>4818</v>
      </c>
      <c r="E19" s="91">
        <v>22013</v>
      </c>
      <c r="F19" s="91">
        <v>5159</v>
      </c>
      <c r="G19" s="91">
        <v>19</v>
      </c>
      <c r="H19" s="91">
        <v>26490</v>
      </c>
      <c r="I19" s="91">
        <v>1907</v>
      </c>
      <c r="J19" s="91">
        <v>19946</v>
      </c>
      <c r="K19" s="91">
        <v>4622</v>
      </c>
      <c r="L19" s="91">
        <v>15</v>
      </c>
      <c r="M19" s="92">
        <v>4766</v>
      </c>
      <c r="N19" s="92">
        <v>2204</v>
      </c>
      <c r="O19" s="91">
        <v>2039</v>
      </c>
      <c r="P19" s="91">
        <v>523</v>
      </c>
      <c r="Q19" s="91" t="s">
        <v>28</v>
      </c>
      <c r="R19" s="91">
        <v>446</v>
      </c>
      <c r="S19" s="91">
        <v>413</v>
      </c>
      <c r="T19" s="91">
        <v>19</v>
      </c>
      <c r="U19" s="91">
        <v>14</v>
      </c>
      <c r="V19" s="91" t="s">
        <v>28</v>
      </c>
      <c r="W19" s="91">
        <v>307</v>
      </c>
      <c r="X19" s="91">
        <v>294</v>
      </c>
      <c r="Y19" s="91">
        <v>9</v>
      </c>
      <c r="Z19" s="91" t="s">
        <v>28</v>
      </c>
      <c r="AA19" s="171">
        <v>4</v>
      </c>
    </row>
    <row r="20" spans="1:27" ht="12.75" customHeight="1">
      <c r="A20" s="130" t="s">
        <v>136</v>
      </c>
      <c r="B20" s="131" t="s">
        <v>30</v>
      </c>
      <c r="C20" s="95">
        <v>30304</v>
      </c>
      <c r="D20" s="95">
        <v>4740</v>
      </c>
      <c r="E20" s="95">
        <v>20795</v>
      </c>
      <c r="F20" s="95">
        <v>4750</v>
      </c>
      <c r="G20" s="95">
        <v>19</v>
      </c>
      <c r="H20" s="95">
        <v>24946</v>
      </c>
      <c r="I20" s="95">
        <v>1873</v>
      </c>
      <c r="J20" s="95">
        <v>18800</v>
      </c>
      <c r="K20" s="95">
        <v>4258</v>
      </c>
      <c r="L20" s="95">
        <v>15</v>
      </c>
      <c r="M20" s="96">
        <v>4632</v>
      </c>
      <c r="N20" s="96">
        <v>2182</v>
      </c>
      <c r="O20" s="95">
        <v>1969</v>
      </c>
      <c r="P20" s="95">
        <v>481</v>
      </c>
      <c r="Q20" s="95" t="s">
        <v>28</v>
      </c>
      <c r="R20" s="95">
        <v>427</v>
      </c>
      <c r="S20" s="95">
        <v>399</v>
      </c>
      <c r="T20" s="95">
        <v>17</v>
      </c>
      <c r="U20" s="95">
        <v>11</v>
      </c>
      <c r="V20" s="95" t="s">
        <v>28</v>
      </c>
      <c r="W20" s="95">
        <v>299</v>
      </c>
      <c r="X20" s="95">
        <v>286</v>
      </c>
      <c r="Y20" s="95">
        <v>9</v>
      </c>
      <c r="Z20" s="96" t="s">
        <v>28</v>
      </c>
      <c r="AA20" s="97">
        <v>4</v>
      </c>
    </row>
    <row r="21" spans="1:27" ht="12.75" customHeight="1">
      <c r="A21" s="130" t="s">
        <v>137</v>
      </c>
      <c r="B21" s="131" t="s">
        <v>32</v>
      </c>
      <c r="C21" s="95">
        <v>1705</v>
      </c>
      <c r="D21" s="95">
        <v>78</v>
      </c>
      <c r="E21" s="95">
        <v>1218</v>
      </c>
      <c r="F21" s="95">
        <v>409</v>
      </c>
      <c r="G21" s="95" t="s">
        <v>28</v>
      </c>
      <c r="H21" s="95">
        <v>1544</v>
      </c>
      <c r="I21" s="95">
        <v>34</v>
      </c>
      <c r="J21" s="95">
        <v>1146</v>
      </c>
      <c r="K21" s="95">
        <v>364</v>
      </c>
      <c r="L21" s="95" t="s">
        <v>28</v>
      </c>
      <c r="M21" s="96">
        <v>134</v>
      </c>
      <c r="N21" s="96">
        <v>22</v>
      </c>
      <c r="O21" s="95">
        <v>70</v>
      </c>
      <c r="P21" s="95">
        <v>42</v>
      </c>
      <c r="Q21" s="95" t="s">
        <v>28</v>
      </c>
      <c r="R21" s="95">
        <v>19</v>
      </c>
      <c r="S21" s="95">
        <v>14</v>
      </c>
      <c r="T21" s="95">
        <v>2</v>
      </c>
      <c r="U21" s="95">
        <v>3</v>
      </c>
      <c r="V21" s="95" t="s">
        <v>28</v>
      </c>
      <c r="W21" s="95">
        <v>8</v>
      </c>
      <c r="X21" s="95">
        <v>8</v>
      </c>
      <c r="Y21" s="95" t="s">
        <v>28</v>
      </c>
      <c r="Z21" s="96" t="s">
        <v>28</v>
      </c>
      <c r="AA21" s="97" t="s">
        <v>28</v>
      </c>
    </row>
    <row r="22" spans="1:27" ht="12.75" customHeight="1">
      <c r="A22" s="128" t="s">
        <v>41</v>
      </c>
      <c r="B22" s="129" t="s">
        <v>42</v>
      </c>
      <c r="C22" s="91">
        <v>18522</v>
      </c>
      <c r="D22" s="91">
        <v>3167</v>
      </c>
      <c r="E22" s="91">
        <v>11636</v>
      </c>
      <c r="F22" s="91">
        <v>3702</v>
      </c>
      <c r="G22" s="91">
        <v>17</v>
      </c>
      <c r="H22" s="91">
        <v>14755</v>
      </c>
      <c r="I22" s="91">
        <v>1188</v>
      </c>
      <c r="J22" s="91">
        <v>10382</v>
      </c>
      <c r="K22" s="91">
        <v>3185</v>
      </c>
      <c r="L22" s="91" t="s">
        <v>28</v>
      </c>
      <c r="M22" s="92">
        <v>3481</v>
      </c>
      <c r="N22" s="92">
        <v>1722</v>
      </c>
      <c r="O22" s="91">
        <v>1238</v>
      </c>
      <c r="P22" s="91">
        <v>504</v>
      </c>
      <c r="Q22" s="91">
        <v>17</v>
      </c>
      <c r="R22" s="91">
        <v>212</v>
      </c>
      <c r="S22" s="91">
        <v>204</v>
      </c>
      <c r="T22" s="91">
        <v>3</v>
      </c>
      <c r="U22" s="91">
        <v>5</v>
      </c>
      <c r="V22" s="91" t="s">
        <v>28</v>
      </c>
      <c r="W22" s="91">
        <v>74</v>
      </c>
      <c r="X22" s="91">
        <v>53</v>
      </c>
      <c r="Y22" s="91">
        <v>13</v>
      </c>
      <c r="Z22" s="91">
        <v>8</v>
      </c>
      <c r="AA22" s="171" t="s">
        <v>28</v>
      </c>
    </row>
    <row r="23" spans="1:27" ht="12.75" customHeight="1">
      <c r="A23" s="130" t="s">
        <v>136</v>
      </c>
      <c r="B23" s="131" t="s">
        <v>30</v>
      </c>
      <c r="C23" s="95">
        <v>18522</v>
      </c>
      <c r="D23" s="95">
        <v>3167</v>
      </c>
      <c r="E23" s="95">
        <v>11636</v>
      </c>
      <c r="F23" s="95">
        <v>3702</v>
      </c>
      <c r="G23" s="95">
        <v>17</v>
      </c>
      <c r="H23" s="95">
        <v>14755</v>
      </c>
      <c r="I23" s="95">
        <v>1188</v>
      </c>
      <c r="J23" s="95">
        <v>10382</v>
      </c>
      <c r="K23" s="95">
        <v>3185</v>
      </c>
      <c r="L23" s="95" t="s">
        <v>28</v>
      </c>
      <c r="M23" s="96">
        <v>3481</v>
      </c>
      <c r="N23" s="96">
        <v>1722</v>
      </c>
      <c r="O23" s="95">
        <v>1238</v>
      </c>
      <c r="P23" s="95">
        <v>504</v>
      </c>
      <c r="Q23" s="95">
        <v>17</v>
      </c>
      <c r="R23" s="95">
        <v>212</v>
      </c>
      <c r="S23" s="95">
        <v>204</v>
      </c>
      <c r="T23" s="95">
        <v>3</v>
      </c>
      <c r="U23" s="95">
        <v>5</v>
      </c>
      <c r="V23" s="95" t="s">
        <v>28</v>
      </c>
      <c r="W23" s="95">
        <v>74</v>
      </c>
      <c r="X23" s="95">
        <v>53</v>
      </c>
      <c r="Y23" s="95">
        <v>13</v>
      </c>
      <c r="Z23" s="96">
        <v>8</v>
      </c>
      <c r="AA23" s="97" t="s">
        <v>28</v>
      </c>
    </row>
    <row r="24" spans="1:27" ht="12.75" customHeight="1">
      <c r="A24" s="130" t="s">
        <v>137</v>
      </c>
      <c r="B24" s="131" t="s">
        <v>32</v>
      </c>
      <c r="C24" s="95" t="s">
        <v>28</v>
      </c>
      <c r="D24" s="95" t="s">
        <v>28</v>
      </c>
      <c r="E24" s="95" t="s">
        <v>28</v>
      </c>
      <c r="F24" s="95" t="s">
        <v>28</v>
      </c>
      <c r="G24" s="95" t="s">
        <v>28</v>
      </c>
      <c r="H24" s="95" t="s">
        <v>28</v>
      </c>
      <c r="I24" s="95" t="s">
        <v>28</v>
      </c>
      <c r="J24" s="95" t="s">
        <v>28</v>
      </c>
      <c r="K24" s="95" t="s">
        <v>28</v>
      </c>
      <c r="L24" s="95" t="s">
        <v>28</v>
      </c>
      <c r="M24" s="96" t="s">
        <v>28</v>
      </c>
      <c r="N24" s="96" t="s">
        <v>28</v>
      </c>
      <c r="O24" s="95" t="s">
        <v>28</v>
      </c>
      <c r="P24" s="95" t="s">
        <v>28</v>
      </c>
      <c r="Q24" s="95" t="s">
        <v>28</v>
      </c>
      <c r="R24" s="95" t="s">
        <v>28</v>
      </c>
      <c r="S24" s="95" t="s">
        <v>28</v>
      </c>
      <c r="T24" s="95" t="s">
        <v>28</v>
      </c>
      <c r="U24" s="95" t="s">
        <v>28</v>
      </c>
      <c r="V24" s="95" t="s">
        <v>28</v>
      </c>
      <c r="W24" s="95" t="s">
        <v>28</v>
      </c>
      <c r="X24" s="95" t="s">
        <v>28</v>
      </c>
      <c r="Y24" s="95" t="s">
        <v>28</v>
      </c>
      <c r="Z24" s="96" t="s">
        <v>28</v>
      </c>
      <c r="AA24" s="97" t="s">
        <v>28</v>
      </c>
    </row>
    <row r="25" spans="1:27" ht="12.75" customHeight="1">
      <c r="A25" s="128" t="s">
        <v>43</v>
      </c>
      <c r="B25" s="129" t="s">
        <v>44</v>
      </c>
      <c r="C25" s="91">
        <v>2290</v>
      </c>
      <c r="D25" s="91">
        <v>395</v>
      </c>
      <c r="E25" s="91">
        <v>1499</v>
      </c>
      <c r="F25" s="91">
        <v>396</v>
      </c>
      <c r="G25" s="91" t="s">
        <v>28</v>
      </c>
      <c r="H25" s="91">
        <v>1752</v>
      </c>
      <c r="I25" s="91">
        <v>155</v>
      </c>
      <c r="J25" s="91">
        <v>1287</v>
      </c>
      <c r="K25" s="91">
        <v>310</v>
      </c>
      <c r="L25" s="91" t="s">
        <v>28</v>
      </c>
      <c r="M25" s="92">
        <v>480</v>
      </c>
      <c r="N25" s="92">
        <v>201</v>
      </c>
      <c r="O25" s="91">
        <v>193</v>
      </c>
      <c r="P25" s="91">
        <v>86</v>
      </c>
      <c r="Q25" s="91" t="s">
        <v>28</v>
      </c>
      <c r="R25" s="91">
        <v>47</v>
      </c>
      <c r="S25" s="91">
        <v>29</v>
      </c>
      <c r="T25" s="91">
        <v>18</v>
      </c>
      <c r="U25" s="91" t="s">
        <v>28</v>
      </c>
      <c r="V25" s="91" t="s">
        <v>28</v>
      </c>
      <c r="W25" s="91">
        <v>11</v>
      </c>
      <c r="X25" s="91">
        <v>10</v>
      </c>
      <c r="Y25" s="91">
        <v>1</v>
      </c>
      <c r="Z25" s="91" t="s">
        <v>28</v>
      </c>
      <c r="AA25" s="171" t="s">
        <v>28</v>
      </c>
    </row>
    <row r="26" spans="1:27" ht="12.75" customHeight="1">
      <c r="A26" s="130" t="s">
        <v>136</v>
      </c>
      <c r="B26" s="131" t="s">
        <v>30</v>
      </c>
      <c r="C26" s="95">
        <v>2013</v>
      </c>
      <c r="D26" s="95">
        <v>355</v>
      </c>
      <c r="E26" s="95">
        <v>1364</v>
      </c>
      <c r="F26" s="95">
        <v>294</v>
      </c>
      <c r="G26" s="95" t="s">
        <v>28</v>
      </c>
      <c r="H26" s="95">
        <v>1565</v>
      </c>
      <c r="I26" s="95">
        <v>155</v>
      </c>
      <c r="J26" s="95">
        <v>1185</v>
      </c>
      <c r="K26" s="95">
        <v>225</v>
      </c>
      <c r="L26" s="95" t="s">
        <v>28</v>
      </c>
      <c r="M26" s="96">
        <v>395</v>
      </c>
      <c r="N26" s="96">
        <v>164</v>
      </c>
      <c r="O26" s="95">
        <v>162</v>
      </c>
      <c r="P26" s="95">
        <v>69</v>
      </c>
      <c r="Q26" s="95" t="s">
        <v>28</v>
      </c>
      <c r="R26" s="95">
        <v>42</v>
      </c>
      <c r="S26" s="95">
        <v>26</v>
      </c>
      <c r="T26" s="95">
        <v>16</v>
      </c>
      <c r="U26" s="95" t="s">
        <v>28</v>
      </c>
      <c r="V26" s="95" t="s">
        <v>28</v>
      </c>
      <c r="W26" s="95">
        <v>11</v>
      </c>
      <c r="X26" s="95">
        <v>10</v>
      </c>
      <c r="Y26" s="95">
        <v>1</v>
      </c>
      <c r="Z26" s="96" t="s">
        <v>28</v>
      </c>
      <c r="AA26" s="97" t="s">
        <v>28</v>
      </c>
    </row>
    <row r="27" spans="1:27" ht="12.75" customHeight="1" thickBot="1">
      <c r="A27" s="2228" t="s">
        <v>137</v>
      </c>
      <c r="B27" s="132" t="s">
        <v>32</v>
      </c>
      <c r="C27" s="99">
        <v>277</v>
      </c>
      <c r="D27" s="99">
        <v>40</v>
      </c>
      <c r="E27" s="99">
        <v>135</v>
      </c>
      <c r="F27" s="99">
        <v>102</v>
      </c>
      <c r="G27" s="99" t="s">
        <v>28</v>
      </c>
      <c r="H27" s="99">
        <v>187</v>
      </c>
      <c r="I27" s="99" t="s">
        <v>28</v>
      </c>
      <c r="J27" s="99">
        <v>102</v>
      </c>
      <c r="K27" s="99">
        <v>85</v>
      </c>
      <c r="L27" s="99" t="s">
        <v>28</v>
      </c>
      <c r="M27" s="100">
        <v>85</v>
      </c>
      <c r="N27" s="100">
        <v>37</v>
      </c>
      <c r="O27" s="99">
        <v>31</v>
      </c>
      <c r="P27" s="99">
        <v>17</v>
      </c>
      <c r="Q27" s="99" t="s">
        <v>28</v>
      </c>
      <c r="R27" s="99">
        <v>5</v>
      </c>
      <c r="S27" s="99">
        <v>3</v>
      </c>
      <c r="T27" s="99">
        <v>2</v>
      </c>
      <c r="U27" s="99" t="s">
        <v>28</v>
      </c>
      <c r="V27" s="99" t="s">
        <v>28</v>
      </c>
      <c r="W27" s="99" t="s">
        <v>28</v>
      </c>
      <c r="X27" s="99" t="s">
        <v>28</v>
      </c>
      <c r="Y27" s="99" t="s">
        <v>28</v>
      </c>
      <c r="Z27" s="100" t="s">
        <v>28</v>
      </c>
      <c r="AA27" s="101" t="s">
        <v>28</v>
      </c>
    </row>
    <row r="28" spans="1:27" s="125" customFormat="1" ht="14.25" customHeight="1" thickBot="1">
      <c r="A28" s="1508" t="s">
        <v>45</v>
      </c>
      <c r="B28" s="1508"/>
      <c r="C28" s="1508"/>
      <c r="D28" s="1508"/>
      <c r="E28" s="1508"/>
      <c r="F28" s="1508"/>
      <c r="G28" s="1508"/>
      <c r="H28" s="1508"/>
      <c r="I28" s="1508"/>
      <c r="J28" s="1508"/>
      <c r="K28" s="1508"/>
      <c r="L28" s="1508"/>
      <c r="M28" s="1063" t="s">
        <v>46</v>
      </c>
      <c r="N28" s="1063"/>
      <c r="O28" s="1063"/>
      <c r="P28" s="1063"/>
      <c r="Q28" s="1063"/>
      <c r="R28" s="1063"/>
      <c r="S28" s="1063"/>
      <c r="T28" s="1063"/>
      <c r="U28" s="1063"/>
      <c r="V28" s="1063"/>
      <c r="W28" s="1063"/>
      <c r="X28" s="1063"/>
      <c r="Y28" s="1063"/>
      <c r="Z28" s="1063"/>
      <c r="AA28" s="1063"/>
    </row>
    <row r="29" spans="1:27" ht="12.75" customHeight="1">
      <c r="A29" s="89" t="s">
        <v>47</v>
      </c>
      <c r="B29" s="170" t="s">
        <v>48</v>
      </c>
      <c r="C29" s="91">
        <v>7346</v>
      </c>
      <c r="D29" s="91">
        <v>1091</v>
      </c>
      <c r="E29" s="91">
        <v>4551</v>
      </c>
      <c r="F29" s="91">
        <v>1680</v>
      </c>
      <c r="G29" s="91">
        <v>24</v>
      </c>
      <c r="H29" s="91">
        <v>6110</v>
      </c>
      <c r="I29" s="91">
        <v>401</v>
      </c>
      <c r="J29" s="91">
        <v>4116</v>
      </c>
      <c r="K29" s="91">
        <v>1569</v>
      </c>
      <c r="L29" s="91">
        <v>24</v>
      </c>
      <c r="M29" s="93">
        <v>1097</v>
      </c>
      <c r="N29" s="92">
        <v>570</v>
      </c>
      <c r="O29" s="91">
        <v>416</v>
      </c>
      <c r="P29" s="91">
        <v>111</v>
      </c>
      <c r="Q29" s="91" t="s">
        <v>28</v>
      </c>
      <c r="R29" s="91">
        <v>84</v>
      </c>
      <c r="S29" s="91">
        <v>71</v>
      </c>
      <c r="T29" s="91">
        <v>13</v>
      </c>
      <c r="U29" s="91" t="s">
        <v>28</v>
      </c>
      <c r="V29" s="91" t="s">
        <v>28</v>
      </c>
      <c r="W29" s="91">
        <v>55</v>
      </c>
      <c r="X29" s="91">
        <v>49</v>
      </c>
      <c r="Y29" s="91">
        <v>6</v>
      </c>
      <c r="Z29" s="93" t="s">
        <v>28</v>
      </c>
      <c r="AA29" s="98" t="s">
        <v>28</v>
      </c>
    </row>
    <row r="30" spans="1:27" ht="12.75" customHeight="1">
      <c r="A30" s="94" t="s">
        <v>136</v>
      </c>
      <c r="B30" s="172" t="s">
        <v>30</v>
      </c>
      <c r="C30" s="95">
        <v>5799</v>
      </c>
      <c r="D30" s="95">
        <v>632</v>
      </c>
      <c r="E30" s="95">
        <v>3940</v>
      </c>
      <c r="F30" s="95">
        <v>1227</v>
      </c>
      <c r="G30" s="95" t="s">
        <v>28</v>
      </c>
      <c r="H30" s="95">
        <v>5076</v>
      </c>
      <c r="I30" s="95">
        <v>230</v>
      </c>
      <c r="J30" s="95">
        <v>3654</v>
      </c>
      <c r="K30" s="95">
        <v>1192</v>
      </c>
      <c r="L30" s="95" t="s">
        <v>28</v>
      </c>
      <c r="M30" s="96">
        <v>632</v>
      </c>
      <c r="N30" s="96">
        <v>329</v>
      </c>
      <c r="O30" s="95">
        <v>268</v>
      </c>
      <c r="P30" s="95">
        <v>35</v>
      </c>
      <c r="Q30" s="95" t="s">
        <v>28</v>
      </c>
      <c r="R30" s="95">
        <v>57</v>
      </c>
      <c r="S30" s="95">
        <v>45</v>
      </c>
      <c r="T30" s="95">
        <v>12</v>
      </c>
      <c r="U30" s="95" t="s">
        <v>28</v>
      </c>
      <c r="V30" s="95" t="s">
        <v>28</v>
      </c>
      <c r="W30" s="95">
        <v>34</v>
      </c>
      <c r="X30" s="95">
        <v>28</v>
      </c>
      <c r="Y30" s="95">
        <v>6</v>
      </c>
      <c r="Z30" s="96" t="s">
        <v>28</v>
      </c>
      <c r="AA30" s="97" t="s">
        <v>28</v>
      </c>
    </row>
    <row r="31" spans="1:27" ht="12.75" customHeight="1">
      <c r="A31" s="94" t="s">
        <v>137</v>
      </c>
      <c r="B31" s="172" t="s">
        <v>32</v>
      </c>
      <c r="C31" s="95">
        <v>1547</v>
      </c>
      <c r="D31" s="95">
        <v>459</v>
      </c>
      <c r="E31" s="95">
        <v>611</v>
      </c>
      <c r="F31" s="95">
        <v>453</v>
      </c>
      <c r="G31" s="95">
        <v>24</v>
      </c>
      <c r="H31" s="95">
        <v>1034</v>
      </c>
      <c r="I31" s="95">
        <v>171</v>
      </c>
      <c r="J31" s="95">
        <v>462</v>
      </c>
      <c r="K31" s="95">
        <v>377</v>
      </c>
      <c r="L31" s="95">
        <v>24</v>
      </c>
      <c r="M31" s="96">
        <v>465</v>
      </c>
      <c r="N31" s="96">
        <v>241</v>
      </c>
      <c r="O31" s="95">
        <v>148</v>
      </c>
      <c r="P31" s="95">
        <v>76</v>
      </c>
      <c r="Q31" s="95" t="s">
        <v>28</v>
      </c>
      <c r="R31" s="95">
        <v>27</v>
      </c>
      <c r="S31" s="95">
        <v>26</v>
      </c>
      <c r="T31" s="95">
        <v>1</v>
      </c>
      <c r="U31" s="95" t="s">
        <v>28</v>
      </c>
      <c r="V31" s="95" t="s">
        <v>28</v>
      </c>
      <c r="W31" s="95">
        <v>21</v>
      </c>
      <c r="X31" s="95">
        <v>21</v>
      </c>
      <c r="Y31" s="95" t="s">
        <v>28</v>
      </c>
      <c r="Z31" s="96" t="s">
        <v>28</v>
      </c>
      <c r="AA31" s="97" t="s">
        <v>28</v>
      </c>
    </row>
    <row r="32" spans="1:27" ht="12.75" customHeight="1">
      <c r="A32" s="89" t="s">
        <v>49</v>
      </c>
      <c r="B32" s="170" t="s">
        <v>50</v>
      </c>
      <c r="C32" s="91">
        <v>1883</v>
      </c>
      <c r="D32" s="91">
        <v>301</v>
      </c>
      <c r="E32" s="91">
        <v>1126</v>
      </c>
      <c r="F32" s="91">
        <v>456</v>
      </c>
      <c r="G32" s="91" t="s">
        <v>28</v>
      </c>
      <c r="H32" s="91">
        <v>1513</v>
      </c>
      <c r="I32" s="91">
        <v>150</v>
      </c>
      <c r="J32" s="91">
        <v>960</v>
      </c>
      <c r="K32" s="91">
        <v>403</v>
      </c>
      <c r="L32" s="91" t="s">
        <v>28</v>
      </c>
      <c r="M32" s="92">
        <v>281</v>
      </c>
      <c r="N32" s="92">
        <v>66</v>
      </c>
      <c r="O32" s="91">
        <v>162</v>
      </c>
      <c r="P32" s="91">
        <v>53</v>
      </c>
      <c r="Q32" s="91" t="s">
        <v>28</v>
      </c>
      <c r="R32" s="91">
        <v>47</v>
      </c>
      <c r="S32" s="91">
        <v>47</v>
      </c>
      <c r="T32" s="91" t="s">
        <v>28</v>
      </c>
      <c r="U32" s="91" t="s">
        <v>28</v>
      </c>
      <c r="V32" s="91" t="s">
        <v>28</v>
      </c>
      <c r="W32" s="91">
        <v>42</v>
      </c>
      <c r="X32" s="91">
        <v>38</v>
      </c>
      <c r="Y32" s="91">
        <v>4</v>
      </c>
      <c r="Z32" s="92" t="s">
        <v>28</v>
      </c>
      <c r="AA32" s="98" t="s">
        <v>28</v>
      </c>
    </row>
    <row r="33" spans="1:27" ht="12.75" customHeight="1">
      <c r="A33" s="94" t="s">
        <v>136</v>
      </c>
      <c r="B33" s="172" t="s">
        <v>30</v>
      </c>
      <c r="C33" s="95">
        <v>545</v>
      </c>
      <c r="D33" s="95">
        <v>72</v>
      </c>
      <c r="E33" s="95">
        <v>400</v>
      </c>
      <c r="F33" s="95">
        <v>73</v>
      </c>
      <c r="G33" s="95" t="s">
        <v>28</v>
      </c>
      <c r="H33" s="95">
        <v>462</v>
      </c>
      <c r="I33" s="95">
        <v>30</v>
      </c>
      <c r="J33" s="95">
        <v>359</v>
      </c>
      <c r="K33" s="95">
        <v>73</v>
      </c>
      <c r="L33" s="95" t="s">
        <v>28</v>
      </c>
      <c r="M33" s="96">
        <v>77</v>
      </c>
      <c r="N33" s="96">
        <v>36</v>
      </c>
      <c r="O33" s="95">
        <v>41</v>
      </c>
      <c r="P33" s="95" t="s">
        <v>28</v>
      </c>
      <c r="Q33" s="95" t="s">
        <v>28</v>
      </c>
      <c r="R33" s="95">
        <v>5</v>
      </c>
      <c r="S33" s="95">
        <v>5</v>
      </c>
      <c r="T33" s="95" t="s">
        <v>28</v>
      </c>
      <c r="U33" s="95" t="s">
        <v>28</v>
      </c>
      <c r="V33" s="95" t="s">
        <v>28</v>
      </c>
      <c r="W33" s="95">
        <v>1</v>
      </c>
      <c r="X33" s="95">
        <v>1</v>
      </c>
      <c r="Y33" s="95" t="s">
        <v>28</v>
      </c>
      <c r="Z33" s="96" t="s">
        <v>28</v>
      </c>
      <c r="AA33" s="97" t="s">
        <v>28</v>
      </c>
    </row>
    <row r="34" spans="1:27" ht="12.75" customHeight="1">
      <c r="A34" s="94" t="s">
        <v>137</v>
      </c>
      <c r="B34" s="172" t="s">
        <v>32</v>
      </c>
      <c r="C34" s="95">
        <v>1338</v>
      </c>
      <c r="D34" s="95">
        <v>229</v>
      </c>
      <c r="E34" s="95">
        <v>726</v>
      </c>
      <c r="F34" s="95">
        <v>383</v>
      </c>
      <c r="G34" s="95" t="s">
        <v>28</v>
      </c>
      <c r="H34" s="95">
        <v>1051</v>
      </c>
      <c r="I34" s="95">
        <v>120</v>
      </c>
      <c r="J34" s="95">
        <v>601</v>
      </c>
      <c r="K34" s="95">
        <v>330</v>
      </c>
      <c r="L34" s="95" t="s">
        <v>28</v>
      </c>
      <c r="M34" s="96">
        <v>204</v>
      </c>
      <c r="N34" s="96">
        <v>30</v>
      </c>
      <c r="O34" s="95">
        <v>121</v>
      </c>
      <c r="P34" s="95">
        <v>53</v>
      </c>
      <c r="Q34" s="95" t="s">
        <v>28</v>
      </c>
      <c r="R34" s="95">
        <v>42</v>
      </c>
      <c r="S34" s="95">
        <v>42</v>
      </c>
      <c r="T34" s="95" t="s">
        <v>28</v>
      </c>
      <c r="U34" s="95" t="s">
        <v>28</v>
      </c>
      <c r="V34" s="95" t="s">
        <v>28</v>
      </c>
      <c r="W34" s="95">
        <v>41</v>
      </c>
      <c r="X34" s="95">
        <v>37</v>
      </c>
      <c r="Y34" s="95">
        <v>4</v>
      </c>
      <c r="Z34" s="96" t="s">
        <v>28</v>
      </c>
      <c r="AA34" s="97" t="s">
        <v>28</v>
      </c>
    </row>
    <row r="35" spans="1:27" ht="12.75" customHeight="1">
      <c r="A35" s="89" t="s">
        <v>963</v>
      </c>
      <c r="B35" s="170" t="s">
        <v>964</v>
      </c>
      <c r="C35" s="91">
        <v>8892</v>
      </c>
      <c r="D35" s="91">
        <v>1452</v>
      </c>
      <c r="E35" s="91">
        <v>6286</v>
      </c>
      <c r="F35" s="91">
        <v>1138</v>
      </c>
      <c r="G35" s="91">
        <v>16</v>
      </c>
      <c r="H35" s="91">
        <v>7523</v>
      </c>
      <c r="I35" s="91">
        <v>721</v>
      </c>
      <c r="J35" s="91">
        <v>5724</v>
      </c>
      <c r="K35" s="91">
        <v>1078</v>
      </c>
      <c r="L35" s="91" t="s">
        <v>28</v>
      </c>
      <c r="M35" s="92">
        <v>1276</v>
      </c>
      <c r="N35" s="92">
        <v>656</v>
      </c>
      <c r="O35" s="91">
        <v>551</v>
      </c>
      <c r="P35" s="91">
        <v>55</v>
      </c>
      <c r="Q35" s="91">
        <v>14</v>
      </c>
      <c r="R35" s="91">
        <v>65</v>
      </c>
      <c r="S35" s="91">
        <v>57</v>
      </c>
      <c r="T35" s="91">
        <v>6</v>
      </c>
      <c r="U35" s="91" t="s">
        <v>28</v>
      </c>
      <c r="V35" s="91">
        <v>2</v>
      </c>
      <c r="W35" s="91">
        <v>28</v>
      </c>
      <c r="X35" s="91">
        <v>18</v>
      </c>
      <c r="Y35" s="91">
        <v>5</v>
      </c>
      <c r="Z35" s="92">
        <v>5</v>
      </c>
      <c r="AA35" s="98" t="s">
        <v>28</v>
      </c>
    </row>
    <row r="36" spans="1:27" ht="12.75" customHeight="1">
      <c r="A36" s="94" t="s">
        <v>136</v>
      </c>
      <c r="B36" s="172" t="s">
        <v>30</v>
      </c>
      <c r="C36" s="95">
        <v>8036</v>
      </c>
      <c r="D36" s="95">
        <v>1420</v>
      </c>
      <c r="E36" s="95">
        <v>5497</v>
      </c>
      <c r="F36" s="95">
        <v>1103</v>
      </c>
      <c r="G36" s="95">
        <v>16</v>
      </c>
      <c r="H36" s="95">
        <v>6743</v>
      </c>
      <c r="I36" s="95">
        <v>689</v>
      </c>
      <c r="J36" s="95">
        <v>4976</v>
      </c>
      <c r="K36" s="95">
        <v>1078</v>
      </c>
      <c r="L36" s="95" t="s">
        <v>28</v>
      </c>
      <c r="M36" s="96">
        <v>1200</v>
      </c>
      <c r="N36" s="96">
        <v>656</v>
      </c>
      <c r="O36" s="95">
        <v>510</v>
      </c>
      <c r="P36" s="95">
        <v>20</v>
      </c>
      <c r="Q36" s="95">
        <v>14</v>
      </c>
      <c r="R36" s="95">
        <v>65</v>
      </c>
      <c r="S36" s="95">
        <v>57</v>
      </c>
      <c r="T36" s="95">
        <v>6</v>
      </c>
      <c r="U36" s="95" t="s">
        <v>28</v>
      </c>
      <c r="V36" s="95">
        <v>2</v>
      </c>
      <c r="W36" s="95">
        <v>28</v>
      </c>
      <c r="X36" s="95">
        <v>18</v>
      </c>
      <c r="Y36" s="95">
        <v>5</v>
      </c>
      <c r="Z36" s="96">
        <v>5</v>
      </c>
      <c r="AA36" s="97" t="s">
        <v>28</v>
      </c>
    </row>
    <row r="37" spans="1:27" ht="12.75" customHeight="1">
      <c r="A37" s="94" t="s">
        <v>137</v>
      </c>
      <c r="B37" s="172" t="s">
        <v>32</v>
      </c>
      <c r="C37" s="95">
        <v>856</v>
      </c>
      <c r="D37" s="95">
        <v>32</v>
      </c>
      <c r="E37" s="95">
        <v>789</v>
      </c>
      <c r="F37" s="95">
        <v>35</v>
      </c>
      <c r="G37" s="95" t="s">
        <v>28</v>
      </c>
      <c r="H37" s="95">
        <v>780</v>
      </c>
      <c r="I37" s="95">
        <v>32</v>
      </c>
      <c r="J37" s="95">
        <v>748</v>
      </c>
      <c r="K37" s="95" t="s">
        <v>28</v>
      </c>
      <c r="L37" s="95" t="s">
        <v>28</v>
      </c>
      <c r="M37" s="96">
        <v>76</v>
      </c>
      <c r="N37" s="96" t="s">
        <v>28</v>
      </c>
      <c r="O37" s="95">
        <v>41</v>
      </c>
      <c r="P37" s="95">
        <v>35</v>
      </c>
      <c r="Q37" s="95" t="s">
        <v>28</v>
      </c>
      <c r="R37" s="95" t="s">
        <v>28</v>
      </c>
      <c r="S37" s="95" t="s">
        <v>28</v>
      </c>
      <c r="T37" s="95" t="s">
        <v>28</v>
      </c>
      <c r="U37" s="95" t="s">
        <v>28</v>
      </c>
      <c r="V37" s="95" t="s">
        <v>28</v>
      </c>
      <c r="W37" s="95" t="s">
        <v>28</v>
      </c>
      <c r="X37" s="95" t="s">
        <v>28</v>
      </c>
      <c r="Y37" s="95" t="s">
        <v>28</v>
      </c>
      <c r="Z37" s="96" t="s">
        <v>28</v>
      </c>
      <c r="AA37" s="97" t="s">
        <v>28</v>
      </c>
    </row>
    <row r="38" spans="1:27" ht="12.75" customHeight="1">
      <c r="A38" s="89" t="s">
        <v>51</v>
      </c>
      <c r="B38" s="170" t="s">
        <v>52</v>
      </c>
      <c r="C38" s="91">
        <v>15144</v>
      </c>
      <c r="D38" s="91">
        <v>2258</v>
      </c>
      <c r="E38" s="91">
        <v>10443</v>
      </c>
      <c r="F38" s="91">
        <v>2443</v>
      </c>
      <c r="G38" s="91" t="s">
        <v>28</v>
      </c>
      <c r="H38" s="91">
        <v>12353</v>
      </c>
      <c r="I38" s="91">
        <v>710</v>
      </c>
      <c r="J38" s="91">
        <v>9496</v>
      </c>
      <c r="K38" s="91">
        <v>2147</v>
      </c>
      <c r="L38" s="91" t="s">
        <v>28</v>
      </c>
      <c r="M38" s="92">
        <v>2397</v>
      </c>
      <c r="N38" s="92">
        <v>1172</v>
      </c>
      <c r="O38" s="91">
        <v>936</v>
      </c>
      <c r="P38" s="91">
        <v>289</v>
      </c>
      <c r="Q38" s="91" t="s">
        <v>28</v>
      </c>
      <c r="R38" s="91">
        <v>221</v>
      </c>
      <c r="S38" s="91">
        <v>207</v>
      </c>
      <c r="T38" s="91">
        <v>7</v>
      </c>
      <c r="U38" s="91">
        <v>7</v>
      </c>
      <c r="V38" s="91" t="s">
        <v>28</v>
      </c>
      <c r="W38" s="91">
        <v>173</v>
      </c>
      <c r="X38" s="91">
        <v>169</v>
      </c>
      <c r="Y38" s="91">
        <v>4</v>
      </c>
      <c r="Z38" s="92" t="s">
        <v>28</v>
      </c>
      <c r="AA38" s="98" t="s">
        <v>28</v>
      </c>
    </row>
    <row r="39" spans="1:27" ht="12.75" customHeight="1">
      <c r="A39" s="94" t="s">
        <v>136</v>
      </c>
      <c r="B39" s="172" t="s">
        <v>30</v>
      </c>
      <c r="C39" s="95">
        <v>14010</v>
      </c>
      <c r="D39" s="95">
        <v>2230</v>
      </c>
      <c r="E39" s="95">
        <v>9666</v>
      </c>
      <c r="F39" s="95">
        <v>2114</v>
      </c>
      <c r="G39" s="95" t="s">
        <v>28</v>
      </c>
      <c r="H39" s="95">
        <v>11333</v>
      </c>
      <c r="I39" s="95">
        <v>710</v>
      </c>
      <c r="J39" s="95">
        <v>8762</v>
      </c>
      <c r="K39" s="95">
        <v>1861</v>
      </c>
      <c r="L39" s="95" t="s">
        <v>28</v>
      </c>
      <c r="M39" s="96">
        <v>2302</v>
      </c>
      <c r="N39" s="96">
        <v>1159</v>
      </c>
      <c r="O39" s="95">
        <v>894</v>
      </c>
      <c r="P39" s="95">
        <v>249</v>
      </c>
      <c r="Q39" s="95" t="s">
        <v>28</v>
      </c>
      <c r="R39" s="95">
        <v>210</v>
      </c>
      <c r="S39" s="95">
        <v>200</v>
      </c>
      <c r="T39" s="95">
        <v>6</v>
      </c>
      <c r="U39" s="95">
        <v>4</v>
      </c>
      <c r="V39" s="95" t="s">
        <v>28</v>
      </c>
      <c r="W39" s="95">
        <v>165</v>
      </c>
      <c r="X39" s="95">
        <v>161</v>
      </c>
      <c r="Y39" s="95">
        <v>4</v>
      </c>
      <c r="Z39" s="96" t="s">
        <v>28</v>
      </c>
      <c r="AA39" s="97" t="s">
        <v>28</v>
      </c>
    </row>
    <row r="40" spans="1:27" ht="12.75" customHeight="1">
      <c r="A40" s="94" t="s">
        <v>137</v>
      </c>
      <c r="B40" s="172" t="s">
        <v>32</v>
      </c>
      <c r="C40" s="95">
        <v>1134</v>
      </c>
      <c r="D40" s="95">
        <v>28</v>
      </c>
      <c r="E40" s="95">
        <v>777</v>
      </c>
      <c r="F40" s="95">
        <v>329</v>
      </c>
      <c r="G40" s="95" t="s">
        <v>28</v>
      </c>
      <c r="H40" s="95">
        <v>1020</v>
      </c>
      <c r="I40" s="95" t="s">
        <v>28</v>
      </c>
      <c r="J40" s="95">
        <v>734</v>
      </c>
      <c r="K40" s="95">
        <v>286</v>
      </c>
      <c r="L40" s="95" t="s">
        <v>28</v>
      </c>
      <c r="M40" s="96">
        <v>95</v>
      </c>
      <c r="N40" s="96">
        <v>13</v>
      </c>
      <c r="O40" s="95">
        <v>42</v>
      </c>
      <c r="P40" s="95">
        <v>40</v>
      </c>
      <c r="Q40" s="95" t="s">
        <v>28</v>
      </c>
      <c r="R40" s="95">
        <v>11</v>
      </c>
      <c r="S40" s="95">
        <v>7</v>
      </c>
      <c r="T40" s="95">
        <v>1</v>
      </c>
      <c r="U40" s="95">
        <v>3</v>
      </c>
      <c r="V40" s="95" t="s">
        <v>28</v>
      </c>
      <c r="W40" s="95">
        <v>8</v>
      </c>
      <c r="X40" s="95">
        <v>8</v>
      </c>
      <c r="Y40" s="95" t="s">
        <v>28</v>
      </c>
      <c r="Z40" s="96" t="s">
        <v>28</v>
      </c>
      <c r="AA40" s="97" t="s">
        <v>28</v>
      </c>
    </row>
    <row r="41" spans="1:27" ht="12.75" customHeight="1">
      <c r="A41" s="89" t="s">
        <v>53</v>
      </c>
      <c r="B41" s="170" t="s">
        <v>54</v>
      </c>
      <c r="C41" s="91">
        <v>16865</v>
      </c>
      <c r="D41" s="91">
        <v>2560</v>
      </c>
      <c r="E41" s="91">
        <v>11570</v>
      </c>
      <c r="F41" s="91">
        <v>2716</v>
      </c>
      <c r="G41" s="91">
        <v>19</v>
      </c>
      <c r="H41" s="91">
        <v>14137</v>
      </c>
      <c r="I41" s="91">
        <v>1197</v>
      </c>
      <c r="J41" s="91">
        <v>10450</v>
      </c>
      <c r="K41" s="91">
        <v>2475</v>
      </c>
      <c r="L41" s="91">
        <v>15</v>
      </c>
      <c r="M41" s="92">
        <v>2369</v>
      </c>
      <c r="N41" s="92">
        <v>1032</v>
      </c>
      <c r="O41" s="91">
        <v>1103</v>
      </c>
      <c r="P41" s="91">
        <v>234</v>
      </c>
      <c r="Q41" s="91" t="s">
        <v>28</v>
      </c>
      <c r="R41" s="91">
        <v>225</v>
      </c>
      <c r="S41" s="91">
        <v>206</v>
      </c>
      <c r="T41" s="91">
        <v>12</v>
      </c>
      <c r="U41" s="91">
        <v>7</v>
      </c>
      <c r="V41" s="91" t="s">
        <v>28</v>
      </c>
      <c r="W41" s="91">
        <v>134</v>
      </c>
      <c r="X41" s="91">
        <v>125</v>
      </c>
      <c r="Y41" s="91">
        <v>5</v>
      </c>
      <c r="Z41" s="92" t="s">
        <v>28</v>
      </c>
      <c r="AA41" s="98">
        <v>4</v>
      </c>
    </row>
    <row r="42" spans="1:27" ht="12.75" customHeight="1">
      <c r="A42" s="94" t="s">
        <v>136</v>
      </c>
      <c r="B42" s="172" t="s">
        <v>30</v>
      </c>
      <c r="C42" s="95">
        <v>16294</v>
      </c>
      <c r="D42" s="95">
        <v>2510</v>
      </c>
      <c r="E42" s="95">
        <v>11129</v>
      </c>
      <c r="F42" s="95">
        <v>2636</v>
      </c>
      <c r="G42" s="95">
        <v>19</v>
      </c>
      <c r="H42" s="95">
        <v>13613</v>
      </c>
      <c r="I42" s="95">
        <v>1163</v>
      </c>
      <c r="J42" s="95">
        <v>10038</v>
      </c>
      <c r="K42" s="95">
        <v>2397</v>
      </c>
      <c r="L42" s="95">
        <v>15</v>
      </c>
      <c r="M42" s="96">
        <v>2330</v>
      </c>
      <c r="N42" s="96">
        <v>1023</v>
      </c>
      <c r="O42" s="95">
        <v>1075</v>
      </c>
      <c r="P42" s="95">
        <v>232</v>
      </c>
      <c r="Q42" s="95" t="s">
        <v>28</v>
      </c>
      <c r="R42" s="95">
        <v>217</v>
      </c>
      <c r="S42" s="95">
        <v>199</v>
      </c>
      <c r="T42" s="95">
        <v>11</v>
      </c>
      <c r="U42" s="95">
        <v>7</v>
      </c>
      <c r="V42" s="95" t="s">
        <v>28</v>
      </c>
      <c r="W42" s="95">
        <v>134</v>
      </c>
      <c r="X42" s="95">
        <v>125</v>
      </c>
      <c r="Y42" s="95">
        <v>5</v>
      </c>
      <c r="Z42" s="96" t="s">
        <v>28</v>
      </c>
      <c r="AA42" s="97">
        <v>4</v>
      </c>
    </row>
    <row r="43" spans="1:27" ht="12.75" customHeight="1">
      <c r="A43" s="94" t="s">
        <v>137</v>
      </c>
      <c r="B43" s="172" t="s">
        <v>32</v>
      </c>
      <c r="C43" s="95">
        <v>571</v>
      </c>
      <c r="D43" s="95">
        <v>50</v>
      </c>
      <c r="E43" s="95">
        <v>441</v>
      </c>
      <c r="F43" s="95">
        <v>80</v>
      </c>
      <c r="G43" s="95" t="s">
        <v>28</v>
      </c>
      <c r="H43" s="95">
        <v>524</v>
      </c>
      <c r="I43" s="95">
        <v>34</v>
      </c>
      <c r="J43" s="95">
        <v>412</v>
      </c>
      <c r="K43" s="95">
        <v>78</v>
      </c>
      <c r="L43" s="95" t="s">
        <v>28</v>
      </c>
      <c r="M43" s="96">
        <v>39</v>
      </c>
      <c r="N43" s="96">
        <v>9</v>
      </c>
      <c r="O43" s="95">
        <v>28</v>
      </c>
      <c r="P43" s="95">
        <v>2</v>
      </c>
      <c r="Q43" s="95" t="s">
        <v>28</v>
      </c>
      <c r="R43" s="95">
        <v>8</v>
      </c>
      <c r="S43" s="95">
        <v>7</v>
      </c>
      <c r="T43" s="95">
        <v>1</v>
      </c>
      <c r="U43" s="95" t="s">
        <v>28</v>
      </c>
      <c r="V43" s="95" t="s">
        <v>28</v>
      </c>
      <c r="W43" s="95" t="s">
        <v>28</v>
      </c>
      <c r="X43" s="95" t="s">
        <v>28</v>
      </c>
      <c r="Y43" s="95" t="s">
        <v>28</v>
      </c>
      <c r="Z43" s="96" t="s">
        <v>28</v>
      </c>
      <c r="AA43" s="97" t="s">
        <v>28</v>
      </c>
    </row>
    <row r="44" spans="1:27" ht="12.75" customHeight="1">
      <c r="A44" s="89" t="s">
        <v>55</v>
      </c>
      <c r="B44" s="170" t="s">
        <v>56</v>
      </c>
      <c r="C44" s="91">
        <v>14595</v>
      </c>
      <c r="D44" s="91">
        <v>2524</v>
      </c>
      <c r="E44" s="91">
        <v>9005</v>
      </c>
      <c r="F44" s="91">
        <v>2905</v>
      </c>
      <c r="G44" s="91">
        <v>161</v>
      </c>
      <c r="H44" s="91">
        <v>11761</v>
      </c>
      <c r="I44" s="91">
        <v>1046</v>
      </c>
      <c r="J44" s="91">
        <v>7891</v>
      </c>
      <c r="K44" s="91">
        <v>2707</v>
      </c>
      <c r="L44" s="91">
        <v>117</v>
      </c>
      <c r="M44" s="92">
        <v>2527</v>
      </c>
      <c r="N44" s="92">
        <v>1282</v>
      </c>
      <c r="O44" s="91">
        <v>1011</v>
      </c>
      <c r="P44" s="91">
        <v>190</v>
      </c>
      <c r="Q44" s="91">
        <v>44</v>
      </c>
      <c r="R44" s="91">
        <v>166</v>
      </c>
      <c r="S44" s="91">
        <v>150</v>
      </c>
      <c r="T44" s="91">
        <v>11</v>
      </c>
      <c r="U44" s="91">
        <v>5</v>
      </c>
      <c r="V44" s="91" t="s">
        <v>28</v>
      </c>
      <c r="W44" s="91">
        <v>141</v>
      </c>
      <c r="X44" s="91">
        <v>46</v>
      </c>
      <c r="Y44" s="91">
        <v>92</v>
      </c>
      <c r="Z44" s="92">
        <v>3</v>
      </c>
      <c r="AA44" s="98" t="s">
        <v>28</v>
      </c>
    </row>
    <row r="45" spans="1:27" ht="12.75" customHeight="1">
      <c r="A45" s="94" t="s">
        <v>136</v>
      </c>
      <c r="B45" s="172" t="s">
        <v>30</v>
      </c>
      <c r="C45" s="95">
        <v>14595</v>
      </c>
      <c r="D45" s="95">
        <v>2524</v>
      </c>
      <c r="E45" s="95">
        <v>9005</v>
      </c>
      <c r="F45" s="95">
        <v>2905</v>
      </c>
      <c r="G45" s="95">
        <v>161</v>
      </c>
      <c r="H45" s="95">
        <v>11761</v>
      </c>
      <c r="I45" s="95">
        <v>1046</v>
      </c>
      <c r="J45" s="95">
        <v>7891</v>
      </c>
      <c r="K45" s="95">
        <v>2707</v>
      </c>
      <c r="L45" s="95">
        <v>117</v>
      </c>
      <c r="M45" s="96">
        <v>2527</v>
      </c>
      <c r="N45" s="96">
        <v>1282</v>
      </c>
      <c r="O45" s="95">
        <v>1011</v>
      </c>
      <c r="P45" s="95">
        <v>190</v>
      </c>
      <c r="Q45" s="95">
        <v>44</v>
      </c>
      <c r="R45" s="95">
        <v>166</v>
      </c>
      <c r="S45" s="95">
        <v>150</v>
      </c>
      <c r="T45" s="95">
        <v>11</v>
      </c>
      <c r="U45" s="95">
        <v>5</v>
      </c>
      <c r="V45" s="95" t="s">
        <v>28</v>
      </c>
      <c r="W45" s="95">
        <v>141</v>
      </c>
      <c r="X45" s="95">
        <v>46</v>
      </c>
      <c r="Y45" s="95">
        <v>92</v>
      </c>
      <c r="Z45" s="96">
        <v>3</v>
      </c>
      <c r="AA45" s="97" t="s">
        <v>28</v>
      </c>
    </row>
    <row r="46" spans="1:27" ht="12.75" customHeight="1">
      <c r="A46" s="94" t="s">
        <v>137</v>
      </c>
      <c r="B46" s="172" t="s">
        <v>32</v>
      </c>
      <c r="C46" s="95" t="s">
        <v>28</v>
      </c>
      <c r="D46" s="95" t="s">
        <v>28</v>
      </c>
      <c r="E46" s="95" t="s">
        <v>28</v>
      </c>
      <c r="F46" s="95" t="s">
        <v>28</v>
      </c>
      <c r="G46" s="95" t="s">
        <v>28</v>
      </c>
      <c r="H46" s="95" t="s">
        <v>28</v>
      </c>
      <c r="I46" s="95" t="s">
        <v>28</v>
      </c>
      <c r="J46" s="95" t="s">
        <v>28</v>
      </c>
      <c r="K46" s="95" t="s">
        <v>28</v>
      </c>
      <c r="L46" s="95" t="s">
        <v>28</v>
      </c>
      <c r="M46" s="96" t="s">
        <v>28</v>
      </c>
      <c r="N46" s="96" t="s">
        <v>28</v>
      </c>
      <c r="O46" s="95" t="s">
        <v>28</v>
      </c>
      <c r="P46" s="95" t="s">
        <v>28</v>
      </c>
      <c r="Q46" s="95" t="s">
        <v>28</v>
      </c>
      <c r="R46" s="95" t="s">
        <v>28</v>
      </c>
      <c r="S46" s="95" t="s">
        <v>28</v>
      </c>
      <c r="T46" s="95" t="s">
        <v>28</v>
      </c>
      <c r="U46" s="95" t="s">
        <v>28</v>
      </c>
      <c r="V46" s="95" t="s">
        <v>28</v>
      </c>
      <c r="W46" s="95" t="s">
        <v>28</v>
      </c>
      <c r="X46" s="95" t="s">
        <v>28</v>
      </c>
      <c r="Y46" s="95" t="s">
        <v>28</v>
      </c>
      <c r="Z46" s="96" t="s">
        <v>28</v>
      </c>
      <c r="AA46" s="97" t="s">
        <v>28</v>
      </c>
    </row>
    <row r="47" spans="1:27" ht="12.75" customHeight="1">
      <c r="A47" s="89" t="s">
        <v>57</v>
      </c>
      <c r="B47" s="170" t="s">
        <v>58</v>
      </c>
      <c r="C47" s="91">
        <v>8311</v>
      </c>
      <c r="D47" s="91">
        <v>1421</v>
      </c>
      <c r="E47" s="91">
        <v>4955</v>
      </c>
      <c r="F47" s="91">
        <v>1931</v>
      </c>
      <c r="G47" s="91">
        <v>4</v>
      </c>
      <c r="H47" s="91">
        <v>6698</v>
      </c>
      <c r="I47" s="91">
        <v>569</v>
      </c>
      <c r="J47" s="91">
        <v>4321</v>
      </c>
      <c r="K47" s="91">
        <v>1808</v>
      </c>
      <c r="L47" s="91" t="s">
        <v>28</v>
      </c>
      <c r="M47" s="92">
        <v>1446</v>
      </c>
      <c r="N47" s="92">
        <v>689</v>
      </c>
      <c r="O47" s="91">
        <v>631</v>
      </c>
      <c r="P47" s="91">
        <v>122</v>
      </c>
      <c r="Q47" s="91">
        <v>4</v>
      </c>
      <c r="R47" s="91">
        <v>131</v>
      </c>
      <c r="S47" s="91">
        <v>128</v>
      </c>
      <c r="T47" s="91">
        <v>2</v>
      </c>
      <c r="U47" s="91">
        <v>1</v>
      </c>
      <c r="V47" s="91" t="s">
        <v>28</v>
      </c>
      <c r="W47" s="91">
        <v>36</v>
      </c>
      <c r="X47" s="91">
        <v>35</v>
      </c>
      <c r="Y47" s="91">
        <v>1</v>
      </c>
      <c r="Z47" s="92" t="s">
        <v>28</v>
      </c>
      <c r="AA47" s="98" t="s">
        <v>28</v>
      </c>
    </row>
    <row r="48" spans="1:27" ht="12.75" customHeight="1">
      <c r="A48" s="94" t="s">
        <v>136</v>
      </c>
      <c r="B48" s="172" t="s">
        <v>30</v>
      </c>
      <c r="C48" s="95">
        <v>8311</v>
      </c>
      <c r="D48" s="95">
        <v>1421</v>
      </c>
      <c r="E48" s="95">
        <v>4955</v>
      </c>
      <c r="F48" s="95">
        <v>1931</v>
      </c>
      <c r="G48" s="95">
        <v>4</v>
      </c>
      <c r="H48" s="95">
        <v>6698</v>
      </c>
      <c r="I48" s="95">
        <v>569</v>
      </c>
      <c r="J48" s="95">
        <v>4321</v>
      </c>
      <c r="K48" s="95">
        <v>1808</v>
      </c>
      <c r="L48" s="95" t="s">
        <v>28</v>
      </c>
      <c r="M48" s="96">
        <v>1446</v>
      </c>
      <c r="N48" s="96">
        <v>689</v>
      </c>
      <c r="O48" s="95">
        <v>631</v>
      </c>
      <c r="P48" s="95">
        <v>122</v>
      </c>
      <c r="Q48" s="95">
        <v>4</v>
      </c>
      <c r="R48" s="95">
        <v>131</v>
      </c>
      <c r="S48" s="95">
        <v>128</v>
      </c>
      <c r="T48" s="95">
        <v>2</v>
      </c>
      <c r="U48" s="95">
        <v>1</v>
      </c>
      <c r="V48" s="95" t="s">
        <v>28</v>
      </c>
      <c r="W48" s="95">
        <v>36</v>
      </c>
      <c r="X48" s="95">
        <v>35</v>
      </c>
      <c r="Y48" s="95">
        <v>1</v>
      </c>
      <c r="Z48" s="96" t="s">
        <v>28</v>
      </c>
      <c r="AA48" s="97" t="s">
        <v>28</v>
      </c>
    </row>
    <row r="49" spans="1:27" ht="12.75" customHeight="1">
      <c r="A49" s="94" t="s">
        <v>137</v>
      </c>
      <c r="B49" s="172" t="s">
        <v>32</v>
      </c>
      <c r="C49" s="95" t="s">
        <v>28</v>
      </c>
      <c r="D49" s="95" t="s">
        <v>28</v>
      </c>
      <c r="E49" s="95" t="s">
        <v>28</v>
      </c>
      <c r="F49" s="95" t="s">
        <v>28</v>
      </c>
      <c r="G49" s="95" t="s">
        <v>28</v>
      </c>
      <c r="H49" s="95" t="s">
        <v>28</v>
      </c>
      <c r="I49" s="95" t="s">
        <v>28</v>
      </c>
      <c r="J49" s="95" t="s">
        <v>28</v>
      </c>
      <c r="K49" s="95" t="s">
        <v>28</v>
      </c>
      <c r="L49" s="95" t="s">
        <v>28</v>
      </c>
      <c r="M49" s="96" t="s">
        <v>28</v>
      </c>
      <c r="N49" s="96" t="s">
        <v>28</v>
      </c>
      <c r="O49" s="95" t="s">
        <v>28</v>
      </c>
      <c r="P49" s="95" t="s">
        <v>28</v>
      </c>
      <c r="Q49" s="95" t="s">
        <v>28</v>
      </c>
      <c r="R49" s="95" t="s">
        <v>28</v>
      </c>
      <c r="S49" s="95" t="s">
        <v>28</v>
      </c>
      <c r="T49" s="95" t="s">
        <v>28</v>
      </c>
      <c r="U49" s="95" t="s">
        <v>28</v>
      </c>
      <c r="V49" s="95" t="s">
        <v>28</v>
      </c>
      <c r="W49" s="95" t="s">
        <v>28</v>
      </c>
      <c r="X49" s="95" t="s">
        <v>28</v>
      </c>
      <c r="Y49" s="95" t="s">
        <v>28</v>
      </c>
      <c r="Z49" s="96" t="s">
        <v>28</v>
      </c>
      <c r="AA49" s="97" t="s">
        <v>28</v>
      </c>
    </row>
    <row r="50" spans="1:27" ht="12.75" customHeight="1">
      <c r="A50" s="89" t="s">
        <v>59</v>
      </c>
      <c r="B50" s="170" t="s">
        <v>60</v>
      </c>
      <c r="C50" s="91">
        <v>18522</v>
      </c>
      <c r="D50" s="91">
        <v>3167</v>
      </c>
      <c r="E50" s="91">
        <v>11636</v>
      </c>
      <c r="F50" s="91">
        <v>3702</v>
      </c>
      <c r="G50" s="91">
        <v>17</v>
      </c>
      <c r="H50" s="91">
        <v>14755</v>
      </c>
      <c r="I50" s="91">
        <v>1188</v>
      </c>
      <c r="J50" s="91">
        <v>10382</v>
      </c>
      <c r="K50" s="91">
        <v>3185</v>
      </c>
      <c r="L50" s="91" t="s">
        <v>28</v>
      </c>
      <c r="M50" s="92">
        <v>3481</v>
      </c>
      <c r="N50" s="92">
        <v>1722</v>
      </c>
      <c r="O50" s="91">
        <v>1238</v>
      </c>
      <c r="P50" s="91">
        <v>504</v>
      </c>
      <c r="Q50" s="91">
        <v>17</v>
      </c>
      <c r="R50" s="91">
        <v>212</v>
      </c>
      <c r="S50" s="91">
        <v>204</v>
      </c>
      <c r="T50" s="91">
        <v>3</v>
      </c>
      <c r="U50" s="91">
        <v>5</v>
      </c>
      <c r="V50" s="91" t="s">
        <v>28</v>
      </c>
      <c r="W50" s="91">
        <v>74</v>
      </c>
      <c r="X50" s="91">
        <v>53</v>
      </c>
      <c r="Y50" s="91">
        <v>13</v>
      </c>
      <c r="Z50" s="92">
        <v>8</v>
      </c>
      <c r="AA50" s="98" t="s">
        <v>28</v>
      </c>
    </row>
    <row r="51" spans="1:27" ht="12.75" customHeight="1">
      <c r="A51" s="94" t="s">
        <v>136</v>
      </c>
      <c r="B51" s="172" t="s">
        <v>30</v>
      </c>
      <c r="C51" s="95">
        <v>18522</v>
      </c>
      <c r="D51" s="95">
        <v>3167</v>
      </c>
      <c r="E51" s="95">
        <v>11636</v>
      </c>
      <c r="F51" s="95">
        <v>3702</v>
      </c>
      <c r="G51" s="95">
        <v>17</v>
      </c>
      <c r="H51" s="95">
        <v>14755</v>
      </c>
      <c r="I51" s="95">
        <v>1188</v>
      </c>
      <c r="J51" s="95">
        <v>10382</v>
      </c>
      <c r="K51" s="95">
        <v>3185</v>
      </c>
      <c r="L51" s="95" t="s">
        <v>28</v>
      </c>
      <c r="M51" s="96">
        <v>3481</v>
      </c>
      <c r="N51" s="96">
        <v>1722</v>
      </c>
      <c r="O51" s="95">
        <v>1238</v>
      </c>
      <c r="P51" s="95">
        <v>504</v>
      </c>
      <c r="Q51" s="95">
        <v>17</v>
      </c>
      <c r="R51" s="95">
        <v>212</v>
      </c>
      <c r="S51" s="95">
        <v>204</v>
      </c>
      <c r="T51" s="95">
        <v>3</v>
      </c>
      <c r="U51" s="95">
        <v>5</v>
      </c>
      <c r="V51" s="95" t="s">
        <v>28</v>
      </c>
      <c r="W51" s="95">
        <v>74</v>
      </c>
      <c r="X51" s="95">
        <v>53</v>
      </c>
      <c r="Y51" s="95">
        <v>13</v>
      </c>
      <c r="Z51" s="96">
        <v>8</v>
      </c>
      <c r="AA51" s="97" t="s">
        <v>28</v>
      </c>
    </row>
    <row r="52" spans="1:27" ht="12.75" customHeight="1">
      <c r="A52" s="94" t="s">
        <v>137</v>
      </c>
      <c r="B52" s="172" t="s">
        <v>32</v>
      </c>
      <c r="C52" s="95" t="s">
        <v>28</v>
      </c>
      <c r="D52" s="95" t="s">
        <v>28</v>
      </c>
      <c r="E52" s="95" t="s">
        <v>28</v>
      </c>
      <c r="F52" s="95" t="s">
        <v>28</v>
      </c>
      <c r="G52" s="95" t="s">
        <v>28</v>
      </c>
      <c r="H52" s="95" t="s">
        <v>28</v>
      </c>
      <c r="I52" s="95" t="s">
        <v>28</v>
      </c>
      <c r="J52" s="95" t="s">
        <v>28</v>
      </c>
      <c r="K52" s="95" t="s">
        <v>28</v>
      </c>
      <c r="L52" s="95" t="s">
        <v>28</v>
      </c>
      <c r="M52" s="96" t="s">
        <v>28</v>
      </c>
      <c r="N52" s="96" t="s">
        <v>28</v>
      </c>
      <c r="O52" s="95" t="s">
        <v>28</v>
      </c>
      <c r="P52" s="95" t="s">
        <v>28</v>
      </c>
      <c r="Q52" s="95" t="s">
        <v>28</v>
      </c>
      <c r="R52" s="95" t="s">
        <v>28</v>
      </c>
      <c r="S52" s="95" t="s">
        <v>28</v>
      </c>
      <c r="T52" s="95" t="s">
        <v>28</v>
      </c>
      <c r="U52" s="95" t="s">
        <v>28</v>
      </c>
      <c r="V52" s="95" t="s">
        <v>28</v>
      </c>
      <c r="W52" s="95" t="s">
        <v>28</v>
      </c>
      <c r="X52" s="95" t="s">
        <v>28</v>
      </c>
      <c r="Y52" s="95" t="s">
        <v>28</v>
      </c>
      <c r="Z52" s="96" t="s">
        <v>28</v>
      </c>
      <c r="AA52" s="97" t="s">
        <v>28</v>
      </c>
    </row>
    <row r="53" spans="1:27" ht="12.75" customHeight="1">
      <c r="A53" s="89" t="s">
        <v>61</v>
      </c>
      <c r="B53" s="170" t="s">
        <v>62</v>
      </c>
      <c r="C53" s="91">
        <v>2290</v>
      </c>
      <c r="D53" s="91">
        <v>395</v>
      </c>
      <c r="E53" s="91">
        <v>1499</v>
      </c>
      <c r="F53" s="91">
        <v>396</v>
      </c>
      <c r="G53" s="91" t="s">
        <v>28</v>
      </c>
      <c r="H53" s="91">
        <v>1752</v>
      </c>
      <c r="I53" s="91">
        <v>155</v>
      </c>
      <c r="J53" s="91">
        <v>1287</v>
      </c>
      <c r="K53" s="91">
        <v>310</v>
      </c>
      <c r="L53" s="91" t="s">
        <v>28</v>
      </c>
      <c r="M53" s="92">
        <v>480</v>
      </c>
      <c r="N53" s="92">
        <v>201</v>
      </c>
      <c r="O53" s="91">
        <v>193</v>
      </c>
      <c r="P53" s="91">
        <v>86</v>
      </c>
      <c r="Q53" s="91" t="s">
        <v>28</v>
      </c>
      <c r="R53" s="91">
        <v>47</v>
      </c>
      <c r="S53" s="91">
        <v>29</v>
      </c>
      <c r="T53" s="91">
        <v>18</v>
      </c>
      <c r="U53" s="91" t="s">
        <v>28</v>
      </c>
      <c r="V53" s="91" t="s">
        <v>28</v>
      </c>
      <c r="W53" s="91">
        <v>11</v>
      </c>
      <c r="X53" s="91">
        <v>10</v>
      </c>
      <c r="Y53" s="91">
        <v>1</v>
      </c>
      <c r="Z53" s="92" t="s">
        <v>28</v>
      </c>
      <c r="AA53" s="98" t="s">
        <v>28</v>
      </c>
    </row>
    <row r="54" spans="1:27" ht="12.75" customHeight="1">
      <c r="A54" s="94" t="s">
        <v>136</v>
      </c>
      <c r="B54" s="172" t="s">
        <v>30</v>
      </c>
      <c r="C54" s="95">
        <v>2013</v>
      </c>
      <c r="D54" s="95">
        <v>355</v>
      </c>
      <c r="E54" s="95">
        <v>1364</v>
      </c>
      <c r="F54" s="95">
        <v>294</v>
      </c>
      <c r="G54" s="95" t="s">
        <v>28</v>
      </c>
      <c r="H54" s="95">
        <v>1565</v>
      </c>
      <c r="I54" s="95">
        <v>155</v>
      </c>
      <c r="J54" s="95">
        <v>1185</v>
      </c>
      <c r="K54" s="95">
        <v>225</v>
      </c>
      <c r="L54" s="95" t="s">
        <v>28</v>
      </c>
      <c r="M54" s="96">
        <v>395</v>
      </c>
      <c r="N54" s="96">
        <v>164</v>
      </c>
      <c r="O54" s="95">
        <v>162</v>
      </c>
      <c r="P54" s="95">
        <v>69</v>
      </c>
      <c r="Q54" s="95" t="s">
        <v>28</v>
      </c>
      <c r="R54" s="95">
        <v>42</v>
      </c>
      <c r="S54" s="95">
        <v>26</v>
      </c>
      <c r="T54" s="95">
        <v>16</v>
      </c>
      <c r="U54" s="95" t="s">
        <v>28</v>
      </c>
      <c r="V54" s="95" t="s">
        <v>28</v>
      </c>
      <c r="W54" s="95">
        <v>11</v>
      </c>
      <c r="X54" s="95">
        <v>10</v>
      </c>
      <c r="Y54" s="95">
        <v>1</v>
      </c>
      <c r="Z54" s="96" t="s">
        <v>28</v>
      </c>
      <c r="AA54" s="97" t="s">
        <v>28</v>
      </c>
    </row>
    <row r="55" spans="1:27" ht="12.75" customHeight="1">
      <c r="A55" s="94" t="s">
        <v>137</v>
      </c>
      <c r="B55" s="172" t="s">
        <v>32</v>
      </c>
      <c r="C55" s="95">
        <v>277</v>
      </c>
      <c r="D55" s="95">
        <v>40</v>
      </c>
      <c r="E55" s="95">
        <v>135</v>
      </c>
      <c r="F55" s="95">
        <v>102</v>
      </c>
      <c r="G55" s="95" t="s">
        <v>28</v>
      </c>
      <c r="H55" s="95">
        <v>187</v>
      </c>
      <c r="I55" s="95" t="s">
        <v>28</v>
      </c>
      <c r="J55" s="95">
        <v>102</v>
      </c>
      <c r="K55" s="95">
        <v>85</v>
      </c>
      <c r="L55" s="95" t="s">
        <v>28</v>
      </c>
      <c r="M55" s="96">
        <v>85</v>
      </c>
      <c r="N55" s="96">
        <v>37</v>
      </c>
      <c r="O55" s="95">
        <v>31</v>
      </c>
      <c r="P55" s="95">
        <v>17</v>
      </c>
      <c r="Q55" s="95" t="s">
        <v>28</v>
      </c>
      <c r="R55" s="95">
        <v>5</v>
      </c>
      <c r="S55" s="95">
        <v>3</v>
      </c>
      <c r="T55" s="95">
        <v>2</v>
      </c>
      <c r="U55" s="95" t="s">
        <v>28</v>
      </c>
      <c r="V55" s="95" t="s">
        <v>28</v>
      </c>
      <c r="W55" s="95" t="s">
        <v>28</v>
      </c>
      <c r="X55" s="95" t="s">
        <v>28</v>
      </c>
      <c r="Y55" s="95" t="s">
        <v>28</v>
      </c>
      <c r="Z55" s="96" t="s">
        <v>28</v>
      </c>
      <c r="AA55" s="97" t="s">
        <v>28</v>
      </c>
    </row>
    <row r="56" spans="1:27" ht="12.75" customHeight="1">
      <c r="A56" s="89" t="s">
        <v>63</v>
      </c>
      <c r="B56" s="170" t="s">
        <v>64</v>
      </c>
      <c r="C56" s="91">
        <v>369</v>
      </c>
      <c r="D56" s="91">
        <v>74</v>
      </c>
      <c r="E56" s="91">
        <v>211</v>
      </c>
      <c r="F56" s="91">
        <v>84</v>
      </c>
      <c r="G56" s="91" t="s">
        <v>28</v>
      </c>
      <c r="H56" s="91">
        <v>280</v>
      </c>
      <c r="I56" s="91">
        <v>21</v>
      </c>
      <c r="J56" s="91">
        <v>176</v>
      </c>
      <c r="K56" s="91">
        <v>83</v>
      </c>
      <c r="L56" s="91" t="s">
        <v>28</v>
      </c>
      <c r="M56" s="92">
        <v>83</v>
      </c>
      <c r="N56" s="92">
        <v>50</v>
      </c>
      <c r="O56" s="91">
        <v>33</v>
      </c>
      <c r="P56" s="91" t="s">
        <v>28</v>
      </c>
      <c r="Q56" s="91" t="s">
        <v>28</v>
      </c>
      <c r="R56" s="91">
        <v>3</v>
      </c>
      <c r="S56" s="91">
        <v>3</v>
      </c>
      <c r="T56" s="91" t="s">
        <v>28</v>
      </c>
      <c r="U56" s="91" t="s">
        <v>28</v>
      </c>
      <c r="V56" s="91" t="s">
        <v>28</v>
      </c>
      <c r="W56" s="91">
        <v>3</v>
      </c>
      <c r="X56" s="91" t="s">
        <v>28</v>
      </c>
      <c r="Y56" s="91">
        <v>2</v>
      </c>
      <c r="Z56" s="92">
        <v>1</v>
      </c>
      <c r="AA56" s="98" t="s">
        <v>28</v>
      </c>
    </row>
    <row r="57" spans="1:27" ht="12.75" customHeight="1">
      <c r="A57" s="94" t="s">
        <v>136</v>
      </c>
      <c r="B57" s="172" t="s">
        <v>30</v>
      </c>
      <c r="C57" s="95">
        <v>369</v>
      </c>
      <c r="D57" s="95">
        <v>74</v>
      </c>
      <c r="E57" s="95">
        <v>211</v>
      </c>
      <c r="F57" s="95">
        <v>84</v>
      </c>
      <c r="G57" s="95" t="s">
        <v>28</v>
      </c>
      <c r="H57" s="95">
        <v>280</v>
      </c>
      <c r="I57" s="95">
        <v>21</v>
      </c>
      <c r="J57" s="95">
        <v>176</v>
      </c>
      <c r="K57" s="95">
        <v>83</v>
      </c>
      <c r="L57" s="95" t="s">
        <v>28</v>
      </c>
      <c r="M57" s="96">
        <v>83</v>
      </c>
      <c r="N57" s="96">
        <v>50</v>
      </c>
      <c r="O57" s="95">
        <v>33</v>
      </c>
      <c r="P57" s="95" t="s">
        <v>28</v>
      </c>
      <c r="Q57" s="95" t="s">
        <v>28</v>
      </c>
      <c r="R57" s="95">
        <v>3</v>
      </c>
      <c r="S57" s="95">
        <v>3</v>
      </c>
      <c r="T57" s="95" t="s">
        <v>28</v>
      </c>
      <c r="U57" s="95" t="s">
        <v>28</v>
      </c>
      <c r="V57" s="95" t="s">
        <v>28</v>
      </c>
      <c r="W57" s="95">
        <v>3</v>
      </c>
      <c r="X57" s="95" t="s">
        <v>28</v>
      </c>
      <c r="Y57" s="95">
        <v>2</v>
      </c>
      <c r="Z57" s="96">
        <v>1</v>
      </c>
      <c r="AA57" s="97" t="s">
        <v>28</v>
      </c>
    </row>
    <row r="58" spans="1:27" ht="12.75" customHeight="1" thickBot="1">
      <c r="A58" s="1826" t="s">
        <v>137</v>
      </c>
      <c r="B58" s="174" t="s">
        <v>32</v>
      </c>
      <c r="C58" s="99" t="s">
        <v>28</v>
      </c>
      <c r="D58" s="99" t="s">
        <v>28</v>
      </c>
      <c r="E58" s="99" t="s">
        <v>28</v>
      </c>
      <c r="F58" s="99" t="s">
        <v>28</v>
      </c>
      <c r="G58" s="99" t="s">
        <v>28</v>
      </c>
      <c r="H58" s="99" t="s">
        <v>28</v>
      </c>
      <c r="I58" s="99" t="s">
        <v>28</v>
      </c>
      <c r="J58" s="99" t="s">
        <v>28</v>
      </c>
      <c r="K58" s="99" t="s">
        <v>28</v>
      </c>
      <c r="L58" s="99" t="s">
        <v>28</v>
      </c>
      <c r="M58" s="100" t="s">
        <v>28</v>
      </c>
      <c r="N58" s="100" t="s">
        <v>28</v>
      </c>
      <c r="O58" s="99" t="s">
        <v>28</v>
      </c>
      <c r="P58" s="99" t="s">
        <v>28</v>
      </c>
      <c r="Q58" s="99" t="s">
        <v>28</v>
      </c>
      <c r="R58" s="99" t="s">
        <v>28</v>
      </c>
      <c r="S58" s="99" t="s">
        <v>28</v>
      </c>
      <c r="T58" s="99" t="s">
        <v>28</v>
      </c>
      <c r="U58" s="99" t="s">
        <v>28</v>
      </c>
      <c r="V58" s="99" t="s">
        <v>28</v>
      </c>
      <c r="W58" s="99" t="s">
        <v>28</v>
      </c>
      <c r="X58" s="99" t="s">
        <v>28</v>
      </c>
      <c r="Y58" s="99" t="s">
        <v>28</v>
      </c>
      <c r="Z58" s="100" t="s">
        <v>28</v>
      </c>
      <c r="AA58" s="101" t="s">
        <v>28</v>
      </c>
    </row>
    <row r="59" spans="1:27" ht="15.75" customHeight="1">
      <c r="A59" s="2231" t="s">
        <v>1108</v>
      </c>
      <c r="B59" s="2232"/>
      <c r="C59" s="2232"/>
      <c r="D59" s="2232"/>
      <c r="E59" s="2232"/>
      <c r="F59" s="2232"/>
      <c r="G59" s="2232"/>
      <c r="H59" s="2232"/>
      <c r="I59" s="2232"/>
      <c r="J59" s="2232"/>
      <c r="K59" s="2232"/>
      <c r="L59" s="2232"/>
      <c r="M59" s="1509" t="s">
        <v>1274</v>
      </c>
      <c r="N59" s="1509"/>
      <c r="O59" s="1509"/>
      <c r="P59" s="1509"/>
      <c r="Q59" s="1509"/>
      <c r="R59" s="1509"/>
      <c r="S59" s="1509"/>
      <c r="T59" s="1509"/>
      <c r="U59" s="1509"/>
      <c r="V59" s="1509"/>
      <c r="W59" s="1509"/>
      <c r="X59" s="1509"/>
      <c r="Y59" s="1509"/>
      <c r="Z59" s="1509"/>
      <c r="AA59" s="1509"/>
    </row>
    <row r="65" spans="1:1">
      <c r="A65" s="155"/>
    </row>
  </sheetData>
  <mergeCells count="26">
    <mergeCell ref="M12:AA12"/>
    <mergeCell ref="M28:AA28"/>
    <mergeCell ref="A59:L59"/>
    <mergeCell ref="A7:B7"/>
    <mergeCell ref="A8:B8"/>
    <mergeCell ref="A12:L12"/>
    <mergeCell ref="A28:L28"/>
    <mergeCell ref="M59:AA59"/>
    <mergeCell ref="A6:B6"/>
    <mergeCell ref="W6:AA6"/>
    <mergeCell ref="C6:G6"/>
    <mergeCell ref="H6:L6"/>
    <mergeCell ref="R6:V6"/>
    <mergeCell ref="M6:Q6"/>
    <mergeCell ref="A5:B5"/>
    <mergeCell ref="W5:AA5"/>
    <mergeCell ref="C5:G5"/>
    <mergeCell ref="H5:L5"/>
    <mergeCell ref="R5:V5"/>
    <mergeCell ref="M5:Q5"/>
    <mergeCell ref="A3:L3"/>
    <mergeCell ref="N4:AA4"/>
    <mergeCell ref="A4:M4"/>
    <mergeCell ref="N2:AA2"/>
    <mergeCell ref="A2:M2"/>
    <mergeCell ref="M3:AA3"/>
  </mergeCells>
  <phoneticPr fontId="4" type="noConversion"/>
  <hyperlinks>
    <hyperlink ref="A1" location="목록!A1" display="목록!A1" xr:uid="{8B068F3E-2537-4FBB-BA59-9CF1BE182F2A}"/>
  </hyperlinks>
  <pageMargins left="0.59055118110236227" right="0.59055118110236227" top="0.78740157480314965" bottom="0.59055118110236227" header="0.62992125984251968" footer="0.39370078740157483"/>
  <pageSetup paperSize="9" scale="91" orientation="portrait" r:id="rId1"/>
  <rowBreaks count="1" manualBreakCount="1">
    <brk id="59" max="26" man="1"/>
  </rowBreaks>
  <colBreaks count="1" manualBreakCount="1">
    <brk id="12" min="1" max="58" man="1"/>
  </colBreaks>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8"/>
  <dimension ref="A1:T72"/>
  <sheetViews>
    <sheetView showGridLines="0" showWhiteSpace="0" view="pageBreakPreview" zoomScaleNormal="100" zoomScaleSheetLayoutView="100" zoomScalePageLayoutView="130" workbookViewId="0"/>
  </sheetViews>
  <sheetFormatPr defaultRowHeight="16.5"/>
  <cols>
    <col min="1" max="1" width="6.88671875" style="152" customWidth="1"/>
    <col min="2" max="2" width="8.33203125" style="153" customWidth="1"/>
    <col min="3" max="16" width="3.77734375" style="152" customWidth="1"/>
    <col min="17" max="18" width="4.77734375" style="152" customWidth="1"/>
    <col min="19" max="20" width="7.33203125" style="60" customWidth="1"/>
    <col min="21" max="16384" width="8.88671875" style="60"/>
  </cols>
  <sheetData>
    <row r="1" spans="1:20" ht="22.5">
      <c r="A1" s="901" t="s">
        <v>1332</v>
      </c>
    </row>
    <row r="2" spans="1:20" s="122" customFormat="1" ht="10.5" customHeight="1">
      <c r="A2" s="1046" t="s">
        <v>1200</v>
      </c>
      <c r="B2" s="1046"/>
      <c r="C2" s="1046"/>
      <c r="D2" s="1046"/>
      <c r="E2" s="1046"/>
      <c r="F2" s="1046"/>
      <c r="G2" s="1046"/>
      <c r="H2" s="1046"/>
      <c r="I2" s="1046"/>
      <c r="J2" s="1046"/>
      <c r="K2" s="1046"/>
      <c r="L2" s="1046"/>
      <c r="M2" s="1046"/>
      <c r="N2" s="1046"/>
      <c r="O2" s="1046"/>
      <c r="P2" s="1046"/>
      <c r="Q2" s="1046"/>
      <c r="R2" s="1046"/>
    </row>
    <row r="3" spans="1:20" ht="22.5" customHeight="1">
      <c r="A3" s="1050" t="s">
        <v>890</v>
      </c>
      <c r="B3" s="1050"/>
      <c r="C3" s="1050"/>
      <c r="D3" s="1050"/>
      <c r="E3" s="1050"/>
      <c r="F3" s="1050"/>
      <c r="G3" s="1050"/>
      <c r="H3" s="1050"/>
      <c r="I3" s="1050"/>
      <c r="J3" s="1050"/>
      <c r="K3" s="1050"/>
      <c r="L3" s="1050"/>
      <c r="M3" s="1050"/>
      <c r="N3" s="1050"/>
      <c r="O3" s="1050"/>
      <c r="P3" s="1050"/>
      <c r="Q3" s="1050"/>
      <c r="R3" s="1050"/>
      <c r="S3" s="124"/>
      <c r="T3" s="124"/>
    </row>
    <row r="4" spans="1:20" ht="18.75" customHeight="1">
      <c r="A4" s="1059" t="s">
        <v>764</v>
      </c>
      <c r="B4" s="1059"/>
      <c r="C4" s="1059"/>
      <c r="D4" s="1059"/>
      <c r="E4" s="1059"/>
      <c r="F4" s="1059"/>
      <c r="G4" s="1059"/>
      <c r="H4" s="1059"/>
      <c r="I4" s="1059"/>
      <c r="J4" s="1059"/>
      <c r="K4" s="1059"/>
      <c r="L4" s="1059"/>
      <c r="M4" s="1059"/>
      <c r="N4" s="1059"/>
      <c r="O4" s="1059"/>
      <c r="P4" s="1059"/>
      <c r="Q4" s="1059"/>
      <c r="R4" s="1059"/>
      <c r="S4" s="124"/>
      <c r="T4" s="124"/>
    </row>
    <row r="5" spans="1:20" ht="8.25" customHeight="1" thickBot="1">
      <c r="A5" s="446"/>
      <c r="B5" s="446"/>
      <c r="C5" s="446"/>
      <c r="D5" s="446"/>
      <c r="E5" s="446"/>
      <c r="F5" s="446"/>
      <c r="G5" s="446"/>
      <c r="H5" s="446"/>
      <c r="I5" s="446"/>
      <c r="J5" s="446"/>
      <c r="K5" s="446"/>
      <c r="L5" s="446"/>
      <c r="M5" s="446"/>
      <c r="N5" s="446"/>
      <c r="O5" s="446"/>
      <c r="P5" s="446"/>
      <c r="Q5" s="446"/>
      <c r="R5" s="446"/>
      <c r="S5" s="611"/>
    </row>
    <row r="6" spans="1:20" s="125" customFormat="1" ht="12" customHeight="1">
      <c r="A6" s="1507" t="s">
        <v>2</v>
      </c>
      <c r="B6" s="1056"/>
      <c r="C6" s="1125" t="s">
        <v>95</v>
      </c>
      <c r="D6" s="1056"/>
      <c r="E6" s="1126" t="s">
        <v>338</v>
      </c>
      <c r="F6" s="1141"/>
      <c r="G6" s="1141"/>
      <c r="H6" s="1141"/>
      <c r="I6" s="1141"/>
      <c r="J6" s="1141"/>
      <c r="K6" s="1141"/>
      <c r="L6" s="1141"/>
      <c r="M6" s="1141"/>
      <c r="N6" s="1141"/>
      <c r="O6" s="1141"/>
      <c r="P6" s="1127"/>
      <c r="Q6" s="1126" t="s">
        <v>1080</v>
      </c>
      <c r="R6" s="1141"/>
    </row>
    <row r="7" spans="1:20" s="260" customFormat="1" ht="12" customHeight="1">
      <c r="A7" s="1136" t="s">
        <v>7</v>
      </c>
      <c r="B7" s="1082"/>
      <c r="C7" s="1128" t="s">
        <v>16</v>
      </c>
      <c r="D7" s="1082"/>
      <c r="E7" s="1083" t="s">
        <v>650</v>
      </c>
      <c r="F7" s="1051"/>
      <c r="G7" s="1051"/>
      <c r="H7" s="1051"/>
      <c r="I7" s="1051"/>
      <c r="J7" s="1051"/>
      <c r="K7" s="1051"/>
      <c r="L7" s="1051"/>
      <c r="M7" s="1051"/>
      <c r="N7" s="1051"/>
      <c r="O7" s="1051"/>
      <c r="P7" s="1052"/>
      <c r="Q7" s="1128" t="s">
        <v>652</v>
      </c>
      <c r="R7" s="1136"/>
    </row>
    <row r="8" spans="1:20" s="125" customFormat="1" ht="12" customHeight="1">
      <c r="A8" s="1507"/>
      <c r="B8" s="1056"/>
      <c r="C8" s="1125"/>
      <c r="D8" s="1056"/>
      <c r="E8" s="1054" t="s">
        <v>475</v>
      </c>
      <c r="F8" s="1134"/>
      <c r="G8" s="1054" t="s">
        <v>651</v>
      </c>
      <c r="H8" s="1129"/>
      <c r="I8" s="1054" t="s">
        <v>339</v>
      </c>
      <c r="J8" s="1129"/>
      <c r="K8" s="1054" t="s">
        <v>340</v>
      </c>
      <c r="L8" s="1129"/>
      <c r="M8" s="1054" t="s">
        <v>341</v>
      </c>
      <c r="N8" s="1129"/>
      <c r="O8" s="1054" t="s">
        <v>342</v>
      </c>
      <c r="P8" s="1129"/>
      <c r="Q8" s="1128"/>
      <c r="R8" s="1136"/>
    </row>
    <row r="9" spans="1:20" s="260" customFormat="1" ht="12" customHeight="1">
      <c r="A9" s="1136"/>
      <c r="B9" s="1082"/>
      <c r="C9" s="1083"/>
      <c r="D9" s="1052"/>
      <c r="E9" s="1083" t="s">
        <v>448</v>
      </c>
      <c r="F9" s="1051"/>
      <c r="G9" s="1083" t="s">
        <v>793</v>
      </c>
      <c r="H9" s="1052"/>
      <c r="I9" s="1083" t="s">
        <v>343</v>
      </c>
      <c r="J9" s="1052"/>
      <c r="K9" s="1083" t="s">
        <v>344</v>
      </c>
      <c r="L9" s="1052"/>
      <c r="M9" s="1083" t="s">
        <v>345</v>
      </c>
      <c r="N9" s="1052"/>
      <c r="O9" s="1083" t="s">
        <v>346</v>
      </c>
      <c r="P9" s="1052"/>
      <c r="Q9" s="1083"/>
      <c r="R9" s="1051"/>
    </row>
    <row r="10" spans="1:20" s="125" customFormat="1" ht="12" customHeight="1">
      <c r="A10" s="1507"/>
      <c r="B10" s="1056"/>
      <c r="C10" s="920" t="s">
        <v>13</v>
      </c>
      <c r="D10" s="920" t="s">
        <v>23</v>
      </c>
      <c r="E10" s="920" t="s">
        <v>13</v>
      </c>
      <c r="F10" s="920" t="s">
        <v>392</v>
      </c>
      <c r="G10" s="920" t="s">
        <v>354</v>
      </c>
      <c r="H10" s="920" t="s">
        <v>23</v>
      </c>
      <c r="I10" s="920" t="s">
        <v>13</v>
      </c>
      <c r="J10" s="920" t="s">
        <v>23</v>
      </c>
      <c r="K10" s="919" t="s">
        <v>13</v>
      </c>
      <c r="L10" s="920" t="s">
        <v>23</v>
      </c>
      <c r="M10" s="262" t="s">
        <v>13</v>
      </c>
      <c r="N10" s="920" t="s">
        <v>23</v>
      </c>
      <c r="O10" s="920" t="s">
        <v>13</v>
      </c>
      <c r="P10" s="920" t="s">
        <v>23</v>
      </c>
      <c r="Q10" s="262" t="s">
        <v>13</v>
      </c>
      <c r="R10" s="1001" t="s">
        <v>23</v>
      </c>
    </row>
    <row r="11" spans="1:20" s="260" customFormat="1" ht="12" customHeight="1">
      <c r="A11" s="1051"/>
      <c r="B11" s="1052"/>
      <c r="C11" s="923" t="s">
        <v>25</v>
      </c>
      <c r="D11" s="923" t="s">
        <v>26</v>
      </c>
      <c r="E11" s="923" t="s">
        <v>25</v>
      </c>
      <c r="F11" s="923" t="s">
        <v>368</v>
      </c>
      <c r="G11" s="923" t="s">
        <v>367</v>
      </c>
      <c r="H11" s="923" t="s">
        <v>26</v>
      </c>
      <c r="I11" s="923" t="s">
        <v>25</v>
      </c>
      <c r="J11" s="923" t="s">
        <v>26</v>
      </c>
      <c r="K11" s="928" t="s">
        <v>25</v>
      </c>
      <c r="L11" s="923" t="s">
        <v>26</v>
      </c>
      <c r="M11" s="928" t="s">
        <v>25</v>
      </c>
      <c r="N11" s="923" t="s">
        <v>26</v>
      </c>
      <c r="O11" s="923" t="s">
        <v>25</v>
      </c>
      <c r="P11" s="923" t="s">
        <v>26</v>
      </c>
      <c r="Q11" s="928" t="s">
        <v>25</v>
      </c>
      <c r="R11" s="922" t="s">
        <v>26</v>
      </c>
    </row>
    <row r="12" spans="1:20" ht="11.25" customHeight="1">
      <c r="A12" s="128" t="s">
        <v>347</v>
      </c>
      <c r="B12" s="129" t="s">
        <v>348</v>
      </c>
      <c r="C12" s="133">
        <v>545</v>
      </c>
      <c r="D12" s="139">
        <v>0</v>
      </c>
      <c r="E12" s="133">
        <v>545</v>
      </c>
      <c r="F12" s="139">
        <v>0</v>
      </c>
      <c r="G12" s="133">
        <v>2</v>
      </c>
      <c r="H12" s="139">
        <v>0</v>
      </c>
      <c r="I12" s="133">
        <v>160</v>
      </c>
      <c r="J12" s="139">
        <v>0</v>
      </c>
      <c r="K12" s="139">
        <v>186</v>
      </c>
      <c r="L12" s="139">
        <v>0</v>
      </c>
      <c r="M12" s="139">
        <v>182</v>
      </c>
      <c r="N12" s="139">
        <v>0</v>
      </c>
      <c r="O12" s="133">
        <v>15</v>
      </c>
      <c r="P12" s="139">
        <v>0</v>
      </c>
      <c r="Q12" s="139">
        <v>0</v>
      </c>
      <c r="R12" s="1535">
        <v>0</v>
      </c>
    </row>
    <row r="13" spans="1:20" ht="11.25" customHeight="1">
      <c r="A13" s="130" t="s">
        <v>136</v>
      </c>
      <c r="B13" s="131" t="s">
        <v>30</v>
      </c>
      <c r="C13" s="135">
        <v>508</v>
      </c>
      <c r="D13" s="136">
        <v>0</v>
      </c>
      <c r="E13" s="135">
        <v>508</v>
      </c>
      <c r="F13" s="136">
        <v>0</v>
      </c>
      <c r="G13" s="135">
        <v>2</v>
      </c>
      <c r="H13" s="136">
        <v>0</v>
      </c>
      <c r="I13" s="135">
        <v>152</v>
      </c>
      <c r="J13" s="136">
        <v>0</v>
      </c>
      <c r="K13" s="136">
        <v>176</v>
      </c>
      <c r="L13" s="136">
        <v>0</v>
      </c>
      <c r="M13" s="136">
        <v>178</v>
      </c>
      <c r="N13" s="136">
        <v>0</v>
      </c>
      <c r="O13" s="135" t="s">
        <v>28</v>
      </c>
      <c r="P13" s="136">
        <v>0</v>
      </c>
      <c r="Q13" s="136">
        <v>0</v>
      </c>
      <c r="R13" s="1536">
        <v>0</v>
      </c>
    </row>
    <row r="14" spans="1:20" ht="11.25" customHeight="1">
      <c r="A14" s="130" t="s">
        <v>137</v>
      </c>
      <c r="B14" s="131" t="s">
        <v>32</v>
      </c>
      <c r="C14" s="135">
        <v>37</v>
      </c>
      <c r="D14" s="136">
        <v>0</v>
      </c>
      <c r="E14" s="135">
        <v>37</v>
      </c>
      <c r="F14" s="136">
        <v>0</v>
      </c>
      <c r="G14" s="135" t="s">
        <v>28</v>
      </c>
      <c r="H14" s="136">
        <v>0</v>
      </c>
      <c r="I14" s="135">
        <v>8</v>
      </c>
      <c r="J14" s="136">
        <v>0</v>
      </c>
      <c r="K14" s="136">
        <v>10</v>
      </c>
      <c r="L14" s="136">
        <v>0</v>
      </c>
      <c r="M14" s="136">
        <v>4</v>
      </c>
      <c r="N14" s="136">
        <v>0</v>
      </c>
      <c r="O14" s="135">
        <v>15</v>
      </c>
      <c r="P14" s="136">
        <v>0</v>
      </c>
      <c r="Q14" s="136">
        <v>0</v>
      </c>
      <c r="R14" s="1536">
        <v>0</v>
      </c>
    </row>
    <row r="15" spans="1:20" ht="11.25" customHeight="1">
      <c r="A15" s="128" t="s">
        <v>349</v>
      </c>
      <c r="B15" s="129" t="s">
        <v>350</v>
      </c>
      <c r="C15" s="133">
        <v>504</v>
      </c>
      <c r="D15" s="133">
        <v>328</v>
      </c>
      <c r="E15" s="133">
        <v>504</v>
      </c>
      <c r="F15" s="133">
        <v>328</v>
      </c>
      <c r="G15" s="133">
        <v>2</v>
      </c>
      <c r="H15" s="133">
        <v>2</v>
      </c>
      <c r="I15" s="133">
        <v>173</v>
      </c>
      <c r="J15" s="133">
        <v>100</v>
      </c>
      <c r="K15" s="139">
        <v>205</v>
      </c>
      <c r="L15" s="133">
        <v>159</v>
      </c>
      <c r="M15" s="139">
        <v>97</v>
      </c>
      <c r="N15" s="133">
        <v>56</v>
      </c>
      <c r="O15" s="133">
        <v>27</v>
      </c>
      <c r="P15" s="133">
        <v>11</v>
      </c>
      <c r="Q15" s="139">
        <v>0</v>
      </c>
      <c r="R15" s="1535">
        <v>0</v>
      </c>
    </row>
    <row r="16" spans="1:20" ht="11.25" customHeight="1">
      <c r="A16" s="130" t="s">
        <v>136</v>
      </c>
      <c r="B16" s="131" t="s">
        <v>30</v>
      </c>
      <c r="C16" s="135">
        <v>467</v>
      </c>
      <c r="D16" s="135">
        <v>313</v>
      </c>
      <c r="E16" s="135">
        <v>467</v>
      </c>
      <c r="F16" s="135">
        <v>313</v>
      </c>
      <c r="G16" s="135">
        <v>2</v>
      </c>
      <c r="H16" s="135">
        <v>2</v>
      </c>
      <c r="I16" s="135">
        <v>165</v>
      </c>
      <c r="J16" s="135">
        <v>98</v>
      </c>
      <c r="K16" s="136">
        <v>189</v>
      </c>
      <c r="L16" s="135">
        <v>150</v>
      </c>
      <c r="M16" s="136">
        <v>87</v>
      </c>
      <c r="N16" s="135">
        <v>53</v>
      </c>
      <c r="O16" s="135">
        <v>24</v>
      </c>
      <c r="P16" s="135">
        <v>10</v>
      </c>
      <c r="Q16" s="136">
        <v>0</v>
      </c>
      <c r="R16" s="1536">
        <v>0</v>
      </c>
    </row>
    <row r="17" spans="1:18" ht="11.25" customHeight="1" thickBot="1">
      <c r="A17" s="2228" t="s">
        <v>137</v>
      </c>
      <c r="B17" s="132" t="s">
        <v>32</v>
      </c>
      <c r="C17" s="143">
        <v>37</v>
      </c>
      <c r="D17" s="143">
        <v>15</v>
      </c>
      <c r="E17" s="143">
        <v>37</v>
      </c>
      <c r="F17" s="143">
        <v>15</v>
      </c>
      <c r="G17" s="143" t="s">
        <v>28</v>
      </c>
      <c r="H17" s="143" t="s">
        <v>28</v>
      </c>
      <c r="I17" s="143">
        <v>8</v>
      </c>
      <c r="J17" s="143">
        <v>2</v>
      </c>
      <c r="K17" s="144">
        <v>16</v>
      </c>
      <c r="L17" s="143">
        <v>9</v>
      </c>
      <c r="M17" s="144">
        <v>10</v>
      </c>
      <c r="N17" s="143">
        <v>3</v>
      </c>
      <c r="O17" s="143">
        <v>3</v>
      </c>
      <c r="P17" s="143">
        <v>1</v>
      </c>
      <c r="Q17" s="144">
        <v>0</v>
      </c>
      <c r="R17" s="147">
        <v>0</v>
      </c>
    </row>
    <row r="18" spans="1:18" s="125" customFormat="1" ht="11.25" customHeight="1" thickBot="1">
      <c r="A18" s="1123" t="s">
        <v>437</v>
      </c>
      <c r="B18" s="1123"/>
      <c r="C18" s="1123"/>
      <c r="D18" s="1123"/>
      <c r="E18" s="1123"/>
      <c r="F18" s="1123"/>
      <c r="G18" s="1123"/>
      <c r="H18" s="1123"/>
      <c r="I18" s="1123"/>
      <c r="J18" s="1123"/>
      <c r="K18" s="1123"/>
      <c r="L18" s="1123"/>
      <c r="M18" s="1123"/>
      <c r="N18" s="1123"/>
      <c r="O18" s="1123"/>
      <c r="P18" s="1123"/>
      <c r="Q18" s="1123"/>
      <c r="R18" s="1123"/>
    </row>
    <row r="19" spans="1:18" ht="11.25" customHeight="1">
      <c r="A19" s="89" t="s">
        <v>35</v>
      </c>
      <c r="B19" s="170" t="s">
        <v>36</v>
      </c>
      <c r="C19" s="91">
        <v>95</v>
      </c>
      <c r="D19" s="91">
        <v>57</v>
      </c>
      <c r="E19" s="91">
        <v>95</v>
      </c>
      <c r="F19" s="91">
        <v>57</v>
      </c>
      <c r="G19" s="91" t="s">
        <v>28</v>
      </c>
      <c r="H19" s="91" t="s">
        <v>28</v>
      </c>
      <c r="I19" s="91">
        <v>36</v>
      </c>
      <c r="J19" s="91">
        <v>21</v>
      </c>
      <c r="K19" s="91">
        <v>34</v>
      </c>
      <c r="L19" s="91">
        <v>24</v>
      </c>
      <c r="M19" s="91">
        <v>20</v>
      </c>
      <c r="N19" s="91">
        <v>9</v>
      </c>
      <c r="O19" s="91">
        <v>5</v>
      </c>
      <c r="P19" s="91">
        <v>3</v>
      </c>
      <c r="Q19" s="91">
        <f t="shared" ref="Q19:R21" si="0">SUM(Q35,Q38,Q41,Q62)</f>
        <v>0</v>
      </c>
      <c r="R19" s="171">
        <f t="shared" si="0"/>
        <v>0</v>
      </c>
    </row>
    <row r="20" spans="1:18" ht="11.25" customHeight="1">
      <c r="A20" s="94" t="s">
        <v>136</v>
      </c>
      <c r="B20" s="172" t="s">
        <v>30</v>
      </c>
      <c r="C20" s="95">
        <v>72</v>
      </c>
      <c r="D20" s="95">
        <v>50</v>
      </c>
      <c r="E20" s="95">
        <v>72</v>
      </c>
      <c r="F20" s="95">
        <v>50</v>
      </c>
      <c r="G20" s="95" t="s">
        <v>28</v>
      </c>
      <c r="H20" s="95" t="s">
        <v>28</v>
      </c>
      <c r="I20" s="95">
        <v>30</v>
      </c>
      <c r="J20" s="95">
        <v>19</v>
      </c>
      <c r="K20" s="96">
        <v>24</v>
      </c>
      <c r="L20" s="95">
        <v>20</v>
      </c>
      <c r="M20" s="95">
        <v>13</v>
      </c>
      <c r="N20" s="95">
        <v>8</v>
      </c>
      <c r="O20" s="95">
        <v>5</v>
      </c>
      <c r="P20" s="95">
        <v>3</v>
      </c>
      <c r="Q20" s="95">
        <f t="shared" si="0"/>
        <v>0</v>
      </c>
      <c r="R20" s="173">
        <f t="shared" si="0"/>
        <v>0</v>
      </c>
    </row>
    <row r="21" spans="1:18" ht="11.25" customHeight="1">
      <c r="A21" s="94" t="s">
        <v>137</v>
      </c>
      <c r="B21" s="172" t="s">
        <v>32</v>
      </c>
      <c r="C21" s="95">
        <v>23</v>
      </c>
      <c r="D21" s="95">
        <v>7</v>
      </c>
      <c r="E21" s="95">
        <v>23</v>
      </c>
      <c r="F21" s="95">
        <v>7</v>
      </c>
      <c r="G21" s="95" t="s">
        <v>28</v>
      </c>
      <c r="H21" s="95" t="s">
        <v>28</v>
      </c>
      <c r="I21" s="95">
        <v>6</v>
      </c>
      <c r="J21" s="96">
        <v>2</v>
      </c>
      <c r="K21" s="96">
        <v>10</v>
      </c>
      <c r="L21" s="95">
        <v>4</v>
      </c>
      <c r="M21" s="95">
        <v>7</v>
      </c>
      <c r="N21" s="96">
        <v>1</v>
      </c>
      <c r="O21" s="96" t="s">
        <v>28</v>
      </c>
      <c r="P21" s="95" t="s">
        <v>28</v>
      </c>
      <c r="Q21" s="95">
        <f t="shared" si="0"/>
        <v>0</v>
      </c>
      <c r="R21" s="173">
        <f t="shared" si="0"/>
        <v>0</v>
      </c>
    </row>
    <row r="22" spans="1:18" ht="11.25" customHeight="1">
      <c r="A22" s="89" t="s">
        <v>37</v>
      </c>
      <c r="B22" s="170" t="s">
        <v>38</v>
      </c>
      <c r="C22" s="91">
        <v>127</v>
      </c>
      <c r="D22" s="91">
        <v>80</v>
      </c>
      <c r="E22" s="91">
        <v>127</v>
      </c>
      <c r="F22" s="91">
        <v>80</v>
      </c>
      <c r="G22" s="91" t="s">
        <v>28</v>
      </c>
      <c r="H22" s="91" t="s">
        <v>28</v>
      </c>
      <c r="I22" s="91">
        <v>45</v>
      </c>
      <c r="J22" s="91">
        <v>28</v>
      </c>
      <c r="K22" s="91">
        <v>55</v>
      </c>
      <c r="L22" s="91">
        <v>41</v>
      </c>
      <c r="M22" s="91">
        <v>24</v>
      </c>
      <c r="N22" s="91">
        <v>11</v>
      </c>
      <c r="O22" s="91">
        <v>3</v>
      </c>
      <c r="P22" s="91" t="s">
        <v>28</v>
      </c>
      <c r="Q22" s="91">
        <f t="shared" ref="Q22:R24" si="1">Q50</f>
        <v>0</v>
      </c>
      <c r="R22" s="171">
        <f t="shared" si="1"/>
        <v>0</v>
      </c>
    </row>
    <row r="23" spans="1:18" ht="11.25" customHeight="1">
      <c r="A23" s="94" t="s">
        <v>136</v>
      </c>
      <c r="B23" s="172" t="s">
        <v>30</v>
      </c>
      <c r="C23" s="95">
        <v>127</v>
      </c>
      <c r="D23" s="95">
        <v>80</v>
      </c>
      <c r="E23" s="95">
        <v>127</v>
      </c>
      <c r="F23" s="95">
        <v>80</v>
      </c>
      <c r="G23" s="95" t="s">
        <v>28</v>
      </c>
      <c r="H23" s="95" t="s">
        <v>28</v>
      </c>
      <c r="I23" s="95">
        <v>45</v>
      </c>
      <c r="J23" s="96">
        <v>28</v>
      </c>
      <c r="K23" s="96">
        <v>55</v>
      </c>
      <c r="L23" s="95">
        <v>41</v>
      </c>
      <c r="M23" s="95">
        <v>24</v>
      </c>
      <c r="N23" s="96">
        <v>11</v>
      </c>
      <c r="O23" s="96">
        <v>3</v>
      </c>
      <c r="P23" s="95" t="s">
        <v>28</v>
      </c>
      <c r="Q23" s="95">
        <f t="shared" si="1"/>
        <v>0</v>
      </c>
      <c r="R23" s="97">
        <f t="shared" si="1"/>
        <v>0</v>
      </c>
    </row>
    <row r="24" spans="1:18" ht="11.25" customHeight="1">
      <c r="A24" s="94" t="s">
        <v>137</v>
      </c>
      <c r="B24" s="172" t="s">
        <v>32</v>
      </c>
      <c r="C24" s="95" t="s">
        <v>28</v>
      </c>
      <c r="D24" s="95" t="s">
        <v>28</v>
      </c>
      <c r="E24" s="95" t="s">
        <v>28</v>
      </c>
      <c r="F24" s="95" t="s">
        <v>28</v>
      </c>
      <c r="G24" s="95" t="s">
        <v>28</v>
      </c>
      <c r="H24" s="95" t="s">
        <v>28</v>
      </c>
      <c r="I24" s="95" t="s">
        <v>28</v>
      </c>
      <c r="J24" s="96" t="s">
        <v>28</v>
      </c>
      <c r="K24" s="96" t="s">
        <v>28</v>
      </c>
      <c r="L24" s="95" t="s">
        <v>28</v>
      </c>
      <c r="M24" s="95" t="s">
        <v>28</v>
      </c>
      <c r="N24" s="96" t="s">
        <v>28</v>
      </c>
      <c r="O24" s="96" t="s">
        <v>28</v>
      </c>
      <c r="P24" s="95" t="s">
        <v>28</v>
      </c>
      <c r="Q24" s="95">
        <f t="shared" si="1"/>
        <v>0</v>
      </c>
      <c r="R24" s="97">
        <f t="shared" si="1"/>
        <v>0</v>
      </c>
    </row>
    <row r="25" spans="1:18" ht="11.25" customHeight="1">
      <c r="A25" s="89" t="s">
        <v>39</v>
      </c>
      <c r="B25" s="170" t="s">
        <v>40</v>
      </c>
      <c r="C25" s="91">
        <v>158</v>
      </c>
      <c r="D25" s="91">
        <v>112</v>
      </c>
      <c r="E25" s="91">
        <v>158</v>
      </c>
      <c r="F25" s="91">
        <v>112</v>
      </c>
      <c r="G25" s="91" t="s">
        <v>28</v>
      </c>
      <c r="H25" s="91" t="s">
        <v>28</v>
      </c>
      <c r="I25" s="91">
        <v>53</v>
      </c>
      <c r="J25" s="91">
        <v>31</v>
      </c>
      <c r="K25" s="91">
        <v>64</v>
      </c>
      <c r="L25" s="91">
        <v>57</v>
      </c>
      <c r="M25" s="91">
        <v>31</v>
      </c>
      <c r="N25" s="91">
        <v>20</v>
      </c>
      <c r="O25" s="91">
        <v>10</v>
      </c>
      <c r="P25" s="91">
        <v>4</v>
      </c>
      <c r="Q25" s="91">
        <f t="shared" ref="Q25:R27" si="2">SUM(Q44,Q47)</f>
        <v>0</v>
      </c>
      <c r="R25" s="171">
        <f t="shared" si="2"/>
        <v>0</v>
      </c>
    </row>
    <row r="26" spans="1:18" ht="11.25" customHeight="1">
      <c r="A26" s="94" t="s">
        <v>136</v>
      </c>
      <c r="B26" s="172" t="s">
        <v>30</v>
      </c>
      <c r="C26" s="95">
        <v>150</v>
      </c>
      <c r="D26" s="95">
        <v>109</v>
      </c>
      <c r="E26" s="95">
        <v>150</v>
      </c>
      <c r="F26" s="95">
        <v>109</v>
      </c>
      <c r="G26" s="95" t="s">
        <v>28</v>
      </c>
      <c r="H26" s="95" t="s">
        <v>28</v>
      </c>
      <c r="I26" s="95">
        <v>51</v>
      </c>
      <c r="J26" s="96">
        <v>31</v>
      </c>
      <c r="K26" s="96">
        <v>62</v>
      </c>
      <c r="L26" s="95">
        <v>55</v>
      </c>
      <c r="M26" s="95">
        <v>29</v>
      </c>
      <c r="N26" s="96">
        <v>19</v>
      </c>
      <c r="O26" s="96">
        <v>8</v>
      </c>
      <c r="P26" s="95">
        <v>4</v>
      </c>
      <c r="Q26" s="95">
        <f t="shared" si="2"/>
        <v>0</v>
      </c>
      <c r="R26" s="173">
        <f t="shared" si="2"/>
        <v>0</v>
      </c>
    </row>
    <row r="27" spans="1:18" ht="11.25" customHeight="1">
      <c r="A27" s="94" t="s">
        <v>137</v>
      </c>
      <c r="B27" s="172" t="s">
        <v>32</v>
      </c>
      <c r="C27" s="95">
        <v>8</v>
      </c>
      <c r="D27" s="95">
        <v>3</v>
      </c>
      <c r="E27" s="95">
        <v>8</v>
      </c>
      <c r="F27" s="95">
        <v>3</v>
      </c>
      <c r="G27" s="95" t="s">
        <v>28</v>
      </c>
      <c r="H27" s="95" t="s">
        <v>28</v>
      </c>
      <c r="I27" s="95">
        <v>2</v>
      </c>
      <c r="J27" s="96" t="s">
        <v>28</v>
      </c>
      <c r="K27" s="96">
        <v>2</v>
      </c>
      <c r="L27" s="95">
        <v>2</v>
      </c>
      <c r="M27" s="95">
        <v>2</v>
      </c>
      <c r="N27" s="96">
        <v>1</v>
      </c>
      <c r="O27" s="96">
        <v>2</v>
      </c>
      <c r="P27" s="95" t="s">
        <v>28</v>
      </c>
      <c r="Q27" s="95">
        <f t="shared" si="2"/>
        <v>0</v>
      </c>
      <c r="R27" s="173">
        <f t="shared" si="2"/>
        <v>0</v>
      </c>
    </row>
    <row r="28" spans="1:18" ht="11.25" customHeight="1">
      <c r="A28" s="89" t="s">
        <v>41</v>
      </c>
      <c r="B28" s="170" t="s">
        <v>42</v>
      </c>
      <c r="C28" s="91">
        <v>107</v>
      </c>
      <c r="D28" s="91">
        <v>67</v>
      </c>
      <c r="E28" s="91">
        <v>107</v>
      </c>
      <c r="F28" s="91">
        <v>67</v>
      </c>
      <c r="G28" s="91">
        <v>2</v>
      </c>
      <c r="H28" s="91">
        <v>2</v>
      </c>
      <c r="I28" s="91">
        <v>34</v>
      </c>
      <c r="J28" s="91">
        <v>17</v>
      </c>
      <c r="K28" s="91">
        <v>45</v>
      </c>
      <c r="L28" s="91">
        <v>32</v>
      </c>
      <c r="M28" s="91">
        <v>19</v>
      </c>
      <c r="N28" s="91">
        <v>13</v>
      </c>
      <c r="O28" s="91">
        <v>7</v>
      </c>
      <c r="P28" s="91">
        <v>3</v>
      </c>
      <c r="Q28" s="91">
        <f t="shared" ref="Q28:R30" si="3">SUM(Q53,Q56)</f>
        <v>0</v>
      </c>
      <c r="R28" s="171">
        <f t="shared" si="3"/>
        <v>0</v>
      </c>
    </row>
    <row r="29" spans="1:18" ht="11.25" customHeight="1">
      <c r="A29" s="94" t="s">
        <v>136</v>
      </c>
      <c r="B29" s="172" t="s">
        <v>30</v>
      </c>
      <c r="C29" s="95">
        <v>107</v>
      </c>
      <c r="D29" s="95">
        <v>67</v>
      </c>
      <c r="E29" s="95">
        <v>107</v>
      </c>
      <c r="F29" s="95">
        <v>67</v>
      </c>
      <c r="G29" s="95">
        <v>2</v>
      </c>
      <c r="H29" s="95">
        <v>2</v>
      </c>
      <c r="I29" s="95">
        <v>34</v>
      </c>
      <c r="J29" s="96">
        <v>17</v>
      </c>
      <c r="K29" s="96">
        <v>45</v>
      </c>
      <c r="L29" s="95">
        <v>32</v>
      </c>
      <c r="M29" s="95">
        <v>19</v>
      </c>
      <c r="N29" s="96">
        <v>13</v>
      </c>
      <c r="O29" s="96">
        <v>7</v>
      </c>
      <c r="P29" s="95">
        <v>3</v>
      </c>
      <c r="Q29" s="95">
        <f t="shared" si="3"/>
        <v>0</v>
      </c>
      <c r="R29" s="173">
        <f t="shared" si="3"/>
        <v>0</v>
      </c>
    </row>
    <row r="30" spans="1:18" ht="11.25" customHeight="1">
      <c r="A30" s="94" t="s">
        <v>137</v>
      </c>
      <c r="B30" s="172" t="s">
        <v>32</v>
      </c>
      <c r="C30" s="95" t="s">
        <v>28</v>
      </c>
      <c r="D30" s="95" t="s">
        <v>28</v>
      </c>
      <c r="E30" s="95" t="s">
        <v>28</v>
      </c>
      <c r="F30" s="95" t="s">
        <v>28</v>
      </c>
      <c r="G30" s="95" t="s">
        <v>28</v>
      </c>
      <c r="H30" s="95" t="s">
        <v>28</v>
      </c>
      <c r="I30" s="95" t="s">
        <v>28</v>
      </c>
      <c r="J30" s="96" t="s">
        <v>28</v>
      </c>
      <c r="K30" s="96" t="s">
        <v>28</v>
      </c>
      <c r="L30" s="95" t="s">
        <v>28</v>
      </c>
      <c r="M30" s="95" t="s">
        <v>28</v>
      </c>
      <c r="N30" s="96" t="s">
        <v>28</v>
      </c>
      <c r="O30" s="96" t="s">
        <v>28</v>
      </c>
      <c r="P30" s="95" t="s">
        <v>28</v>
      </c>
      <c r="Q30" s="95">
        <f t="shared" si="3"/>
        <v>0</v>
      </c>
      <c r="R30" s="97">
        <f t="shared" si="3"/>
        <v>0</v>
      </c>
    </row>
    <row r="31" spans="1:18" ht="11.25" customHeight="1">
      <c r="A31" s="89" t="s">
        <v>43</v>
      </c>
      <c r="B31" s="170" t="s">
        <v>44</v>
      </c>
      <c r="C31" s="91">
        <v>17</v>
      </c>
      <c r="D31" s="91">
        <v>12</v>
      </c>
      <c r="E31" s="91">
        <v>17</v>
      </c>
      <c r="F31" s="91">
        <v>12</v>
      </c>
      <c r="G31" s="91" t="s">
        <v>28</v>
      </c>
      <c r="H31" s="91" t="s">
        <v>28</v>
      </c>
      <c r="I31" s="91">
        <v>5</v>
      </c>
      <c r="J31" s="91">
        <v>3</v>
      </c>
      <c r="K31" s="91">
        <v>7</v>
      </c>
      <c r="L31" s="91">
        <v>5</v>
      </c>
      <c r="M31" s="91">
        <v>3</v>
      </c>
      <c r="N31" s="91">
        <v>3</v>
      </c>
      <c r="O31" s="91">
        <v>2</v>
      </c>
      <c r="P31" s="91">
        <v>1</v>
      </c>
      <c r="Q31" s="91">
        <f t="shared" ref="Q31:R33" si="4">Q59</f>
        <v>0</v>
      </c>
      <c r="R31" s="171">
        <f t="shared" si="4"/>
        <v>0</v>
      </c>
    </row>
    <row r="32" spans="1:18" ht="11.25" customHeight="1">
      <c r="A32" s="94" t="s">
        <v>136</v>
      </c>
      <c r="B32" s="172" t="s">
        <v>30</v>
      </c>
      <c r="C32" s="95">
        <v>11</v>
      </c>
      <c r="D32" s="95">
        <v>7</v>
      </c>
      <c r="E32" s="95">
        <v>11</v>
      </c>
      <c r="F32" s="95">
        <v>7</v>
      </c>
      <c r="G32" s="95" t="s">
        <v>28</v>
      </c>
      <c r="H32" s="95" t="s">
        <v>28</v>
      </c>
      <c r="I32" s="95">
        <v>5</v>
      </c>
      <c r="J32" s="95">
        <v>3</v>
      </c>
      <c r="K32" s="96">
        <v>3</v>
      </c>
      <c r="L32" s="95">
        <v>2</v>
      </c>
      <c r="M32" s="96">
        <v>2</v>
      </c>
      <c r="N32" s="95">
        <v>2</v>
      </c>
      <c r="O32" s="95">
        <v>1</v>
      </c>
      <c r="P32" s="95" t="s">
        <v>28</v>
      </c>
      <c r="Q32" s="95">
        <f t="shared" si="4"/>
        <v>0</v>
      </c>
      <c r="R32" s="97">
        <f t="shared" si="4"/>
        <v>0</v>
      </c>
    </row>
    <row r="33" spans="1:18" ht="11.25" customHeight="1" thickBot="1">
      <c r="A33" s="1826" t="s">
        <v>137</v>
      </c>
      <c r="B33" s="174" t="s">
        <v>32</v>
      </c>
      <c r="C33" s="99">
        <v>6</v>
      </c>
      <c r="D33" s="99">
        <v>5</v>
      </c>
      <c r="E33" s="99">
        <v>6</v>
      </c>
      <c r="F33" s="99">
        <v>5</v>
      </c>
      <c r="G33" s="99" t="s">
        <v>28</v>
      </c>
      <c r="H33" s="99" t="s">
        <v>28</v>
      </c>
      <c r="I33" s="99" t="s">
        <v>28</v>
      </c>
      <c r="J33" s="99" t="s">
        <v>28</v>
      </c>
      <c r="K33" s="100">
        <v>4</v>
      </c>
      <c r="L33" s="99">
        <v>3</v>
      </c>
      <c r="M33" s="100">
        <v>1</v>
      </c>
      <c r="N33" s="99">
        <v>1</v>
      </c>
      <c r="O33" s="99">
        <v>1</v>
      </c>
      <c r="P33" s="99">
        <v>1</v>
      </c>
      <c r="Q33" s="99">
        <f t="shared" si="4"/>
        <v>0</v>
      </c>
      <c r="R33" s="101">
        <f t="shared" si="4"/>
        <v>0</v>
      </c>
    </row>
    <row r="34" spans="1:18" s="125" customFormat="1" ht="11.25" customHeight="1" thickBot="1">
      <c r="A34" s="1124" t="s">
        <v>654</v>
      </c>
      <c r="B34" s="1124"/>
      <c r="C34" s="1124"/>
      <c r="D34" s="1124"/>
      <c r="E34" s="1124"/>
      <c r="F34" s="1124"/>
      <c r="G34" s="1124"/>
      <c r="H34" s="1124"/>
      <c r="I34" s="1124"/>
      <c r="J34" s="1124"/>
      <c r="K34" s="1124"/>
      <c r="L34" s="1124"/>
      <c r="M34" s="1124"/>
      <c r="N34" s="1124"/>
      <c r="O34" s="1124"/>
      <c r="P34" s="1124"/>
      <c r="Q34" s="1124"/>
      <c r="R34" s="1124"/>
    </row>
    <row r="35" spans="1:18" ht="11.25" customHeight="1">
      <c r="A35" s="128" t="s">
        <v>47</v>
      </c>
      <c r="B35" s="129" t="s">
        <v>48</v>
      </c>
      <c r="C35" s="133">
        <v>40</v>
      </c>
      <c r="D35" s="133">
        <v>22</v>
      </c>
      <c r="E35" s="133">
        <v>40</v>
      </c>
      <c r="F35" s="133">
        <v>22</v>
      </c>
      <c r="G35" s="133" t="s">
        <v>28</v>
      </c>
      <c r="H35" s="133" t="s">
        <v>28</v>
      </c>
      <c r="I35" s="133">
        <v>14</v>
      </c>
      <c r="J35" s="133">
        <v>8</v>
      </c>
      <c r="K35" s="134">
        <v>13</v>
      </c>
      <c r="L35" s="133">
        <v>6</v>
      </c>
      <c r="M35" s="139">
        <v>11</v>
      </c>
      <c r="N35" s="133">
        <v>6</v>
      </c>
      <c r="O35" s="133">
        <v>2</v>
      </c>
      <c r="P35" s="133">
        <v>2</v>
      </c>
      <c r="Q35" s="133">
        <v>0</v>
      </c>
      <c r="R35" s="612">
        <v>0</v>
      </c>
    </row>
    <row r="36" spans="1:18" ht="11.25" customHeight="1">
      <c r="A36" s="130" t="s">
        <v>136</v>
      </c>
      <c r="B36" s="131" t="s">
        <v>30</v>
      </c>
      <c r="C36" s="135">
        <v>29</v>
      </c>
      <c r="D36" s="135">
        <v>19</v>
      </c>
      <c r="E36" s="135">
        <v>29</v>
      </c>
      <c r="F36" s="135">
        <v>19</v>
      </c>
      <c r="G36" s="135" t="s">
        <v>28</v>
      </c>
      <c r="H36" s="135" t="s">
        <v>28</v>
      </c>
      <c r="I36" s="135">
        <v>11</v>
      </c>
      <c r="J36" s="135">
        <v>7</v>
      </c>
      <c r="K36" s="136">
        <v>8</v>
      </c>
      <c r="L36" s="135">
        <v>5</v>
      </c>
      <c r="M36" s="136">
        <v>8</v>
      </c>
      <c r="N36" s="135">
        <v>5</v>
      </c>
      <c r="O36" s="135">
        <v>2</v>
      </c>
      <c r="P36" s="135">
        <v>2</v>
      </c>
      <c r="Q36" s="135">
        <v>0</v>
      </c>
      <c r="R36" s="142">
        <v>0</v>
      </c>
    </row>
    <row r="37" spans="1:18" ht="11.25" customHeight="1">
      <c r="A37" s="130" t="s">
        <v>137</v>
      </c>
      <c r="B37" s="131" t="s">
        <v>32</v>
      </c>
      <c r="C37" s="135">
        <v>11</v>
      </c>
      <c r="D37" s="135">
        <v>3</v>
      </c>
      <c r="E37" s="135">
        <v>11</v>
      </c>
      <c r="F37" s="135">
        <v>3</v>
      </c>
      <c r="G37" s="135" t="s">
        <v>28</v>
      </c>
      <c r="H37" s="135" t="s">
        <v>28</v>
      </c>
      <c r="I37" s="135">
        <v>3</v>
      </c>
      <c r="J37" s="135">
        <v>1</v>
      </c>
      <c r="K37" s="136">
        <v>5</v>
      </c>
      <c r="L37" s="135">
        <v>1</v>
      </c>
      <c r="M37" s="136">
        <v>3</v>
      </c>
      <c r="N37" s="135">
        <v>1</v>
      </c>
      <c r="O37" s="135" t="s">
        <v>28</v>
      </c>
      <c r="P37" s="135" t="s">
        <v>28</v>
      </c>
      <c r="Q37" s="135">
        <v>0</v>
      </c>
      <c r="R37" s="142">
        <v>0</v>
      </c>
    </row>
    <row r="38" spans="1:18" ht="11.25" customHeight="1">
      <c r="A38" s="128" t="s">
        <v>49</v>
      </c>
      <c r="B38" s="129" t="s">
        <v>50</v>
      </c>
      <c r="C38" s="133">
        <v>12</v>
      </c>
      <c r="D38" s="133">
        <v>6</v>
      </c>
      <c r="E38" s="133">
        <v>12</v>
      </c>
      <c r="F38" s="133">
        <v>6</v>
      </c>
      <c r="G38" s="133" t="s">
        <v>28</v>
      </c>
      <c r="H38" s="133" t="s">
        <v>28</v>
      </c>
      <c r="I38" s="133">
        <v>4</v>
      </c>
      <c r="J38" s="133">
        <v>2</v>
      </c>
      <c r="K38" s="139">
        <v>4</v>
      </c>
      <c r="L38" s="133">
        <v>4</v>
      </c>
      <c r="M38" s="139">
        <v>4</v>
      </c>
      <c r="N38" s="133" t="s">
        <v>28</v>
      </c>
      <c r="O38" s="133" t="s">
        <v>28</v>
      </c>
      <c r="P38" s="133" t="s">
        <v>28</v>
      </c>
      <c r="Q38" s="133">
        <v>0</v>
      </c>
      <c r="R38" s="613">
        <v>0</v>
      </c>
    </row>
    <row r="39" spans="1:18" ht="11.25" customHeight="1">
      <c r="A39" s="130" t="s">
        <v>136</v>
      </c>
      <c r="B39" s="131" t="s">
        <v>30</v>
      </c>
      <c r="C39" s="135">
        <v>4</v>
      </c>
      <c r="D39" s="135">
        <v>3</v>
      </c>
      <c r="E39" s="135">
        <v>4</v>
      </c>
      <c r="F39" s="135">
        <v>3</v>
      </c>
      <c r="G39" s="135" t="s">
        <v>28</v>
      </c>
      <c r="H39" s="135" t="s">
        <v>28</v>
      </c>
      <c r="I39" s="135">
        <v>2</v>
      </c>
      <c r="J39" s="135">
        <v>1</v>
      </c>
      <c r="K39" s="136">
        <v>2</v>
      </c>
      <c r="L39" s="135">
        <v>2</v>
      </c>
      <c r="M39" s="136" t="s">
        <v>28</v>
      </c>
      <c r="N39" s="135" t="s">
        <v>28</v>
      </c>
      <c r="O39" s="135" t="s">
        <v>28</v>
      </c>
      <c r="P39" s="135" t="s">
        <v>28</v>
      </c>
      <c r="Q39" s="135">
        <v>0</v>
      </c>
      <c r="R39" s="142">
        <v>0</v>
      </c>
    </row>
    <row r="40" spans="1:18" ht="11.25" customHeight="1">
      <c r="A40" s="130" t="s">
        <v>137</v>
      </c>
      <c r="B40" s="131" t="s">
        <v>32</v>
      </c>
      <c r="C40" s="135">
        <v>8</v>
      </c>
      <c r="D40" s="135">
        <v>3</v>
      </c>
      <c r="E40" s="135">
        <v>8</v>
      </c>
      <c r="F40" s="135">
        <v>3</v>
      </c>
      <c r="G40" s="135" t="s">
        <v>28</v>
      </c>
      <c r="H40" s="135" t="s">
        <v>28</v>
      </c>
      <c r="I40" s="135">
        <v>2</v>
      </c>
      <c r="J40" s="135">
        <v>1</v>
      </c>
      <c r="K40" s="136">
        <v>2</v>
      </c>
      <c r="L40" s="135">
        <v>2</v>
      </c>
      <c r="M40" s="136">
        <v>4</v>
      </c>
      <c r="N40" s="135" t="s">
        <v>28</v>
      </c>
      <c r="O40" s="135" t="s">
        <v>28</v>
      </c>
      <c r="P40" s="135" t="s">
        <v>28</v>
      </c>
      <c r="Q40" s="135">
        <v>0</v>
      </c>
      <c r="R40" s="142">
        <v>0</v>
      </c>
    </row>
    <row r="41" spans="1:18" ht="11.25" customHeight="1">
      <c r="A41" s="128" t="s">
        <v>963</v>
      </c>
      <c r="B41" s="129" t="s">
        <v>964</v>
      </c>
      <c r="C41" s="133">
        <v>43</v>
      </c>
      <c r="D41" s="133">
        <v>29</v>
      </c>
      <c r="E41" s="133">
        <v>43</v>
      </c>
      <c r="F41" s="133">
        <v>29</v>
      </c>
      <c r="G41" s="133" t="s">
        <v>28</v>
      </c>
      <c r="H41" s="133" t="s">
        <v>28</v>
      </c>
      <c r="I41" s="133">
        <v>18</v>
      </c>
      <c r="J41" s="133">
        <v>11</v>
      </c>
      <c r="K41" s="139">
        <v>17</v>
      </c>
      <c r="L41" s="133">
        <v>14</v>
      </c>
      <c r="M41" s="139">
        <v>5</v>
      </c>
      <c r="N41" s="133">
        <v>3</v>
      </c>
      <c r="O41" s="133">
        <v>3</v>
      </c>
      <c r="P41" s="133">
        <v>1</v>
      </c>
      <c r="Q41" s="133">
        <v>0</v>
      </c>
      <c r="R41" s="613">
        <v>0</v>
      </c>
    </row>
    <row r="42" spans="1:18" ht="11.25" customHeight="1">
      <c r="A42" s="130" t="s">
        <v>136</v>
      </c>
      <c r="B42" s="131" t="s">
        <v>30</v>
      </c>
      <c r="C42" s="135">
        <v>39</v>
      </c>
      <c r="D42" s="135">
        <v>28</v>
      </c>
      <c r="E42" s="135">
        <v>39</v>
      </c>
      <c r="F42" s="135">
        <v>28</v>
      </c>
      <c r="G42" s="135" t="s">
        <v>28</v>
      </c>
      <c r="H42" s="135" t="s">
        <v>28</v>
      </c>
      <c r="I42" s="135">
        <v>17</v>
      </c>
      <c r="J42" s="135">
        <v>11</v>
      </c>
      <c r="K42" s="136">
        <v>14</v>
      </c>
      <c r="L42" s="135">
        <v>13</v>
      </c>
      <c r="M42" s="136">
        <v>5</v>
      </c>
      <c r="N42" s="135">
        <v>3</v>
      </c>
      <c r="O42" s="135">
        <v>3</v>
      </c>
      <c r="P42" s="135">
        <v>1</v>
      </c>
      <c r="Q42" s="135">
        <v>0</v>
      </c>
      <c r="R42" s="142">
        <v>0</v>
      </c>
    </row>
    <row r="43" spans="1:18" ht="11.25" customHeight="1">
      <c r="A43" s="130" t="s">
        <v>137</v>
      </c>
      <c r="B43" s="131" t="s">
        <v>32</v>
      </c>
      <c r="C43" s="135">
        <v>4</v>
      </c>
      <c r="D43" s="135">
        <v>1</v>
      </c>
      <c r="E43" s="135">
        <v>4</v>
      </c>
      <c r="F43" s="135">
        <v>1</v>
      </c>
      <c r="G43" s="135" t="s">
        <v>28</v>
      </c>
      <c r="H43" s="135" t="s">
        <v>28</v>
      </c>
      <c r="I43" s="135">
        <v>1</v>
      </c>
      <c r="J43" s="135" t="s">
        <v>28</v>
      </c>
      <c r="K43" s="136">
        <v>3</v>
      </c>
      <c r="L43" s="135">
        <v>1</v>
      </c>
      <c r="M43" s="136" t="s">
        <v>28</v>
      </c>
      <c r="N43" s="135" t="s">
        <v>28</v>
      </c>
      <c r="O43" s="135" t="s">
        <v>28</v>
      </c>
      <c r="P43" s="135" t="s">
        <v>28</v>
      </c>
      <c r="Q43" s="135">
        <v>0</v>
      </c>
      <c r="R43" s="142">
        <v>0</v>
      </c>
    </row>
    <row r="44" spans="1:18" ht="11.25" customHeight="1">
      <c r="A44" s="128" t="s">
        <v>51</v>
      </c>
      <c r="B44" s="129" t="s">
        <v>52</v>
      </c>
      <c r="C44" s="133">
        <v>75</v>
      </c>
      <c r="D44" s="133">
        <v>56</v>
      </c>
      <c r="E44" s="133">
        <v>75</v>
      </c>
      <c r="F44" s="133">
        <v>56</v>
      </c>
      <c r="G44" s="133" t="s">
        <v>28</v>
      </c>
      <c r="H44" s="133" t="s">
        <v>28</v>
      </c>
      <c r="I44" s="133">
        <v>25</v>
      </c>
      <c r="J44" s="133">
        <v>16</v>
      </c>
      <c r="K44" s="139">
        <v>29</v>
      </c>
      <c r="L44" s="133">
        <v>27</v>
      </c>
      <c r="M44" s="139">
        <v>17</v>
      </c>
      <c r="N44" s="133">
        <v>10</v>
      </c>
      <c r="O44" s="133">
        <v>4</v>
      </c>
      <c r="P44" s="133">
        <v>3</v>
      </c>
      <c r="Q44" s="133">
        <v>0</v>
      </c>
      <c r="R44" s="613">
        <v>0</v>
      </c>
    </row>
    <row r="45" spans="1:18" ht="11.25" customHeight="1">
      <c r="A45" s="130" t="s">
        <v>136</v>
      </c>
      <c r="B45" s="131" t="s">
        <v>30</v>
      </c>
      <c r="C45" s="135">
        <v>71</v>
      </c>
      <c r="D45" s="135">
        <v>54</v>
      </c>
      <c r="E45" s="135">
        <v>71</v>
      </c>
      <c r="F45" s="135">
        <v>54</v>
      </c>
      <c r="G45" s="135" t="s">
        <v>28</v>
      </c>
      <c r="H45" s="135" t="s">
        <v>28</v>
      </c>
      <c r="I45" s="135">
        <v>24</v>
      </c>
      <c r="J45" s="135">
        <v>16</v>
      </c>
      <c r="K45" s="136">
        <v>28</v>
      </c>
      <c r="L45" s="135">
        <v>26</v>
      </c>
      <c r="M45" s="136">
        <v>16</v>
      </c>
      <c r="N45" s="135">
        <v>9</v>
      </c>
      <c r="O45" s="135">
        <v>3</v>
      </c>
      <c r="P45" s="135">
        <v>3</v>
      </c>
      <c r="Q45" s="135">
        <v>0</v>
      </c>
      <c r="R45" s="142">
        <v>0</v>
      </c>
    </row>
    <row r="46" spans="1:18" ht="11.25" customHeight="1">
      <c r="A46" s="130" t="s">
        <v>137</v>
      </c>
      <c r="B46" s="131" t="s">
        <v>32</v>
      </c>
      <c r="C46" s="135">
        <v>4</v>
      </c>
      <c r="D46" s="135">
        <v>2</v>
      </c>
      <c r="E46" s="135">
        <v>4</v>
      </c>
      <c r="F46" s="135">
        <v>2</v>
      </c>
      <c r="G46" s="135" t="s">
        <v>28</v>
      </c>
      <c r="H46" s="135" t="s">
        <v>28</v>
      </c>
      <c r="I46" s="135">
        <v>1</v>
      </c>
      <c r="J46" s="135" t="s">
        <v>28</v>
      </c>
      <c r="K46" s="136">
        <v>1</v>
      </c>
      <c r="L46" s="135">
        <v>1</v>
      </c>
      <c r="M46" s="136">
        <v>1</v>
      </c>
      <c r="N46" s="135">
        <v>1</v>
      </c>
      <c r="O46" s="135">
        <v>1</v>
      </c>
      <c r="P46" s="135" t="s">
        <v>28</v>
      </c>
      <c r="Q46" s="135">
        <v>0</v>
      </c>
      <c r="R46" s="142">
        <v>0</v>
      </c>
    </row>
    <row r="47" spans="1:18" ht="11.25" customHeight="1">
      <c r="A47" s="128" t="s">
        <v>53</v>
      </c>
      <c r="B47" s="129" t="s">
        <v>54</v>
      </c>
      <c r="C47" s="133">
        <v>83</v>
      </c>
      <c r="D47" s="133">
        <v>56</v>
      </c>
      <c r="E47" s="133">
        <v>83</v>
      </c>
      <c r="F47" s="133">
        <v>56</v>
      </c>
      <c r="G47" s="133" t="s">
        <v>28</v>
      </c>
      <c r="H47" s="133" t="s">
        <v>28</v>
      </c>
      <c r="I47" s="133">
        <v>28</v>
      </c>
      <c r="J47" s="133">
        <v>15</v>
      </c>
      <c r="K47" s="139">
        <v>35</v>
      </c>
      <c r="L47" s="133">
        <v>30</v>
      </c>
      <c r="M47" s="139">
        <v>14</v>
      </c>
      <c r="N47" s="133">
        <v>10</v>
      </c>
      <c r="O47" s="133">
        <v>6</v>
      </c>
      <c r="P47" s="133">
        <v>1</v>
      </c>
      <c r="Q47" s="133">
        <v>0</v>
      </c>
      <c r="R47" s="613">
        <v>0</v>
      </c>
    </row>
    <row r="48" spans="1:18" ht="11.25" customHeight="1">
      <c r="A48" s="130" t="s">
        <v>136</v>
      </c>
      <c r="B48" s="131" t="s">
        <v>30</v>
      </c>
      <c r="C48" s="135">
        <v>79</v>
      </c>
      <c r="D48" s="135">
        <v>55</v>
      </c>
      <c r="E48" s="135">
        <v>79</v>
      </c>
      <c r="F48" s="135">
        <v>55</v>
      </c>
      <c r="G48" s="135" t="s">
        <v>28</v>
      </c>
      <c r="H48" s="135" t="s">
        <v>28</v>
      </c>
      <c r="I48" s="135">
        <v>27</v>
      </c>
      <c r="J48" s="135">
        <v>15</v>
      </c>
      <c r="K48" s="136">
        <v>34</v>
      </c>
      <c r="L48" s="135">
        <v>29</v>
      </c>
      <c r="M48" s="136">
        <v>13</v>
      </c>
      <c r="N48" s="135">
        <v>10</v>
      </c>
      <c r="O48" s="135">
        <v>5</v>
      </c>
      <c r="P48" s="135">
        <v>1</v>
      </c>
      <c r="Q48" s="135">
        <v>0</v>
      </c>
      <c r="R48" s="142">
        <v>0</v>
      </c>
    </row>
    <row r="49" spans="1:18" ht="11.25" customHeight="1">
      <c r="A49" s="130" t="s">
        <v>137</v>
      </c>
      <c r="B49" s="131" t="s">
        <v>32</v>
      </c>
      <c r="C49" s="135">
        <v>4</v>
      </c>
      <c r="D49" s="135">
        <v>1</v>
      </c>
      <c r="E49" s="135">
        <v>4</v>
      </c>
      <c r="F49" s="135">
        <v>1</v>
      </c>
      <c r="G49" s="135" t="s">
        <v>28</v>
      </c>
      <c r="H49" s="135" t="s">
        <v>28</v>
      </c>
      <c r="I49" s="135">
        <v>1</v>
      </c>
      <c r="J49" s="135" t="s">
        <v>28</v>
      </c>
      <c r="K49" s="136">
        <v>1</v>
      </c>
      <c r="L49" s="135">
        <v>1</v>
      </c>
      <c r="M49" s="136">
        <v>1</v>
      </c>
      <c r="N49" s="135" t="s">
        <v>28</v>
      </c>
      <c r="O49" s="135">
        <v>1</v>
      </c>
      <c r="P49" s="135" t="s">
        <v>28</v>
      </c>
      <c r="Q49" s="135">
        <v>0</v>
      </c>
      <c r="R49" s="142">
        <v>0</v>
      </c>
    </row>
    <row r="50" spans="1:18" ht="11.25" customHeight="1">
      <c r="A50" s="128" t="s">
        <v>55</v>
      </c>
      <c r="B50" s="129" t="s">
        <v>56</v>
      </c>
      <c r="C50" s="133">
        <v>79</v>
      </c>
      <c r="D50" s="133">
        <v>52</v>
      </c>
      <c r="E50" s="133">
        <v>79</v>
      </c>
      <c r="F50" s="133">
        <v>52</v>
      </c>
      <c r="G50" s="133" t="s">
        <v>28</v>
      </c>
      <c r="H50" s="133" t="s">
        <v>28</v>
      </c>
      <c r="I50" s="133">
        <v>29</v>
      </c>
      <c r="J50" s="133">
        <v>18</v>
      </c>
      <c r="K50" s="139">
        <v>34</v>
      </c>
      <c r="L50" s="133">
        <v>27</v>
      </c>
      <c r="M50" s="139">
        <v>15</v>
      </c>
      <c r="N50" s="133">
        <v>7</v>
      </c>
      <c r="O50" s="133">
        <v>1</v>
      </c>
      <c r="P50" s="133" t="s">
        <v>28</v>
      </c>
      <c r="Q50" s="133">
        <v>0</v>
      </c>
      <c r="R50" s="613">
        <v>0</v>
      </c>
    </row>
    <row r="51" spans="1:18" ht="11.25" customHeight="1">
      <c r="A51" s="130" t="s">
        <v>136</v>
      </c>
      <c r="B51" s="131" t="s">
        <v>30</v>
      </c>
      <c r="C51" s="135">
        <v>79</v>
      </c>
      <c r="D51" s="135">
        <v>52</v>
      </c>
      <c r="E51" s="135">
        <v>79</v>
      </c>
      <c r="F51" s="135">
        <v>52</v>
      </c>
      <c r="G51" s="135" t="s">
        <v>28</v>
      </c>
      <c r="H51" s="135" t="s">
        <v>28</v>
      </c>
      <c r="I51" s="135">
        <v>29</v>
      </c>
      <c r="J51" s="135">
        <v>18</v>
      </c>
      <c r="K51" s="136">
        <v>34</v>
      </c>
      <c r="L51" s="135">
        <v>27</v>
      </c>
      <c r="M51" s="136">
        <v>15</v>
      </c>
      <c r="N51" s="135">
        <v>7</v>
      </c>
      <c r="O51" s="135">
        <v>1</v>
      </c>
      <c r="P51" s="135" t="s">
        <v>28</v>
      </c>
      <c r="Q51" s="135">
        <v>0</v>
      </c>
      <c r="R51" s="142">
        <v>0</v>
      </c>
    </row>
    <row r="52" spans="1:18" ht="11.25" customHeight="1">
      <c r="A52" s="130" t="s">
        <v>137</v>
      </c>
      <c r="B52" s="131" t="s">
        <v>32</v>
      </c>
      <c r="C52" s="135" t="s">
        <v>28</v>
      </c>
      <c r="D52" s="135" t="s">
        <v>28</v>
      </c>
      <c r="E52" s="135" t="s">
        <v>28</v>
      </c>
      <c r="F52" s="135" t="s">
        <v>28</v>
      </c>
      <c r="G52" s="135" t="s">
        <v>28</v>
      </c>
      <c r="H52" s="135" t="s">
        <v>28</v>
      </c>
      <c r="I52" s="135" t="s">
        <v>28</v>
      </c>
      <c r="J52" s="135" t="s">
        <v>28</v>
      </c>
      <c r="K52" s="136" t="s">
        <v>28</v>
      </c>
      <c r="L52" s="135" t="s">
        <v>28</v>
      </c>
      <c r="M52" s="136" t="s">
        <v>28</v>
      </c>
      <c r="N52" s="135" t="s">
        <v>28</v>
      </c>
      <c r="O52" s="135" t="s">
        <v>28</v>
      </c>
      <c r="P52" s="135" t="s">
        <v>28</v>
      </c>
      <c r="Q52" s="135">
        <v>0</v>
      </c>
      <c r="R52" s="142">
        <v>0</v>
      </c>
    </row>
    <row r="53" spans="1:18" ht="11.25" customHeight="1">
      <c r="A53" s="128" t="s">
        <v>57</v>
      </c>
      <c r="B53" s="129" t="s">
        <v>58</v>
      </c>
      <c r="C53" s="133">
        <v>48</v>
      </c>
      <c r="D53" s="133">
        <v>28</v>
      </c>
      <c r="E53" s="133">
        <v>48</v>
      </c>
      <c r="F53" s="133">
        <v>28</v>
      </c>
      <c r="G53" s="133" t="s">
        <v>28</v>
      </c>
      <c r="H53" s="133" t="s">
        <v>28</v>
      </c>
      <c r="I53" s="133">
        <v>16</v>
      </c>
      <c r="J53" s="133">
        <v>10</v>
      </c>
      <c r="K53" s="139">
        <v>21</v>
      </c>
      <c r="L53" s="133">
        <v>14</v>
      </c>
      <c r="M53" s="139">
        <v>9</v>
      </c>
      <c r="N53" s="133">
        <v>4</v>
      </c>
      <c r="O53" s="133">
        <v>2</v>
      </c>
      <c r="P53" s="133" t="s">
        <v>28</v>
      </c>
      <c r="Q53" s="133">
        <v>0</v>
      </c>
      <c r="R53" s="613">
        <v>0</v>
      </c>
    </row>
    <row r="54" spans="1:18" ht="11.25" customHeight="1">
      <c r="A54" s="130" t="s">
        <v>136</v>
      </c>
      <c r="B54" s="131" t="s">
        <v>30</v>
      </c>
      <c r="C54" s="135">
        <v>48</v>
      </c>
      <c r="D54" s="135">
        <v>28</v>
      </c>
      <c r="E54" s="135">
        <v>48</v>
      </c>
      <c r="F54" s="135">
        <v>28</v>
      </c>
      <c r="G54" s="135" t="s">
        <v>28</v>
      </c>
      <c r="H54" s="135" t="s">
        <v>28</v>
      </c>
      <c r="I54" s="135">
        <v>16</v>
      </c>
      <c r="J54" s="135">
        <v>10</v>
      </c>
      <c r="K54" s="136">
        <v>21</v>
      </c>
      <c r="L54" s="135">
        <v>14</v>
      </c>
      <c r="M54" s="136">
        <v>9</v>
      </c>
      <c r="N54" s="135">
        <v>4</v>
      </c>
      <c r="O54" s="135">
        <v>2</v>
      </c>
      <c r="P54" s="135" t="s">
        <v>28</v>
      </c>
      <c r="Q54" s="135">
        <v>0</v>
      </c>
      <c r="R54" s="142">
        <v>0</v>
      </c>
    </row>
    <row r="55" spans="1:18" ht="11.25" customHeight="1">
      <c r="A55" s="130" t="s">
        <v>137</v>
      </c>
      <c r="B55" s="131" t="s">
        <v>32</v>
      </c>
      <c r="C55" s="135" t="s">
        <v>28</v>
      </c>
      <c r="D55" s="135" t="s">
        <v>28</v>
      </c>
      <c r="E55" s="135" t="s">
        <v>28</v>
      </c>
      <c r="F55" s="135" t="s">
        <v>28</v>
      </c>
      <c r="G55" s="135" t="s">
        <v>28</v>
      </c>
      <c r="H55" s="135" t="s">
        <v>28</v>
      </c>
      <c r="I55" s="135" t="s">
        <v>28</v>
      </c>
      <c r="J55" s="135" t="s">
        <v>28</v>
      </c>
      <c r="K55" s="136" t="s">
        <v>28</v>
      </c>
      <c r="L55" s="135" t="s">
        <v>28</v>
      </c>
      <c r="M55" s="136" t="s">
        <v>28</v>
      </c>
      <c r="N55" s="135" t="s">
        <v>28</v>
      </c>
      <c r="O55" s="135" t="s">
        <v>28</v>
      </c>
      <c r="P55" s="135" t="s">
        <v>28</v>
      </c>
      <c r="Q55" s="135">
        <v>0</v>
      </c>
      <c r="R55" s="142">
        <v>0</v>
      </c>
    </row>
    <row r="56" spans="1:18" ht="11.25" customHeight="1">
      <c r="A56" s="128" t="s">
        <v>59</v>
      </c>
      <c r="B56" s="129" t="s">
        <v>60</v>
      </c>
      <c r="C56" s="133">
        <v>107</v>
      </c>
      <c r="D56" s="133">
        <v>67</v>
      </c>
      <c r="E56" s="133">
        <v>107</v>
      </c>
      <c r="F56" s="133">
        <v>67</v>
      </c>
      <c r="G56" s="133">
        <v>2</v>
      </c>
      <c r="H56" s="133">
        <v>2</v>
      </c>
      <c r="I56" s="133">
        <v>34</v>
      </c>
      <c r="J56" s="133">
        <v>17</v>
      </c>
      <c r="K56" s="139">
        <v>45</v>
      </c>
      <c r="L56" s="133">
        <v>32</v>
      </c>
      <c r="M56" s="139">
        <v>19</v>
      </c>
      <c r="N56" s="133">
        <v>13</v>
      </c>
      <c r="O56" s="133">
        <v>7</v>
      </c>
      <c r="P56" s="133">
        <v>3</v>
      </c>
      <c r="Q56" s="133">
        <v>0</v>
      </c>
      <c r="R56" s="613">
        <v>0</v>
      </c>
    </row>
    <row r="57" spans="1:18" ht="11.25" customHeight="1">
      <c r="A57" s="130" t="s">
        <v>136</v>
      </c>
      <c r="B57" s="131" t="s">
        <v>30</v>
      </c>
      <c r="C57" s="135">
        <v>107</v>
      </c>
      <c r="D57" s="135">
        <v>67</v>
      </c>
      <c r="E57" s="135">
        <v>107</v>
      </c>
      <c r="F57" s="135">
        <v>67</v>
      </c>
      <c r="G57" s="135">
        <v>2</v>
      </c>
      <c r="H57" s="135">
        <v>2</v>
      </c>
      <c r="I57" s="135">
        <v>34</v>
      </c>
      <c r="J57" s="135">
        <v>17</v>
      </c>
      <c r="K57" s="136">
        <v>45</v>
      </c>
      <c r="L57" s="135">
        <v>32</v>
      </c>
      <c r="M57" s="136">
        <v>19</v>
      </c>
      <c r="N57" s="135">
        <v>13</v>
      </c>
      <c r="O57" s="135">
        <v>7</v>
      </c>
      <c r="P57" s="135">
        <v>3</v>
      </c>
      <c r="Q57" s="135">
        <v>0</v>
      </c>
      <c r="R57" s="142">
        <v>0</v>
      </c>
    </row>
    <row r="58" spans="1:18" ht="11.25" customHeight="1">
      <c r="A58" s="130" t="s">
        <v>137</v>
      </c>
      <c r="B58" s="131" t="s">
        <v>32</v>
      </c>
      <c r="C58" s="135" t="s">
        <v>28</v>
      </c>
      <c r="D58" s="135" t="s">
        <v>28</v>
      </c>
      <c r="E58" s="135" t="s">
        <v>28</v>
      </c>
      <c r="F58" s="135" t="s">
        <v>28</v>
      </c>
      <c r="G58" s="135" t="s">
        <v>28</v>
      </c>
      <c r="H58" s="135" t="s">
        <v>28</v>
      </c>
      <c r="I58" s="135" t="s">
        <v>28</v>
      </c>
      <c r="J58" s="135" t="s">
        <v>28</v>
      </c>
      <c r="K58" s="136" t="s">
        <v>28</v>
      </c>
      <c r="L58" s="135" t="s">
        <v>28</v>
      </c>
      <c r="M58" s="136" t="s">
        <v>28</v>
      </c>
      <c r="N58" s="135" t="s">
        <v>28</v>
      </c>
      <c r="O58" s="135" t="s">
        <v>28</v>
      </c>
      <c r="P58" s="135" t="s">
        <v>28</v>
      </c>
      <c r="Q58" s="135">
        <v>0</v>
      </c>
      <c r="R58" s="142">
        <v>0</v>
      </c>
    </row>
    <row r="59" spans="1:18" ht="11.25" customHeight="1">
      <c r="A59" s="128" t="s">
        <v>61</v>
      </c>
      <c r="B59" s="129" t="s">
        <v>62</v>
      </c>
      <c r="C59" s="133">
        <v>17</v>
      </c>
      <c r="D59" s="133">
        <v>12</v>
      </c>
      <c r="E59" s="133">
        <v>17</v>
      </c>
      <c r="F59" s="133">
        <v>12</v>
      </c>
      <c r="G59" s="133" t="s">
        <v>28</v>
      </c>
      <c r="H59" s="133" t="s">
        <v>28</v>
      </c>
      <c r="I59" s="133">
        <v>5</v>
      </c>
      <c r="J59" s="133">
        <v>3</v>
      </c>
      <c r="K59" s="139">
        <v>7</v>
      </c>
      <c r="L59" s="133">
        <v>5</v>
      </c>
      <c r="M59" s="139">
        <v>3</v>
      </c>
      <c r="N59" s="133">
        <v>3</v>
      </c>
      <c r="O59" s="133">
        <v>2</v>
      </c>
      <c r="P59" s="133">
        <v>1</v>
      </c>
      <c r="Q59" s="133">
        <v>0</v>
      </c>
      <c r="R59" s="613">
        <v>0</v>
      </c>
    </row>
    <row r="60" spans="1:18" ht="11.25" customHeight="1">
      <c r="A60" s="130" t="s">
        <v>136</v>
      </c>
      <c r="B60" s="131" t="s">
        <v>30</v>
      </c>
      <c r="C60" s="135">
        <v>11</v>
      </c>
      <c r="D60" s="135">
        <v>7</v>
      </c>
      <c r="E60" s="135">
        <v>11</v>
      </c>
      <c r="F60" s="135">
        <v>7</v>
      </c>
      <c r="G60" s="135" t="s">
        <v>28</v>
      </c>
      <c r="H60" s="135" t="s">
        <v>28</v>
      </c>
      <c r="I60" s="135">
        <v>5</v>
      </c>
      <c r="J60" s="135">
        <v>3</v>
      </c>
      <c r="K60" s="136">
        <v>3</v>
      </c>
      <c r="L60" s="135">
        <v>2</v>
      </c>
      <c r="M60" s="136">
        <v>2</v>
      </c>
      <c r="N60" s="135">
        <v>2</v>
      </c>
      <c r="O60" s="135">
        <v>1</v>
      </c>
      <c r="P60" s="135" t="s">
        <v>28</v>
      </c>
      <c r="Q60" s="135">
        <v>0</v>
      </c>
      <c r="R60" s="142">
        <v>0</v>
      </c>
    </row>
    <row r="61" spans="1:18" ht="11.25" customHeight="1">
      <c r="A61" s="130" t="s">
        <v>137</v>
      </c>
      <c r="B61" s="131" t="s">
        <v>32</v>
      </c>
      <c r="C61" s="135">
        <v>6</v>
      </c>
      <c r="D61" s="135">
        <v>5</v>
      </c>
      <c r="E61" s="135">
        <v>6</v>
      </c>
      <c r="F61" s="135">
        <v>5</v>
      </c>
      <c r="G61" s="135" t="s">
        <v>28</v>
      </c>
      <c r="H61" s="135" t="s">
        <v>28</v>
      </c>
      <c r="I61" s="135" t="s">
        <v>28</v>
      </c>
      <c r="J61" s="135" t="s">
        <v>28</v>
      </c>
      <c r="K61" s="136">
        <v>4</v>
      </c>
      <c r="L61" s="135">
        <v>3</v>
      </c>
      <c r="M61" s="136">
        <v>1</v>
      </c>
      <c r="N61" s="135">
        <v>1</v>
      </c>
      <c r="O61" s="135">
        <v>1</v>
      </c>
      <c r="P61" s="135">
        <v>1</v>
      </c>
      <c r="Q61" s="135">
        <v>0</v>
      </c>
      <c r="R61" s="142">
        <v>0</v>
      </c>
    </row>
    <row r="62" spans="1:18" ht="11.25" customHeight="1">
      <c r="A62" s="128" t="s">
        <v>63</v>
      </c>
      <c r="B62" s="129" t="s">
        <v>64</v>
      </c>
      <c r="C62" s="133" t="s">
        <v>28</v>
      </c>
      <c r="D62" s="133" t="s">
        <v>28</v>
      </c>
      <c r="E62" s="133" t="s">
        <v>28</v>
      </c>
      <c r="F62" s="133" t="s">
        <v>28</v>
      </c>
      <c r="G62" s="133" t="s">
        <v>28</v>
      </c>
      <c r="H62" s="133" t="s">
        <v>28</v>
      </c>
      <c r="I62" s="133" t="s">
        <v>28</v>
      </c>
      <c r="J62" s="133" t="s">
        <v>28</v>
      </c>
      <c r="K62" s="139" t="s">
        <v>28</v>
      </c>
      <c r="L62" s="133" t="s">
        <v>28</v>
      </c>
      <c r="M62" s="139" t="s">
        <v>28</v>
      </c>
      <c r="N62" s="133" t="s">
        <v>28</v>
      </c>
      <c r="O62" s="133" t="s">
        <v>28</v>
      </c>
      <c r="P62" s="133" t="s">
        <v>28</v>
      </c>
      <c r="Q62" s="133">
        <v>0</v>
      </c>
      <c r="R62" s="613">
        <v>0</v>
      </c>
    </row>
    <row r="63" spans="1:18" ht="11.25" customHeight="1">
      <c r="A63" s="130" t="s">
        <v>136</v>
      </c>
      <c r="B63" s="131" t="s">
        <v>30</v>
      </c>
      <c r="C63" s="135" t="s">
        <v>28</v>
      </c>
      <c r="D63" s="135" t="s">
        <v>28</v>
      </c>
      <c r="E63" s="135" t="s">
        <v>28</v>
      </c>
      <c r="F63" s="135" t="s">
        <v>28</v>
      </c>
      <c r="G63" s="135" t="s">
        <v>28</v>
      </c>
      <c r="H63" s="135" t="s">
        <v>28</v>
      </c>
      <c r="I63" s="135" t="s">
        <v>28</v>
      </c>
      <c r="J63" s="135" t="s">
        <v>28</v>
      </c>
      <c r="K63" s="136" t="s">
        <v>28</v>
      </c>
      <c r="L63" s="135" t="s">
        <v>28</v>
      </c>
      <c r="M63" s="136" t="s">
        <v>28</v>
      </c>
      <c r="N63" s="135" t="s">
        <v>28</v>
      </c>
      <c r="O63" s="135" t="s">
        <v>28</v>
      </c>
      <c r="P63" s="135" t="s">
        <v>28</v>
      </c>
      <c r="Q63" s="135">
        <v>0</v>
      </c>
      <c r="R63" s="142">
        <v>0</v>
      </c>
    </row>
    <row r="64" spans="1:18" ht="11.25" customHeight="1" thickBot="1">
      <c r="A64" s="2228" t="s">
        <v>137</v>
      </c>
      <c r="B64" s="132" t="s">
        <v>32</v>
      </c>
      <c r="C64" s="143" t="s">
        <v>28</v>
      </c>
      <c r="D64" s="143" t="s">
        <v>28</v>
      </c>
      <c r="E64" s="143" t="s">
        <v>28</v>
      </c>
      <c r="F64" s="143" t="s">
        <v>28</v>
      </c>
      <c r="G64" s="143" t="s">
        <v>28</v>
      </c>
      <c r="H64" s="143" t="s">
        <v>28</v>
      </c>
      <c r="I64" s="143" t="s">
        <v>28</v>
      </c>
      <c r="J64" s="143" t="s">
        <v>28</v>
      </c>
      <c r="K64" s="144" t="s">
        <v>28</v>
      </c>
      <c r="L64" s="143" t="s">
        <v>28</v>
      </c>
      <c r="M64" s="144" t="s">
        <v>28</v>
      </c>
      <c r="N64" s="143" t="s">
        <v>28</v>
      </c>
      <c r="O64" s="143" t="s">
        <v>28</v>
      </c>
      <c r="P64" s="143" t="s">
        <v>28</v>
      </c>
      <c r="Q64" s="143">
        <v>0</v>
      </c>
      <c r="R64" s="2233">
        <v>0</v>
      </c>
    </row>
    <row r="65" spans="1:12">
      <c r="A65" s="155"/>
      <c r="B65" s="155"/>
      <c r="C65" s="155"/>
      <c r="D65" s="155"/>
      <c r="E65" s="155"/>
      <c r="F65" s="155"/>
      <c r="G65" s="155"/>
      <c r="H65" s="155"/>
      <c r="I65" s="155"/>
      <c r="J65" s="155"/>
      <c r="K65" s="155"/>
      <c r="L65" s="155"/>
    </row>
    <row r="66" spans="1:12">
      <c r="A66" s="155"/>
      <c r="B66" s="155"/>
      <c r="C66" s="155"/>
      <c r="D66" s="155"/>
      <c r="E66" s="155"/>
      <c r="F66" s="155"/>
      <c r="G66" s="155"/>
      <c r="H66" s="155"/>
      <c r="I66" s="155"/>
      <c r="J66" s="155"/>
      <c r="K66" s="155"/>
      <c r="L66" s="155"/>
    </row>
    <row r="67" spans="1:12">
      <c r="A67" s="155"/>
      <c r="B67" s="155"/>
      <c r="C67" s="155"/>
      <c r="D67" s="155"/>
      <c r="E67" s="155"/>
      <c r="F67" s="155"/>
      <c r="G67" s="155"/>
      <c r="H67" s="155"/>
      <c r="I67" s="155"/>
      <c r="J67" s="155"/>
      <c r="K67" s="155"/>
      <c r="L67" s="155"/>
    </row>
    <row r="68" spans="1:12">
      <c r="A68" s="155"/>
      <c r="B68" s="155"/>
      <c r="C68" s="155"/>
      <c r="D68" s="155"/>
      <c r="E68" s="155"/>
      <c r="F68" s="155"/>
      <c r="G68" s="155"/>
      <c r="H68" s="155"/>
      <c r="I68" s="155"/>
      <c r="J68" s="155"/>
      <c r="K68" s="155"/>
      <c r="L68" s="155"/>
    </row>
    <row r="69" spans="1:12">
      <c r="A69" s="155"/>
      <c r="B69" s="155"/>
      <c r="C69" s="155"/>
      <c r="D69" s="155"/>
      <c r="E69" s="155"/>
      <c r="F69" s="155"/>
      <c r="G69" s="155"/>
      <c r="H69" s="155"/>
      <c r="I69" s="155"/>
      <c r="J69" s="155"/>
      <c r="K69" s="155"/>
      <c r="L69" s="155"/>
    </row>
    <row r="70" spans="1:12">
      <c r="A70" s="155"/>
      <c r="B70" s="155"/>
      <c r="C70" s="155"/>
      <c r="D70" s="155"/>
      <c r="E70" s="155"/>
      <c r="F70" s="155"/>
      <c r="G70" s="155"/>
      <c r="H70" s="155"/>
      <c r="I70" s="155"/>
      <c r="J70" s="155"/>
      <c r="K70" s="155"/>
      <c r="L70" s="155"/>
    </row>
    <row r="71" spans="1:12">
      <c r="A71" s="155"/>
      <c r="B71" s="155"/>
      <c r="C71" s="155"/>
      <c r="D71" s="155"/>
      <c r="E71" s="155"/>
      <c r="F71" s="155"/>
      <c r="G71" s="155"/>
      <c r="H71" s="155"/>
      <c r="I71" s="155"/>
      <c r="J71" s="155"/>
      <c r="K71" s="155"/>
      <c r="L71" s="155"/>
    </row>
    <row r="72" spans="1:12">
      <c r="A72" s="155"/>
      <c r="B72" s="155"/>
      <c r="C72" s="155"/>
      <c r="D72" s="155"/>
      <c r="E72" s="155"/>
      <c r="F72" s="155"/>
      <c r="G72" s="155"/>
      <c r="H72" s="155"/>
      <c r="I72" s="155"/>
      <c r="J72" s="155"/>
      <c r="K72" s="155"/>
      <c r="L72" s="155"/>
    </row>
  </sheetData>
  <mergeCells count="31">
    <mergeCell ref="A10:B10"/>
    <mergeCell ref="A11:B11"/>
    <mergeCell ref="A18:R18"/>
    <mergeCell ref="A34:R34"/>
    <mergeCell ref="G9:H9"/>
    <mergeCell ref="E9:F9"/>
    <mergeCell ref="E8:F8"/>
    <mergeCell ref="O8:P8"/>
    <mergeCell ref="A9:B9"/>
    <mergeCell ref="C9:D9"/>
    <mergeCell ref="I9:J9"/>
    <mergeCell ref="K9:L9"/>
    <mergeCell ref="M9:N9"/>
    <mergeCell ref="O9:P9"/>
    <mergeCell ref="A8:B8"/>
    <mergeCell ref="A4:R4"/>
    <mergeCell ref="A2:R2"/>
    <mergeCell ref="E6:P6"/>
    <mergeCell ref="E7:P7"/>
    <mergeCell ref="Q7:R9"/>
    <mergeCell ref="A6:B6"/>
    <mergeCell ref="C6:D6"/>
    <mergeCell ref="Q6:R6"/>
    <mergeCell ref="A3:R3"/>
    <mergeCell ref="A7:B7"/>
    <mergeCell ref="C7:D7"/>
    <mergeCell ref="C8:D8"/>
    <mergeCell ref="I8:J8"/>
    <mergeCell ref="K8:L8"/>
    <mergeCell ref="M8:N8"/>
    <mergeCell ref="G8:H8"/>
  </mergeCells>
  <phoneticPr fontId="4" type="noConversion"/>
  <hyperlinks>
    <hyperlink ref="A1" location="목록!A1" display="목록!A1" xr:uid="{A24523D2-AB58-4BD7-8292-65A07981ADC1}"/>
  </hyperlinks>
  <pageMargins left="0.59055118110236227" right="0.20833333333333334" top="0.78740157480314965" bottom="7.1839080459770114E-3" header="0.62992125984251968" footer="0.39370078740157483"/>
  <pageSetup paperSize="9" orientation="portrait" r:id="rId1"/>
  <rowBreaks count="1" manualBreakCount="1">
    <brk id="64"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47</vt:i4>
      </vt:variant>
      <vt:variant>
        <vt:lpstr>이름 지정된 범위</vt:lpstr>
      </vt:variant>
      <vt:variant>
        <vt:i4>45</vt:i4>
      </vt:variant>
    </vt:vector>
  </HeadingPairs>
  <TitlesOfParts>
    <vt:vector size="92" baseType="lpstr">
      <vt:lpstr>목록</vt:lpstr>
      <vt:lpstr>4 - 1.중학교 개황(1)</vt:lpstr>
      <vt:lpstr>4 - 1.중학교 개황(2)</vt:lpstr>
      <vt:lpstr>4 - 2.학급수별 학교수</vt:lpstr>
      <vt:lpstr>4 - 3.학생수별 학교수</vt:lpstr>
      <vt:lpstr>4 - 4.학생수별 학급수</vt:lpstr>
      <vt:lpstr>4 - 5.특수지 공립중학교 현황(1)</vt:lpstr>
      <vt:lpstr>4 - 5.특수지 공립중학교 현황(2)</vt:lpstr>
      <vt:lpstr>4 - 6.학년별 학급수 및 학생수</vt:lpstr>
      <vt:lpstr>4 - 7.학년 및 연령별 학생수</vt:lpstr>
      <vt:lpstr>4 - 8.학생변동상황</vt:lpstr>
      <vt:lpstr>4 - 9.학업중단학생현황</vt:lpstr>
      <vt:lpstr>4 - 10.유학현황</vt:lpstr>
      <vt:lpstr>4 - 11.귀국현황(1)</vt:lpstr>
      <vt:lpstr>4 - 11.귀국현황(2)</vt:lpstr>
      <vt:lpstr>4 - 12.다문화 학생 현황(1)</vt:lpstr>
      <vt:lpstr>4 - 12.다문화 학생 현황(2)</vt:lpstr>
      <vt:lpstr>4 - 12.다문화 학생 현황(3)</vt:lpstr>
      <vt:lpstr>4 - 13.입학상황</vt:lpstr>
      <vt:lpstr>4 - 14.졸업 후 상황</vt:lpstr>
      <vt:lpstr>졸업 후 상황 퍼센트</vt:lpstr>
      <vt:lpstr>4 - 15.직위별 교원수(1)</vt:lpstr>
      <vt:lpstr>4 - 15.직위별 교원수(2)</vt:lpstr>
      <vt:lpstr>4 - 16.자격별 교원수</vt:lpstr>
      <vt:lpstr>4 - 17.경력연수별 교원수</vt:lpstr>
      <vt:lpstr>4 - 18.소지자격 취득후 경과연수별 교원수</vt:lpstr>
      <vt:lpstr>4 - 19.소지자격별 연수이수 교원수</vt:lpstr>
      <vt:lpstr>4 - 20.담당교과목별 교원수</vt:lpstr>
      <vt:lpstr>4 - 21.연령별 교원수</vt:lpstr>
      <vt:lpstr>4 - 22.주당수업시수별 교원수</vt:lpstr>
      <vt:lpstr>4 - 23.호봉별 교원수(1)</vt:lpstr>
      <vt:lpstr>4 - 23.호봉별 교원수(2)</vt:lpstr>
      <vt:lpstr>4 - 24.교원변동상황</vt:lpstr>
      <vt:lpstr>4 - 25.출신별 자격증과목별 교원수(1)</vt:lpstr>
      <vt:lpstr>4 - 25.출신별 자격증과목별 교원수(2)</vt:lpstr>
      <vt:lpstr>4 - 25.출신별 자격증과목별 교원수(3)</vt:lpstr>
      <vt:lpstr>4 - 26.자격증과목별 퇴직교원수(1)</vt:lpstr>
      <vt:lpstr>4 - 26.자격증과목별 퇴직교원수(2)</vt:lpstr>
      <vt:lpstr>4 - 27.학교용지</vt:lpstr>
      <vt:lpstr>4 - 28.용도별 교사면적</vt:lpstr>
      <vt:lpstr>4 - 29.구조별 건물 면적(1)</vt:lpstr>
      <vt:lpstr>4 - 29.구조별 건물 면적(2)</vt:lpstr>
      <vt:lpstr>4 - 30.구조별 건물 동수</vt:lpstr>
      <vt:lpstr>4 - 31.에너지 사용량</vt:lpstr>
      <vt:lpstr>4 - 32.냉난방 면적</vt:lpstr>
      <vt:lpstr>4 - 33.컴퓨터 보유 현황</vt:lpstr>
      <vt:lpstr>4 - 34.직원수</vt:lpstr>
      <vt:lpstr>'4 - 1.중학교 개황(1)'!Print_Area</vt:lpstr>
      <vt:lpstr>'4 - 1.중학교 개황(2)'!Print_Area</vt:lpstr>
      <vt:lpstr>'4 - 10.유학현황'!Print_Area</vt:lpstr>
      <vt:lpstr>'4 - 11.귀국현황(1)'!Print_Area</vt:lpstr>
      <vt:lpstr>'4 - 11.귀국현황(2)'!Print_Area</vt:lpstr>
      <vt:lpstr>'4 - 12.다문화 학생 현황(1)'!Print_Area</vt:lpstr>
      <vt:lpstr>'4 - 12.다문화 학생 현황(2)'!Print_Area</vt:lpstr>
      <vt:lpstr>'4 - 12.다문화 학생 현황(3)'!Print_Area</vt:lpstr>
      <vt:lpstr>'4 - 13.입학상황'!Print_Area</vt:lpstr>
      <vt:lpstr>'4 - 14.졸업 후 상황'!Print_Area</vt:lpstr>
      <vt:lpstr>'4 - 15.직위별 교원수(1)'!Print_Area</vt:lpstr>
      <vt:lpstr>'4 - 15.직위별 교원수(2)'!Print_Area</vt:lpstr>
      <vt:lpstr>'4 - 16.자격별 교원수'!Print_Area</vt:lpstr>
      <vt:lpstr>'4 - 17.경력연수별 교원수'!Print_Area</vt:lpstr>
      <vt:lpstr>'4 - 18.소지자격 취득후 경과연수별 교원수'!Print_Area</vt:lpstr>
      <vt:lpstr>'4 - 19.소지자격별 연수이수 교원수'!Print_Area</vt:lpstr>
      <vt:lpstr>'4 - 2.학급수별 학교수'!Print_Area</vt:lpstr>
      <vt:lpstr>'4 - 20.담당교과목별 교원수'!Print_Area</vt:lpstr>
      <vt:lpstr>'4 - 21.연령별 교원수'!Print_Area</vt:lpstr>
      <vt:lpstr>'4 - 22.주당수업시수별 교원수'!Print_Area</vt:lpstr>
      <vt:lpstr>'4 - 23.호봉별 교원수(1)'!Print_Area</vt:lpstr>
      <vt:lpstr>'4 - 23.호봉별 교원수(2)'!Print_Area</vt:lpstr>
      <vt:lpstr>'4 - 24.교원변동상황'!Print_Area</vt:lpstr>
      <vt:lpstr>'4 - 25.출신별 자격증과목별 교원수(1)'!Print_Area</vt:lpstr>
      <vt:lpstr>'4 - 25.출신별 자격증과목별 교원수(2)'!Print_Area</vt:lpstr>
      <vt:lpstr>'4 - 25.출신별 자격증과목별 교원수(3)'!Print_Area</vt:lpstr>
      <vt:lpstr>'4 - 26.자격증과목별 퇴직교원수(1)'!Print_Area</vt:lpstr>
      <vt:lpstr>'4 - 26.자격증과목별 퇴직교원수(2)'!Print_Area</vt:lpstr>
      <vt:lpstr>'4 - 27.학교용지'!Print_Area</vt:lpstr>
      <vt:lpstr>'4 - 28.용도별 교사면적'!Print_Area</vt:lpstr>
      <vt:lpstr>'4 - 29.구조별 건물 면적(1)'!Print_Area</vt:lpstr>
      <vt:lpstr>'4 - 29.구조별 건물 면적(2)'!Print_Area</vt:lpstr>
      <vt:lpstr>'4 - 3.학생수별 학교수'!Print_Area</vt:lpstr>
      <vt:lpstr>'4 - 30.구조별 건물 동수'!Print_Area</vt:lpstr>
      <vt:lpstr>'4 - 31.에너지 사용량'!Print_Area</vt:lpstr>
      <vt:lpstr>'4 - 32.냉난방 면적'!Print_Area</vt:lpstr>
      <vt:lpstr>'4 - 33.컴퓨터 보유 현황'!Print_Area</vt:lpstr>
      <vt:lpstr>'4 - 34.직원수'!Print_Area</vt:lpstr>
      <vt:lpstr>'4 - 4.학생수별 학급수'!Print_Area</vt:lpstr>
      <vt:lpstr>'4 - 5.특수지 공립중학교 현황(1)'!Print_Area</vt:lpstr>
      <vt:lpstr>'4 - 5.특수지 공립중학교 현황(2)'!Print_Area</vt:lpstr>
      <vt:lpstr>'4 - 6.학년별 학급수 및 학생수'!Print_Area</vt:lpstr>
      <vt:lpstr>'4 - 7.학년 및 연령별 학생수'!Print_Area</vt:lpstr>
      <vt:lpstr>'4 - 8.학생변동상황'!Print_Area</vt:lpstr>
      <vt:lpstr>'4 - 9.학업중단학생현황'!Print_Area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[중학교][4 - 1.중학교 개황(1)]</dc:title>
  <dc:creator>윤석민</dc:creator>
  <cp:lastModifiedBy>user</cp:lastModifiedBy>
  <cp:lastPrinted>2024-11-20T06:30:08Z</cp:lastPrinted>
  <dcterms:created xsi:type="dcterms:W3CDTF">2010-11-18T05:43:30Z</dcterms:created>
  <dcterms:modified xsi:type="dcterms:W3CDTF">2025-12-30T01:42:52Z</dcterms:modified>
</cp:coreProperties>
</file>