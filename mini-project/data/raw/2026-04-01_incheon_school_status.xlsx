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학생배치팀\4_학교현황\2026년\"/>
    </mc:Choice>
  </mc:AlternateContent>
  <xr:revisionPtr revIDLastSave="0" documentId="13_ncr:1_{A4EBB324-8F7A-4C9C-9699-0FA3E68B2E79}" xr6:coauthVersionLast="47" xr6:coauthVersionMax="47" xr10:uidLastSave="{00000000-0000-0000-0000-000000000000}"/>
  <bookViews>
    <workbookView xWindow="28680" yWindow="-120" windowWidth="29040" windowHeight="15720" tabRatio="697" xr2:uid="{00000000-000D-0000-FFFF-FFFF00000000}"/>
  </bookViews>
  <sheets>
    <sheet name="총괄" sheetId="24" r:id="rId1"/>
    <sheet name="구·군별" sheetId="23" r:id="rId2"/>
    <sheet name="(계열별)고등학교" sheetId="22" r:id="rId3"/>
    <sheet name="유치원" sheetId="13" r:id="rId4"/>
    <sheet name="초등학교" sheetId="7" r:id="rId5"/>
    <sheet name="중학교" sheetId="14" r:id="rId6"/>
    <sheet name="고등학교" sheetId="26" r:id="rId7"/>
    <sheet name="특수학교" sheetId="33" r:id="rId8"/>
    <sheet name="각종학교(각종,대안,외국인)" sheetId="32" r:id="rId9"/>
    <sheet name="외국교육기관(국제학교)" sheetId="30" r:id="rId10"/>
    <sheet name="방송통신중고등학교" sheetId="29" r:id="rId11"/>
    <sheet name="학력인정평생교육시설" sheetId="31" r:id="rId12"/>
  </sheets>
  <externalReferences>
    <externalReference r:id="rId13"/>
  </externalReferences>
  <definedNames>
    <definedName name="_xlnm._FilterDatabase" localSheetId="8" hidden="1">'각종학교(각종,대안,외국인)'!$A$5:$AK$15</definedName>
    <definedName name="_xlnm._FilterDatabase" localSheetId="6" hidden="1">고등학교!$A$5:$AF$204</definedName>
    <definedName name="_xlnm._FilterDatabase" localSheetId="9" hidden="1">'외국교육기관(국제학교)'!$A$1:$AA$7</definedName>
    <definedName name="_xlnm._FilterDatabase" localSheetId="3" hidden="1">유치원!$A$7:$WXT$429</definedName>
    <definedName name="_xlnm._FilterDatabase" localSheetId="5" hidden="1">중학교!$A$5:$AE$179</definedName>
    <definedName name="_xlnm._FilterDatabase" localSheetId="4" hidden="1">초등학교!$A$5:$AN$307</definedName>
    <definedName name="HTML_CodePage" hidden="1">949</definedName>
    <definedName name="HTML_Control" localSheetId="8" hidden="1">{"'학교별'!$A$4:$I$16"}</definedName>
    <definedName name="HTML_Control" localSheetId="6" hidden="1">{"'학교별'!$A$4:$I$16"}</definedName>
    <definedName name="HTML_Control" localSheetId="10" hidden="1">{"'학교별'!$A$4:$I$16"}</definedName>
    <definedName name="HTML_Control" localSheetId="9" hidden="1">{"'학교별'!$A$4:$I$16"}</definedName>
    <definedName name="HTML_Control" localSheetId="3" hidden="1">{"'학교별'!$A$4:$I$16"}</definedName>
    <definedName name="HTML_Control" localSheetId="7" hidden="1">{"'학교별'!$A$4:$I$16"}</definedName>
    <definedName name="HTML_Control" localSheetId="11" hidden="1">{"'학교별'!$A$4:$I$16"}</definedName>
    <definedName name="HTML_Control" hidden="1">{"'학교별'!$A$4:$I$16"}</definedName>
    <definedName name="HTML_Description" hidden="1">""</definedName>
    <definedName name="HTML_Email" hidden="1">""</definedName>
    <definedName name="HTML_Header" hidden="1">"학교별"</definedName>
    <definedName name="HTML_LastUpdate" hidden="1">"01-05-12"</definedName>
    <definedName name="HTML_LineAfter" hidden="1">FALSE</definedName>
    <definedName name="HTML_LineBefore" hidden="1">FALSE</definedName>
    <definedName name="HTML_Name" hidden="1">"홍일표"</definedName>
    <definedName name="HTML_OBDlg2" hidden="1">TRUE</definedName>
    <definedName name="HTML_OBDlg4" hidden="1">TRUE</definedName>
    <definedName name="HTML_OS" hidden="1">0</definedName>
    <definedName name="HTML_PathFile" hidden="1">"C:\My Documents\홍일표\수용일반\ㅁㅁㅁ.htm"</definedName>
    <definedName name="HTML_Title" hidden="1">"신설진행협의"</definedName>
    <definedName name="_xlnm.Print_Area" localSheetId="8">'각종학교(각종,대안,외국인)'!$A$1:$AK$16</definedName>
    <definedName name="_xlnm.Print_Area" localSheetId="10">#REF!</definedName>
    <definedName name="_xlnm.Print_Area" localSheetId="9">#REF!</definedName>
    <definedName name="_xlnm.Print_Area" localSheetId="7">#REF!</definedName>
    <definedName name="_xlnm.Print_Area" localSheetId="11">#REF!</definedName>
    <definedName name="_xlnm.Print_Area">#REF!</definedName>
    <definedName name="PRINT_AREA_MI" localSheetId="8">#REF!</definedName>
    <definedName name="PRINT_AREA_MI" localSheetId="6">#REF!</definedName>
    <definedName name="PRINT_AREA_MI" localSheetId="10">#REF!</definedName>
    <definedName name="PRINT_AREA_MI" localSheetId="9">#REF!</definedName>
    <definedName name="PRINT_AREA_MI" localSheetId="3">#REF!</definedName>
    <definedName name="PRINT_AREA_MI" localSheetId="5">#REF!</definedName>
    <definedName name="PRINT_AREA_MI" localSheetId="7">#REF!</definedName>
    <definedName name="PRINT_AREA_MI" localSheetId="11">#REF!</definedName>
    <definedName name="PRINT_AREA_MI">#REF!</definedName>
    <definedName name="_xlnm.Print_Titles" localSheetId="8">'각종학교(각종,대안,외국인)'!$3:$5</definedName>
    <definedName name="_xlnm.Print_Titles" localSheetId="6">고등학교!$3:$5</definedName>
    <definedName name="_xlnm.Print_Titles" localSheetId="9">'외국교육기관(국제학교)'!$3:$5</definedName>
    <definedName name="_xlnm.Print_Titles" localSheetId="3">유치원!$3:$7</definedName>
    <definedName name="_xlnm.Print_Titles" localSheetId="5">중학교!$3:$5</definedName>
    <definedName name="_xlnm.Print_Titles" localSheetId="4">초등학교!$3:$5</definedName>
    <definedName name="_xlnm.Print_Titles" localSheetId="7">특수학교!$3:$6</definedName>
    <definedName name="_xlnm.Print_Titles" localSheetId="11">학력인정평생교육시설!$3:$6</definedName>
    <definedName name="ㅁ1" localSheetId="8">#REF!</definedName>
    <definedName name="ㅁ1" localSheetId="6">#REF!</definedName>
    <definedName name="ㅁ1" localSheetId="10">#REF!</definedName>
    <definedName name="ㅁ1" localSheetId="9">#REF!</definedName>
    <definedName name="ㅁ1" localSheetId="3">#REF!</definedName>
    <definedName name="ㅁ1" localSheetId="5">#REF!</definedName>
    <definedName name="ㅁ1" localSheetId="7">#REF!</definedName>
    <definedName name="ㅁ1" localSheetId="11">#REF!</definedName>
    <definedName name="ㅁ1">#REF!</definedName>
    <definedName name="부평북" localSheetId="8" hidden="1">{"'학교별'!$A$4:$I$16"}</definedName>
    <definedName name="부평북" localSheetId="6" hidden="1">{"'학교별'!$A$4:$I$16"}</definedName>
    <definedName name="부평북" localSheetId="10" hidden="1">{"'학교별'!$A$4:$I$16"}</definedName>
    <definedName name="부평북" localSheetId="9" hidden="1">{"'학교별'!$A$4:$I$16"}</definedName>
    <definedName name="부평북" localSheetId="3" hidden="1">{"'학교별'!$A$4:$I$16"}</definedName>
    <definedName name="부평북" localSheetId="7" hidden="1">{"'학교별'!$A$4:$I$16"}</definedName>
    <definedName name="부평북" localSheetId="11" hidden="1">{"'학교별'!$A$4:$I$16"}</definedName>
    <definedName name="부평북" hidden="1">{"'학교별'!$A$4:$I$16"}</definedName>
    <definedName name="영재학교">#REF!</definedName>
    <definedName name="유치원" localSheetId="8" hidden="1">{"'학교별'!$A$4:$I$16"}</definedName>
    <definedName name="유치원" localSheetId="6" hidden="1">{"'학교별'!$A$4:$I$16"}</definedName>
    <definedName name="유치원" localSheetId="10" hidden="1">{"'학교별'!$A$4:$I$16"}</definedName>
    <definedName name="유치원" localSheetId="9" hidden="1">{"'학교별'!$A$4:$I$16"}</definedName>
    <definedName name="유치원" localSheetId="7" hidden="1">{"'학교별'!$A$4:$I$16"}</definedName>
    <definedName name="유치원" localSheetId="11" hidden="1">{"'학교별'!$A$4:$I$16"}</definedName>
    <definedName name="유치원" hidden="1">{"'학교별'!$A$4:$I$16"}</definedName>
    <definedName name="유치원2" localSheetId="8" hidden="1">{"'학교별'!$A$4:$I$16"}</definedName>
    <definedName name="유치원2" localSheetId="6" hidden="1">{"'학교별'!$A$4:$I$16"}</definedName>
    <definedName name="유치원2" localSheetId="10" hidden="1">{"'학교별'!$A$4:$I$16"}</definedName>
    <definedName name="유치원2" localSheetId="9" hidden="1">{"'학교별'!$A$4:$I$16"}</definedName>
    <definedName name="유치원2" localSheetId="3" hidden="1">{"'학교별'!$A$4:$I$16"}</definedName>
    <definedName name="유치원2" localSheetId="7" hidden="1">{"'학교별'!$A$4:$I$16"}</definedName>
    <definedName name="유치원2" localSheetId="11" hidden="1">{"'학교별'!$A$4:$I$16"}</definedName>
    <definedName name="유치원2" hidden="1">{"'학교별'!$A$4:$I$16"}</definedName>
    <definedName name="중학교" localSheetId="8" hidden="1">{"'학교별'!$A$4:$I$16"}</definedName>
    <definedName name="중학교" localSheetId="6" hidden="1">{"'학교별'!$A$4:$I$16"}</definedName>
    <definedName name="중학교" localSheetId="10" hidden="1">{"'학교별'!$A$4:$I$16"}</definedName>
    <definedName name="중학교" localSheetId="9" hidden="1">{"'학교별'!$A$4:$I$16"}</definedName>
    <definedName name="중학교" localSheetId="7" hidden="1">{"'학교별'!$A$4:$I$16"}</definedName>
    <definedName name="중학교" localSheetId="11" hidden="1">{"'학교별'!$A$4:$I$16"}</definedName>
    <definedName name="중학교" hidden="1">{"'학교별'!$A$4:$I$16"}</definedName>
    <definedName name="중학교2" localSheetId="8" hidden="1">{"'학교별'!$A$4:$I$16"}</definedName>
    <definedName name="중학교2" localSheetId="6" hidden="1">{"'학교별'!$A$4:$I$16"}</definedName>
    <definedName name="중학교2" localSheetId="10" hidden="1">{"'학교별'!$A$4:$I$16"}</definedName>
    <definedName name="중학교2" localSheetId="9" hidden="1">{"'학교별'!$A$4:$I$16"}</definedName>
    <definedName name="중학교2" localSheetId="3" hidden="1">{"'학교별'!$A$4:$I$16"}</definedName>
    <definedName name="중학교2" localSheetId="7" hidden="1">{"'학교별'!$A$4:$I$16"}</definedName>
    <definedName name="중학교2" localSheetId="11" hidden="1">{"'학교별'!$A$4:$I$16"}</definedName>
    <definedName name="중학교2" hidden="1">{"'학교별'!$A$4:$I$16"}</definedName>
    <definedName name="초등학교" localSheetId="8">#REF!</definedName>
    <definedName name="초등학교" localSheetId="10">#REF!</definedName>
    <definedName name="초등학교" localSheetId="9">#REF!</definedName>
    <definedName name="초등학교" localSheetId="7">#REF!</definedName>
    <definedName name="초등학교" localSheetId="11">#REF!</definedName>
    <definedName name="초등학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23" l="1"/>
  <c r="F31" i="23"/>
  <c r="G31" i="23"/>
  <c r="H31" i="23"/>
  <c r="I31" i="23"/>
  <c r="I38" i="23" s="1"/>
  <c r="J31" i="23"/>
  <c r="K31" i="23"/>
  <c r="L31" i="23"/>
  <c r="M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F38" i="23" s="1"/>
  <c r="E32" i="23"/>
  <c r="F32" i="23"/>
  <c r="G32" i="23"/>
  <c r="H32" i="23"/>
  <c r="I32" i="23"/>
  <c r="J32" i="23"/>
  <c r="K32" i="23"/>
  <c r="L32" i="23"/>
  <c r="M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C38" i="23" s="1"/>
  <c r="AD32" i="23"/>
  <c r="AE32" i="23"/>
  <c r="AF32" i="23"/>
  <c r="E33" i="23"/>
  <c r="F33" i="23"/>
  <c r="G33" i="23"/>
  <c r="H33" i="23"/>
  <c r="I33" i="23"/>
  <c r="J33" i="23"/>
  <c r="K33" i="23"/>
  <c r="L33" i="23"/>
  <c r="M33" i="23"/>
  <c r="Q33" i="23"/>
  <c r="R33" i="23"/>
  <c r="S33" i="23"/>
  <c r="T33" i="23"/>
  <c r="U33" i="23"/>
  <c r="V33" i="23"/>
  <c r="V38" i="23" s="1"/>
  <c r="W33" i="23"/>
  <c r="X33" i="23"/>
  <c r="Y33" i="23"/>
  <c r="Z33" i="23"/>
  <c r="AA33" i="23"/>
  <c r="AB33" i="23"/>
  <c r="AC33" i="23"/>
  <c r="AD33" i="23"/>
  <c r="AE33" i="23"/>
  <c r="AF33" i="23"/>
  <c r="E34" i="23"/>
  <c r="F34" i="23"/>
  <c r="G34" i="23"/>
  <c r="H34" i="23"/>
  <c r="I34" i="23"/>
  <c r="J34" i="23"/>
  <c r="K34" i="23"/>
  <c r="L34" i="23"/>
  <c r="M34" i="23"/>
  <c r="Q34" i="23"/>
  <c r="R34" i="23"/>
  <c r="S34" i="23"/>
  <c r="T34" i="23"/>
  <c r="U34" i="23"/>
  <c r="V34" i="23"/>
  <c r="W34" i="23"/>
  <c r="X34" i="23"/>
  <c r="Y34" i="23"/>
  <c r="Z34" i="23"/>
  <c r="Z38" i="23" s="1"/>
  <c r="AA34" i="23"/>
  <c r="AB34" i="23"/>
  <c r="AC34" i="23"/>
  <c r="AD34" i="23"/>
  <c r="AE34" i="23"/>
  <c r="AF34" i="23"/>
  <c r="Y30" i="23"/>
  <c r="X30" i="23"/>
  <c r="W30" i="23"/>
  <c r="V30" i="23"/>
  <c r="U30" i="23"/>
  <c r="T30" i="23"/>
  <c r="S30" i="23"/>
  <c r="R30" i="23"/>
  <c r="Q30" i="23"/>
  <c r="M30" i="23"/>
  <c r="L30" i="23"/>
  <c r="K30" i="23"/>
  <c r="J30" i="23"/>
  <c r="I30" i="23"/>
  <c r="H30" i="23"/>
  <c r="G30" i="23"/>
  <c r="F30" i="23"/>
  <c r="E30" i="23"/>
  <c r="S38" i="23"/>
  <c r="M38" i="23"/>
  <c r="AK28" i="23"/>
  <c r="AK29" i="23"/>
  <c r="AK35" i="23"/>
  <c r="AK36" i="23"/>
  <c r="AM16" i="23" l="1"/>
  <c r="D36" i="23" l="1"/>
  <c r="D35" i="23"/>
  <c r="D29" i="23"/>
  <c r="AL28" i="23"/>
  <c r="AL31" i="23"/>
  <c r="AL32" i="23"/>
  <c r="AL33" i="23"/>
  <c r="AL34" i="23"/>
  <c r="AL35" i="23"/>
  <c r="AL36" i="23"/>
  <c r="AL37" i="23"/>
  <c r="AL27" i="23"/>
  <c r="AJ28" i="23"/>
  <c r="AJ31" i="23"/>
  <c r="AJ32" i="23"/>
  <c r="AJ33" i="23"/>
  <c r="AJ34" i="23"/>
  <c r="AI35" i="23"/>
  <c r="AJ35" i="23"/>
  <c r="AI36" i="23"/>
  <c r="AJ36" i="23"/>
  <c r="AJ37" i="23"/>
  <c r="AJ27" i="23"/>
  <c r="AG28" i="23"/>
  <c r="AH28" i="23"/>
  <c r="AG29" i="23"/>
  <c r="AH29" i="23"/>
  <c r="AH30" i="23"/>
  <c r="AH31" i="23"/>
  <c r="AH32" i="23"/>
  <c r="AH33" i="23"/>
  <c r="AH34" i="23"/>
  <c r="AG35" i="23"/>
  <c r="AH35" i="23"/>
  <c r="AG36" i="23"/>
  <c r="AH36" i="23"/>
  <c r="AH37" i="23"/>
  <c r="AH27" i="23"/>
  <c r="F38" i="23"/>
  <c r="Q27" i="23"/>
  <c r="T27" i="23"/>
  <c r="U27" i="23"/>
  <c r="V27" i="23"/>
  <c r="W27" i="23"/>
  <c r="X27" i="23"/>
  <c r="Y27" i="23"/>
  <c r="Z27" i="23"/>
  <c r="AA27" i="23"/>
  <c r="AB27" i="23"/>
  <c r="AC27" i="23"/>
  <c r="AD27" i="23"/>
  <c r="U28" i="23"/>
  <c r="AI28" i="23" s="1"/>
  <c r="C29" i="23"/>
  <c r="AI29" i="23" s="1"/>
  <c r="Z30" i="23"/>
  <c r="AA30" i="23"/>
  <c r="AB30" i="23"/>
  <c r="AC30" i="23"/>
  <c r="AD30" i="23"/>
  <c r="AE30" i="23"/>
  <c r="AF30" i="23"/>
  <c r="AL7" i="23"/>
  <c r="AM9" i="23"/>
  <c r="AL8" i="23"/>
  <c r="AM8" i="23"/>
  <c r="AL10" i="23"/>
  <c r="AM11" i="23"/>
  <c r="AL12" i="23"/>
  <c r="AL13" i="23"/>
  <c r="AM13" i="23"/>
  <c r="AL14" i="23"/>
  <c r="AM14" i="23"/>
  <c r="AL15" i="23"/>
  <c r="AM15" i="23"/>
  <c r="AM6" i="23"/>
  <c r="AL6" i="23"/>
  <c r="AJ7" i="23"/>
  <c r="AJ8" i="23"/>
  <c r="AJ10" i="23"/>
  <c r="AJ12" i="23"/>
  <c r="AJ13" i="23"/>
  <c r="AJ14" i="23"/>
  <c r="AJ15" i="23"/>
  <c r="AJ6" i="23"/>
  <c r="AH7" i="23"/>
  <c r="AH10" i="23"/>
  <c r="AH11" i="23"/>
  <c r="AH12" i="23"/>
  <c r="AH13" i="23"/>
  <c r="AH14" i="23"/>
  <c r="AH15" i="23"/>
  <c r="AH6" i="23"/>
  <c r="E11" i="23"/>
  <c r="F8" i="23"/>
  <c r="E8" i="23" s="1"/>
  <c r="F9" i="23"/>
  <c r="E9" i="23" s="1"/>
  <c r="AH38" i="23" l="1"/>
  <c r="AH9" i="23"/>
  <c r="AH8" i="23"/>
  <c r="AH16" i="23" s="1"/>
  <c r="F16" i="23"/>
  <c r="Y190" i="7" l="1"/>
  <c r="N190" i="7"/>
  <c r="O190" i="7"/>
  <c r="P190" i="7"/>
  <c r="Q190" i="7"/>
  <c r="R190" i="7"/>
  <c r="S190" i="7"/>
  <c r="T190" i="7"/>
  <c r="V29" i="7"/>
  <c r="W29" i="7"/>
  <c r="X29" i="7"/>
  <c r="Y29" i="7"/>
  <c r="Z29" i="7"/>
  <c r="AA29" i="7"/>
  <c r="AB29" i="7"/>
  <c r="AC29" i="7"/>
  <c r="AD29" i="7"/>
  <c r="AE29" i="7"/>
  <c r="AF29" i="7"/>
  <c r="AG29" i="7"/>
  <c r="AJ29" i="7"/>
  <c r="AK29" i="7"/>
  <c r="AL29" i="7"/>
  <c r="AM29" i="7"/>
  <c r="V72" i="7"/>
  <c r="W72" i="7"/>
  <c r="X72" i="7"/>
  <c r="Y72" i="7"/>
  <c r="Z72" i="7"/>
  <c r="AA72" i="7"/>
  <c r="AB72" i="7"/>
  <c r="AC72" i="7"/>
  <c r="AD72" i="7"/>
  <c r="AE72" i="7"/>
  <c r="AF72" i="7"/>
  <c r="AG72" i="7"/>
  <c r="AK72" i="7"/>
  <c r="AL72" i="7"/>
  <c r="AM72" i="7"/>
  <c r="AJ72" i="7"/>
  <c r="AC195" i="26" l="1"/>
  <c r="AB195" i="26"/>
  <c r="AC193" i="26"/>
  <c r="AB193" i="26"/>
  <c r="AC186" i="26"/>
  <c r="AB186" i="26"/>
  <c r="AC182" i="26"/>
  <c r="AB182" i="26"/>
  <c r="AC178" i="26"/>
  <c r="AB178" i="26"/>
  <c r="AC176" i="26"/>
  <c r="AB175" i="26"/>
  <c r="AB176" i="26" s="1"/>
  <c r="AB174" i="26"/>
  <c r="AC165" i="26"/>
  <c r="AC174" i="26" s="1"/>
  <c r="AC158" i="26"/>
  <c r="AB158" i="26"/>
  <c r="AC156" i="26"/>
  <c r="AB156" i="26"/>
  <c r="AC151" i="26"/>
  <c r="AB151" i="26"/>
  <c r="AC149" i="26"/>
  <c r="AB149" i="26"/>
  <c r="AC144" i="26"/>
  <c r="AB144" i="26"/>
  <c r="AC134" i="26"/>
  <c r="AB134" i="26"/>
  <c r="AC132" i="26"/>
  <c r="AB132" i="26"/>
  <c r="AC126" i="26"/>
  <c r="AB126" i="26"/>
  <c r="AC123" i="26"/>
  <c r="AB117" i="26"/>
  <c r="AB123" i="26" s="1"/>
  <c r="AC111" i="26"/>
  <c r="AB111" i="26"/>
  <c r="AC109" i="26"/>
  <c r="AB109" i="26"/>
  <c r="AC96" i="26"/>
  <c r="AB96" i="26"/>
  <c r="AC94" i="26"/>
  <c r="AB94" i="26"/>
  <c r="AC92" i="26"/>
  <c r="AB92" i="26"/>
  <c r="AC87" i="26"/>
  <c r="AB87" i="26"/>
  <c r="AC85" i="26"/>
  <c r="AB85" i="26"/>
  <c r="AC82" i="26"/>
  <c r="AB82" i="26"/>
  <c r="AC68" i="26"/>
  <c r="AB68" i="26"/>
  <c r="AC66" i="26"/>
  <c r="AB66" i="26"/>
  <c r="AC64" i="26"/>
  <c r="AB64" i="26"/>
  <c r="AC60" i="26"/>
  <c r="AB60" i="26"/>
  <c r="AC57" i="26"/>
  <c r="AB57" i="26"/>
  <c r="AC53" i="26"/>
  <c r="AB53" i="26"/>
  <c r="AC45" i="26"/>
  <c r="AC46" i="26" s="1"/>
  <c r="AB45" i="26"/>
  <c r="AB46" i="26" s="1"/>
  <c r="AC41" i="26"/>
  <c r="AC42" i="26" s="1"/>
  <c r="AC43" i="26" s="1"/>
  <c r="AB41" i="26"/>
  <c r="AB42" i="26" s="1"/>
  <c r="AB43" i="26" s="1"/>
  <c r="AC33" i="26"/>
  <c r="AB33" i="26"/>
  <c r="AC30" i="26"/>
  <c r="AB30" i="26"/>
  <c r="AC26" i="26"/>
  <c r="AB26" i="26"/>
  <c r="AC24" i="26"/>
  <c r="AB24" i="26"/>
  <c r="AC19" i="26"/>
  <c r="AB19" i="26"/>
  <c r="AC17" i="26"/>
  <c r="AB17" i="26"/>
  <c r="AC11" i="26"/>
  <c r="AB11" i="26"/>
  <c r="AC177" i="14"/>
  <c r="AB177" i="14"/>
  <c r="AC174" i="14"/>
  <c r="AB174" i="14"/>
  <c r="AC165" i="14"/>
  <c r="AC166" i="14" s="1"/>
  <c r="AB165" i="14"/>
  <c r="AB166" i="14" s="1"/>
  <c r="AC134" i="14"/>
  <c r="AB134" i="14"/>
  <c r="AC132" i="14"/>
  <c r="AB132" i="14"/>
  <c r="AC111" i="14"/>
  <c r="AB111" i="14"/>
  <c r="AC109" i="14"/>
  <c r="AB109" i="14"/>
  <c r="AC86" i="14"/>
  <c r="AC87" i="14" s="1"/>
  <c r="AB86" i="14"/>
  <c r="AB87" i="14" s="1"/>
  <c r="AC69" i="14"/>
  <c r="AC70" i="14" s="1"/>
  <c r="AB69" i="14"/>
  <c r="AB70" i="14" s="1"/>
  <c r="AC46" i="14"/>
  <c r="AB46" i="14"/>
  <c r="AC42" i="14"/>
  <c r="AB42" i="14"/>
  <c r="AC32" i="14"/>
  <c r="AC33" i="14" s="1"/>
  <c r="AB32" i="14"/>
  <c r="AB33" i="14" s="1"/>
  <c r="AC25" i="14"/>
  <c r="AB25" i="14"/>
  <c r="AC22" i="14"/>
  <c r="AB22" i="14"/>
  <c r="AC19" i="14"/>
  <c r="AB19" i="14"/>
  <c r="AC17" i="14"/>
  <c r="AB17" i="14"/>
  <c r="AJ305" i="7"/>
  <c r="AJ306" i="7" s="1"/>
  <c r="AJ283" i="7"/>
  <c r="AJ284" i="7" s="1"/>
  <c r="AJ227" i="7"/>
  <c r="AJ225" i="7"/>
  <c r="AJ190" i="7"/>
  <c r="AJ191" i="7" s="1"/>
  <c r="AJ149" i="7"/>
  <c r="AJ122" i="7"/>
  <c r="AJ119" i="7"/>
  <c r="AJ117" i="7"/>
  <c r="AJ74" i="7"/>
  <c r="AJ75" i="7" s="1"/>
  <c r="AJ53" i="7"/>
  <c r="AJ54" i="7" s="1"/>
  <c r="AJ40" i="7"/>
  <c r="AJ37" i="7"/>
  <c r="AJ30" i="7"/>
  <c r="AK30" i="7"/>
  <c r="AK37" i="7"/>
  <c r="AK40" i="7"/>
  <c r="AK53" i="7"/>
  <c r="AK54" i="7" s="1"/>
  <c r="AK74" i="7"/>
  <c r="AK117" i="7"/>
  <c r="AK119" i="7"/>
  <c r="AK122" i="7"/>
  <c r="AK149" i="7"/>
  <c r="AK190" i="7"/>
  <c r="AK191" i="7" s="1"/>
  <c r="AK225" i="7"/>
  <c r="AK227" i="7"/>
  <c r="AK283" i="7"/>
  <c r="AK284" i="7" s="1"/>
  <c r="AK305" i="7"/>
  <c r="AK306" i="7" s="1"/>
  <c r="AC135" i="26" l="1"/>
  <c r="AC47" i="14"/>
  <c r="AB127" i="26"/>
  <c r="AB187" i="26"/>
  <c r="AC34" i="26"/>
  <c r="AC35" i="26" s="1"/>
  <c r="AC127" i="26"/>
  <c r="AC136" i="26" s="1"/>
  <c r="AJ120" i="7"/>
  <c r="AK41" i="7"/>
  <c r="AB26" i="14"/>
  <c r="AJ228" i="7"/>
  <c r="AB20" i="26"/>
  <c r="AB69" i="26"/>
  <c r="AB97" i="26"/>
  <c r="AB34" i="26"/>
  <c r="AB35" i="26" s="1"/>
  <c r="AC20" i="26"/>
  <c r="AC97" i="26"/>
  <c r="AB47" i="14"/>
  <c r="AK120" i="7"/>
  <c r="AK150" i="7"/>
  <c r="AJ41" i="7"/>
  <c r="AC112" i="26"/>
  <c r="AC113" i="26" s="1"/>
  <c r="AB27" i="26"/>
  <c r="AC187" i="26"/>
  <c r="AB159" i="26"/>
  <c r="AC159" i="26"/>
  <c r="AC27" i="26"/>
  <c r="AB112" i="26"/>
  <c r="AB113" i="26" s="1"/>
  <c r="AC88" i="26"/>
  <c r="AC152" i="26"/>
  <c r="AC69" i="26"/>
  <c r="AB135" i="26"/>
  <c r="AB136" i="26" s="1"/>
  <c r="AC61" i="26"/>
  <c r="AB88" i="26"/>
  <c r="AC179" i="26"/>
  <c r="AB152" i="26"/>
  <c r="AB61" i="26"/>
  <c r="AB179" i="26"/>
  <c r="AC26" i="14"/>
  <c r="AB135" i="14"/>
  <c r="AB112" i="14"/>
  <c r="AB20" i="14"/>
  <c r="AC20" i="14"/>
  <c r="AC112" i="14"/>
  <c r="AC135" i="14"/>
  <c r="AK228" i="7"/>
  <c r="AK75" i="7"/>
  <c r="AJ150" i="7"/>
  <c r="S117" i="26"/>
  <c r="AB188" i="26" l="1"/>
  <c r="AB70" i="26"/>
  <c r="AC28" i="26"/>
  <c r="AC188" i="26"/>
  <c r="AB28" i="26"/>
  <c r="AC160" i="26"/>
  <c r="AC98" i="26"/>
  <c r="AB98" i="26"/>
  <c r="AB160" i="26"/>
  <c r="AC70" i="26"/>
  <c r="Z80" i="26"/>
  <c r="AA14" i="26" l="1"/>
  <c r="Z14" i="26"/>
  <c r="AA145" i="26" l="1"/>
  <c r="Z145" i="26"/>
  <c r="S145" i="26"/>
  <c r="AA16" i="26" l="1"/>
  <c r="Z16" i="26"/>
  <c r="S16" i="26"/>
  <c r="AA12" i="26" l="1"/>
  <c r="Z12" i="26"/>
  <c r="S12" i="26"/>
  <c r="AA13" i="26" l="1"/>
  <c r="Z13" i="26"/>
  <c r="S13" i="26"/>
  <c r="AA15" i="26" l="1"/>
  <c r="Z15" i="26"/>
  <c r="S15" i="26"/>
  <c r="Z114" i="26" l="1"/>
  <c r="Z118" i="26"/>
  <c r="Z119" i="26"/>
  <c r="Z121" i="26"/>
  <c r="Z122" i="26"/>
  <c r="Z131" i="26"/>
  <c r="T11" i="26" l="1"/>
  <c r="T41" i="26"/>
  <c r="H28" i="22" l="1"/>
  <c r="I28" i="22"/>
  <c r="J28" i="22"/>
  <c r="K28" i="22"/>
  <c r="L28" i="22"/>
  <c r="M28" i="22"/>
  <c r="K29" i="22"/>
  <c r="L29" i="22"/>
  <c r="M29" i="22"/>
  <c r="K30" i="22"/>
  <c r="L30" i="22"/>
  <c r="M30" i="22"/>
  <c r="K27" i="22"/>
  <c r="L27" i="22"/>
  <c r="M27" i="22"/>
  <c r="E26" i="22"/>
  <c r="F26" i="22"/>
  <c r="G26" i="22"/>
  <c r="H26" i="22"/>
  <c r="I26" i="22"/>
  <c r="J26" i="22"/>
  <c r="K26" i="22"/>
  <c r="L26" i="22"/>
  <c r="M26" i="22"/>
  <c r="K23" i="22"/>
  <c r="L23" i="22"/>
  <c r="M23" i="22"/>
  <c r="X143" i="26"/>
  <c r="X140" i="26"/>
  <c r="X133" i="26"/>
  <c r="X128" i="26"/>
  <c r="X10" i="26"/>
  <c r="V143" i="26"/>
  <c r="V140" i="26"/>
  <c r="V133" i="26"/>
  <c r="V128" i="26"/>
  <c r="V10" i="26"/>
  <c r="V11" i="26" s="1"/>
  <c r="T143" i="26"/>
  <c r="T140" i="26"/>
  <c r="T133" i="26"/>
  <c r="T128" i="26"/>
  <c r="Z115" i="26" l="1"/>
  <c r="P24" i="26"/>
  <c r="N24" i="26"/>
  <c r="AA21" i="26" l="1"/>
  <c r="Z21" i="26"/>
  <c r="S21" i="26"/>
  <c r="F99" i="33" l="1"/>
  <c r="G96" i="33"/>
  <c r="H96" i="33"/>
  <c r="I96" i="33"/>
  <c r="J96" i="33"/>
  <c r="K96" i="33"/>
  <c r="L96" i="33"/>
  <c r="G97" i="33"/>
  <c r="H97" i="33"/>
  <c r="I97" i="33"/>
  <c r="J97" i="33"/>
  <c r="K97" i="33"/>
  <c r="L97" i="33"/>
  <c r="G98" i="33"/>
  <c r="H98" i="33"/>
  <c r="I98" i="33"/>
  <c r="J98" i="33"/>
  <c r="K98" i="33"/>
  <c r="L98" i="33"/>
  <c r="F98" i="33"/>
  <c r="F97" i="33"/>
  <c r="F96" i="33"/>
  <c r="N32" i="22"/>
  <c r="O32" i="22"/>
  <c r="P32" i="22"/>
  <c r="Y17" i="26"/>
  <c r="AE53" i="26"/>
  <c r="AD53" i="26"/>
  <c r="V53" i="26"/>
  <c r="W53" i="26"/>
  <c r="X53" i="26"/>
  <c r="Y53" i="26"/>
  <c r="U53" i="26"/>
  <c r="T53" i="26"/>
  <c r="P53" i="26"/>
  <c r="Q53" i="26"/>
  <c r="R53" i="26"/>
  <c r="O53" i="26"/>
  <c r="N53" i="26"/>
  <c r="Q37" i="23"/>
  <c r="Q38" i="23" s="1"/>
  <c r="R37" i="23"/>
  <c r="S37" i="23"/>
  <c r="T37" i="23"/>
  <c r="T38" i="23" s="1"/>
  <c r="U37" i="23"/>
  <c r="U38" i="23" s="1"/>
  <c r="V37" i="23"/>
  <c r="W37" i="23"/>
  <c r="X37" i="23"/>
  <c r="Y37" i="23"/>
  <c r="Z37" i="23"/>
  <c r="AA37" i="23"/>
  <c r="AB37" i="23"/>
  <c r="AC37" i="23"/>
  <c r="AD37" i="23"/>
  <c r="AE37" i="23"/>
  <c r="AF37" i="23"/>
  <c r="AF10" i="23"/>
  <c r="AE10" i="23"/>
  <c r="AF6" i="23"/>
  <c r="AF27" i="23" s="1"/>
  <c r="AE6" i="23"/>
  <c r="AE27" i="23" s="1"/>
  <c r="AC13" i="23"/>
  <c r="AB13" i="23"/>
  <c r="AC12" i="23"/>
  <c r="AB12" i="23"/>
  <c r="AC8" i="23"/>
  <c r="AB8" i="23"/>
  <c r="Z13" i="23"/>
  <c r="Y13" i="23"/>
  <c r="X13" i="23"/>
  <c r="U13" i="23"/>
  <c r="S11" i="23"/>
  <c r="S10" i="23"/>
  <c r="R10" i="23"/>
  <c r="O13" i="24"/>
  <c r="O12" i="24"/>
  <c r="O11" i="24"/>
  <c r="N10" i="24"/>
  <c r="N9" i="24"/>
  <c r="N8" i="24"/>
  <c r="M13" i="24"/>
  <c r="M12" i="24"/>
  <c r="M11" i="24"/>
  <c r="J13" i="24"/>
  <c r="J12" i="24"/>
  <c r="AD38" i="23" l="1"/>
  <c r="AB38" i="23"/>
  <c r="Y38" i="23"/>
  <c r="X38" i="23"/>
  <c r="AA38" i="23"/>
  <c r="AE38" i="23"/>
  <c r="D305" i="7" l="1"/>
  <c r="M305" i="7"/>
  <c r="AI304" i="7"/>
  <c r="AH304" i="7"/>
  <c r="U304" i="7"/>
  <c r="AI303" i="7"/>
  <c r="AH303" i="7"/>
  <c r="U303" i="7"/>
  <c r="AI302" i="7"/>
  <c r="AH302" i="7"/>
  <c r="U302" i="7"/>
  <c r="AI301" i="7"/>
  <c r="AH301" i="7"/>
  <c r="U301" i="7"/>
  <c r="AI300" i="7"/>
  <c r="AH300" i="7"/>
  <c r="U300" i="7"/>
  <c r="AI299" i="7"/>
  <c r="AH299" i="7"/>
  <c r="U299" i="7"/>
  <c r="AI298" i="7"/>
  <c r="AH298" i="7"/>
  <c r="U298" i="7"/>
  <c r="AI297" i="7"/>
  <c r="AH297" i="7"/>
  <c r="U297" i="7"/>
  <c r="AI296" i="7"/>
  <c r="AH296" i="7"/>
  <c r="U296" i="7"/>
  <c r="AI295" i="7"/>
  <c r="AH295" i="7"/>
  <c r="U295" i="7"/>
  <c r="AI294" i="7"/>
  <c r="AH294" i="7"/>
  <c r="U294" i="7"/>
  <c r="AI293" i="7"/>
  <c r="AH293" i="7"/>
  <c r="U293" i="7"/>
  <c r="AI292" i="7"/>
  <c r="AH292" i="7"/>
  <c r="U292" i="7"/>
  <c r="AI291" i="7"/>
  <c r="AH291" i="7"/>
  <c r="U291" i="7"/>
  <c r="AI290" i="7"/>
  <c r="AH290" i="7"/>
  <c r="U290" i="7"/>
  <c r="AI289" i="7"/>
  <c r="AH289" i="7"/>
  <c r="U289" i="7"/>
  <c r="AI288" i="7"/>
  <c r="AH288" i="7"/>
  <c r="U288" i="7"/>
  <c r="AI287" i="7"/>
  <c r="AH287" i="7"/>
  <c r="U287" i="7"/>
  <c r="AI286" i="7"/>
  <c r="AH286" i="7"/>
  <c r="U286" i="7"/>
  <c r="AI285" i="7"/>
  <c r="AH285" i="7"/>
  <c r="U285" i="7"/>
  <c r="P98" i="33" l="1"/>
  <c r="O98" i="33"/>
  <c r="N98" i="33"/>
  <c r="Q98" i="33" s="1"/>
  <c r="M98" i="33"/>
  <c r="P97" i="33"/>
  <c r="O97" i="33"/>
  <c r="N97" i="33"/>
  <c r="M97" i="33"/>
  <c r="Q97" i="33" s="1"/>
  <c r="P96" i="33"/>
  <c r="O96" i="33"/>
  <c r="N96" i="33"/>
  <c r="M96" i="33"/>
  <c r="Q96" i="33" s="1"/>
  <c r="Q95" i="33"/>
  <c r="R95" i="33" s="1"/>
  <c r="L95" i="33"/>
  <c r="Q94" i="33"/>
  <c r="L94" i="33"/>
  <c r="R94" i="33" s="1"/>
  <c r="Q93" i="33"/>
  <c r="L93" i="33"/>
  <c r="R93" i="33" s="1"/>
  <c r="Q92" i="33"/>
  <c r="L92" i="33"/>
  <c r="R92" i="33" s="1"/>
  <c r="Q91" i="33"/>
  <c r="L91" i="33"/>
  <c r="Q90" i="33"/>
  <c r="L90" i="33"/>
  <c r="Q89" i="33"/>
  <c r="L89" i="33"/>
  <c r="Q88" i="33"/>
  <c r="L88" i="33"/>
  <c r="Q87" i="33"/>
  <c r="L87" i="33"/>
  <c r="Q86" i="33"/>
  <c r="L86" i="33"/>
  <c r="R86" i="33" s="1"/>
  <c r="Q85" i="33"/>
  <c r="L85" i="33"/>
  <c r="R85" i="33" s="1"/>
  <c r="Q84" i="33"/>
  <c r="L84" i="33"/>
  <c r="P83" i="33"/>
  <c r="O83" i="33"/>
  <c r="N83" i="33"/>
  <c r="M83" i="33"/>
  <c r="K83" i="33"/>
  <c r="J83" i="33"/>
  <c r="H83" i="33"/>
  <c r="G83" i="33"/>
  <c r="F83" i="33"/>
  <c r="P82" i="33"/>
  <c r="O82" i="33"/>
  <c r="N82" i="33"/>
  <c r="M82" i="33"/>
  <c r="K82" i="33"/>
  <c r="J82" i="33"/>
  <c r="H82" i="33"/>
  <c r="G82" i="33"/>
  <c r="F82" i="33"/>
  <c r="P81" i="33"/>
  <c r="O81" i="33"/>
  <c r="Q81" i="33" s="1"/>
  <c r="N81" i="33"/>
  <c r="M81" i="33"/>
  <c r="K81" i="33"/>
  <c r="J81" i="33"/>
  <c r="H81" i="33"/>
  <c r="G81" i="33"/>
  <c r="F81" i="33"/>
  <c r="Q80" i="33"/>
  <c r="Q79" i="33"/>
  <c r="Q78" i="33"/>
  <c r="Q77" i="33"/>
  <c r="Q76" i="33"/>
  <c r="Q75" i="33"/>
  <c r="Q74" i="33"/>
  <c r="Q73" i="33"/>
  <c r="Q72" i="33"/>
  <c r="P71" i="33"/>
  <c r="Q71" i="33" s="1"/>
  <c r="O71" i="33"/>
  <c r="N71" i="33"/>
  <c r="M71" i="33"/>
  <c r="K71" i="33"/>
  <c r="J71" i="33"/>
  <c r="I71" i="33"/>
  <c r="H71" i="33"/>
  <c r="G71" i="33"/>
  <c r="F71" i="33"/>
  <c r="P70" i="33"/>
  <c r="O70" i="33"/>
  <c r="Q70" i="33" s="1"/>
  <c r="N70" i="33"/>
  <c r="M70" i="33"/>
  <c r="K70" i="33"/>
  <c r="J70" i="33"/>
  <c r="I70" i="33"/>
  <c r="H70" i="33"/>
  <c r="G70" i="33"/>
  <c r="F70" i="33"/>
  <c r="P69" i="33"/>
  <c r="O69" i="33"/>
  <c r="N69" i="33"/>
  <c r="M69" i="33"/>
  <c r="K69" i="33"/>
  <c r="J69" i="33"/>
  <c r="I69" i="33"/>
  <c r="H69" i="33"/>
  <c r="G69" i="33"/>
  <c r="F69" i="33"/>
  <c r="L69" i="33" s="1"/>
  <c r="Q68" i="33"/>
  <c r="L68" i="33"/>
  <c r="R68" i="33" s="1"/>
  <c r="Q67" i="33"/>
  <c r="L67" i="33"/>
  <c r="R67" i="33" s="1"/>
  <c r="Q66" i="33"/>
  <c r="L66" i="33"/>
  <c r="Q65" i="33"/>
  <c r="L65" i="33"/>
  <c r="R65" i="33" s="1"/>
  <c r="Q64" i="33"/>
  <c r="L64" i="33"/>
  <c r="R64" i="33" s="1"/>
  <c r="Q63" i="33"/>
  <c r="L63" i="33"/>
  <c r="R63" i="33" s="1"/>
  <c r="Q62" i="33"/>
  <c r="L62" i="33"/>
  <c r="Q61" i="33"/>
  <c r="L61" i="33"/>
  <c r="R61" i="33" s="1"/>
  <c r="Q60" i="33"/>
  <c r="L60" i="33"/>
  <c r="R60" i="33" s="1"/>
  <c r="P59" i="33"/>
  <c r="O59" i="33"/>
  <c r="N59" i="33"/>
  <c r="M59" i="33"/>
  <c r="Q59" i="33" s="1"/>
  <c r="K59" i="33"/>
  <c r="J59" i="33"/>
  <c r="I59" i="33"/>
  <c r="H59" i="33"/>
  <c r="G59" i="33"/>
  <c r="F59" i="33"/>
  <c r="P58" i="33"/>
  <c r="O58" i="33"/>
  <c r="N58" i="33"/>
  <c r="M58" i="33"/>
  <c r="K58" i="33"/>
  <c r="J58" i="33"/>
  <c r="I58" i="33"/>
  <c r="H58" i="33"/>
  <c r="G58" i="33"/>
  <c r="F58" i="33"/>
  <c r="P57" i="33"/>
  <c r="O57" i="33"/>
  <c r="N57" i="33"/>
  <c r="M57" i="33"/>
  <c r="Q57" i="33" s="1"/>
  <c r="K57" i="33"/>
  <c r="J57" i="33"/>
  <c r="I57" i="33"/>
  <c r="H57" i="33"/>
  <c r="G57" i="33"/>
  <c r="F57" i="33"/>
  <c r="L57" i="33" s="1"/>
  <c r="Q56" i="33"/>
  <c r="R56" i="33" s="1"/>
  <c r="L56" i="33"/>
  <c r="Q55" i="33"/>
  <c r="L55" i="33"/>
  <c r="Q54" i="33"/>
  <c r="L54" i="33"/>
  <c r="Q53" i="33"/>
  <c r="L53" i="33"/>
  <c r="R53" i="33" s="1"/>
  <c r="Q52" i="33"/>
  <c r="L52" i="33"/>
  <c r="Q51" i="33"/>
  <c r="L51" i="33"/>
  <c r="R51" i="33" s="1"/>
  <c r="Q50" i="33"/>
  <c r="L50" i="33"/>
  <c r="R50" i="33" s="1"/>
  <c r="Q49" i="33"/>
  <c r="L49" i="33"/>
  <c r="Q48" i="33"/>
  <c r="R48" i="33" s="1"/>
  <c r="L48" i="33"/>
  <c r="P47" i="33"/>
  <c r="O47" i="33"/>
  <c r="N47" i="33"/>
  <c r="M47" i="33"/>
  <c r="K47" i="33"/>
  <c r="J47" i="33"/>
  <c r="I47" i="33"/>
  <c r="H47" i="33"/>
  <c r="G47" i="33"/>
  <c r="F47" i="33"/>
  <c r="Q46" i="33"/>
  <c r="P46" i="33"/>
  <c r="O46" i="33"/>
  <c r="N46" i="33"/>
  <c r="M46" i="33"/>
  <c r="K46" i="33"/>
  <c r="J46" i="33"/>
  <c r="I46" i="33"/>
  <c r="H46" i="33"/>
  <c r="G46" i="33"/>
  <c r="F46" i="33"/>
  <c r="L46" i="33" s="1"/>
  <c r="P45" i="33"/>
  <c r="O45" i="33"/>
  <c r="N45" i="33"/>
  <c r="M45" i="33"/>
  <c r="K45" i="33"/>
  <c r="J45" i="33"/>
  <c r="I45" i="33"/>
  <c r="H45" i="33"/>
  <c r="G45" i="33"/>
  <c r="F45" i="33"/>
  <c r="Q44" i="33"/>
  <c r="L44" i="33"/>
  <c r="R44" i="33" s="1"/>
  <c r="Q43" i="33"/>
  <c r="L43" i="33"/>
  <c r="R43" i="33" s="1"/>
  <c r="Q42" i="33"/>
  <c r="L42" i="33"/>
  <c r="Q41" i="33"/>
  <c r="L41" i="33"/>
  <c r="R41" i="33" s="1"/>
  <c r="Q40" i="33"/>
  <c r="L40" i="33"/>
  <c r="Q39" i="33"/>
  <c r="L39" i="33"/>
  <c r="R39" i="33" s="1"/>
  <c r="Q38" i="33"/>
  <c r="L38" i="33"/>
  <c r="Q37" i="33"/>
  <c r="L37" i="33"/>
  <c r="R37" i="33" s="1"/>
  <c r="Q36" i="33"/>
  <c r="L36" i="33"/>
  <c r="R36" i="33" s="1"/>
  <c r="Q35" i="33"/>
  <c r="L35" i="33"/>
  <c r="R35" i="33" s="1"/>
  <c r="Q34" i="33"/>
  <c r="R34" i="33" s="1"/>
  <c r="L34" i="33"/>
  <c r="Q33" i="33"/>
  <c r="L33" i="33"/>
  <c r="R33" i="33" s="1"/>
  <c r="Q32" i="33"/>
  <c r="L32" i="33"/>
  <c r="R32" i="33" s="1"/>
  <c r="Q31" i="33"/>
  <c r="L31" i="33"/>
  <c r="R31" i="33" s="1"/>
  <c r="Q30" i="33"/>
  <c r="L30" i="33"/>
  <c r="Q29" i="33"/>
  <c r="L29" i="33"/>
  <c r="R29" i="33" s="1"/>
  <c r="Q28" i="33"/>
  <c r="L28" i="33"/>
  <c r="Q27" i="33"/>
  <c r="L27" i="33"/>
  <c r="R27" i="33" s="1"/>
  <c r="P26" i="33"/>
  <c r="O26" i="33"/>
  <c r="O101" i="33" s="1"/>
  <c r="N26" i="33"/>
  <c r="N101" i="33" s="1"/>
  <c r="M26" i="33"/>
  <c r="Q26" i="33" s="1"/>
  <c r="K26" i="33"/>
  <c r="J26" i="33"/>
  <c r="I26" i="33"/>
  <c r="H26" i="33"/>
  <c r="H101" i="33" s="1"/>
  <c r="G26" i="33"/>
  <c r="G101" i="33" s="1"/>
  <c r="F26" i="33"/>
  <c r="P25" i="33"/>
  <c r="P100" i="33" s="1"/>
  <c r="O25" i="33"/>
  <c r="O100" i="33" s="1"/>
  <c r="N25" i="33"/>
  <c r="N100" i="33" s="1"/>
  <c r="M25" i="33"/>
  <c r="K25" i="33"/>
  <c r="J25" i="33"/>
  <c r="I25" i="33"/>
  <c r="H25" i="33"/>
  <c r="H100" i="33" s="1"/>
  <c r="G25" i="33"/>
  <c r="G100" i="33" s="1"/>
  <c r="S13" i="23" s="1"/>
  <c r="F25" i="33"/>
  <c r="P24" i="33"/>
  <c r="P99" i="33" s="1"/>
  <c r="O24" i="33"/>
  <c r="N24" i="33"/>
  <c r="M24" i="33"/>
  <c r="K24" i="33"/>
  <c r="J24" i="33"/>
  <c r="J99" i="33" s="1"/>
  <c r="R6" i="23" s="1"/>
  <c r="R27" i="23" s="1"/>
  <c r="R38" i="23" s="1"/>
  <c r="I24" i="33"/>
  <c r="H24" i="33"/>
  <c r="G24" i="33"/>
  <c r="G99" i="33" s="1"/>
  <c r="R13" i="23" s="1"/>
  <c r="F24" i="33"/>
  <c r="R11" i="23" s="1"/>
  <c r="Q23" i="33"/>
  <c r="L23" i="33"/>
  <c r="R23" i="33" s="1"/>
  <c r="Q22" i="33"/>
  <c r="L22" i="33"/>
  <c r="Q21" i="33"/>
  <c r="L21" i="33"/>
  <c r="R21" i="33" s="1"/>
  <c r="Q20" i="33"/>
  <c r="L20" i="33"/>
  <c r="Q19" i="33"/>
  <c r="L19" i="33"/>
  <c r="R19" i="33" s="1"/>
  <c r="Q18" i="33"/>
  <c r="L18" i="33"/>
  <c r="R18" i="33" s="1"/>
  <c r="Q17" i="33"/>
  <c r="L17" i="33"/>
  <c r="R17" i="33" s="1"/>
  <c r="Q16" i="33"/>
  <c r="R16" i="33" s="1"/>
  <c r="L16" i="33"/>
  <c r="Q15" i="33"/>
  <c r="L15" i="33"/>
  <c r="R15" i="33" s="1"/>
  <c r="K100" i="33" l="1"/>
  <c r="S14" i="23" s="1"/>
  <c r="H99" i="33"/>
  <c r="L47" i="33"/>
  <c r="R49" i="33"/>
  <c r="R55" i="33"/>
  <c r="N99" i="33"/>
  <c r="R66" i="33"/>
  <c r="Q82" i="33"/>
  <c r="R84" i="33"/>
  <c r="R90" i="33"/>
  <c r="R98" i="33"/>
  <c r="R20" i="33"/>
  <c r="P101" i="33"/>
  <c r="R38" i="33"/>
  <c r="L71" i="33"/>
  <c r="L45" i="33"/>
  <c r="L70" i="33"/>
  <c r="R70" i="33" s="1"/>
  <c r="R91" i="33"/>
  <c r="J101" i="33"/>
  <c r="R62" i="33"/>
  <c r="R97" i="33"/>
  <c r="R22" i="33"/>
  <c r="O99" i="33"/>
  <c r="F101" i="33"/>
  <c r="R28" i="33"/>
  <c r="R40" i="33"/>
  <c r="J100" i="33"/>
  <c r="S6" i="23" s="1"/>
  <c r="S27" i="23" s="1"/>
  <c r="L59" i="33"/>
  <c r="R59" i="33" s="1"/>
  <c r="K101" i="33"/>
  <c r="F100" i="33"/>
  <c r="R52" i="33"/>
  <c r="R87" i="33"/>
  <c r="K99" i="33"/>
  <c r="R14" i="23" s="1"/>
  <c r="L58" i="33"/>
  <c r="Q83" i="33"/>
  <c r="R88" i="33"/>
  <c r="Q45" i="33"/>
  <c r="Q47" i="33"/>
  <c r="M100" i="33"/>
  <c r="Q69" i="33"/>
  <c r="R46" i="33"/>
  <c r="R30" i="33"/>
  <c r="R42" i="33"/>
  <c r="R54" i="33"/>
  <c r="R89" i="33"/>
  <c r="R96" i="33"/>
  <c r="R71" i="33"/>
  <c r="R69" i="33"/>
  <c r="Q100" i="33"/>
  <c r="R57" i="33"/>
  <c r="Q24" i="33"/>
  <c r="Q25" i="33"/>
  <c r="I72" i="33"/>
  <c r="I75" i="33" s="1"/>
  <c r="L75" i="33" s="1"/>
  <c r="R75" i="33" s="1"/>
  <c r="Q58" i="33"/>
  <c r="M101" i="33"/>
  <c r="L24" i="33"/>
  <c r="M99" i="33"/>
  <c r="L25" i="33"/>
  <c r="I73" i="33"/>
  <c r="L26" i="33"/>
  <c r="R26" i="33" s="1"/>
  <c r="I74" i="33"/>
  <c r="I77" i="33"/>
  <c r="L77" i="33" s="1"/>
  <c r="R77" i="33" s="1"/>
  <c r="R58" i="33" l="1"/>
  <c r="Q101" i="33"/>
  <c r="R45" i="33"/>
  <c r="R47" i="33"/>
  <c r="I78" i="33"/>
  <c r="L78" i="33" s="1"/>
  <c r="R78" i="33" s="1"/>
  <c r="L74" i="33"/>
  <c r="R74" i="33" s="1"/>
  <c r="L73" i="33"/>
  <c r="R73" i="33" s="1"/>
  <c r="R25" i="33"/>
  <c r="R24" i="33"/>
  <c r="I76" i="33"/>
  <c r="L76" i="33" s="1"/>
  <c r="R76" i="33" s="1"/>
  <c r="L72" i="33"/>
  <c r="R72" i="33" s="1"/>
  <c r="I81" i="33"/>
  <c r="Q99" i="33"/>
  <c r="I80" i="33"/>
  <c r="L80" i="33" s="1"/>
  <c r="R80" i="33" s="1"/>
  <c r="I99" i="33" l="1"/>
  <c r="R12" i="23" s="1"/>
  <c r="R16" i="23" s="1"/>
  <c r="L81" i="33"/>
  <c r="R81" i="33" s="1"/>
  <c r="I83" i="33"/>
  <c r="I79" i="33"/>
  <c r="L79" i="33" s="1"/>
  <c r="R79" i="33" s="1"/>
  <c r="I82" i="33" l="1"/>
  <c r="L83" i="33"/>
  <c r="R83" i="33" s="1"/>
  <c r="I101" i="33"/>
  <c r="L101" i="33" s="1"/>
  <c r="R101" i="33" s="1"/>
  <c r="L99" i="33"/>
  <c r="J9" i="24" s="1"/>
  <c r="R99" i="33" l="1"/>
  <c r="I100" i="33"/>
  <c r="S12" i="23" s="1"/>
  <c r="L82" i="33"/>
  <c r="R82" i="33" s="1"/>
  <c r="L100" i="33" l="1"/>
  <c r="J10" i="24" s="1"/>
  <c r="R100" i="33" l="1"/>
  <c r="AK13" i="32"/>
  <c r="AJ13" i="32"/>
  <c r="AI13" i="32"/>
  <c r="AH13" i="32"/>
  <c r="V14" i="23" s="1"/>
  <c r="S13" i="32"/>
  <c r="U14" i="23" s="1"/>
  <c r="AK12" i="32"/>
  <c r="AJ12" i="32"/>
  <c r="AI12" i="32"/>
  <c r="AH12" i="32"/>
  <c r="V8" i="23" s="1"/>
  <c r="S12" i="32"/>
  <c r="K12" i="24" l="1"/>
  <c r="U8" i="23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R14" i="32"/>
  <c r="Q14" i="32"/>
  <c r="P14" i="32"/>
  <c r="O14" i="32"/>
  <c r="N14" i="32"/>
  <c r="M14" i="32"/>
  <c r="E14" i="32"/>
  <c r="K11" i="24" s="1"/>
  <c r="S14" i="32"/>
  <c r="AK11" i="32"/>
  <c r="AK14" i="32" s="1"/>
  <c r="AJ11" i="32"/>
  <c r="AJ14" i="32" s="1"/>
  <c r="AI11" i="32"/>
  <c r="AI14" i="32" s="1"/>
  <c r="AH11" i="32"/>
  <c r="AG10" i="32"/>
  <c r="AG15" i="32" s="1"/>
  <c r="AF10" i="32"/>
  <c r="AE10" i="32"/>
  <c r="AD10" i="32"/>
  <c r="AD15" i="32" s="1"/>
  <c r="AC10" i="32"/>
  <c r="AB10" i="32"/>
  <c r="AA10" i="32"/>
  <c r="Z10" i="32"/>
  <c r="Y10" i="32"/>
  <c r="X10" i="32"/>
  <c r="W10" i="32"/>
  <c r="V10" i="32"/>
  <c r="U10" i="32"/>
  <c r="U15" i="32" s="1"/>
  <c r="T10" i="32"/>
  <c r="R10" i="32"/>
  <c r="R15" i="32" s="1"/>
  <c r="Q10" i="32"/>
  <c r="Q15" i="32" s="1"/>
  <c r="P10" i="32"/>
  <c r="P15" i="32" s="1"/>
  <c r="O10" i="32"/>
  <c r="O15" i="32" s="1"/>
  <c r="N10" i="32"/>
  <c r="M10" i="32"/>
  <c r="M15" i="32" s="1"/>
  <c r="E10" i="32"/>
  <c r="AK9" i="32"/>
  <c r="AJ9" i="32"/>
  <c r="AI9" i="32"/>
  <c r="AH9" i="32"/>
  <c r="S9" i="32"/>
  <c r="AK8" i="32"/>
  <c r="AJ8" i="32"/>
  <c r="AI8" i="32"/>
  <c r="W12" i="23" s="1"/>
  <c r="AM12" i="23" s="1"/>
  <c r="AH8" i="32"/>
  <c r="S8" i="32"/>
  <c r="AK7" i="32"/>
  <c r="AK10" i="32" s="1"/>
  <c r="AJ7" i="32"/>
  <c r="AI7" i="32"/>
  <c r="AH7" i="32"/>
  <c r="S7" i="32"/>
  <c r="U10" i="23" s="1"/>
  <c r="AK6" i="32"/>
  <c r="AJ6" i="32"/>
  <c r="AI6" i="32"/>
  <c r="AH6" i="32"/>
  <c r="S6" i="32"/>
  <c r="AA175" i="14"/>
  <c r="Z175" i="14"/>
  <c r="S175" i="14"/>
  <c r="AA173" i="14"/>
  <c r="Z173" i="14"/>
  <c r="S173" i="14"/>
  <c r="AA171" i="14"/>
  <c r="Z171" i="14"/>
  <c r="S171" i="14"/>
  <c r="AA170" i="14"/>
  <c r="Z170" i="14"/>
  <c r="S170" i="14"/>
  <c r="AA169" i="14"/>
  <c r="Z169" i="14"/>
  <c r="S169" i="14"/>
  <c r="AA167" i="14"/>
  <c r="Z167" i="14"/>
  <c r="S167" i="14"/>
  <c r="AE15" i="32" l="1"/>
  <c r="Z15" i="32"/>
  <c r="AC15" i="32"/>
  <c r="V12" i="23"/>
  <c r="K10" i="24"/>
  <c r="U12" i="23"/>
  <c r="K9" i="24"/>
  <c r="AH14" i="32"/>
  <c r="K13" i="24"/>
  <c r="V13" i="23"/>
  <c r="N15" i="32"/>
  <c r="L10" i="24"/>
  <c r="W7" i="23"/>
  <c r="S10" i="32"/>
  <c r="S15" i="32" s="1"/>
  <c r="L9" i="24"/>
  <c r="U7" i="23"/>
  <c r="AJ10" i="32"/>
  <c r="AJ15" i="32" s="1"/>
  <c r="AI10" i="32"/>
  <c r="AI15" i="32" s="1"/>
  <c r="W10" i="23"/>
  <c r="AM10" i="23" s="1"/>
  <c r="X15" i="32"/>
  <c r="AH10" i="32"/>
  <c r="AH15" i="32" s="1"/>
  <c r="E15" i="32"/>
  <c r="Y15" i="32"/>
  <c r="AF15" i="32"/>
  <c r="AB15" i="32"/>
  <c r="T15" i="32"/>
  <c r="V15" i="32"/>
  <c r="AA15" i="32"/>
  <c r="W15" i="32"/>
  <c r="AK15" i="32"/>
  <c r="AA164" i="14"/>
  <c r="Z164" i="14"/>
  <c r="S164" i="14"/>
  <c r="AA163" i="14"/>
  <c r="Z163" i="14"/>
  <c r="S163" i="14"/>
  <c r="AA162" i="14"/>
  <c r="Z162" i="14"/>
  <c r="S162" i="14"/>
  <c r="AA161" i="14"/>
  <c r="Z161" i="14"/>
  <c r="S161" i="14"/>
  <c r="AA160" i="14"/>
  <c r="Z160" i="14"/>
  <c r="S160" i="14"/>
  <c r="AA159" i="14"/>
  <c r="Z159" i="14"/>
  <c r="S159" i="14"/>
  <c r="AA158" i="14"/>
  <c r="Z158" i="14"/>
  <c r="S158" i="14"/>
  <c r="AA157" i="14"/>
  <c r="Z157" i="14"/>
  <c r="S157" i="14"/>
  <c r="AA156" i="14"/>
  <c r="Z156" i="14"/>
  <c r="S156" i="14"/>
  <c r="AA155" i="14"/>
  <c r="Z155" i="14"/>
  <c r="S155" i="14"/>
  <c r="AA154" i="14"/>
  <c r="Z154" i="14"/>
  <c r="S154" i="14"/>
  <c r="AA153" i="14"/>
  <c r="Z153" i="14"/>
  <c r="S153" i="14"/>
  <c r="AA152" i="14"/>
  <c r="Z152" i="14"/>
  <c r="S152" i="14"/>
  <c r="AA151" i="14"/>
  <c r="Z151" i="14"/>
  <c r="S151" i="14"/>
  <c r="AA150" i="14"/>
  <c r="Z150" i="14"/>
  <c r="S150" i="14"/>
  <c r="AA149" i="14"/>
  <c r="Z149" i="14"/>
  <c r="S149" i="14"/>
  <c r="AA148" i="14"/>
  <c r="Z148" i="14"/>
  <c r="S148" i="14"/>
  <c r="AA147" i="14"/>
  <c r="Z147" i="14"/>
  <c r="S147" i="14"/>
  <c r="AA146" i="14"/>
  <c r="Z146" i="14"/>
  <c r="S146" i="14"/>
  <c r="AA145" i="14"/>
  <c r="Z145" i="14"/>
  <c r="S145" i="14"/>
  <c r="AA144" i="14"/>
  <c r="Z144" i="14"/>
  <c r="S144" i="14"/>
  <c r="AA143" i="14"/>
  <c r="Z143" i="14"/>
  <c r="S143" i="14"/>
  <c r="AA142" i="14"/>
  <c r="Z142" i="14"/>
  <c r="S142" i="14"/>
  <c r="AA141" i="14"/>
  <c r="Z141" i="14"/>
  <c r="S141" i="14"/>
  <c r="AA140" i="14"/>
  <c r="Z140" i="14"/>
  <c r="S140" i="14"/>
  <c r="AA139" i="14"/>
  <c r="Z139" i="14"/>
  <c r="S139" i="14"/>
  <c r="AA138" i="14"/>
  <c r="Z138" i="14"/>
  <c r="S138" i="14"/>
  <c r="AA137" i="14"/>
  <c r="Z137" i="14"/>
  <c r="S137" i="14"/>
  <c r="AA136" i="14"/>
  <c r="Z136" i="14"/>
  <c r="S136" i="14"/>
  <c r="AM7" i="23" l="1"/>
  <c r="W28" i="23"/>
  <c r="AA133" i="14"/>
  <c r="Z133" i="14"/>
  <c r="S133" i="14"/>
  <c r="AA110" i="14"/>
  <c r="Z110" i="14"/>
  <c r="S110" i="14"/>
  <c r="Z109" i="14"/>
  <c r="AA109" i="14"/>
  <c r="E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AD109" i="14"/>
  <c r="AE109" i="14"/>
  <c r="AM28" i="23" l="1"/>
  <c r="W38" i="23"/>
  <c r="AE86" i="14"/>
  <c r="AE87" i="14" s="1"/>
  <c r="AD86" i="14"/>
  <c r="AD87" i="14" s="1"/>
  <c r="Y86" i="14"/>
  <c r="Y87" i="14" s="1"/>
  <c r="X86" i="14"/>
  <c r="X87" i="14" s="1"/>
  <c r="W86" i="14"/>
  <c r="W87" i="14" s="1"/>
  <c r="V86" i="14"/>
  <c r="V87" i="14" s="1"/>
  <c r="U86" i="14"/>
  <c r="U87" i="14" s="1"/>
  <c r="T86" i="14"/>
  <c r="T87" i="14" s="1"/>
  <c r="R86" i="14"/>
  <c r="R87" i="14" s="1"/>
  <c r="Q86" i="14"/>
  <c r="Q87" i="14" s="1"/>
  <c r="P86" i="14"/>
  <c r="P87" i="14" s="1"/>
  <c r="O86" i="14"/>
  <c r="O87" i="14" s="1"/>
  <c r="N86" i="14"/>
  <c r="N87" i="14" s="1"/>
  <c r="E86" i="14"/>
  <c r="F87" i="14" s="1"/>
  <c r="AA85" i="14"/>
  <c r="Z85" i="14"/>
  <c r="S85" i="14"/>
  <c r="AA84" i="14"/>
  <c r="Z84" i="14"/>
  <c r="S84" i="14"/>
  <c r="AA83" i="14"/>
  <c r="Z83" i="14"/>
  <c r="S83" i="14"/>
  <c r="AA82" i="14"/>
  <c r="Z82" i="14"/>
  <c r="S82" i="14"/>
  <c r="AA81" i="14"/>
  <c r="Z81" i="14"/>
  <c r="S81" i="14"/>
  <c r="AA80" i="14"/>
  <c r="Z80" i="14"/>
  <c r="S80" i="14"/>
  <c r="AA79" i="14"/>
  <c r="Z79" i="14"/>
  <c r="S79" i="14"/>
  <c r="AA78" i="14"/>
  <c r="Z78" i="14"/>
  <c r="S78" i="14"/>
  <c r="AA77" i="14"/>
  <c r="Z77" i="14"/>
  <c r="S77" i="14"/>
  <c r="AA76" i="14"/>
  <c r="Z76" i="14"/>
  <c r="S76" i="14"/>
  <c r="AA75" i="14"/>
  <c r="Z75" i="14"/>
  <c r="S75" i="14"/>
  <c r="AA74" i="14"/>
  <c r="Z74" i="14"/>
  <c r="S74" i="14"/>
  <c r="AA73" i="14"/>
  <c r="Z73" i="14"/>
  <c r="S73" i="14"/>
  <c r="AA72" i="14"/>
  <c r="Z72" i="14"/>
  <c r="S72" i="14"/>
  <c r="AA71" i="14"/>
  <c r="Z71" i="14"/>
  <c r="S71" i="14"/>
  <c r="AE69" i="14"/>
  <c r="AE70" i="14" s="1"/>
  <c r="AD69" i="14"/>
  <c r="AD70" i="14" s="1"/>
  <c r="Y69" i="14"/>
  <c r="Y70" i="14" s="1"/>
  <c r="X69" i="14"/>
  <c r="X70" i="14" s="1"/>
  <c r="W69" i="14"/>
  <c r="W70" i="14" s="1"/>
  <c r="V69" i="14"/>
  <c r="V70" i="14" s="1"/>
  <c r="U69" i="14"/>
  <c r="U70" i="14" s="1"/>
  <c r="T69" i="14"/>
  <c r="T70" i="14" s="1"/>
  <c r="R69" i="14"/>
  <c r="R70" i="14" s="1"/>
  <c r="Q69" i="14"/>
  <c r="Q70" i="14" s="1"/>
  <c r="P69" i="14"/>
  <c r="P70" i="14" s="1"/>
  <c r="O69" i="14"/>
  <c r="O70" i="14" s="1"/>
  <c r="N69" i="14"/>
  <c r="N70" i="14" s="1"/>
  <c r="E69" i="14"/>
  <c r="F70" i="14" s="1"/>
  <c r="AA68" i="14"/>
  <c r="Z68" i="14"/>
  <c r="S68" i="14"/>
  <c r="AA67" i="14"/>
  <c r="Z67" i="14"/>
  <c r="S67" i="14"/>
  <c r="AA66" i="14"/>
  <c r="Z66" i="14"/>
  <c r="S66" i="14"/>
  <c r="AA65" i="14"/>
  <c r="Z65" i="14"/>
  <c r="S65" i="14"/>
  <c r="AA64" i="14"/>
  <c r="Z64" i="14"/>
  <c r="S64" i="14"/>
  <c r="AA63" i="14"/>
  <c r="Z63" i="14"/>
  <c r="S63" i="14"/>
  <c r="AA62" i="14"/>
  <c r="Z62" i="14"/>
  <c r="S62" i="14"/>
  <c r="AA61" i="14"/>
  <c r="Z61" i="14"/>
  <c r="S61" i="14"/>
  <c r="AA60" i="14"/>
  <c r="Z60" i="14"/>
  <c r="S60" i="14"/>
  <c r="AA59" i="14"/>
  <c r="Z59" i="14"/>
  <c r="S59" i="14"/>
  <c r="AA58" i="14"/>
  <c r="Z58" i="14"/>
  <c r="S58" i="14"/>
  <c r="AA57" i="14"/>
  <c r="Z57" i="14"/>
  <c r="S57" i="14"/>
  <c r="AA56" i="14"/>
  <c r="Z56" i="14"/>
  <c r="S56" i="14"/>
  <c r="AA55" i="14"/>
  <c r="Z55" i="14"/>
  <c r="S55" i="14"/>
  <c r="AA54" i="14"/>
  <c r="Z54" i="14"/>
  <c r="S54" i="14"/>
  <c r="AA53" i="14"/>
  <c r="Z53" i="14"/>
  <c r="S53" i="14"/>
  <c r="AA52" i="14"/>
  <c r="Z52" i="14"/>
  <c r="S52" i="14"/>
  <c r="AA51" i="14"/>
  <c r="Z51" i="14"/>
  <c r="S51" i="14"/>
  <c r="AA50" i="14"/>
  <c r="Z50" i="14"/>
  <c r="S50" i="14"/>
  <c r="AA49" i="14"/>
  <c r="Z49" i="14"/>
  <c r="S49" i="14"/>
  <c r="AA48" i="14"/>
  <c r="Z48" i="14"/>
  <c r="S48" i="14"/>
  <c r="Z69" i="14" l="1"/>
  <c r="Z70" i="14" s="1"/>
  <c r="S69" i="14"/>
  <c r="S70" i="14" s="1"/>
  <c r="S86" i="14"/>
  <c r="S87" i="14" s="1"/>
  <c r="Z86" i="14"/>
  <c r="Z87" i="14" s="1"/>
  <c r="AA86" i="14"/>
  <c r="AA87" i="14" s="1"/>
  <c r="AA69" i="14"/>
  <c r="AA70" i="14" s="1"/>
  <c r="AE46" i="14" l="1"/>
  <c r="AD46" i="14"/>
  <c r="Y46" i="14"/>
  <c r="X46" i="14"/>
  <c r="W46" i="14"/>
  <c r="V46" i="14"/>
  <c r="U46" i="14"/>
  <c r="T46" i="14"/>
  <c r="R46" i="14"/>
  <c r="Q46" i="14"/>
  <c r="P46" i="14"/>
  <c r="O46" i="14"/>
  <c r="N46" i="14"/>
  <c r="E46" i="14"/>
  <c r="AA45" i="14"/>
  <c r="Z45" i="14"/>
  <c r="S45" i="14"/>
  <c r="AA44" i="14"/>
  <c r="Z44" i="14"/>
  <c r="S44" i="14"/>
  <c r="AA43" i="14"/>
  <c r="Z43" i="14"/>
  <c r="S43" i="14"/>
  <c r="AE42" i="14"/>
  <c r="AE47" i="14" s="1"/>
  <c r="AD42" i="14"/>
  <c r="Y42" i="14"/>
  <c r="X42" i="14"/>
  <c r="W42" i="14"/>
  <c r="V42" i="14"/>
  <c r="U42" i="14"/>
  <c r="T42" i="14"/>
  <c r="R42" i="14"/>
  <c r="Q42" i="14"/>
  <c r="P42" i="14"/>
  <c r="O42" i="14"/>
  <c r="N42" i="14"/>
  <c r="N47" i="14" s="1"/>
  <c r="E42" i="14"/>
  <c r="AA41" i="14"/>
  <c r="Z41" i="14"/>
  <c r="S41" i="14"/>
  <c r="AA40" i="14"/>
  <c r="Z40" i="14"/>
  <c r="S40" i="14"/>
  <c r="AA39" i="14"/>
  <c r="Z39" i="14"/>
  <c r="S39" i="14"/>
  <c r="AA38" i="14"/>
  <c r="Z38" i="14"/>
  <c r="S38" i="14"/>
  <c r="AA37" i="14"/>
  <c r="Z37" i="14"/>
  <c r="S37" i="14"/>
  <c r="AA36" i="14"/>
  <c r="Z36" i="14"/>
  <c r="S36" i="14"/>
  <c r="AA35" i="14"/>
  <c r="Z35" i="14"/>
  <c r="S35" i="14"/>
  <c r="AA34" i="14"/>
  <c r="Z34" i="14"/>
  <c r="S34" i="14"/>
  <c r="AE32" i="14"/>
  <c r="AE33" i="14" s="1"/>
  <c r="AD32" i="14"/>
  <c r="AD33" i="14" s="1"/>
  <c r="Y32" i="14"/>
  <c r="Y33" i="14" s="1"/>
  <c r="X32" i="14"/>
  <c r="X33" i="14" s="1"/>
  <c r="W32" i="14"/>
  <c r="W33" i="14" s="1"/>
  <c r="V32" i="14"/>
  <c r="V33" i="14" s="1"/>
  <c r="U32" i="14"/>
  <c r="U33" i="14" s="1"/>
  <c r="T32" i="14"/>
  <c r="T33" i="14" s="1"/>
  <c r="R32" i="14"/>
  <c r="R33" i="14" s="1"/>
  <c r="Q32" i="14"/>
  <c r="Q33" i="14" s="1"/>
  <c r="P32" i="14"/>
  <c r="P33" i="14" s="1"/>
  <c r="O32" i="14"/>
  <c r="O33" i="14" s="1"/>
  <c r="N32" i="14"/>
  <c r="N33" i="14" s="1"/>
  <c r="E32" i="14"/>
  <c r="F33" i="14" s="1"/>
  <c r="AA31" i="14"/>
  <c r="Z31" i="14"/>
  <c r="S31" i="14"/>
  <c r="AA30" i="14"/>
  <c r="Z30" i="14"/>
  <c r="S30" i="14"/>
  <c r="AA29" i="14"/>
  <c r="Z29" i="14"/>
  <c r="S29" i="14"/>
  <c r="AA28" i="14"/>
  <c r="Z28" i="14"/>
  <c r="S28" i="14"/>
  <c r="AA27" i="14"/>
  <c r="Z27" i="14"/>
  <c r="S27" i="14"/>
  <c r="AE25" i="14"/>
  <c r="AD25" i="14"/>
  <c r="Y25" i="14"/>
  <c r="X25" i="14"/>
  <c r="W25" i="14"/>
  <c r="V25" i="14"/>
  <c r="U25" i="14"/>
  <c r="T25" i="14"/>
  <c r="R25" i="14"/>
  <c r="Q25" i="14"/>
  <c r="P25" i="14"/>
  <c r="O25" i="14"/>
  <c r="N25" i="14"/>
  <c r="E25" i="14"/>
  <c r="AA24" i="14"/>
  <c r="Z24" i="14"/>
  <c r="S24" i="14"/>
  <c r="AA23" i="14"/>
  <c r="Z23" i="14"/>
  <c r="S23" i="14"/>
  <c r="AE22" i="14"/>
  <c r="AD22" i="14"/>
  <c r="Y22" i="14"/>
  <c r="X22" i="14"/>
  <c r="W22" i="14"/>
  <c r="V22" i="14"/>
  <c r="U22" i="14"/>
  <c r="T22" i="14"/>
  <c r="R22" i="14"/>
  <c r="Q22" i="14"/>
  <c r="P22" i="14"/>
  <c r="O22" i="14"/>
  <c r="N22" i="14"/>
  <c r="E22" i="14"/>
  <c r="AA21" i="14"/>
  <c r="AA22" i="14" s="1"/>
  <c r="Z21" i="14"/>
  <c r="Z22" i="14" s="1"/>
  <c r="S21" i="14"/>
  <c r="AE19" i="14"/>
  <c r="AD19" i="14"/>
  <c r="Y19" i="14"/>
  <c r="X19" i="14"/>
  <c r="W19" i="14"/>
  <c r="V19" i="14"/>
  <c r="U19" i="14"/>
  <c r="T19" i="14"/>
  <c r="R19" i="14"/>
  <c r="Q19" i="14"/>
  <c r="P19" i="14"/>
  <c r="O19" i="14"/>
  <c r="N19" i="14"/>
  <c r="E19" i="14"/>
  <c r="AA18" i="14"/>
  <c r="AA19" i="14" s="1"/>
  <c r="Z18" i="14"/>
  <c r="Z19" i="14" s="1"/>
  <c r="S18" i="14"/>
  <c r="AE17" i="14"/>
  <c r="AD17" i="14"/>
  <c r="Y17" i="14"/>
  <c r="X17" i="14"/>
  <c r="W17" i="14"/>
  <c r="V17" i="14"/>
  <c r="U17" i="14"/>
  <c r="T17" i="14"/>
  <c r="R17" i="14"/>
  <c r="Q17" i="14"/>
  <c r="P17" i="14"/>
  <c r="O17" i="14"/>
  <c r="N17" i="14"/>
  <c r="E17" i="14"/>
  <c r="AA16" i="14"/>
  <c r="Z16" i="14"/>
  <c r="S16" i="14"/>
  <c r="AA15" i="14"/>
  <c r="Z15" i="14"/>
  <c r="S15" i="14"/>
  <c r="AA14" i="14"/>
  <c r="Z14" i="14"/>
  <c r="S14" i="14"/>
  <c r="AA13" i="14"/>
  <c r="Z13" i="14"/>
  <c r="S13" i="14"/>
  <c r="AA12" i="14"/>
  <c r="Z12" i="14"/>
  <c r="S12" i="14"/>
  <c r="AA10" i="14"/>
  <c r="Z10" i="14"/>
  <c r="S10" i="14"/>
  <c r="AA9" i="14"/>
  <c r="Z9" i="14"/>
  <c r="S9" i="14"/>
  <c r="AA8" i="14"/>
  <c r="Z8" i="14"/>
  <c r="S8" i="14"/>
  <c r="AA7" i="14"/>
  <c r="Z7" i="14"/>
  <c r="S7" i="14"/>
  <c r="AA6" i="14"/>
  <c r="Z6" i="14"/>
  <c r="S6" i="14"/>
  <c r="S19" i="14" l="1"/>
  <c r="S22" i="14"/>
  <c r="V47" i="14"/>
  <c r="F47" i="14"/>
  <c r="P47" i="14"/>
  <c r="O47" i="14"/>
  <c r="W47" i="14"/>
  <c r="X47" i="14"/>
  <c r="AD47" i="14"/>
  <c r="AA25" i="14"/>
  <c r="AA26" i="14" s="1"/>
  <c r="Z25" i="14"/>
  <c r="Z26" i="14" s="1"/>
  <c r="F26" i="14"/>
  <c r="O26" i="14"/>
  <c r="AE26" i="14"/>
  <c r="W26" i="14"/>
  <c r="S25" i="14"/>
  <c r="S26" i="14" s="1"/>
  <c r="N26" i="14"/>
  <c r="R26" i="14"/>
  <c r="U47" i="14"/>
  <c r="Y26" i="14"/>
  <c r="N20" i="14"/>
  <c r="Q26" i="14"/>
  <c r="O20" i="14"/>
  <c r="T26" i="14"/>
  <c r="R47" i="14"/>
  <c r="T47" i="14"/>
  <c r="AA46" i="14"/>
  <c r="S32" i="14"/>
  <c r="S33" i="14" s="1"/>
  <c r="W20" i="14"/>
  <c r="X20" i="14"/>
  <c r="Y20" i="14"/>
  <c r="Z32" i="14"/>
  <c r="Z33" i="14" s="1"/>
  <c r="F20" i="14"/>
  <c r="V26" i="14"/>
  <c r="U26" i="14"/>
  <c r="P20" i="14"/>
  <c r="X26" i="14"/>
  <c r="Q47" i="14"/>
  <c r="AA32" i="14"/>
  <c r="AA33" i="14" s="1"/>
  <c r="Y47" i="14"/>
  <c r="P26" i="14"/>
  <c r="Z42" i="14"/>
  <c r="AA42" i="14"/>
  <c r="Q20" i="14"/>
  <c r="R20" i="14"/>
  <c r="AD26" i="14"/>
  <c r="AE20" i="14"/>
  <c r="S17" i="14"/>
  <c r="S20" i="14" s="1"/>
  <c r="T20" i="14"/>
  <c r="S46" i="14"/>
  <c r="AD20" i="14"/>
  <c r="Z17" i="14"/>
  <c r="Z20" i="14" s="1"/>
  <c r="U20" i="14"/>
  <c r="Z46" i="14"/>
  <c r="AA17" i="14"/>
  <c r="AA20" i="14" s="1"/>
  <c r="V20" i="14"/>
  <c r="S42" i="14"/>
  <c r="S47" i="14" l="1"/>
  <c r="AA47" i="14"/>
  <c r="Z47" i="14"/>
  <c r="AI282" i="7"/>
  <c r="AH282" i="7"/>
  <c r="U282" i="7"/>
  <c r="U281" i="7"/>
  <c r="AI280" i="7"/>
  <c r="AH280" i="7"/>
  <c r="U280" i="7"/>
  <c r="AI279" i="7"/>
  <c r="AH279" i="7"/>
  <c r="U279" i="7"/>
  <c r="AI278" i="7"/>
  <c r="AH278" i="7"/>
  <c r="U278" i="7"/>
  <c r="AI277" i="7"/>
  <c r="AH277" i="7"/>
  <c r="U277" i="7"/>
  <c r="AI276" i="7"/>
  <c r="AH276" i="7"/>
  <c r="U276" i="7"/>
  <c r="AI275" i="7"/>
  <c r="AH275" i="7"/>
  <c r="U275" i="7"/>
  <c r="AI274" i="7"/>
  <c r="AH274" i="7"/>
  <c r="U274" i="7"/>
  <c r="AI273" i="7"/>
  <c r="AH273" i="7"/>
  <c r="U273" i="7"/>
  <c r="AI272" i="7"/>
  <c r="AH272" i="7"/>
  <c r="U272" i="7"/>
  <c r="AI271" i="7"/>
  <c r="AH271" i="7"/>
  <c r="U271" i="7"/>
  <c r="AI270" i="7"/>
  <c r="AH270" i="7"/>
  <c r="U270" i="7"/>
  <c r="AI269" i="7"/>
  <c r="AH269" i="7"/>
  <c r="U269" i="7"/>
  <c r="AI267" i="7"/>
  <c r="AH267" i="7"/>
  <c r="U267" i="7"/>
  <c r="AI266" i="7"/>
  <c r="AH266" i="7"/>
  <c r="U266" i="7"/>
  <c r="AI265" i="7"/>
  <c r="AH265" i="7"/>
  <c r="U265" i="7"/>
  <c r="AL264" i="7"/>
  <c r="AL283" i="7" s="1"/>
  <c r="AL284" i="7" s="1"/>
  <c r="AI264" i="7"/>
  <c r="AH264" i="7"/>
  <c r="U264" i="7"/>
  <c r="AI263" i="7"/>
  <c r="AH263" i="7"/>
  <c r="U263" i="7"/>
  <c r="AI262" i="7"/>
  <c r="AH262" i="7"/>
  <c r="U262" i="7"/>
  <c r="AI260" i="7"/>
  <c r="AH260" i="7"/>
  <c r="U260" i="7"/>
  <c r="AI259" i="7"/>
  <c r="AH259" i="7"/>
  <c r="U259" i="7"/>
  <c r="AI258" i="7"/>
  <c r="AH258" i="7"/>
  <c r="AI257" i="7"/>
  <c r="AH257" i="7"/>
  <c r="U257" i="7"/>
  <c r="AI256" i="7"/>
  <c r="AH256" i="7"/>
  <c r="U256" i="7"/>
  <c r="AI255" i="7"/>
  <c r="AH255" i="7"/>
  <c r="U255" i="7"/>
  <c r="AI254" i="7"/>
  <c r="AH254" i="7"/>
  <c r="U254" i="7"/>
  <c r="AI253" i="7"/>
  <c r="AH253" i="7"/>
  <c r="U253" i="7"/>
  <c r="AI252" i="7"/>
  <c r="AH252" i="7"/>
  <c r="U252" i="7"/>
  <c r="AI251" i="7"/>
  <c r="AH251" i="7"/>
  <c r="U251" i="7"/>
  <c r="AI250" i="7"/>
  <c r="AH250" i="7"/>
  <c r="U250" i="7"/>
  <c r="AI249" i="7"/>
  <c r="AH249" i="7"/>
  <c r="U249" i="7"/>
  <c r="AI248" i="7"/>
  <c r="AH248" i="7"/>
  <c r="U248" i="7"/>
  <c r="AI247" i="7"/>
  <c r="AH247" i="7"/>
  <c r="U247" i="7"/>
  <c r="AI246" i="7"/>
  <c r="AH246" i="7"/>
  <c r="U246" i="7"/>
  <c r="AI245" i="7"/>
  <c r="AH245" i="7"/>
  <c r="U245" i="7"/>
  <c r="AI244" i="7"/>
  <c r="AH244" i="7"/>
  <c r="U244" i="7"/>
  <c r="AI243" i="7"/>
  <c r="AH243" i="7"/>
  <c r="U243" i="7"/>
  <c r="AI242" i="7"/>
  <c r="AH242" i="7"/>
  <c r="U242" i="7"/>
  <c r="AI241" i="7"/>
  <c r="AH241" i="7"/>
  <c r="U241" i="7"/>
  <c r="AI240" i="7"/>
  <c r="AH240" i="7"/>
  <c r="U240" i="7"/>
  <c r="AI239" i="7"/>
  <c r="AH239" i="7"/>
  <c r="U239" i="7"/>
  <c r="AI238" i="7"/>
  <c r="AH238" i="7"/>
  <c r="U238" i="7"/>
  <c r="AI237" i="7"/>
  <c r="AH237" i="7"/>
  <c r="U237" i="7"/>
  <c r="AI261" i="7"/>
  <c r="AH261" i="7"/>
  <c r="AI236" i="7"/>
  <c r="AH236" i="7"/>
  <c r="U236" i="7"/>
  <c r="AI235" i="7"/>
  <c r="U235" i="7"/>
  <c r="AI234" i="7"/>
  <c r="AH234" i="7"/>
  <c r="U234" i="7"/>
  <c r="AI233" i="7"/>
  <c r="AH233" i="7"/>
  <c r="U233" i="7"/>
  <c r="AI232" i="7"/>
  <c r="AH232" i="7"/>
  <c r="U232" i="7"/>
  <c r="AI231" i="7"/>
  <c r="AH231" i="7"/>
  <c r="U231" i="7"/>
  <c r="AI230" i="7"/>
  <c r="AH230" i="7"/>
  <c r="U230" i="7"/>
  <c r="AI229" i="7"/>
  <c r="AH229" i="7"/>
  <c r="U229" i="7"/>
  <c r="D283" i="7"/>
  <c r="E284" i="7" s="1"/>
  <c r="M283" i="7"/>
  <c r="M284" i="7" s="1"/>
  <c r="N283" i="7"/>
  <c r="N284" i="7" s="1"/>
  <c r="O283" i="7"/>
  <c r="O284" i="7" s="1"/>
  <c r="P283" i="7"/>
  <c r="P284" i="7" s="1"/>
  <c r="Q283" i="7"/>
  <c r="Q284" i="7" s="1"/>
  <c r="R283" i="7"/>
  <c r="R284" i="7" s="1"/>
  <c r="S283" i="7"/>
  <c r="S284" i="7" s="1"/>
  <c r="T283" i="7"/>
  <c r="T284" i="7" s="1"/>
  <c r="V283" i="7"/>
  <c r="V284" i="7" s="1"/>
  <c r="W283" i="7"/>
  <c r="W284" i="7" s="1"/>
  <c r="X283" i="7"/>
  <c r="X284" i="7" s="1"/>
  <c r="Y283" i="7"/>
  <c r="Y284" i="7" s="1"/>
  <c r="Z283" i="7"/>
  <c r="Z284" i="7" s="1"/>
  <c r="AA283" i="7"/>
  <c r="AA284" i="7" s="1"/>
  <c r="AB283" i="7"/>
  <c r="AB284" i="7" s="1"/>
  <c r="AC283" i="7"/>
  <c r="AC284" i="7" s="1"/>
  <c r="AD283" i="7"/>
  <c r="AD284" i="7" s="1"/>
  <c r="AE283" i="7"/>
  <c r="AE284" i="7" s="1"/>
  <c r="AF283" i="7"/>
  <c r="AF284" i="7" s="1"/>
  <c r="AG283" i="7"/>
  <c r="AG284" i="7" s="1"/>
  <c r="AM283" i="7"/>
  <c r="AM284" i="7" s="1"/>
  <c r="U283" i="7" l="1"/>
  <c r="U284" i="7" s="1"/>
  <c r="AI283" i="7"/>
  <c r="AI284" i="7" s="1"/>
  <c r="AH283" i="7"/>
  <c r="AH284" i="7" s="1"/>
  <c r="AM227" i="7" l="1"/>
  <c r="AL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T227" i="7"/>
  <c r="S227" i="7"/>
  <c r="R227" i="7"/>
  <c r="Q227" i="7"/>
  <c r="P227" i="7"/>
  <c r="O227" i="7"/>
  <c r="N227" i="7"/>
  <c r="M227" i="7"/>
  <c r="D227" i="7"/>
  <c r="AI226" i="7"/>
  <c r="AI227" i="7" s="1"/>
  <c r="AH226" i="7"/>
  <c r="AH227" i="7" s="1"/>
  <c r="U226" i="7"/>
  <c r="AM225" i="7"/>
  <c r="AL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T225" i="7"/>
  <c r="S225" i="7"/>
  <c r="R225" i="7"/>
  <c r="Q225" i="7"/>
  <c r="P225" i="7"/>
  <c r="O225" i="7"/>
  <c r="N225" i="7"/>
  <c r="M225" i="7"/>
  <c r="D225" i="7"/>
  <c r="U224" i="7"/>
  <c r="AI223" i="7"/>
  <c r="AH223" i="7"/>
  <c r="U223" i="7"/>
  <c r="AI222" i="7"/>
  <c r="AH222" i="7"/>
  <c r="U222" i="7"/>
  <c r="AI221" i="7"/>
  <c r="AH221" i="7"/>
  <c r="U221" i="7"/>
  <c r="AI220" i="7"/>
  <c r="AH220" i="7"/>
  <c r="U220" i="7"/>
  <c r="AI219" i="7"/>
  <c r="AH219" i="7"/>
  <c r="U219" i="7"/>
  <c r="AI218" i="7"/>
  <c r="AH218" i="7"/>
  <c r="U218" i="7"/>
  <c r="AI217" i="7"/>
  <c r="AH217" i="7"/>
  <c r="U217" i="7"/>
  <c r="AI216" i="7"/>
  <c r="AH216" i="7"/>
  <c r="U216" i="7"/>
  <c r="AI215" i="7"/>
  <c r="AH215" i="7"/>
  <c r="U215" i="7"/>
  <c r="AI214" i="7"/>
  <c r="AH214" i="7"/>
  <c r="U214" i="7"/>
  <c r="AI213" i="7"/>
  <c r="AH213" i="7"/>
  <c r="U213" i="7"/>
  <c r="AI212" i="7"/>
  <c r="AH212" i="7"/>
  <c r="U212" i="7"/>
  <c r="AI211" i="7"/>
  <c r="AH211" i="7"/>
  <c r="U211" i="7"/>
  <c r="AI210" i="7"/>
  <c r="AH210" i="7"/>
  <c r="U210" i="7"/>
  <c r="AI209" i="7"/>
  <c r="AH209" i="7"/>
  <c r="U209" i="7"/>
  <c r="AI208" i="7"/>
  <c r="AH208" i="7"/>
  <c r="U208" i="7"/>
  <c r="U207" i="7"/>
  <c r="AI206" i="7"/>
  <c r="AH206" i="7"/>
  <c r="U206" i="7"/>
  <c r="AI205" i="7"/>
  <c r="AH205" i="7"/>
  <c r="U205" i="7"/>
  <c r="AI204" i="7"/>
  <c r="AH204" i="7"/>
  <c r="U204" i="7"/>
  <c r="AI203" i="7"/>
  <c r="AH203" i="7"/>
  <c r="U203" i="7"/>
  <c r="AI202" i="7"/>
  <c r="AH202" i="7"/>
  <c r="U202" i="7"/>
  <c r="AI201" i="7"/>
  <c r="AH201" i="7"/>
  <c r="U201" i="7"/>
  <c r="AI200" i="7"/>
  <c r="AH200" i="7"/>
  <c r="U200" i="7"/>
  <c r="AI199" i="7"/>
  <c r="AH199" i="7"/>
  <c r="U199" i="7"/>
  <c r="AI198" i="7"/>
  <c r="AH198" i="7"/>
  <c r="U198" i="7"/>
  <c r="AI197" i="7"/>
  <c r="AH197" i="7"/>
  <c r="U197" i="7"/>
  <c r="AI196" i="7"/>
  <c r="AH196" i="7"/>
  <c r="U196" i="7"/>
  <c r="AI195" i="7"/>
  <c r="AH195" i="7"/>
  <c r="U195" i="7"/>
  <c r="AI194" i="7"/>
  <c r="AH194" i="7"/>
  <c r="U194" i="7"/>
  <c r="AI193" i="7"/>
  <c r="AH193" i="7"/>
  <c r="U193" i="7"/>
  <c r="AI192" i="7"/>
  <c r="AH192" i="7"/>
  <c r="U192" i="7"/>
  <c r="AM190" i="7"/>
  <c r="AM191" i="7" s="1"/>
  <c r="AL190" i="7"/>
  <c r="AL191" i="7" s="1"/>
  <c r="AG190" i="7"/>
  <c r="AG191" i="7" s="1"/>
  <c r="AF190" i="7"/>
  <c r="AF191" i="7" s="1"/>
  <c r="AE190" i="7"/>
  <c r="AE191" i="7" s="1"/>
  <c r="AD190" i="7"/>
  <c r="AD191" i="7" s="1"/>
  <c r="AC190" i="7"/>
  <c r="AC191" i="7" s="1"/>
  <c r="AB190" i="7"/>
  <c r="AB191" i="7" s="1"/>
  <c r="AA190" i="7"/>
  <c r="AA191" i="7" s="1"/>
  <c r="Z190" i="7"/>
  <c r="Z191" i="7" s="1"/>
  <c r="Y191" i="7"/>
  <c r="X190" i="7"/>
  <c r="X191" i="7" s="1"/>
  <c r="W190" i="7"/>
  <c r="W191" i="7" s="1"/>
  <c r="V190" i="7"/>
  <c r="V191" i="7" s="1"/>
  <c r="T191" i="7"/>
  <c r="S191" i="7"/>
  <c r="R191" i="7"/>
  <c r="Q191" i="7"/>
  <c r="P191" i="7"/>
  <c r="O191" i="7"/>
  <c r="N191" i="7"/>
  <c r="M190" i="7"/>
  <c r="M191" i="7" s="1"/>
  <c r="D190" i="7"/>
  <c r="E191" i="7" s="1"/>
  <c r="AI189" i="7"/>
  <c r="AH189" i="7"/>
  <c r="U189" i="7"/>
  <c r="AI188" i="7"/>
  <c r="AH188" i="7"/>
  <c r="U188" i="7"/>
  <c r="AI187" i="7"/>
  <c r="AH187" i="7"/>
  <c r="U187" i="7"/>
  <c r="AI186" i="7"/>
  <c r="AH186" i="7"/>
  <c r="U186" i="7"/>
  <c r="AI185" i="7"/>
  <c r="AH185" i="7"/>
  <c r="U185" i="7"/>
  <c r="AI184" i="7"/>
  <c r="AH184" i="7"/>
  <c r="U184" i="7"/>
  <c r="AI183" i="7"/>
  <c r="AH183" i="7"/>
  <c r="U183" i="7"/>
  <c r="AI182" i="7"/>
  <c r="AH182" i="7"/>
  <c r="U182" i="7"/>
  <c r="AI181" i="7"/>
  <c r="AH181" i="7"/>
  <c r="U181" i="7"/>
  <c r="AI180" i="7"/>
  <c r="AH180" i="7"/>
  <c r="U180" i="7"/>
  <c r="AI179" i="7"/>
  <c r="AH179" i="7"/>
  <c r="U179" i="7"/>
  <c r="AI178" i="7"/>
  <c r="AH178" i="7"/>
  <c r="U178" i="7"/>
  <c r="AI177" i="7"/>
  <c r="AH177" i="7"/>
  <c r="U177" i="7"/>
  <c r="AI176" i="7"/>
  <c r="AH176" i="7"/>
  <c r="U176" i="7"/>
  <c r="AI175" i="7"/>
  <c r="AH175" i="7"/>
  <c r="U175" i="7"/>
  <c r="AI174" i="7"/>
  <c r="AH174" i="7"/>
  <c r="U174" i="7"/>
  <c r="AI173" i="7"/>
  <c r="AH173" i="7"/>
  <c r="U173" i="7"/>
  <c r="AI172" i="7"/>
  <c r="AH172" i="7"/>
  <c r="U172" i="7"/>
  <c r="AI171" i="7"/>
  <c r="AH171" i="7"/>
  <c r="U171" i="7"/>
  <c r="AI170" i="7"/>
  <c r="AH170" i="7"/>
  <c r="U170" i="7"/>
  <c r="AI169" i="7"/>
  <c r="AH169" i="7"/>
  <c r="U169" i="7"/>
  <c r="AI168" i="7"/>
  <c r="AH168" i="7"/>
  <c r="U168" i="7"/>
  <c r="AI167" i="7"/>
  <c r="AH167" i="7"/>
  <c r="U167" i="7"/>
  <c r="AI166" i="7"/>
  <c r="AH166" i="7"/>
  <c r="U166" i="7"/>
  <c r="AI165" i="7"/>
  <c r="AH165" i="7"/>
  <c r="U165" i="7"/>
  <c r="AI164" i="7"/>
  <c r="AH164" i="7"/>
  <c r="U164" i="7"/>
  <c r="AI163" i="7"/>
  <c r="AH163" i="7"/>
  <c r="U163" i="7"/>
  <c r="AI162" i="7"/>
  <c r="AH162" i="7"/>
  <c r="U162" i="7"/>
  <c r="AI161" i="7"/>
  <c r="AH161" i="7"/>
  <c r="U161" i="7"/>
  <c r="AI160" i="7"/>
  <c r="AH160" i="7"/>
  <c r="U160" i="7"/>
  <c r="AI159" i="7"/>
  <c r="AH159" i="7"/>
  <c r="U159" i="7"/>
  <c r="AI158" i="7"/>
  <c r="AH158" i="7"/>
  <c r="U158" i="7"/>
  <c r="AI157" i="7"/>
  <c r="AH157" i="7"/>
  <c r="U157" i="7"/>
  <c r="AI156" i="7"/>
  <c r="AH156" i="7"/>
  <c r="U156" i="7"/>
  <c r="AI155" i="7"/>
  <c r="AH155" i="7"/>
  <c r="U155" i="7"/>
  <c r="AI154" i="7"/>
  <c r="AH154" i="7"/>
  <c r="U154" i="7"/>
  <c r="AI153" i="7"/>
  <c r="AH153" i="7"/>
  <c r="U153" i="7"/>
  <c r="AI152" i="7"/>
  <c r="AH152" i="7"/>
  <c r="U152" i="7"/>
  <c r="AI151" i="7"/>
  <c r="AH151" i="7"/>
  <c r="U151" i="7"/>
  <c r="U227" i="7" l="1"/>
  <c r="AH190" i="7"/>
  <c r="AH191" i="7" s="1"/>
  <c r="U225" i="7"/>
  <c r="AI225" i="7"/>
  <c r="AI190" i="7"/>
  <c r="AI191" i="7" s="1"/>
  <c r="AH225" i="7"/>
  <c r="U190" i="7"/>
  <c r="U191" i="7" s="1"/>
  <c r="AI121" i="7"/>
  <c r="AH121" i="7"/>
  <c r="U121" i="7"/>
  <c r="AI148" i="7"/>
  <c r="AH148" i="7"/>
  <c r="U148" i="7"/>
  <c r="AI147" i="7"/>
  <c r="AH147" i="7"/>
  <c r="U147" i="7"/>
  <c r="AI146" i="7"/>
  <c r="AH146" i="7"/>
  <c r="U146" i="7"/>
  <c r="AI145" i="7"/>
  <c r="AH145" i="7"/>
  <c r="U145" i="7"/>
  <c r="AI144" i="7"/>
  <c r="AH144" i="7"/>
  <c r="U144" i="7"/>
  <c r="AI143" i="7"/>
  <c r="AH143" i="7"/>
  <c r="U143" i="7"/>
  <c r="AI142" i="7"/>
  <c r="AH142" i="7"/>
  <c r="U142" i="7"/>
  <c r="AI141" i="7"/>
  <c r="AH141" i="7"/>
  <c r="U141" i="7"/>
  <c r="AI140" i="7"/>
  <c r="AH140" i="7"/>
  <c r="U140" i="7"/>
  <c r="AI139" i="7"/>
  <c r="AH139" i="7"/>
  <c r="U139" i="7"/>
  <c r="AI138" i="7"/>
  <c r="AH138" i="7"/>
  <c r="U138" i="7"/>
  <c r="AI137" i="7"/>
  <c r="AH137" i="7"/>
  <c r="U137" i="7"/>
  <c r="AI136" i="7"/>
  <c r="AH136" i="7"/>
  <c r="U136" i="7"/>
  <c r="AI135" i="7"/>
  <c r="AH135" i="7"/>
  <c r="U135" i="7"/>
  <c r="AI134" i="7"/>
  <c r="AH134" i="7"/>
  <c r="U134" i="7"/>
  <c r="AI133" i="7"/>
  <c r="AH133" i="7"/>
  <c r="U133" i="7"/>
  <c r="AI132" i="7"/>
  <c r="AH132" i="7"/>
  <c r="U132" i="7"/>
  <c r="AI131" i="7"/>
  <c r="AH131" i="7"/>
  <c r="U131" i="7"/>
  <c r="AI130" i="7"/>
  <c r="AH130" i="7"/>
  <c r="U130" i="7"/>
  <c r="AI129" i="7"/>
  <c r="AH129" i="7"/>
  <c r="U129" i="7"/>
  <c r="AI128" i="7"/>
  <c r="AH128" i="7"/>
  <c r="U128" i="7"/>
  <c r="AI127" i="7"/>
  <c r="AH127" i="7"/>
  <c r="U127" i="7"/>
  <c r="AI126" i="7"/>
  <c r="AH126" i="7"/>
  <c r="U126" i="7"/>
  <c r="AI125" i="7"/>
  <c r="AH125" i="7"/>
  <c r="J11" i="23" s="1"/>
  <c r="U125" i="7"/>
  <c r="AI124" i="7"/>
  <c r="AH124" i="7"/>
  <c r="U124" i="7"/>
  <c r="AI123" i="7"/>
  <c r="AH123" i="7"/>
  <c r="U123" i="7"/>
  <c r="AI118" i="7"/>
  <c r="AH118" i="7"/>
  <c r="U118" i="7"/>
  <c r="AI116" i="7"/>
  <c r="AH116" i="7"/>
  <c r="U116" i="7"/>
  <c r="AI115" i="7"/>
  <c r="AH115" i="7"/>
  <c r="U115" i="7"/>
  <c r="AI114" i="7"/>
  <c r="AH114" i="7"/>
  <c r="U114" i="7"/>
  <c r="AI113" i="7"/>
  <c r="AH113" i="7"/>
  <c r="U113" i="7"/>
  <c r="AI112" i="7"/>
  <c r="AH112" i="7"/>
  <c r="U112" i="7"/>
  <c r="AI111" i="7"/>
  <c r="AH111" i="7"/>
  <c r="U111" i="7"/>
  <c r="AI110" i="7"/>
  <c r="AH110" i="7"/>
  <c r="U110" i="7"/>
  <c r="AI109" i="7"/>
  <c r="AH109" i="7"/>
  <c r="U109" i="7"/>
  <c r="AI108" i="7"/>
  <c r="AH108" i="7"/>
  <c r="U108" i="7"/>
  <c r="AI107" i="7"/>
  <c r="AH107" i="7"/>
  <c r="U107" i="7"/>
  <c r="AI106" i="7"/>
  <c r="AH106" i="7"/>
  <c r="U106" i="7"/>
  <c r="AI105" i="7"/>
  <c r="AH105" i="7"/>
  <c r="U105" i="7"/>
  <c r="AI104" i="7"/>
  <c r="AH104" i="7"/>
  <c r="U104" i="7"/>
  <c r="AI103" i="7"/>
  <c r="AH103" i="7"/>
  <c r="U103" i="7"/>
  <c r="AI102" i="7"/>
  <c r="AH102" i="7"/>
  <c r="U102" i="7"/>
  <c r="AI101" i="7"/>
  <c r="AH101" i="7"/>
  <c r="U101" i="7"/>
  <c r="AI100" i="7"/>
  <c r="AH100" i="7"/>
  <c r="U100" i="7"/>
  <c r="AI99" i="7"/>
  <c r="AH99" i="7"/>
  <c r="U99" i="7"/>
  <c r="AI98" i="7"/>
  <c r="AH98" i="7"/>
  <c r="U98" i="7"/>
  <c r="AI97" i="7"/>
  <c r="AH97" i="7"/>
  <c r="U97" i="7"/>
  <c r="AI96" i="7"/>
  <c r="AH96" i="7"/>
  <c r="U96" i="7"/>
  <c r="AI95" i="7"/>
  <c r="AH95" i="7"/>
  <c r="U95" i="7"/>
  <c r="AI94" i="7"/>
  <c r="AH94" i="7"/>
  <c r="U94" i="7"/>
  <c r="AI93" i="7"/>
  <c r="AH93" i="7"/>
  <c r="U93" i="7"/>
  <c r="AI92" i="7"/>
  <c r="AH92" i="7"/>
  <c r="U92" i="7"/>
  <c r="AI91" i="7"/>
  <c r="AH91" i="7"/>
  <c r="U91" i="7"/>
  <c r="AI90" i="7"/>
  <c r="AH90" i="7"/>
  <c r="U90" i="7"/>
  <c r="AI89" i="7"/>
  <c r="AH89" i="7"/>
  <c r="U89" i="7"/>
  <c r="AI88" i="7"/>
  <c r="AH88" i="7"/>
  <c r="U88" i="7"/>
  <c r="AI87" i="7"/>
  <c r="AH87" i="7"/>
  <c r="U87" i="7"/>
  <c r="AI86" i="7"/>
  <c r="AH86" i="7"/>
  <c r="U86" i="7"/>
  <c r="AI85" i="7"/>
  <c r="AH85" i="7"/>
  <c r="U85" i="7"/>
  <c r="AI84" i="7"/>
  <c r="AH84" i="7"/>
  <c r="U84" i="7"/>
  <c r="AI83" i="7"/>
  <c r="AH83" i="7"/>
  <c r="U83" i="7"/>
  <c r="AI82" i="7"/>
  <c r="AH82" i="7"/>
  <c r="U82" i="7"/>
  <c r="AI81" i="7"/>
  <c r="AH81" i="7"/>
  <c r="U81" i="7"/>
  <c r="AI80" i="7"/>
  <c r="AH80" i="7"/>
  <c r="U80" i="7"/>
  <c r="AI79" i="7"/>
  <c r="AH79" i="7"/>
  <c r="U79" i="7"/>
  <c r="AI78" i="7"/>
  <c r="AH78" i="7"/>
  <c r="U78" i="7"/>
  <c r="AI77" i="7"/>
  <c r="AH77" i="7"/>
  <c r="U77" i="7"/>
  <c r="AI76" i="7"/>
  <c r="AH76" i="7"/>
  <c r="U76" i="7"/>
  <c r="H11" i="23" l="1"/>
  <c r="AJ11" i="23" s="1"/>
  <c r="AL11" i="23"/>
  <c r="N72" i="7"/>
  <c r="O72" i="7"/>
  <c r="P72" i="7"/>
  <c r="Q72" i="7"/>
  <c r="R72" i="7"/>
  <c r="S72" i="7"/>
  <c r="M72" i="7"/>
  <c r="AI51" i="7" l="1"/>
  <c r="AH51" i="7"/>
  <c r="U51" i="7"/>
  <c r="AI73" i="7"/>
  <c r="AH73" i="7"/>
  <c r="U73" i="7"/>
  <c r="AI71" i="7"/>
  <c r="AH71" i="7"/>
  <c r="U71" i="7"/>
  <c r="AI70" i="7"/>
  <c r="AH70" i="7"/>
  <c r="U70" i="7"/>
  <c r="AI69" i="7"/>
  <c r="AH69" i="7"/>
  <c r="U69" i="7"/>
  <c r="AI68" i="7"/>
  <c r="AH68" i="7"/>
  <c r="U68" i="7"/>
  <c r="AI67" i="7"/>
  <c r="AH67" i="7"/>
  <c r="U67" i="7"/>
  <c r="AI66" i="7"/>
  <c r="AH66" i="7"/>
  <c r="U66" i="7"/>
  <c r="AI65" i="7"/>
  <c r="AH65" i="7"/>
  <c r="U65" i="7"/>
  <c r="AI64" i="7"/>
  <c r="AH64" i="7"/>
  <c r="T64" i="7"/>
  <c r="AI63" i="7"/>
  <c r="AH63" i="7"/>
  <c r="U63" i="7"/>
  <c r="AI62" i="7"/>
  <c r="AH62" i="7"/>
  <c r="U62" i="7"/>
  <c r="AI61" i="7"/>
  <c r="AH61" i="7"/>
  <c r="U61" i="7"/>
  <c r="AI60" i="7"/>
  <c r="AH60" i="7"/>
  <c r="U60" i="7"/>
  <c r="AI59" i="7"/>
  <c r="AH59" i="7"/>
  <c r="U59" i="7"/>
  <c r="U58" i="7"/>
  <c r="AI57" i="7"/>
  <c r="AH57" i="7"/>
  <c r="U57" i="7"/>
  <c r="AI56" i="7"/>
  <c r="AH56" i="7"/>
  <c r="U56" i="7"/>
  <c r="AI55" i="7"/>
  <c r="AH55" i="7"/>
  <c r="U55" i="7"/>
  <c r="AI52" i="7"/>
  <c r="AH52" i="7"/>
  <c r="U52" i="7"/>
  <c r="AI49" i="7"/>
  <c r="AH49" i="7"/>
  <c r="U49" i="7"/>
  <c r="AI48" i="7"/>
  <c r="AH48" i="7"/>
  <c r="U48" i="7"/>
  <c r="AI47" i="7"/>
  <c r="AH47" i="7"/>
  <c r="U47" i="7"/>
  <c r="AI46" i="7"/>
  <c r="AH46" i="7"/>
  <c r="U46" i="7"/>
  <c r="AI45" i="7"/>
  <c r="AH45" i="7"/>
  <c r="U45" i="7"/>
  <c r="AI44" i="7"/>
  <c r="AH44" i="7"/>
  <c r="U44" i="7"/>
  <c r="AI43" i="7"/>
  <c r="AH43" i="7"/>
  <c r="U43" i="7"/>
  <c r="AI42" i="7"/>
  <c r="AH42" i="7"/>
  <c r="U42" i="7"/>
  <c r="AI39" i="7"/>
  <c r="AH39" i="7"/>
  <c r="U39" i="7"/>
  <c r="AI38" i="7"/>
  <c r="AH38" i="7"/>
  <c r="U38" i="7"/>
  <c r="AI36" i="7"/>
  <c r="AH36" i="7"/>
  <c r="U36" i="7"/>
  <c r="AI35" i="7"/>
  <c r="AH35" i="7"/>
  <c r="U35" i="7"/>
  <c r="AI34" i="7"/>
  <c r="AH34" i="7"/>
  <c r="U34" i="7"/>
  <c r="AI33" i="7"/>
  <c r="AH33" i="7"/>
  <c r="U33" i="7"/>
  <c r="AI32" i="7"/>
  <c r="AH32" i="7"/>
  <c r="U32" i="7"/>
  <c r="AI31" i="7"/>
  <c r="AH31" i="7"/>
  <c r="U31" i="7"/>
  <c r="AI28" i="7"/>
  <c r="AH28" i="7"/>
  <c r="U28" i="7"/>
  <c r="AI27" i="7"/>
  <c r="AH27" i="7"/>
  <c r="U27" i="7"/>
  <c r="AI26" i="7"/>
  <c r="AH26" i="7"/>
  <c r="U26" i="7"/>
  <c r="AI25" i="7"/>
  <c r="AH25" i="7"/>
  <c r="U25" i="7"/>
  <c r="AI24" i="7"/>
  <c r="AH24" i="7"/>
  <c r="U24" i="7"/>
  <c r="AI23" i="7"/>
  <c r="AH23" i="7"/>
  <c r="U23" i="7"/>
  <c r="AI22" i="7"/>
  <c r="AH22" i="7"/>
  <c r="U22" i="7"/>
  <c r="AI21" i="7"/>
  <c r="AH21" i="7"/>
  <c r="U21" i="7"/>
  <c r="AI20" i="7"/>
  <c r="AH20" i="7"/>
  <c r="U20" i="7"/>
  <c r="AI19" i="7"/>
  <c r="U19" i="7"/>
  <c r="AI18" i="7"/>
  <c r="AH18" i="7"/>
  <c r="U18" i="7"/>
  <c r="AI17" i="7"/>
  <c r="AH17" i="7"/>
  <c r="U17" i="7"/>
  <c r="AI16" i="7"/>
  <c r="AH16" i="7"/>
  <c r="U16" i="7"/>
  <c r="AI15" i="7"/>
  <c r="AH15" i="7"/>
  <c r="U15" i="7"/>
  <c r="AI14" i="7"/>
  <c r="AH14" i="7"/>
  <c r="U14" i="7"/>
  <c r="AI13" i="7"/>
  <c r="AH13" i="7"/>
  <c r="U13" i="7"/>
  <c r="AI12" i="7"/>
  <c r="AH12" i="7"/>
  <c r="U12" i="7"/>
  <c r="AI11" i="7"/>
  <c r="AH11" i="7"/>
  <c r="U11" i="7"/>
  <c r="AI10" i="7"/>
  <c r="AH10" i="7"/>
  <c r="U10" i="7"/>
  <c r="AI9" i="7"/>
  <c r="AH9" i="7"/>
  <c r="U9" i="7"/>
  <c r="AI8" i="7"/>
  <c r="AH8" i="7"/>
  <c r="U8" i="7"/>
  <c r="AI7" i="7"/>
  <c r="AH7" i="7"/>
  <c r="U7" i="7"/>
  <c r="AI6" i="7"/>
  <c r="AH6" i="7"/>
  <c r="U6" i="7"/>
  <c r="AJ30" i="23" l="1"/>
  <c r="AL30" i="23"/>
  <c r="H29" i="23"/>
  <c r="J29" i="23"/>
  <c r="AJ29" i="23"/>
  <c r="H38" i="23"/>
  <c r="J38" i="23"/>
  <c r="AL29" i="23"/>
  <c r="AL38" i="23" s="1"/>
  <c r="H9" i="23"/>
  <c r="AJ9" i="23" s="1"/>
  <c r="AJ16" i="23" s="1"/>
  <c r="J9" i="23"/>
  <c r="AL9" i="23" s="1"/>
  <c r="AL16" i="23" s="1"/>
  <c r="AH72" i="7"/>
  <c r="AI29" i="7"/>
  <c r="AI72" i="7"/>
  <c r="AH29" i="7"/>
  <c r="AH37" i="7"/>
  <c r="G9" i="24"/>
  <c r="G10" i="24"/>
  <c r="U64" i="7"/>
  <c r="T72" i="7"/>
  <c r="BJ426" i="13"/>
  <c r="BI426" i="13"/>
  <c r="BH426" i="13"/>
  <c r="BG426" i="13"/>
  <c r="BE426" i="13"/>
  <c r="BD426" i="13"/>
  <c r="BC426" i="13"/>
  <c r="BB426" i="13"/>
  <c r="BA426" i="13"/>
  <c r="AW426" i="13"/>
  <c r="AQ426" i="13"/>
  <c r="AN426" i="13"/>
  <c r="AI426" i="13"/>
  <c r="AF426" i="13"/>
  <c r="BJ425" i="13"/>
  <c r="BI425" i="13"/>
  <c r="BH425" i="13"/>
  <c r="BG425" i="13"/>
  <c r="BE425" i="13"/>
  <c r="BD425" i="13"/>
  <c r="BC425" i="13"/>
  <c r="BB425" i="13"/>
  <c r="BA425" i="13"/>
  <c r="AW425" i="13"/>
  <c r="AQ425" i="13"/>
  <c r="AN425" i="13"/>
  <c r="AI425" i="13"/>
  <c r="AF425" i="13"/>
  <c r="BJ424" i="13"/>
  <c r="BI424" i="13"/>
  <c r="BH424" i="13"/>
  <c r="BG424" i="13"/>
  <c r="BE424" i="13"/>
  <c r="BD424" i="13"/>
  <c r="BC424" i="13"/>
  <c r="BB424" i="13"/>
  <c r="BA424" i="13"/>
  <c r="AW424" i="13"/>
  <c r="AQ424" i="13"/>
  <c r="AN424" i="13"/>
  <c r="AI424" i="13"/>
  <c r="AF424" i="13"/>
  <c r="AJ38" i="23" l="1"/>
  <c r="U72" i="7"/>
  <c r="J16" i="23"/>
  <c r="H16" i="23"/>
  <c r="BK426" i="13"/>
  <c r="BK424" i="13"/>
  <c r="BK425" i="13"/>
  <c r="BF426" i="13"/>
  <c r="BF425" i="13"/>
  <c r="BF424" i="13"/>
  <c r="BJ422" i="13"/>
  <c r="BI422" i="13"/>
  <c r="BH422" i="13"/>
  <c r="BG422" i="13"/>
  <c r="BE422" i="13"/>
  <c r="BD422" i="13"/>
  <c r="BC422" i="13"/>
  <c r="BB422" i="13"/>
  <c r="BA422" i="13"/>
  <c r="AW422" i="13"/>
  <c r="AQ422" i="13"/>
  <c r="AN422" i="13"/>
  <c r="AI422" i="13"/>
  <c r="AF422" i="13"/>
  <c r="BJ421" i="13"/>
  <c r="BI421" i="13"/>
  <c r="BH421" i="13"/>
  <c r="BG421" i="13"/>
  <c r="BE421" i="13"/>
  <c r="BD421" i="13"/>
  <c r="BC421" i="13"/>
  <c r="BB421" i="13"/>
  <c r="BA421" i="13"/>
  <c r="AW421" i="13"/>
  <c r="AQ421" i="13"/>
  <c r="AN421" i="13"/>
  <c r="AI421" i="13"/>
  <c r="AF421" i="13"/>
  <c r="BJ420" i="13"/>
  <c r="BI420" i="13"/>
  <c r="BH420" i="13"/>
  <c r="BG420" i="13"/>
  <c r="BE420" i="13"/>
  <c r="BD420" i="13"/>
  <c r="BC420" i="13"/>
  <c r="BB420" i="13"/>
  <c r="BA420" i="13"/>
  <c r="AW420" i="13"/>
  <c r="AQ420" i="13"/>
  <c r="AN420" i="13"/>
  <c r="AI420" i="13"/>
  <c r="AF420" i="13"/>
  <c r="BJ419" i="13"/>
  <c r="BI419" i="13"/>
  <c r="BH419" i="13"/>
  <c r="BG419" i="13"/>
  <c r="BE419" i="13"/>
  <c r="BD419" i="13"/>
  <c r="BC419" i="13"/>
  <c r="BB419" i="13"/>
  <c r="BA419" i="13"/>
  <c r="AW419" i="13"/>
  <c r="AQ419" i="13"/>
  <c r="AN419" i="13"/>
  <c r="AI419" i="13"/>
  <c r="AF419" i="13"/>
  <c r="BJ418" i="13"/>
  <c r="BI418" i="13"/>
  <c r="BH418" i="13"/>
  <c r="BG418" i="13"/>
  <c r="BE418" i="13"/>
  <c r="BD418" i="13"/>
  <c r="BC418" i="13"/>
  <c r="BB418" i="13"/>
  <c r="BA418" i="13"/>
  <c r="AW418" i="13"/>
  <c r="AQ418" i="13"/>
  <c r="AN418" i="13"/>
  <c r="AI418" i="13"/>
  <c r="AF418" i="13"/>
  <c r="BJ417" i="13"/>
  <c r="BI417" i="13"/>
  <c r="BH417" i="13"/>
  <c r="BG417" i="13"/>
  <c r="BE417" i="13"/>
  <c r="BD417" i="13"/>
  <c r="BC417" i="13"/>
  <c r="BB417" i="13"/>
  <c r="BA417" i="13"/>
  <c r="AW417" i="13"/>
  <c r="AQ417" i="13"/>
  <c r="AN417" i="13"/>
  <c r="AI417" i="13"/>
  <c r="AF417" i="13"/>
  <c r="BJ416" i="13"/>
  <c r="BI416" i="13"/>
  <c r="BH416" i="13"/>
  <c r="BG416" i="13"/>
  <c r="BE416" i="13"/>
  <c r="BD416" i="13"/>
  <c r="BC416" i="13"/>
  <c r="BB416" i="13"/>
  <c r="BA416" i="13"/>
  <c r="AW416" i="13"/>
  <c r="AQ416" i="13"/>
  <c r="AN416" i="13"/>
  <c r="AI416" i="13"/>
  <c r="AF416" i="13"/>
  <c r="BJ415" i="13"/>
  <c r="BI415" i="13"/>
  <c r="BH415" i="13"/>
  <c r="BG415" i="13"/>
  <c r="BE415" i="13"/>
  <c r="BD415" i="13"/>
  <c r="BC415" i="13"/>
  <c r="BB415" i="13"/>
  <c r="BA415" i="13"/>
  <c r="AW415" i="13"/>
  <c r="AQ415" i="13"/>
  <c r="AN415" i="13"/>
  <c r="AI415" i="13"/>
  <c r="AF415" i="13"/>
  <c r="BJ414" i="13"/>
  <c r="BI414" i="13"/>
  <c r="BH414" i="13"/>
  <c r="BG414" i="13"/>
  <c r="BE414" i="13"/>
  <c r="BD414" i="13"/>
  <c r="BC414" i="13"/>
  <c r="BB414" i="13"/>
  <c r="BA414" i="13"/>
  <c r="AW414" i="13"/>
  <c r="AQ414" i="13"/>
  <c r="AN414" i="13"/>
  <c r="AI414" i="13"/>
  <c r="AF414" i="13"/>
  <c r="BJ413" i="13"/>
  <c r="BI413" i="13"/>
  <c r="BH413" i="13"/>
  <c r="BG413" i="13"/>
  <c r="BE413" i="13"/>
  <c r="BD413" i="13"/>
  <c r="BC413" i="13"/>
  <c r="BB413" i="13"/>
  <c r="BA413" i="13"/>
  <c r="AW413" i="13"/>
  <c r="AQ413" i="13"/>
  <c r="AN413" i="13"/>
  <c r="AI413" i="13"/>
  <c r="AF413" i="13"/>
  <c r="BJ412" i="13"/>
  <c r="BI412" i="13"/>
  <c r="BH412" i="13"/>
  <c r="BG412" i="13"/>
  <c r="BE412" i="13"/>
  <c r="BD412" i="13"/>
  <c r="BC412" i="13"/>
  <c r="BB412" i="13"/>
  <c r="BA412" i="13"/>
  <c r="AW412" i="13"/>
  <c r="AQ412" i="13"/>
  <c r="AN412" i="13"/>
  <c r="AI412" i="13"/>
  <c r="AF412" i="13"/>
  <c r="BJ411" i="13"/>
  <c r="BI411" i="13"/>
  <c r="BH411" i="13"/>
  <c r="BG411" i="13"/>
  <c r="BE411" i="13"/>
  <c r="BD411" i="13"/>
  <c r="BC411" i="13"/>
  <c r="BB411" i="13"/>
  <c r="BA411" i="13"/>
  <c r="AW411" i="13"/>
  <c r="AQ411" i="13"/>
  <c r="AN411" i="13"/>
  <c r="AI411" i="13"/>
  <c r="AF411" i="13"/>
  <c r="BJ410" i="13"/>
  <c r="BI410" i="13"/>
  <c r="BH410" i="13"/>
  <c r="BG410" i="13"/>
  <c r="BE410" i="13"/>
  <c r="BD410" i="13"/>
  <c r="BC410" i="13"/>
  <c r="BB410" i="13"/>
  <c r="BA410" i="13"/>
  <c r="AW410" i="13"/>
  <c r="AQ410" i="13"/>
  <c r="AN410" i="13"/>
  <c r="AI410" i="13"/>
  <c r="AF410" i="13"/>
  <c r="BJ409" i="13"/>
  <c r="BI409" i="13"/>
  <c r="BH409" i="13"/>
  <c r="BG409" i="13"/>
  <c r="BE409" i="13"/>
  <c r="BD409" i="13"/>
  <c r="BC409" i="13"/>
  <c r="BB409" i="13"/>
  <c r="BA409" i="13"/>
  <c r="AW409" i="13"/>
  <c r="AQ409" i="13"/>
  <c r="AN409" i="13"/>
  <c r="AI409" i="13"/>
  <c r="AF409" i="13"/>
  <c r="BJ408" i="13"/>
  <c r="BI408" i="13"/>
  <c r="BH408" i="13"/>
  <c r="BG408" i="13"/>
  <c r="BE408" i="13"/>
  <c r="BD408" i="13"/>
  <c r="BC408" i="13"/>
  <c r="BB408" i="13"/>
  <c r="BA408" i="13"/>
  <c r="AW408" i="13"/>
  <c r="AQ408" i="13"/>
  <c r="AN408" i="13"/>
  <c r="AI408" i="13"/>
  <c r="AF408" i="13"/>
  <c r="BK411" i="13" l="1"/>
  <c r="BK408" i="13"/>
  <c r="BF410" i="13"/>
  <c r="BK414" i="13"/>
  <c r="BK420" i="13"/>
  <c r="BK422" i="13"/>
  <c r="BF411" i="13"/>
  <c r="BK409" i="13"/>
  <c r="BK410" i="13"/>
  <c r="BF409" i="13"/>
  <c r="BF422" i="13"/>
  <c r="BF415" i="13"/>
  <c r="BF418" i="13"/>
  <c r="BF421" i="13"/>
  <c r="BK413" i="13"/>
  <c r="BK419" i="13"/>
  <c r="BF416" i="13"/>
  <c r="BK415" i="13"/>
  <c r="BF417" i="13"/>
  <c r="BK421" i="13"/>
  <c r="BK416" i="13"/>
  <c r="BF413" i="13"/>
  <c r="BK417" i="13"/>
  <c r="BF412" i="13"/>
  <c r="BF419" i="13"/>
  <c r="BF408" i="13"/>
  <c r="BK412" i="13"/>
  <c r="BF414" i="13"/>
  <c r="BK418" i="13"/>
  <c r="BF420" i="13"/>
  <c r="BJ405" i="13"/>
  <c r="BI405" i="13"/>
  <c r="BH405" i="13"/>
  <c r="BG405" i="13"/>
  <c r="BE405" i="13"/>
  <c r="BD405" i="13"/>
  <c r="BC405" i="13"/>
  <c r="BB405" i="13"/>
  <c r="BA405" i="13"/>
  <c r="AW405" i="13"/>
  <c r="AQ405" i="13"/>
  <c r="AN405" i="13"/>
  <c r="AI405" i="13"/>
  <c r="AF405" i="13"/>
  <c r="BJ404" i="13"/>
  <c r="BI404" i="13"/>
  <c r="BH404" i="13"/>
  <c r="BG404" i="13"/>
  <c r="BE404" i="13"/>
  <c r="BD404" i="13"/>
  <c r="BC404" i="13"/>
  <c r="BB404" i="13"/>
  <c r="BA404" i="13"/>
  <c r="AW404" i="13"/>
  <c r="AQ404" i="13"/>
  <c r="AN404" i="13"/>
  <c r="AI404" i="13"/>
  <c r="AF404" i="13"/>
  <c r="BJ403" i="13"/>
  <c r="BI403" i="13"/>
  <c r="BH403" i="13"/>
  <c r="BG403" i="13"/>
  <c r="BE403" i="13"/>
  <c r="BD403" i="13"/>
  <c r="BC403" i="13"/>
  <c r="BB403" i="13"/>
  <c r="BA403" i="13"/>
  <c r="AW403" i="13"/>
  <c r="AQ403" i="13"/>
  <c r="AN403" i="13"/>
  <c r="AI403" i="13"/>
  <c r="AF403" i="13"/>
  <c r="BJ402" i="13"/>
  <c r="BI402" i="13"/>
  <c r="BH402" i="13"/>
  <c r="BG402" i="13"/>
  <c r="BE402" i="13"/>
  <c r="BD402" i="13"/>
  <c r="BC402" i="13"/>
  <c r="BB402" i="13"/>
  <c r="BA402" i="13"/>
  <c r="AW402" i="13"/>
  <c r="AQ402" i="13"/>
  <c r="AN402" i="13"/>
  <c r="AI402" i="13"/>
  <c r="AF402" i="13"/>
  <c r="BJ401" i="13"/>
  <c r="BI401" i="13"/>
  <c r="BH401" i="13"/>
  <c r="BG401" i="13"/>
  <c r="BE401" i="13"/>
  <c r="BD401" i="13"/>
  <c r="BC401" i="13"/>
  <c r="BB401" i="13"/>
  <c r="BA401" i="13"/>
  <c r="AW401" i="13"/>
  <c r="AQ401" i="13"/>
  <c r="AN401" i="13"/>
  <c r="AI401" i="13"/>
  <c r="AF401" i="13"/>
  <c r="BJ400" i="13"/>
  <c r="BI400" i="13"/>
  <c r="BH400" i="13"/>
  <c r="BG400" i="13"/>
  <c r="BE400" i="13"/>
  <c r="BD400" i="13"/>
  <c r="BC400" i="13"/>
  <c r="BB400" i="13"/>
  <c r="BA400" i="13"/>
  <c r="AW400" i="13"/>
  <c r="AQ400" i="13"/>
  <c r="AN400" i="13"/>
  <c r="AI400" i="13"/>
  <c r="AF400" i="13"/>
  <c r="BJ399" i="13"/>
  <c r="BI399" i="13"/>
  <c r="BH399" i="13"/>
  <c r="BG399" i="13"/>
  <c r="BE399" i="13"/>
  <c r="BD399" i="13"/>
  <c r="BC399" i="13"/>
  <c r="BB399" i="13"/>
  <c r="BJ398" i="13"/>
  <c r="BI398" i="13"/>
  <c r="BH398" i="13"/>
  <c r="BG398" i="13"/>
  <c r="BE398" i="13"/>
  <c r="BD398" i="13"/>
  <c r="BC398" i="13"/>
  <c r="BB398" i="13"/>
  <c r="BA398" i="13"/>
  <c r="AW398" i="13"/>
  <c r="AQ398" i="13"/>
  <c r="AN398" i="13"/>
  <c r="AI398" i="13"/>
  <c r="AF398" i="13"/>
  <c r="BJ397" i="13"/>
  <c r="BI397" i="13"/>
  <c r="BH397" i="13"/>
  <c r="BG397" i="13"/>
  <c r="BE397" i="13"/>
  <c r="BD397" i="13"/>
  <c r="BC397" i="13"/>
  <c r="BB397" i="13"/>
  <c r="BA397" i="13"/>
  <c r="AW397" i="13"/>
  <c r="AQ397" i="13"/>
  <c r="AN397" i="13"/>
  <c r="AI397" i="13"/>
  <c r="AF397" i="13"/>
  <c r="BJ396" i="13"/>
  <c r="BI396" i="13"/>
  <c r="BH396" i="13"/>
  <c r="BG396" i="13"/>
  <c r="BE396" i="13"/>
  <c r="BD396" i="13"/>
  <c r="BC396" i="13"/>
  <c r="BB396" i="13"/>
  <c r="BA396" i="13"/>
  <c r="AW396" i="13"/>
  <c r="AQ396" i="13"/>
  <c r="AN396" i="13"/>
  <c r="AI396" i="13"/>
  <c r="AF396" i="13"/>
  <c r="BJ395" i="13"/>
  <c r="BI395" i="13"/>
  <c r="BH395" i="13"/>
  <c r="BG395" i="13"/>
  <c r="BE395" i="13"/>
  <c r="BD395" i="13"/>
  <c r="BC395" i="13"/>
  <c r="BB395" i="13"/>
  <c r="BA395" i="13"/>
  <c r="AW395" i="13"/>
  <c r="AQ395" i="13"/>
  <c r="AN395" i="13"/>
  <c r="AI395" i="13"/>
  <c r="AF395" i="13"/>
  <c r="BJ394" i="13"/>
  <c r="BI394" i="13"/>
  <c r="BH394" i="13"/>
  <c r="BG394" i="13"/>
  <c r="BE394" i="13"/>
  <c r="BD394" i="13"/>
  <c r="BC394" i="13"/>
  <c r="BB394" i="13"/>
  <c r="BA394" i="13"/>
  <c r="AW394" i="13"/>
  <c r="AQ394" i="13"/>
  <c r="AN394" i="13"/>
  <c r="AI394" i="13"/>
  <c r="AF394" i="13"/>
  <c r="BJ392" i="13"/>
  <c r="BI392" i="13"/>
  <c r="BH392" i="13"/>
  <c r="BG392" i="13"/>
  <c r="BD392" i="13"/>
  <c r="BC392" i="13"/>
  <c r="BB392" i="13"/>
  <c r="BA392" i="13"/>
  <c r="AW392" i="13"/>
  <c r="AQ392" i="13"/>
  <c r="AN392" i="13"/>
  <c r="AI392" i="13"/>
  <c r="BJ391" i="13"/>
  <c r="BI391" i="13"/>
  <c r="BH391" i="13"/>
  <c r="BG391" i="13"/>
  <c r="BE391" i="13"/>
  <c r="BD391" i="13"/>
  <c r="BC391" i="13"/>
  <c r="BB391" i="13"/>
  <c r="BA391" i="13"/>
  <c r="AW391" i="13"/>
  <c r="AQ391" i="13"/>
  <c r="AN391" i="13"/>
  <c r="AI391" i="13"/>
  <c r="AF391" i="13"/>
  <c r="BJ390" i="13"/>
  <c r="BI390" i="13"/>
  <c r="BH390" i="13"/>
  <c r="BG390" i="13"/>
  <c r="BE390" i="13"/>
  <c r="BD390" i="13"/>
  <c r="BC390" i="13"/>
  <c r="BB390" i="13"/>
  <c r="BA390" i="13"/>
  <c r="AW390" i="13"/>
  <c r="AQ390" i="13"/>
  <c r="AN390" i="13"/>
  <c r="AI390" i="13"/>
  <c r="AF390" i="13"/>
  <c r="BJ389" i="13"/>
  <c r="BI389" i="13"/>
  <c r="BH389" i="13"/>
  <c r="BG389" i="13"/>
  <c r="BE389" i="13"/>
  <c r="BD389" i="13"/>
  <c r="BC389" i="13"/>
  <c r="BB389" i="13"/>
  <c r="BA389" i="13"/>
  <c r="AW389" i="13"/>
  <c r="AQ389" i="13"/>
  <c r="AN389" i="13"/>
  <c r="AI389" i="13"/>
  <c r="AF389" i="13"/>
  <c r="BJ388" i="13"/>
  <c r="BI388" i="13"/>
  <c r="BH388" i="13"/>
  <c r="BG388" i="13"/>
  <c r="BE388" i="13"/>
  <c r="BD388" i="13"/>
  <c r="BC388" i="13"/>
  <c r="BB388" i="13"/>
  <c r="BA388" i="13"/>
  <c r="AW388" i="13"/>
  <c r="AQ388" i="13"/>
  <c r="AN388" i="13"/>
  <c r="AI388" i="13"/>
  <c r="AF388" i="13"/>
  <c r="BJ387" i="13"/>
  <c r="BI387" i="13"/>
  <c r="BH387" i="13"/>
  <c r="BG387" i="13"/>
  <c r="BE387" i="13"/>
  <c r="BD387" i="13"/>
  <c r="BC387" i="13"/>
  <c r="BB387" i="13"/>
  <c r="BA387" i="13"/>
  <c r="AW387" i="13"/>
  <c r="AQ387" i="13"/>
  <c r="AN387" i="13"/>
  <c r="AI387" i="13"/>
  <c r="AF387" i="13"/>
  <c r="BJ386" i="13"/>
  <c r="BI386" i="13"/>
  <c r="BH386" i="13"/>
  <c r="BG386" i="13"/>
  <c r="BE386" i="13"/>
  <c r="BD386" i="13"/>
  <c r="BC386" i="13"/>
  <c r="BB386" i="13"/>
  <c r="BA386" i="13"/>
  <c r="AW386" i="13"/>
  <c r="AQ386" i="13"/>
  <c r="AN386" i="13"/>
  <c r="AI386" i="13"/>
  <c r="AF386" i="13"/>
  <c r="BJ385" i="13"/>
  <c r="BI385" i="13"/>
  <c r="BH385" i="13"/>
  <c r="BG385" i="13"/>
  <c r="BE385" i="13"/>
  <c r="BC385" i="13"/>
  <c r="BB385" i="13"/>
  <c r="BA385" i="13"/>
  <c r="AW385" i="13"/>
  <c r="AQ385" i="13"/>
  <c r="AN385" i="13"/>
  <c r="AI385" i="13"/>
  <c r="AF385" i="13"/>
  <c r="BJ384" i="13"/>
  <c r="BI384" i="13"/>
  <c r="BH384" i="13"/>
  <c r="BG384" i="13"/>
  <c r="BE384" i="13"/>
  <c r="BD384" i="13"/>
  <c r="BC384" i="13"/>
  <c r="BB384" i="13"/>
  <c r="BA384" i="13"/>
  <c r="AW384" i="13"/>
  <c r="AQ384" i="13"/>
  <c r="AN384" i="13"/>
  <c r="AI384" i="13"/>
  <c r="AF384" i="13"/>
  <c r="BJ383" i="13"/>
  <c r="BI383" i="13"/>
  <c r="BH383" i="13"/>
  <c r="BG383" i="13"/>
  <c r="BE383" i="13"/>
  <c r="BD383" i="13"/>
  <c r="BC383" i="13"/>
  <c r="BB383" i="13"/>
  <c r="BA383" i="13"/>
  <c r="AW383" i="13"/>
  <c r="AQ383" i="13"/>
  <c r="AN383" i="13"/>
  <c r="AI383" i="13"/>
  <c r="AF383" i="13"/>
  <c r="BJ382" i="13"/>
  <c r="BI382" i="13"/>
  <c r="BH382" i="13"/>
  <c r="BG382" i="13"/>
  <c r="BE382" i="13"/>
  <c r="BD382" i="13"/>
  <c r="BC382" i="13"/>
  <c r="BB382" i="13"/>
  <c r="BA382" i="13"/>
  <c r="AW382" i="13"/>
  <c r="AQ382" i="13"/>
  <c r="AN382" i="13"/>
  <c r="AI382" i="13"/>
  <c r="AF382" i="13"/>
  <c r="BJ381" i="13"/>
  <c r="BI381" i="13"/>
  <c r="BH381" i="13"/>
  <c r="BG381" i="13"/>
  <c r="BE381" i="13"/>
  <c r="BD381" i="13"/>
  <c r="BC381" i="13"/>
  <c r="BB381" i="13"/>
  <c r="BA381" i="13"/>
  <c r="AW381" i="13"/>
  <c r="AQ381" i="13"/>
  <c r="AN381" i="13"/>
  <c r="AI381" i="13"/>
  <c r="AF381" i="13"/>
  <c r="BJ380" i="13"/>
  <c r="BI380" i="13"/>
  <c r="BH380" i="13"/>
  <c r="BG380" i="13"/>
  <c r="BE380" i="13"/>
  <c r="BD380" i="13"/>
  <c r="BC380" i="13"/>
  <c r="BB380" i="13"/>
  <c r="BA380" i="13"/>
  <c r="AW380" i="13"/>
  <c r="AQ380" i="13"/>
  <c r="AN380" i="13"/>
  <c r="AI380" i="13"/>
  <c r="AF380" i="13"/>
  <c r="BJ379" i="13"/>
  <c r="BI379" i="13"/>
  <c r="BH379" i="13"/>
  <c r="BG379" i="13"/>
  <c r="BE379" i="13"/>
  <c r="BD379" i="13"/>
  <c r="BC379" i="13"/>
  <c r="BB379" i="13"/>
  <c r="BA379" i="13"/>
  <c r="AW379" i="13"/>
  <c r="AQ379" i="13"/>
  <c r="AN379" i="13"/>
  <c r="AI379" i="13"/>
  <c r="AF379" i="13"/>
  <c r="BF378" i="13"/>
  <c r="BA378" i="13"/>
  <c r="AW378" i="13"/>
  <c r="AQ378" i="13"/>
  <c r="AN378" i="13"/>
  <c r="AI378" i="13"/>
  <c r="AF378" i="13"/>
  <c r="BJ377" i="13"/>
  <c r="BI377" i="13"/>
  <c r="BH377" i="13"/>
  <c r="BG377" i="13"/>
  <c r="BE377" i="13"/>
  <c r="BD377" i="13"/>
  <c r="BC377" i="13"/>
  <c r="BB377" i="13"/>
  <c r="BA377" i="13"/>
  <c r="AW377" i="13"/>
  <c r="AQ377" i="13"/>
  <c r="AN377" i="13"/>
  <c r="AI377" i="13"/>
  <c r="AF377" i="13"/>
  <c r="BJ376" i="13"/>
  <c r="BI376" i="13"/>
  <c r="BH376" i="13"/>
  <c r="BG376" i="13"/>
  <c r="BE376" i="13"/>
  <c r="BD376" i="13"/>
  <c r="BC376" i="13"/>
  <c r="BB376" i="13"/>
  <c r="BA376" i="13"/>
  <c r="AW376" i="13"/>
  <c r="AQ376" i="13"/>
  <c r="AN376" i="13"/>
  <c r="AI376" i="13"/>
  <c r="AF376" i="13"/>
  <c r="BJ375" i="13"/>
  <c r="BI375" i="13"/>
  <c r="BH375" i="13"/>
  <c r="BG375" i="13"/>
  <c r="BE375" i="13"/>
  <c r="BD375" i="13"/>
  <c r="BC375" i="13"/>
  <c r="BB375" i="13"/>
  <c r="BA375" i="13"/>
  <c r="AW375" i="13"/>
  <c r="AQ375" i="13"/>
  <c r="AN375" i="13"/>
  <c r="AI375" i="13"/>
  <c r="AF375" i="13"/>
  <c r="BJ374" i="13"/>
  <c r="BI374" i="13"/>
  <c r="BH374" i="13"/>
  <c r="BG374" i="13"/>
  <c r="BE374" i="13"/>
  <c r="BD374" i="13"/>
  <c r="BC374" i="13"/>
  <c r="BB374" i="13"/>
  <c r="BA374" i="13"/>
  <c r="AW374" i="13"/>
  <c r="AQ374" i="13"/>
  <c r="AN374" i="13"/>
  <c r="AI374" i="13"/>
  <c r="AF374" i="13"/>
  <c r="BK390" i="13" l="1"/>
  <c r="BK401" i="13"/>
  <c r="BF403" i="13"/>
  <c r="BF394" i="13"/>
  <c r="BK374" i="13"/>
  <c r="BK384" i="13"/>
  <c r="BK379" i="13"/>
  <c r="BF381" i="13"/>
  <c r="BF399" i="13"/>
  <c r="BF379" i="13"/>
  <c r="BF385" i="13"/>
  <c r="BF392" i="13"/>
  <c r="BF375" i="13"/>
  <c r="BK389" i="13"/>
  <c r="BF391" i="13"/>
  <c r="BK397" i="13"/>
  <c r="BF402" i="13"/>
  <c r="BF376" i="13"/>
  <c r="BF380" i="13"/>
  <c r="BK388" i="13"/>
  <c r="BK396" i="13"/>
  <c r="BF398" i="13"/>
  <c r="BK405" i="13"/>
  <c r="BK382" i="13"/>
  <c r="BF384" i="13"/>
  <c r="BF390" i="13"/>
  <c r="BF404" i="13"/>
  <c r="BF383" i="13"/>
  <c r="BF374" i="13"/>
  <c r="BK375" i="13"/>
  <c r="BF377" i="13"/>
  <c r="BK385" i="13"/>
  <c r="BF387" i="13"/>
  <c r="BK391" i="13"/>
  <c r="BK392" i="13"/>
  <c r="BK402" i="13"/>
  <c r="BF396" i="13"/>
  <c r="BK381" i="13"/>
  <c r="BK380" i="13"/>
  <c r="BK387" i="13"/>
  <c r="BF397" i="13"/>
  <c r="BF400" i="13"/>
  <c r="BK404" i="13"/>
  <c r="BF389" i="13"/>
  <c r="BK403" i="13"/>
  <c r="BF405" i="13"/>
  <c r="BK395" i="13"/>
  <c r="BK383" i="13"/>
  <c r="BF401" i="13"/>
  <c r="BK399" i="13"/>
  <c r="BK400" i="13"/>
  <c r="BF386" i="13"/>
  <c r="BK376" i="13"/>
  <c r="BF395" i="13"/>
  <c r="BK377" i="13"/>
  <c r="BF382" i="13"/>
  <c r="BK386" i="13"/>
  <c r="BK398" i="13"/>
  <c r="BF388" i="13"/>
  <c r="BK394" i="13"/>
  <c r="BJ372" i="13"/>
  <c r="BI372" i="13"/>
  <c r="BH372" i="13"/>
  <c r="BG372" i="13"/>
  <c r="BE372" i="13"/>
  <c r="BD372" i="13"/>
  <c r="BC372" i="13"/>
  <c r="BB372" i="13"/>
  <c r="BA372" i="13"/>
  <c r="AW372" i="13"/>
  <c r="AQ372" i="13"/>
  <c r="AN372" i="13"/>
  <c r="AI372" i="13"/>
  <c r="AF372" i="13"/>
  <c r="BJ371" i="13"/>
  <c r="BI371" i="13"/>
  <c r="BH371" i="13"/>
  <c r="BG371" i="13"/>
  <c r="BE371" i="13"/>
  <c r="BD371" i="13"/>
  <c r="BC371" i="13"/>
  <c r="BB371" i="13"/>
  <c r="BJ370" i="13"/>
  <c r="BI370" i="13"/>
  <c r="BH370" i="13"/>
  <c r="BG370" i="13"/>
  <c r="BE370" i="13"/>
  <c r="BD370" i="13"/>
  <c r="BC370" i="13"/>
  <c r="BB370" i="13"/>
  <c r="BA370" i="13"/>
  <c r="AW370" i="13"/>
  <c r="AQ370" i="13"/>
  <c r="AN370" i="13"/>
  <c r="AI370" i="13"/>
  <c r="AF370" i="13"/>
  <c r="BI369" i="13"/>
  <c r="BH369" i="13"/>
  <c r="BG369" i="13"/>
  <c r="BE369" i="13"/>
  <c r="BD369" i="13"/>
  <c r="BC369" i="13"/>
  <c r="BB369" i="13"/>
  <c r="BA369" i="13"/>
  <c r="AW369" i="13"/>
  <c r="AQ369" i="13"/>
  <c r="AN369" i="13"/>
  <c r="AI369" i="13"/>
  <c r="AF369" i="13"/>
  <c r="BJ368" i="13"/>
  <c r="BI368" i="13"/>
  <c r="BH368" i="13"/>
  <c r="BG368" i="13"/>
  <c r="BE368" i="13"/>
  <c r="BD368" i="13"/>
  <c r="BC368" i="13"/>
  <c r="BB368" i="13"/>
  <c r="BA368" i="13"/>
  <c r="AW368" i="13"/>
  <c r="AQ368" i="13"/>
  <c r="AI368" i="13"/>
  <c r="AF368" i="13"/>
  <c r="BJ367" i="13"/>
  <c r="BI367" i="13"/>
  <c r="BH367" i="13"/>
  <c r="BG367" i="13"/>
  <c r="BE367" i="13"/>
  <c r="BD367" i="13"/>
  <c r="BC367" i="13"/>
  <c r="BB367" i="13"/>
  <c r="BA367" i="13"/>
  <c r="AW367" i="13"/>
  <c r="AQ367" i="13"/>
  <c r="AN367" i="13"/>
  <c r="AI367" i="13"/>
  <c r="AF367" i="13"/>
  <c r="BJ366" i="13"/>
  <c r="BI366" i="13"/>
  <c r="BH366" i="13"/>
  <c r="BG366" i="13"/>
  <c r="BE366" i="13"/>
  <c r="BD366" i="13"/>
  <c r="BC366" i="13"/>
  <c r="BB366" i="13"/>
  <c r="BA366" i="13"/>
  <c r="AW366" i="13"/>
  <c r="AQ366" i="13"/>
  <c r="AN366" i="13"/>
  <c r="AI366" i="13"/>
  <c r="AF366" i="13"/>
  <c r="BJ365" i="13"/>
  <c r="BI365" i="13"/>
  <c r="BH365" i="13"/>
  <c r="BG365" i="13"/>
  <c r="BE365" i="13"/>
  <c r="BD365" i="13"/>
  <c r="BC365" i="13"/>
  <c r="BB365" i="13"/>
  <c r="BA365" i="13"/>
  <c r="AW365" i="13"/>
  <c r="AQ365" i="13"/>
  <c r="AN365" i="13"/>
  <c r="AI365" i="13"/>
  <c r="AF365" i="13"/>
  <c r="BJ364" i="13"/>
  <c r="BI364" i="13"/>
  <c r="BH364" i="13"/>
  <c r="BG364" i="13"/>
  <c r="BE364" i="13"/>
  <c r="BD364" i="13"/>
  <c r="BC364" i="13"/>
  <c r="BB364" i="13"/>
  <c r="BA364" i="13"/>
  <c r="AW364" i="13"/>
  <c r="AQ364" i="13"/>
  <c r="AN364" i="13"/>
  <c r="AI364" i="13"/>
  <c r="AF364" i="13"/>
  <c r="BJ363" i="13"/>
  <c r="BI363" i="13"/>
  <c r="BH363" i="13"/>
  <c r="BG363" i="13"/>
  <c r="BE363" i="13"/>
  <c r="BD363" i="13"/>
  <c r="BC363" i="13"/>
  <c r="BB363" i="13"/>
  <c r="BA363" i="13"/>
  <c r="AW363" i="13"/>
  <c r="AQ363" i="13"/>
  <c r="AN363" i="13"/>
  <c r="AI363" i="13"/>
  <c r="AF363" i="13"/>
  <c r="BJ362" i="13"/>
  <c r="BI362" i="13"/>
  <c r="BH362" i="13"/>
  <c r="BG362" i="13"/>
  <c r="BE362" i="13"/>
  <c r="BD362" i="13"/>
  <c r="BC362" i="13"/>
  <c r="BB362" i="13"/>
  <c r="BA362" i="13"/>
  <c r="AW362" i="13"/>
  <c r="AQ362" i="13"/>
  <c r="AN362" i="13"/>
  <c r="AI362" i="13"/>
  <c r="AF362" i="13"/>
  <c r="BJ361" i="13"/>
  <c r="BI361" i="13"/>
  <c r="BH361" i="13"/>
  <c r="BG361" i="13"/>
  <c r="BE361" i="13"/>
  <c r="BD361" i="13"/>
  <c r="BC361" i="13"/>
  <c r="BB361" i="13"/>
  <c r="BA361" i="13"/>
  <c r="AW361" i="13"/>
  <c r="AQ361" i="13"/>
  <c r="AN361" i="13"/>
  <c r="AI361" i="13"/>
  <c r="AF361" i="13"/>
  <c r="BJ360" i="13"/>
  <c r="BI360" i="13"/>
  <c r="BH360" i="13"/>
  <c r="BG360" i="13"/>
  <c r="BE360" i="13"/>
  <c r="BD360" i="13"/>
  <c r="BB360" i="13"/>
  <c r="BA360" i="13"/>
  <c r="AW360" i="13"/>
  <c r="AQ360" i="13"/>
  <c r="AN360" i="13"/>
  <c r="AI360" i="13"/>
  <c r="AF360" i="13"/>
  <c r="BJ359" i="13"/>
  <c r="BI359" i="13"/>
  <c r="BH359" i="13"/>
  <c r="BG359" i="13"/>
  <c r="BE359" i="13"/>
  <c r="BD359" i="13"/>
  <c r="BC359" i="13"/>
  <c r="BB359" i="13"/>
  <c r="BA359" i="13"/>
  <c r="BJ358" i="13"/>
  <c r="BI358" i="13"/>
  <c r="BH358" i="13"/>
  <c r="BG358" i="13"/>
  <c r="BE358" i="13"/>
  <c r="BD358" i="13"/>
  <c r="BC358" i="13"/>
  <c r="BB358" i="13"/>
  <c r="BA358" i="13"/>
  <c r="AW358" i="13"/>
  <c r="AQ358" i="13"/>
  <c r="AN358" i="13"/>
  <c r="AI358" i="13"/>
  <c r="AF358" i="13"/>
  <c r="BJ357" i="13"/>
  <c r="BI357" i="13"/>
  <c r="BH357" i="13"/>
  <c r="BG357" i="13"/>
  <c r="BE357" i="13"/>
  <c r="BD357" i="13"/>
  <c r="BC357" i="13"/>
  <c r="BB357" i="13"/>
  <c r="BA357" i="13"/>
  <c r="AW357" i="13"/>
  <c r="AQ357" i="13"/>
  <c r="AN357" i="13"/>
  <c r="AI357" i="13"/>
  <c r="AF357" i="13"/>
  <c r="BJ356" i="13"/>
  <c r="BI356" i="13"/>
  <c r="BH356" i="13"/>
  <c r="BG356" i="13"/>
  <c r="BE356" i="13"/>
  <c r="BD356" i="13"/>
  <c r="BC356" i="13"/>
  <c r="BB356" i="13"/>
  <c r="BA356" i="13"/>
  <c r="AW356" i="13"/>
  <c r="AQ356" i="13"/>
  <c r="AN356" i="13"/>
  <c r="AI356" i="13"/>
  <c r="AF356" i="13"/>
  <c r="BJ355" i="13"/>
  <c r="BI355" i="13"/>
  <c r="BH355" i="13"/>
  <c r="BG355" i="13"/>
  <c r="BE355" i="13"/>
  <c r="BD355" i="13"/>
  <c r="BC355" i="13"/>
  <c r="BB355" i="13"/>
  <c r="BA355" i="13"/>
  <c r="AW355" i="13"/>
  <c r="AQ355" i="13"/>
  <c r="AN355" i="13"/>
  <c r="AI355" i="13"/>
  <c r="AF355" i="13"/>
  <c r="BJ354" i="13"/>
  <c r="BI354" i="13"/>
  <c r="BH354" i="13"/>
  <c r="BG354" i="13"/>
  <c r="BE354" i="13"/>
  <c r="BD354" i="13"/>
  <c r="BC354" i="13"/>
  <c r="BB354" i="13"/>
  <c r="BA354" i="13"/>
  <c r="AW354" i="13"/>
  <c r="AQ354" i="13"/>
  <c r="AN354" i="13"/>
  <c r="AI354" i="13"/>
  <c r="AF354" i="13"/>
  <c r="BJ353" i="13"/>
  <c r="BI353" i="13"/>
  <c r="BH353" i="13"/>
  <c r="BG353" i="13"/>
  <c r="BE353" i="13"/>
  <c r="BD353" i="13"/>
  <c r="BC353" i="13"/>
  <c r="BB353" i="13"/>
  <c r="AN353" i="13"/>
  <c r="BJ352" i="13"/>
  <c r="BI352" i="13"/>
  <c r="BH352" i="13"/>
  <c r="BG352" i="13"/>
  <c r="BE352" i="13"/>
  <c r="BD352" i="13"/>
  <c r="BC352" i="13"/>
  <c r="BB352" i="13"/>
  <c r="BA352" i="13"/>
  <c r="AW352" i="13"/>
  <c r="AQ352" i="13"/>
  <c r="AN352" i="13"/>
  <c r="AI352" i="13"/>
  <c r="AF352" i="13"/>
  <c r="BJ351" i="13"/>
  <c r="BI351" i="13"/>
  <c r="BH351" i="13"/>
  <c r="BG351" i="13"/>
  <c r="BE351" i="13"/>
  <c r="BD351" i="13"/>
  <c r="BC351" i="13"/>
  <c r="BB351" i="13"/>
  <c r="BA351" i="13"/>
  <c r="AW351" i="13"/>
  <c r="AQ351" i="13"/>
  <c r="AN351" i="13"/>
  <c r="AI351" i="13"/>
  <c r="AF351" i="13"/>
  <c r="BJ350" i="13"/>
  <c r="BI350" i="13"/>
  <c r="BH350" i="13"/>
  <c r="BG350" i="13"/>
  <c r="BE350" i="13"/>
  <c r="BD350" i="13"/>
  <c r="BC350" i="13"/>
  <c r="BB350" i="13"/>
  <c r="BA350" i="13"/>
  <c r="AW350" i="13"/>
  <c r="AQ350" i="13"/>
  <c r="AI350" i="13"/>
  <c r="AF350" i="13"/>
  <c r="BJ349" i="13"/>
  <c r="BI349" i="13"/>
  <c r="BH349" i="13"/>
  <c r="BE349" i="13"/>
  <c r="BD349" i="13"/>
  <c r="BC349" i="13"/>
  <c r="BB349" i="13"/>
  <c r="BA349" i="13"/>
  <c r="AW349" i="13"/>
  <c r="AQ349" i="13"/>
  <c r="AN349" i="13"/>
  <c r="AI349" i="13"/>
  <c r="AF349" i="13"/>
  <c r="BJ348" i="13"/>
  <c r="BI348" i="13"/>
  <c r="BH348" i="13"/>
  <c r="BG348" i="13"/>
  <c r="BE348" i="13"/>
  <c r="BD348" i="13"/>
  <c r="BC348" i="13"/>
  <c r="BB348" i="13"/>
  <c r="BA348" i="13"/>
  <c r="AW348" i="13"/>
  <c r="AQ348" i="13"/>
  <c r="AN348" i="13"/>
  <c r="AI348" i="13"/>
  <c r="AF348" i="13"/>
  <c r="BJ347" i="13"/>
  <c r="BI347" i="13"/>
  <c r="BH347" i="13"/>
  <c r="BG347" i="13"/>
  <c r="BE347" i="13"/>
  <c r="BD347" i="13"/>
  <c r="BC347" i="13"/>
  <c r="BB347" i="13"/>
  <c r="BA347" i="13"/>
  <c r="AW347" i="13"/>
  <c r="AQ347" i="13"/>
  <c r="AN347" i="13"/>
  <c r="AI347" i="13"/>
  <c r="AF347" i="13"/>
  <c r="BJ346" i="13"/>
  <c r="BI346" i="13"/>
  <c r="BH346" i="13"/>
  <c r="BG346" i="13"/>
  <c r="BE346" i="13"/>
  <c r="BD346" i="13"/>
  <c r="BC346" i="13"/>
  <c r="BB346" i="13"/>
  <c r="BA346" i="13"/>
  <c r="AW346" i="13"/>
  <c r="AQ346" i="13"/>
  <c r="AN346" i="13"/>
  <c r="AI346" i="13"/>
  <c r="AF346" i="13"/>
  <c r="BJ345" i="13"/>
  <c r="BI345" i="13"/>
  <c r="BH345" i="13"/>
  <c r="BG345" i="13"/>
  <c r="BE345" i="13"/>
  <c r="BD345" i="13"/>
  <c r="BC345" i="13"/>
  <c r="BB345" i="13"/>
  <c r="BA345" i="13"/>
  <c r="AW345" i="13"/>
  <c r="AQ345" i="13"/>
  <c r="AN345" i="13"/>
  <c r="AI345" i="13"/>
  <c r="AF345" i="13"/>
  <c r="BJ344" i="13"/>
  <c r="BI344" i="13"/>
  <c r="BH344" i="13"/>
  <c r="BG344" i="13"/>
  <c r="BE344" i="13"/>
  <c r="BD344" i="13"/>
  <c r="BC344" i="13"/>
  <c r="BB344" i="13"/>
  <c r="BA344" i="13"/>
  <c r="AW344" i="13"/>
  <c r="AQ344" i="13"/>
  <c r="AN344" i="13"/>
  <c r="AI344" i="13"/>
  <c r="AF344" i="13"/>
  <c r="BJ343" i="13"/>
  <c r="BI343" i="13"/>
  <c r="BH343" i="13"/>
  <c r="BG343" i="13"/>
  <c r="BE343" i="13"/>
  <c r="BD343" i="13"/>
  <c r="BC343" i="13"/>
  <c r="BB343" i="13"/>
  <c r="BA343" i="13"/>
  <c r="AW343" i="13"/>
  <c r="AQ343" i="13"/>
  <c r="AN343" i="13"/>
  <c r="AI343" i="13"/>
  <c r="AF343" i="13"/>
  <c r="BJ342" i="13"/>
  <c r="BI342" i="13"/>
  <c r="BH342" i="13"/>
  <c r="BG342" i="13"/>
  <c r="BE342" i="13"/>
  <c r="BD342" i="13"/>
  <c r="BC342" i="13"/>
  <c r="BB342" i="13"/>
  <c r="BA342" i="13"/>
  <c r="AW342" i="13"/>
  <c r="AQ342" i="13"/>
  <c r="AN342" i="13"/>
  <c r="AI342" i="13"/>
  <c r="AF342" i="13"/>
  <c r="BJ341" i="13"/>
  <c r="BI341" i="13"/>
  <c r="BH341" i="13"/>
  <c r="BG341" i="13"/>
  <c r="BE341" i="13"/>
  <c r="BD341" i="13"/>
  <c r="BC341" i="13"/>
  <c r="BB341" i="13"/>
  <c r="BA341" i="13"/>
  <c r="AW341" i="13"/>
  <c r="AQ341" i="13"/>
  <c r="AI341" i="13"/>
  <c r="BJ340" i="13"/>
  <c r="BI340" i="13"/>
  <c r="BH340" i="13"/>
  <c r="BG340" i="13"/>
  <c r="BE340" i="13"/>
  <c r="BD340" i="13"/>
  <c r="BC340" i="13"/>
  <c r="BB340" i="13"/>
  <c r="BJ339" i="13"/>
  <c r="BI339" i="13"/>
  <c r="BH339" i="13"/>
  <c r="BG339" i="13"/>
  <c r="BE339" i="13"/>
  <c r="BD339" i="13"/>
  <c r="BC339" i="13"/>
  <c r="BB339" i="13"/>
  <c r="BA339" i="13"/>
  <c r="AW339" i="13"/>
  <c r="AQ339" i="13"/>
  <c r="AN339" i="13"/>
  <c r="AI339" i="13"/>
  <c r="AF339" i="13"/>
  <c r="BJ338" i="13"/>
  <c r="BI338" i="13"/>
  <c r="BH338" i="13"/>
  <c r="BG338" i="13"/>
  <c r="BE338" i="13"/>
  <c r="BD338" i="13"/>
  <c r="BC338" i="13"/>
  <c r="BB338" i="13"/>
  <c r="BA338" i="13"/>
  <c r="AW338" i="13"/>
  <c r="AQ338" i="13"/>
  <c r="AN338" i="13"/>
  <c r="AI338" i="13"/>
  <c r="AF338" i="13"/>
  <c r="BJ337" i="13"/>
  <c r="BI337" i="13"/>
  <c r="BH337" i="13"/>
  <c r="BG337" i="13"/>
  <c r="BE337" i="13"/>
  <c r="BD337" i="13"/>
  <c r="BC337" i="13"/>
  <c r="BB337" i="13"/>
  <c r="BA337" i="13"/>
  <c r="AW337" i="13"/>
  <c r="AQ337" i="13"/>
  <c r="AN337" i="13"/>
  <c r="AI337" i="13"/>
  <c r="AF337" i="13"/>
  <c r="BJ336" i="13"/>
  <c r="BI336" i="13"/>
  <c r="BH336" i="13"/>
  <c r="BG336" i="13"/>
  <c r="BE336" i="13"/>
  <c r="BD336" i="13"/>
  <c r="BC336" i="13"/>
  <c r="BB336" i="13"/>
  <c r="BA336" i="13"/>
  <c r="AW336" i="13"/>
  <c r="AI336" i="13"/>
  <c r="AF336" i="13"/>
  <c r="BJ335" i="13"/>
  <c r="BI335" i="13"/>
  <c r="BH335" i="13"/>
  <c r="BG335" i="13"/>
  <c r="BE335" i="13"/>
  <c r="BD335" i="13"/>
  <c r="BC335" i="13"/>
  <c r="BB335" i="13"/>
  <c r="BA335" i="13"/>
  <c r="AW335" i="13"/>
  <c r="AQ335" i="13"/>
  <c r="AN335" i="13"/>
  <c r="AI335" i="13"/>
  <c r="AF335" i="13"/>
  <c r="BJ334" i="13"/>
  <c r="BI334" i="13"/>
  <c r="BH334" i="13"/>
  <c r="BG334" i="13"/>
  <c r="BE334" i="13"/>
  <c r="BD334" i="13"/>
  <c r="BC334" i="13"/>
  <c r="BB334" i="13"/>
  <c r="BA334" i="13"/>
  <c r="AW334" i="13"/>
  <c r="AQ334" i="13"/>
  <c r="AN334" i="13"/>
  <c r="AI334" i="13"/>
  <c r="AF334" i="13"/>
  <c r="BJ333" i="13"/>
  <c r="BI333" i="13"/>
  <c r="BH333" i="13"/>
  <c r="BG333" i="13"/>
  <c r="BE333" i="13"/>
  <c r="BD333" i="13"/>
  <c r="BC333" i="13"/>
  <c r="BB333" i="13"/>
  <c r="BA333" i="13"/>
  <c r="AW333" i="13"/>
  <c r="AQ333" i="13"/>
  <c r="AN333" i="13"/>
  <c r="AI333" i="13"/>
  <c r="AF333" i="13"/>
  <c r="BJ332" i="13"/>
  <c r="BI332" i="13"/>
  <c r="BH332" i="13"/>
  <c r="BE332" i="13"/>
  <c r="BD332" i="13"/>
  <c r="BC332" i="13"/>
  <c r="BB332" i="13"/>
  <c r="BA332" i="13"/>
  <c r="AW332" i="13"/>
  <c r="AQ332" i="13"/>
  <c r="AN332" i="13"/>
  <c r="AI332" i="13"/>
  <c r="AF332" i="13"/>
  <c r="BJ331" i="13"/>
  <c r="BI331" i="13"/>
  <c r="BH331" i="13"/>
  <c r="BG331" i="13"/>
  <c r="BE331" i="13"/>
  <c r="BD331" i="13"/>
  <c r="BC331" i="13"/>
  <c r="BB331" i="13"/>
  <c r="BA331" i="13"/>
  <c r="AW331" i="13"/>
  <c r="AQ331" i="13"/>
  <c r="AN331" i="13"/>
  <c r="BJ330" i="13"/>
  <c r="BI330" i="13"/>
  <c r="BH330" i="13"/>
  <c r="BG330" i="13"/>
  <c r="BE330" i="13"/>
  <c r="BD330" i="13"/>
  <c r="BC330" i="13"/>
  <c r="BB330" i="13"/>
  <c r="BA330" i="13"/>
  <c r="AW330" i="13"/>
  <c r="AQ330" i="13"/>
  <c r="AI330" i="13"/>
  <c r="AF330" i="13"/>
  <c r="BJ329" i="13"/>
  <c r="BI329" i="13"/>
  <c r="BH329" i="13"/>
  <c r="BG329" i="13"/>
  <c r="BE329" i="13"/>
  <c r="BD329" i="13"/>
  <c r="BC329" i="13"/>
  <c r="BB329" i="13"/>
  <c r="BA329" i="13"/>
  <c r="AW329" i="13"/>
  <c r="AQ329" i="13"/>
  <c r="AN329" i="13"/>
  <c r="AI329" i="13"/>
  <c r="AF329" i="13"/>
  <c r="BJ328" i="13"/>
  <c r="BI328" i="13"/>
  <c r="BH328" i="13"/>
  <c r="BG328" i="13"/>
  <c r="BE328" i="13"/>
  <c r="BD328" i="13"/>
  <c r="BC328" i="13"/>
  <c r="BB328" i="13"/>
  <c r="BA328" i="13"/>
  <c r="AW328" i="13"/>
  <c r="AQ328" i="13"/>
  <c r="AN328" i="13"/>
  <c r="AI328" i="13"/>
  <c r="AF328" i="13"/>
  <c r="BJ327" i="13"/>
  <c r="BI327" i="13"/>
  <c r="BH327" i="13"/>
  <c r="BG327" i="13"/>
  <c r="BE327" i="13"/>
  <c r="BD327" i="13"/>
  <c r="BC327" i="13"/>
  <c r="BB327" i="13"/>
  <c r="BA327" i="13"/>
  <c r="AW327" i="13"/>
  <c r="AQ327" i="13"/>
  <c r="AN327" i="13"/>
  <c r="AI327" i="13"/>
  <c r="AF327" i="13"/>
  <c r="BJ326" i="13"/>
  <c r="BI326" i="13"/>
  <c r="BH326" i="13"/>
  <c r="BG326" i="13"/>
  <c r="BE326" i="13"/>
  <c r="BD326" i="13"/>
  <c r="BC326" i="13"/>
  <c r="BB326" i="13"/>
  <c r="BA326" i="13"/>
  <c r="AW326" i="13"/>
  <c r="AQ326" i="13"/>
  <c r="AN326" i="13"/>
  <c r="AI326" i="13"/>
  <c r="AF326" i="13"/>
  <c r="BJ325" i="13"/>
  <c r="BI325" i="13"/>
  <c r="BH325" i="13"/>
  <c r="BG325" i="13"/>
  <c r="BE325" i="13"/>
  <c r="BD325" i="13"/>
  <c r="BC325" i="13"/>
  <c r="BB325" i="13"/>
  <c r="BA325" i="13"/>
  <c r="AW325" i="13"/>
  <c r="AQ325" i="13"/>
  <c r="AN325" i="13"/>
  <c r="AI325" i="13"/>
  <c r="AF325" i="13"/>
  <c r="BJ324" i="13"/>
  <c r="BI324" i="13"/>
  <c r="BH324" i="13"/>
  <c r="BG324" i="13"/>
  <c r="BE324" i="13"/>
  <c r="BD324" i="13"/>
  <c r="BC324" i="13"/>
  <c r="BB324" i="13"/>
  <c r="BA324" i="13"/>
  <c r="AW324" i="13"/>
  <c r="AQ324" i="13"/>
  <c r="AN324" i="13"/>
  <c r="AI324" i="13"/>
  <c r="AF324" i="13"/>
  <c r="BJ323" i="13"/>
  <c r="BI323" i="13"/>
  <c r="BH323" i="13"/>
  <c r="BG323" i="13"/>
  <c r="BE323" i="13"/>
  <c r="BD323" i="13"/>
  <c r="BC323" i="13"/>
  <c r="BB323" i="13"/>
  <c r="BA323" i="13"/>
  <c r="AW323" i="13"/>
  <c r="AQ323" i="13"/>
  <c r="AN323" i="13"/>
  <c r="AI323" i="13"/>
  <c r="AF323" i="13"/>
  <c r="BJ322" i="13"/>
  <c r="BI322" i="13"/>
  <c r="BH322" i="13"/>
  <c r="BG322" i="13"/>
  <c r="BE322" i="13"/>
  <c r="BD322" i="13"/>
  <c r="BC322" i="13"/>
  <c r="BB322" i="13"/>
  <c r="BA322" i="13"/>
  <c r="AW322" i="13"/>
  <c r="AQ322" i="13"/>
  <c r="AN322" i="13"/>
  <c r="AI322" i="13"/>
  <c r="AF322" i="13"/>
  <c r="BJ321" i="13"/>
  <c r="BI321" i="13"/>
  <c r="BH321" i="13"/>
  <c r="BG321" i="13"/>
  <c r="BE321" i="13"/>
  <c r="BD321" i="13"/>
  <c r="BC321" i="13"/>
  <c r="BB321" i="13"/>
  <c r="BA321" i="13"/>
  <c r="AW321" i="13"/>
  <c r="AQ321" i="13"/>
  <c r="AN321" i="13"/>
  <c r="AI321" i="13"/>
  <c r="AF321" i="13"/>
  <c r="BJ320" i="13"/>
  <c r="BI320" i="13"/>
  <c r="BH320" i="13"/>
  <c r="BG320" i="13"/>
  <c r="BE320" i="13"/>
  <c r="BD320" i="13"/>
  <c r="BC320" i="13"/>
  <c r="BB320" i="13"/>
  <c r="BA320" i="13"/>
  <c r="AW320" i="13"/>
  <c r="AQ320" i="13"/>
  <c r="AN320" i="13"/>
  <c r="AI320" i="13"/>
  <c r="AF320" i="13"/>
  <c r="BJ319" i="13"/>
  <c r="BI319" i="13"/>
  <c r="BH319" i="13"/>
  <c r="BG319" i="13"/>
  <c r="BE319" i="13"/>
  <c r="BD319" i="13"/>
  <c r="BC319" i="13"/>
  <c r="BB319" i="13"/>
  <c r="BA319" i="13"/>
  <c r="AW319" i="13"/>
  <c r="AQ319" i="13"/>
  <c r="AN319" i="13"/>
  <c r="AI319" i="13"/>
  <c r="AF319" i="13"/>
  <c r="BF355" i="13" l="1"/>
  <c r="BK321" i="13"/>
  <c r="BF322" i="13"/>
  <c r="BK345" i="13"/>
  <c r="BF347" i="13"/>
  <c r="BK352" i="13"/>
  <c r="BK326" i="13"/>
  <c r="BF323" i="13"/>
  <c r="BF328" i="13"/>
  <c r="BF333" i="13"/>
  <c r="BF364" i="13"/>
  <c r="BK372" i="13"/>
  <c r="BK328" i="13"/>
  <c r="BK330" i="13"/>
  <c r="BF334" i="13"/>
  <c r="BK339" i="13"/>
  <c r="BK343" i="13"/>
  <c r="BF352" i="13"/>
  <c r="BK361" i="13"/>
  <c r="BF370" i="13"/>
  <c r="BK371" i="13"/>
  <c r="BF325" i="13"/>
  <c r="BF344" i="13"/>
  <c r="BK348" i="13"/>
  <c r="BF351" i="13"/>
  <c r="BF369" i="13"/>
  <c r="BK338" i="13"/>
  <c r="BK349" i="13"/>
  <c r="BF354" i="13"/>
  <c r="BF320" i="13"/>
  <c r="BF326" i="13"/>
  <c r="BF327" i="13"/>
  <c r="BF336" i="13"/>
  <c r="BK354" i="13"/>
  <c r="BK363" i="13"/>
  <c r="BF337" i="13"/>
  <c r="BK320" i="13"/>
  <c r="BK364" i="13"/>
  <c r="BF329" i="13"/>
  <c r="BF342" i="13"/>
  <c r="BK356" i="13"/>
  <c r="BF358" i="13"/>
  <c r="BF361" i="13"/>
  <c r="BF367" i="13"/>
  <c r="BF324" i="13"/>
  <c r="BK337" i="13"/>
  <c r="BF339" i="13"/>
  <c r="BK341" i="13"/>
  <c r="BF343" i="13"/>
  <c r="BK359" i="13"/>
  <c r="BF368" i="13"/>
  <c r="BK319" i="13"/>
  <c r="BF319" i="13"/>
  <c r="BF332" i="13"/>
  <c r="BF353" i="13"/>
  <c r="BK357" i="13"/>
  <c r="BK360" i="13"/>
  <c r="BF362" i="13"/>
  <c r="BK366" i="13"/>
  <c r="BF360" i="13"/>
  <c r="BF366" i="13"/>
  <c r="BK325" i="13"/>
  <c r="BK332" i="13"/>
  <c r="BK365" i="13"/>
  <c r="BK333" i="13"/>
  <c r="BF345" i="13"/>
  <c r="BF335" i="13"/>
  <c r="BK344" i="13"/>
  <c r="BF346" i="13"/>
  <c r="BK350" i="13"/>
  <c r="BK353" i="13"/>
  <c r="BF371" i="13"/>
  <c r="BK327" i="13"/>
  <c r="BK334" i="13"/>
  <c r="BF340" i="13"/>
  <c r="BF341" i="13"/>
  <c r="BK351" i="13"/>
  <c r="BK358" i="13"/>
  <c r="BK367" i="13"/>
  <c r="BF372" i="13"/>
  <c r="BK322" i="13"/>
  <c r="BF330" i="13"/>
  <c r="BF331" i="13"/>
  <c r="BK336" i="13"/>
  <c r="BF338" i="13"/>
  <c r="BF363" i="13"/>
  <c r="BK323" i="13"/>
  <c r="BK346" i="13"/>
  <c r="BF356" i="13"/>
  <c r="BK362" i="13"/>
  <c r="BK368" i="13"/>
  <c r="BK335" i="13"/>
  <c r="BF348" i="13"/>
  <c r="BF365" i="13"/>
  <c r="BK369" i="13"/>
  <c r="BK324" i="13"/>
  <c r="BK329" i="13"/>
  <c r="BK347" i="13"/>
  <c r="BF349" i="13"/>
  <c r="BF350" i="13"/>
  <c r="BK355" i="13"/>
  <c r="BF357" i="13"/>
  <c r="BF321" i="13"/>
  <c r="BK331" i="13"/>
  <c r="BK340" i="13"/>
  <c r="BK342" i="13"/>
  <c r="BF359" i="13"/>
  <c r="BK370" i="13"/>
  <c r="BJ263" i="13"/>
  <c r="BI263" i="13"/>
  <c r="BH263" i="13"/>
  <c r="BG263" i="13"/>
  <c r="BE263" i="13"/>
  <c r="BD263" i="13"/>
  <c r="BC263" i="13"/>
  <c r="BB263" i="13"/>
  <c r="BA263" i="13"/>
  <c r="AW263" i="13"/>
  <c r="AQ263" i="13"/>
  <c r="AN263" i="13"/>
  <c r="AI263" i="13"/>
  <c r="AF263" i="13"/>
  <c r="BJ262" i="13"/>
  <c r="BI262" i="13"/>
  <c r="BH262" i="13"/>
  <c r="BG262" i="13"/>
  <c r="BE262" i="13"/>
  <c r="BD262" i="13"/>
  <c r="BC262" i="13"/>
  <c r="BB262" i="13"/>
  <c r="BA262" i="13"/>
  <c r="AW262" i="13"/>
  <c r="AQ262" i="13"/>
  <c r="AN262" i="13"/>
  <c r="AI262" i="13"/>
  <c r="AF262" i="13"/>
  <c r="BJ261" i="13"/>
  <c r="BI261" i="13"/>
  <c r="BH261" i="13"/>
  <c r="BG261" i="13"/>
  <c r="BE261" i="13"/>
  <c r="BD261" i="13"/>
  <c r="BC261" i="13"/>
  <c r="BB261" i="13"/>
  <c r="BA261" i="13"/>
  <c r="AW261" i="13"/>
  <c r="AQ261" i="13"/>
  <c r="AN261" i="13"/>
  <c r="AI261" i="13"/>
  <c r="AF261" i="13"/>
  <c r="BJ260" i="13"/>
  <c r="BI260" i="13"/>
  <c r="BH260" i="13"/>
  <c r="BG260" i="13"/>
  <c r="BE260" i="13"/>
  <c r="BD260" i="13"/>
  <c r="BC260" i="13"/>
  <c r="BB260" i="13"/>
  <c r="BA260" i="13"/>
  <c r="AW260" i="13"/>
  <c r="AQ260" i="13"/>
  <c r="AN260" i="13"/>
  <c r="AI260" i="13"/>
  <c r="AF260" i="13"/>
  <c r="BJ259" i="13"/>
  <c r="BI259" i="13"/>
  <c r="BH259" i="13"/>
  <c r="BG259" i="13"/>
  <c r="BE259" i="13"/>
  <c r="BD259" i="13"/>
  <c r="BC259" i="13"/>
  <c r="BB259" i="13"/>
  <c r="BA259" i="13"/>
  <c r="AW259" i="13"/>
  <c r="AQ259" i="13"/>
  <c r="AN259" i="13"/>
  <c r="AI259" i="13"/>
  <c r="AF259" i="13"/>
  <c r="BJ258" i="13"/>
  <c r="BI258" i="13"/>
  <c r="BH258" i="13"/>
  <c r="BG258" i="13"/>
  <c r="BE258" i="13"/>
  <c r="BD258" i="13"/>
  <c r="BC258" i="13"/>
  <c r="BB258" i="13"/>
  <c r="BA258" i="13"/>
  <c r="AW258" i="13"/>
  <c r="AQ258" i="13"/>
  <c r="AN258" i="13"/>
  <c r="AI258" i="13"/>
  <c r="AF258" i="13"/>
  <c r="BJ257" i="13"/>
  <c r="BI257" i="13"/>
  <c r="BH257" i="13"/>
  <c r="BG257" i="13"/>
  <c r="BE257" i="13"/>
  <c r="BD257" i="13"/>
  <c r="BC257" i="13"/>
  <c r="BB257" i="13"/>
  <c r="BA257" i="13"/>
  <c r="AW257" i="13"/>
  <c r="AQ257" i="13"/>
  <c r="AN257" i="13"/>
  <c r="AI257" i="13"/>
  <c r="AF257" i="13"/>
  <c r="BJ256" i="13"/>
  <c r="BI256" i="13"/>
  <c r="BH256" i="13"/>
  <c r="BG256" i="13"/>
  <c r="BE256" i="13"/>
  <c r="BD256" i="13"/>
  <c r="BC256" i="13"/>
  <c r="BB256" i="13"/>
  <c r="BA256" i="13"/>
  <c r="AW256" i="13"/>
  <c r="AQ256" i="13"/>
  <c r="AN256" i="13"/>
  <c r="AI256" i="13"/>
  <c r="AF256" i="13"/>
  <c r="BJ255" i="13"/>
  <c r="BI255" i="13"/>
  <c r="BH255" i="13"/>
  <c r="BG255" i="13"/>
  <c r="BE255" i="13"/>
  <c r="BD255" i="13"/>
  <c r="BC255" i="13"/>
  <c r="BB255" i="13"/>
  <c r="BA255" i="13"/>
  <c r="AW255" i="13"/>
  <c r="AQ255" i="13"/>
  <c r="AN255" i="13"/>
  <c r="AI255" i="13"/>
  <c r="AF255" i="13"/>
  <c r="BJ254" i="13"/>
  <c r="BI254" i="13"/>
  <c r="BH254" i="13"/>
  <c r="BG254" i="13"/>
  <c r="BE254" i="13"/>
  <c r="BD254" i="13"/>
  <c r="BC254" i="13"/>
  <c r="BB254" i="13"/>
  <c r="BA254" i="13"/>
  <c r="AW254" i="13"/>
  <c r="AQ254" i="13"/>
  <c r="AN254" i="13"/>
  <c r="AI254" i="13"/>
  <c r="AF254" i="13"/>
  <c r="BJ253" i="13"/>
  <c r="BI253" i="13"/>
  <c r="BH253" i="13"/>
  <c r="BG253" i="13"/>
  <c r="BE253" i="13"/>
  <c r="BD253" i="13"/>
  <c r="BC253" i="13"/>
  <c r="BB253" i="13"/>
  <c r="BA253" i="13"/>
  <c r="AW253" i="13"/>
  <c r="AQ253" i="13"/>
  <c r="AN253" i="13"/>
  <c r="AI253" i="13"/>
  <c r="AF253" i="13"/>
  <c r="BJ252" i="13"/>
  <c r="BI252" i="13"/>
  <c r="BH252" i="13"/>
  <c r="BG252" i="13"/>
  <c r="BE252" i="13"/>
  <c r="BD252" i="13"/>
  <c r="BC252" i="13"/>
  <c r="BB252" i="13"/>
  <c r="BA252" i="13"/>
  <c r="AW252" i="13"/>
  <c r="AQ252" i="13"/>
  <c r="AN252" i="13"/>
  <c r="AI252" i="13"/>
  <c r="AF252" i="13"/>
  <c r="BJ251" i="13"/>
  <c r="BI251" i="13"/>
  <c r="BH251" i="13"/>
  <c r="BG251" i="13"/>
  <c r="BE251" i="13"/>
  <c r="BD251" i="13"/>
  <c r="BC251" i="13"/>
  <c r="BB251" i="13"/>
  <c r="BA251" i="13"/>
  <c r="AW251" i="13"/>
  <c r="AQ251" i="13"/>
  <c r="AN251" i="13"/>
  <c r="AI251" i="13"/>
  <c r="AF251" i="13"/>
  <c r="BJ250" i="13"/>
  <c r="BI250" i="13"/>
  <c r="BH250" i="13"/>
  <c r="BG250" i="13"/>
  <c r="BE250" i="13"/>
  <c r="BD250" i="13"/>
  <c r="BC250" i="13"/>
  <c r="BB250" i="13"/>
  <c r="BA250" i="13"/>
  <c r="AW250" i="13"/>
  <c r="AQ250" i="13"/>
  <c r="AN250" i="13"/>
  <c r="AI250" i="13"/>
  <c r="AF250" i="13"/>
  <c r="BJ249" i="13"/>
  <c r="BI249" i="13"/>
  <c r="BH249" i="13"/>
  <c r="BG249" i="13"/>
  <c r="BE249" i="13"/>
  <c r="BD249" i="13"/>
  <c r="BC249" i="13"/>
  <c r="BB249" i="13"/>
  <c r="BA249" i="13"/>
  <c r="AW249" i="13"/>
  <c r="AQ249" i="13"/>
  <c r="AN249" i="13"/>
  <c r="AI249" i="13"/>
  <c r="AF249" i="13"/>
  <c r="BJ248" i="13"/>
  <c r="BI248" i="13"/>
  <c r="BH248" i="13"/>
  <c r="BG248" i="13"/>
  <c r="BE248" i="13"/>
  <c r="BD248" i="13"/>
  <c r="BC248" i="13"/>
  <c r="BB248" i="13"/>
  <c r="BA248" i="13"/>
  <c r="AW248" i="13"/>
  <c r="AQ248" i="13"/>
  <c r="AN248" i="13"/>
  <c r="AI248" i="13"/>
  <c r="AF248" i="13"/>
  <c r="BJ247" i="13"/>
  <c r="BI247" i="13"/>
  <c r="BH247" i="13"/>
  <c r="BG247" i="13"/>
  <c r="BE247" i="13"/>
  <c r="BD247" i="13"/>
  <c r="BC247" i="13"/>
  <c r="BB247" i="13"/>
  <c r="BA247" i="13"/>
  <c r="AW247" i="13"/>
  <c r="AQ247" i="13"/>
  <c r="AN247" i="13"/>
  <c r="AI247" i="13"/>
  <c r="AF247" i="13"/>
  <c r="BJ246" i="13"/>
  <c r="BI246" i="13"/>
  <c r="BH246" i="13"/>
  <c r="BG246" i="13"/>
  <c r="BE246" i="13"/>
  <c r="BD246" i="13"/>
  <c r="BC246" i="13"/>
  <c r="BB246" i="13"/>
  <c r="BA246" i="13"/>
  <c r="AW246" i="13"/>
  <c r="AQ246" i="13"/>
  <c r="AN246" i="13"/>
  <c r="AI246" i="13"/>
  <c r="AF246" i="13"/>
  <c r="BJ245" i="13"/>
  <c r="BI245" i="13"/>
  <c r="BH245" i="13"/>
  <c r="BG245" i="13"/>
  <c r="BE245" i="13"/>
  <c r="BD245" i="13"/>
  <c r="BC245" i="13"/>
  <c r="BB245" i="13"/>
  <c r="BA245" i="13"/>
  <c r="AW245" i="13"/>
  <c r="AQ245" i="13"/>
  <c r="AN245" i="13"/>
  <c r="AI245" i="13"/>
  <c r="AF245" i="13"/>
  <c r="BJ244" i="13"/>
  <c r="BI244" i="13"/>
  <c r="BH244" i="13"/>
  <c r="BG244" i="13"/>
  <c r="BE244" i="13"/>
  <c r="BD244" i="13"/>
  <c r="BC244" i="13"/>
  <c r="BB244" i="13"/>
  <c r="BA244" i="13"/>
  <c r="AW244" i="13"/>
  <c r="AQ244" i="13"/>
  <c r="AN244" i="13"/>
  <c r="AI244" i="13"/>
  <c r="AF244" i="13"/>
  <c r="BJ243" i="13"/>
  <c r="BI243" i="13"/>
  <c r="BH243" i="13"/>
  <c r="BG243" i="13"/>
  <c r="BE243" i="13"/>
  <c r="BD243" i="13"/>
  <c r="BC243" i="13"/>
  <c r="BB243" i="13"/>
  <c r="BA243" i="13"/>
  <c r="AW243" i="13"/>
  <c r="AQ243" i="13"/>
  <c r="AN243" i="13"/>
  <c r="AI243" i="13"/>
  <c r="AF243" i="13"/>
  <c r="BJ242" i="13"/>
  <c r="BI242" i="13"/>
  <c r="BH242" i="13"/>
  <c r="BG242" i="13"/>
  <c r="BE242" i="13"/>
  <c r="BD242" i="13"/>
  <c r="BC242" i="13"/>
  <c r="BB242" i="13"/>
  <c r="BA242" i="13"/>
  <c r="AW242" i="13"/>
  <c r="AQ242" i="13"/>
  <c r="AN242" i="13"/>
  <c r="AI242" i="13"/>
  <c r="AF242" i="13"/>
  <c r="BJ241" i="13"/>
  <c r="BI241" i="13"/>
  <c r="BH241" i="13"/>
  <c r="BG241" i="13"/>
  <c r="BE241" i="13"/>
  <c r="BD241" i="13"/>
  <c r="BC241" i="13"/>
  <c r="BB241" i="13"/>
  <c r="BA241" i="13"/>
  <c r="AW241" i="13"/>
  <c r="AQ241" i="13"/>
  <c r="AN241" i="13"/>
  <c r="AI241" i="13"/>
  <c r="AF241" i="13"/>
  <c r="BJ240" i="13"/>
  <c r="BI240" i="13"/>
  <c r="BH240" i="13"/>
  <c r="BG240" i="13"/>
  <c r="BE240" i="13"/>
  <c r="BD240" i="13"/>
  <c r="BC240" i="13"/>
  <c r="BB240" i="13"/>
  <c r="BA240" i="13"/>
  <c r="AW240" i="13"/>
  <c r="AQ240" i="13"/>
  <c r="AN240" i="13"/>
  <c r="AI240" i="13"/>
  <c r="AF240" i="13"/>
  <c r="BJ239" i="13"/>
  <c r="BI239" i="13"/>
  <c r="BH239" i="13"/>
  <c r="BG239" i="13"/>
  <c r="BE239" i="13"/>
  <c r="BD239" i="13"/>
  <c r="BC239" i="13"/>
  <c r="BB239" i="13"/>
  <c r="BA239" i="13"/>
  <c r="AW239" i="13"/>
  <c r="AQ239" i="13"/>
  <c r="AN239" i="13"/>
  <c r="AI239" i="13"/>
  <c r="AF239" i="13"/>
  <c r="BJ238" i="13"/>
  <c r="BI238" i="13"/>
  <c r="BH238" i="13"/>
  <c r="BG238" i="13"/>
  <c r="BE238" i="13"/>
  <c r="BD238" i="13"/>
  <c r="BC238" i="13"/>
  <c r="BB238" i="13"/>
  <c r="BA238" i="13"/>
  <c r="AW238" i="13"/>
  <c r="AQ238" i="13"/>
  <c r="AN238" i="13"/>
  <c r="AI238" i="13"/>
  <c r="AF238" i="13"/>
  <c r="BJ237" i="13"/>
  <c r="BI237" i="13"/>
  <c r="BH237" i="13"/>
  <c r="BG237" i="13"/>
  <c r="BE237" i="13"/>
  <c r="BD237" i="13"/>
  <c r="BC237" i="13"/>
  <c r="BB237" i="13"/>
  <c r="BA237" i="13"/>
  <c r="AW237" i="13"/>
  <c r="AQ237" i="13"/>
  <c r="AN237" i="13"/>
  <c r="AI237" i="13"/>
  <c r="AF237" i="13"/>
  <c r="BJ236" i="13"/>
  <c r="BI236" i="13"/>
  <c r="BH236" i="13"/>
  <c r="BG236" i="13"/>
  <c r="BE236" i="13"/>
  <c r="BD236" i="13"/>
  <c r="BC236" i="13"/>
  <c r="BB236" i="13"/>
  <c r="BA236" i="13"/>
  <c r="AW236" i="13"/>
  <c r="AQ236" i="13"/>
  <c r="AN236" i="13"/>
  <c r="AI236" i="13"/>
  <c r="AF236" i="13"/>
  <c r="BJ235" i="13"/>
  <c r="BI235" i="13"/>
  <c r="BH235" i="13"/>
  <c r="BG235" i="13"/>
  <c r="BE235" i="13"/>
  <c r="BD235" i="13"/>
  <c r="BC235" i="13"/>
  <c r="BB235" i="13"/>
  <c r="BA235" i="13"/>
  <c r="AW235" i="13"/>
  <c r="AQ235" i="13"/>
  <c r="AN235" i="13"/>
  <c r="AI235" i="13"/>
  <c r="AF235" i="13"/>
  <c r="BJ234" i="13"/>
  <c r="BI234" i="13"/>
  <c r="BH234" i="13"/>
  <c r="BG234" i="13"/>
  <c r="BE234" i="13"/>
  <c r="BD234" i="13"/>
  <c r="BC234" i="13"/>
  <c r="BB234" i="13"/>
  <c r="BA234" i="13"/>
  <c r="AW234" i="13"/>
  <c r="AQ234" i="13"/>
  <c r="AN234" i="13"/>
  <c r="AI234" i="13"/>
  <c r="AF234" i="13"/>
  <c r="BJ233" i="13"/>
  <c r="BI233" i="13"/>
  <c r="BH233" i="13"/>
  <c r="BG233" i="13"/>
  <c r="BE233" i="13"/>
  <c r="BD233" i="13"/>
  <c r="BC233" i="13"/>
  <c r="BB233" i="13"/>
  <c r="BA233" i="13"/>
  <c r="AW233" i="13"/>
  <c r="AQ233" i="13"/>
  <c r="AN233" i="13"/>
  <c r="AI233" i="13"/>
  <c r="AF233" i="13"/>
  <c r="BJ232" i="13"/>
  <c r="BI232" i="13"/>
  <c r="BH232" i="13"/>
  <c r="BG232" i="13"/>
  <c r="BE232" i="13"/>
  <c r="BD232" i="13"/>
  <c r="BC232" i="13"/>
  <c r="BB232" i="13"/>
  <c r="BA232" i="13"/>
  <c r="AW232" i="13"/>
  <c r="AQ232" i="13"/>
  <c r="AN232" i="13"/>
  <c r="AI232" i="13"/>
  <c r="AF232" i="13"/>
  <c r="BJ231" i="13"/>
  <c r="BI231" i="13"/>
  <c r="BH231" i="13"/>
  <c r="BG231" i="13"/>
  <c r="BE231" i="13"/>
  <c r="BD231" i="13"/>
  <c r="BC231" i="13"/>
  <c r="BB231" i="13"/>
  <c r="BA231" i="13"/>
  <c r="AW231" i="13"/>
  <c r="AQ231" i="13"/>
  <c r="AN231" i="13"/>
  <c r="AI231" i="13"/>
  <c r="AF231" i="13"/>
  <c r="BJ316" i="13"/>
  <c r="BI316" i="13"/>
  <c r="BH316" i="13"/>
  <c r="BG316" i="13"/>
  <c r="BE316" i="13"/>
  <c r="BD316" i="13"/>
  <c r="BC316" i="13"/>
  <c r="BB316" i="13"/>
  <c r="BA316" i="13"/>
  <c r="AW316" i="13"/>
  <c r="AQ316" i="13"/>
  <c r="AN316" i="13"/>
  <c r="AI316" i="13"/>
  <c r="AF316" i="13"/>
  <c r="BJ315" i="13"/>
  <c r="BI315" i="13"/>
  <c r="BH315" i="13"/>
  <c r="BG315" i="13"/>
  <c r="BE315" i="13"/>
  <c r="BD315" i="13"/>
  <c r="BC315" i="13"/>
  <c r="BB315" i="13"/>
  <c r="BA315" i="13"/>
  <c r="AW315" i="13"/>
  <c r="AQ315" i="13"/>
  <c r="AN315" i="13"/>
  <c r="AI315" i="13"/>
  <c r="AF315" i="13"/>
  <c r="BJ314" i="13"/>
  <c r="BI314" i="13"/>
  <c r="BH314" i="13"/>
  <c r="BG314" i="13"/>
  <c r="BE314" i="13"/>
  <c r="BD314" i="13"/>
  <c r="BC314" i="13"/>
  <c r="BB314" i="13"/>
  <c r="BA314" i="13"/>
  <c r="AW314" i="13"/>
  <c r="AQ314" i="13"/>
  <c r="AN314" i="13"/>
  <c r="AI314" i="13"/>
  <c r="AF314" i="13"/>
  <c r="BJ313" i="13"/>
  <c r="BI313" i="13"/>
  <c r="BH313" i="13"/>
  <c r="BG313" i="13"/>
  <c r="BE313" i="13"/>
  <c r="BD313" i="13"/>
  <c r="BC313" i="13"/>
  <c r="BB313" i="13"/>
  <c r="BA313" i="13"/>
  <c r="AW313" i="13"/>
  <c r="AQ313" i="13"/>
  <c r="AN313" i="13"/>
  <c r="AI313" i="13"/>
  <c r="AF313" i="13"/>
  <c r="BJ312" i="13"/>
  <c r="BI312" i="13"/>
  <c r="BH312" i="13"/>
  <c r="BG312" i="13"/>
  <c r="BE312" i="13"/>
  <c r="BD312" i="13"/>
  <c r="BC312" i="13"/>
  <c r="BB312" i="13"/>
  <c r="BA312" i="13"/>
  <c r="AW312" i="13"/>
  <c r="AQ312" i="13"/>
  <c r="AN312" i="13"/>
  <c r="AI312" i="13"/>
  <c r="AF312" i="13"/>
  <c r="BJ311" i="13"/>
  <c r="BI311" i="13"/>
  <c r="BH311" i="13"/>
  <c r="BG311" i="13"/>
  <c r="BE311" i="13"/>
  <c r="BD311" i="13"/>
  <c r="BC311" i="13"/>
  <c r="BB311" i="13"/>
  <c r="BA311" i="13"/>
  <c r="AW311" i="13"/>
  <c r="AQ311" i="13"/>
  <c r="AN311" i="13"/>
  <c r="AI311" i="13"/>
  <c r="AF311" i="13"/>
  <c r="BJ310" i="13"/>
  <c r="BI310" i="13"/>
  <c r="BH310" i="13"/>
  <c r="BG310" i="13"/>
  <c r="BE310" i="13"/>
  <c r="BD310" i="13"/>
  <c r="BC310" i="13"/>
  <c r="BB310" i="13"/>
  <c r="BA310" i="13"/>
  <c r="AW310" i="13"/>
  <c r="AQ310" i="13"/>
  <c r="AN310" i="13"/>
  <c r="AI310" i="13"/>
  <c r="AF310" i="13"/>
  <c r="BJ309" i="13"/>
  <c r="BI309" i="13"/>
  <c r="BH309" i="13"/>
  <c r="BG309" i="13"/>
  <c r="BE309" i="13"/>
  <c r="BD309" i="13"/>
  <c r="BC309" i="13"/>
  <c r="BB309" i="13"/>
  <c r="BA309" i="13"/>
  <c r="AW309" i="13"/>
  <c r="AQ309" i="13"/>
  <c r="AN309" i="13"/>
  <c r="AI309" i="13"/>
  <c r="AF309" i="13"/>
  <c r="BJ308" i="13"/>
  <c r="BI308" i="13"/>
  <c r="BH308" i="13"/>
  <c r="BG308" i="13"/>
  <c r="BE308" i="13"/>
  <c r="BD308" i="13"/>
  <c r="BC308" i="13"/>
  <c r="BB308" i="13"/>
  <c r="BA308" i="13"/>
  <c r="AW308" i="13"/>
  <c r="AQ308" i="13"/>
  <c r="AN308" i="13"/>
  <c r="AI308" i="13"/>
  <c r="AF308" i="13"/>
  <c r="BJ307" i="13"/>
  <c r="BI307" i="13"/>
  <c r="BH307" i="13"/>
  <c r="BG307" i="13"/>
  <c r="BE307" i="13"/>
  <c r="BD307" i="13"/>
  <c r="BC307" i="13"/>
  <c r="BB307" i="13"/>
  <c r="BA307" i="13"/>
  <c r="AW307" i="13"/>
  <c r="AQ307" i="13"/>
  <c r="AN307" i="13"/>
  <c r="AI307" i="13"/>
  <c r="AF307" i="13"/>
  <c r="BJ306" i="13"/>
  <c r="BI306" i="13"/>
  <c r="BH306" i="13"/>
  <c r="BG306" i="13"/>
  <c r="BE306" i="13"/>
  <c r="BD306" i="13"/>
  <c r="BC306" i="13"/>
  <c r="BB306" i="13"/>
  <c r="BA306" i="13"/>
  <c r="AW306" i="13"/>
  <c r="AQ306" i="13"/>
  <c r="AN306" i="13"/>
  <c r="AI306" i="13"/>
  <c r="AF306" i="13"/>
  <c r="BJ305" i="13"/>
  <c r="BI305" i="13"/>
  <c r="BH305" i="13"/>
  <c r="BG305" i="13"/>
  <c r="BE305" i="13"/>
  <c r="BD305" i="13"/>
  <c r="BC305" i="13"/>
  <c r="BB305" i="13"/>
  <c r="BA305" i="13"/>
  <c r="AW305" i="13"/>
  <c r="AQ305" i="13"/>
  <c r="AN305" i="13"/>
  <c r="AI305" i="13"/>
  <c r="AF305" i="13"/>
  <c r="BJ304" i="13"/>
  <c r="BI304" i="13"/>
  <c r="BH304" i="13"/>
  <c r="BG304" i="13"/>
  <c r="BE304" i="13"/>
  <c r="BD304" i="13"/>
  <c r="BC304" i="13"/>
  <c r="BB304" i="13"/>
  <c r="BA304" i="13"/>
  <c r="AW304" i="13"/>
  <c r="AQ304" i="13"/>
  <c r="AN304" i="13"/>
  <c r="AI304" i="13"/>
  <c r="AF304" i="13"/>
  <c r="BJ303" i="13"/>
  <c r="BI303" i="13"/>
  <c r="BH303" i="13"/>
  <c r="BG303" i="13"/>
  <c r="BE303" i="13"/>
  <c r="BD303" i="13"/>
  <c r="BC303" i="13"/>
  <c r="BB303" i="13"/>
  <c r="BA303" i="13"/>
  <c r="AW303" i="13"/>
  <c r="AQ303" i="13"/>
  <c r="AN303" i="13"/>
  <c r="AI303" i="13"/>
  <c r="AF303" i="13"/>
  <c r="BJ302" i="13"/>
  <c r="BI302" i="13"/>
  <c r="BH302" i="13"/>
  <c r="BG302" i="13"/>
  <c r="BE302" i="13"/>
  <c r="BD302" i="13"/>
  <c r="BC302" i="13"/>
  <c r="BB302" i="13"/>
  <c r="BA302" i="13"/>
  <c r="AW302" i="13"/>
  <c r="AQ302" i="13"/>
  <c r="AN302" i="13"/>
  <c r="AI302" i="13"/>
  <c r="AF302" i="13"/>
  <c r="BJ301" i="13"/>
  <c r="BI301" i="13"/>
  <c r="BH301" i="13"/>
  <c r="BG301" i="13"/>
  <c r="BE301" i="13"/>
  <c r="BD301" i="13"/>
  <c r="BC301" i="13"/>
  <c r="BB301" i="13"/>
  <c r="BA301" i="13"/>
  <c r="AW301" i="13"/>
  <c r="AQ301" i="13"/>
  <c r="AN301" i="13"/>
  <c r="AI301" i="13"/>
  <c r="AF301" i="13"/>
  <c r="BJ300" i="13"/>
  <c r="BI300" i="13"/>
  <c r="BH300" i="13"/>
  <c r="BG300" i="13"/>
  <c r="BE300" i="13"/>
  <c r="BD300" i="13"/>
  <c r="BC300" i="13"/>
  <c r="BB300" i="13"/>
  <c r="BA300" i="13"/>
  <c r="AW300" i="13"/>
  <c r="AQ300" i="13"/>
  <c r="AN300" i="13"/>
  <c r="AI300" i="13"/>
  <c r="AF300" i="13"/>
  <c r="BJ299" i="13"/>
  <c r="BI299" i="13"/>
  <c r="BH299" i="13"/>
  <c r="BG299" i="13"/>
  <c r="BE299" i="13"/>
  <c r="BD299" i="13"/>
  <c r="BC299" i="13"/>
  <c r="BB299" i="13"/>
  <c r="BA299" i="13"/>
  <c r="AW299" i="13"/>
  <c r="AQ299" i="13"/>
  <c r="AN299" i="13"/>
  <c r="AI299" i="13"/>
  <c r="AF299" i="13"/>
  <c r="BJ298" i="13"/>
  <c r="BI298" i="13"/>
  <c r="BH298" i="13"/>
  <c r="BG298" i="13"/>
  <c r="BE298" i="13"/>
  <c r="BD298" i="13"/>
  <c r="BC298" i="13"/>
  <c r="BB298" i="13"/>
  <c r="BA298" i="13"/>
  <c r="AW298" i="13"/>
  <c r="AQ298" i="13"/>
  <c r="AN298" i="13"/>
  <c r="AI298" i="13"/>
  <c r="AF298" i="13"/>
  <c r="BJ297" i="13"/>
  <c r="BI297" i="13"/>
  <c r="BH297" i="13"/>
  <c r="BG297" i="13"/>
  <c r="BE297" i="13"/>
  <c r="BD297" i="13"/>
  <c r="BC297" i="13"/>
  <c r="BB297" i="13"/>
  <c r="BA297" i="13"/>
  <c r="AW297" i="13"/>
  <c r="AQ297" i="13"/>
  <c r="AN297" i="13"/>
  <c r="AI297" i="13"/>
  <c r="AF297" i="13"/>
  <c r="BJ296" i="13"/>
  <c r="BI296" i="13"/>
  <c r="BH296" i="13"/>
  <c r="BG296" i="13"/>
  <c r="BE296" i="13"/>
  <c r="BD296" i="13"/>
  <c r="BC296" i="13"/>
  <c r="BB296" i="13"/>
  <c r="BA296" i="13"/>
  <c r="AW296" i="13"/>
  <c r="AQ296" i="13"/>
  <c r="AN296" i="13"/>
  <c r="AI296" i="13"/>
  <c r="AF296" i="13"/>
  <c r="BJ295" i="13"/>
  <c r="BI295" i="13"/>
  <c r="BH295" i="13"/>
  <c r="BG295" i="13"/>
  <c r="BE295" i="13"/>
  <c r="BD295" i="13"/>
  <c r="BC295" i="13"/>
  <c r="BB295" i="13"/>
  <c r="BA295" i="13"/>
  <c r="AW295" i="13"/>
  <c r="AQ295" i="13"/>
  <c r="AN295" i="13"/>
  <c r="AI295" i="13"/>
  <c r="AF295" i="13"/>
  <c r="BJ294" i="13"/>
  <c r="BI294" i="13"/>
  <c r="BH294" i="13"/>
  <c r="BG294" i="13"/>
  <c r="BE294" i="13"/>
  <c r="BD294" i="13"/>
  <c r="BC294" i="13"/>
  <c r="BB294" i="13"/>
  <c r="BA294" i="13"/>
  <c r="AW294" i="13"/>
  <c r="AQ294" i="13"/>
  <c r="AN294" i="13"/>
  <c r="AI294" i="13"/>
  <c r="AF294" i="13"/>
  <c r="BJ293" i="13"/>
  <c r="BI293" i="13"/>
  <c r="BH293" i="13"/>
  <c r="BG293" i="13"/>
  <c r="BE293" i="13"/>
  <c r="BD293" i="13"/>
  <c r="BC293" i="13"/>
  <c r="BB293" i="13"/>
  <c r="BA293" i="13"/>
  <c r="AW293" i="13"/>
  <c r="AQ293" i="13"/>
  <c r="AN293" i="13"/>
  <c r="AI293" i="13"/>
  <c r="AF293" i="13"/>
  <c r="BJ292" i="13"/>
  <c r="BI292" i="13"/>
  <c r="BH292" i="13"/>
  <c r="BG292" i="13"/>
  <c r="BE292" i="13"/>
  <c r="BD292" i="13"/>
  <c r="BC292" i="13"/>
  <c r="BB292" i="13"/>
  <c r="BA292" i="13"/>
  <c r="AW292" i="13"/>
  <c r="AQ292" i="13"/>
  <c r="AN292" i="13"/>
  <c r="AI292" i="13"/>
  <c r="AF292" i="13"/>
  <c r="BJ291" i="13"/>
  <c r="BI291" i="13"/>
  <c r="BH291" i="13"/>
  <c r="BG291" i="13"/>
  <c r="BE291" i="13"/>
  <c r="BD291" i="13"/>
  <c r="BC291" i="13"/>
  <c r="BB291" i="13"/>
  <c r="BA291" i="13"/>
  <c r="AW291" i="13"/>
  <c r="AQ291" i="13"/>
  <c r="AN291" i="13"/>
  <c r="AI291" i="13"/>
  <c r="AF291" i="13"/>
  <c r="BJ290" i="13"/>
  <c r="BI290" i="13"/>
  <c r="BH290" i="13"/>
  <c r="BG290" i="13"/>
  <c r="BE290" i="13"/>
  <c r="BD290" i="13"/>
  <c r="BC290" i="13"/>
  <c r="BB290" i="13"/>
  <c r="BA290" i="13"/>
  <c r="AW290" i="13"/>
  <c r="AQ290" i="13"/>
  <c r="AN290" i="13"/>
  <c r="AI290" i="13"/>
  <c r="AF290" i="13"/>
  <c r="BJ289" i="13"/>
  <c r="BI289" i="13"/>
  <c r="BH289" i="13"/>
  <c r="BG289" i="13"/>
  <c r="BE289" i="13"/>
  <c r="BD289" i="13"/>
  <c r="BC289" i="13"/>
  <c r="BB289" i="13"/>
  <c r="BA289" i="13"/>
  <c r="AW289" i="13"/>
  <c r="AQ289" i="13"/>
  <c r="AN289" i="13"/>
  <c r="AI289" i="13"/>
  <c r="AF289" i="13"/>
  <c r="BF297" i="13" l="1"/>
  <c r="BF315" i="13"/>
  <c r="BF303" i="13"/>
  <c r="BF309" i="13"/>
  <c r="BK231" i="13"/>
  <c r="BF233" i="13"/>
  <c r="BK249" i="13"/>
  <c r="BF263" i="13"/>
  <c r="BK263" i="13"/>
  <c r="BK294" i="13"/>
  <c r="BF296" i="13"/>
  <c r="BK300" i="13"/>
  <c r="BF302" i="13"/>
  <c r="BK306" i="13"/>
  <c r="BF308" i="13"/>
  <c r="BK312" i="13"/>
  <c r="BK232" i="13"/>
  <c r="BK238" i="13"/>
  <c r="BK244" i="13"/>
  <c r="BF246" i="13"/>
  <c r="BK250" i="13"/>
  <c r="BF252" i="13"/>
  <c r="BK256" i="13"/>
  <c r="BK316" i="13"/>
  <c r="BF232" i="13"/>
  <c r="BK236" i="13"/>
  <c r="BF238" i="13"/>
  <c r="BK242" i="13"/>
  <c r="BK248" i="13"/>
  <c r="BK254" i="13"/>
  <c r="BK260" i="13"/>
  <c r="BF294" i="13"/>
  <c r="BF300" i="13"/>
  <c r="BF314" i="13"/>
  <c r="BK301" i="13"/>
  <c r="BF247" i="13"/>
  <c r="BF293" i="13"/>
  <c r="BF311" i="13"/>
  <c r="BK315" i="13"/>
  <c r="BF231" i="13"/>
  <c r="BK235" i="13"/>
  <c r="BF237" i="13"/>
  <c r="BK241" i="13"/>
  <c r="BF243" i="13"/>
  <c r="BK247" i="13"/>
  <c r="BF249" i="13"/>
  <c r="BK253" i="13"/>
  <c r="BF255" i="13"/>
  <c r="BK259" i="13"/>
  <c r="BF261" i="13"/>
  <c r="BK292" i="13"/>
  <c r="BF306" i="13"/>
  <c r="BK310" i="13"/>
  <c r="BK293" i="13"/>
  <c r="BF295" i="13"/>
  <c r="BK237" i="13"/>
  <c r="BF290" i="13"/>
  <c r="BK289" i="13"/>
  <c r="BK295" i="13"/>
  <c r="BK233" i="13"/>
  <c r="BF291" i="13"/>
  <c r="BF253" i="13"/>
  <c r="BK290" i="13"/>
  <c r="BF292" i="13"/>
  <c r="BK296" i="13"/>
  <c r="BK302" i="13"/>
  <c r="BF304" i="13"/>
  <c r="BF289" i="13"/>
  <c r="BK298" i="13"/>
  <c r="BK304" i="13"/>
  <c r="BK299" i="13"/>
  <c r="BF301" i="13"/>
  <c r="BK305" i="13"/>
  <c r="BF307" i="13"/>
  <c r="BF312" i="13"/>
  <c r="BF244" i="13"/>
  <c r="BF250" i="13"/>
  <c r="BF256" i="13"/>
  <c r="BF262" i="13"/>
  <c r="BK311" i="13"/>
  <c r="BF313" i="13"/>
  <c r="BF239" i="13"/>
  <c r="BK243" i="13"/>
  <c r="BF245" i="13"/>
  <c r="BF251" i="13"/>
  <c r="BK255" i="13"/>
  <c r="BF257" i="13"/>
  <c r="BK261" i="13"/>
  <c r="BF234" i="13"/>
  <c r="BF240" i="13"/>
  <c r="BK262" i="13"/>
  <c r="BK307" i="13"/>
  <c r="BF258" i="13"/>
  <c r="BK313" i="13"/>
  <c r="BF235" i="13"/>
  <c r="BK239" i="13"/>
  <c r="BF241" i="13"/>
  <c r="BK245" i="13"/>
  <c r="BK251" i="13"/>
  <c r="BK257" i="13"/>
  <c r="BF298" i="13"/>
  <c r="BK308" i="13"/>
  <c r="BF310" i="13"/>
  <c r="BF259" i="13"/>
  <c r="BK291" i="13"/>
  <c r="BK314" i="13"/>
  <c r="BF316" i="13"/>
  <c r="BK234" i="13"/>
  <c r="BF236" i="13"/>
  <c r="BK240" i="13"/>
  <c r="BF242" i="13"/>
  <c r="BK246" i="13"/>
  <c r="BF248" i="13"/>
  <c r="BK252" i="13"/>
  <c r="BF254" i="13"/>
  <c r="BK258" i="13"/>
  <c r="BF260" i="13"/>
  <c r="BK297" i="13"/>
  <c r="BF299" i="13"/>
  <c r="BK303" i="13"/>
  <c r="BF305" i="13"/>
  <c r="BK309" i="13"/>
  <c r="BJ287" i="13"/>
  <c r="BI287" i="13"/>
  <c r="BH287" i="13"/>
  <c r="BG287" i="13"/>
  <c r="BE287" i="13"/>
  <c r="BD287" i="13"/>
  <c r="BC287" i="13"/>
  <c r="BB287" i="13"/>
  <c r="BA287" i="13"/>
  <c r="AW287" i="13"/>
  <c r="AQ287" i="13"/>
  <c r="AN287" i="13"/>
  <c r="AI287" i="13"/>
  <c r="AF287" i="13"/>
  <c r="BJ286" i="13"/>
  <c r="BK286" i="13" s="1"/>
  <c r="BE286" i="13"/>
  <c r="BD286" i="13"/>
  <c r="BC286" i="13"/>
  <c r="BB286" i="13"/>
  <c r="BA286" i="13"/>
  <c r="AW286" i="13"/>
  <c r="AQ286" i="13"/>
  <c r="AN286" i="13"/>
  <c r="AI286" i="13"/>
  <c r="AF286" i="13"/>
  <c r="BJ285" i="13"/>
  <c r="BI285" i="13"/>
  <c r="BH285" i="13"/>
  <c r="BG285" i="13"/>
  <c r="BE285" i="13"/>
  <c r="BD285" i="13"/>
  <c r="BC285" i="13"/>
  <c r="BB285" i="13"/>
  <c r="BA285" i="13"/>
  <c r="AW285" i="13"/>
  <c r="AQ285" i="13"/>
  <c r="AN285" i="13"/>
  <c r="AI285" i="13"/>
  <c r="AF285" i="13"/>
  <c r="BJ284" i="13"/>
  <c r="BI284" i="13"/>
  <c r="BH284" i="13"/>
  <c r="BG284" i="13"/>
  <c r="BE284" i="13"/>
  <c r="BD284" i="13"/>
  <c r="BC284" i="13"/>
  <c r="BB284" i="13"/>
  <c r="AQ284" i="13"/>
  <c r="AN284" i="13"/>
  <c r="AI284" i="13"/>
  <c r="AF284" i="13"/>
  <c r="BJ283" i="13"/>
  <c r="BI283" i="13"/>
  <c r="BH283" i="13"/>
  <c r="BG283" i="13"/>
  <c r="BE283" i="13"/>
  <c r="BD283" i="13"/>
  <c r="BC283" i="13"/>
  <c r="BB283" i="13"/>
  <c r="BA283" i="13"/>
  <c r="AW283" i="13"/>
  <c r="AQ283" i="13"/>
  <c r="AN283" i="13"/>
  <c r="AI283" i="13"/>
  <c r="AF283" i="13"/>
  <c r="BJ282" i="13"/>
  <c r="BI282" i="13"/>
  <c r="BH282" i="13"/>
  <c r="BG282" i="13"/>
  <c r="BE282" i="13"/>
  <c r="BD282" i="13"/>
  <c r="BC282" i="13"/>
  <c r="BB282" i="13"/>
  <c r="BA282" i="13"/>
  <c r="AW282" i="13"/>
  <c r="AQ282" i="13"/>
  <c r="AN282" i="13"/>
  <c r="AI282" i="13"/>
  <c r="AF282" i="13"/>
  <c r="BJ281" i="13"/>
  <c r="BI281" i="13"/>
  <c r="BH281" i="13"/>
  <c r="BG281" i="13"/>
  <c r="BE281" i="13"/>
  <c r="BD281" i="13"/>
  <c r="BC281" i="13"/>
  <c r="BB281" i="13"/>
  <c r="BA281" i="13"/>
  <c r="AW281" i="13"/>
  <c r="AQ281" i="13"/>
  <c r="AN281" i="13"/>
  <c r="AI281" i="13"/>
  <c r="AF281" i="13"/>
  <c r="BJ280" i="13"/>
  <c r="BI280" i="13"/>
  <c r="BH280" i="13"/>
  <c r="BG280" i="13"/>
  <c r="BE280" i="13"/>
  <c r="BD280" i="13"/>
  <c r="BC280" i="13"/>
  <c r="BB280" i="13"/>
  <c r="BA280" i="13"/>
  <c r="AW280" i="13"/>
  <c r="AQ280" i="13"/>
  <c r="AN280" i="13"/>
  <c r="AI280" i="13"/>
  <c r="AF280" i="13"/>
  <c r="BJ279" i="13"/>
  <c r="BI279" i="13"/>
  <c r="BH279" i="13"/>
  <c r="BG279" i="13"/>
  <c r="BE279" i="13"/>
  <c r="BF279" i="13" s="1"/>
  <c r="BB279" i="13"/>
  <c r="BA279" i="13"/>
  <c r="AW279" i="13"/>
  <c r="AQ279" i="13"/>
  <c r="AN279" i="13"/>
  <c r="AF279" i="13"/>
  <c r="BJ278" i="13"/>
  <c r="BI278" i="13"/>
  <c r="BH278" i="13"/>
  <c r="BG278" i="13"/>
  <c r="BE278" i="13"/>
  <c r="BD278" i="13"/>
  <c r="BC278" i="13"/>
  <c r="N278" i="13"/>
  <c r="BJ277" i="13"/>
  <c r="BI277" i="13"/>
  <c r="BH277" i="13"/>
  <c r="BG277" i="13"/>
  <c r="BE277" i="13"/>
  <c r="BD277" i="13"/>
  <c r="BC277" i="13"/>
  <c r="BB277" i="13"/>
  <c r="BA277" i="13"/>
  <c r="AW277" i="13"/>
  <c r="AQ277" i="13"/>
  <c r="AN277" i="13"/>
  <c r="AI277" i="13"/>
  <c r="AF277" i="13"/>
  <c r="BJ276" i="13"/>
  <c r="BI276" i="13"/>
  <c r="BH276" i="13"/>
  <c r="BG276" i="13"/>
  <c r="BE276" i="13"/>
  <c r="BD276" i="13"/>
  <c r="BC276" i="13"/>
  <c r="BB276" i="13"/>
  <c r="BA276" i="13"/>
  <c r="AW276" i="13"/>
  <c r="AQ276" i="13"/>
  <c r="AN276" i="13"/>
  <c r="AI276" i="13"/>
  <c r="AF276" i="13"/>
  <c r="BJ275" i="13"/>
  <c r="BI275" i="13"/>
  <c r="BH275" i="13"/>
  <c r="BG275" i="13"/>
  <c r="BE275" i="13"/>
  <c r="BD275" i="13"/>
  <c r="BC275" i="13"/>
  <c r="BB275" i="13"/>
  <c r="BA275" i="13"/>
  <c r="AW275" i="13"/>
  <c r="AQ275" i="13"/>
  <c r="AN275" i="13"/>
  <c r="AI275" i="13"/>
  <c r="BJ274" i="13"/>
  <c r="BI274" i="13"/>
  <c r="BH274" i="13"/>
  <c r="BG274" i="13"/>
  <c r="BE274" i="13"/>
  <c r="BD274" i="13"/>
  <c r="BC274" i="13"/>
  <c r="BB274" i="13"/>
  <c r="AQ274" i="13"/>
  <c r="AN274" i="13"/>
  <c r="AI274" i="13"/>
  <c r="AF274" i="13"/>
  <c r="BJ273" i="13"/>
  <c r="BI273" i="13"/>
  <c r="BH273" i="13"/>
  <c r="BG273" i="13"/>
  <c r="BE273" i="13"/>
  <c r="BD273" i="13"/>
  <c r="BC273" i="13"/>
  <c r="BJ272" i="13"/>
  <c r="BI272" i="13"/>
  <c r="BH272" i="13"/>
  <c r="BG272" i="13"/>
  <c r="BE272" i="13"/>
  <c r="BD272" i="13"/>
  <c r="BC272" i="13"/>
  <c r="BB272" i="13"/>
  <c r="BA272" i="13"/>
  <c r="AW272" i="13"/>
  <c r="AQ272" i="13"/>
  <c r="AN272" i="13"/>
  <c r="AI272" i="13"/>
  <c r="AF272" i="13"/>
  <c r="BJ271" i="13"/>
  <c r="BI271" i="13"/>
  <c r="BH271" i="13"/>
  <c r="BG271" i="13"/>
  <c r="BE271" i="13"/>
  <c r="BD271" i="13"/>
  <c r="BC271" i="13"/>
  <c r="BB271" i="13"/>
  <c r="BA271" i="13"/>
  <c r="AW271" i="13"/>
  <c r="AQ271" i="13"/>
  <c r="AN271" i="13"/>
  <c r="AI271" i="13"/>
  <c r="AF271" i="13"/>
  <c r="BJ270" i="13"/>
  <c r="BI270" i="13"/>
  <c r="BH270" i="13"/>
  <c r="BG270" i="13"/>
  <c r="BE270" i="13"/>
  <c r="BD270" i="13"/>
  <c r="BC270" i="13"/>
  <c r="BB270" i="13"/>
  <c r="BA270" i="13"/>
  <c r="AW270" i="13"/>
  <c r="AQ270" i="13"/>
  <c r="AN270" i="13"/>
  <c r="AI270" i="13"/>
  <c r="AF270" i="13"/>
  <c r="BJ269" i="13"/>
  <c r="BI269" i="13"/>
  <c r="BH269" i="13"/>
  <c r="BG269" i="13"/>
  <c r="BE269" i="13"/>
  <c r="BD269" i="13"/>
  <c r="BC269" i="13"/>
  <c r="BB269" i="13"/>
  <c r="BA269" i="13"/>
  <c r="AW269" i="13"/>
  <c r="AQ269" i="13"/>
  <c r="AN269" i="13"/>
  <c r="AI269" i="13"/>
  <c r="AF269" i="13"/>
  <c r="BJ268" i="13"/>
  <c r="BI268" i="13"/>
  <c r="BH268" i="13"/>
  <c r="BG268" i="13"/>
  <c r="BE268" i="13"/>
  <c r="BD268" i="13"/>
  <c r="BC268" i="13"/>
  <c r="BB268" i="13"/>
  <c r="BA268" i="13"/>
  <c r="AW268" i="13"/>
  <c r="AQ268" i="13"/>
  <c r="AN268" i="13"/>
  <c r="AF268" i="13"/>
  <c r="BJ267" i="13"/>
  <c r="BI267" i="13"/>
  <c r="BH267" i="13"/>
  <c r="BG267" i="13"/>
  <c r="BE267" i="13"/>
  <c r="BD267" i="13"/>
  <c r="BC267" i="13"/>
  <c r="BB267" i="13"/>
  <c r="BA267" i="13"/>
  <c r="AW267" i="13"/>
  <c r="AQ267" i="13"/>
  <c r="AN267" i="13"/>
  <c r="AI267" i="13"/>
  <c r="AF267" i="13"/>
  <c r="BJ266" i="13"/>
  <c r="BI266" i="13"/>
  <c r="BH266" i="13"/>
  <c r="BG266" i="13"/>
  <c r="BE266" i="13"/>
  <c r="BD266" i="13"/>
  <c r="BC266" i="13"/>
  <c r="BB266" i="13"/>
  <c r="BA266" i="13"/>
  <c r="AW266" i="13"/>
  <c r="AQ266" i="13"/>
  <c r="AN266" i="13"/>
  <c r="AI266" i="13"/>
  <c r="AF266" i="13"/>
  <c r="BJ229" i="13"/>
  <c r="BI229" i="13"/>
  <c r="BH229" i="13"/>
  <c r="BG229" i="13"/>
  <c r="BE229" i="13"/>
  <c r="BD229" i="13"/>
  <c r="BC229" i="13"/>
  <c r="BB229" i="13"/>
  <c r="BA229" i="13"/>
  <c r="AW229" i="13"/>
  <c r="AQ229" i="13"/>
  <c r="AN229" i="13"/>
  <c r="AI229" i="13"/>
  <c r="AF229" i="13"/>
  <c r="AW228" i="13"/>
  <c r="BJ227" i="13"/>
  <c r="BI227" i="13"/>
  <c r="BH227" i="13"/>
  <c r="BG227" i="13"/>
  <c r="BE227" i="13"/>
  <c r="BD227" i="13"/>
  <c r="BC227" i="13"/>
  <c r="BB227" i="13"/>
  <c r="BA227" i="13"/>
  <c r="AW227" i="13"/>
  <c r="AQ227" i="13"/>
  <c r="AN227" i="13"/>
  <c r="AI227" i="13"/>
  <c r="AF227" i="13"/>
  <c r="BJ226" i="13"/>
  <c r="BI226" i="13"/>
  <c r="BH226" i="13"/>
  <c r="BG226" i="13"/>
  <c r="BE226" i="13"/>
  <c r="BD226" i="13"/>
  <c r="BC226" i="13"/>
  <c r="BB226" i="13"/>
  <c r="BA226" i="13"/>
  <c r="AW226" i="13"/>
  <c r="AQ226" i="13"/>
  <c r="AN226" i="13"/>
  <c r="AI226" i="13"/>
  <c r="AF226" i="13"/>
  <c r="BH225" i="13"/>
  <c r="AK225" i="13"/>
  <c r="AL225" i="13" s="1"/>
  <c r="AB225" i="13"/>
  <c r="BJ224" i="13"/>
  <c r="BI224" i="13"/>
  <c r="BH224" i="13"/>
  <c r="BG224" i="13"/>
  <c r="BE224" i="13"/>
  <c r="BD224" i="13"/>
  <c r="BC224" i="13"/>
  <c r="BB224" i="13"/>
  <c r="BA224" i="13"/>
  <c r="AW224" i="13"/>
  <c r="AQ224" i="13"/>
  <c r="AN224" i="13"/>
  <c r="AI224" i="13"/>
  <c r="AF224" i="13"/>
  <c r="BJ223" i="13"/>
  <c r="BI223" i="13"/>
  <c r="BH223" i="13"/>
  <c r="BG223" i="13"/>
  <c r="BE223" i="13"/>
  <c r="BD223" i="13"/>
  <c r="BC223" i="13"/>
  <c r="BB223" i="13"/>
  <c r="BA223" i="13"/>
  <c r="AW223" i="13"/>
  <c r="AQ223" i="13"/>
  <c r="AN223" i="13"/>
  <c r="AI223" i="13"/>
  <c r="AF223" i="13"/>
  <c r="BJ222" i="13"/>
  <c r="BI222" i="13"/>
  <c r="BH222" i="13"/>
  <c r="BG222" i="13"/>
  <c r="BE222" i="13"/>
  <c r="BD222" i="13"/>
  <c r="BC222" i="13"/>
  <c r="BB222" i="13"/>
  <c r="BA222" i="13"/>
  <c r="AW222" i="13"/>
  <c r="AQ222" i="13"/>
  <c r="AI222" i="13"/>
  <c r="AF222" i="13"/>
  <c r="BJ221" i="13"/>
  <c r="BI221" i="13"/>
  <c r="BH221" i="13"/>
  <c r="BE221" i="13"/>
  <c r="BD221" i="13"/>
  <c r="BC221" i="13"/>
  <c r="BB221" i="13"/>
  <c r="BA221" i="13"/>
  <c r="AW221" i="13"/>
  <c r="AQ221" i="13"/>
  <c r="AN221" i="13"/>
  <c r="AI221" i="13"/>
  <c r="AF221" i="13"/>
  <c r="BJ220" i="13"/>
  <c r="BI220" i="13"/>
  <c r="BH220" i="13"/>
  <c r="BG220" i="13"/>
  <c r="BE220" i="13"/>
  <c r="BD220" i="13"/>
  <c r="BC220" i="13"/>
  <c r="BB220" i="13"/>
  <c r="AW220" i="13"/>
  <c r="AI220" i="13"/>
  <c r="AW219" i="13"/>
  <c r="BJ218" i="13"/>
  <c r="BI218" i="13"/>
  <c r="BH218" i="13"/>
  <c r="BG218" i="13"/>
  <c r="BE218" i="13"/>
  <c r="BD218" i="13"/>
  <c r="BC218" i="13"/>
  <c r="BB218" i="13"/>
  <c r="BA218" i="13"/>
  <c r="AW218" i="13"/>
  <c r="AQ218" i="13"/>
  <c r="AN218" i="13"/>
  <c r="AI218" i="13"/>
  <c r="AF218" i="13"/>
  <c r="BJ217" i="13"/>
  <c r="BI217" i="13"/>
  <c r="BH217" i="13"/>
  <c r="BG217" i="13"/>
  <c r="BE217" i="13"/>
  <c r="BD217" i="13"/>
  <c r="BC217" i="13"/>
  <c r="BB217" i="13"/>
  <c r="BA217" i="13"/>
  <c r="AW217" i="13"/>
  <c r="AQ217" i="13"/>
  <c r="AN217" i="13"/>
  <c r="AI217" i="13"/>
  <c r="AF217" i="13"/>
  <c r="BJ216" i="13"/>
  <c r="BI216" i="13"/>
  <c r="BH216" i="13"/>
  <c r="BG216" i="13"/>
  <c r="BE216" i="13"/>
  <c r="BD216" i="13"/>
  <c r="BC216" i="13"/>
  <c r="BB216" i="13"/>
  <c r="AQ216" i="13"/>
  <c r="AN216" i="13"/>
  <c r="AI216" i="13"/>
  <c r="AF216" i="13"/>
  <c r="BJ215" i="13"/>
  <c r="BI215" i="13"/>
  <c r="BH215" i="13"/>
  <c r="BG215" i="13"/>
  <c r="BE215" i="13"/>
  <c r="BD215" i="13"/>
  <c r="BC215" i="13"/>
  <c r="BB215" i="13"/>
  <c r="AW215" i="13"/>
  <c r="BJ214" i="13"/>
  <c r="BI214" i="13"/>
  <c r="BH214" i="13"/>
  <c r="BG214" i="13"/>
  <c r="BD214" i="13"/>
  <c r="BC214" i="13"/>
  <c r="BB214" i="13"/>
  <c r="BA214" i="13"/>
  <c r="AW214" i="13"/>
  <c r="AQ214" i="13"/>
  <c r="AN214" i="13"/>
  <c r="AI214" i="13"/>
  <c r="AF214" i="13"/>
  <c r="BJ213" i="13"/>
  <c r="BI213" i="13"/>
  <c r="BH213" i="13"/>
  <c r="BG213" i="13"/>
  <c r="BE213" i="13"/>
  <c r="BD213" i="13"/>
  <c r="BC213" i="13"/>
  <c r="BB213" i="13"/>
  <c r="BA213" i="13"/>
  <c r="AW213" i="13"/>
  <c r="AQ213" i="13"/>
  <c r="AN213" i="13"/>
  <c r="AI213" i="13"/>
  <c r="AF213" i="13"/>
  <c r="BJ212" i="13"/>
  <c r="BI212" i="13"/>
  <c r="BH212" i="13"/>
  <c r="BG212" i="13"/>
  <c r="BE212" i="13"/>
  <c r="BD212" i="13"/>
  <c r="BC212" i="13"/>
  <c r="BA212" i="13"/>
  <c r="AW212" i="13"/>
  <c r="AQ212" i="13"/>
  <c r="AN212" i="13"/>
  <c r="AI212" i="13"/>
  <c r="AF212" i="13"/>
  <c r="BJ211" i="13"/>
  <c r="BI211" i="13"/>
  <c r="BH211" i="13"/>
  <c r="BG211" i="13"/>
  <c r="BE211" i="13"/>
  <c r="BD211" i="13"/>
  <c r="BC211" i="13"/>
  <c r="BB211" i="13"/>
  <c r="BA211" i="13"/>
  <c r="AW211" i="13"/>
  <c r="AQ211" i="13"/>
  <c r="AN211" i="13"/>
  <c r="AI211" i="13"/>
  <c r="AF211" i="13"/>
  <c r="BI210" i="13"/>
  <c r="BH210" i="13"/>
  <c r="BG210" i="13"/>
  <c r="BE210" i="13"/>
  <c r="BD210" i="13"/>
  <c r="BC210" i="13"/>
  <c r="BB210" i="13"/>
  <c r="BA210" i="13"/>
  <c r="AW210" i="13"/>
  <c r="AN210" i="13"/>
  <c r="AI210" i="13"/>
  <c r="AF210" i="13"/>
  <c r="AW209" i="13"/>
  <c r="BJ208" i="13"/>
  <c r="BI208" i="13"/>
  <c r="BH208" i="13"/>
  <c r="BG208" i="13"/>
  <c r="BE208" i="13"/>
  <c r="BD208" i="13"/>
  <c r="BC208" i="13"/>
  <c r="BB208" i="13"/>
  <c r="BA208" i="13"/>
  <c r="AW208" i="13"/>
  <c r="AQ208" i="13"/>
  <c r="AN208" i="13"/>
  <c r="AI208" i="13"/>
  <c r="AF208" i="13"/>
  <c r="BJ207" i="13"/>
  <c r="BI207" i="13"/>
  <c r="BH207" i="13"/>
  <c r="BG207" i="13"/>
  <c r="BE207" i="13"/>
  <c r="BD207" i="13"/>
  <c r="BC207" i="13"/>
  <c r="BB207" i="13"/>
  <c r="BA207" i="13"/>
  <c r="AW207" i="13"/>
  <c r="AQ207" i="13"/>
  <c r="AN207" i="13"/>
  <c r="AI207" i="13"/>
  <c r="AF207" i="13"/>
  <c r="BJ206" i="13"/>
  <c r="BI206" i="13"/>
  <c r="BH206" i="13"/>
  <c r="BG206" i="13"/>
  <c r="BE206" i="13"/>
  <c r="BD206" i="13"/>
  <c r="BC206" i="13"/>
  <c r="BB206" i="13"/>
  <c r="BA206" i="13"/>
  <c r="AW206" i="13"/>
  <c r="AQ206" i="13"/>
  <c r="AN206" i="13"/>
  <c r="AI206" i="13"/>
  <c r="AF206" i="13"/>
  <c r="BJ205" i="13"/>
  <c r="BI205" i="13"/>
  <c r="BH205" i="13"/>
  <c r="BG205" i="13"/>
  <c r="BE205" i="13"/>
  <c r="BD205" i="13"/>
  <c r="BC205" i="13"/>
  <c r="BB205" i="13"/>
  <c r="BA205" i="13"/>
  <c r="AW205" i="13"/>
  <c r="AQ205" i="13"/>
  <c r="AN205" i="13"/>
  <c r="AI205" i="13"/>
  <c r="AF205" i="13"/>
  <c r="BJ204" i="13"/>
  <c r="BI204" i="13"/>
  <c r="BH204" i="13"/>
  <c r="BG204" i="13"/>
  <c r="BE204" i="13"/>
  <c r="BD204" i="13"/>
  <c r="BC204" i="13"/>
  <c r="BB204" i="13"/>
  <c r="C9" i="24" s="1"/>
  <c r="BA204" i="13"/>
  <c r="AW204" i="13"/>
  <c r="AQ204" i="13"/>
  <c r="AN204" i="13"/>
  <c r="AI204" i="13"/>
  <c r="AF204" i="13"/>
  <c r="BJ203" i="13"/>
  <c r="BI203" i="13"/>
  <c r="BH203" i="13"/>
  <c r="BG203" i="13"/>
  <c r="BE203" i="13"/>
  <c r="BD203" i="13"/>
  <c r="BC203" i="13"/>
  <c r="BB203" i="13"/>
  <c r="BA203" i="13"/>
  <c r="AW203" i="13"/>
  <c r="AQ203" i="13"/>
  <c r="AN203" i="13"/>
  <c r="AI203" i="13"/>
  <c r="AF203" i="13"/>
  <c r="BJ202" i="13"/>
  <c r="BI202" i="13"/>
  <c r="BH202" i="13"/>
  <c r="BG202" i="13"/>
  <c r="BE202" i="13"/>
  <c r="BD202" i="13"/>
  <c r="BC202" i="13"/>
  <c r="BB202" i="13"/>
  <c r="BA202" i="13"/>
  <c r="AW202" i="13"/>
  <c r="AQ202" i="13"/>
  <c r="AN202" i="13"/>
  <c r="AI202" i="13"/>
  <c r="AF202" i="13"/>
  <c r="BK213" i="13" l="1"/>
  <c r="BF273" i="13"/>
  <c r="BF274" i="13"/>
  <c r="BK212" i="13"/>
  <c r="BF270" i="13"/>
  <c r="BF221" i="13"/>
  <c r="BK214" i="13"/>
  <c r="BK220" i="13"/>
  <c r="BK222" i="13"/>
  <c r="BK203" i="13"/>
  <c r="BK210" i="13"/>
  <c r="BK215" i="13"/>
  <c r="BF218" i="13"/>
  <c r="BF275" i="13"/>
  <c r="BK280" i="13"/>
  <c r="BK202" i="13"/>
  <c r="BF204" i="13"/>
  <c r="C10" i="24" s="1"/>
  <c r="BF212" i="13"/>
  <c r="BK272" i="13"/>
  <c r="BK277" i="13"/>
  <c r="BK282" i="13"/>
  <c r="BF276" i="13"/>
  <c r="BK207" i="13"/>
  <c r="BF210" i="13"/>
  <c r="BK271" i="13"/>
  <c r="BK276" i="13"/>
  <c r="BF211" i="13"/>
  <c r="BK223" i="13"/>
  <c r="BF267" i="13"/>
  <c r="BK281" i="13"/>
  <c r="BF283" i="13"/>
  <c r="BF284" i="13"/>
  <c r="BF213" i="13"/>
  <c r="BF217" i="13"/>
  <c r="BK224" i="13"/>
  <c r="BK266" i="13"/>
  <c r="BF220" i="13"/>
  <c r="BF226" i="13"/>
  <c r="BK284" i="13"/>
  <c r="BK217" i="13"/>
  <c r="BK283" i="13"/>
  <c r="BF227" i="13"/>
  <c r="BK269" i="13"/>
  <c r="BK287" i="13"/>
  <c r="BK206" i="13"/>
  <c r="BK218" i="13"/>
  <c r="BF229" i="13"/>
  <c r="BF281" i="13"/>
  <c r="BF202" i="13"/>
  <c r="BF208" i="13"/>
  <c r="BK270" i="13"/>
  <c r="BF272" i="13"/>
  <c r="BK274" i="13"/>
  <c r="BF277" i="13"/>
  <c r="BK278" i="13"/>
  <c r="BK205" i="13"/>
  <c r="BF207" i="13"/>
  <c r="BF214" i="13"/>
  <c r="BK229" i="13"/>
  <c r="BK279" i="13"/>
  <c r="BK285" i="13"/>
  <c r="BK275" i="13"/>
  <c r="BK216" i="13"/>
  <c r="BF268" i="13"/>
  <c r="BF282" i="13"/>
  <c r="BF203" i="13"/>
  <c r="BF222" i="13"/>
  <c r="BF269" i="13"/>
  <c r="BK267" i="13"/>
  <c r="BK208" i="13"/>
  <c r="BK268" i="13"/>
  <c r="BF223" i="13"/>
  <c r="BK226" i="13"/>
  <c r="BF205" i="13"/>
  <c r="BF215" i="13"/>
  <c r="BF216" i="13"/>
  <c r="BK221" i="13"/>
  <c r="BF224" i="13"/>
  <c r="BK227" i="13"/>
  <c r="BF287" i="13"/>
  <c r="BK204" i="13"/>
  <c r="BF206" i="13"/>
  <c r="BK211" i="13"/>
  <c r="BF266" i="13"/>
  <c r="BF271" i="13"/>
  <c r="BK273" i="13"/>
  <c r="BF278" i="13"/>
  <c r="BF280" i="13"/>
  <c r="BF285" i="13"/>
  <c r="BF286" i="13"/>
  <c r="AM225" i="13"/>
  <c r="BB225" i="13"/>
  <c r="AC225" i="13"/>
  <c r="BG225" i="13" l="1"/>
  <c r="AD225" i="13"/>
  <c r="BE225" i="13"/>
  <c r="AN225" i="13"/>
  <c r="BC225" i="13" l="1"/>
  <c r="AO225" i="13"/>
  <c r="AP225" i="13" s="1"/>
  <c r="BJ225" i="13" s="1"/>
  <c r="AE225" i="13"/>
  <c r="BD225" i="13" s="1"/>
  <c r="BI225" i="13" l="1"/>
  <c r="BK225" i="13" s="1"/>
  <c r="AQ225" i="13"/>
  <c r="BF225" i="13"/>
  <c r="AF225" i="13"/>
  <c r="E164" i="13" l="1"/>
  <c r="BJ179" i="13" l="1"/>
  <c r="BI179" i="13"/>
  <c r="BH179" i="13"/>
  <c r="BG179" i="13"/>
  <c r="BE179" i="13"/>
  <c r="BD179" i="13"/>
  <c r="BC179" i="13"/>
  <c r="BB179" i="13"/>
  <c r="BA179" i="13"/>
  <c r="AW179" i="13"/>
  <c r="AQ179" i="13"/>
  <c r="AN179" i="13"/>
  <c r="AI179" i="13"/>
  <c r="AF179" i="13"/>
  <c r="BJ176" i="13"/>
  <c r="BI176" i="13"/>
  <c r="BH176" i="13"/>
  <c r="BG176" i="13"/>
  <c r="BE176" i="13"/>
  <c r="BD176" i="13"/>
  <c r="BC176" i="13"/>
  <c r="BB176" i="13"/>
  <c r="BA176" i="13"/>
  <c r="AW176" i="13"/>
  <c r="AQ176" i="13"/>
  <c r="AN176" i="13"/>
  <c r="AI176" i="13"/>
  <c r="AF176" i="13"/>
  <c r="BJ175" i="13"/>
  <c r="BI175" i="13"/>
  <c r="BH175" i="13"/>
  <c r="BG175" i="13"/>
  <c r="BE175" i="13"/>
  <c r="BD175" i="13"/>
  <c r="BC175" i="13"/>
  <c r="BB175" i="13"/>
  <c r="BA175" i="13"/>
  <c r="AW175" i="13"/>
  <c r="AQ175" i="13"/>
  <c r="AN175" i="13"/>
  <c r="AI175" i="13"/>
  <c r="AF175" i="13"/>
  <c r="BJ172" i="13"/>
  <c r="BI172" i="13"/>
  <c r="BH172" i="13"/>
  <c r="BG172" i="13"/>
  <c r="BE172" i="13"/>
  <c r="BD172" i="13"/>
  <c r="BC172" i="13"/>
  <c r="BB172" i="13"/>
  <c r="BA172" i="13"/>
  <c r="AW172" i="13"/>
  <c r="AQ172" i="13"/>
  <c r="AN172" i="13"/>
  <c r="AI172" i="13"/>
  <c r="AF172" i="13"/>
  <c r="BJ169" i="13"/>
  <c r="BI169" i="13"/>
  <c r="BH169" i="13"/>
  <c r="BG169" i="13"/>
  <c r="BE169" i="13"/>
  <c r="BD169" i="13"/>
  <c r="BC169" i="13"/>
  <c r="BB169" i="13"/>
  <c r="BA169" i="13"/>
  <c r="AW169" i="13"/>
  <c r="AQ169" i="13"/>
  <c r="AN169" i="13"/>
  <c r="AI169" i="13"/>
  <c r="AF169" i="13"/>
  <c r="BJ166" i="13"/>
  <c r="BI166" i="13"/>
  <c r="BH166" i="13"/>
  <c r="BG166" i="13"/>
  <c r="BE166" i="13"/>
  <c r="BD166" i="13"/>
  <c r="BC166" i="13"/>
  <c r="BB166" i="13"/>
  <c r="BA166" i="13"/>
  <c r="AW166" i="13"/>
  <c r="AQ166" i="13"/>
  <c r="AN166" i="13"/>
  <c r="AI166" i="13"/>
  <c r="AF166" i="13"/>
  <c r="BJ128" i="13"/>
  <c r="BI128" i="13"/>
  <c r="BH128" i="13"/>
  <c r="BG128" i="13"/>
  <c r="BE128" i="13"/>
  <c r="BD128" i="13"/>
  <c r="BC128" i="13"/>
  <c r="BB128" i="13"/>
  <c r="BA128" i="13"/>
  <c r="AW128" i="13"/>
  <c r="AQ128" i="13"/>
  <c r="AN128" i="13"/>
  <c r="AI128" i="13"/>
  <c r="AF128" i="13"/>
  <c r="BJ118" i="13"/>
  <c r="BI118" i="13"/>
  <c r="BH118" i="13"/>
  <c r="BG118" i="13"/>
  <c r="BE118" i="13"/>
  <c r="BD118" i="13"/>
  <c r="BC118" i="13"/>
  <c r="BB118" i="13"/>
  <c r="BA118" i="13"/>
  <c r="AW118" i="13"/>
  <c r="AQ118" i="13"/>
  <c r="AN118" i="13"/>
  <c r="AI118" i="13"/>
  <c r="AF118" i="13"/>
  <c r="BJ115" i="13"/>
  <c r="BI115" i="13"/>
  <c r="BH115" i="13"/>
  <c r="BG115" i="13"/>
  <c r="BE115" i="13"/>
  <c r="BD115" i="13"/>
  <c r="BC115" i="13"/>
  <c r="BB115" i="13"/>
  <c r="BA115" i="13"/>
  <c r="AW115" i="13"/>
  <c r="AQ115" i="13"/>
  <c r="AN115" i="13"/>
  <c r="AI115" i="13"/>
  <c r="AF115" i="13"/>
  <c r="BJ110" i="13"/>
  <c r="BI110" i="13"/>
  <c r="BH110" i="13"/>
  <c r="BG110" i="13"/>
  <c r="BE110" i="13"/>
  <c r="BD110" i="13"/>
  <c r="BC110" i="13"/>
  <c r="BB110" i="13"/>
  <c r="BA110" i="13"/>
  <c r="AW110" i="13"/>
  <c r="AQ110" i="13"/>
  <c r="AN110" i="13"/>
  <c r="AI110" i="13"/>
  <c r="AF110" i="13"/>
  <c r="BJ106" i="13"/>
  <c r="BI106" i="13"/>
  <c r="BH106" i="13"/>
  <c r="BG106" i="13"/>
  <c r="BE106" i="13"/>
  <c r="BD106" i="13"/>
  <c r="BC106" i="13"/>
  <c r="BB106" i="13"/>
  <c r="BA106" i="13"/>
  <c r="AW106" i="13"/>
  <c r="AQ106" i="13"/>
  <c r="AN106" i="13"/>
  <c r="AI106" i="13"/>
  <c r="AF106" i="13"/>
  <c r="BJ104" i="13"/>
  <c r="BI104" i="13"/>
  <c r="BH104" i="13"/>
  <c r="BG104" i="13"/>
  <c r="BE104" i="13"/>
  <c r="BD104" i="13"/>
  <c r="BC104" i="13"/>
  <c r="BB104" i="13"/>
  <c r="BA104" i="13"/>
  <c r="AW104" i="13"/>
  <c r="AQ104" i="13"/>
  <c r="AN104" i="13"/>
  <c r="AI104" i="13"/>
  <c r="AF104" i="13"/>
  <c r="BF106" i="13" l="1"/>
  <c r="BF128" i="13"/>
  <c r="BF104" i="13"/>
  <c r="BF166" i="13"/>
  <c r="BK179" i="13"/>
  <c r="BF118" i="13"/>
  <c r="BF176" i="13"/>
  <c r="BK175" i="13"/>
  <c r="BF179" i="13"/>
  <c r="BK115" i="13"/>
  <c r="BK110" i="13"/>
  <c r="BF115" i="13"/>
  <c r="BK169" i="13"/>
  <c r="BF175" i="13"/>
  <c r="BK106" i="13"/>
  <c r="BK172" i="13"/>
  <c r="BK118" i="13"/>
  <c r="BK176" i="13"/>
  <c r="BK128" i="13"/>
  <c r="BF169" i="13"/>
  <c r="BK104" i="13"/>
  <c r="BF110" i="13"/>
  <c r="BK166" i="13"/>
  <c r="BF172" i="13"/>
  <c r="AA54" i="26"/>
  <c r="Z54" i="26"/>
  <c r="S54" i="26"/>
  <c r="BJ100" i="13" l="1"/>
  <c r="BI100" i="13"/>
  <c r="BH100" i="13"/>
  <c r="BG100" i="13"/>
  <c r="BE100" i="13"/>
  <c r="BD100" i="13"/>
  <c r="BC100" i="13"/>
  <c r="BB100" i="13"/>
  <c r="BA100" i="13"/>
  <c r="AW100" i="13"/>
  <c r="AQ100" i="13"/>
  <c r="AN100" i="13"/>
  <c r="AI100" i="13"/>
  <c r="AF100" i="13"/>
  <c r="BJ99" i="13"/>
  <c r="BI99" i="13"/>
  <c r="BH99" i="13"/>
  <c r="BG99" i="13"/>
  <c r="BE99" i="13"/>
  <c r="BD99" i="13"/>
  <c r="BC99" i="13"/>
  <c r="BB99" i="13"/>
  <c r="BA99" i="13"/>
  <c r="AW99" i="13"/>
  <c r="AQ99" i="13"/>
  <c r="AN99" i="13"/>
  <c r="AI99" i="13"/>
  <c r="AF99" i="13"/>
  <c r="BJ98" i="13"/>
  <c r="BH98" i="13"/>
  <c r="BE98" i="13"/>
  <c r="BD98" i="13"/>
  <c r="BC98" i="13"/>
  <c r="BB98" i="13"/>
  <c r="BA98" i="13"/>
  <c r="AW98" i="13"/>
  <c r="AQ98" i="13"/>
  <c r="AN98" i="13"/>
  <c r="AI98" i="13"/>
  <c r="AF98" i="13"/>
  <c r="BJ97" i="13"/>
  <c r="BI97" i="13"/>
  <c r="BH97" i="13"/>
  <c r="BG97" i="13"/>
  <c r="BE97" i="13"/>
  <c r="BD97" i="13"/>
  <c r="BC97" i="13"/>
  <c r="BB97" i="13"/>
  <c r="BA97" i="13"/>
  <c r="AW97" i="13"/>
  <c r="AQ97" i="13"/>
  <c r="AN97" i="13"/>
  <c r="AI97" i="13"/>
  <c r="AF97" i="13"/>
  <c r="BJ96" i="13"/>
  <c r="BI96" i="13"/>
  <c r="BH96" i="13"/>
  <c r="BG96" i="13"/>
  <c r="BE96" i="13"/>
  <c r="BD96" i="13"/>
  <c r="BC96" i="13"/>
  <c r="BB96" i="13"/>
  <c r="BA96" i="13"/>
  <c r="AW96" i="13"/>
  <c r="AQ96" i="13"/>
  <c r="AN96" i="13"/>
  <c r="AI96" i="13"/>
  <c r="AF96" i="13"/>
  <c r="BJ95" i="13"/>
  <c r="BI95" i="13"/>
  <c r="BH95" i="13"/>
  <c r="BG95" i="13"/>
  <c r="BE95" i="13"/>
  <c r="BD95" i="13"/>
  <c r="BC95" i="13"/>
  <c r="BB95" i="13"/>
  <c r="BA95" i="13"/>
  <c r="AW95" i="13"/>
  <c r="AQ95" i="13"/>
  <c r="AN95" i="13"/>
  <c r="AI95" i="13"/>
  <c r="AF95" i="13"/>
  <c r="BJ94" i="13"/>
  <c r="BI94" i="13"/>
  <c r="BH94" i="13"/>
  <c r="BG94" i="13"/>
  <c r="BE94" i="13"/>
  <c r="BD94" i="13"/>
  <c r="BC94" i="13"/>
  <c r="BB94" i="13"/>
  <c r="BA94" i="13"/>
  <c r="AW94" i="13"/>
  <c r="AQ94" i="13"/>
  <c r="AN94" i="13"/>
  <c r="AI94" i="13"/>
  <c r="AF94" i="13"/>
  <c r="BJ76" i="13"/>
  <c r="BI76" i="13"/>
  <c r="BH76" i="13"/>
  <c r="BG76" i="13"/>
  <c r="BE76" i="13"/>
  <c r="BD76" i="13"/>
  <c r="BC76" i="13"/>
  <c r="BB76" i="13"/>
  <c r="BA76" i="13"/>
  <c r="AW76" i="13"/>
  <c r="AQ76" i="13"/>
  <c r="AN76" i="13"/>
  <c r="AI76" i="13"/>
  <c r="AF76" i="13"/>
  <c r="BJ63" i="13"/>
  <c r="BI63" i="13"/>
  <c r="BH63" i="13"/>
  <c r="BG63" i="13"/>
  <c r="BE63" i="13"/>
  <c r="BD63" i="13"/>
  <c r="BC63" i="13"/>
  <c r="BB63" i="13"/>
  <c r="BA63" i="13"/>
  <c r="AW63" i="13"/>
  <c r="AQ63" i="13"/>
  <c r="AN63" i="13"/>
  <c r="AI63" i="13"/>
  <c r="AF63" i="13"/>
  <c r="BJ62" i="13"/>
  <c r="BI62" i="13"/>
  <c r="BH62" i="13"/>
  <c r="BG62" i="13"/>
  <c r="BE62" i="13"/>
  <c r="BD62" i="13"/>
  <c r="BC62" i="13"/>
  <c r="BB62" i="13"/>
  <c r="BA62" i="13"/>
  <c r="AW62" i="13"/>
  <c r="AQ62" i="13"/>
  <c r="AN62" i="13"/>
  <c r="AI62" i="13"/>
  <c r="AF62" i="13"/>
  <c r="BJ61" i="13"/>
  <c r="BI61" i="13"/>
  <c r="BH61" i="13"/>
  <c r="BG61" i="13"/>
  <c r="BE61" i="13"/>
  <c r="BD61" i="13"/>
  <c r="BC61" i="13"/>
  <c r="BB61" i="13"/>
  <c r="BA61" i="13"/>
  <c r="AW61" i="13"/>
  <c r="AQ61" i="13"/>
  <c r="AN61" i="13"/>
  <c r="AI61" i="13"/>
  <c r="AF61" i="13"/>
  <c r="BJ60" i="13"/>
  <c r="BI60" i="13"/>
  <c r="BH60" i="13"/>
  <c r="BG60" i="13"/>
  <c r="BE60" i="13"/>
  <c r="BD60" i="13"/>
  <c r="BC60" i="13"/>
  <c r="BB60" i="13"/>
  <c r="BA60" i="13"/>
  <c r="AW60" i="13"/>
  <c r="AQ60" i="13"/>
  <c r="AN60" i="13"/>
  <c r="AI60" i="13"/>
  <c r="AF60" i="13"/>
  <c r="BJ59" i="13"/>
  <c r="BI59" i="13"/>
  <c r="BH59" i="13"/>
  <c r="BG59" i="13"/>
  <c r="BE59" i="13"/>
  <c r="BD59" i="13"/>
  <c r="BC59" i="13"/>
  <c r="BB59" i="13"/>
  <c r="BA59" i="13"/>
  <c r="AW59" i="13"/>
  <c r="AQ59" i="13"/>
  <c r="AN59" i="13"/>
  <c r="AI59" i="13"/>
  <c r="AF59" i="13"/>
  <c r="BJ58" i="13"/>
  <c r="BI58" i="13"/>
  <c r="BH58" i="13"/>
  <c r="BG58" i="13"/>
  <c r="BE58" i="13"/>
  <c r="BD58" i="13"/>
  <c r="BC58" i="13"/>
  <c r="BB58" i="13"/>
  <c r="BA58" i="13"/>
  <c r="AW58" i="13"/>
  <c r="AQ58" i="13"/>
  <c r="AN58" i="13"/>
  <c r="AI58" i="13"/>
  <c r="AF58" i="13"/>
  <c r="BJ48" i="13"/>
  <c r="BI48" i="13"/>
  <c r="BH48" i="13"/>
  <c r="BG48" i="13"/>
  <c r="BE48" i="13"/>
  <c r="BD48" i="13"/>
  <c r="BC48" i="13"/>
  <c r="BB48" i="13"/>
  <c r="BA48" i="13"/>
  <c r="AW48" i="13"/>
  <c r="AQ48" i="13"/>
  <c r="AN48" i="13"/>
  <c r="AI48" i="13"/>
  <c r="AF48" i="13"/>
  <c r="BJ47" i="13"/>
  <c r="BI47" i="13"/>
  <c r="BH47" i="13"/>
  <c r="BG47" i="13"/>
  <c r="BE47" i="13"/>
  <c r="BD47" i="13"/>
  <c r="BC47" i="13"/>
  <c r="BB47" i="13"/>
  <c r="BA47" i="13"/>
  <c r="AW47" i="13"/>
  <c r="AQ47" i="13"/>
  <c r="AN47" i="13"/>
  <c r="AI47" i="13"/>
  <c r="AF47" i="13"/>
  <c r="BJ46" i="13"/>
  <c r="BI46" i="13"/>
  <c r="BH46" i="13"/>
  <c r="BG46" i="13"/>
  <c r="BE46" i="13"/>
  <c r="BD46" i="13"/>
  <c r="BC46" i="13"/>
  <c r="BB46" i="13"/>
  <c r="BA46" i="13"/>
  <c r="AW46" i="13"/>
  <c r="AQ46" i="13"/>
  <c r="AN46" i="13"/>
  <c r="AI46" i="13"/>
  <c r="AF46" i="13"/>
  <c r="BJ45" i="13"/>
  <c r="BI45" i="13"/>
  <c r="BH45" i="13"/>
  <c r="BG45" i="13"/>
  <c r="BE45" i="13"/>
  <c r="BD45" i="13"/>
  <c r="BC45" i="13"/>
  <c r="BB45" i="13"/>
  <c r="BA45" i="13"/>
  <c r="AW45" i="13"/>
  <c r="AQ45" i="13"/>
  <c r="AN45" i="13"/>
  <c r="AI45" i="13"/>
  <c r="AF45" i="13"/>
  <c r="BJ44" i="13"/>
  <c r="BI44" i="13"/>
  <c r="BH44" i="13"/>
  <c r="BG44" i="13"/>
  <c r="BE44" i="13"/>
  <c r="BD44" i="13"/>
  <c r="BC44" i="13"/>
  <c r="BB44" i="13"/>
  <c r="BA44" i="13"/>
  <c r="AW44" i="13"/>
  <c r="AQ44" i="13"/>
  <c r="AN44" i="13"/>
  <c r="AI44" i="13"/>
  <c r="AF44" i="13"/>
  <c r="BJ43" i="13"/>
  <c r="BI43" i="13"/>
  <c r="BH43" i="13"/>
  <c r="BG43" i="13"/>
  <c r="BE43" i="13"/>
  <c r="BD43" i="13"/>
  <c r="BC43" i="13"/>
  <c r="BB43" i="13"/>
  <c r="BA43" i="13"/>
  <c r="AW43" i="13"/>
  <c r="AQ43" i="13"/>
  <c r="AN43" i="13"/>
  <c r="AI43" i="13"/>
  <c r="AF43" i="13"/>
  <c r="BJ42" i="13"/>
  <c r="BI42" i="13"/>
  <c r="BH42" i="13"/>
  <c r="BG42" i="13"/>
  <c r="BE42" i="13"/>
  <c r="BD42" i="13"/>
  <c r="BC42" i="13"/>
  <c r="BB42" i="13"/>
  <c r="BA42" i="13"/>
  <c r="AW42" i="13"/>
  <c r="AQ42" i="13"/>
  <c r="AN42" i="13"/>
  <c r="AI42" i="13"/>
  <c r="AF42" i="13"/>
  <c r="BJ41" i="13"/>
  <c r="BI41" i="13"/>
  <c r="BH41" i="13"/>
  <c r="BG41" i="13"/>
  <c r="BE41" i="13"/>
  <c r="BD41" i="13"/>
  <c r="BC41" i="13"/>
  <c r="BB41" i="13"/>
  <c r="BA41" i="13"/>
  <c r="AW41" i="13"/>
  <c r="AQ41" i="13"/>
  <c r="AN41" i="13"/>
  <c r="AI41" i="13"/>
  <c r="AF41" i="13"/>
  <c r="BJ40" i="13"/>
  <c r="BI40" i="13"/>
  <c r="BH40" i="13"/>
  <c r="BG40" i="13"/>
  <c r="BE40" i="13"/>
  <c r="BD40" i="13"/>
  <c r="BC40" i="13"/>
  <c r="BB40" i="13"/>
  <c r="BA40" i="13"/>
  <c r="AW40" i="13"/>
  <c r="AQ40" i="13"/>
  <c r="AN40" i="13"/>
  <c r="AI40" i="13"/>
  <c r="AF40" i="13"/>
  <c r="BJ39" i="13"/>
  <c r="BI39" i="13"/>
  <c r="BH39" i="13"/>
  <c r="BG39" i="13"/>
  <c r="BE39" i="13"/>
  <c r="BD39" i="13"/>
  <c r="BC39" i="13"/>
  <c r="BB39" i="13"/>
  <c r="BA39" i="13"/>
  <c r="AW39" i="13"/>
  <c r="AQ39" i="13"/>
  <c r="AN39" i="13"/>
  <c r="AI39" i="13"/>
  <c r="AF39" i="13"/>
  <c r="BJ38" i="13"/>
  <c r="BI38" i="13"/>
  <c r="BH38" i="13"/>
  <c r="BG38" i="13"/>
  <c r="BE38" i="13"/>
  <c r="BD38" i="13"/>
  <c r="BC38" i="13"/>
  <c r="BB38" i="13"/>
  <c r="BA38" i="13"/>
  <c r="AW38" i="13"/>
  <c r="AQ38" i="13"/>
  <c r="AN38" i="13"/>
  <c r="AI38" i="13"/>
  <c r="AF38" i="13"/>
  <c r="BJ37" i="13"/>
  <c r="BI37" i="13"/>
  <c r="BH37" i="13"/>
  <c r="BG37" i="13"/>
  <c r="BE37" i="13"/>
  <c r="BD37" i="13"/>
  <c r="BC37" i="13"/>
  <c r="BB37" i="13"/>
  <c r="BA37" i="13"/>
  <c r="AW37" i="13"/>
  <c r="AQ37" i="13"/>
  <c r="AN37" i="13"/>
  <c r="AI37" i="13"/>
  <c r="AF37" i="13"/>
  <c r="BJ36" i="13"/>
  <c r="BI36" i="13"/>
  <c r="BH36" i="13"/>
  <c r="BG36" i="13"/>
  <c r="BE36" i="13"/>
  <c r="BD36" i="13"/>
  <c r="BC36" i="13"/>
  <c r="BB36" i="13"/>
  <c r="BA36" i="13"/>
  <c r="AW36" i="13"/>
  <c r="AQ36" i="13"/>
  <c r="AN36" i="13"/>
  <c r="AI36" i="13"/>
  <c r="AF36" i="13"/>
  <c r="BJ35" i="13"/>
  <c r="BI35" i="13"/>
  <c r="BH35" i="13"/>
  <c r="BG35" i="13"/>
  <c r="BE35" i="13"/>
  <c r="BD35" i="13"/>
  <c r="BC35" i="13"/>
  <c r="BB35" i="13"/>
  <c r="BA35" i="13"/>
  <c r="AW35" i="13"/>
  <c r="AQ35" i="13"/>
  <c r="AN35" i="13"/>
  <c r="AI35" i="13"/>
  <c r="AF35" i="13"/>
  <c r="BJ34" i="13"/>
  <c r="BI34" i="13"/>
  <c r="BH34" i="13"/>
  <c r="BG34" i="13"/>
  <c r="BE34" i="13"/>
  <c r="BD34" i="13"/>
  <c r="BC34" i="13"/>
  <c r="BB34" i="13"/>
  <c r="BA34" i="13"/>
  <c r="AW34" i="13"/>
  <c r="AQ34" i="13"/>
  <c r="AN34" i="13"/>
  <c r="AI34" i="13"/>
  <c r="AF34" i="13"/>
  <c r="BJ33" i="13"/>
  <c r="BI33" i="13"/>
  <c r="BH33" i="13"/>
  <c r="BG33" i="13"/>
  <c r="BE33" i="13"/>
  <c r="BD33" i="13"/>
  <c r="BC33" i="13"/>
  <c r="BB33" i="13"/>
  <c r="BA33" i="13"/>
  <c r="AW33" i="13"/>
  <c r="AQ33" i="13"/>
  <c r="AN33" i="13"/>
  <c r="AI33" i="13"/>
  <c r="AF33" i="13"/>
  <c r="BJ32" i="13"/>
  <c r="BI32" i="13"/>
  <c r="BH32" i="13"/>
  <c r="BG32" i="13"/>
  <c r="BE32" i="13"/>
  <c r="BD32" i="13"/>
  <c r="BC32" i="13"/>
  <c r="BB32" i="13"/>
  <c r="BA32" i="13"/>
  <c r="AW32" i="13"/>
  <c r="AQ32" i="13"/>
  <c r="AN32" i="13"/>
  <c r="AI32" i="13"/>
  <c r="AF32" i="13"/>
  <c r="BJ31" i="13"/>
  <c r="BI31" i="13"/>
  <c r="BH31" i="13"/>
  <c r="BG31" i="13"/>
  <c r="BE31" i="13"/>
  <c r="BD31" i="13"/>
  <c r="BC31" i="13"/>
  <c r="BB31" i="13"/>
  <c r="BA31" i="13"/>
  <c r="AW31" i="13"/>
  <c r="AQ31" i="13"/>
  <c r="AN31" i="13"/>
  <c r="AI31" i="13"/>
  <c r="AF31" i="13"/>
  <c r="BJ30" i="13"/>
  <c r="BI30" i="13"/>
  <c r="BH30" i="13"/>
  <c r="BG30" i="13"/>
  <c r="BE30" i="13"/>
  <c r="BD30" i="13"/>
  <c r="BC30" i="13"/>
  <c r="BB30" i="13"/>
  <c r="BA30" i="13"/>
  <c r="AW30" i="13"/>
  <c r="AQ30" i="13"/>
  <c r="AN30" i="13"/>
  <c r="AI30" i="13"/>
  <c r="AF30" i="13"/>
  <c r="BJ29" i="13"/>
  <c r="BI29" i="13"/>
  <c r="BH29" i="13"/>
  <c r="BG29" i="13"/>
  <c r="BE29" i="13"/>
  <c r="BD29" i="13"/>
  <c r="BC29" i="13"/>
  <c r="BB29" i="13"/>
  <c r="BA29" i="13"/>
  <c r="AW29" i="13"/>
  <c r="AQ29" i="13"/>
  <c r="AN29" i="13"/>
  <c r="AI29" i="13"/>
  <c r="AF29" i="13"/>
  <c r="BJ28" i="13"/>
  <c r="BI28" i="13"/>
  <c r="BH28" i="13"/>
  <c r="BG28" i="13"/>
  <c r="BE28" i="13"/>
  <c r="BD28" i="13"/>
  <c r="BC28" i="13"/>
  <c r="BB28" i="13"/>
  <c r="BA28" i="13"/>
  <c r="AW28" i="13"/>
  <c r="AQ28" i="13"/>
  <c r="AN28" i="13"/>
  <c r="AI28" i="13"/>
  <c r="AF28" i="13"/>
  <c r="BJ27" i="13"/>
  <c r="BI27" i="13"/>
  <c r="BH27" i="13"/>
  <c r="BG27" i="13"/>
  <c r="BE27" i="13"/>
  <c r="BD27" i="13"/>
  <c r="BC27" i="13"/>
  <c r="BB27" i="13"/>
  <c r="BA27" i="13"/>
  <c r="AW27" i="13"/>
  <c r="AQ27" i="13"/>
  <c r="AN27" i="13"/>
  <c r="AI27" i="13"/>
  <c r="AF27" i="13"/>
  <c r="BJ26" i="13"/>
  <c r="BI26" i="13"/>
  <c r="BH26" i="13"/>
  <c r="BG26" i="13"/>
  <c r="BE26" i="13"/>
  <c r="BD26" i="13"/>
  <c r="BC26" i="13"/>
  <c r="BB26" i="13"/>
  <c r="BA26" i="13"/>
  <c r="AW26" i="13"/>
  <c r="AQ26" i="13"/>
  <c r="AN26" i="13"/>
  <c r="AI26" i="13"/>
  <c r="AF26" i="13"/>
  <c r="BJ25" i="13"/>
  <c r="BI25" i="13"/>
  <c r="BH25" i="13"/>
  <c r="BG25" i="13"/>
  <c r="BE25" i="13"/>
  <c r="BD25" i="13"/>
  <c r="BC25" i="13"/>
  <c r="BB25" i="13"/>
  <c r="BA25" i="13"/>
  <c r="AW25" i="13"/>
  <c r="AQ25" i="13"/>
  <c r="AN25" i="13"/>
  <c r="AI25" i="13"/>
  <c r="AF25" i="13"/>
  <c r="BJ24" i="13"/>
  <c r="BI24" i="13"/>
  <c r="BH24" i="13"/>
  <c r="BG24" i="13"/>
  <c r="BE24" i="13"/>
  <c r="BD24" i="13"/>
  <c r="BC24" i="13"/>
  <c r="BB24" i="13"/>
  <c r="BA24" i="13"/>
  <c r="AW24" i="13"/>
  <c r="AQ24" i="13"/>
  <c r="AN24" i="13"/>
  <c r="AI24" i="13"/>
  <c r="AF24" i="13"/>
  <c r="BJ23" i="13"/>
  <c r="BI23" i="13"/>
  <c r="BH23" i="13"/>
  <c r="BG23" i="13"/>
  <c r="BE23" i="13"/>
  <c r="BD23" i="13"/>
  <c r="BC23" i="13"/>
  <c r="BB23" i="13"/>
  <c r="BA23" i="13"/>
  <c r="AW23" i="13"/>
  <c r="AQ23" i="13"/>
  <c r="AN23" i="13"/>
  <c r="AI23" i="13"/>
  <c r="AF23" i="13"/>
  <c r="BJ22" i="13"/>
  <c r="BI22" i="13"/>
  <c r="BH22" i="13"/>
  <c r="BG22" i="13"/>
  <c r="BE22" i="13"/>
  <c r="BD22" i="13"/>
  <c r="BC22" i="13"/>
  <c r="BB22" i="13"/>
  <c r="BA22" i="13"/>
  <c r="AW22" i="13"/>
  <c r="AQ22" i="13"/>
  <c r="AN22" i="13"/>
  <c r="AI22" i="13"/>
  <c r="AF22" i="13"/>
  <c r="BG93" i="13"/>
  <c r="AW93" i="13"/>
  <c r="AN93" i="13"/>
  <c r="AQ93" i="13"/>
  <c r="E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O93" i="13"/>
  <c r="AP93" i="13"/>
  <c r="AR93" i="13"/>
  <c r="AS93" i="13"/>
  <c r="AT93" i="13"/>
  <c r="AU93" i="13"/>
  <c r="AV93" i="13"/>
  <c r="AX93" i="13"/>
  <c r="AY93" i="13"/>
  <c r="AZ93" i="13"/>
  <c r="BA93" i="13"/>
  <c r="BJ74" i="13"/>
  <c r="BI74" i="13"/>
  <c r="BH74" i="13"/>
  <c r="BG74" i="13"/>
  <c r="BE74" i="13"/>
  <c r="BD74" i="13"/>
  <c r="BC74" i="13"/>
  <c r="BB74" i="13"/>
  <c r="BA74" i="13"/>
  <c r="AW74" i="13"/>
  <c r="AQ74" i="13"/>
  <c r="AN74" i="13"/>
  <c r="AI74" i="13"/>
  <c r="AF74" i="13"/>
  <c r="BJ73" i="13"/>
  <c r="BI73" i="13"/>
  <c r="BH73" i="13"/>
  <c r="BG73" i="13"/>
  <c r="BE73" i="13"/>
  <c r="BD73" i="13"/>
  <c r="BC73" i="13"/>
  <c r="BB73" i="13"/>
  <c r="BA73" i="13"/>
  <c r="AW73" i="13"/>
  <c r="AQ73" i="13"/>
  <c r="AN73" i="13"/>
  <c r="AI73" i="13"/>
  <c r="AF73" i="13"/>
  <c r="BJ72" i="13"/>
  <c r="BI72" i="13"/>
  <c r="BH72" i="13"/>
  <c r="BG72" i="13"/>
  <c r="BE72" i="13"/>
  <c r="BD72" i="13"/>
  <c r="BC72" i="13"/>
  <c r="BB72" i="13"/>
  <c r="BA72" i="13"/>
  <c r="AW72" i="13"/>
  <c r="AQ72" i="13"/>
  <c r="AN72" i="13"/>
  <c r="AI72" i="13"/>
  <c r="AF72" i="13"/>
  <c r="BJ71" i="13"/>
  <c r="BI71" i="13"/>
  <c r="BH71" i="13"/>
  <c r="BG71" i="13"/>
  <c r="BE71" i="13"/>
  <c r="BD71" i="13"/>
  <c r="BC71" i="13"/>
  <c r="BB71" i="13"/>
  <c r="BA71" i="13"/>
  <c r="AW71" i="13"/>
  <c r="AQ71" i="13"/>
  <c r="AN71" i="13"/>
  <c r="AI71" i="13"/>
  <c r="AF71" i="13"/>
  <c r="BJ70" i="13"/>
  <c r="BI70" i="13"/>
  <c r="BH70" i="13"/>
  <c r="BG70" i="13"/>
  <c r="BE70" i="13"/>
  <c r="BD70" i="13"/>
  <c r="BC70" i="13"/>
  <c r="BB70" i="13"/>
  <c r="BA70" i="13"/>
  <c r="AW70" i="13"/>
  <c r="AQ70" i="13"/>
  <c r="AN70" i="13"/>
  <c r="AI70" i="13"/>
  <c r="AF70" i="13"/>
  <c r="BJ69" i="13"/>
  <c r="BI69" i="13"/>
  <c r="BH69" i="13"/>
  <c r="BG69" i="13"/>
  <c r="BE69" i="13"/>
  <c r="BD69" i="13"/>
  <c r="BC69" i="13"/>
  <c r="BB69" i="13"/>
  <c r="BA69" i="13"/>
  <c r="AW69" i="13"/>
  <c r="AQ69" i="13"/>
  <c r="AN69" i="13"/>
  <c r="AI69" i="13"/>
  <c r="AF69" i="13"/>
  <c r="BJ68" i="13"/>
  <c r="BI68" i="13"/>
  <c r="BH68" i="13"/>
  <c r="BG68" i="13"/>
  <c r="BE68" i="13"/>
  <c r="BD68" i="13"/>
  <c r="BC68" i="13"/>
  <c r="BB68" i="13"/>
  <c r="BA68" i="13"/>
  <c r="AW68" i="13"/>
  <c r="AQ68" i="13"/>
  <c r="AN68" i="13"/>
  <c r="AI68" i="13"/>
  <c r="AF68" i="13"/>
  <c r="BJ66" i="13"/>
  <c r="BI66" i="13"/>
  <c r="BH66" i="13"/>
  <c r="BG66" i="13"/>
  <c r="BE66" i="13"/>
  <c r="BD66" i="13"/>
  <c r="BC66" i="13"/>
  <c r="BB66" i="13"/>
  <c r="BA66" i="13"/>
  <c r="AW66" i="13"/>
  <c r="AQ66" i="13"/>
  <c r="AI66" i="13"/>
  <c r="BJ55" i="13"/>
  <c r="BI55" i="13"/>
  <c r="BH55" i="13"/>
  <c r="BG55" i="13"/>
  <c r="BE55" i="13"/>
  <c r="BD55" i="13"/>
  <c r="BC55" i="13"/>
  <c r="BB55" i="13"/>
  <c r="BA55" i="13"/>
  <c r="AW55" i="13"/>
  <c r="AQ55" i="13"/>
  <c r="AN55" i="13"/>
  <c r="AI55" i="13"/>
  <c r="AF55" i="13"/>
  <c r="BJ53" i="13"/>
  <c r="BI53" i="13"/>
  <c r="BH53" i="13"/>
  <c r="BG53" i="13"/>
  <c r="BE53" i="13"/>
  <c r="BD53" i="13"/>
  <c r="BC53" i="13"/>
  <c r="BB53" i="13"/>
  <c r="BA53" i="13"/>
  <c r="AW53" i="13"/>
  <c r="AQ53" i="13"/>
  <c r="AN53" i="13"/>
  <c r="AI53" i="13"/>
  <c r="AF53" i="13"/>
  <c r="BJ51" i="13"/>
  <c r="BI51" i="13"/>
  <c r="BH51" i="13"/>
  <c r="BG51" i="13"/>
  <c r="BE51" i="13"/>
  <c r="BD51" i="13"/>
  <c r="BC51" i="13"/>
  <c r="BB51" i="13"/>
  <c r="BA51" i="13"/>
  <c r="AW51" i="13"/>
  <c r="AQ51" i="13"/>
  <c r="AN51" i="13"/>
  <c r="AI51" i="13"/>
  <c r="AF51" i="13"/>
  <c r="BK100" i="13" l="1"/>
  <c r="BK22" i="13"/>
  <c r="BK28" i="13"/>
  <c r="BF30" i="13"/>
  <c r="BK34" i="13"/>
  <c r="BF36" i="13"/>
  <c r="BK40" i="13"/>
  <c r="BK94" i="13"/>
  <c r="BK46" i="13"/>
  <c r="BK37" i="13"/>
  <c r="BF39" i="13"/>
  <c r="BK76" i="13"/>
  <c r="BF95" i="13"/>
  <c r="BK99" i="13"/>
  <c r="BF48" i="13"/>
  <c r="BK43" i="13"/>
  <c r="BF61" i="13"/>
  <c r="BK44" i="13"/>
  <c r="BK29" i="13"/>
  <c r="BF31" i="13"/>
  <c r="BK35" i="13"/>
  <c r="BK41" i="13"/>
  <c r="BF76" i="13"/>
  <c r="BK98" i="13"/>
  <c r="BF100" i="13"/>
  <c r="BF46" i="13"/>
  <c r="BK42" i="13"/>
  <c r="BK48" i="13"/>
  <c r="BF94" i="13"/>
  <c r="BF22" i="13"/>
  <c r="BK26" i="13"/>
  <c r="BF28" i="13"/>
  <c r="BF34" i="13"/>
  <c r="BK59" i="13"/>
  <c r="BF24" i="13"/>
  <c r="BK96" i="13"/>
  <c r="BF98" i="13"/>
  <c r="BK62" i="13"/>
  <c r="BK63" i="13"/>
  <c r="BK51" i="13"/>
  <c r="BK97" i="13"/>
  <c r="BK24" i="13"/>
  <c r="BK30" i="13"/>
  <c r="BF99" i="13"/>
  <c r="BK38" i="13"/>
  <c r="BK71" i="13"/>
  <c r="BK39" i="13"/>
  <c r="BF29" i="13"/>
  <c r="BF35" i="13"/>
  <c r="BK45" i="13"/>
  <c r="BK60" i="13"/>
  <c r="BK32" i="13"/>
  <c r="BF59" i="13"/>
  <c r="BF23" i="13"/>
  <c r="BK27" i="13"/>
  <c r="BK33" i="13"/>
  <c r="BF40" i="13"/>
  <c r="BF45" i="13"/>
  <c r="BK58" i="13"/>
  <c r="BF60" i="13"/>
  <c r="BF41" i="13"/>
  <c r="BF44" i="13"/>
  <c r="BK68" i="13"/>
  <c r="BK74" i="13"/>
  <c r="BF25" i="13"/>
  <c r="BK23" i="13"/>
  <c r="BF37" i="13"/>
  <c r="BF42" i="13"/>
  <c r="BF47" i="13"/>
  <c r="BF62" i="13"/>
  <c r="BF96" i="13"/>
  <c r="BF26" i="13"/>
  <c r="BF32" i="13"/>
  <c r="BK36" i="13"/>
  <c r="BF43" i="13"/>
  <c r="BK61" i="13"/>
  <c r="BF63" i="13"/>
  <c r="BK95" i="13"/>
  <c r="BF97" i="13"/>
  <c r="BK25" i="13"/>
  <c r="BF27" i="13"/>
  <c r="BK31" i="13"/>
  <c r="BF33" i="13"/>
  <c r="BF38" i="13"/>
  <c r="BK47" i="13"/>
  <c r="BF58" i="13"/>
  <c r="BF73" i="13"/>
  <c r="BK55" i="13"/>
  <c r="BK66" i="13"/>
  <c r="BF69" i="13"/>
  <c r="BK73" i="13"/>
  <c r="BK70" i="13"/>
  <c r="BF72" i="13"/>
  <c r="BH93" i="13"/>
  <c r="BF70" i="13"/>
  <c r="BI93" i="13"/>
  <c r="BF51" i="13"/>
  <c r="BK69" i="13"/>
  <c r="BF71" i="13"/>
  <c r="BJ93" i="13"/>
  <c r="BF53" i="13"/>
  <c r="BD93" i="13"/>
  <c r="BB93" i="13"/>
  <c r="BF55" i="13"/>
  <c r="BC93" i="13"/>
  <c r="BF66" i="13"/>
  <c r="BK53" i="13"/>
  <c r="BF68" i="13"/>
  <c r="BK72" i="13"/>
  <c r="BF74" i="13"/>
  <c r="BE93" i="13"/>
  <c r="BF93" i="13" l="1"/>
  <c r="BK93" i="13"/>
  <c r="BH20" i="13" l="1"/>
  <c r="BK20" i="13" s="1"/>
  <c r="BG20" i="13"/>
  <c r="BE20" i="13"/>
  <c r="BD20" i="13"/>
  <c r="BC20" i="13"/>
  <c r="BB20" i="13"/>
  <c r="BA20" i="13"/>
  <c r="AW20" i="13"/>
  <c r="AN20" i="13"/>
  <c r="AI20" i="13"/>
  <c r="AF20" i="13"/>
  <c r="BJ19" i="13"/>
  <c r="BI19" i="13"/>
  <c r="BH19" i="13"/>
  <c r="BG19" i="13"/>
  <c r="BE19" i="13"/>
  <c r="BD19" i="13"/>
  <c r="BC19" i="13"/>
  <c r="BB19" i="13"/>
  <c r="BA19" i="13"/>
  <c r="AW19" i="13"/>
  <c r="AQ19" i="13"/>
  <c r="AN19" i="13"/>
  <c r="AI19" i="13"/>
  <c r="AF19" i="13"/>
  <c r="BJ18" i="13"/>
  <c r="BI18" i="13"/>
  <c r="BH18" i="13"/>
  <c r="BG18" i="13"/>
  <c r="BE18" i="13"/>
  <c r="BD18" i="13"/>
  <c r="BC18" i="13"/>
  <c r="BB18" i="13"/>
  <c r="BA18" i="13"/>
  <c r="AW18" i="13"/>
  <c r="AQ18" i="13"/>
  <c r="AN18" i="13"/>
  <c r="AI18" i="13"/>
  <c r="AF18" i="13"/>
  <c r="BJ17" i="13"/>
  <c r="BI17" i="13"/>
  <c r="BH17" i="13"/>
  <c r="BG17" i="13"/>
  <c r="BE17" i="13"/>
  <c r="BD17" i="13"/>
  <c r="BC17" i="13"/>
  <c r="BB17" i="13"/>
  <c r="BA17" i="13"/>
  <c r="AF17" i="13"/>
  <c r="BJ16" i="13"/>
  <c r="BI16" i="13"/>
  <c r="BH16" i="13"/>
  <c r="BG16" i="13"/>
  <c r="BE16" i="13"/>
  <c r="BD16" i="13"/>
  <c r="BC16" i="13"/>
  <c r="BB16" i="13"/>
  <c r="BA16" i="13"/>
  <c r="AW16" i="13"/>
  <c r="AQ16" i="13"/>
  <c r="AN16" i="13"/>
  <c r="AI16" i="13"/>
  <c r="AF16" i="13"/>
  <c r="BJ15" i="13"/>
  <c r="BI15" i="13"/>
  <c r="BH15" i="13"/>
  <c r="BK15" i="13" s="1"/>
  <c r="BG15" i="13"/>
  <c r="BE15" i="13"/>
  <c r="BD15" i="13"/>
  <c r="BC15" i="13"/>
  <c r="BB15" i="13"/>
  <c r="BA15" i="13"/>
  <c r="AW15" i="13"/>
  <c r="AQ15" i="13"/>
  <c r="BJ14" i="13"/>
  <c r="BI14" i="13"/>
  <c r="BH14" i="13"/>
  <c r="BG14" i="13"/>
  <c r="BE14" i="13"/>
  <c r="BD14" i="13"/>
  <c r="BC14" i="13"/>
  <c r="BB14" i="13"/>
  <c r="BA14" i="13"/>
  <c r="AW14" i="13"/>
  <c r="AQ14" i="13"/>
  <c r="AN14" i="13"/>
  <c r="AI14" i="13"/>
  <c r="AF14" i="13"/>
  <c r="BJ13" i="13"/>
  <c r="BI13" i="13"/>
  <c r="BH13" i="13"/>
  <c r="BE13" i="13"/>
  <c r="BD13" i="13"/>
  <c r="BC13" i="13"/>
  <c r="BB13" i="13"/>
  <c r="BA13" i="13"/>
  <c r="AW13" i="13"/>
  <c r="AQ13" i="13"/>
  <c r="AN13" i="13"/>
  <c r="AI13" i="13"/>
  <c r="AF13" i="13"/>
  <c r="BJ12" i="13"/>
  <c r="BI12" i="13"/>
  <c r="BH12" i="13"/>
  <c r="BG12" i="13"/>
  <c r="BE12" i="13"/>
  <c r="BD12" i="13"/>
  <c r="BC12" i="13"/>
  <c r="BB12" i="13"/>
  <c r="BA12" i="13"/>
  <c r="AW12" i="13"/>
  <c r="AQ12" i="13"/>
  <c r="AN12" i="13"/>
  <c r="AI12" i="13"/>
  <c r="AF12" i="13"/>
  <c r="BJ10" i="13"/>
  <c r="BI10" i="13"/>
  <c r="BH10" i="13"/>
  <c r="BG10" i="13"/>
  <c r="BE10" i="13"/>
  <c r="BD10" i="13"/>
  <c r="BC10" i="13"/>
  <c r="BB10" i="13"/>
  <c r="BA10" i="13"/>
  <c r="AW10" i="13"/>
  <c r="AQ10" i="13"/>
  <c r="AN10" i="13"/>
  <c r="AI10" i="13"/>
  <c r="AF10" i="13"/>
  <c r="BJ9" i="13"/>
  <c r="BI9" i="13"/>
  <c r="BH9" i="13"/>
  <c r="BG9" i="13"/>
  <c r="BE9" i="13"/>
  <c r="BD9" i="13"/>
  <c r="BC9" i="13"/>
  <c r="BB9" i="13"/>
  <c r="BA9" i="13"/>
  <c r="AW9" i="13"/>
  <c r="AQ9" i="13"/>
  <c r="AN9" i="13"/>
  <c r="AI9" i="13"/>
  <c r="AF9" i="13"/>
  <c r="BJ8" i="13"/>
  <c r="BI8" i="13"/>
  <c r="BH8" i="13"/>
  <c r="BG8" i="13"/>
  <c r="BE8" i="13"/>
  <c r="BD8" i="13"/>
  <c r="BC8" i="13"/>
  <c r="BB8" i="13"/>
  <c r="AN8" i="13"/>
  <c r="AI8" i="13"/>
  <c r="AF8" i="13"/>
  <c r="BF19" i="13" l="1"/>
  <c r="BF13" i="13"/>
  <c r="BK14" i="13"/>
  <c r="BF15" i="13"/>
  <c r="BF17" i="13"/>
  <c r="BF10" i="13"/>
  <c r="BF18" i="13"/>
  <c r="BK19" i="13"/>
  <c r="BK9" i="13"/>
  <c r="BF12" i="13"/>
  <c r="BF9" i="13"/>
  <c r="BF8" i="13"/>
  <c r="BK17" i="13"/>
  <c r="BF20" i="13"/>
  <c r="BK18" i="13"/>
  <c r="BK8" i="13"/>
  <c r="BK16" i="13"/>
  <c r="BK10" i="13"/>
  <c r="BF14" i="13"/>
  <c r="BK12" i="13"/>
  <c r="BF16" i="13"/>
  <c r="BK13" i="13"/>
  <c r="Y9" i="31" l="1"/>
  <c r="X9" i="31"/>
  <c r="W9" i="31"/>
  <c r="V9" i="31"/>
  <c r="U9" i="31"/>
  <c r="T9" i="31"/>
  <c r="S9" i="31"/>
  <c r="R9" i="31"/>
  <c r="O9" i="31"/>
  <c r="N9" i="31"/>
  <c r="M9" i="31"/>
  <c r="L9" i="31"/>
  <c r="D9" i="31"/>
  <c r="AC8" i="31"/>
  <c r="AB8" i="31"/>
  <c r="AA8" i="31"/>
  <c r="Z8" i="31"/>
  <c r="Q8" i="31"/>
  <c r="P8" i="31"/>
  <c r="AC7" i="31"/>
  <c r="AC9" i="31" s="1"/>
  <c r="AB7" i="31"/>
  <c r="AB9" i="31" s="1"/>
  <c r="AA7" i="31"/>
  <c r="AA9" i="31" s="1"/>
  <c r="Z7" i="31"/>
  <c r="Z9" i="31" s="1"/>
  <c r="Q7" i="31"/>
  <c r="Q9" i="31" s="1"/>
  <c r="P7" i="31"/>
  <c r="P9" i="31" s="1"/>
  <c r="Y8" i="30"/>
  <c r="X8" i="30"/>
  <c r="W8" i="30"/>
  <c r="V8" i="30"/>
  <c r="U8" i="30"/>
  <c r="T8" i="30"/>
  <c r="S8" i="30"/>
  <c r="R8" i="30"/>
  <c r="Q8" i="30"/>
  <c r="O8" i="30"/>
  <c r="N8" i="30"/>
  <c r="M8" i="30"/>
  <c r="L8" i="30"/>
  <c r="D8" i="30"/>
  <c r="Z7" i="30"/>
  <c r="Z8" i="30" s="1"/>
  <c r="Y7" i="30"/>
  <c r="P7" i="30"/>
  <c r="Z6" i="30"/>
  <c r="Y6" i="30"/>
  <c r="P6" i="30"/>
  <c r="P8" i="30" s="1"/>
  <c r="V9" i="29"/>
  <c r="U9" i="29"/>
  <c r="T9" i="29"/>
  <c r="S9" i="29"/>
  <c r="R9" i="29"/>
  <c r="Q9" i="29"/>
  <c r="O9" i="29"/>
  <c r="N9" i="29"/>
  <c r="M9" i="29"/>
  <c r="D9" i="29"/>
  <c r="X8" i="29"/>
  <c r="W8" i="29"/>
  <c r="X7" i="29"/>
  <c r="W7" i="29"/>
  <c r="W9" i="29" s="1"/>
  <c r="P7" i="29"/>
  <c r="X6" i="29"/>
  <c r="X9" i="29" s="1"/>
  <c r="W6" i="29"/>
  <c r="P6" i="29"/>
  <c r="P9" i="29" s="1"/>
  <c r="AE201" i="26" l="1"/>
  <c r="AD201" i="26"/>
  <c r="AC201" i="26"/>
  <c r="AB201" i="26"/>
  <c r="Y201" i="26"/>
  <c r="X201" i="26"/>
  <c r="W201" i="26"/>
  <c r="V201" i="26"/>
  <c r="U201" i="26"/>
  <c r="T201" i="26"/>
  <c r="R201" i="26"/>
  <c r="Q201" i="26"/>
  <c r="P201" i="26"/>
  <c r="O201" i="26"/>
  <c r="N201" i="26"/>
  <c r="D201" i="26"/>
  <c r="AA200" i="26"/>
  <c r="Z200" i="26"/>
  <c r="S200" i="26"/>
  <c r="AA199" i="26"/>
  <c r="Z199" i="26"/>
  <c r="S199" i="26"/>
  <c r="AE198" i="26"/>
  <c r="AD198" i="26"/>
  <c r="AC198" i="26"/>
  <c r="AB198" i="26"/>
  <c r="Y198" i="26"/>
  <c r="X198" i="26"/>
  <c r="W198" i="26"/>
  <c r="V198" i="26"/>
  <c r="U198" i="26"/>
  <c r="T198" i="26"/>
  <c r="R198" i="26"/>
  <c r="Q198" i="26"/>
  <c r="P198" i="26"/>
  <c r="P202" i="26" s="1"/>
  <c r="O198" i="26"/>
  <c r="N198" i="26"/>
  <c r="D198" i="26"/>
  <c r="AA197" i="26"/>
  <c r="AA198" i="26" s="1"/>
  <c r="Z197" i="26"/>
  <c r="Z198" i="26" s="1"/>
  <c r="S197" i="26"/>
  <c r="AE195" i="26"/>
  <c r="AD195" i="26"/>
  <c r="Y195" i="26"/>
  <c r="X195" i="26"/>
  <c r="W195" i="26"/>
  <c r="V195" i="26"/>
  <c r="U195" i="26"/>
  <c r="T195" i="26"/>
  <c r="R195" i="26"/>
  <c r="Q195" i="26"/>
  <c r="P195" i="26"/>
  <c r="O195" i="26"/>
  <c r="N195" i="26"/>
  <c r="D195" i="26"/>
  <c r="AA194" i="26"/>
  <c r="AA195" i="26" s="1"/>
  <c r="Z194" i="26"/>
  <c r="Z195" i="26" s="1"/>
  <c r="S194" i="26"/>
  <c r="AE193" i="26"/>
  <c r="AD193" i="26"/>
  <c r="Y193" i="26"/>
  <c r="X193" i="26"/>
  <c r="W193" i="26"/>
  <c r="V193" i="26"/>
  <c r="U193" i="26"/>
  <c r="T193" i="26"/>
  <c r="T196" i="26" s="1"/>
  <c r="R193" i="26"/>
  <c r="Q193" i="26"/>
  <c r="P193" i="26"/>
  <c r="O193" i="26"/>
  <c r="N193" i="26"/>
  <c r="D193" i="26"/>
  <c r="AA192" i="26"/>
  <c r="Z192" i="26"/>
  <c r="S192" i="26"/>
  <c r="AA190" i="26"/>
  <c r="Z190" i="26"/>
  <c r="S190" i="26"/>
  <c r="AA189" i="26"/>
  <c r="Z189" i="26"/>
  <c r="S189" i="26"/>
  <c r="AE186" i="26"/>
  <c r="AD186" i="26"/>
  <c r="Y186" i="26"/>
  <c r="X186" i="26"/>
  <c r="W186" i="26"/>
  <c r="V186" i="26"/>
  <c r="U186" i="26"/>
  <c r="T186" i="26"/>
  <c r="R186" i="26"/>
  <c r="Q186" i="26"/>
  <c r="P186" i="26"/>
  <c r="O186" i="26"/>
  <c r="N186" i="26"/>
  <c r="D186" i="26"/>
  <c r="AA185" i="26"/>
  <c r="Z185" i="26"/>
  <c r="S185" i="26"/>
  <c r="AA184" i="26"/>
  <c r="Z184" i="26"/>
  <c r="S184" i="26"/>
  <c r="AA183" i="26"/>
  <c r="Z183" i="26"/>
  <c r="S183" i="26"/>
  <c r="AE182" i="26"/>
  <c r="AD182" i="26"/>
  <c r="Y182" i="26"/>
  <c r="X182" i="26"/>
  <c r="W182" i="26"/>
  <c r="V182" i="26"/>
  <c r="U182" i="26"/>
  <c r="T182" i="26"/>
  <c r="R182" i="26"/>
  <c r="Q182" i="26"/>
  <c r="P182" i="26"/>
  <c r="O182" i="26"/>
  <c r="N182" i="26"/>
  <c r="D182" i="26"/>
  <c r="AA181" i="26"/>
  <c r="Z181" i="26"/>
  <c r="S181" i="26"/>
  <c r="AA180" i="26"/>
  <c r="Z180" i="26"/>
  <c r="S180" i="26"/>
  <c r="AE178" i="26"/>
  <c r="AD178" i="26"/>
  <c r="Y178" i="26"/>
  <c r="X178" i="26"/>
  <c r="W178" i="26"/>
  <c r="V178" i="26"/>
  <c r="U178" i="26"/>
  <c r="T178" i="26"/>
  <c r="R178" i="26"/>
  <c r="Q178" i="26"/>
  <c r="P178" i="26"/>
  <c r="O178" i="26"/>
  <c r="N178" i="26"/>
  <c r="D178" i="26"/>
  <c r="H13" i="22" s="1"/>
  <c r="AA177" i="26"/>
  <c r="AA178" i="26" s="1"/>
  <c r="Z177" i="26"/>
  <c r="Z178" i="26" s="1"/>
  <c r="J13" i="22" s="1"/>
  <c r="S177" i="26"/>
  <c r="AE176" i="26"/>
  <c r="AD176" i="26"/>
  <c r="Y176" i="26"/>
  <c r="X176" i="26"/>
  <c r="W176" i="26"/>
  <c r="V176" i="26"/>
  <c r="U176" i="26"/>
  <c r="T176" i="26"/>
  <c r="R176" i="26"/>
  <c r="Q176" i="26"/>
  <c r="P176" i="26"/>
  <c r="O176" i="26"/>
  <c r="N176" i="26"/>
  <c r="D176" i="26"/>
  <c r="AA175" i="26"/>
  <c r="AA176" i="26" s="1"/>
  <c r="Z175" i="26"/>
  <c r="Z176" i="26" s="1"/>
  <c r="S175" i="26"/>
  <c r="AE174" i="26"/>
  <c r="AD174" i="26"/>
  <c r="Y174" i="26"/>
  <c r="X174" i="26"/>
  <c r="W174" i="26"/>
  <c r="V174" i="26"/>
  <c r="U174" i="26"/>
  <c r="T174" i="26"/>
  <c r="R174" i="26"/>
  <c r="Q174" i="26"/>
  <c r="P174" i="26"/>
  <c r="O174" i="26"/>
  <c r="N174" i="26"/>
  <c r="D174" i="26"/>
  <c r="AA173" i="26"/>
  <c r="Z173" i="26"/>
  <c r="S173" i="26"/>
  <c r="AA172" i="26"/>
  <c r="Z172" i="26"/>
  <c r="S172" i="26"/>
  <c r="AA171" i="26"/>
  <c r="Z171" i="26"/>
  <c r="S171" i="26"/>
  <c r="AA170" i="26"/>
  <c r="Z170" i="26"/>
  <c r="S170" i="26"/>
  <c r="AA169" i="26"/>
  <c r="Z169" i="26"/>
  <c r="S169" i="26"/>
  <c r="AA168" i="26"/>
  <c r="Z168" i="26"/>
  <c r="S168" i="26"/>
  <c r="AA167" i="26"/>
  <c r="Z167" i="26"/>
  <c r="S167" i="26"/>
  <c r="AA166" i="26"/>
  <c r="Z166" i="26"/>
  <c r="S166" i="26"/>
  <c r="AA165" i="26"/>
  <c r="Z165" i="26"/>
  <c r="S165" i="26"/>
  <c r="AA164" i="26"/>
  <c r="Z164" i="26"/>
  <c r="S164" i="26"/>
  <c r="AA163" i="26"/>
  <c r="Z163" i="26"/>
  <c r="S163" i="26"/>
  <c r="AA162" i="26"/>
  <c r="Z162" i="26"/>
  <c r="S162" i="26"/>
  <c r="AA161" i="26"/>
  <c r="Z161" i="26"/>
  <c r="S161" i="26"/>
  <c r="AE158" i="26"/>
  <c r="AD158" i="26"/>
  <c r="Y158" i="26"/>
  <c r="X158" i="26"/>
  <c r="W158" i="26"/>
  <c r="V158" i="26"/>
  <c r="U158" i="26"/>
  <c r="T158" i="26"/>
  <c r="R158" i="26"/>
  <c r="Q158" i="26"/>
  <c r="P158" i="26"/>
  <c r="O158" i="26"/>
  <c r="N158" i="26"/>
  <c r="D158" i="26"/>
  <c r="AA157" i="26"/>
  <c r="AA158" i="26" s="1"/>
  <c r="Z157" i="26"/>
  <c r="Z158" i="26" s="1"/>
  <c r="S157" i="26"/>
  <c r="AE156" i="26"/>
  <c r="AD156" i="26"/>
  <c r="Y156" i="26"/>
  <c r="W156" i="26"/>
  <c r="U156" i="26"/>
  <c r="R156" i="26"/>
  <c r="Q156" i="26"/>
  <c r="P156" i="26"/>
  <c r="O156" i="26"/>
  <c r="N156" i="26"/>
  <c r="D156" i="26"/>
  <c r="AA155" i="26"/>
  <c r="Z155" i="26"/>
  <c r="S155" i="26"/>
  <c r="AA154" i="26"/>
  <c r="Z154" i="26"/>
  <c r="S154" i="26"/>
  <c r="AA153" i="26"/>
  <c r="X153" i="26"/>
  <c r="X156" i="26" s="1"/>
  <c r="V153" i="26"/>
  <c r="V156" i="26" s="1"/>
  <c r="T153" i="26"/>
  <c r="T156" i="26" s="1"/>
  <c r="S153" i="26"/>
  <c r="AE151" i="26"/>
  <c r="AD151" i="26"/>
  <c r="Y151" i="26"/>
  <c r="X151" i="26"/>
  <c r="W151" i="26"/>
  <c r="V151" i="26"/>
  <c r="U151" i="26"/>
  <c r="T151" i="26"/>
  <c r="R151" i="26"/>
  <c r="Q151" i="26"/>
  <c r="P151" i="26"/>
  <c r="O151" i="26"/>
  <c r="N151" i="26"/>
  <c r="D151" i="26"/>
  <c r="H12" i="22" s="1"/>
  <c r="H30" i="22" s="1"/>
  <c r="AA150" i="26"/>
  <c r="AA151" i="26" s="1"/>
  <c r="Z150" i="26"/>
  <c r="Z151" i="26" s="1"/>
  <c r="J12" i="22" s="1"/>
  <c r="J30" i="22" s="1"/>
  <c r="S150" i="26"/>
  <c r="AE149" i="26"/>
  <c r="AD149" i="26"/>
  <c r="Y149" i="26"/>
  <c r="X149" i="26"/>
  <c r="W149" i="26"/>
  <c r="V149" i="26"/>
  <c r="U149" i="26"/>
  <c r="T149" i="26"/>
  <c r="R149" i="26"/>
  <c r="Q149" i="26"/>
  <c r="P149" i="26"/>
  <c r="O149" i="26"/>
  <c r="N149" i="26"/>
  <c r="D149" i="26"/>
  <c r="E12" i="22" s="1"/>
  <c r="E30" i="22" s="1"/>
  <c r="AA148" i="26"/>
  <c r="Z148" i="26"/>
  <c r="S148" i="26"/>
  <c r="AA147" i="26"/>
  <c r="Z147" i="26"/>
  <c r="S147" i="26"/>
  <c r="AA146" i="26"/>
  <c r="Z146" i="26"/>
  <c r="S146" i="26"/>
  <c r="AE144" i="26"/>
  <c r="AD144" i="26"/>
  <c r="Y144" i="26"/>
  <c r="X144" i="26"/>
  <c r="W144" i="26"/>
  <c r="V144" i="26"/>
  <c r="U144" i="26"/>
  <c r="T144" i="26"/>
  <c r="R144" i="26"/>
  <c r="Q144" i="26"/>
  <c r="P144" i="26"/>
  <c r="O144" i="26"/>
  <c r="N144" i="26"/>
  <c r="D144" i="26"/>
  <c r="AA143" i="26"/>
  <c r="Z143" i="26"/>
  <c r="S143" i="26"/>
  <c r="AA142" i="26"/>
  <c r="Z142" i="26"/>
  <c r="S142" i="26"/>
  <c r="AA141" i="26"/>
  <c r="Z141" i="26"/>
  <c r="S141" i="26"/>
  <c r="AA140" i="26"/>
  <c r="Z140" i="26"/>
  <c r="S140" i="26"/>
  <c r="AA139" i="26"/>
  <c r="Z139" i="26"/>
  <c r="S139" i="26"/>
  <c r="AA138" i="26"/>
  <c r="Z138" i="26"/>
  <c r="S138" i="26"/>
  <c r="AA137" i="26"/>
  <c r="Z137" i="26"/>
  <c r="S137" i="26"/>
  <c r="AE134" i="26"/>
  <c r="AD134" i="26"/>
  <c r="Y134" i="26"/>
  <c r="X134" i="26" s="1"/>
  <c r="W134" i="26"/>
  <c r="V134" i="26" s="1"/>
  <c r="U134" i="26"/>
  <c r="T134" i="26" s="1"/>
  <c r="R134" i="26"/>
  <c r="Q134" i="26"/>
  <c r="P134" i="26"/>
  <c r="O134" i="26"/>
  <c r="N134" i="26"/>
  <c r="D134" i="26"/>
  <c r="E11" i="22" s="1"/>
  <c r="E29" i="22" s="1"/>
  <c r="AA133" i="26"/>
  <c r="AA134" i="26" s="1"/>
  <c r="Z133" i="26"/>
  <c r="Z134" i="26" s="1"/>
  <c r="G11" i="22" s="1"/>
  <c r="G29" i="22" s="1"/>
  <c r="S133" i="26"/>
  <c r="AE132" i="26"/>
  <c r="AD132" i="26"/>
  <c r="Y132" i="26"/>
  <c r="X132" i="26"/>
  <c r="W132" i="26"/>
  <c r="V132" i="26"/>
  <c r="U132" i="26"/>
  <c r="T132" i="26"/>
  <c r="R132" i="26"/>
  <c r="Q132" i="26"/>
  <c r="P132" i="26"/>
  <c r="O132" i="26"/>
  <c r="N132" i="26"/>
  <c r="D132" i="26"/>
  <c r="AA131" i="26"/>
  <c r="S131" i="26"/>
  <c r="AA129" i="26"/>
  <c r="Z129" i="26"/>
  <c r="S129" i="26"/>
  <c r="AA128" i="26"/>
  <c r="Z128" i="26"/>
  <c r="S128" i="26"/>
  <c r="AE126" i="26"/>
  <c r="AD126" i="26"/>
  <c r="Y126" i="26"/>
  <c r="X126" i="26"/>
  <c r="W126" i="26"/>
  <c r="V126" i="26"/>
  <c r="U126" i="26"/>
  <c r="T126" i="26"/>
  <c r="R126" i="26"/>
  <c r="Q126" i="26"/>
  <c r="P126" i="26"/>
  <c r="O126" i="26"/>
  <c r="N126" i="26"/>
  <c r="D126" i="26"/>
  <c r="H11" i="22" s="1"/>
  <c r="H29" i="22" s="1"/>
  <c r="AA125" i="26"/>
  <c r="Z125" i="26"/>
  <c r="S125" i="26"/>
  <c r="AA124" i="26"/>
  <c r="Z124" i="26"/>
  <c r="S124" i="26"/>
  <c r="AE123" i="26"/>
  <c r="Y123" i="26"/>
  <c r="W123" i="26"/>
  <c r="U123" i="26"/>
  <c r="R123" i="26"/>
  <c r="Q123" i="26"/>
  <c r="P123" i="26"/>
  <c r="O123" i="26"/>
  <c r="N123" i="26"/>
  <c r="D123" i="26"/>
  <c r="AA122" i="26"/>
  <c r="S122" i="26"/>
  <c r="AA121" i="26"/>
  <c r="S121" i="26"/>
  <c r="AA120" i="26"/>
  <c r="Z120" i="26"/>
  <c r="S120" i="26"/>
  <c r="AA119" i="26"/>
  <c r="S119" i="26"/>
  <c r="AA118" i="26"/>
  <c r="S118" i="26"/>
  <c r="AD117" i="26"/>
  <c r="AD123" i="26" s="1"/>
  <c r="AA117" i="26"/>
  <c r="X117" i="26"/>
  <c r="X123" i="26" s="1"/>
  <c r="V117" i="26"/>
  <c r="V123" i="26" s="1"/>
  <c r="T117" i="26"/>
  <c r="T123" i="26" s="1"/>
  <c r="AA116" i="26"/>
  <c r="Z116" i="26"/>
  <c r="S116" i="26"/>
  <c r="AA115" i="26"/>
  <c r="S115" i="26"/>
  <c r="AA114" i="26"/>
  <c r="S114" i="26"/>
  <c r="AE111" i="26"/>
  <c r="AD111" i="26"/>
  <c r="Y111" i="26"/>
  <c r="X111" i="26"/>
  <c r="W111" i="26"/>
  <c r="V111" i="26"/>
  <c r="U111" i="26"/>
  <c r="T111" i="26"/>
  <c r="R111" i="26"/>
  <c r="Q111" i="26"/>
  <c r="P111" i="26"/>
  <c r="O111" i="26"/>
  <c r="N111" i="26"/>
  <c r="D111" i="26"/>
  <c r="E10" i="22" s="1"/>
  <c r="E28" i="22" s="1"/>
  <c r="AA110" i="26"/>
  <c r="AA111" i="26" s="1"/>
  <c r="Z110" i="26"/>
  <c r="Z111" i="26" s="1"/>
  <c r="G10" i="22" s="1"/>
  <c r="G28" i="22" s="1"/>
  <c r="S110" i="26"/>
  <c r="AE109" i="26"/>
  <c r="AD109" i="26"/>
  <c r="Y109" i="26"/>
  <c r="X109" i="26"/>
  <c r="W109" i="26"/>
  <c r="V109" i="26"/>
  <c r="U109" i="26"/>
  <c r="T109" i="26"/>
  <c r="R109" i="26"/>
  <c r="Q109" i="26"/>
  <c r="P109" i="26"/>
  <c r="O109" i="26"/>
  <c r="N109" i="26"/>
  <c r="D109" i="26"/>
  <c r="B10" i="22" s="1"/>
  <c r="B28" i="22" s="1"/>
  <c r="Z107" i="26"/>
  <c r="S107" i="26"/>
  <c r="AA106" i="26"/>
  <c r="Z106" i="26"/>
  <c r="S106" i="26"/>
  <c r="AA105" i="26"/>
  <c r="Z105" i="26"/>
  <c r="S105" i="26"/>
  <c r="AA104" i="26"/>
  <c r="Z104" i="26"/>
  <c r="S104" i="26"/>
  <c r="AA103" i="26"/>
  <c r="Z103" i="26"/>
  <c r="S103" i="26"/>
  <c r="AA102" i="26"/>
  <c r="Z102" i="26"/>
  <c r="S102" i="26"/>
  <c r="AA100" i="26"/>
  <c r="Z100" i="26"/>
  <c r="S100" i="26"/>
  <c r="AA99" i="26"/>
  <c r="Z99" i="26"/>
  <c r="S99" i="26"/>
  <c r="AE96" i="26"/>
  <c r="AD96" i="26"/>
  <c r="Y96" i="26"/>
  <c r="X96" i="26"/>
  <c r="W96" i="26"/>
  <c r="V96" i="26"/>
  <c r="U96" i="26"/>
  <c r="T96" i="26"/>
  <c r="R96" i="26"/>
  <c r="Q96" i="26"/>
  <c r="P96" i="26"/>
  <c r="O96" i="26"/>
  <c r="N96" i="26"/>
  <c r="D96" i="26"/>
  <c r="AA95" i="26"/>
  <c r="AA96" i="26" s="1"/>
  <c r="Z95" i="26"/>
  <c r="Z96" i="26" s="1"/>
  <c r="S95" i="26"/>
  <c r="AE94" i="26"/>
  <c r="AD94" i="26"/>
  <c r="Y94" i="26"/>
  <c r="X94" i="26"/>
  <c r="W94" i="26"/>
  <c r="V94" i="26"/>
  <c r="U94" i="26"/>
  <c r="T94" i="26"/>
  <c r="R94" i="26"/>
  <c r="Q94" i="26"/>
  <c r="P94" i="26"/>
  <c r="O94" i="26"/>
  <c r="N94" i="26"/>
  <c r="D94" i="26"/>
  <c r="AA93" i="26"/>
  <c r="AA94" i="26" s="1"/>
  <c r="Z93" i="26"/>
  <c r="Z94" i="26" s="1"/>
  <c r="S93" i="26"/>
  <c r="AE92" i="26"/>
  <c r="AD92" i="26"/>
  <c r="Y92" i="26"/>
  <c r="X92" i="26"/>
  <c r="W92" i="26"/>
  <c r="V92" i="26"/>
  <c r="U92" i="26"/>
  <c r="T92" i="26"/>
  <c r="R92" i="26"/>
  <c r="Q92" i="26"/>
  <c r="P92" i="26"/>
  <c r="O92" i="26"/>
  <c r="N92" i="26"/>
  <c r="D92" i="26"/>
  <c r="AA91" i="26"/>
  <c r="Z91" i="26"/>
  <c r="S91" i="26"/>
  <c r="AA90" i="26"/>
  <c r="Z90" i="26"/>
  <c r="S90" i="26"/>
  <c r="AA89" i="26"/>
  <c r="Z89" i="26"/>
  <c r="S89" i="26"/>
  <c r="AE87" i="26"/>
  <c r="AD87" i="26"/>
  <c r="Y87" i="26"/>
  <c r="X87" i="26"/>
  <c r="W87" i="26"/>
  <c r="V87" i="26"/>
  <c r="U87" i="26"/>
  <c r="T87" i="26"/>
  <c r="R87" i="26"/>
  <c r="Q87" i="26"/>
  <c r="P87" i="26"/>
  <c r="O87" i="26"/>
  <c r="N87" i="26"/>
  <c r="D87" i="26"/>
  <c r="AA86" i="26"/>
  <c r="AA87" i="26" s="1"/>
  <c r="Z86" i="26"/>
  <c r="Z87" i="26" s="1"/>
  <c r="S86" i="26"/>
  <c r="AE85" i="26"/>
  <c r="AD85" i="26"/>
  <c r="Y85" i="26"/>
  <c r="X85" i="26"/>
  <c r="W85" i="26"/>
  <c r="V85" i="26"/>
  <c r="U85" i="26"/>
  <c r="T85" i="26"/>
  <c r="R85" i="26"/>
  <c r="Q85" i="26"/>
  <c r="P85" i="26"/>
  <c r="O85" i="26"/>
  <c r="N85" i="26"/>
  <c r="D85" i="26"/>
  <c r="AA84" i="26"/>
  <c r="Z84" i="26"/>
  <c r="S84" i="26"/>
  <c r="AA83" i="26"/>
  <c r="Z83" i="26"/>
  <c r="S83" i="26"/>
  <c r="AE82" i="26"/>
  <c r="AD82" i="26"/>
  <c r="Y82" i="26"/>
  <c r="X82" i="26"/>
  <c r="W82" i="26"/>
  <c r="V82" i="26"/>
  <c r="U82" i="26"/>
  <c r="T82" i="26"/>
  <c r="R82" i="26"/>
  <c r="Q82" i="26"/>
  <c r="P82" i="26"/>
  <c r="O82" i="26"/>
  <c r="N82" i="26"/>
  <c r="D82" i="26"/>
  <c r="AA81" i="26"/>
  <c r="Z81" i="26"/>
  <c r="S81" i="26"/>
  <c r="AA80" i="26"/>
  <c r="S80" i="26"/>
  <c r="AA79" i="26"/>
  <c r="Z79" i="26"/>
  <c r="S79" i="26"/>
  <c r="AA78" i="26"/>
  <c r="Z78" i="26"/>
  <c r="S78" i="26"/>
  <c r="AA77" i="26"/>
  <c r="Z77" i="26"/>
  <c r="S77" i="26"/>
  <c r="AA76" i="26"/>
  <c r="Z76" i="26"/>
  <c r="S76" i="26"/>
  <c r="AA75" i="26"/>
  <c r="Z75" i="26"/>
  <c r="S75" i="26"/>
  <c r="AA74" i="26"/>
  <c r="Z74" i="26"/>
  <c r="S74" i="26"/>
  <c r="AA73" i="26"/>
  <c r="Z73" i="26"/>
  <c r="S73" i="26"/>
  <c r="AA72" i="26"/>
  <c r="Z72" i="26"/>
  <c r="S72" i="26"/>
  <c r="S71" i="26"/>
  <c r="AE68" i="26"/>
  <c r="AD68" i="26"/>
  <c r="Y68" i="26"/>
  <c r="X68" i="26"/>
  <c r="W68" i="26"/>
  <c r="V68" i="26"/>
  <c r="U68" i="26"/>
  <c r="T68" i="26"/>
  <c r="R68" i="26"/>
  <c r="Q68" i="26"/>
  <c r="P68" i="26"/>
  <c r="O68" i="26"/>
  <c r="N68" i="26"/>
  <c r="D68" i="26"/>
  <c r="AA67" i="26"/>
  <c r="AA68" i="26" s="1"/>
  <c r="Z67" i="26"/>
  <c r="Z68" i="26" s="1"/>
  <c r="S67" i="26"/>
  <c r="AE66" i="26"/>
  <c r="AD66" i="26"/>
  <c r="Y66" i="26"/>
  <c r="X66" i="26"/>
  <c r="W66" i="26"/>
  <c r="V66" i="26"/>
  <c r="U66" i="26"/>
  <c r="T66" i="26"/>
  <c r="R66" i="26"/>
  <c r="Q66" i="26"/>
  <c r="P66" i="26"/>
  <c r="O66" i="26"/>
  <c r="N66" i="26"/>
  <c r="D66" i="26"/>
  <c r="AA65" i="26"/>
  <c r="AA66" i="26" s="1"/>
  <c r="Z65" i="26"/>
  <c r="Z66" i="26" s="1"/>
  <c r="S65" i="26"/>
  <c r="AE64" i="26"/>
  <c r="AD64" i="26"/>
  <c r="Y64" i="26"/>
  <c r="X64" i="26"/>
  <c r="W64" i="26"/>
  <c r="V64" i="26"/>
  <c r="U64" i="26"/>
  <c r="T64" i="26"/>
  <c r="R64" i="26"/>
  <c r="Q64" i="26"/>
  <c r="P64" i="26"/>
  <c r="O64" i="26"/>
  <c r="N64" i="26"/>
  <c r="D64" i="26"/>
  <c r="AA63" i="26"/>
  <c r="Z63" i="26"/>
  <c r="S63" i="26"/>
  <c r="AA62" i="26"/>
  <c r="Z62" i="26"/>
  <c r="S62" i="26"/>
  <c r="AE60" i="26"/>
  <c r="AD60" i="26"/>
  <c r="Y60" i="26"/>
  <c r="X60" i="26"/>
  <c r="W60" i="26"/>
  <c r="V60" i="26"/>
  <c r="U60" i="26"/>
  <c r="T60" i="26"/>
  <c r="R60" i="26"/>
  <c r="Q60" i="26"/>
  <c r="P60" i="26"/>
  <c r="O60" i="26"/>
  <c r="N60" i="26"/>
  <c r="D60" i="26"/>
  <c r="AA59" i="26"/>
  <c r="Z59" i="26"/>
  <c r="S59" i="26"/>
  <c r="AA58" i="26"/>
  <c r="Z58" i="26"/>
  <c r="S58" i="26"/>
  <c r="AE57" i="26"/>
  <c r="AD57" i="26"/>
  <c r="Y57" i="26"/>
  <c r="X57" i="26"/>
  <c r="W57" i="26"/>
  <c r="V57" i="26"/>
  <c r="U57" i="26"/>
  <c r="T57" i="26"/>
  <c r="R57" i="26"/>
  <c r="Q57" i="26"/>
  <c r="P57" i="26"/>
  <c r="O57" i="26"/>
  <c r="N57" i="26"/>
  <c r="D57" i="26"/>
  <c r="AA56" i="26"/>
  <c r="Z56" i="26"/>
  <c r="AA55" i="26"/>
  <c r="Z55" i="26"/>
  <c r="S55" i="26"/>
  <c r="D53" i="26"/>
  <c r="AA52" i="26"/>
  <c r="Z52" i="26"/>
  <c r="S52" i="26"/>
  <c r="Z51" i="26"/>
  <c r="AA50" i="26"/>
  <c r="Z50" i="26"/>
  <c r="S50" i="26"/>
  <c r="AA49" i="26"/>
  <c r="Z49" i="26"/>
  <c r="S49" i="26"/>
  <c r="AA48" i="26"/>
  <c r="Z48" i="26"/>
  <c r="S48" i="26"/>
  <c r="AA47" i="26"/>
  <c r="Z47" i="26"/>
  <c r="S47" i="26"/>
  <c r="AE45" i="26"/>
  <c r="AE46" i="26" s="1"/>
  <c r="AD45" i="26"/>
  <c r="AD46" i="26" s="1"/>
  <c r="AC212" i="26"/>
  <c r="Y45" i="26"/>
  <c r="Y46" i="26" s="1"/>
  <c r="X45" i="26"/>
  <c r="X46" i="26" s="1"/>
  <c r="W45" i="26"/>
  <c r="W46" i="26" s="1"/>
  <c r="V45" i="26"/>
  <c r="V46" i="26" s="1"/>
  <c r="U45" i="26"/>
  <c r="U46" i="26" s="1"/>
  <c r="T45" i="26"/>
  <c r="T46" i="26" s="1"/>
  <c r="R45" i="26"/>
  <c r="R46" i="26" s="1"/>
  <c r="Q45" i="26"/>
  <c r="Q46" i="26" s="1"/>
  <c r="P45" i="26"/>
  <c r="P46" i="26" s="1"/>
  <c r="O45" i="26"/>
  <c r="O46" i="26" s="1"/>
  <c r="O212" i="26" s="1"/>
  <c r="N45" i="26"/>
  <c r="N46" i="26" s="1"/>
  <c r="D45" i="26"/>
  <c r="AA44" i="26"/>
  <c r="AA45" i="26" s="1"/>
  <c r="Z44" i="26"/>
  <c r="Z45" i="26" s="1"/>
  <c r="S44" i="26"/>
  <c r="AE41" i="26"/>
  <c r="AE42" i="26" s="1"/>
  <c r="AE43" i="26" s="1"/>
  <c r="AD41" i="26"/>
  <c r="AD42" i="26" s="1"/>
  <c r="AD43" i="26" s="1"/>
  <c r="Y41" i="26"/>
  <c r="Y42" i="26" s="1"/>
  <c r="Y43" i="26" s="1"/>
  <c r="X41" i="26"/>
  <c r="X42" i="26" s="1"/>
  <c r="X43" i="26" s="1"/>
  <c r="W41" i="26"/>
  <c r="W42" i="26" s="1"/>
  <c r="W43" i="26" s="1"/>
  <c r="V41" i="26"/>
  <c r="V42" i="26" s="1"/>
  <c r="V43" i="26" s="1"/>
  <c r="U41" i="26"/>
  <c r="U42" i="26" s="1"/>
  <c r="U43" i="26" s="1"/>
  <c r="T42" i="26"/>
  <c r="R41" i="26"/>
  <c r="R42" i="26" s="1"/>
  <c r="R43" i="26" s="1"/>
  <c r="Q41" i="26"/>
  <c r="Q42" i="26" s="1"/>
  <c r="Q43" i="26" s="1"/>
  <c r="P41" i="26"/>
  <c r="P42" i="26" s="1"/>
  <c r="P43" i="26" s="1"/>
  <c r="O41" i="26"/>
  <c r="O42" i="26" s="1"/>
  <c r="O43" i="26" s="1"/>
  <c r="N41" i="26"/>
  <c r="N42" i="26" s="1"/>
  <c r="N43" i="26" s="1"/>
  <c r="D41" i="26"/>
  <c r="AA40" i="26"/>
  <c r="Z40" i="26"/>
  <c r="S40" i="26"/>
  <c r="AA39" i="26"/>
  <c r="Z39" i="26"/>
  <c r="S39" i="26"/>
  <c r="AA38" i="26"/>
  <c r="Z38" i="26"/>
  <c r="S38" i="26"/>
  <c r="AA37" i="26"/>
  <c r="Z37" i="26"/>
  <c r="S37" i="26"/>
  <c r="AA36" i="26"/>
  <c r="Z36" i="26"/>
  <c r="S36" i="26"/>
  <c r="AE33" i="26"/>
  <c r="AD33" i="26"/>
  <c r="Y33" i="26"/>
  <c r="X33" i="26"/>
  <c r="W33" i="26"/>
  <c r="V33" i="26"/>
  <c r="U33" i="26"/>
  <c r="T33" i="26"/>
  <c r="R33" i="26"/>
  <c r="Q33" i="26"/>
  <c r="P33" i="26"/>
  <c r="O33" i="26"/>
  <c r="N33" i="26"/>
  <c r="D33" i="26"/>
  <c r="E6" i="22" s="1"/>
  <c r="AA32" i="26"/>
  <c r="Z32" i="26"/>
  <c r="S32" i="26"/>
  <c r="AA31" i="26"/>
  <c r="Z31" i="26"/>
  <c r="S31" i="26"/>
  <c r="AE30" i="26"/>
  <c r="AD30" i="26"/>
  <c r="Y30" i="26"/>
  <c r="X30" i="26"/>
  <c r="W30" i="26"/>
  <c r="V30" i="26"/>
  <c r="U30" i="26"/>
  <c r="T30" i="26"/>
  <c r="R30" i="26"/>
  <c r="Q30" i="26"/>
  <c r="P30" i="26"/>
  <c r="O30" i="26"/>
  <c r="N30" i="26"/>
  <c r="D30" i="26"/>
  <c r="B6" i="22" s="1"/>
  <c r="AA29" i="26"/>
  <c r="AA30" i="26" s="1"/>
  <c r="Z29" i="26"/>
  <c r="Z30" i="26" s="1"/>
  <c r="D6" i="22" s="1"/>
  <c r="S29" i="26"/>
  <c r="AE26" i="26"/>
  <c r="AD26" i="26"/>
  <c r="Y26" i="26"/>
  <c r="X26" i="26"/>
  <c r="W26" i="26"/>
  <c r="V26" i="26"/>
  <c r="U26" i="26"/>
  <c r="T26" i="26"/>
  <c r="R26" i="26"/>
  <c r="Q26" i="26"/>
  <c r="P26" i="26"/>
  <c r="O26" i="26"/>
  <c r="N26" i="26"/>
  <c r="D26" i="26"/>
  <c r="AA25" i="26"/>
  <c r="AA26" i="26" s="1"/>
  <c r="Z25" i="26"/>
  <c r="Z26" i="26" s="1"/>
  <c r="S25" i="26"/>
  <c r="AE24" i="26"/>
  <c r="AD24" i="26"/>
  <c r="Y24" i="26"/>
  <c r="X24" i="26"/>
  <c r="W24" i="26"/>
  <c r="V24" i="26"/>
  <c r="U24" i="26"/>
  <c r="T24" i="26"/>
  <c r="R24" i="26"/>
  <c r="Q24" i="26"/>
  <c r="O24" i="26"/>
  <c r="D24" i="26"/>
  <c r="AA23" i="26"/>
  <c r="Z23" i="26"/>
  <c r="S23" i="26"/>
  <c r="AA22" i="26"/>
  <c r="Z22" i="26"/>
  <c r="S22" i="26"/>
  <c r="AE19" i="26"/>
  <c r="AD19" i="26"/>
  <c r="Y19" i="26"/>
  <c r="X19" i="26"/>
  <c r="W19" i="26"/>
  <c r="V19" i="26"/>
  <c r="U19" i="26"/>
  <c r="T19" i="26"/>
  <c r="R19" i="26"/>
  <c r="Q19" i="26"/>
  <c r="P19" i="26"/>
  <c r="O19" i="26"/>
  <c r="N19" i="26"/>
  <c r="D19" i="26"/>
  <c r="H5" i="22" s="1"/>
  <c r="H23" i="22" s="1"/>
  <c r="AA18" i="26"/>
  <c r="AA19" i="26" s="1"/>
  <c r="Z18" i="26"/>
  <c r="Z19" i="26" s="1"/>
  <c r="J5" i="22" s="1"/>
  <c r="J23" i="22" s="1"/>
  <c r="S18" i="26"/>
  <c r="AE17" i="26"/>
  <c r="AD17" i="26"/>
  <c r="X17" i="26"/>
  <c r="W17" i="26"/>
  <c r="V17" i="26"/>
  <c r="U17" i="26"/>
  <c r="T17" i="26"/>
  <c r="R17" i="26"/>
  <c r="Q17" i="26"/>
  <c r="P17" i="26"/>
  <c r="O17" i="26"/>
  <c r="N17" i="26"/>
  <c r="D17" i="26"/>
  <c r="S14" i="26"/>
  <c r="AE11" i="26"/>
  <c r="AD11" i="26"/>
  <c r="Y11" i="26"/>
  <c r="X11" i="26"/>
  <c r="W11" i="26"/>
  <c r="U11" i="26"/>
  <c r="R11" i="26"/>
  <c r="Q11" i="26"/>
  <c r="P11" i="26"/>
  <c r="O11" i="26"/>
  <c r="N11" i="26"/>
  <c r="D11" i="26"/>
  <c r="AA10" i="26"/>
  <c r="Z10" i="26"/>
  <c r="S10" i="26"/>
  <c r="AA9" i="26"/>
  <c r="Z9" i="26"/>
  <c r="S9" i="26"/>
  <c r="AA8" i="26"/>
  <c r="Z8" i="26"/>
  <c r="S8" i="26"/>
  <c r="AA6" i="26"/>
  <c r="Z6" i="26"/>
  <c r="S6" i="26"/>
  <c r="AM29" i="23"/>
  <c r="AM35" i="23"/>
  <c r="AM36" i="23"/>
  <c r="S19" i="26" l="1"/>
  <c r="I5" i="22" s="1"/>
  <c r="I23" i="22" s="1"/>
  <c r="S158" i="26"/>
  <c r="S68" i="26"/>
  <c r="S111" i="26"/>
  <c r="F10" i="22" s="1"/>
  <c r="F28" i="22" s="1"/>
  <c r="S178" i="26"/>
  <c r="I13" i="22" s="1"/>
  <c r="S30" i="26"/>
  <c r="C6" i="22" s="1"/>
  <c r="S195" i="26"/>
  <c r="S94" i="26"/>
  <c r="S96" i="26"/>
  <c r="I9" i="22" s="1"/>
  <c r="I27" i="22" s="1"/>
  <c r="S198" i="26"/>
  <c r="S66" i="26"/>
  <c r="S134" i="26"/>
  <c r="F11" i="22" s="1"/>
  <c r="F29" i="22" s="1"/>
  <c r="S151" i="26"/>
  <c r="I12" i="22" s="1"/>
  <c r="I30" i="22" s="1"/>
  <c r="S45" i="26"/>
  <c r="S87" i="26"/>
  <c r="S176" i="26"/>
  <c r="S26" i="26"/>
  <c r="E14" i="22"/>
  <c r="E13" i="22"/>
  <c r="B14" i="22"/>
  <c r="Q187" i="26"/>
  <c r="B12" i="22"/>
  <c r="B30" i="22" s="1"/>
  <c r="B9" i="22"/>
  <c r="B27" i="22" s="1"/>
  <c r="E8" i="22"/>
  <c r="T43" i="26"/>
  <c r="H9" i="22"/>
  <c r="H27" i="22" s="1"/>
  <c r="J9" i="22"/>
  <c r="J27" i="22" s="1"/>
  <c r="B13" i="22"/>
  <c r="E5" i="22"/>
  <c r="E23" i="22" s="1"/>
  <c r="S46" i="26"/>
  <c r="S212" i="26" s="1"/>
  <c r="I6" i="24" s="1"/>
  <c r="E9" i="22"/>
  <c r="E27" i="22" s="1"/>
  <c r="E46" i="26"/>
  <c r="D212" i="26" s="1"/>
  <c r="H8" i="22"/>
  <c r="B5" i="22"/>
  <c r="B23" i="22" s="1"/>
  <c r="B11" i="22"/>
  <c r="B29" i="22" s="1"/>
  <c r="E42" i="26"/>
  <c r="F43" i="26" s="1"/>
  <c r="N9" i="23" s="1"/>
  <c r="N30" i="23" s="1"/>
  <c r="B7" i="22"/>
  <c r="B26" i="22" s="1"/>
  <c r="B8" i="22"/>
  <c r="N209" i="26"/>
  <c r="AC209" i="26"/>
  <c r="Q112" i="26"/>
  <c r="Q113" i="26" s="1"/>
  <c r="R135" i="26"/>
  <c r="R112" i="26"/>
  <c r="R113" i="26" s="1"/>
  <c r="T135" i="26"/>
  <c r="AA24" i="26"/>
  <c r="AA27" i="26" s="1"/>
  <c r="O187" i="26"/>
  <c r="U112" i="26"/>
  <c r="U113" i="26" s="1"/>
  <c r="V135" i="26"/>
  <c r="N159" i="26"/>
  <c r="Q196" i="26"/>
  <c r="AE34" i="26"/>
  <c r="AE35" i="26" s="1"/>
  <c r="P34" i="26"/>
  <c r="P35" i="26" s="1"/>
  <c r="Z24" i="26"/>
  <c r="Z27" i="26" s="1"/>
  <c r="X61" i="26"/>
  <c r="O127" i="26"/>
  <c r="AD127" i="26"/>
  <c r="R209" i="26"/>
  <c r="AA60" i="26"/>
  <c r="Z57" i="26"/>
  <c r="G8" i="22" s="1"/>
  <c r="Z17" i="26"/>
  <c r="G5" i="22" s="1"/>
  <c r="G23" i="22" s="1"/>
  <c r="N20" i="26"/>
  <c r="S182" i="26"/>
  <c r="T187" i="26"/>
  <c r="AA186" i="26"/>
  <c r="Z193" i="26"/>
  <c r="Q69" i="26"/>
  <c r="R196" i="26"/>
  <c r="S53" i="26"/>
  <c r="Z53" i="26"/>
  <c r="T112" i="26"/>
  <c r="T113" i="26" s="1"/>
  <c r="U135" i="26"/>
  <c r="U196" i="26"/>
  <c r="R34" i="26"/>
  <c r="R35" i="26" s="1"/>
  <c r="AA53" i="26"/>
  <c r="X179" i="26"/>
  <c r="P127" i="26"/>
  <c r="V209" i="26"/>
  <c r="Z209" i="26"/>
  <c r="AB209" i="26"/>
  <c r="AA33" i="26"/>
  <c r="AA34" i="26" s="1"/>
  <c r="AA35" i="26" s="1"/>
  <c r="AA182" i="26"/>
  <c r="W179" i="26"/>
  <c r="U209" i="26"/>
  <c r="T209" i="26"/>
  <c r="Z60" i="26"/>
  <c r="J8" i="22" s="1"/>
  <c r="Z182" i="26"/>
  <c r="W187" i="26"/>
  <c r="N187" i="26"/>
  <c r="N152" i="26"/>
  <c r="Z201" i="26"/>
  <c r="Z202" i="26" s="1"/>
  <c r="AA201" i="26"/>
  <c r="AA202" i="26" s="1"/>
  <c r="O20" i="26"/>
  <c r="W209" i="26"/>
  <c r="AA85" i="26"/>
  <c r="Y187" i="26"/>
  <c r="P209" i="26"/>
  <c r="AE209" i="26"/>
  <c r="S201" i="26"/>
  <c r="X187" i="26"/>
  <c r="P20" i="26"/>
  <c r="O152" i="26"/>
  <c r="Y61" i="26"/>
  <c r="Z64" i="26"/>
  <c r="Z69" i="26" s="1"/>
  <c r="AD209" i="26"/>
  <c r="E27" i="26"/>
  <c r="T127" i="26"/>
  <c r="V127" i="26"/>
  <c r="AD152" i="26"/>
  <c r="O209" i="26"/>
  <c r="Y69" i="26"/>
  <c r="AA57" i="26"/>
  <c r="X159" i="26"/>
  <c r="E202" i="26"/>
  <c r="N202" i="26"/>
  <c r="U187" i="26"/>
  <c r="Y152" i="26"/>
  <c r="Q209" i="26"/>
  <c r="R88" i="26"/>
  <c r="X34" i="26"/>
  <c r="X35" i="26" s="1"/>
  <c r="O61" i="26"/>
  <c r="AE61" i="26"/>
  <c r="U69" i="26"/>
  <c r="E97" i="26"/>
  <c r="S60" i="26"/>
  <c r="I8" i="22" s="1"/>
  <c r="AA64" i="26"/>
  <c r="AA69" i="26" s="1"/>
  <c r="V112" i="26"/>
  <c r="V113" i="26" s="1"/>
  <c r="W135" i="26"/>
  <c r="Y179" i="26"/>
  <c r="W112" i="26"/>
  <c r="W113" i="26" s="1"/>
  <c r="Z132" i="26"/>
  <c r="Z135" i="26" s="1"/>
  <c r="X135" i="26"/>
  <c r="AE159" i="26"/>
  <c r="E179" i="26"/>
  <c r="N34" i="26"/>
  <c r="N35" i="26" s="1"/>
  <c r="P97" i="26"/>
  <c r="AE97" i="26"/>
  <c r="X127" i="26"/>
  <c r="R127" i="26"/>
  <c r="Y135" i="26"/>
  <c r="Z92" i="26"/>
  <c r="Z97" i="26" s="1"/>
  <c r="Q97" i="26"/>
  <c r="Y112" i="26"/>
  <c r="Y113" i="26" s="1"/>
  <c r="U127" i="26"/>
  <c r="AE208" i="26"/>
  <c r="U61" i="26"/>
  <c r="AA92" i="26"/>
  <c r="AA97" i="26" s="1"/>
  <c r="Y202" i="26"/>
  <c r="E88" i="26"/>
  <c r="T152" i="26"/>
  <c r="Q159" i="26"/>
  <c r="AB202" i="26"/>
  <c r="Q27" i="26"/>
  <c r="O34" i="26"/>
  <c r="O35" i="26" s="1"/>
  <c r="Q34" i="26"/>
  <c r="Q35" i="26" s="1"/>
  <c r="Y20" i="26"/>
  <c r="U27" i="26"/>
  <c r="S193" i="26"/>
  <c r="AE196" i="26"/>
  <c r="AC202" i="26"/>
  <c r="E152" i="26"/>
  <c r="O208" i="26"/>
  <c r="T34" i="26"/>
  <c r="T35" i="26" s="1"/>
  <c r="Q61" i="26"/>
  <c r="V187" i="26"/>
  <c r="O202" i="26"/>
  <c r="S41" i="26"/>
  <c r="W88" i="26"/>
  <c r="R27" i="26"/>
  <c r="X88" i="26"/>
  <c r="E135" i="26"/>
  <c r="P152" i="26"/>
  <c r="S156" i="26"/>
  <c r="S159" i="26" s="1"/>
  <c r="N179" i="26"/>
  <c r="Q202" i="26"/>
  <c r="U20" i="26"/>
  <c r="D207" i="26"/>
  <c r="AB207" i="26"/>
  <c r="R208" i="26"/>
  <c r="N27" i="26"/>
  <c r="E69" i="26"/>
  <c r="Y88" i="26"/>
  <c r="R97" i="26"/>
  <c r="W127" i="26"/>
  <c r="N135" i="26"/>
  <c r="S149" i="26"/>
  <c r="F12" i="22" s="1"/>
  <c r="F30" i="22" s="1"/>
  <c r="T159" i="26"/>
  <c r="O179" i="26"/>
  <c r="AD179" i="26"/>
  <c r="V196" i="26"/>
  <c r="R202" i="26"/>
  <c r="N208" i="26"/>
  <c r="P61" i="26"/>
  <c r="V20" i="26"/>
  <c r="N207" i="26"/>
  <c r="O27" i="26"/>
  <c r="AD27" i="26"/>
  <c r="V61" i="26"/>
  <c r="N69" i="26"/>
  <c r="T97" i="26"/>
  <c r="N112" i="26"/>
  <c r="N113" i="26" s="1"/>
  <c r="Y127" i="26"/>
  <c r="Z149" i="26"/>
  <c r="G12" i="22" s="1"/>
  <c r="G30" i="22" s="1"/>
  <c r="V159" i="26"/>
  <c r="P179" i="26"/>
  <c r="E187" i="26"/>
  <c r="W196" i="26"/>
  <c r="T202" i="26"/>
  <c r="T203" i="26" s="1"/>
  <c r="W20" i="26"/>
  <c r="O69" i="26"/>
  <c r="N88" i="26"/>
  <c r="U97" i="26"/>
  <c r="O112" i="26"/>
  <c r="O113" i="26" s="1"/>
  <c r="AD112" i="26"/>
  <c r="AD113" i="26" s="1"/>
  <c r="Q127" i="26"/>
  <c r="S132" i="26"/>
  <c r="X196" i="26"/>
  <c r="U202" i="26"/>
  <c r="AA109" i="26"/>
  <c r="AA112" i="26" s="1"/>
  <c r="AA113" i="26" s="1"/>
  <c r="P112" i="26"/>
  <c r="P113" i="26" s="1"/>
  <c r="AE112" i="26"/>
  <c r="AE113" i="26" s="1"/>
  <c r="Q135" i="26"/>
  <c r="AE135" i="26"/>
  <c r="AA156" i="26"/>
  <c r="AA159" i="26" s="1"/>
  <c r="R159" i="26"/>
  <c r="AA193" i="26"/>
  <c r="AA196" i="26" s="1"/>
  <c r="Y196" i="26"/>
  <c r="V202" i="26"/>
  <c r="W208" i="26"/>
  <c r="S126" i="26"/>
  <c r="I11" i="22" s="1"/>
  <c r="I29" i="22" s="1"/>
  <c r="AA132" i="26"/>
  <c r="AA135" i="26" s="1"/>
  <c r="V152" i="26"/>
  <c r="U159" i="26"/>
  <c r="T179" i="26"/>
  <c r="W202" i="26"/>
  <c r="X208" i="26"/>
  <c r="R69" i="26"/>
  <c r="S85" i="26"/>
  <c r="F9" i="22" s="1"/>
  <c r="F27" i="22" s="1"/>
  <c r="E127" i="26"/>
  <c r="Z126" i="26"/>
  <c r="J11" i="22" s="1"/>
  <c r="J29" i="22" s="1"/>
  <c r="W152" i="26"/>
  <c r="W159" i="26"/>
  <c r="S186" i="26"/>
  <c r="N196" i="26"/>
  <c r="AC196" i="26"/>
  <c r="X202" i="26"/>
  <c r="AD61" i="26"/>
  <c r="S64" i="26"/>
  <c r="T69" i="26"/>
  <c r="Z85" i="26"/>
  <c r="G9" i="22" s="1"/>
  <c r="G27" i="22" s="1"/>
  <c r="Y97" i="26"/>
  <c r="N127" i="26"/>
  <c r="X152" i="26"/>
  <c r="R187" i="26"/>
  <c r="Z186" i="26"/>
  <c r="G13" i="22" s="1"/>
  <c r="AD196" i="26"/>
  <c r="R61" i="26"/>
  <c r="W61" i="26"/>
  <c r="E61" i="26"/>
  <c r="N61" i="26"/>
  <c r="Q212" i="26"/>
  <c r="T61" i="26"/>
  <c r="AD88" i="26"/>
  <c r="AA174" i="26"/>
  <c r="AA179" i="26" s="1"/>
  <c r="E196" i="26"/>
  <c r="AD202" i="26"/>
  <c r="V207" i="26"/>
  <c r="O88" i="26"/>
  <c r="X20" i="26"/>
  <c r="P207" i="26"/>
  <c r="V208" i="26"/>
  <c r="P27" i="26"/>
  <c r="AE27" i="26"/>
  <c r="V34" i="26"/>
  <c r="V35" i="26" s="1"/>
  <c r="Z41" i="26"/>
  <c r="P88" i="26"/>
  <c r="AE88" i="26"/>
  <c r="S92" i="26"/>
  <c r="O135" i="26"/>
  <c r="AE179" i="26"/>
  <c r="AB196" i="26"/>
  <c r="AE202" i="26"/>
  <c r="AE127" i="26"/>
  <c r="Q207" i="26"/>
  <c r="AA41" i="26"/>
  <c r="AA42" i="26" s="1"/>
  <c r="AA43" i="26" s="1"/>
  <c r="V69" i="26"/>
  <c r="Q88" i="26"/>
  <c r="X112" i="26"/>
  <c r="X113" i="26" s="1"/>
  <c r="P135" i="26"/>
  <c r="Y159" i="26"/>
  <c r="Q179" i="26"/>
  <c r="O196" i="26"/>
  <c r="S82" i="26"/>
  <c r="V97" i="26"/>
  <c r="AD135" i="26"/>
  <c r="R179" i="26"/>
  <c r="P196" i="26"/>
  <c r="P203" i="26" s="1"/>
  <c r="U208" i="26"/>
  <c r="W69" i="26"/>
  <c r="N206" i="26"/>
  <c r="S17" i="26"/>
  <c r="F5" i="22" s="1"/>
  <c r="F23" i="22" s="1"/>
  <c r="T207" i="26"/>
  <c r="T27" i="26"/>
  <c r="Y34" i="26"/>
  <c r="Y35" i="26" s="1"/>
  <c r="X69" i="26"/>
  <c r="T88" i="26"/>
  <c r="W97" i="26"/>
  <c r="E112" i="26"/>
  <c r="F113" i="26" s="1"/>
  <c r="N11" i="23" s="1"/>
  <c r="N32" i="23" s="1"/>
  <c r="Z82" i="26"/>
  <c r="D9" i="22" s="1"/>
  <c r="D27" i="22" s="1"/>
  <c r="U88" i="26"/>
  <c r="X97" i="26"/>
  <c r="S109" i="26"/>
  <c r="AA126" i="26"/>
  <c r="S144" i="26"/>
  <c r="AE152" i="26"/>
  <c r="U179" i="26"/>
  <c r="AD207" i="26"/>
  <c r="E20" i="26"/>
  <c r="AD20" i="26"/>
  <c r="AE206" i="26"/>
  <c r="V27" i="26"/>
  <c r="S209" i="26"/>
  <c r="AA82" i="26"/>
  <c r="V88" i="26"/>
  <c r="Z109" i="26"/>
  <c r="Z144" i="26"/>
  <c r="Q152" i="26"/>
  <c r="E159" i="26"/>
  <c r="AD159" i="26"/>
  <c r="S174" i="26"/>
  <c r="V179" i="26"/>
  <c r="P206" i="26"/>
  <c r="T208" i="26"/>
  <c r="O207" i="26"/>
  <c r="U34" i="26"/>
  <c r="U35" i="26" s="1"/>
  <c r="W207" i="26"/>
  <c r="AB208" i="26"/>
  <c r="W27" i="26"/>
  <c r="AD34" i="26"/>
  <c r="AD35" i="26" s="1"/>
  <c r="X209" i="26"/>
  <c r="S123" i="26"/>
  <c r="AA144" i="26"/>
  <c r="R152" i="26"/>
  <c r="Z174" i="26"/>
  <c r="AC207" i="26"/>
  <c r="R207" i="26"/>
  <c r="O206" i="26"/>
  <c r="D208" i="26"/>
  <c r="E34" i="26"/>
  <c r="F35" i="26" s="1"/>
  <c r="N7" i="23" s="1"/>
  <c r="R20" i="26"/>
  <c r="P208" i="26"/>
  <c r="AC208" i="26"/>
  <c r="S57" i="26"/>
  <c r="AD69" i="26"/>
  <c r="AA209" i="26"/>
  <c r="Y209" i="26"/>
  <c r="N97" i="26"/>
  <c r="AA149" i="26"/>
  <c r="O159" i="26"/>
  <c r="AD187" i="26"/>
  <c r="S11" i="26"/>
  <c r="AA11" i="26"/>
  <c r="T206" i="26"/>
  <c r="AA17" i="26"/>
  <c r="Y207" i="26"/>
  <c r="Q208" i="26"/>
  <c r="AD208" i="26"/>
  <c r="Y27" i="26"/>
  <c r="S33" i="26"/>
  <c r="P69" i="26"/>
  <c r="AE69" i="26"/>
  <c r="D209" i="26"/>
  <c r="O97" i="26"/>
  <c r="AD97" i="26"/>
  <c r="U207" i="26"/>
  <c r="AA123" i="26"/>
  <c r="U152" i="26"/>
  <c r="P159" i="26"/>
  <c r="P187" i="26"/>
  <c r="AE187" i="26"/>
  <c r="Y212" i="26"/>
  <c r="X207" i="26"/>
  <c r="N212" i="26"/>
  <c r="Z46" i="26"/>
  <c r="X27" i="26"/>
  <c r="AD212" i="26"/>
  <c r="AE212" i="26"/>
  <c r="Z33" i="26"/>
  <c r="R212" i="26"/>
  <c r="P212" i="26"/>
  <c r="AB206" i="26"/>
  <c r="AA46" i="26"/>
  <c r="T212" i="26"/>
  <c r="U212" i="26"/>
  <c r="AB212" i="26"/>
  <c r="AC206" i="26"/>
  <c r="V212" i="26"/>
  <c r="X212" i="26"/>
  <c r="Q206" i="26"/>
  <c r="Q20" i="26"/>
  <c r="AE207" i="26"/>
  <c r="AE20" i="26"/>
  <c r="S24" i="26"/>
  <c r="S27" i="26" s="1"/>
  <c r="Z11" i="26"/>
  <c r="Y208" i="26"/>
  <c r="W34" i="26"/>
  <c r="W35" i="26" s="1"/>
  <c r="W212" i="26"/>
  <c r="R206" i="26"/>
  <c r="AD206" i="26"/>
  <c r="Z153" i="26"/>
  <c r="Z156" i="26" s="1"/>
  <c r="Z159" i="26" s="1"/>
  <c r="Z117" i="26"/>
  <c r="Z123" i="26" s="1"/>
  <c r="U206" i="26"/>
  <c r="T20" i="26"/>
  <c r="V206" i="26"/>
  <c r="W206" i="26"/>
  <c r="X206" i="26"/>
  <c r="D206" i="26"/>
  <c r="Y206" i="26"/>
  <c r="Q188" i="26" l="1"/>
  <c r="S97" i="26"/>
  <c r="F8" i="22"/>
  <c r="AA208" i="26"/>
  <c r="F13" i="22"/>
  <c r="S202" i="26"/>
  <c r="S135" i="26"/>
  <c r="S69" i="26"/>
  <c r="N188" i="26"/>
  <c r="D5" i="22"/>
  <c r="D23" i="22" s="1"/>
  <c r="AD160" i="26"/>
  <c r="C11" i="22"/>
  <c r="C29" i="22" s="1"/>
  <c r="T213" i="26"/>
  <c r="D11" i="22"/>
  <c r="D29" i="22" s="1"/>
  <c r="R136" i="26"/>
  <c r="C12" i="22"/>
  <c r="C30" i="22" s="1"/>
  <c r="C5" i="22"/>
  <c r="C23" i="22" s="1"/>
  <c r="D8" i="22"/>
  <c r="S34" i="26"/>
  <c r="S35" i="26" s="1"/>
  <c r="O7" i="23" s="1"/>
  <c r="F6" i="22"/>
  <c r="S112" i="26"/>
  <c r="S113" i="26" s="1"/>
  <c r="O11" i="23" s="1"/>
  <c r="O32" i="23" s="1"/>
  <c r="C10" i="22"/>
  <c r="C28" i="22" s="1"/>
  <c r="C8" i="22"/>
  <c r="Z42" i="26"/>
  <c r="Z43" i="26" s="1"/>
  <c r="P9" i="23" s="1"/>
  <c r="P30" i="23" s="1"/>
  <c r="D7" i="22"/>
  <c r="D26" i="22" s="1"/>
  <c r="S42" i="26"/>
  <c r="S43" i="26" s="1"/>
  <c r="O9" i="23" s="1"/>
  <c r="O30" i="23" s="1"/>
  <c r="C7" i="22"/>
  <c r="C26" i="22" s="1"/>
  <c r="S179" i="26"/>
  <c r="C13" i="22"/>
  <c r="G14" i="22"/>
  <c r="Z34" i="26"/>
  <c r="Z35" i="26" s="1"/>
  <c r="P7" i="23" s="1"/>
  <c r="G6" i="22"/>
  <c r="F160" i="26"/>
  <c r="N13" i="23" s="1"/>
  <c r="C9" i="22"/>
  <c r="C27" i="22" s="1"/>
  <c r="F14" i="22"/>
  <c r="Z196" i="26"/>
  <c r="Z203" i="26" s="1"/>
  <c r="P15" i="23" s="1"/>
  <c r="P37" i="23" s="1"/>
  <c r="D14" i="22"/>
  <c r="D12" i="22"/>
  <c r="D30" i="22" s="1"/>
  <c r="O188" i="26"/>
  <c r="S196" i="26"/>
  <c r="C14" i="22"/>
  <c r="Z179" i="26"/>
  <c r="D13" i="22"/>
  <c r="Z112" i="26"/>
  <c r="Z113" i="26" s="1"/>
  <c r="P11" i="23" s="1"/>
  <c r="P32" i="23" s="1"/>
  <c r="D10" i="22"/>
  <c r="D28" i="22" s="1"/>
  <c r="F203" i="26"/>
  <c r="N15" i="23" s="1"/>
  <c r="N37" i="23" s="1"/>
  <c r="S208" i="26"/>
  <c r="T136" i="26"/>
  <c r="Y188" i="26"/>
  <c r="N160" i="26"/>
  <c r="V136" i="26"/>
  <c r="X70" i="26"/>
  <c r="T188" i="26"/>
  <c r="O136" i="26"/>
  <c r="N28" i="26"/>
  <c r="U160" i="26"/>
  <c r="AD136" i="26"/>
  <c r="X98" i="26"/>
  <c r="Q203" i="26"/>
  <c r="Q160" i="26"/>
  <c r="Z208" i="26"/>
  <c r="W203" i="26"/>
  <c r="R203" i="26"/>
  <c r="Z88" i="26"/>
  <c r="Z98" i="26" s="1"/>
  <c r="P10" i="23" s="1"/>
  <c r="P31" i="23" s="1"/>
  <c r="X188" i="26"/>
  <c r="Q70" i="26"/>
  <c r="P188" i="26"/>
  <c r="P160" i="26"/>
  <c r="U203" i="26"/>
  <c r="P136" i="26"/>
  <c r="Z61" i="26"/>
  <c r="Z70" i="26" s="1"/>
  <c r="P8" i="23" s="1"/>
  <c r="S187" i="26"/>
  <c r="Z187" i="26"/>
  <c r="AA187" i="26"/>
  <c r="AA214" i="26" s="1"/>
  <c r="O160" i="26"/>
  <c r="R70" i="26"/>
  <c r="N203" i="26"/>
  <c r="AE160" i="26"/>
  <c r="AB203" i="26"/>
  <c r="Y136" i="26"/>
  <c r="P98" i="26"/>
  <c r="W160" i="26"/>
  <c r="O28" i="26"/>
  <c r="U136" i="26"/>
  <c r="S88" i="26"/>
  <c r="S98" i="26" s="1"/>
  <c r="O10" i="23" s="1"/>
  <c r="W188" i="26"/>
  <c r="AE210" i="26"/>
  <c r="O70" i="26"/>
  <c r="F70" i="26"/>
  <c r="N8" i="23" s="1"/>
  <c r="U98" i="26"/>
  <c r="X203" i="26"/>
  <c r="Y28" i="26"/>
  <c r="R98" i="26"/>
  <c r="T210" i="26"/>
  <c r="Y98" i="26"/>
  <c r="F136" i="26"/>
  <c r="N12" i="23" s="1"/>
  <c r="N33" i="23" s="1"/>
  <c r="Z152" i="26"/>
  <c r="Z160" i="26" s="1"/>
  <c r="P13" i="23" s="1"/>
  <c r="P34" i="23" s="1"/>
  <c r="Q136" i="26"/>
  <c r="AD70" i="26"/>
  <c r="AE136" i="26"/>
  <c r="O203" i="26"/>
  <c r="AA88" i="26"/>
  <c r="AA98" i="26" s="1"/>
  <c r="P28" i="26"/>
  <c r="T70" i="26"/>
  <c r="U28" i="26"/>
  <c r="V98" i="26"/>
  <c r="AE203" i="26"/>
  <c r="AA127" i="26"/>
  <c r="AA136" i="26" s="1"/>
  <c r="S127" i="26"/>
  <c r="N210" i="26"/>
  <c r="S20" i="26"/>
  <c r="S28" i="26" s="1"/>
  <c r="V188" i="26"/>
  <c r="W70" i="26"/>
  <c r="AD203" i="26"/>
  <c r="AD188" i="26"/>
  <c r="R214" i="26"/>
  <c r="F98" i="26"/>
  <c r="N10" i="23" s="1"/>
  <c r="W136" i="26"/>
  <c r="Y213" i="26"/>
  <c r="V214" i="26"/>
  <c r="AA152" i="26"/>
  <c r="AA160" i="26" s="1"/>
  <c r="Y160" i="26"/>
  <c r="V160" i="26"/>
  <c r="V28" i="26"/>
  <c r="Q214" i="26"/>
  <c r="Y70" i="26"/>
  <c r="F28" i="26"/>
  <c r="N6" i="23" s="1"/>
  <c r="N27" i="23" s="1"/>
  <c r="N70" i="26"/>
  <c r="AA203" i="26"/>
  <c r="W98" i="26"/>
  <c r="T98" i="26"/>
  <c r="R188" i="26"/>
  <c r="AE98" i="26"/>
  <c r="AC203" i="26"/>
  <c r="Q98" i="26"/>
  <c r="AA207" i="26"/>
  <c r="P210" i="26"/>
  <c r="R160" i="26"/>
  <c r="AA61" i="26"/>
  <c r="AA70" i="26" s="1"/>
  <c r="F188" i="26"/>
  <c r="O213" i="26"/>
  <c r="Q210" i="26"/>
  <c r="AD213" i="26"/>
  <c r="X160" i="26"/>
  <c r="U70" i="26"/>
  <c r="N136" i="26"/>
  <c r="AD28" i="26"/>
  <c r="AE188" i="26"/>
  <c r="V213" i="26"/>
  <c r="N214" i="26"/>
  <c r="O214" i="26"/>
  <c r="O210" i="26"/>
  <c r="S152" i="26"/>
  <c r="S160" i="26" s="1"/>
  <c r="O13" i="23" s="1"/>
  <c r="X210" i="26"/>
  <c r="Y203" i="26"/>
  <c r="AE214" i="26"/>
  <c r="D213" i="26"/>
  <c r="X136" i="26"/>
  <c r="U213" i="26"/>
  <c r="N98" i="26"/>
  <c r="W213" i="26"/>
  <c r="V70" i="26"/>
  <c r="T160" i="26"/>
  <c r="R210" i="26"/>
  <c r="P214" i="26"/>
  <c r="R213" i="26"/>
  <c r="T214" i="26"/>
  <c r="N213" i="26"/>
  <c r="U214" i="26"/>
  <c r="AB214" i="26"/>
  <c r="Y214" i="26"/>
  <c r="D210" i="26"/>
  <c r="D214" i="26"/>
  <c r="AB210" i="26"/>
  <c r="W28" i="26"/>
  <c r="V203" i="26"/>
  <c r="Z127" i="26"/>
  <c r="Z136" i="26" s="1"/>
  <c r="P12" i="23" s="1"/>
  <c r="P33" i="23" s="1"/>
  <c r="P70" i="26"/>
  <c r="AD98" i="26"/>
  <c r="AA206" i="26"/>
  <c r="S61" i="26"/>
  <c r="AD210" i="26"/>
  <c r="AE70" i="26"/>
  <c r="W210" i="26"/>
  <c r="V210" i="26"/>
  <c r="AC210" i="26"/>
  <c r="AD214" i="26"/>
  <c r="U188" i="26"/>
  <c r="AC214" i="26"/>
  <c r="Z207" i="26"/>
  <c r="S206" i="26"/>
  <c r="O98" i="26"/>
  <c r="AA20" i="26"/>
  <c r="AA28" i="26" s="1"/>
  <c r="R28" i="26"/>
  <c r="X214" i="26"/>
  <c r="S207" i="26"/>
  <c r="U210" i="26"/>
  <c r="P213" i="26"/>
  <c r="X213" i="26"/>
  <c r="AA212" i="26"/>
  <c r="Z212" i="26"/>
  <c r="I7" i="24" s="1"/>
  <c r="AC213" i="26"/>
  <c r="Y210" i="26"/>
  <c r="Q213" i="26"/>
  <c r="Q28" i="26"/>
  <c r="W214" i="26"/>
  <c r="T28" i="26"/>
  <c r="X28" i="26"/>
  <c r="AB213" i="26"/>
  <c r="AE213" i="26"/>
  <c r="AE28" i="26"/>
  <c r="Z206" i="26"/>
  <c r="Z20" i="26"/>
  <c r="S70" i="26" l="1"/>
  <c r="S203" i="26"/>
  <c r="O15" i="23" s="1"/>
  <c r="O37" i="23" s="1"/>
  <c r="S136" i="26"/>
  <c r="O12" i="23" s="1"/>
  <c r="O33" i="23" s="1"/>
  <c r="O34" i="23"/>
  <c r="N31" i="23"/>
  <c r="N34" i="23"/>
  <c r="O31" i="23"/>
  <c r="N38" i="23"/>
  <c r="S214" i="26"/>
  <c r="I12" i="24" s="1"/>
  <c r="Z188" i="26"/>
  <c r="P14" i="23" s="1"/>
  <c r="Z214" i="26"/>
  <c r="I13" i="24" s="1"/>
  <c r="S188" i="26"/>
  <c r="O14" i="23" s="1"/>
  <c r="AA188" i="26"/>
  <c r="AA204" i="26" s="1"/>
  <c r="O6" i="23"/>
  <c r="O27" i="23" s="1"/>
  <c r="AA210" i="26"/>
  <c r="R215" i="26"/>
  <c r="U204" i="26"/>
  <c r="V215" i="26"/>
  <c r="P204" i="26"/>
  <c r="O204" i="26"/>
  <c r="O215" i="26"/>
  <c r="G204" i="26"/>
  <c r="N14" i="23"/>
  <c r="N16" i="23" s="1"/>
  <c r="R204" i="26"/>
  <c r="AB204" i="26"/>
  <c r="Y215" i="26"/>
  <c r="T204" i="26"/>
  <c r="N204" i="26"/>
  <c r="Q204" i="26"/>
  <c r="AE215" i="26"/>
  <c r="U215" i="26"/>
  <c r="Y204" i="26"/>
  <c r="AD204" i="26"/>
  <c r="V204" i="26"/>
  <c r="W204" i="26"/>
  <c r="Q215" i="26"/>
  <c r="AC204" i="26"/>
  <c r="AA213" i="26"/>
  <c r="AA215" i="26" s="1"/>
  <c r="X215" i="26"/>
  <c r="N215" i="26"/>
  <c r="AD215" i="26"/>
  <c r="D215" i="26"/>
  <c r="P215" i="26"/>
  <c r="T215" i="26"/>
  <c r="X204" i="26"/>
  <c r="W215" i="26"/>
  <c r="AE204" i="26"/>
  <c r="S213" i="26"/>
  <c r="AB215" i="26"/>
  <c r="AC215" i="26"/>
  <c r="Z210" i="26"/>
  <c r="S210" i="26"/>
  <c r="Z213" i="26"/>
  <c r="Z28" i="26"/>
  <c r="O38" i="23" l="1"/>
  <c r="S204" i="26"/>
  <c r="Z204" i="26"/>
  <c r="P6" i="23"/>
  <c r="P27" i="23" s="1"/>
  <c r="Z215" i="26"/>
  <c r="I10" i="24"/>
  <c r="S215" i="26"/>
  <c r="I9" i="24"/>
  <c r="P38" i="23" l="1"/>
  <c r="V423" i="13"/>
  <c r="W423" i="13"/>
  <c r="X423" i="13"/>
  <c r="Y423" i="13"/>
  <c r="Z423" i="13"/>
  <c r="AA423" i="13"/>
  <c r="E75" i="13" l="1"/>
  <c r="E181" i="13" l="1"/>
  <c r="AT230" i="13" l="1"/>
  <c r="AU230" i="13"/>
  <c r="AV230" i="13"/>
  <c r="AX230" i="13"/>
  <c r="AY230" i="13"/>
  <c r="AZ230" i="13"/>
  <c r="AS230" i="13"/>
  <c r="AR230" i="13"/>
  <c r="AL230" i="13"/>
  <c r="AM230" i="13"/>
  <c r="AO230" i="13"/>
  <c r="AP230" i="13"/>
  <c r="AK230" i="13"/>
  <c r="AJ230" i="13"/>
  <c r="AD230" i="13"/>
  <c r="AE230" i="13"/>
  <c r="AG230" i="13"/>
  <c r="AH230" i="13"/>
  <c r="AC230" i="13"/>
  <c r="AB230" i="13"/>
  <c r="AA230" i="13"/>
  <c r="X230" i="13"/>
  <c r="Y230" i="13"/>
  <c r="Z230" i="13"/>
  <c r="W230" i="13"/>
  <c r="V230" i="13"/>
  <c r="U230" i="13"/>
  <c r="R230" i="13"/>
  <c r="S230" i="13"/>
  <c r="T230" i="13"/>
  <c r="Q230" i="13"/>
  <c r="P230" i="13"/>
  <c r="O230" i="13"/>
  <c r="N230" i="13"/>
  <c r="M230" i="13"/>
  <c r="E230" i="13"/>
  <c r="AW230" i="13" l="1"/>
  <c r="BA230" i="13"/>
  <c r="AQ230" i="13"/>
  <c r="AF230" i="13"/>
  <c r="AI230" i="13"/>
  <c r="AN230" i="13"/>
  <c r="E130" i="13" l="1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O130" i="13"/>
  <c r="AP130" i="13"/>
  <c r="AQ130" i="13"/>
  <c r="AR130" i="13"/>
  <c r="AS130" i="13"/>
  <c r="AT130" i="13"/>
  <c r="AU130" i="13"/>
  <c r="AV130" i="13"/>
  <c r="AX130" i="13"/>
  <c r="AY130" i="13"/>
  <c r="AZ130" i="13"/>
  <c r="BA130" i="13" l="1"/>
  <c r="BB130" i="13"/>
  <c r="AN130" i="13"/>
  <c r="BJ130" i="13"/>
  <c r="AW130" i="13"/>
  <c r="BG130" i="13"/>
  <c r="BE130" i="13"/>
  <c r="BC130" i="13"/>
  <c r="BI130" i="13"/>
  <c r="BD130" i="13"/>
  <c r="BH130" i="13"/>
  <c r="BK130" i="13" l="1"/>
  <c r="BF130" i="13"/>
  <c r="E54" i="7" l="1"/>
  <c r="S111" i="14" l="1"/>
  <c r="Z111" i="14"/>
  <c r="AA111" i="14"/>
  <c r="E111" i="14"/>
  <c r="N111" i="14"/>
  <c r="O111" i="14"/>
  <c r="P111" i="14"/>
  <c r="Q111" i="14"/>
  <c r="R111" i="14"/>
  <c r="T111" i="14"/>
  <c r="U111" i="14"/>
  <c r="V111" i="14"/>
  <c r="W111" i="14"/>
  <c r="X111" i="14"/>
  <c r="Y111" i="14"/>
  <c r="AD111" i="14"/>
  <c r="AE111" i="14"/>
  <c r="X112" i="14" l="1"/>
  <c r="W112" i="14"/>
  <c r="Q112" i="14"/>
  <c r="V112" i="14"/>
  <c r="AD112" i="14"/>
  <c r="O112" i="14"/>
  <c r="P112" i="14"/>
  <c r="N112" i="14"/>
  <c r="R112" i="14"/>
  <c r="Y112" i="14"/>
  <c r="S112" i="14"/>
  <c r="F112" i="14"/>
  <c r="U112" i="14"/>
  <c r="T112" i="14"/>
  <c r="AA112" i="14"/>
  <c r="AE112" i="14"/>
  <c r="Z112" i="14"/>
  <c r="AA174" i="14" l="1"/>
  <c r="Z174" i="14"/>
  <c r="N174" i="14"/>
  <c r="O174" i="14"/>
  <c r="P174" i="14"/>
  <c r="Q174" i="14"/>
  <c r="R174" i="14"/>
  <c r="T174" i="14"/>
  <c r="U174" i="14"/>
  <c r="V174" i="14"/>
  <c r="W174" i="14"/>
  <c r="X174" i="14"/>
  <c r="Y174" i="14"/>
  <c r="AD174" i="14"/>
  <c r="AE174" i="14"/>
  <c r="S174" i="14" l="1"/>
  <c r="AM40" i="7" l="1"/>
  <c r="AL40" i="7"/>
  <c r="X40" i="7"/>
  <c r="Y40" i="7"/>
  <c r="Z40" i="7"/>
  <c r="AA40" i="7"/>
  <c r="AB40" i="7"/>
  <c r="AC40" i="7"/>
  <c r="AD40" i="7"/>
  <c r="AE40" i="7"/>
  <c r="AF40" i="7"/>
  <c r="AG40" i="7"/>
  <c r="W40" i="7"/>
  <c r="V40" i="7"/>
  <c r="O40" i="7"/>
  <c r="P40" i="7"/>
  <c r="Q40" i="7"/>
  <c r="R40" i="7"/>
  <c r="S40" i="7"/>
  <c r="T40" i="7"/>
  <c r="N40" i="7"/>
  <c r="M40" i="7"/>
  <c r="D40" i="7"/>
  <c r="M30" i="24" l="1"/>
  <c r="L30" i="24"/>
  <c r="K30" i="24"/>
  <c r="J30" i="24"/>
  <c r="I30" i="24"/>
  <c r="H30" i="24"/>
  <c r="G30" i="24"/>
  <c r="F30" i="24"/>
  <c r="E30" i="24"/>
  <c r="D30" i="24"/>
  <c r="C30" i="24"/>
  <c r="N29" i="24"/>
  <c r="N28" i="24"/>
  <c r="M27" i="24"/>
  <c r="M31" i="24" s="1"/>
  <c r="L27" i="24"/>
  <c r="L31" i="24" s="1"/>
  <c r="K27" i="24"/>
  <c r="J27" i="24"/>
  <c r="J31" i="24" s="1"/>
  <c r="I27" i="24"/>
  <c r="I31" i="24" s="1"/>
  <c r="H27" i="24"/>
  <c r="H31" i="24" s="1"/>
  <c r="G27" i="24"/>
  <c r="F27" i="24"/>
  <c r="E27" i="24"/>
  <c r="D27" i="24"/>
  <c r="D31" i="24" s="1"/>
  <c r="C27" i="24"/>
  <c r="N26" i="24"/>
  <c r="N25" i="24"/>
  <c r="J14" i="24"/>
  <c r="I23" i="24" s="1"/>
  <c r="I24" i="24" s="1"/>
  <c r="G14" i="24"/>
  <c r="Q13" i="24"/>
  <c r="R12" i="24"/>
  <c r="Q12" i="24"/>
  <c r="R11" i="24"/>
  <c r="Q11" i="24"/>
  <c r="Q8" i="24"/>
  <c r="R7" i="24"/>
  <c r="Q7" i="24"/>
  <c r="R6" i="24"/>
  <c r="Q6" i="24"/>
  <c r="R5" i="24"/>
  <c r="Q5" i="24"/>
  <c r="Q14" i="24" l="1"/>
  <c r="F23" i="24"/>
  <c r="F24" i="24" s="1"/>
  <c r="E31" i="24"/>
  <c r="F31" i="24"/>
  <c r="C31" i="24"/>
  <c r="N27" i="24"/>
  <c r="G31" i="24"/>
  <c r="K31" i="24"/>
  <c r="N30" i="24"/>
  <c r="N31" i="24" l="1"/>
  <c r="AD16" i="23" l="1"/>
  <c r="AA16" i="23"/>
  <c r="T16" i="23"/>
  <c r="Q16" i="23"/>
  <c r="AM37" i="23"/>
  <c r="AM30" i="23"/>
  <c r="AM27" i="23"/>
  <c r="AM38" i="23" l="1"/>
  <c r="BB230" i="13"/>
  <c r="BC230" i="13"/>
  <c r="BD230" i="13"/>
  <c r="BE230" i="13"/>
  <c r="BG230" i="13"/>
  <c r="BH230" i="13"/>
  <c r="BI230" i="13"/>
  <c r="BJ230" i="13"/>
  <c r="BF230" i="13" l="1"/>
  <c r="BK230" i="13"/>
  <c r="AZ181" i="13" l="1"/>
  <c r="AY181" i="13"/>
  <c r="AX181" i="13"/>
  <c r="AV181" i="13"/>
  <c r="AU181" i="13"/>
  <c r="AT181" i="13"/>
  <c r="AS181" i="13"/>
  <c r="AR181" i="13"/>
  <c r="AP181" i="13"/>
  <c r="AO181" i="13"/>
  <c r="AM181" i="13"/>
  <c r="AL181" i="13"/>
  <c r="AK181" i="13"/>
  <c r="AJ181" i="13"/>
  <c r="AH181" i="13"/>
  <c r="AG181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AI181" i="13" l="1"/>
  <c r="AF181" i="13"/>
  <c r="AW181" i="13"/>
  <c r="BD181" i="13"/>
  <c r="BI181" i="13"/>
  <c r="AQ181" i="13"/>
  <c r="BC181" i="13"/>
  <c r="BA181" i="13"/>
  <c r="BJ181" i="13"/>
  <c r="AN181" i="13"/>
  <c r="BE181" i="13"/>
  <c r="BB181" i="13"/>
  <c r="BG181" i="13"/>
  <c r="BH181" i="13"/>
  <c r="BF181" i="13" l="1"/>
  <c r="BK181" i="13"/>
  <c r="AZ427" i="13" l="1"/>
  <c r="AY427" i="13"/>
  <c r="AX427" i="13"/>
  <c r="AV427" i="13"/>
  <c r="AU427" i="13"/>
  <c r="AT427" i="13"/>
  <c r="AS427" i="13"/>
  <c r="AR427" i="13"/>
  <c r="AP427" i="13"/>
  <c r="AO427" i="13"/>
  <c r="AM427" i="13"/>
  <c r="AL427" i="13"/>
  <c r="AK427" i="13"/>
  <c r="AJ427" i="13"/>
  <c r="AH427" i="13"/>
  <c r="AG427" i="13"/>
  <c r="AE427" i="13"/>
  <c r="AD427" i="13"/>
  <c r="AC427" i="13"/>
  <c r="AB427" i="13"/>
  <c r="AA427" i="13"/>
  <c r="Z427" i="13"/>
  <c r="Y427" i="13"/>
  <c r="X427" i="13"/>
  <c r="W427" i="13"/>
  <c r="V427" i="13"/>
  <c r="U427" i="13"/>
  <c r="T427" i="13"/>
  <c r="S427" i="13"/>
  <c r="R427" i="13"/>
  <c r="Q427" i="13"/>
  <c r="P427" i="13"/>
  <c r="O427" i="13"/>
  <c r="N427" i="13"/>
  <c r="M427" i="13"/>
  <c r="E427" i="13"/>
  <c r="AN427" i="13" l="1"/>
  <c r="BB427" i="13"/>
  <c r="BG427" i="13"/>
  <c r="AI427" i="13"/>
  <c r="BA427" i="13"/>
  <c r="BJ427" i="13"/>
  <c r="AQ427" i="13"/>
  <c r="BC427" i="13"/>
  <c r="AF427" i="13"/>
  <c r="AW427" i="13"/>
  <c r="BI427" i="13"/>
  <c r="BE427" i="13"/>
  <c r="BD427" i="13"/>
  <c r="BH427" i="13"/>
  <c r="BF427" i="13" l="1"/>
  <c r="BK427" i="13"/>
  <c r="AZ423" i="13"/>
  <c r="AZ428" i="13" s="1"/>
  <c r="AZ435" i="13" s="1"/>
  <c r="AY423" i="13"/>
  <c r="AY428" i="13" s="1"/>
  <c r="AY435" i="13" s="1"/>
  <c r="AX423" i="13"/>
  <c r="AX428" i="13" s="1"/>
  <c r="AX435" i="13" s="1"/>
  <c r="AV423" i="13"/>
  <c r="AV428" i="13" s="1"/>
  <c r="AV435" i="13" s="1"/>
  <c r="AU423" i="13"/>
  <c r="AU428" i="13" s="1"/>
  <c r="AU435" i="13" s="1"/>
  <c r="AT423" i="13"/>
  <c r="AT428" i="13" s="1"/>
  <c r="AT435" i="13" s="1"/>
  <c r="AS423" i="13"/>
  <c r="AS428" i="13" s="1"/>
  <c r="AS435" i="13" s="1"/>
  <c r="AR423" i="13"/>
  <c r="AR428" i="13" s="1"/>
  <c r="AR435" i="13" s="1"/>
  <c r="AP423" i="13"/>
  <c r="AP428" i="13" s="1"/>
  <c r="AP435" i="13" s="1"/>
  <c r="AO423" i="13"/>
  <c r="AO428" i="13" s="1"/>
  <c r="AO435" i="13" s="1"/>
  <c r="AM423" i="13"/>
  <c r="AM428" i="13" s="1"/>
  <c r="AM435" i="13" s="1"/>
  <c r="AL423" i="13"/>
  <c r="AL428" i="13" s="1"/>
  <c r="AL435" i="13" s="1"/>
  <c r="AK423" i="13"/>
  <c r="AK428" i="13" s="1"/>
  <c r="AK435" i="13" s="1"/>
  <c r="AJ423" i="13"/>
  <c r="AJ428" i="13" s="1"/>
  <c r="AJ435" i="13" s="1"/>
  <c r="AH423" i="13"/>
  <c r="AH428" i="13" s="1"/>
  <c r="AH435" i="13" s="1"/>
  <c r="AG423" i="13"/>
  <c r="AG428" i="13" s="1"/>
  <c r="AG435" i="13" s="1"/>
  <c r="AE423" i="13"/>
  <c r="AE428" i="13" s="1"/>
  <c r="AE435" i="13" s="1"/>
  <c r="AD423" i="13"/>
  <c r="AD428" i="13" s="1"/>
  <c r="AD435" i="13" s="1"/>
  <c r="AC423" i="13"/>
  <c r="AC428" i="13" s="1"/>
  <c r="AC435" i="13" s="1"/>
  <c r="AB423" i="13"/>
  <c r="AB428" i="13" s="1"/>
  <c r="AB435" i="13" s="1"/>
  <c r="AA428" i="13"/>
  <c r="AA435" i="13" s="1"/>
  <c r="Z428" i="13"/>
  <c r="Z435" i="13" s="1"/>
  <c r="Y428" i="13"/>
  <c r="Y435" i="13" s="1"/>
  <c r="X428" i="13"/>
  <c r="X435" i="13" s="1"/>
  <c r="W428" i="13"/>
  <c r="W435" i="13" s="1"/>
  <c r="V428" i="13"/>
  <c r="V435" i="13" s="1"/>
  <c r="U423" i="13"/>
  <c r="U428" i="13" s="1"/>
  <c r="U435" i="13" s="1"/>
  <c r="T423" i="13"/>
  <c r="T428" i="13" s="1"/>
  <c r="T435" i="13" s="1"/>
  <c r="S423" i="13"/>
  <c r="S428" i="13" s="1"/>
  <c r="S435" i="13" s="1"/>
  <c r="R423" i="13"/>
  <c r="R428" i="13" s="1"/>
  <c r="R435" i="13" s="1"/>
  <c r="Q423" i="13"/>
  <c r="Q428" i="13" s="1"/>
  <c r="Q435" i="13" s="1"/>
  <c r="P423" i="13"/>
  <c r="P428" i="13" s="1"/>
  <c r="P435" i="13" s="1"/>
  <c r="O423" i="13"/>
  <c r="O428" i="13" s="1"/>
  <c r="O435" i="13" s="1"/>
  <c r="N423" i="13"/>
  <c r="N428" i="13" s="1"/>
  <c r="N435" i="13" s="1"/>
  <c r="M423" i="13"/>
  <c r="M428" i="13" s="1"/>
  <c r="M435" i="13" s="1"/>
  <c r="E423" i="13"/>
  <c r="F428" i="13" s="1"/>
  <c r="E435" i="13" l="1"/>
  <c r="B15" i="23"/>
  <c r="AN423" i="13"/>
  <c r="AN428" i="13" s="1"/>
  <c r="AN435" i="13" s="1"/>
  <c r="AQ423" i="13"/>
  <c r="AQ428" i="13" s="1"/>
  <c r="AQ435" i="13" s="1"/>
  <c r="AI423" i="13"/>
  <c r="AI428" i="13" s="1"/>
  <c r="AI435" i="13" s="1"/>
  <c r="BA423" i="13"/>
  <c r="BA428" i="13" s="1"/>
  <c r="BA435" i="13" s="1"/>
  <c r="AW423" i="13"/>
  <c r="AW428" i="13" s="1"/>
  <c r="AW435" i="13" s="1"/>
  <c r="BD423" i="13"/>
  <c r="BD428" i="13" s="1"/>
  <c r="BD435" i="13" s="1"/>
  <c r="BI423" i="13"/>
  <c r="BI428" i="13" s="1"/>
  <c r="BI435" i="13" s="1"/>
  <c r="AF423" i="13"/>
  <c r="AF428" i="13" s="1"/>
  <c r="AF435" i="13" s="1"/>
  <c r="BE423" i="13"/>
  <c r="BE428" i="13" s="1"/>
  <c r="BE435" i="13" s="1"/>
  <c r="BJ423" i="13"/>
  <c r="BJ428" i="13" s="1"/>
  <c r="BJ435" i="13" s="1"/>
  <c r="BB423" i="13"/>
  <c r="BB428" i="13" s="1"/>
  <c r="BG423" i="13"/>
  <c r="BG428" i="13" s="1"/>
  <c r="BG435" i="13" s="1"/>
  <c r="BH423" i="13"/>
  <c r="BH428" i="13" s="1"/>
  <c r="BH435" i="13" s="1"/>
  <c r="BC423" i="13"/>
  <c r="BC428" i="13" s="1"/>
  <c r="BC435" i="13" s="1"/>
  <c r="B37" i="23" l="1"/>
  <c r="BB435" i="13"/>
  <c r="C15" i="23"/>
  <c r="BK423" i="13"/>
  <c r="BK428" i="13" s="1"/>
  <c r="BF423" i="13"/>
  <c r="BF428" i="13" s="1"/>
  <c r="AZ406" i="13"/>
  <c r="AY406" i="13"/>
  <c r="AX406" i="13"/>
  <c r="AV406" i="13"/>
  <c r="AU406" i="13"/>
  <c r="AT406" i="13"/>
  <c r="AS406" i="13"/>
  <c r="AR406" i="13"/>
  <c r="AP406" i="13"/>
  <c r="AO406" i="13"/>
  <c r="AM406" i="13"/>
  <c r="AL406" i="13"/>
  <c r="AK406" i="13"/>
  <c r="AJ406" i="13"/>
  <c r="AH406" i="13"/>
  <c r="AG406" i="13"/>
  <c r="AE406" i="13"/>
  <c r="AD406" i="13"/>
  <c r="AC406" i="13"/>
  <c r="AB406" i="13"/>
  <c r="AA406" i="13"/>
  <c r="Z406" i="13"/>
  <c r="Y406" i="13"/>
  <c r="X406" i="13"/>
  <c r="W406" i="13"/>
  <c r="V406" i="13"/>
  <c r="U406" i="13"/>
  <c r="T406" i="13"/>
  <c r="S406" i="13"/>
  <c r="R406" i="13"/>
  <c r="Q406" i="13"/>
  <c r="P406" i="13"/>
  <c r="O406" i="13"/>
  <c r="N406" i="13"/>
  <c r="M406" i="13"/>
  <c r="E406" i="13"/>
  <c r="C37" i="23" l="1"/>
  <c r="BF435" i="13"/>
  <c r="D15" i="23"/>
  <c r="BH406" i="13"/>
  <c r="BK435" i="13"/>
  <c r="AI406" i="13"/>
  <c r="AW406" i="13"/>
  <c r="AF406" i="13"/>
  <c r="BD406" i="13"/>
  <c r="BA406" i="13"/>
  <c r="BE406" i="13"/>
  <c r="BI406" i="13"/>
  <c r="AN406" i="13"/>
  <c r="BB406" i="13"/>
  <c r="BJ406" i="13"/>
  <c r="AQ406" i="13"/>
  <c r="BC406" i="13"/>
  <c r="BG406" i="13"/>
  <c r="D37" i="23" l="1"/>
  <c r="AK37" i="23" s="1"/>
  <c r="BF406" i="13"/>
  <c r="BK406" i="13"/>
  <c r="AZ373" i="13" l="1"/>
  <c r="AY373" i="13"/>
  <c r="AX373" i="13"/>
  <c r="AV373" i="13"/>
  <c r="AU373" i="13"/>
  <c r="AT373" i="13"/>
  <c r="AS373" i="13"/>
  <c r="AR373" i="13"/>
  <c r="AP373" i="13"/>
  <c r="AO373" i="13"/>
  <c r="AM373" i="13"/>
  <c r="AL373" i="13"/>
  <c r="AK373" i="13"/>
  <c r="AJ373" i="13"/>
  <c r="AH373" i="13"/>
  <c r="AG373" i="13"/>
  <c r="AE373" i="13"/>
  <c r="AD373" i="13"/>
  <c r="AC373" i="13"/>
  <c r="AB373" i="13"/>
  <c r="AA373" i="13"/>
  <c r="Z373" i="13"/>
  <c r="Y373" i="13"/>
  <c r="X373" i="13"/>
  <c r="W373" i="13"/>
  <c r="V373" i="13"/>
  <c r="U373" i="13"/>
  <c r="T373" i="13"/>
  <c r="S373" i="13"/>
  <c r="R373" i="13"/>
  <c r="Q373" i="13"/>
  <c r="P373" i="13"/>
  <c r="O373" i="13"/>
  <c r="O407" i="13" s="1"/>
  <c r="N373" i="13"/>
  <c r="N407" i="13" s="1"/>
  <c r="M373" i="13"/>
  <c r="M407" i="13" s="1"/>
  <c r="E373" i="13"/>
  <c r="F407" i="13" s="1"/>
  <c r="E434" i="13" l="1"/>
  <c r="X407" i="13"/>
  <c r="X434" i="13" s="1"/>
  <c r="AL407" i="13"/>
  <c r="AL434" i="13" s="1"/>
  <c r="Z407" i="13"/>
  <c r="Z434" i="13" s="1"/>
  <c r="AO407" i="13"/>
  <c r="AO434" i="13" s="1"/>
  <c r="AA407" i="13"/>
  <c r="AA434" i="13" s="1"/>
  <c r="AP407" i="13"/>
  <c r="AP434" i="13" s="1"/>
  <c r="AM407" i="13"/>
  <c r="AM434" i="13" s="1"/>
  <c r="P407" i="13"/>
  <c r="P434" i="13" s="1"/>
  <c r="AB407" i="13"/>
  <c r="AB434" i="13" s="1"/>
  <c r="AR407" i="13"/>
  <c r="AR434" i="13" s="1"/>
  <c r="Q407" i="13"/>
  <c r="Q434" i="13" s="1"/>
  <c r="AC407" i="13"/>
  <c r="AC434" i="13" s="1"/>
  <c r="AS407" i="13"/>
  <c r="R407" i="13"/>
  <c r="R434" i="13" s="1"/>
  <c r="AD407" i="13"/>
  <c r="AD434" i="13" s="1"/>
  <c r="AT407" i="13"/>
  <c r="AT434" i="13" s="1"/>
  <c r="S407" i="13"/>
  <c r="S434" i="13" s="1"/>
  <c r="AE407" i="13"/>
  <c r="AE434" i="13" s="1"/>
  <c r="AU407" i="13"/>
  <c r="AU434" i="13" s="1"/>
  <c r="T407" i="13"/>
  <c r="T434" i="13" s="1"/>
  <c r="AG407" i="13"/>
  <c r="AG434" i="13" s="1"/>
  <c r="AV407" i="13"/>
  <c r="AV434" i="13" s="1"/>
  <c r="Y407" i="13"/>
  <c r="Y434" i="13" s="1"/>
  <c r="U407" i="13"/>
  <c r="U434" i="13" s="1"/>
  <c r="AH407" i="13"/>
  <c r="AH434" i="13" s="1"/>
  <c r="AX407" i="13"/>
  <c r="AX434" i="13" s="1"/>
  <c r="V407" i="13"/>
  <c r="V434" i="13" s="1"/>
  <c r="AJ407" i="13"/>
  <c r="AJ434" i="13" s="1"/>
  <c r="AY407" i="13"/>
  <c r="AY434" i="13" s="1"/>
  <c r="W407" i="13"/>
  <c r="W434" i="13" s="1"/>
  <c r="AK407" i="13"/>
  <c r="AK434" i="13" s="1"/>
  <c r="AZ407" i="13"/>
  <c r="AZ434" i="13" s="1"/>
  <c r="B14" i="23"/>
  <c r="N434" i="13"/>
  <c r="O434" i="13"/>
  <c r="M434" i="13"/>
  <c r="AS434" i="13"/>
  <c r="AW373" i="13"/>
  <c r="AI373" i="13"/>
  <c r="AF373" i="13"/>
  <c r="BI373" i="13"/>
  <c r="BD373" i="13"/>
  <c r="BA373" i="13"/>
  <c r="BE373" i="13"/>
  <c r="BJ373" i="13"/>
  <c r="AN373" i="13"/>
  <c r="BB373" i="13"/>
  <c r="BG373" i="13"/>
  <c r="AQ373" i="13"/>
  <c r="BH373" i="13"/>
  <c r="BC373" i="13"/>
  <c r="BB407" i="13" l="1"/>
  <c r="BB434" i="13" s="1"/>
  <c r="AN407" i="13"/>
  <c r="AN434" i="13" s="1"/>
  <c r="BE407" i="13"/>
  <c r="BE434" i="13" s="1"/>
  <c r="AF407" i="13"/>
  <c r="AF434" i="13" s="1"/>
  <c r="BA407" i="13"/>
  <c r="BA434" i="13" s="1"/>
  <c r="BJ407" i="13"/>
  <c r="BJ434" i="13" s="1"/>
  <c r="BD407" i="13"/>
  <c r="BD434" i="13" s="1"/>
  <c r="AI407" i="13"/>
  <c r="AI434" i="13" s="1"/>
  <c r="BI407" i="13"/>
  <c r="BI434" i="13" s="1"/>
  <c r="AW407" i="13"/>
  <c r="AW434" i="13" s="1"/>
  <c r="AQ407" i="13"/>
  <c r="AQ434" i="13" s="1"/>
  <c r="BC407" i="13"/>
  <c r="BC434" i="13" s="1"/>
  <c r="BH407" i="13"/>
  <c r="BH434" i="13" s="1"/>
  <c r="BG407" i="13"/>
  <c r="BG434" i="13" s="1"/>
  <c r="BK373" i="13"/>
  <c r="BF373" i="13"/>
  <c r="C14" i="23" l="1"/>
  <c r="BF407" i="13"/>
  <c r="BF434" i="13" s="1"/>
  <c r="BK407" i="13"/>
  <c r="BK434" i="13" s="1"/>
  <c r="AZ317" i="13"/>
  <c r="AY317" i="13"/>
  <c r="AX317" i="13"/>
  <c r="AV317" i="13"/>
  <c r="AU317" i="13"/>
  <c r="AT317" i="13"/>
  <c r="AS317" i="13"/>
  <c r="AR317" i="13"/>
  <c r="AP317" i="13"/>
  <c r="AO317" i="13"/>
  <c r="AM317" i="13"/>
  <c r="AL317" i="13"/>
  <c r="AK317" i="13"/>
  <c r="AJ317" i="13"/>
  <c r="AH317" i="13"/>
  <c r="AG317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E317" i="13"/>
  <c r="AZ264" i="13"/>
  <c r="AZ265" i="13" s="1"/>
  <c r="AY264" i="13"/>
  <c r="AY265" i="13" s="1"/>
  <c r="AX264" i="13"/>
  <c r="AX265" i="13" s="1"/>
  <c r="AV264" i="13"/>
  <c r="AV265" i="13" s="1"/>
  <c r="AU264" i="13"/>
  <c r="AU265" i="13" s="1"/>
  <c r="AT264" i="13"/>
  <c r="AT265" i="13" s="1"/>
  <c r="AS264" i="13"/>
  <c r="AS265" i="13" s="1"/>
  <c r="AR264" i="13"/>
  <c r="AR265" i="13" s="1"/>
  <c r="AP264" i="13"/>
  <c r="AP265" i="13" s="1"/>
  <c r="AO264" i="13"/>
  <c r="AO265" i="13" s="1"/>
  <c r="AM264" i="13"/>
  <c r="AM265" i="13" s="1"/>
  <c r="AL264" i="13"/>
  <c r="AL265" i="13" s="1"/>
  <c r="AK264" i="13"/>
  <c r="AK265" i="13" s="1"/>
  <c r="AJ264" i="13"/>
  <c r="AJ265" i="13" s="1"/>
  <c r="AH264" i="13"/>
  <c r="AH265" i="13" s="1"/>
  <c r="AG264" i="13"/>
  <c r="AG265" i="13" s="1"/>
  <c r="AE264" i="13"/>
  <c r="AE265" i="13" s="1"/>
  <c r="AD264" i="13"/>
  <c r="AD265" i="13" s="1"/>
  <c r="AC264" i="13"/>
  <c r="AC265" i="13" s="1"/>
  <c r="AB264" i="13"/>
  <c r="AB265" i="13" s="1"/>
  <c r="AA264" i="13"/>
  <c r="AA265" i="13" s="1"/>
  <c r="Z264" i="13"/>
  <c r="Z265" i="13" s="1"/>
  <c r="Y264" i="13"/>
  <c r="Y265" i="13" s="1"/>
  <c r="X264" i="13"/>
  <c r="X265" i="13" s="1"/>
  <c r="W264" i="13"/>
  <c r="W265" i="13" s="1"/>
  <c r="V264" i="13"/>
  <c r="V265" i="13" s="1"/>
  <c r="U264" i="13"/>
  <c r="U265" i="13" s="1"/>
  <c r="T264" i="13"/>
  <c r="T265" i="13" s="1"/>
  <c r="S264" i="13"/>
  <c r="S265" i="13" s="1"/>
  <c r="R264" i="13"/>
  <c r="R265" i="13" s="1"/>
  <c r="Q264" i="13"/>
  <c r="Q265" i="13" s="1"/>
  <c r="P264" i="13"/>
  <c r="P265" i="13" s="1"/>
  <c r="O264" i="13"/>
  <c r="O265" i="13" s="1"/>
  <c r="N264" i="13"/>
  <c r="N265" i="13" s="1"/>
  <c r="M264" i="13"/>
  <c r="M265" i="13" s="1"/>
  <c r="E264" i="13"/>
  <c r="F265" i="13" s="1"/>
  <c r="D14" i="23" l="1"/>
  <c r="B12" i="23"/>
  <c r="B33" i="23" s="1"/>
  <c r="AG33" i="23" s="1"/>
  <c r="AQ317" i="13"/>
  <c r="BI264" i="13"/>
  <c r="BI265" i="13" s="1"/>
  <c r="AW264" i="13"/>
  <c r="AW265" i="13" s="1"/>
  <c r="AI264" i="13"/>
  <c r="AI265" i="13" s="1"/>
  <c r="BA264" i="13"/>
  <c r="BA265" i="13" s="1"/>
  <c r="BJ264" i="13"/>
  <c r="BJ265" i="13" s="1"/>
  <c r="AW317" i="13"/>
  <c r="AQ264" i="13"/>
  <c r="AQ265" i="13" s="1"/>
  <c r="AI317" i="13"/>
  <c r="BA317" i="13"/>
  <c r="BJ317" i="13"/>
  <c r="AN317" i="13"/>
  <c r="BE317" i="13"/>
  <c r="AF317" i="13"/>
  <c r="BD317" i="13"/>
  <c r="BI317" i="13"/>
  <c r="BB317" i="13"/>
  <c r="BG317" i="13"/>
  <c r="BC317" i="13"/>
  <c r="BH317" i="13"/>
  <c r="AN264" i="13"/>
  <c r="AN265" i="13" s="1"/>
  <c r="AF264" i="13"/>
  <c r="AF265" i="13" s="1"/>
  <c r="BC264" i="13"/>
  <c r="BC265" i="13" s="1"/>
  <c r="BD264" i="13"/>
  <c r="BD265" i="13" s="1"/>
  <c r="BG264" i="13"/>
  <c r="BG265" i="13" s="1"/>
  <c r="BE264" i="13"/>
  <c r="BE265" i="13" s="1"/>
  <c r="BB264" i="13"/>
  <c r="BB265" i="13" s="1"/>
  <c r="BH264" i="13"/>
  <c r="BH265" i="13" s="1"/>
  <c r="C12" i="23" l="1"/>
  <c r="C33" i="23" s="1"/>
  <c r="AI33" i="23" s="1"/>
  <c r="BK317" i="13"/>
  <c r="BK264" i="13"/>
  <c r="BK265" i="13" s="1"/>
  <c r="BF317" i="13"/>
  <c r="BF264" i="13"/>
  <c r="BF265" i="13" s="1"/>
  <c r="D12" i="23" l="1"/>
  <c r="D33" i="23" s="1"/>
  <c r="AK33" i="23" s="1"/>
  <c r="AZ200" i="13"/>
  <c r="AZ201" i="13" s="1"/>
  <c r="AY200" i="13"/>
  <c r="AY201" i="13" s="1"/>
  <c r="AX200" i="13"/>
  <c r="AX201" i="13" s="1"/>
  <c r="AV200" i="13"/>
  <c r="AV201" i="13" s="1"/>
  <c r="AU200" i="13"/>
  <c r="AU201" i="13" s="1"/>
  <c r="AT200" i="13"/>
  <c r="AT201" i="13" s="1"/>
  <c r="AS200" i="13"/>
  <c r="AS201" i="13" s="1"/>
  <c r="AR200" i="13"/>
  <c r="AR201" i="13" s="1"/>
  <c r="AP200" i="13"/>
  <c r="AP201" i="13" s="1"/>
  <c r="AO200" i="13"/>
  <c r="AO201" i="13" s="1"/>
  <c r="AM200" i="13"/>
  <c r="AM201" i="13" s="1"/>
  <c r="AL200" i="13"/>
  <c r="AL201" i="13" s="1"/>
  <c r="AK200" i="13"/>
  <c r="AK201" i="13" s="1"/>
  <c r="AJ200" i="13"/>
  <c r="AJ201" i="13" s="1"/>
  <c r="AH200" i="13"/>
  <c r="AH201" i="13" s="1"/>
  <c r="AG200" i="13"/>
  <c r="AG201" i="13" s="1"/>
  <c r="AE200" i="13"/>
  <c r="AE201" i="13" s="1"/>
  <c r="AD200" i="13"/>
  <c r="AD201" i="13" s="1"/>
  <c r="AC200" i="13"/>
  <c r="AC201" i="13" s="1"/>
  <c r="AB200" i="13"/>
  <c r="AB201" i="13" s="1"/>
  <c r="AA200" i="13"/>
  <c r="AA201" i="13" s="1"/>
  <c r="Z200" i="13"/>
  <c r="Z201" i="13" s="1"/>
  <c r="Y200" i="13"/>
  <c r="Y201" i="13" s="1"/>
  <c r="X200" i="13"/>
  <c r="X201" i="13" s="1"/>
  <c r="W200" i="13"/>
  <c r="W201" i="13" s="1"/>
  <c r="V200" i="13"/>
  <c r="V201" i="13" s="1"/>
  <c r="U200" i="13"/>
  <c r="U201" i="13" s="1"/>
  <c r="T200" i="13"/>
  <c r="T201" i="13" s="1"/>
  <c r="S200" i="13"/>
  <c r="S201" i="13" s="1"/>
  <c r="R200" i="13"/>
  <c r="R201" i="13" s="1"/>
  <c r="Q200" i="13"/>
  <c r="Q201" i="13" s="1"/>
  <c r="P200" i="13"/>
  <c r="P201" i="13" s="1"/>
  <c r="O200" i="13"/>
  <c r="O201" i="13" s="1"/>
  <c r="N200" i="13"/>
  <c r="N201" i="13" s="1"/>
  <c r="M200" i="13"/>
  <c r="M201" i="13" s="1"/>
  <c r="E200" i="13"/>
  <c r="F201" i="13" s="1"/>
  <c r="B11" i="23" l="1"/>
  <c r="B32" i="23" s="1"/>
  <c r="AG32" i="23" s="1"/>
  <c r="AI200" i="13"/>
  <c r="AI201" i="13" s="1"/>
  <c r="BA200" i="13"/>
  <c r="BA201" i="13" s="1"/>
  <c r="BJ200" i="13"/>
  <c r="BJ201" i="13" s="1"/>
  <c r="AW200" i="13"/>
  <c r="AW201" i="13" s="1"/>
  <c r="AF200" i="13"/>
  <c r="AF201" i="13" s="1"/>
  <c r="BI200" i="13"/>
  <c r="BI201" i="13" s="1"/>
  <c r="AN200" i="13"/>
  <c r="AN201" i="13" s="1"/>
  <c r="AQ200" i="13"/>
  <c r="AQ201" i="13" s="1"/>
  <c r="BG200" i="13"/>
  <c r="BG201" i="13" s="1"/>
  <c r="BD200" i="13"/>
  <c r="BD201" i="13" s="1"/>
  <c r="BE200" i="13"/>
  <c r="BE201" i="13" s="1"/>
  <c r="BB200" i="13"/>
  <c r="BB201" i="13" s="1"/>
  <c r="BC200" i="13"/>
  <c r="BC201" i="13" s="1"/>
  <c r="BH200" i="13"/>
  <c r="BH201" i="13" s="1"/>
  <c r="AB164" i="13"/>
  <c r="AB165" i="13" s="1"/>
  <c r="AB432" i="13" s="1"/>
  <c r="AC164" i="13"/>
  <c r="AC165" i="13" s="1"/>
  <c r="AC432" i="13" s="1"/>
  <c r="AD164" i="13"/>
  <c r="AD165" i="13" s="1"/>
  <c r="AD432" i="13" s="1"/>
  <c r="AE164" i="13"/>
  <c r="AE165" i="13" s="1"/>
  <c r="AE432" i="13" s="1"/>
  <c r="AZ164" i="13"/>
  <c r="AZ165" i="13" s="1"/>
  <c r="AZ432" i="13" s="1"/>
  <c r="AY164" i="13"/>
  <c r="AY165" i="13" s="1"/>
  <c r="AY432" i="13" s="1"/>
  <c r="AX164" i="13"/>
  <c r="AX165" i="13" s="1"/>
  <c r="AX432" i="13" s="1"/>
  <c r="AV164" i="13"/>
  <c r="AV165" i="13" s="1"/>
  <c r="AV432" i="13" s="1"/>
  <c r="AU164" i="13"/>
  <c r="AU165" i="13" s="1"/>
  <c r="AU432" i="13" s="1"/>
  <c r="AT164" i="13"/>
  <c r="AT165" i="13" s="1"/>
  <c r="AT432" i="13" s="1"/>
  <c r="AS164" i="13"/>
  <c r="AS165" i="13" s="1"/>
  <c r="AS432" i="13" s="1"/>
  <c r="AR164" i="13"/>
  <c r="AR165" i="13" s="1"/>
  <c r="AR432" i="13" s="1"/>
  <c r="AP164" i="13"/>
  <c r="AP165" i="13" s="1"/>
  <c r="AP432" i="13" s="1"/>
  <c r="AO164" i="13"/>
  <c r="AO165" i="13" s="1"/>
  <c r="AO432" i="13" s="1"/>
  <c r="AM164" i="13"/>
  <c r="AM165" i="13" s="1"/>
  <c r="AM432" i="13" s="1"/>
  <c r="AL164" i="13"/>
  <c r="AL165" i="13" s="1"/>
  <c r="AL432" i="13" s="1"/>
  <c r="AK164" i="13"/>
  <c r="AK165" i="13" s="1"/>
  <c r="AK432" i="13" s="1"/>
  <c r="AJ164" i="13"/>
  <c r="AJ165" i="13" s="1"/>
  <c r="AJ432" i="13" s="1"/>
  <c r="AH164" i="13"/>
  <c r="AH165" i="13" s="1"/>
  <c r="AH432" i="13" s="1"/>
  <c r="AG164" i="13"/>
  <c r="AG165" i="13" s="1"/>
  <c r="AG432" i="13" s="1"/>
  <c r="AA164" i="13"/>
  <c r="AA165" i="13" s="1"/>
  <c r="AA432" i="13" s="1"/>
  <c r="Z164" i="13"/>
  <c r="Z165" i="13" s="1"/>
  <c r="Z432" i="13" s="1"/>
  <c r="Y164" i="13"/>
  <c r="Y165" i="13" s="1"/>
  <c r="Y432" i="13" s="1"/>
  <c r="X164" i="13"/>
  <c r="X165" i="13" s="1"/>
  <c r="X432" i="13" s="1"/>
  <c r="W164" i="13"/>
  <c r="W165" i="13" s="1"/>
  <c r="W432" i="13" s="1"/>
  <c r="V164" i="13"/>
  <c r="V165" i="13" s="1"/>
  <c r="V432" i="13" s="1"/>
  <c r="U164" i="13"/>
  <c r="U165" i="13" s="1"/>
  <c r="U432" i="13" s="1"/>
  <c r="T164" i="13"/>
  <c r="T165" i="13" s="1"/>
  <c r="T432" i="13" s="1"/>
  <c r="S164" i="13"/>
  <c r="S165" i="13" s="1"/>
  <c r="S432" i="13" s="1"/>
  <c r="R164" i="13"/>
  <c r="R165" i="13" s="1"/>
  <c r="R432" i="13" s="1"/>
  <c r="Q164" i="13"/>
  <c r="Q165" i="13" s="1"/>
  <c r="Q432" i="13" s="1"/>
  <c r="P164" i="13"/>
  <c r="P165" i="13" s="1"/>
  <c r="P432" i="13" s="1"/>
  <c r="O164" i="13"/>
  <c r="O165" i="13" s="1"/>
  <c r="O432" i="13" s="1"/>
  <c r="N164" i="13"/>
  <c r="N165" i="13" s="1"/>
  <c r="N432" i="13" s="1"/>
  <c r="M164" i="13"/>
  <c r="M165" i="13" s="1"/>
  <c r="M432" i="13" s="1"/>
  <c r="F165" i="13"/>
  <c r="E432" i="13" l="1"/>
  <c r="C11" i="23"/>
  <c r="C32" i="23" s="1"/>
  <c r="AI32" i="23" s="1"/>
  <c r="B10" i="23"/>
  <c r="B31" i="23" s="1"/>
  <c r="AG31" i="23" s="1"/>
  <c r="AI164" i="13"/>
  <c r="AI165" i="13" s="1"/>
  <c r="AI432" i="13" s="1"/>
  <c r="BA164" i="13"/>
  <c r="BA165" i="13" s="1"/>
  <c r="BA432" i="13" s="1"/>
  <c r="BJ164" i="13"/>
  <c r="BJ165" i="13" s="1"/>
  <c r="BJ432" i="13" s="1"/>
  <c r="BK200" i="13"/>
  <c r="BK201" i="13" s="1"/>
  <c r="AQ164" i="13"/>
  <c r="AQ165" i="13" s="1"/>
  <c r="AQ432" i="13" s="1"/>
  <c r="BH164" i="13"/>
  <c r="BH165" i="13" s="1"/>
  <c r="BH432" i="13" s="1"/>
  <c r="AW164" i="13"/>
  <c r="AW165" i="13" s="1"/>
  <c r="AW432" i="13" s="1"/>
  <c r="BI164" i="13"/>
  <c r="BI165" i="13" s="1"/>
  <c r="BI432" i="13" s="1"/>
  <c r="BF200" i="13"/>
  <c r="BF201" i="13" s="1"/>
  <c r="AF164" i="13"/>
  <c r="AF165" i="13" s="1"/>
  <c r="AF432" i="13" s="1"/>
  <c r="BD164" i="13"/>
  <c r="BD165" i="13" s="1"/>
  <c r="BD432" i="13" s="1"/>
  <c r="AN164" i="13"/>
  <c r="AN165" i="13" s="1"/>
  <c r="AN432" i="13" s="1"/>
  <c r="BG164" i="13"/>
  <c r="BG165" i="13" s="1"/>
  <c r="BG432" i="13" s="1"/>
  <c r="BE164" i="13"/>
  <c r="BE165" i="13" s="1"/>
  <c r="BE432" i="13" s="1"/>
  <c r="BB164" i="13"/>
  <c r="BB165" i="13" s="1"/>
  <c r="BC164" i="13"/>
  <c r="BC165" i="13" s="1"/>
  <c r="BC432" i="13" s="1"/>
  <c r="D11" i="23" l="1"/>
  <c r="D32" i="23" s="1"/>
  <c r="BB432" i="13"/>
  <c r="C10" i="23"/>
  <c r="C31" i="23" s="1"/>
  <c r="AI31" i="23" s="1"/>
  <c r="BK164" i="13"/>
  <c r="BK165" i="13" s="1"/>
  <c r="BK432" i="13" s="1"/>
  <c r="BF164" i="13"/>
  <c r="BF165" i="13" s="1"/>
  <c r="AK32" i="23" l="1"/>
  <c r="BF432" i="13"/>
  <c r="D10" i="23"/>
  <c r="D31" i="23" s="1"/>
  <c r="AK31" i="23" s="1"/>
  <c r="AZ288" i="13"/>
  <c r="AZ318" i="13" s="1"/>
  <c r="AZ433" i="13" s="1"/>
  <c r="AY288" i="13"/>
  <c r="AY318" i="13" s="1"/>
  <c r="AY433" i="13" s="1"/>
  <c r="AX288" i="13"/>
  <c r="AX318" i="13" s="1"/>
  <c r="AX433" i="13" s="1"/>
  <c r="AV288" i="13"/>
  <c r="AV318" i="13" s="1"/>
  <c r="AV433" i="13" s="1"/>
  <c r="AU288" i="13"/>
  <c r="AU318" i="13" s="1"/>
  <c r="AU433" i="13" s="1"/>
  <c r="AT288" i="13"/>
  <c r="AT318" i="13" s="1"/>
  <c r="AT433" i="13" s="1"/>
  <c r="AS288" i="13"/>
  <c r="AS318" i="13" s="1"/>
  <c r="AS433" i="13" s="1"/>
  <c r="AR288" i="13"/>
  <c r="AR318" i="13" s="1"/>
  <c r="AR433" i="13" s="1"/>
  <c r="AP288" i="13"/>
  <c r="AP318" i="13" s="1"/>
  <c r="AP433" i="13" s="1"/>
  <c r="AO288" i="13"/>
  <c r="AO318" i="13" s="1"/>
  <c r="AO433" i="13" s="1"/>
  <c r="AM288" i="13"/>
  <c r="AM318" i="13" s="1"/>
  <c r="AM433" i="13" s="1"/>
  <c r="AL288" i="13"/>
  <c r="AL318" i="13" s="1"/>
  <c r="AL433" i="13" s="1"/>
  <c r="AK288" i="13"/>
  <c r="AK318" i="13" s="1"/>
  <c r="AK433" i="13" s="1"/>
  <c r="AJ288" i="13"/>
  <c r="AJ318" i="13" s="1"/>
  <c r="AJ433" i="13" s="1"/>
  <c r="AH288" i="13"/>
  <c r="AH318" i="13" s="1"/>
  <c r="AH433" i="13" s="1"/>
  <c r="AG288" i="13"/>
  <c r="AG318" i="13" s="1"/>
  <c r="AG433" i="13" s="1"/>
  <c r="AE288" i="13"/>
  <c r="AE318" i="13" s="1"/>
  <c r="AE433" i="13" s="1"/>
  <c r="AD288" i="13"/>
  <c r="AD318" i="13" s="1"/>
  <c r="AD433" i="13" s="1"/>
  <c r="AC288" i="13"/>
  <c r="AC318" i="13" s="1"/>
  <c r="AC433" i="13" s="1"/>
  <c r="AB288" i="13"/>
  <c r="AB318" i="13" s="1"/>
  <c r="AB433" i="13" s="1"/>
  <c r="AA288" i="13"/>
  <c r="AA318" i="13" s="1"/>
  <c r="AA433" i="13" s="1"/>
  <c r="Z288" i="13"/>
  <c r="Z318" i="13" s="1"/>
  <c r="Z433" i="13" s="1"/>
  <c r="Y288" i="13"/>
  <c r="Y318" i="13" s="1"/>
  <c r="Y433" i="13" s="1"/>
  <c r="X288" i="13"/>
  <c r="X318" i="13" s="1"/>
  <c r="X433" i="13" s="1"/>
  <c r="W288" i="13"/>
  <c r="W318" i="13" s="1"/>
  <c r="W433" i="13" s="1"/>
  <c r="V288" i="13"/>
  <c r="V318" i="13" s="1"/>
  <c r="V433" i="13" s="1"/>
  <c r="U288" i="13"/>
  <c r="U318" i="13" s="1"/>
  <c r="U433" i="13" s="1"/>
  <c r="T288" i="13"/>
  <c r="T318" i="13" s="1"/>
  <c r="T433" i="13" s="1"/>
  <c r="S288" i="13"/>
  <c r="S318" i="13" s="1"/>
  <c r="S433" i="13" s="1"/>
  <c r="R288" i="13"/>
  <c r="R318" i="13" s="1"/>
  <c r="R433" i="13" s="1"/>
  <c r="Q288" i="13"/>
  <c r="Q318" i="13" s="1"/>
  <c r="Q433" i="13" s="1"/>
  <c r="P288" i="13"/>
  <c r="P318" i="13" s="1"/>
  <c r="P433" i="13" s="1"/>
  <c r="O288" i="13"/>
  <c r="O318" i="13" s="1"/>
  <c r="O433" i="13" s="1"/>
  <c r="N288" i="13"/>
  <c r="N318" i="13" s="1"/>
  <c r="N433" i="13" s="1"/>
  <c r="M288" i="13"/>
  <c r="M318" i="13" s="1"/>
  <c r="M433" i="13" s="1"/>
  <c r="E288" i="13"/>
  <c r="F318" i="13" s="1"/>
  <c r="E433" i="13" l="1"/>
  <c r="B13" i="23"/>
  <c r="B34" i="23" s="1"/>
  <c r="AG34" i="23" s="1"/>
  <c r="AI288" i="13"/>
  <c r="AI318" i="13" s="1"/>
  <c r="AI433" i="13" s="1"/>
  <c r="AQ288" i="13"/>
  <c r="AQ318" i="13" s="1"/>
  <c r="AQ433" i="13" s="1"/>
  <c r="AN288" i="13"/>
  <c r="AN318" i="13" s="1"/>
  <c r="AN433" i="13" s="1"/>
  <c r="BA288" i="13"/>
  <c r="BA318" i="13" s="1"/>
  <c r="BA433" i="13" s="1"/>
  <c r="AW288" i="13"/>
  <c r="AW318" i="13" s="1"/>
  <c r="AW433" i="13" s="1"/>
  <c r="BC288" i="13"/>
  <c r="BC318" i="13" s="1"/>
  <c r="BC433" i="13" s="1"/>
  <c r="AF288" i="13"/>
  <c r="AF318" i="13" s="1"/>
  <c r="AF433" i="13" s="1"/>
  <c r="BG288" i="13"/>
  <c r="BG318" i="13" s="1"/>
  <c r="BG433" i="13" s="1"/>
  <c r="BD288" i="13"/>
  <c r="BD318" i="13" s="1"/>
  <c r="BD433" i="13" s="1"/>
  <c r="BE288" i="13"/>
  <c r="BE318" i="13" s="1"/>
  <c r="BE433" i="13" s="1"/>
  <c r="BI288" i="13"/>
  <c r="BI318" i="13" s="1"/>
  <c r="BI433" i="13" s="1"/>
  <c r="BB288" i="13"/>
  <c r="BB318" i="13" s="1"/>
  <c r="BJ288" i="13"/>
  <c r="BJ318" i="13" s="1"/>
  <c r="BJ433" i="13" s="1"/>
  <c r="BH288" i="13"/>
  <c r="BH318" i="13" s="1"/>
  <c r="BH433" i="13" s="1"/>
  <c r="BB433" i="13" l="1"/>
  <c r="C13" i="23"/>
  <c r="C34" i="23" s="1"/>
  <c r="AI34" i="23" s="1"/>
  <c r="BK288" i="13"/>
  <c r="BK318" i="13" s="1"/>
  <c r="BK433" i="13" s="1"/>
  <c r="BF288" i="13"/>
  <c r="BF318" i="13" s="1"/>
  <c r="BF433" i="13" l="1"/>
  <c r="D13" i="23"/>
  <c r="D34" i="23" s="1"/>
  <c r="AK34" i="23" s="1"/>
  <c r="AZ101" i="13" l="1"/>
  <c r="AY101" i="13"/>
  <c r="AY102" i="13" s="1"/>
  <c r="AX101" i="13"/>
  <c r="AV101" i="13"/>
  <c r="AU101" i="13"/>
  <c r="AT101" i="13"/>
  <c r="AS101" i="13"/>
  <c r="AR101" i="13"/>
  <c r="AP101" i="13"/>
  <c r="AO101" i="13"/>
  <c r="AO102" i="13" s="1"/>
  <c r="AM101" i="13"/>
  <c r="AL101" i="13"/>
  <c r="AK101" i="13"/>
  <c r="AJ101" i="13"/>
  <c r="AJ102" i="13" s="1"/>
  <c r="AH101" i="13"/>
  <c r="AG101" i="13"/>
  <c r="AE101" i="13"/>
  <c r="AD101" i="13"/>
  <c r="AD102" i="13" s="1"/>
  <c r="AC101" i="13"/>
  <c r="AB101" i="13"/>
  <c r="AA101" i="13"/>
  <c r="Z101" i="13"/>
  <c r="Z102" i="13" s="1"/>
  <c r="Y101" i="13"/>
  <c r="X101" i="13"/>
  <c r="W101" i="13"/>
  <c r="V101" i="13"/>
  <c r="V102" i="13" s="1"/>
  <c r="U101" i="13"/>
  <c r="T101" i="13"/>
  <c r="S101" i="13"/>
  <c r="R101" i="13"/>
  <c r="Q101" i="13"/>
  <c r="P101" i="13"/>
  <c r="O101" i="13"/>
  <c r="N101" i="13"/>
  <c r="M101" i="13"/>
  <c r="E101" i="13"/>
  <c r="AN101" i="13" l="1"/>
  <c r="AS102" i="13"/>
  <c r="AX102" i="13"/>
  <c r="X102" i="13"/>
  <c r="AB102" i="13"/>
  <c r="AG102" i="13"/>
  <c r="AL102" i="13"/>
  <c r="R102" i="13"/>
  <c r="N102" i="13"/>
  <c r="AT102" i="13"/>
  <c r="BB101" i="13"/>
  <c r="BG101" i="13"/>
  <c r="F102" i="13"/>
  <c r="P102" i="13"/>
  <c r="T102" i="13"/>
  <c r="O102" i="13"/>
  <c r="S102" i="13"/>
  <c r="W102" i="13"/>
  <c r="AA102" i="13"/>
  <c r="AE102" i="13"/>
  <c r="AK102" i="13"/>
  <c r="AP102" i="13"/>
  <c r="AU102" i="13"/>
  <c r="AZ102" i="13"/>
  <c r="AQ101" i="13"/>
  <c r="BC101" i="13"/>
  <c r="AF101" i="13"/>
  <c r="AW101" i="13"/>
  <c r="BD101" i="13"/>
  <c r="BI101" i="13"/>
  <c r="AR102" i="13"/>
  <c r="AV102" i="13"/>
  <c r="M102" i="13"/>
  <c r="Q102" i="13"/>
  <c r="U102" i="13"/>
  <c r="Y102" i="13"/>
  <c r="AC102" i="13"/>
  <c r="AH102" i="13"/>
  <c r="AM102" i="13"/>
  <c r="AI101" i="13"/>
  <c r="BA101" i="13"/>
  <c r="BE101" i="13"/>
  <c r="BJ101" i="13"/>
  <c r="BH101" i="13"/>
  <c r="B8" i="23" l="1"/>
  <c r="BK101" i="13"/>
  <c r="BF101" i="13"/>
  <c r="AZ77" i="13" l="1"/>
  <c r="AY77" i="13"/>
  <c r="AX77" i="13"/>
  <c r="AV77" i="13"/>
  <c r="AU77" i="13"/>
  <c r="AT77" i="13"/>
  <c r="AS77" i="13"/>
  <c r="AR77" i="13"/>
  <c r="AP77" i="13"/>
  <c r="AO77" i="13"/>
  <c r="AM77" i="13"/>
  <c r="AL77" i="13"/>
  <c r="AK77" i="13"/>
  <c r="AJ77" i="13"/>
  <c r="AH77" i="13"/>
  <c r="AG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E77" i="13"/>
  <c r="BJ77" i="13"/>
  <c r="BI77" i="13"/>
  <c r="BG77" i="13"/>
  <c r="BE77" i="13"/>
  <c r="BD77" i="13"/>
  <c r="BC77" i="13"/>
  <c r="BB77" i="13"/>
  <c r="BA77" i="13"/>
  <c r="AW77" i="13"/>
  <c r="AQ77" i="13"/>
  <c r="AN77" i="13"/>
  <c r="AI77" i="13"/>
  <c r="AF77" i="13"/>
  <c r="AZ75" i="13"/>
  <c r="AY75" i="13"/>
  <c r="AX75" i="13"/>
  <c r="AV75" i="13"/>
  <c r="AU75" i="13"/>
  <c r="AT75" i="13"/>
  <c r="AS75" i="13"/>
  <c r="AR75" i="13"/>
  <c r="AP75" i="13"/>
  <c r="AO75" i="13"/>
  <c r="AM75" i="13"/>
  <c r="AL75" i="13"/>
  <c r="AK75" i="13"/>
  <c r="AJ75" i="13"/>
  <c r="AH75" i="13"/>
  <c r="AG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AP78" i="13" l="1"/>
  <c r="AU78" i="13"/>
  <c r="AZ78" i="13"/>
  <c r="AN75" i="13"/>
  <c r="AN78" i="13" s="1"/>
  <c r="BB75" i="13"/>
  <c r="BB78" i="13" s="1"/>
  <c r="BG75" i="13"/>
  <c r="BG78" i="13" s="1"/>
  <c r="P78" i="13"/>
  <c r="T78" i="13"/>
  <c r="X78" i="13"/>
  <c r="AB78" i="13"/>
  <c r="AG78" i="13"/>
  <c r="AL78" i="13"/>
  <c r="AV78" i="13"/>
  <c r="AQ75" i="13"/>
  <c r="AQ78" i="13" s="1"/>
  <c r="U78" i="13"/>
  <c r="Y78" i="13"/>
  <c r="AC78" i="13"/>
  <c r="AH78" i="13"/>
  <c r="AM78" i="13"/>
  <c r="AR78" i="13"/>
  <c r="AS78" i="13"/>
  <c r="AF75" i="13"/>
  <c r="AF78" i="13" s="1"/>
  <c r="BI75" i="13"/>
  <c r="BI78" i="13" s="1"/>
  <c r="R78" i="13"/>
  <c r="V78" i="13"/>
  <c r="Z78" i="13"/>
  <c r="AD78" i="13"/>
  <c r="AJ78" i="13"/>
  <c r="AO78" i="13"/>
  <c r="AT78" i="13"/>
  <c r="AY78" i="13"/>
  <c r="AX78" i="13"/>
  <c r="AI75" i="13"/>
  <c r="AI78" i="13" s="1"/>
  <c r="BA75" i="13"/>
  <c r="BA78" i="13" s="1"/>
  <c r="BJ75" i="13"/>
  <c r="BJ78" i="13" s="1"/>
  <c r="S78" i="13"/>
  <c r="W78" i="13"/>
  <c r="AA78" i="13"/>
  <c r="AE78" i="13"/>
  <c r="AK78" i="13"/>
  <c r="BK77" i="13"/>
  <c r="N78" i="13"/>
  <c r="O78" i="13"/>
  <c r="M78" i="13"/>
  <c r="Q78" i="13"/>
  <c r="AW75" i="13"/>
  <c r="AW78" i="13" s="1"/>
  <c r="BC75" i="13"/>
  <c r="BC78" i="13" s="1"/>
  <c r="BD75" i="13"/>
  <c r="BD78" i="13" s="1"/>
  <c r="BE75" i="13"/>
  <c r="BE78" i="13" s="1"/>
  <c r="BH75" i="13"/>
  <c r="BF77" i="13"/>
  <c r="BH77" i="13"/>
  <c r="C9" i="23" l="1"/>
  <c r="C30" i="23" s="1"/>
  <c r="BK75" i="13"/>
  <c r="BK78" i="13" s="1"/>
  <c r="BH78" i="13"/>
  <c r="BF75" i="13"/>
  <c r="BF78" i="13" s="1"/>
  <c r="D9" i="23" l="1"/>
  <c r="D30" i="23" s="1"/>
  <c r="AK30" i="23" s="1"/>
  <c r="AZ64" i="13"/>
  <c r="AY64" i="13"/>
  <c r="AX64" i="13"/>
  <c r="AV64" i="13"/>
  <c r="AU64" i="13"/>
  <c r="AT64" i="13"/>
  <c r="AS64" i="13"/>
  <c r="AR64" i="13"/>
  <c r="AP64" i="13"/>
  <c r="AO64" i="13"/>
  <c r="AM64" i="13"/>
  <c r="AL64" i="13"/>
  <c r="AK64" i="13"/>
  <c r="AJ64" i="13"/>
  <c r="AH64" i="13"/>
  <c r="AG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E64" i="13"/>
  <c r="F78" i="13" s="1"/>
  <c r="AZ57" i="13"/>
  <c r="AZ65" i="13" s="1"/>
  <c r="AY57" i="13"/>
  <c r="AX57" i="13"/>
  <c r="AV57" i="13"/>
  <c r="AU57" i="13"/>
  <c r="AT57" i="13"/>
  <c r="AS57" i="13"/>
  <c r="AR57" i="13"/>
  <c r="AP57" i="13"/>
  <c r="AO57" i="13"/>
  <c r="AM57" i="13"/>
  <c r="AL57" i="13"/>
  <c r="AK57" i="13"/>
  <c r="AJ57" i="13"/>
  <c r="AH57" i="13"/>
  <c r="AG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E57" i="13"/>
  <c r="B9" i="23" l="1"/>
  <c r="B30" i="23" s="1"/>
  <c r="AS65" i="13"/>
  <c r="AV65" i="13"/>
  <c r="AX65" i="13"/>
  <c r="AU65" i="13"/>
  <c r="AP65" i="13"/>
  <c r="O65" i="13"/>
  <c r="AA65" i="13"/>
  <c r="P65" i="13"/>
  <c r="AB65" i="13"/>
  <c r="Q65" i="13"/>
  <c r="AC65" i="13"/>
  <c r="R65" i="13"/>
  <c r="AD65" i="13"/>
  <c r="T65" i="13"/>
  <c r="AG65" i="13"/>
  <c r="S65" i="13"/>
  <c r="U65" i="13"/>
  <c r="AH65" i="13"/>
  <c r="V65" i="13"/>
  <c r="AJ65" i="13"/>
  <c r="W65" i="13"/>
  <c r="AK65" i="13"/>
  <c r="N65" i="13"/>
  <c r="Y65" i="13"/>
  <c r="AM65" i="13"/>
  <c r="M65" i="13"/>
  <c r="Z65" i="13"/>
  <c r="X65" i="13"/>
  <c r="AL65" i="13"/>
  <c r="AE65" i="13"/>
  <c r="AR65" i="13"/>
  <c r="F65" i="13"/>
  <c r="AN64" i="13"/>
  <c r="AQ57" i="13"/>
  <c r="AQ64" i="13"/>
  <c r="BC64" i="13"/>
  <c r="AW57" i="13"/>
  <c r="AF64" i="13"/>
  <c r="AW64" i="13"/>
  <c r="BI64" i="13"/>
  <c r="AF57" i="13"/>
  <c r="AI57" i="13"/>
  <c r="AI64" i="13"/>
  <c r="BA64" i="13"/>
  <c r="BJ64" i="13"/>
  <c r="AO65" i="13"/>
  <c r="AT65" i="13"/>
  <c r="AY65" i="13"/>
  <c r="BG64" i="13"/>
  <c r="BE64" i="13"/>
  <c r="BD64" i="13"/>
  <c r="BB64" i="13"/>
  <c r="AN57" i="13"/>
  <c r="BI57" i="13"/>
  <c r="BA57" i="13"/>
  <c r="BJ57" i="13"/>
  <c r="BE57" i="13"/>
  <c r="BG57" i="13"/>
  <c r="BD57" i="13"/>
  <c r="BB57" i="13"/>
  <c r="BC57" i="13"/>
  <c r="BH64" i="13"/>
  <c r="BH57" i="13"/>
  <c r="B7" i="23" l="1"/>
  <c r="BG65" i="13"/>
  <c r="AN65" i="13"/>
  <c r="BI65" i="13"/>
  <c r="AQ65" i="13"/>
  <c r="BC65" i="13"/>
  <c r="AI65" i="13"/>
  <c r="AF65" i="13"/>
  <c r="AW65" i="13"/>
  <c r="BD65" i="13"/>
  <c r="BK64" i="13"/>
  <c r="BA65" i="13"/>
  <c r="BJ65" i="13"/>
  <c r="BK57" i="13"/>
  <c r="BE65" i="13"/>
  <c r="BF64" i="13"/>
  <c r="BB65" i="13"/>
  <c r="BF57" i="13"/>
  <c r="BH65" i="13"/>
  <c r="C7" i="23" l="1"/>
  <c r="BK65" i="13"/>
  <c r="BF65" i="13"/>
  <c r="D7" i="23" l="1"/>
  <c r="AE134" i="14" l="1"/>
  <c r="AD134" i="14"/>
  <c r="Y134" i="14"/>
  <c r="X134" i="14"/>
  <c r="W134" i="14"/>
  <c r="V134" i="14"/>
  <c r="U134" i="14"/>
  <c r="T134" i="14"/>
  <c r="R134" i="14"/>
  <c r="Q134" i="14"/>
  <c r="P134" i="14"/>
  <c r="O134" i="14"/>
  <c r="N134" i="14"/>
  <c r="E134" i="14"/>
  <c r="AA134" i="14"/>
  <c r="Z134" i="14"/>
  <c r="S134" i="14"/>
  <c r="AE132" i="14"/>
  <c r="AD132" i="14"/>
  <c r="Y132" i="14"/>
  <c r="X132" i="14"/>
  <c r="W132" i="14"/>
  <c r="V132" i="14"/>
  <c r="U132" i="14"/>
  <c r="T132" i="14"/>
  <c r="R132" i="14"/>
  <c r="Q132" i="14"/>
  <c r="P132" i="14"/>
  <c r="O132" i="14"/>
  <c r="N132" i="14"/>
  <c r="E132" i="14"/>
  <c r="R135" i="14" l="1"/>
  <c r="AD135" i="14"/>
  <c r="P135" i="14"/>
  <c r="AE135" i="14"/>
  <c r="V135" i="14"/>
  <c r="X135" i="14"/>
  <c r="W135" i="14"/>
  <c r="T135" i="14"/>
  <c r="O135" i="14"/>
  <c r="N135" i="14"/>
  <c r="Z132" i="14"/>
  <c r="Z135" i="14" s="1"/>
  <c r="M13" i="23" s="1"/>
  <c r="AA132" i="14"/>
  <c r="AA135" i="14" s="1"/>
  <c r="U135" i="14"/>
  <c r="Y135" i="14"/>
  <c r="S132" i="14"/>
  <c r="S135" i="14" s="1"/>
  <c r="L13" i="23" s="1"/>
  <c r="F135" i="14"/>
  <c r="K13" i="23" s="1"/>
  <c r="Q135" i="14"/>
  <c r="AZ49" i="13" l="1"/>
  <c r="AZ439" i="13" s="1"/>
  <c r="AY49" i="13"/>
  <c r="AY439" i="13" s="1"/>
  <c r="AX49" i="13"/>
  <c r="AX439" i="13" s="1"/>
  <c r="AV49" i="13"/>
  <c r="AV439" i="13" s="1"/>
  <c r="AU49" i="13"/>
  <c r="AU439" i="13" s="1"/>
  <c r="AT49" i="13"/>
  <c r="AT439" i="13" s="1"/>
  <c r="AS49" i="13"/>
  <c r="AS439" i="13" s="1"/>
  <c r="AR49" i="13"/>
  <c r="AR439" i="13" s="1"/>
  <c r="AP49" i="13"/>
  <c r="AP439" i="13" s="1"/>
  <c r="AO49" i="13"/>
  <c r="AO439" i="13" s="1"/>
  <c r="AM49" i="13"/>
  <c r="AM439" i="13" s="1"/>
  <c r="AL49" i="13"/>
  <c r="AL439" i="13" s="1"/>
  <c r="AK49" i="13"/>
  <c r="AK439" i="13" s="1"/>
  <c r="AJ49" i="13"/>
  <c r="AJ439" i="13" s="1"/>
  <c r="AH49" i="13"/>
  <c r="AH439" i="13" s="1"/>
  <c r="AG49" i="13"/>
  <c r="AG439" i="13" s="1"/>
  <c r="AE49" i="13"/>
  <c r="AE439" i="13" s="1"/>
  <c r="AD49" i="13"/>
  <c r="AD439" i="13" s="1"/>
  <c r="AC49" i="13"/>
  <c r="AC439" i="13" s="1"/>
  <c r="AB49" i="13"/>
  <c r="AB439" i="13" s="1"/>
  <c r="AA49" i="13"/>
  <c r="AA439" i="13" s="1"/>
  <c r="Z49" i="13"/>
  <c r="Z439" i="13" s="1"/>
  <c r="Y49" i="13"/>
  <c r="Y439" i="13" s="1"/>
  <c r="X49" i="13"/>
  <c r="X439" i="13" s="1"/>
  <c r="W49" i="13"/>
  <c r="W439" i="13" s="1"/>
  <c r="V49" i="13"/>
  <c r="V439" i="13" s="1"/>
  <c r="U49" i="13"/>
  <c r="U439" i="13" s="1"/>
  <c r="T49" i="13"/>
  <c r="T439" i="13" s="1"/>
  <c r="S49" i="13"/>
  <c r="S439" i="13" s="1"/>
  <c r="R49" i="13"/>
  <c r="R439" i="13" s="1"/>
  <c r="Q49" i="13"/>
  <c r="Q439" i="13" s="1"/>
  <c r="P49" i="13"/>
  <c r="P439" i="13" s="1"/>
  <c r="O49" i="13"/>
  <c r="O439" i="13" s="1"/>
  <c r="N49" i="13"/>
  <c r="N439" i="13" s="1"/>
  <c r="M49" i="13"/>
  <c r="M439" i="13" s="1"/>
  <c r="E49" i="13"/>
  <c r="E439" i="13" s="1"/>
  <c r="C11" i="24" l="1"/>
  <c r="E11" i="24" s="1"/>
  <c r="C14" i="24"/>
  <c r="C23" i="24" s="1"/>
  <c r="AQ49" i="13"/>
  <c r="AQ439" i="13" s="1"/>
  <c r="AN49" i="13"/>
  <c r="AN439" i="13" s="1"/>
  <c r="AF49" i="13"/>
  <c r="AF439" i="13" s="1"/>
  <c r="BI49" i="13"/>
  <c r="BI439" i="13" s="1"/>
  <c r="BA49" i="13"/>
  <c r="BA439" i="13" s="1"/>
  <c r="AI49" i="13"/>
  <c r="AI439" i="13" s="1"/>
  <c r="BJ49" i="13"/>
  <c r="BJ439" i="13" s="1"/>
  <c r="BC49" i="13"/>
  <c r="BC439" i="13" s="1"/>
  <c r="BD49" i="13"/>
  <c r="BD439" i="13" s="1"/>
  <c r="AW49" i="13"/>
  <c r="AW439" i="13" s="1"/>
  <c r="BE49" i="13"/>
  <c r="BE439" i="13" s="1"/>
  <c r="BB49" i="13"/>
  <c r="BB439" i="13" s="1"/>
  <c r="BG49" i="13"/>
  <c r="BG439" i="13" s="1"/>
  <c r="BH49" i="13"/>
  <c r="BH439" i="13" s="1"/>
  <c r="AZ21" i="13"/>
  <c r="AY21" i="13"/>
  <c r="AX21" i="13"/>
  <c r="AV21" i="13"/>
  <c r="AU21" i="13"/>
  <c r="AT21" i="13"/>
  <c r="AS21" i="13"/>
  <c r="AR21" i="13"/>
  <c r="AP21" i="13"/>
  <c r="AO21" i="13"/>
  <c r="AM21" i="13"/>
  <c r="AL21" i="13"/>
  <c r="AK21" i="13"/>
  <c r="AJ21" i="13"/>
  <c r="AH21" i="13"/>
  <c r="AG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E21" i="13"/>
  <c r="E438" i="13" s="1"/>
  <c r="C24" i="24" l="1"/>
  <c r="E440" i="13"/>
  <c r="D8" i="24"/>
  <c r="E8" i="24" s="1"/>
  <c r="E14" i="24" s="1"/>
  <c r="C12" i="24"/>
  <c r="E12" i="24" s="1"/>
  <c r="M50" i="13"/>
  <c r="M438" i="13"/>
  <c r="M440" i="13" s="1"/>
  <c r="Q50" i="13"/>
  <c r="Q438" i="13"/>
  <c r="Q440" i="13" s="1"/>
  <c r="U50" i="13"/>
  <c r="U438" i="13"/>
  <c r="U440" i="13" s="1"/>
  <c r="Y50" i="13"/>
  <c r="Y438" i="13"/>
  <c r="Y440" i="13" s="1"/>
  <c r="AC50" i="13"/>
  <c r="AC438" i="13"/>
  <c r="AC440" i="13" s="1"/>
  <c r="AH50" i="13"/>
  <c r="AH438" i="13"/>
  <c r="AH440" i="13" s="1"/>
  <c r="AM50" i="13"/>
  <c r="AM438" i="13"/>
  <c r="AM440" i="13" s="1"/>
  <c r="AS50" i="13"/>
  <c r="AS438" i="13"/>
  <c r="AS440" i="13" s="1"/>
  <c r="AX50" i="13"/>
  <c r="AX438" i="13"/>
  <c r="AX440" i="13" s="1"/>
  <c r="N50" i="13"/>
  <c r="N438" i="13"/>
  <c r="N440" i="13" s="1"/>
  <c r="R50" i="13"/>
  <c r="R438" i="13"/>
  <c r="R440" i="13" s="1"/>
  <c r="V50" i="13"/>
  <c r="V438" i="13"/>
  <c r="V440" i="13" s="1"/>
  <c r="Z50" i="13"/>
  <c r="Z438" i="13"/>
  <c r="Z440" i="13" s="1"/>
  <c r="AD50" i="13"/>
  <c r="AD438" i="13"/>
  <c r="AD440" i="13" s="1"/>
  <c r="AJ50" i="13"/>
  <c r="AJ438" i="13"/>
  <c r="AJ440" i="13" s="1"/>
  <c r="AO50" i="13"/>
  <c r="AO438" i="13"/>
  <c r="AO440" i="13" s="1"/>
  <c r="AT50" i="13"/>
  <c r="AT438" i="13"/>
  <c r="AT440" i="13" s="1"/>
  <c r="AY50" i="13"/>
  <c r="AY438" i="13"/>
  <c r="AY440" i="13" s="1"/>
  <c r="O50" i="13"/>
  <c r="O438" i="13"/>
  <c r="O440" i="13" s="1"/>
  <c r="S50" i="13"/>
  <c r="S438" i="13"/>
  <c r="S440" i="13" s="1"/>
  <c r="W50" i="13"/>
  <c r="W438" i="13"/>
  <c r="W440" i="13" s="1"/>
  <c r="AA50" i="13"/>
  <c r="AA438" i="13"/>
  <c r="AA440" i="13" s="1"/>
  <c r="AE50" i="13"/>
  <c r="AE438" i="13"/>
  <c r="AE440" i="13" s="1"/>
  <c r="AK50" i="13"/>
  <c r="AK438" i="13"/>
  <c r="AK440" i="13" s="1"/>
  <c r="AP50" i="13"/>
  <c r="AP438" i="13"/>
  <c r="AP440" i="13" s="1"/>
  <c r="AU50" i="13"/>
  <c r="AU438" i="13"/>
  <c r="AU440" i="13" s="1"/>
  <c r="AZ50" i="13"/>
  <c r="AZ438" i="13"/>
  <c r="AZ440" i="13" s="1"/>
  <c r="F50" i="13"/>
  <c r="P50" i="13"/>
  <c r="P438" i="13"/>
  <c r="P440" i="13" s="1"/>
  <c r="T50" i="13"/>
  <c r="T438" i="13"/>
  <c r="T440" i="13" s="1"/>
  <c r="X50" i="13"/>
  <c r="X438" i="13"/>
  <c r="X440" i="13" s="1"/>
  <c r="AB50" i="13"/>
  <c r="AB438" i="13"/>
  <c r="AB440" i="13" s="1"/>
  <c r="AG50" i="13"/>
  <c r="AG438" i="13"/>
  <c r="AG440" i="13" s="1"/>
  <c r="AL50" i="13"/>
  <c r="AL438" i="13"/>
  <c r="AL440" i="13" s="1"/>
  <c r="AR50" i="13"/>
  <c r="AR438" i="13"/>
  <c r="AR440" i="13" s="1"/>
  <c r="AV50" i="13"/>
  <c r="AV438" i="13"/>
  <c r="AV440" i="13" s="1"/>
  <c r="AI21" i="13"/>
  <c r="BA21" i="13"/>
  <c r="AW21" i="13"/>
  <c r="BK49" i="13"/>
  <c r="BK439" i="13" s="1"/>
  <c r="AN21" i="13"/>
  <c r="BF49" i="13"/>
  <c r="BF439" i="13" s="1"/>
  <c r="AQ21" i="13"/>
  <c r="BB21" i="13"/>
  <c r="BJ21" i="13"/>
  <c r="BG21" i="13"/>
  <c r="AF21" i="13"/>
  <c r="BD21" i="13"/>
  <c r="BH21" i="13"/>
  <c r="BC21" i="13"/>
  <c r="BE21" i="13"/>
  <c r="BI21" i="13"/>
  <c r="B27" i="23" l="1"/>
  <c r="B38" i="23" s="1"/>
  <c r="E431" i="13"/>
  <c r="B6" i="23"/>
  <c r="E436" i="13"/>
  <c r="G429" i="13"/>
  <c r="C13" i="24"/>
  <c r="E13" i="24" s="1"/>
  <c r="BE50" i="13"/>
  <c r="BD50" i="13"/>
  <c r="BB50" i="13"/>
  <c r="AR431" i="13"/>
  <c r="AR436" i="13" s="1"/>
  <c r="AR429" i="13"/>
  <c r="AG431" i="13"/>
  <c r="AG436" i="13" s="1"/>
  <c r="AG429" i="13"/>
  <c r="X431" i="13"/>
  <c r="X436" i="13" s="1"/>
  <c r="X429" i="13"/>
  <c r="P431" i="13"/>
  <c r="P436" i="13" s="1"/>
  <c r="P429" i="13"/>
  <c r="AZ431" i="13"/>
  <c r="AZ436" i="13" s="1"/>
  <c r="AZ429" i="13"/>
  <c r="AP431" i="13"/>
  <c r="AP436" i="13" s="1"/>
  <c r="AP429" i="13"/>
  <c r="AE431" i="13"/>
  <c r="AE436" i="13" s="1"/>
  <c r="AE429" i="13"/>
  <c r="W431" i="13"/>
  <c r="W436" i="13" s="1"/>
  <c r="W429" i="13"/>
  <c r="O431" i="13"/>
  <c r="O436" i="13" s="1"/>
  <c r="O429" i="13"/>
  <c r="AT431" i="13"/>
  <c r="AT436" i="13" s="1"/>
  <c r="AT429" i="13"/>
  <c r="AJ431" i="13"/>
  <c r="AJ436" i="13" s="1"/>
  <c r="AJ429" i="13"/>
  <c r="Z431" i="13"/>
  <c r="Z436" i="13" s="1"/>
  <c r="Z429" i="13"/>
  <c r="R431" i="13"/>
  <c r="R436" i="13" s="1"/>
  <c r="R429" i="13"/>
  <c r="AW50" i="13"/>
  <c r="AS431" i="13"/>
  <c r="AS436" i="13" s="1"/>
  <c r="AS429" i="13"/>
  <c r="AH431" i="13"/>
  <c r="AH436" i="13" s="1"/>
  <c r="AH429" i="13"/>
  <c r="Y431" i="13"/>
  <c r="Y436" i="13" s="1"/>
  <c r="Y429" i="13"/>
  <c r="Q431" i="13"/>
  <c r="Q436" i="13" s="1"/>
  <c r="Q429" i="13"/>
  <c r="AQ50" i="13"/>
  <c r="BA50" i="13"/>
  <c r="AV431" i="13"/>
  <c r="AV436" i="13" s="1"/>
  <c r="AV429" i="13"/>
  <c r="AL431" i="13"/>
  <c r="AL436" i="13" s="1"/>
  <c r="AL429" i="13"/>
  <c r="AB431" i="13"/>
  <c r="AB436" i="13" s="1"/>
  <c r="AB429" i="13"/>
  <c r="T431" i="13"/>
  <c r="T436" i="13" s="1"/>
  <c r="T429" i="13"/>
  <c r="AU431" i="13"/>
  <c r="AU436" i="13" s="1"/>
  <c r="AU429" i="13"/>
  <c r="AK431" i="13"/>
  <c r="AK436" i="13" s="1"/>
  <c r="AK429" i="13"/>
  <c r="AA431" i="13"/>
  <c r="AA436" i="13" s="1"/>
  <c r="AA429" i="13"/>
  <c r="S431" i="13"/>
  <c r="S436" i="13" s="1"/>
  <c r="S429" i="13"/>
  <c r="AY431" i="13"/>
  <c r="AY436" i="13" s="1"/>
  <c r="AY429" i="13"/>
  <c r="AO431" i="13"/>
  <c r="AO436" i="13" s="1"/>
  <c r="AO429" i="13"/>
  <c r="AD431" i="13"/>
  <c r="AD436" i="13" s="1"/>
  <c r="AD429" i="13"/>
  <c r="V431" i="13"/>
  <c r="V436" i="13" s="1"/>
  <c r="V429" i="13"/>
  <c r="N431" i="13"/>
  <c r="N436" i="13" s="1"/>
  <c r="N429" i="13"/>
  <c r="AF50" i="13"/>
  <c r="BI50" i="13"/>
  <c r="BC50" i="13"/>
  <c r="BH50" i="13"/>
  <c r="BG50" i="13"/>
  <c r="BJ50" i="13"/>
  <c r="AN50" i="13"/>
  <c r="AI50" i="13"/>
  <c r="AX431" i="13"/>
  <c r="AX436" i="13" s="1"/>
  <c r="AX429" i="13"/>
  <c r="AM431" i="13"/>
  <c r="AM436" i="13" s="1"/>
  <c r="AM429" i="13"/>
  <c r="AC431" i="13"/>
  <c r="AC436" i="13" s="1"/>
  <c r="AC429" i="13"/>
  <c r="U431" i="13"/>
  <c r="U436" i="13" s="1"/>
  <c r="U429" i="13"/>
  <c r="M431" i="13"/>
  <c r="M436" i="13" s="1"/>
  <c r="M429" i="13"/>
  <c r="BF21" i="13"/>
  <c r="BK21" i="13"/>
  <c r="C27" i="23" l="1"/>
  <c r="C38" i="23" s="1"/>
  <c r="B16" i="23"/>
  <c r="C6" i="23"/>
  <c r="D14" i="24"/>
  <c r="D23" i="24" s="1"/>
  <c r="BK50" i="13"/>
  <c r="BF50" i="13"/>
  <c r="D27" i="23" l="1"/>
  <c r="D24" i="24"/>
  <c r="D6" i="23"/>
  <c r="AK27" i="23" l="1"/>
  <c r="AK38" i="23" s="1"/>
  <c r="D38" i="23"/>
  <c r="AM305" i="7"/>
  <c r="AM306" i="7" s="1"/>
  <c r="AM313" i="7" s="1"/>
  <c r="AL305" i="7"/>
  <c r="AL306" i="7" s="1"/>
  <c r="AL313" i="7" s="1"/>
  <c r="AG305" i="7"/>
  <c r="AG306" i="7" s="1"/>
  <c r="AG313" i="7" s="1"/>
  <c r="AF305" i="7"/>
  <c r="AF306" i="7" s="1"/>
  <c r="AF313" i="7" s="1"/>
  <c r="AE305" i="7"/>
  <c r="AE306" i="7" s="1"/>
  <c r="AE313" i="7" s="1"/>
  <c r="AD305" i="7"/>
  <c r="AD306" i="7" s="1"/>
  <c r="AD313" i="7" s="1"/>
  <c r="AC305" i="7"/>
  <c r="AC306" i="7" s="1"/>
  <c r="AC313" i="7" s="1"/>
  <c r="AB305" i="7"/>
  <c r="AB306" i="7" s="1"/>
  <c r="AB313" i="7" s="1"/>
  <c r="AA305" i="7"/>
  <c r="AA306" i="7" s="1"/>
  <c r="AA313" i="7" s="1"/>
  <c r="Z305" i="7"/>
  <c r="Z306" i="7" s="1"/>
  <c r="Z313" i="7" s="1"/>
  <c r="Y305" i="7"/>
  <c r="Y306" i="7" s="1"/>
  <c r="Y313" i="7" s="1"/>
  <c r="X305" i="7"/>
  <c r="X306" i="7" s="1"/>
  <c r="X313" i="7" s="1"/>
  <c r="W305" i="7"/>
  <c r="W306" i="7" s="1"/>
  <c r="W313" i="7" s="1"/>
  <c r="V305" i="7"/>
  <c r="V306" i="7" s="1"/>
  <c r="V313" i="7" s="1"/>
  <c r="T305" i="7"/>
  <c r="T306" i="7" s="1"/>
  <c r="T313" i="7" s="1"/>
  <c r="S305" i="7"/>
  <c r="S306" i="7" s="1"/>
  <c r="S313" i="7" s="1"/>
  <c r="R305" i="7"/>
  <c r="R306" i="7" s="1"/>
  <c r="R313" i="7" s="1"/>
  <c r="Q305" i="7"/>
  <c r="Q306" i="7" s="1"/>
  <c r="Q313" i="7" s="1"/>
  <c r="P305" i="7"/>
  <c r="P306" i="7" s="1"/>
  <c r="P313" i="7" s="1"/>
  <c r="O305" i="7"/>
  <c r="O306" i="7" s="1"/>
  <c r="O313" i="7" s="1"/>
  <c r="N305" i="7"/>
  <c r="N306" i="7" s="1"/>
  <c r="N313" i="7" s="1"/>
  <c r="E306" i="7"/>
  <c r="E15" i="23" l="1"/>
  <c r="D313" i="7"/>
  <c r="M306" i="7"/>
  <c r="AH305" i="7"/>
  <c r="AH306" i="7" s="1"/>
  <c r="AI305" i="7"/>
  <c r="AI306" i="7" s="1"/>
  <c r="AI313" i="7" s="1"/>
  <c r="U305" i="7"/>
  <c r="E37" i="23" l="1"/>
  <c r="I15" i="23"/>
  <c r="AH313" i="7"/>
  <c r="AK313" i="7"/>
  <c r="AJ313" i="7"/>
  <c r="U306" i="7"/>
  <c r="G15" i="23" s="1"/>
  <c r="M313" i="7"/>
  <c r="G37" i="23" l="1"/>
  <c r="I37" i="23"/>
  <c r="U313" i="7"/>
  <c r="AM312" i="7"/>
  <c r="AL312" i="7"/>
  <c r="AK312" i="7"/>
  <c r="AJ312" i="7"/>
  <c r="AG312" i="7"/>
  <c r="AF312" i="7"/>
  <c r="AE312" i="7"/>
  <c r="AD312" i="7"/>
  <c r="W312" i="7"/>
  <c r="T312" i="7"/>
  <c r="S312" i="7"/>
  <c r="R312" i="7"/>
  <c r="Q312" i="7"/>
  <c r="P312" i="7"/>
  <c r="O312" i="7"/>
  <c r="N312" i="7"/>
  <c r="M312" i="7"/>
  <c r="E14" i="23" l="1"/>
  <c r="D312" i="7"/>
  <c r="U312" i="7" l="1"/>
  <c r="G14" i="23"/>
  <c r="AC312" i="7"/>
  <c r="AB312" i="7"/>
  <c r="AA312" i="7"/>
  <c r="Z312" i="7"/>
  <c r="Y312" i="7"/>
  <c r="X312" i="7"/>
  <c r="I14" i="23"/>
  <c r="V312" i="7"/>
  <c r="AG228" i="7"/>
  <c r="AE228" i="7"/>
  <c r="W228" i="7"/>
  <c r="V228" i="7"/>
  <c r="S228" i="7"/>
  <c r="R228" i="7"/>
  <c r="Q228" i="7"/>
  <c r="V311" i="7" l="1"/>
  <c r="W311" i="7"/>
  <c r="AC228" i="7"/>
  <c r="AC311" i="7" s="1"/>
  <c r="S311" i="7"/>
  <c r="R311" i="7"/>
  <c r="AE311" i="7"/>
  <c r="Q311" i="7"/>
  <c r="Y228" i="7"/>
  <c r="Y311" i="7" s="1"/>
  <c r="M228" i="7"/>
  <c r="M311" i="7" s="1"/>
  <c r="Z228" i="7"/>
  <c r="Z311" i="7" s="1"/>
  <c r="N228" i="7"/>
  <c r="N311" i="7" s="1"/>
  <c r="AA228" i="7"/>
  <c r="AA311" i="7" s="1"/>
  <c r="O228" i="7"/>
  <c r="O311" i="7" s="1"/>
  <c r="E12" i="23"/>
  <c r="AG311" i="7"/>
  <c r="AK311" i="7"/>
  <c r="AM228" i="7"/>
  <c r="AL228" i="7"/>
  <c r="AI312" i="7"/>
  <c r="AH312" i="7"/>
  <c r="AD228" i="7"/>
  <c r="AD311" i="7" s="1"/>
  <c r="AJ311" i="7"/>
  <c r="AI228" i="7"/>
  <c r="X228" i="7"/>
  <c r="X311" i="7" s="1"/>
  <c r="AB228" i="7"/>
  <c r="AB311" i="7" s="1"/>
  <c r="AF228" i="7"/>
  <c r="AF311" i="7" s="1"/>
  <c r="AH228" i="7"/>
  <c r="I13" i="23" s="1"/>
  <c r="AK13" i="23" s="1"/>
  <c r="E228" i="7"/>
  <c r="E13" i="23" s="1"/>
  <c r="AG13" i="23" s="1"/>
  <c r="P228" i="7"/>
  <c r="P311" i="7" s="1"/>
  <c r="T228" i="7"/>
  <c r="G12" i="23"/>
  <c r="AI311" i="7" l="1"/>
  <c r="D311" i="7"/>
  <c r="I12" i="23"/>
  <c r="AH311" i="7"/>
  <c r="AM311" i="7"/>
  <c r="AL311" i="7"/>
  <c r="U228" i="7"/>
  <c r="G13" i="23" s="1"/>
  <c r="AI13" i="23" s="1"/>
  <c r="T311" i="7"/>
  <c r="AM149" i="7"/>
  <c r="AL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T149" i="7"/>
  <c r="S149" i="7"/>
  <c r="R149" i="7"/>
  <c r="Q149" i="7"/>
  <c r="P149" i="7"/>
  <c r="O149" i="7"/>
  <c r="N149" i="7"/>
  <c r="M149" i="7"/>
  <c r="AM122" i="7"/>
  <c r="AL122" i="7"/>
  <c r="AL316" i="7" s="1"/>
  <c r="AK316" i="7"/>
  <c r="AJ316" i="7"/>
  <c r="AG122" i="7"/>
  <c r="AG316" i="7" s="1"/>
  <c r="AF122" i="7"/>
  <c r="AF316" i="7" s="1"/>
  <c r="AE122" i="7"/>
  <c r="AE316" i="7" s="1"/>
  <c r="AD122" i="7"/>
  <c r="AD316" i="7" s="1"/>
  <c r="AC122" i="7"/>
  <c r="AC316" i="7" s="1"/>
  <c r="AB122" i="7"/>
  <c r="AB316" i="7" s="1"/>
  <c r="AA122" i="7"/>
  <c r="AA316" i="7" s="1"/>
  <c r="Z122" i="7"/>
  <c r="Z316" i="7" s="1"/>
  <c r="Y122" i="7"/>
  <c r="Y316" i="7" s="1"/>
  <c r="X122" i="7"/>
  <c r="X316" i="7" s="1"/>
  <c r="W122" i="7"/>
  <c r="W316" i="7" s="1"/>
  <c r="V122" i="7"/>
  <c r="V316" i="7" s="1"/>
  <c r="T122" i="7"/>
  <c r="S122" i="7"/>
  <c r="S316" i="7" s="1"/>
  <c r="R122" i="7"/>
  <c r="R316" i="7" s="1"/>
  <c r="Q122" i="7"/>
  <c r="Q316" i="7" s="1"/>
  <c r="P122" i="7"/>
  <c r="O122" i="7"/>
  <c r="O316" i="7" s="1"/>
  <c r="N122" i="7"/>
  <c r="N316" i="7" s="1"/>
  <c r="M122" i="7"/>
  <c r="M316" i="7" s="1"/>
  <c r="D122" i="7"/>
  <c r="D316" i="7" s="1"/>
  <c r="AI122" i="7"/>
  <c r="AI316" i="7" s="1"/>
  <c r="AH122" i="7"/>
  <c r="AH316" i="7" s="1"/>
  <c r="U122" i="7"/>
  <c r="U316" i="7" s="1"/>
  <c r="F6" i="24" l="1"/>
  <c r="F7" i="24"/>
  <c r="F5" i="24"/>
  <c r="P150" i="7"/>
  <c r="P316" i="7"/>
  <c r="T150" i="7"/>
  <c r="T316" i="7"/>
  <c r="AM150" i="7"/>
  <c r="AM316" i="7"/>
  <c r="U311" i="7"/>
  <c r="O150" i="7"/>
  <c r="S150" i="7"/>
  <c r="X150" i="7"/>
  <c r="AB150" i="7"/>
  <c r="AF150" i="7"/>
  <c r="AL150" i="7"/>
  <c r="W150" i="7"/>
  <c r="AA150" i="7"/>
  <c r="AE150" i="7"/>
  <c r="AH149" i="7"/>
  <c r="AH150" i="7" s="1"/>
  <c r="I11" i="23" s="1"/>
  <c r="Y150" i="7"/>
  <c r="AC150" i="7"/>
  <c r="AG150" i="7"/>
  <c r="V150" i="7"/>
  <c r="Z150" i="7"/>
  <c r="AD150" i="7"/>
  <c r="AI149" i="7"/>
  <c r="AI150" i="7" s="1"/>
  <c r="N150" i="7"/>
  <c r="R150" i="7"/>
  <c r="M150" i="7"/>
  <c r="Q150" i="7"/>
  <c r="U149" i="7"/>
  <c r="U150" i="7" s="1"/>
  <c r="G11" i="23" s="1"/>
  <c r="D117" i="7" l="1"/>
  <c r="AM119" i="7" l="1"/>
  <c r="AL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T119" i="7"/>
  <c r="S119" i="7"/>
  <c r="R119" i="7"/>
  <c r="Q119" i="7"/>
  <c r="P119" i="7"/>
  <c r="O119" i="7"/>
  <c r="N119" i="7"/>
  <c r="M119" i="7"/>
  <c r="D119" i="7"/>
  <c r="AI119" i="7"/>
  <c r="AH119" i="7"/>
  <c r="U119" i="7"/>
  <c r="AM117" i="7"/>
  <c r="AL117" i="7"/>
  <c r="AL120" i="7" s="1"/>
  <c r="AL310" i="7" s="1"/>
  <c r="AK310" i="7"/>
  <c r="AJ310" i="7"/>
  <c r="AG117" i="7"/>
  <c r="AG120" i="7" s="1"/>
  <c r="AG310" i="7" s="1"/>
  <c r="AF117" i="7"/>
  <c r="AF120" i="7" s="1"/>
  <c r="AF310" i="7" s="1"/>
  <c r="AE117" i="7"/>
  <c r="AD117" i="7"/>
  <c r="AC117" i="7"/>
  <c r="AB117" i="7"/>
  <c r="AA117" i="7"/>
  <c r="Z117" i="7"/>
  <c r="Y117" i="7"/>
  <c r="X117" i="7"/>
  <c r="W117" i="7"/>
  <c r="V117" i="7"/>
  <c r="V120" i="7" s="1"/>
  <c r="V310" i="7" s="1"/>
  <c r="T117" i="7"/>
  <c r="T120" i="7" s="1"/>
  <c r="T310" i="7" s="1"/>
  <c r="S117" i="7"/>
  <c r="R117" i="7"/>
  <c r="Q117" i="7"/>
  <c r="Q120" i="7" s="1"/>
  <c r="Q310" i="7" s="1"/>
  <c r="P117" i="7"/>
  <c r="O117" i="7"/>
  <c r="N117" i="7"/>
  <c r="M117" i="7"/>
  <c r="AD120" i="7" l="1"/>
  <c r="AD310" i="7" s="1"/>
  <c r="X120" i="7"/>
  <c r="X310" i="7" s="1"/>
  <c r="Y120" i="7"/>
  <c r="Y310" i="7" s="1"/>
  <c r="R120" i="7"/>
  <c r="R310" i="7" s="1"/>
  <c r="M120" i="7"/>
  <c r="M310" i="7" s="1"/>
  <c r="Z120" i="7"/>
  <c r="Z310" i="7" s="1"/>
  <c r="N120" i="7"/>
  <c r="N310" i="7" s="1"/>
  <c r="AB120" i="7"/>
  <c r="AB310" i="7" s="1"/>
  <c r="P120" i="7"/>
  <c r="P310" i="7" s="1"/>
  <c r="AC120" i="7"/>
  <c r="AC310" i="7" s="1"/>
  <c r="AI117" i="7"/>
  <c r="AI120" i="7" s="1"/>
  <c r="AI310" i="7" s="1"/>
  <c r="E120" i="7"/>
  <c r="E10" i="23" s="1"/>
  <c r="AM120" i="7"/>
  <c r="AM310" i="7" s="1"/>
  <c r="AH117" i="7"/>
  <c r="AH120" i="7" s="1"/>
  <c r="W120" i="7"/>
  <c r="W310" i="7" s="1"/>
  <c r="AA120" i="7"/>
  <c r="AA310" i="7" s="1"/>
  <c r="AE120" i="7"/>
  <c r="AE310" i="7" s="1"/>
  <c r="O120" i="7"/>
  <c r="O310" i="7" s="1"/>
  <c r="S120" i="7"/>
  <c r="U117" i="7"/>
  <c r="AM74" i="7"/>
  <c r="AL74" i="7"/>
  <c r="AG74" i="7"/>
  <c r="AF74" i="7"/>
  <c r="AE74" i="7"/>
  <c r="AD74" i="7"/>
  <c r="AC74" i="7"/>
  <c r="AB74" i="7"/>
  <c r="AA74" i="7"/>
  <c r="Z74" i="7"/>
  <c r="Y74" i="7"/>
  <c r="X74" i="7"/>
  <c r="W74" i="7"/>
  <c r="V74" i="7"/>
  <c r="T74" i="7"/>
  <c r="S74" i="7"/>
  <c r="R74" i="7"/>
  <c r="Q74" i="7"/>
  <c r="P74" i="7"/>
  <c r="P75" i="7" s="1"/>
  <c r="O74" i="7"/>
  <c r="O75" i="7" s="1"/>
  <c r="N74" i="7"/>
  <c r="M74" i="7"/>
  <c r="M75" i="7" s="1"/>
  <c r="D74" i="7"/>
  <c r="AI74" i="7"/>
  <c r="AH74" i="7"/>
  <c r="U74" i="7"/>
  <c r="AC75" i="7"/>
  <c r="AA75" i="7"/>
  <c r="AB75" i="7" l="1"/>
  <c r="Y75" i="7"/>
  <c r="AM75" i="7"/>
  <c r="X75" i="7"/>
  <c r="W75" i="7"/>
  <c r="Q75" i="7"/>
  <c r="AE75" i="7"/>
  <c r="S75" i="7"/>
  <c r="AF75" i="7"/>
  <c r="T75" i="7"/>
  <c r="AG75" i="7"/>
  <c r="I10" i="23"/>
  <c r="AH310" i="7"/>
  <c r="U120" i="7"/>
  <c r="G10" i="23" s="1"/>
  <c r="S310" i="7"/>
  <c r="AL75" i="7"/>
  <c r="AH75" i="7"/>
  <c r="I8" i="23" s="1"/>
  <c r="V75" i="7"/>
  <c r="Z75" i="7"/>
  <c r="AD75" i="7"/>
  <c r="N75" i="7"/>
  <c r="R75" i="7"/>
  <c r="U75" i="7"/>
  <c r="G8" i="23" s="1"/>
  <c r="U310" i="7" l="1"/>
  <c r="AI75" i="7"/>
  <c r="AM53" i="7"/>
  <c r="AM54" i="7" s="1"/>
  <c r="AL53" i="7"/>
  <c r="AL54" i="7" s="1"/>
  <c r="AG53" i="7"/>
  <c r="AG54" i="7" s="1"/>
  <c r="AF53" i="7"/>
  <c r="AF54" i="7" s="1"/>
  <c r="AE53" i="7"/>
  <c r="AE54" i="7" s="1"/>
  <c r="AD53" i="7"/>
  <c r="AD54" i="7" s="1"/>
  <c r="AC53" i="7"/>
  <c r="AC54" i="7" s="1"/>
  <c r="AB53" i="7"/>
  <c r="AB54" i="7" s="1"/>
  <c r="AA53" i="7"/>
  <c r="AA54" i="7" s="1"/>
  <c r="Z53" i="7"/>
  <c r="Z54" i="7" s="1"/>
  <c r="Y53" i="7"/>
  <c r="Y54" i="7" s="1"/>
  <c r="X53" i="7"/>
  <c r="X54" i="7" s="1"/>
  <c r="W53" i="7"/>
  <c r="W54" i="7" s="1"/>
  <c r="V53" i="7"/>
  <c r="V54" i="7" s="1"/>
  <c r="T53" i="7"/>
  <c r="T54" i="7" s="1"/>
  <c r="S53" i="7"/>
  <c r="S54" i="7" s="1"/>
  <c r="R53" i="7"/>
  <c r="R54" i="7" s="1"/>
  <c r="Q53" i="7"/>
  <c r="Q54" i="7" s="1"/>
  <c r="P53" i="7"/>
  <c r="P54" i="7" s="1"/>
  <c r="O53" i="7"/>
  <c r="O54" i="7" s="1"/>
  <c r="N53" i="7"/>
  <c r="N54" i="7" s="1"/>
  <c r="M53" i="7"/>
  <c r="M54" i="7" s="1"/>
  <c r="G16" i="24" l="1"/>
  <c r="Q16" i="24" s="1"/>
  <c r="AH53" i="7"/>
  <c r="AI53" i="7"/>
  <c r="AI54" i="7" s="1"/>
  <c r="U53" i="7"/>
  <c r="U54" i="7" l="1"/>
  <c r="G9" i="23" s="1"/>
  <c r="AH54" i="7"/>
  <c r="I9" i="23" s="1"/>
  <c r="Q10" i="24"/>
  <c r="G15" i="24"/>
  <c r="Q15" i="24" s="1"/>
  <c r="Q9" i="24"/>
  <c r="AM318" i="7"/>
  <c r="AL318" i="7"/>
  <c r="AK318" i="7"/>
  <c r="AJ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T318" i="7"/>
  <c r="S318" i="7"/>
  <c r="R318" i="7"/>
  <c r="Q318" i="7"/>
  <c r="P318" i="7"/>
  <c r="O318" i="7"/>
  <c r="N318" i="7"/>
  <c r="M318" i="7"/>
  <c r="D318" i="7"/>
  <c r="AM37" i="7"/>
  <c r="AL37" i="7"/>
  <c r="AG37" i="7"/>
  <c r="AF37" i="7"/>
  <c r="AE37" i="7"/>
  <c r="AD37" i="7"/>
  <c r="AC37" i="7"/>
  <c r="AB37" i="7"/>
  <c r="AA37" i="7"/>
  <c r="Z37" i="7"/>
  <c r="Y37" i="7"/>
  <c r="X37" i="7"/>
  <c r="W37" i="7"/>
  <c r="V37" i="7"/>
  <c r="T37" i="7"/>
  <c r="S37" i="7"/>
  <c r="R37" i="7"/>
  <c r="Q37" i="7"/>
  <c r="P37" i="7"/>
  <c r="O37" i="7"/>
  <c r="N37" i="7"/>
  <c r="M37" i="7"/>
  <c r="D37" i="7"/>
  <c r="F11" i="24" l="1"/>
  <c r="F14" i="24" s="1"/>
  <c r="E23" i="24" s="1"/>
  <c r="U40" i="7"/>
  <c r="AH40" i="7"/>
  <c r="AH318" i="7" s="1"/>
  <c r="AI40" i="7"/>
  <c r="AI318" i="7" s="1"/>
  <c r="T41" i="7"/>
  <c r="Y41" i="7"/>
  <c r="AC41" i="7"/>
  <c r="AG41" i="7"/>
  <c r="V41" i="7"/>
  <c r="Z41" i="7"/>
  <c r="AD41" i="7"/>
  <c r="AL41" i="7"/>
  <c r="AM41" i="7"/>
  <c r="X41" i="7"/>
  <c r="AB41" i="7"/>
  <c r="AF41" i="7"/>
  <c r="E41" i="7"/>
  <c r="E7" i="23" s="1"/>
  <c r="M41" i="7"/>
  <c r="U318" i="7"/>
  <c r="P41" i="7"/>
  <c r="Q41" i="7"/>
  <c r="AI37" i="7"/>
  <c r="W41" i="7"/>
  <c r="AA41" i="7"/>
  <c r="AE41" i="7"/>
  <c r="N41" i="7"/>
  <c r="R41" i="7"/>
  <c r="U37" i="7"/>
  <c r="O41" i="7"/>
  <c r="S41" i="7"/>
  <c r="T29" i="7"/>
  <c r="S29" i="7"/>
  <c r="R29" i="7"/>
  <c r="Q29" i="7"/>
  <c r="P29" i="7"/>
  <c r="O29" i="7"/>
  <c r="N29" i="7"/>
  <c r="M29" i="7"/>
  <c r="D29" i="7"/>
  <c r="E30" i="7" s="1"/>
  <c r="E6" i="23" s="1"/>
  <c r="E27" i="23" s="1"/>
  <c r="E38" i="23" l="1"/>
  <c r="E16" i="23"/>
  <c r="E24" i="24"/>
  <c r="F12" i="24"/>
  <c r="F13" i="24"/>
  <c r="W30" i="7"/>
  <c r="W317" i="7"/>
  <c r="W319" i="7" s="1"/>
  <c r="O30" i="7"/>
  <c r="O317" i="7"/>
  <c r="O319" i="7" s="1"/>
  <c r="S30" i="7"/>
  <c r="S317" i="7"/>
  <c r="S319" i="7" s="1"/>
  <c r="X30" i="7"/>
  <c r="X317" i="7"/>
  <c r="X319" i="7" s="1"/>
  <c r="AB30" i="7"/>
  <c r="AB317" i="7"/>
  <c r="AB319" i="7" s="1"/>
  <c r="AF30" i="7"/>
  <c r="AF317" i="7"/>
  <c r="AF319" i="7" s="1"/>
  <c r="AL30" i="7"/>
  <c r="AL317" i="7"/>
  <c r="AL319" i="7" s="1"/>
  <c r="N30" i="7"/>
  <c r="N317" i="7"/>
  <c r="N319" i="7" s="1"/>
  <c r="AA30" i="7"/>
  <c r="AA317" i="7"/>
  <c r="AA319" i="7" s="1"/>
  <c r="P30" i="7"/>
  <c r="P317" i="7"/>
  <c r="P319" i="7" s="1"/>
  <c r="T30" i="7"/>
  <c r="T317" i="7"/>
  <c r="T319" i="7" s="1"/>
  <c r="Y30" i="7"/>
  <c r="Y317" i="7"/>
  <c r="Y319" i="7" s="1"/>
  <c r="AC30" i="7"/>
  <c r="AC317" i="7"/>
  <c r="AC319" i="7" s="1"/>
  <c r="AG30" i="7"/>
  <c r="AG317" i="7"/>
  <c r="AG319" i="7" s="1"/>
  <c r="AM30" i="7"/>
  <c r="AM317" i="7"/>
  <c r="AM319" i="7" s="1"/>
  <c r="R30" i="7"/>
  <c r="R317" i="7"/>
  <c r="R319" i="7" s="1"/>
  <c r="AE30" i="7"/>
  <c r="AE317" i="7"/>
  <c r="AE319" i="7" s="1"/>
  <c r="M30" i="7"/>
  <c r="M317" i="7"/>
  <c r="Q30" i="7"/>
  <c r="Q317" i="7"/>
  <c r="Q319" i="7" s="1"/>
  <c r="V30" i="7"/>
  <c r="V317" i="7"/>
  <c r="V319" i="7" s="1"/>
  <c r="Z30" i="7"/>
  <c r="Z317" i="7"/>
  <c r="Z319" i="7" s="1"/>
  <c r="AD30" i="7"/>
  <c r="AD317" i="7"/>
  <c r="AD319" i="7" s="1"/>
  <c r="AK317" i="7"/>
  <c r="AK319" i="7" s="1"/>
  <c r="AJ317" i="7"/>
  <c r="AJ319" i="7" s="1"/>
  <c r="AI41" i="7"/>
  <c r="AH41" i="7"/>
  <c r="I7" i="23" s="1"/>
  <c r="U41" i="7"/>
  <c r="G7" i="23" s="1"/>
  <c r="U29" i="7"/>
  <c r="M319" i="7" l="1"/>
  <c r="AD307" i="7"/>
  <c r="AD309" i="7"/>
  <c r="AD314" i="7" s="1"/>
  <c r="V309" i="7"/>
  <c r="V314" i="7" s="1"/>
  <c r="V307" i="7"/>
  <c r="M309" i="7"/>
  <c r="M314" i="7" s="1"/>
  <c r="M307" i="7"/>
  <c r="R309" i="7"/>
  <c r="R314" i="7" s="1"/>
  <c r="R307" i="7"/>
  <c r="AG309" i="7"/>
  <c r="AG314" i="7" s="1"/>
  <c r="AG307" i="7"/>
  <c r="Y309" i="7"/>
  <c r="Y314" i="7" s="1"/>
  <c r="Y307" i="7"/>
  <c r="P309" i="7"/>
  <c r="P314" i="7" s="1"/>
  <c r="P307" i="7"/>
  <c r="N307" i="7"/>
  <c r="N309" i="7"/>
  <c r="N314" i="7" s="1"/>
  <c r="AF309" i="7"/>
  <c r="AF314" i="7" s="1"/>
  <c r="AF307" i="7"/>
  <c r="X309" i="7"/>
  <c r="X314" i="7" s="1"/>
  <c r="X307" i="7"/>
  <c r="O309" i="7"/>
  <c r="O314" i="7" s="1"/>
  <c r="O307" i="7"/>
  <c r="U30" i="7"/>
  <c r="U307" i="7" s="1"/>
  <c r="U317" i="7"/>
  <c r="AH30" i="7"/>
  <c r="AH317" i="7"/>
  <c r="AI30" i="7"/>
  <c r="AI317" i="7"/>
  <c r="AI319" i="7" s="1"/>
  <c r="Z309" i="7"/>
  <c r="Z314" i="7" s="1"/>
  <c r="Z307" i="7"/>
  <c r="Q309" i="7"/>
  <c r="Q314" i="7" s="1"/>
  <c r="Q307" i="7"/>
  <c r="AE309" i="7"/>
  <c r="AE314" i="7" s="1"/>
  <c r="AE307" i="7"/>
  <c r="AM309" i="7"/>
  <c r="AM314" i="7" s="1"/>
  <c r="AM307" i="7"/>
  <c r="AC309" i="7"/>
  <c r="AC314" i="7" s="1"/>
  <c r="AC307" i="7"/>
  <c r="T309" i="7"/>
  <c r="T314" i="7" s="1"/>
  <c r="T307" i="7"/>
  <c r="AA309" i="7"/>
  <c r="AA314" i="7" s="1"/>
  <c r="AA307" i="7"/>
  <c r="AL309" i="7"/>
  <c r="AL314" i="7" s="1"/>
  <c r="AL307" i="7"/>
  <c r="AB309" i="7"/>
  <c r="AB314" i="7" s="1"/>
  <c r="AB307" i="7"/>
  <c r="S309" i="7"/>
  <c r="S314" i="7" s="1"/>
  <c r="S307" i="7"/>
  <c r="W307" i="7"/>
  <c r="W309" i="7"/>
  <c r="W314" i="7" s="1"/>
  <c r="AK309" i="7"/>
  <c r="AK314" i="7" s="1"/>
  <c r="AK307" i="7"/>
  <c r="AJ309" i="7"/>
  <c r="AJ314" i="7" s="1"/>
  <c r="AJ307" i="7"/>
  <c r="AE165" i="14"/>
  <c r="AE166" i="14" s="1"/>
  <c r="AE184" i="14" s="1"/>
  <c r="AD165" i="14"/>
  <c r="AD166" i="14" s="1"/>
  <c r="AD184" i="14" s="1"/>
  <c r="AC184" i="14"/>
  <c r="AB184" i="14"/>
  <c r="Y165" i="14"/>
  <c r="Y166" i="14" s="1"/>
  <c r="Y184" i="14" s="1"/>
  <c r="X165" i="14"/>
  <c r="X166" i="14" s="1"/>
  <c r="X184" i="14" s="1"/>
  <c r="W165" i="14"/>
  <c r="W166" i="14" s="1"/>
  <c r="W184" i="14" s="1"/>
  <c r="V165" i="14"/>
  <c r="V166" i="14" s="1"/>
  <c r="V184" i="14" s="1"/>
  <c r="U165" i="14"/>
  <c r="U166" i="14" s="1"/>
  <c r="U184" i="14" s="1"/>
  <c r="T165" i="14"/>
  <c r="T166" i="14" s="1"/>
  <c r="T184" i="14" s="1"/>
  <c r="R165" i="14"/>
  <c r="R166" i="14" s="1"/>
  <c r="R184" i="14" s="1"/>
  <c r="Q165" i="14"/>
  <c r="Q166" i="14" s="1"/>
  <c r="Q184" i="14" s="1"/>
  <c r="P165" i="14"/>
  <c r="P166" i="14" s="1"/>
  <c r="P184" i="14" s="1"/>
  <c r="O165" i="14"/>
  <c r="O166" i="14" s="1"/>
  <c r="O184" i="14" s="1"/>
  <c r="N165" i="14"/>
  <c r="N166" i="14" s="1"/>
  <c r="N184" i="14" s="1"/>
  <c r="E165" i="14"/>
  <c r="F166" i="14" s="1"/>
  <c r="K14" i="23" l="1"/>
  <c r="AG14" i="23" s="1"/>
  <c r="D184" i="14"/>
  <c r="AI309" i="7"/>
  <c r="AI314" i="7" s="1"/>
  <c r="AI307" i="7"/>
  <c r="G6" i="23"/>
  <c r="G27" i="23" s="1"/>
  <c r="U309" i="7"/>
  <c r="U314" i="7" s="1"/>
  <c r="U319" i="7"/>
  <c r="F9" i="24"/>
  <c r="F15" i="24" s="1"/>
  <c r="AH319" i="7"/>
  <c r="F10" i="24"/>
  <c r="F16" i="24" s="1"/>
  <c r="I6" i="23"/>
  <c r="I27" i="23" s="1"/>
  <c r="AH309" i="7"/>
  <c r="AH314" i="7" s="1"/>
  <c r="AH307" i="7"/>
  <c r="AA165" i="14"/>
  <c r="AA166" i="14" s="1"/>
  <c r="AA184" i="14" s="1"/>
  <c r="Z165" i="14"/>
  <c r="Z166" i="14" s="1"/>
  <c r="S165" i="14"/>
  <c r="S166" i="14" s="1"/>
  <c r="G38" i="23" l="1"/>
  <c r="I16" i="23"/>
  <c r="G16" i="23"/>
  <c r="M14" i="23"/>
  <c r="AK14" i="23" s="1"/>
  <c r="Z184" i="14"/>
  <c r="L14" i="23"/>
  <c r="AI14" i="23" s="1"/>
  <c r="S184" i="14"/>
  <c r="AE177" i="14"/>
  <c r="AD177" i="14"/>
  <c r="Y177" i="14"/>
  <c r="X177" i="14"/>
  <c r="W177" i="14"/>
  <c r="V177" i="14"/>
  <c r="U177" i="14"/>
  <c r="T177" i="14"/>
  <c r="R177" i="14"/>
  <c r="Q177" i="14"/>
  <c r="P177" i="14"/>
  <c r="O177" i="14"/>
  <c r="N177" i="14"/>
  <c r="E177" i="14"/>
  <c r="E174" i="14"/>
  <c r="AC178" i="14" l="1"/>
  <c r="AC185" i="14" s="1"/>
  <c r="W178" i="14"/>
  <c r="W185" i="14" s="1"/>
  <c r="R178" i="14"/>
  <c r="R185" i="14" s="1"/>
  <c r="Z177" i="14"/>
  <c r="Z178" i="14" s="1"/>
  <c r="T178" i="14"/>
  <c r="T185" i="14" s="1"/>
  <c r="X178" i="14"/>
  <c r="X185" i="14" s="1"/>
  <c r="AD178" i="14"/>
  <c r="AD185" i="14" s="1"/>
  <c r="S177" i="14"/>
  <c r="S189" i="14" s="1"/>
  <c r="N178" i="14"/>
  <c r="N185" i="14" s="1"/>
  <c r="O178" i="14"/>
  <c r="O185" i="14" s="1"/>
  <c r="AE178" i="14"/>
  <c r="AE185" i="14" s="1"/>
  <c r="Q178" i="14"/>
  <c r="AB178" i="14"/>
  <c r="AB185" i="14" s="1"/>
  <c r="V178" i="14"/>
  <c r="V185" i="14" s="1"/>
  <c r="AA177" i="14"/>
  <c r="U178" i="14"/>
  <c r="U185" i="14" s="1"/>
  <c r="Y178" i="14"/>
  <c r="Y185" i="14" s="1"/>
  <c r="F178" i="14"/>
  <c r="P178" i="14"/>
  <c r="P185" i="14" s="1"/>
  <c r="AA178" i="14" l="1"/>
  <c r="AA185" i="14" s="1"/>
  <c r="W183" i="14"/>
  <c r="AC183" i="14"/>
  <c r="V183" i="14"/>
  <c r="K15" i="23"/>
  <c r="D185" i="14"/>
  <c r="M15" i="23"/>
  <c r="Z185" i="14"/>
  <c r="S178" i="14"/>
  <c r="L15" i="23" s="1"/>
  <c r="Q185" i="14"/>
  <c r="Q183" i="14"/>
  <c r="AB183" i="14"/>
  <c r="N183" i="14"/>
  <c r="AE183" i="14"/>
  <c r="Y183" i="14"/>
  <c r="U183" i="14"/>
  <c r="T183" i="14"/>
  <c r="X183" i="14"/>
  <c r="O183" i="14"/>
  <c r="P183" i="14"/>
  <c r="AD183" i="14"/>
  <c r="AA183" i="14"/>
  <c r="R183" i="14"/>
  <c r="M37" i="23" l="1"/>
  <c r="AK15" i="23"/>
  <c r="L37" i="23"/>
  <c r="AI37" i="23" s="1"/>
  <c r="AI15" i="23"/>
  <c r="K37" i="23"/>
  <c r="AG37" i="23" s="1"/>
  <c r="AG15" i="23"/>
  <c r="M12" i="23"/>
  <c r="AK12" i="23" s="1"/>
  <c r="Z183" i="14"/>
  <c r="K12" i="23"/>
  <c r="AG12" i="23" s="1"/>
  <c r="D183" i="14"/>
  <c r="L12" i="23"/>
  <c r="AI12" i="23" s="1"/>
  <c r="S183" i="14"/>
  <c r="S185" i="14"/>
  <c r="K11" i="23"/>
  <c r="AG11" i="23" s="1"/>
  <c r="M11" i="23" l="1"/>
  <c r="AK11" i="23" s="1"/>
  <c r="L11" i="23"/>
  <c r="AI11" i="23" s="1"/>
  <c r="AE182" i="14" l="1"/>
  <c r="AD182" i="14"/>
  <c r="AC182" i="14"/>
  <c r="AB182" i="14"/>
  <c r="Y182" i="14"/>
  <c r="X182" i="14"/>
  <c r="W182" i="14"/>
  <c r="V182" i="14"/>
  <c r="U182" i="14"/>
  <c r="T182" i="14"/>
  <c r="R182" i="14"/>
  <c r="Q182" i="14"/>
  <c r="P182" i="14"/>
  <c r="O182" i="14"/>
  <c r="N182" i="14"/>
  <c r="K10" i="23" l="1"/>
  <c r="AG10" i="23" s="1"/>
  <c r="D182" i="14"/>
  <c r="AA182" i="14"/>
  <c r="M10" i="23" l="1"/>
  <c r="AK10" i="23" s="1"/>
  <c r="Z182" i="14"/>
  <c r="L10" i="23"/>
  <c r="AI10" i="23" s="1"/>
  <c r="S182" i="14"/>
  <c r="K9" i="23"/>
  <c r="AG30" i="23" s="1"/>
  <c r="AG9" i="23" l="1"/>
  <c r="K8" i="23"/>
  <c r="AG8" i="23" s="1"/>
  <c r="M9" i="23"/>
  <c r="L9" i="23"/>
  <c r="AI30" i="23" s="1"/>
  <c r="Y189" i="14"/>
  <c r="AK9" i="23" l="1"/>
  <c r="AI9" i="23"/>
  <c r="W188" i="14"/>
  <c r="AE189" i="14"/>
  <c r="P189" i="14"/>
  <c r="U189" i="14"/>
  <c r="D188" i="14"/>
  <c r="Q188" i="14"/>
  <c r="V188" i="14"/>
  <c r="AB188" i="14"/>
  <c r="O189" i="14"/>
  <c r="T189" i="14"/>
  <c r="X189" i="14"/>
  <c r="AD189" i="14"/>
  <c r="N189" i="14"/>
  <c r="R189" i="14"/>
  <c r="W189" i="14"/>
  <c r="AC189" i="14"/>
  <c r="M8" i="23"/>
  <c r="P188" i="14"/>
  <c r="U188" i="14"/>
  <c r="Y188" i="14"/>
  <c r="Y190" i="14" s="1"/>
  <c r="AE188" i="14"/>
  <c r="AE190" i="14" s="1"/>
  <c r="AA188" i="14"/>
  <c r="N188" i="14"/>
  <c r="Z188" i="14"/>
  <c r="R188" i="14"/>
  <c r="O188" i="14"/>
  <c r="T188" i="14"/>
  <c r="X188" i="14"/>
  <c r="AD188" i="14"/>
  <c r="D189" i="14"/>
  <c r="Q189" i="14"/>
  <c r="V189" i="14"/>
  <c r="AB189" i="14"/>
  <c r="K7" i="23"/>
  <c r="AG7" i="23" s="1"/>
  <c r="AC188" i="14"/>
  <c r="AA189" i="14"/>
  <c r="L8" i="23"/>
  <c r="Z189" i="14"/>
  <c r="L7" i="23"/>
  <c r="AI7" i="23" s="1"/>
  <c r="N190" i="14" l="1"/>
  <c r="R190" i="14"/>
  <c r="H8" i="24"/>
  <c r="H10" i="24"/>
  <c r="AA190" i="14"/>
  <c r="W190" i="14"/>
  <c r="U190" i="14"/>
  <c r="P190" i="14"/>
  <c r="Q190" i="14"/>
  <c r="T190" i="14"/>
  <c r="O190" i="14"/>
  <c r="X190" i="14"/>
  <c r="V190" i="14"/>
  <c r="AB190" i="14"/>
  <c r="AD190" i="14"/>
  <c r="M7" i="23"/>
  <c r="AK7" i="23" s="1"/>
  <c r="AC190" i="14"/>
  <c r="AA181" i="14"/>
  <c r="Z190" i="14"/>
  <c r="H13" i="24"/>
  <c r="O181" i="14"/>
  <c r="O186" i="14" s="1"/>
  <c r="O179" i="14"/>
  <c r="S188" i="14"/>
  <c r="X181" i="14"/>
  <c r="X186" i="14" s="1"/>
  <c r="X179" i="14"/>
  <c r="Y179" i="14"/>
  <c r="Y181" i="14"/>
  <c r="Y186" i="14" s="1"/>
  <c r="R179" i="14"/>
  <c r="R181" i="14"/>
  <c r="R186" i="14" s="1"/>
  <c r="M6" i="23"/>
  <c r="M27" i="23" s="1"/>
  <c r="Q181" i="14"/>
  <c r="Q186" i="14" s="1"/>
  <c r="Q179" i="14"/>
  <c r="AD181" i="14"/>
  <c r="AD186" i="14" s="1"/>
  <c r="AD179" i="14"/>
  <c r="V181" i="14"/>
  <c r="V186" i="14" s="1"/>
  <c r="V179" i="14"/>
  <c r="W179" i="14"/>
  <c r="W181" i="14"/>
  <c r="W186" i="14" s="1"/>
  <c r="U179" i="14"/>
  <c r="U181" i="14"/>
  <c r="U186" i="14" s="1"/>
  <c r="D190" i="14"/>
  <c r="H11" i="24"/>
  <c r="AE179" i="14"/>
  <c r="AE181" i="14"/>
  <c r="AE186" i="14" s="1"/>
  <c r="K6" i="23"/>
  <c r="K27" i="23" s="1"/>
  <c r="D181" i="14"/>
  <c r="D186" i="14" s="1"/>
  <c r="G179" i="14"/>
  <c r="P179" i="14"/>
  <c r="P181" i="14"/>
  <c r="P186" i="14" s="1"/>
  <c r="T181" i="14"/>
  <c r="T186" i="14" s="1"/>
  <c r="T179" i="14"/>
  <c r="N179" i="14"/>
  <c r="N181" i="14"/>
  <c r="N186" i="14" s="1"/>
  <c r="AC179" i="14"/>
  <c r="AC181" i="14"/>
  <c r="AC186" i="14" s="1"/>
  <c r="AB181" i="14"/>
  <c r="AB186" i="14" s="1"/>
  <c r="AB179" i="14"/>
  <c r="K38" i="23" l="1"/>
  <c r="AG27" i="23"/>
  <c r="AG38" i="23" s="1"/>
  <c r="AK6" i="23"/>
  <c r="AG6" i="23"/>
  <c r="AG16" i="23" s="1"/>
  <c r="H12" i="24"/>
  <c r="Z179" i="14"/>
  <c r="AA186" i="14"/>
  <c r="Z181" i="14"/>
  <c r="Z186" i="14" s="1"/>
  <c r="H16" i="24"/>
  <c r="AA179" i="14"/>
  <c r="M16" i="23"/>
  <c r="S190" i="14"/>
  <c r="H9" i="24"/>
  <c r="K16" i="23"/>
  <c r="H14" i="24"/>
  <c r="G23" i="24" s="1"/>
  <c r="L6" i="23"/>
  <c r="L27" i="23" s="1"/>
  <c r="S181" i="14"/>
  <c r="S186" i="14" s="1"/>
  <c r="S179" i="14"/>
  <c r="L38" i="23" l="1"/>
  <c r="AI27" i="23"/>
  <c r="AI38" i="23" s="1"/>
  <c r="AI6" i="23"/>
  <c r="H15" i="24"/>
  <c r="G24" i="24"/>
  <c r="L16" i="23"/>
  <c r="N14" i="24"/>
  <c r="L23" i="24" s="1"/>
  <c r="L24" i="24" s="1"/>
  <c r="O14" i="24"/>
  <c r="M23" i="24" s="1"/>
  <c r="M24" i="24" s="1"/>
  <c r="K14" i="24" l="1"/>
  <c r="M14" i="24"/>
  <c r="L14" i="24"/>
  <c r="R8" i="24"/>
  <c r="R14" i="24" l="1"/>
  <c r="K23" i="24"/>
  <c r="K24" i="24" s="1"/>
  <c r="J23" i="24"/>
  <c r="J24" i="24" s="1"/>
  <c r="X16" i="23"/>
  <c r="AE16" i="23" l="1"/>
  <c r="AF16" i="23"/>
  <c r="O15" i="24"/>
  <c r="O16" i="24"/>
  <c r="O16" i="23" l="1"/>
  <c r="N15" i="24" l="1"/>
  <c r="M16" i="24"/>
  <c r="N16" i="24"/>
  <c r="M15" i="24"/>
  <c r="Y16" i="23" l="1"/>
  <c r="AC16" i="23"/>
  <c r="AB16" i="23"/>
  <c r="Z16" i="23"/>
  <c r="V16" i="23"/>
  <c r="R9" i="24"/>
  <c r="L15" i="24"/>
  <c r="R15" i="24" s="1"/>
  <c r="P16" i="23"/>
  <c r="U16" i="23" l="1"/>
  <c r="C16" i="24"/>
  <c r="W16" i="23"/>
  <c r="R10" i="24"/>
  <c r="R13" i="24"/>
  <c r="K16" i="24"/>
  <c r="BE102" i="13"/>
  <c r="BE438" i="13"/>
  <c r="BE440" i="13" s="1"/>
  <c r="BD102" i="13"/>
  <c r="BD438" i="13"/>
  <c r="BD440" i="13" s="1"/>
  <c r="BH102" i="13"/>
  <c r="BH438" i="13"/>
  <c r="BH440" i="13" s="1"/>
  <c r="BC102" i="13"/>
  <c r="BC438" i="13"/>
  <c r="BC440" i="13" s="1"/>
  <c r="BJ102" i="13"/>
  <c r="BJ438" i="13"/>
  <c r="BJ440" i="13" s="1"/>
  <c r="BI102" i="13"/>
  <c r="BI438" i="13"/>
  <c r="BI440" i="13" s="1"/>
  <c r="AQ102" i="13"/>
  <c r="AQ438" i="13"/>
  <c r="AQ440" i="13" s="1"/>
  <c r="BG102" i="13"/>
  <c r="BG438" i="13"/>
  <c r="BG440" i="13" s="1"/>
  <c r="AN102" i="13"/>
  <c r="AN438" i="13"/>
  <c r="AN440" i="13" s="1"/>
  <c r="L16" i="24" l="1"/>
  <c r="R16" i="24" s="1"/>
  <c r="BK102" i="13"/>
  <c r="BK438" i="13"/>
  <c r="BK440" i="13" s="1"/>
  <c r="BG431" i="13"/>
  <c r="BG436" i="13" s="1"/>
  <c r="BG429" i="13"/>
  <c r="BI431" i="13"/>
  <c r="BI436" i="13" s="1"/>
  <c r="BI429" i="13"/>
  <c r="BC431" i="13"/>
  <c r="BC436" i="13" s="1"/>
  <c r="BC429" i="13"/>
  <c r="BD431" i="13"/>
  <c r="BD436" i="13" s="1"/>
  <c r="BD429" i="13"/>
  <c r="AF102" i="13"/>
  <c r="AF438" i="13"/>
  <c r="AF440" i="13" s="1"/>
  <c r="BF102" i="13"/>
  <c r="BF438" i="13"/>
  <c r="AI102" i="13"/>
  <c r="AI438" i="13"/>
  <c r="AI440" i="13" s="1"/>
  <c r="AN431" i="13"/>
  <c r="AN436" i="13" s="1"/>
  <c r="AN429" i="13"/>
  <c r="AQ431" i="13"/>
  <c r="AQ436" i="13" s="1"/>
  <c r="AQ429" i="13"/>
  <c r="BJ431" i="13"/>
  <c r="BJ436" i="13" s="1"/>
  <c r="BJ429" i="13"/>
  <c r="BH431" i="13"/>
  <c r="BH436" i="13" s="1"/>
  <c r="BH429" i="13"/>
  <c r="BE431" i="13"/>
  <c r="BE436" i="13" s="1"/>
  <c r="BE429" i="13"/>
  <c r="D8" i="23" l="1"/>
  <c r="AK8" i="23" s="1"/>
  <c r="AK16" i="23" s="1"/>
  <c r="AK41" i="23" s="1"/>
  <c r="BF440" i="13"/>
  <c r="D10" i="24"/>
  <c r="E10" i="24" s="1"/>
  <c r="E16" i="24" s="1"/>
  <c r="AI431" i="13"/>
  <c r="AI436" i="13" s="1"/>
  <c r="AI429" i="13"/>
  <c r="AF431" i="13"/>
  <c r="AF436" i="13" s="1"/>
  <c r="AF429" i="13"/>
  <c r="BF431" i="13"/>
  <c r="BF436" i="13" s="1"/>
  <c r="BF429" i="13"/>
  <c r="BK431" i="13"/>
  <c r="BK436" i="13" s="1"/>
  <c r="BK429" i="13"/>
  <c r="D16" i="23" l="1"/>
  <c r="C15" i="24"/>
  <c r="D16" i="24"/>
  <c r="J16" i="24" l="1"/>
  <c r="J15" i="24"/>
  <c r="BB102" i="13"/>
  <c r="C8" i="23" s="1"/>
  <c r="AI8" i="23" s="1"/>
  <c r="AI16" i="23" s="1"/>
  <c r="BB438" i="13"/>
  <c r="BA102" i="13"/>
  <c r="BA438" i="13"/>
  <c r="BA440" i="13" s="1"/>
  <c r="AW102" i="13"/>
  <c r="AW438" i="13"/>
  <c r="AW440" i="13" s="1"/>
  <c r="C16" i="23" l="1"/>
  <c r="D9" i="24"/>
  <c r="E9" i="24" s="1"/>
  <c r="E15" i="24" s="1"/>
  <c r="S16" i="23"/>
  <c r="BB440" i="13"/>
  <c r="BA431" i="13"/>
  <c r="BA436" i="13" s="1"/>
  <c r="BA429" i="13"/>
  <c r="AW431" i="13"/>
  <c r="AW436" i="13" s="1"/>
  <c r="AW429" i="13"/>
  <c r="BB431" i="13"/>
  <c r="BB436" i="13" s="1"/>
  <c r="BB429" i="13"/>
  <c r="D15" i="24" l="1"/>
  <c r="K15" i="24" l="1"/>
  <c r="N7" i="22" l="1"/>
  <c r="N25" i="22"/>
  <c r="N24" i="22"/>
  <c r="K34" i="22"/>
  <c r="K15" i="22" l="1"/>
  <c r="L34" i="22"/>
  <c r="N10" i="22"/>
  <c r="N28" i="22" s="1"/>
  <c r="N6" i="22"/>
  <c r="H15" i="22"/>
  <c r="I15" i="22"/>
  <c r="O7" i="22"/>
  <c r="O25" i="22"/>
  <c r="P8" i="22"/>
  <c r="H34" i="22"/>
  <c r="P7" i="22"/>
  <c r="P25" i="22"/>
  <c r="J15" i="22"/>
  <c r="E34" i="22"/>
  <c r="O10" i="22"/>
  <c r="O28" i="22"/>
  <c r="N5" i="22"/>
  <c r="B15" i="22"/>
  <c r="N9" i="22"/>
  <c r="N27" i="22" s="1"/>
  <c r="E15" i="22"/>
  <c r="N13" i="22"/>
  <c r="N31" i="22"/>
  <c r="L15" i="22"/>
  <c r="N26" i="22"/>
  <c r="N11" i="22"/>
  <c r="N29" i="22" s="1"/>
  <c r="P6" i="22"/>
  <c r="P24" i="22"/>
  <c r="M34" i="22"/>
  <c r="N14" i="22"/>
  <c r="N8" i="22"/>
  <c r="N12" i="22"/>
  <c r="N30" i="22" s="1"/>
  <c r="O6" i="22"/>
  <c r="O24" i="22"/>
  <c r="P28" i="22"/>
  <c r="P10" i="22"/>
  <c r="M15" i="22"/>
  <c r="N33" i="22"/>
  <c r="B34" i="22"/>
  <c r="N23" i="22"/>
  <c r="O9" i="22" l="1"/>
  <c r="P9" i="22"/>
  <c r="O11" i="22"/>
  <c r="P30" i="22"/>
  <c r="O27" i="22"/>
  <c r="I34" i="22"/>
  <c r="O29" i="22"/>
  <c r="O8" i="22"/>
  <c r="O26" i="22"/>
  <c r="O12" i="22"/>
  <c r="P14" i="22"/>
  <c r="J34" i="22"/>
  <c r="P29" i="22"/>
  <c r="P12" i="22"/>
  <c r="N34" i="22"/>
  <c r="P27" i="22"/>
  <c r="P33" i="22"/>
  <c r="O5" i="22"/>
  <c r="C15" i="22"/>
  <c r="P11" i="22"/>
  <c r="D34" i="22"/>
  <c r="P23" i="22"/>
  <c r="P13" i="22"/>
  <c r="P5" i="22"/>
  <c r="D15" i="22"/>
  <c r="P31" i="22"/>
  <c r="O13" i="22"/>
  <c r="O31" i="22"/>
  <c r="G15" i="22"/>
  <c r="F15" i="22"/>
  <c r="G34" i="22"/>
  <c r="F34" i="22"/>
  <c r="O14" i="22"/>
  <c r="C34" i="22"/>
  <c r="O23" i="22"/>
  <c r="O33" i="22"/>
  <c r="P26" i="22"/>
  <c r="O30" i="22"/>
  <c r="N15" i="22"/>
  <c r="P13" i="24"/>
  <c r="P6" i="24"/>
  <c r="O34" i="22" l="1"/>
  <c r="P12" i="24"/>
  <c r="O15" i="22"/>
  <c r="P15" i="22"/>
  <c r="P34" i="22"/>
  <c r="P7" i="24"/>
  <c r="P10" i="24"/>
  <c r="I16" i="24" l="1"/>
  <c r="P16" i="24" s="1"/>
  <c r="P9" i="24"/>
  <c r="I15" i="24"/>
  <c r="P15" i="24" s="1"/>
  <c r="I5" i="24" l="1"/>
  <c r="P5" i="24" l="1"/>
  <c r="I8" i="24"/>
  <c r="P8" i="24" s="1"/>
  <c r="I11" i="24"/>
  <c r="P11" i="24" s="1"/>
  <c r="I14" i="24" l="1"/>
  <c r="H23" i="24" l="1"/>
  <c r="P14" i="24"/>
  <c r="H24" i="24" l="1"/>
  <c r="N23" i="24"/>
  <c r="N24" i="24" s="1"/>
</calcChain>
</file>

<file path=xl/sharedStrings.xml><?xml version="1.0" encoding="utf-8"?>
<sst xmlns="http://schemas.openxmlformats.org/spreadsheetml/2006/main" count="10165" uniqueCount="4953">
  <si>
    <t>비고</t>
  </si>
  <si>
    <t>계</t>
  </si>
  <si>
    <t>학급수</t>
  </si>
  <si>
    <t>학생수</t>
  </si>
  <si>
    <t>공립</t>
  </si>
  <si>
    <t>사립</t>
  </si>
  <si>
    <t>합계</t>
  </si>
  <si>
    <t>부평구</t>
  </si>
  <si>
    <t>남동구</t>
  </si>
  <si>
    <t>연수구</t>
  </si>
  <si>
    <t>계양구</t>
  </si>
  <si>
    <t>설립별</t>
  </si>
  <si>
    <t>학교명</t>
  </si>
  <si>
    <t>개교일자</t>
  </si>
  <si>
    <t>주소</t>
  </si>
  <si>
    <t>우편번호</t>
  </si>
  <si>
    <t>전화번호
(교무실)</t>
  </si>
  <si>
    <t>1학년</t>
  </si>
  <si>
    <t>2학년</t>
  </si>
  <si>
    <t>3학년</t>
  </si>
  <si>
    <t>4학년</t>
  </si>
  <si>
    <t>5학년</t>
  </si>
  <si>
    <t>6학년</t>
  </si>
  <si>
    <t>특수</t>
  </si>
  <si>
    <t>여</t>
  </si>
  <si>
    <t>남부</t>
  </si>
  <si>
    <t>공학</t>
  </si>
  <si>
    <t>인천인혜학교</t>
  </si>
  <si>
    <t>미추홀학교</t>
  </si>
  <si>
    <t>인천연일학교</t>
  </si>
  <si>
    <t>인천예림학교</t>
  </si>
  <si>
    <t>인천혜광학교</t>
  </si>
  <si>
    <t>인천성동학교</t>
  </si>
  <si>
    <t>인천은광학교</t>
  </si>
  <si>
    <t>주간/야간</t>
  </si>
  <si>
    <t>학급수</t>
    <phoneticPr fontId="3" type="noConversion"/>
  </si>
  <si>
    <t>학생수</t>
    <phoneticPr fontId="3" type="noConversion"/>
  </si>
  <si>
    <t>유치원</t>
    <phoneticPr fontId="3" type="noConversion"/>
  </si>
  <si>
    <t>초등학교</t>
    <phoneticPr fontId="3" type="noConversion"/>
  </si>
  <si>
    <t>중학교</t>
    <phoneticPr fontId="3" type="noConversion"/>
  </si>
  <si>
    <t>고등학교</t>
    <phoneticPr fontId="3" type="noConversion"/>
  </si>
  <si>
    <t>계</t>
    <phoneticPr fontId="3" type="noConversion"/>
  </si>
  <si>
    <t>합계</t>
    <phoneticPr fontId="3" type="noConversion"/>
  </si>
  <si>
    <t>여</t>
    <phoneticPr fontId="3" type="noConversion"/>
  </si>
  <si>
    <t>주간</t>
  </si>
  <si>
    <t>초</t>
    <phoneticPr fontId="3" type="noConversion"/>
  </si>
  <si>
    <t>중</t>
    <phoneticPr fontId="3" type="noConversion"/>
  </si>
  <si>
    <t>고</t>
    <phoneticPr fontId="3" type="noConversion"/>
  </si>
  <si>
    <t>유</t>
    <phoneticPr fontId="3" type="noConversion"/>
  </si>
  <si>
    <t>행정동</t>
    <phoneticPr fontId="9" type="noConversion"/>
  </si>
  <si>
    <t>설립별</t>
    <phoneticPr fontId="9" type="noConversion"/>
  </si>
  <si>
    <t>유치원명</t>
    <phoneticPr fontId="9" type="noConversion"/>
  </si>
  <si>
    <t>전화번호</t>
    <phoneticPr fontId="9" type="noConversion"/>
  </si>
  <si>
    <t>인가
(정원)</t>
    <phoneticPr fontId="9" type="noConversion"/>
  </si>
  <si>
    <t>3세반</t>
    <phoneticPr fontId="9" type="noConversion"/>
  </si>
  <si>
    <t>4세반</t>
    <phoneticPr fontId="9" type="noConversion"/>
  </si>
  <si>
    <t>5세반</t>
    <phoneticPr fontId="9" type="noConversion"/>
  </si>
  <si>
    <t>특수학급</t>
    <phoneticPr fontId="17" type="noConversion"/>
  </si>
  <si>
    <t>혼합반</t>
    <phoneticPr fontId="9" type="noConversion"/>
  </si>
  <si>
    <t>일반학급 계</t>
    <phoneticPr fontId="9" type="noConversion"/>
  </si>
  <si>
    <t>특수학급 계</t>
    <phoneticPr fontId="9" type="noConversion"/>
  </si>
  <si>
    <t>3세반</t>
    <phoneticPr fontId="17" type="noConversion"/>
  </si>
  <si>
    <t>4세반</t>
    <phoneticPr fontId="17" type="noConversion"/>
  </si>
  <si>
    <t>5세반</t>
    <phoneticPr fontId="17" type="noConversion"/>
  </si>
  <si>
    <t>3~4세반</t>
    <phoneticPr fontId="9" type="noConversion"/>
  </si>
  <si>
    <t>4~5세반</t>
    <phoneticPr fontId="9" type="noConversion"/>
  </si>
  <si>
    <t>3~5세반</t>
    <phoneticPr fontId="9" type="noConversion"/>
  </si>
  <si>
    <t>학급수</t>
    <phoneticPr fontId="9" type="noConversion"/>
  </si>
  <si>
    <t>원아수</t>
    <phoneticPr fontId="9" type="noConversion"/>
  </si>
  <si>
    <t>학급수</t>
    <phoneticPr fontId="17" type="noConversion"/>
  </si>
  <si>
    <t>원아수</t>
    <phoneticPr fontId="17" type="noConversion"/>
  </si>
  <si>
    <t>특수학급 원아수</t>
    <phoneticPr fontId="17" type="noConversion"/>
  </si>
  <si>
    <t>3세</t>
    <phoneticPr fontId="9" type="noConversion"/>
  </si>
  <si>
    <t>4세</t>
    <phoneticPr fontId="9" type="noConversion"/>
  </si>
  <si>
    <t>계</t>
    <phoneticPr fontId="17" type="noConversion"/>
  </si>
  <si>
    <t>5세</t>
    <phoneticPr fontId="9" type="noConversion"/>
  </si>
  <si>
    <t>계</t>
    <phoneticPr fontId="9" type="noConversion"/>
  </si>
  <si>
    <t>전화번호
(행정실)</t>
    <phoneticPr fontId="3" type="noConversion"/>
  </si>
  <si>
    <t>일반학급수</t>
    <phoneticPr fontId="9" type="noConversion"/>
  </si>
  <si>
    <t>특수학급수</t>
    <phoneticPr fontId="17" type="noConversion"/>
  </si>
  <si>
    <t>취원권역</t>
    <phoneticPr fontId="9" type="noConversion"/>
  </si>
  <si>
    <t>팩스번호</t>
    <phoneticPr fontId="9" type="noConversion"/>
  </si>
  <si>
    <t>여</t>
    <phoneticPr fontId="3" type="noConversion"/>
  </si>
  <si>
    <t>3학년</t>
    <phoneticPr fontId="3" type="noConversion"/>
  </si>
  <si>
    <t>2학년</t>
    <phoneticPr fontId="3" type="noConversion"/>
  </si>
  <si>
    <t>1학년</t>
    <phoneticPr fontId="3" type="noConversion"/>
  </si>
  <si>
    <t>파견</t>
    <phoneticPr fontId="3" type="noConversion"/>
  </si>
  <si>
    <t>순회</t>
    <phoneticPr fontId="3" type="noConversion"/>
  </si>
  <si>
    <t>일반학급</t>
    <phoneticPr fontId="16" type="noConversion"/>
  </si>
  <si>
    <t>남동구</t>
    <phoneticPr fontId="16" type="noConversion"/>
  </si>
  <si>
    <t>□ 학력인정평생교육시설 현황</t>
    <phoneticPr fontId="16" type="noConversion"/>
  </si>
  <si>
    <t>계</t>
    <phoneticPr fontId="3" type="noConversion"/>
  </si>
  <si>
    <t>여</t>
    <phoneticPr fontId="3" type="noConversion"/>
  </si>
  <si>
    <t>(위탁 계)</t>
    <phoneticPr fontId="3" type="noConversion"/>
  </si>
  <si>
    <t>(위탁 여)</t>
    <phoneticPr fontId="3" type="noConversion"/>
  </si>
  <si>
    <t>□ 초등학교 현황</t>
    <phoneticPr fontId="3" type="noConversion"/>
  </si>
  <si>
    <t>□ 중학교 현황</t>
    <phoneticPr fontId="3" type="noConversion"/>
  </si>
  <si>
    <t>□ 고등학교 현황</t>
    <phoneticPr fontId="3" type="noConversion"/>
  </si>
  <si>
    <t>우편번호</t>
    <phoneticPr fontId="16" type="noConversion"/>
  </si>
  <si>
    <t>총 학생수</t>
    <phoneticPr fontId="3" type="noConversion"/>
  </si>
  <si>
    <t>특수학급 학생수</t>
    <phoneticPr fontId="3" type="noConversion"/>
  </si>
  <si>
    <t>교지면적(㎡)</t>
    <phoneticPr fontId="16" type="noConversion"/>
  </si>
  <si>
    <t>교지면적(㎡)</t>
    <phoneticPr fontId="3" type="noConversion"/>
  </si>
  <si>
    <t>서구</t>
    <phoneticPr fontId="16" type="noConversion"/>
  </si>
  <si>
    <t>인천서희학교</t>
    <phoneticPr fontId="16" type="noConversion"/>
  </si>
  <si>
    <t>유형</t>
    <phoneticPr fontId="3" type="noConversion"/>
  </si>
  <si>
    <t>구군별</t>
    <phoneticPr fontId="3" type="noConversion"/>
  </si>
  <si>
    <t>설립별</t>
    <phoneticPr fontId="3" type="noConversion"/>
  </si>
  <si>
    <t>학교명</t>
    <phoneticPr fontId="3" type="noConversion"/>
  </si>
  <si>
    <t>개교일자</t>
    <phoneticPr fontId="3" type="noConversion"/>
  </si>
  <si>
    <t>주소</t>
    <phoneticPr fontId="3" type="noConversion"/>
  </si>
  <si>
    <t>우편번호</t>
    <phoneticPr fontId="3" type="noConversion"/>
  </si>
  <si>
    <t>설립별</t>
    <phoneticPr fontId="16" type="noConversion"/>
  </si>
  <si>
    <t>남/여/공학</t>
    <phoneticPr fontId="16" type="noConversion"/>
  </si>
  <si>
    <t>주간/야간</t>
    <phoneticPr fontId="3" type="noConversion"/>
  </si>
  <si>
    <t>주간</t>
    <phoneticPr fontId="16" type="noConversion"/>
  </si>
  <si>
    <t>야간</t>
    <phoneticPr fontId="16" type="noConversion"/>
  </si>
  <si>
    <t>계</t>
    <phoneticPr fontId="16" type="noConversion"/>
  </si>
  <si>
    <t>여</t>
    <phoneticPr fontId="16" type="noConversion"/>
  </si>
  <si>
    <t>주간</t>
    <phoneticPr fontId="3" type="noConversion"/>
  </si>
  <si>
    <t>남/여/공학</t>
    <phoneticPr fontId="3" type="noConversion"/>
  </si>
  <si>
    <t>□ 방송통신중고등학교 현황</t>
    <phoneticPr fontId="16" type="noConversion"/>
  </si>
  <si>
    <t>계열별</t>
    <phoneticPr fontId="3" type="noConversion"/>
  </si>
  <si>
    <t>구군별</t>
    <phoneticPr fontId="16" type="noConversion"/>
  </si>
  <si>
    <t>학교명</t>
    <phoneticPr fontId="16" type="noConversion"/>
  </si>
  <si>
    <t>장애별</t>
    <phoneticPr fontId="16" type="noConversion"/>
  </si>
  <si>
    <t>주소</t>
    <phoneticPr fontId="16" type="noConversion"/>
  </si>
  <si>
    <t>전화번호(교무실)</t>
    <phoneticPr fontId="16" type="noConversion"/>
  </si>
  <si>
    <t>전화번호(행정실)</t>
    <phoneticPr fontId="3" type="noConversion"/>
  </si>
  <si>
    <t>인천청선학교</t>
    <phoneticPr fontId="16" type="noConversion"/>
  </si>
  <si>
    <t>미추홀구</t>
  </si>
  <si>
    <t>미추홀구</t>
    <phoneticPr fontId="16" type="noConversion"/>
  </si>
  <si>
    <t>인천청인학교</t>
    <phoneticPr fontId="16" type="noConversion"/>
  </si>
  <si>
    <t>개교일자</t>
    <phoneticPr fontId="16" type="noConversion"/>
  </si>
  <si>
    <t>학급수</t>
    <phoneticPr fontId="16" type="noConversion"/>
  </si>
  <si>
    <t>전화번호
(교무실)</t>
    <phoneticPr fontId="3" type="noConversion"/>
  </si>
  <si>
    <t>한국어</t>
    <phoneticPr fontId="16" type="noConversion"/>
  </si>
  <si>
    <t>한국어학급 학생수</t>
    <phoneticPr fontId="3" type="noConversion"/>
  </si>
  <si>
    <t>일반</t>
  </si>
  <si>
    <t>특성화</t>
  </si>
  <si>
    <t>특목</t>
  </si>
  <si>
    <t>자율형</t>
  </si>
  <si>
    <t>서구</t>
  </si>
  <si>
    <t>국립</t>
  </si>
  <si>
    <t>남</t>
  </si>
  <si>
    <t>교육지원청</t>
    <phoneticPr fontId="3" type="noConversion"/>
  </si>
  <si>
    <t>설립별</t>
    <phoneticPr fontId="3" type="noConversion"/>
  </si>
  <si>
    <t>주소</t>
    <phoneticPr fontId="3" type="noConversion"/>
  </si>
  <si>
    <t>우편번호</t>
    <phoneticPr fontId="3" type="noConversion"/>
  </si>
  <si>
    <t>전화번호
(교무실)</t>
    <phoneticPr fontId="3" type="noConversion"/>
  </si>
  <si>
    <t>전화번호
(행정실)</t>
    <phoneticPr fontId="3" type="noConversion"/>
  </si>
  <si>
    <t>팩스번호
(대표)</t>
    <phoneticPr fontId="3" type="noConversion"/>
  </si>
  <si>
    <t>특수학급 학생수</t>
    <phoneticPr fontId="3" type="noConversion"/>
  </si>
  <si>
    <t>한국어</t>
    <phoneticPr fontId="16" type="noConversion"/>
  </si>
  <si>
    <t>북부</t>
  </si>
  <si>
    <t>동부</t>
  </si>
  <si>
    <t>서부</t>
  </si>
  <si>
    <t>강화</t>
  </si>
  <si>
    <t>강화군</t>
  </si>
  <si>
    <t>구군별</t>
    <phoneticPr fontId="3" type="noConversion"/>
  </si>
  <si>
    <t>개교일자</t>
    <phoneticPr fontId="3" type="noConversion"/>
  </si>
  <si>
    <t>주소</t>
    <phoneticPr fontId="3" type="noConversion"/>
  </si>
  <si>
    <t>전화번호
(교무실)</t>
    <phoneticPr fontId="3" type="noConversion"/>
  </si>
  <si>
    <t>특수</t>
    <phoneticPr fontId="3" type="noConversion"/>
  </si>
  <si>
    <t>한국어</t>
    <phoneticPr fontId="3" type="noConversion"/>
  </si>
  <si>
    <t>구군별</t>
    <phoneticPr fontId="9" type="noConversion"/>
  </si>
  <si>
    <t>주소</t>
    <phoneticPr fontId="9" type="noConversion"/>
  </si>
  <si>
    <t>편성</t>
    <phoneticPr fontId="9" type="noConversion"/>
  </si>
  <si>
    <t>비고</t>
    <phoneticPr fontId="9" type="noConversion"/>
  </si>
  <si>
    <t>특수학급</t>
    <phoneticPr fontId="9" type="noConversion"/>
  </si>
  <si>
    <t>일반학급 원아수</t>
  </si>
  <si>
    <t>일반학급 원아수</t>
    <phoneticPr fontId="9" type="noConversion"/>
  </si>
  <si>
    <t>팩스번호
(대표)</t>
    <phoneticPr fontId="3" type="noConversion"/>
  </si>
  <si>
    <t>□ 유치원 현황</t>
    <phoneticPr fontId="9" type="noConversion"/>
  </si>
  <si>
    <t>□ 특수학교 현황</t>
    <phoneticPr fontId="16" type="noConversion"/>
  </si>
  <si>
    <t>□ 각종학교 현황</t>
    <phoneticPr fontId="3" type="noConversion"/>
  </si>
  <si>
    <t>팩스번호(대표)</t>
    <phoneticPr fontId="3" type="noConversion"/>
  </si>
  <si>
    <t>전
공
과</t>
    <phoneticPr fontId="16" type="noConversion"/>
  </si>
  <si>
    <t>고
등
학
교</t>
    <phoneticPr fontId="16" type="noConversion"/>
  </si>
  <si>
    <t>중
학
교</t>
    <phoneticPr fontId="16" type="noConversion"/>
  </si>
  <si>
    <t>중
도
중
복</t>
    <phoneticPr fontId="16" type="noConversion"/>
  </si>
  <si>
    <t>초등</t>
    <phoneticPr fontId="3" type="noConversion"/>
  </si>
  <si>
    <t>중등</t>
    <phoneticPr fontId="3" type="noConversion"/>
  </si>
  <si>
    <t>과
정</t>
    <phoneticPr fontId="16" type="noConversion"/>
  </si>
  <si>
    <t>유
치
원</t>
    <phoneticPr fontId="16" type="noConversion"/>
  </si>
  <si>
    <t>초
등
학
교</t>
    <phoneticPr fontId="16" type="noConversion"/>
  </si>
  <si>
    <t>순
회
학
급
(복식)</t>
    <phoneticPr fontId="3" type="noConversion"/>
  </si>
  <si>
    <t>개원일자</t>
    <phoneticPr fontId="9" type="noConversion"/>
  </si>
  <si>
    <t>검단고등학교</t>
  </si>
  <si>
    <t>567-7832</t>
  </si>
  <si>
    <t>연수구 독배로 91(옥련동 산18-1)</t>
  </si>
  <si>
    <t>627-4080</t>
  </si>
  <si>
    <t>832-3421</t>
  </si>
  <si>
    <t>가좌고등학교</t>
  </si>
  <si>
    <t>서구 장고개로287번길 24(가좌동 230)</t>
  </si>
  <si>
    <t>720-0600</t>
  </si>
  <si>
    <t>720-0770</t>
  </si>
  <si>
    <t>서구 검단로540번길 7(마전동 249-16)</t>
    <phoneticPr fontId="16" type="noConversion"/>
  </si>
  <si>
    <t>627-0917</t>
  </si>
  <si>
    <t>579-9188</t>
  </si>
  <si>
    <t>579-9189</t>
  </si>
  <si>
    <t>서구 서달로 162(가정동 430-41)</t>
    <phoneticPr fontId="16" type="noConversion"/>
  </si>
  <si>
    <t>각종</t>
  </si>
  <si>
    <t>강화군 강화읍 고비고개로 20(국화리 165)</t>
  </si>
  <si>
    <t>724-2323</t>
  </si>
  <si>
    <t>724-2307</t>
  </si>
  <si>
    <t>724-2310</t>
  </si>
  <si>
    <t>계양구 아나지로308번길 9(작전동 392-10)</t>
  </si>
  <si>
    <t>555-8344</t>
  </si>
  <si>
    <t>555-4280</t>
  </si>
  <si>
    <t>555-8348</t>
  </si>
  <si>
    <t>627-3135</t>
  </si>
  <si>
    <t>556-8181</t>
  </si>
  <si>
    <t>770-9430</t>
  </si>
  <si>
    <t>인천대중예술고등학교</t>
    <phoneticPr fontId="16" type="noConversion"/>
  </si>
  <si>
    <t>미추홀구 석정로 165(도화동 20-6)</t>
    <phoneticPr fontId="9" type="noConversion"/>
  </si>
  <si>
    <t>764-7031</t>
    <phoneticPr fontId="9" type="noConversion"/>
  </si>
  <si>
    <t>764-7032</t>
    <phoneticPr fontId="9" type="noConversion"/>
  </si>
  <si>
    <t>중구</t>
  </si>
  <si>
    <t>제물포고등학교</t>
  </si>
  <si>
    <t>중구 자유공원로 58-9(전동 26)</t>
  </si>
  <si>
    <t>770-4762</t>
  </si>
  <si>
    <t>770-4801</t>
  </si>
  <si>
    <t>766-9604</t>
  </si>
  <si>
    <t>554-2360</t>
  </si>
  <si>
    <t>554-7234</t>
  </si>
  <si>
    <t>계양구 도두리로 47(계산동 1084-6)</t>
    <phoneticPr fontId="16" type="noConversion"/>
  </si>
  <si>
    <t>인천디자인고등학교</t>
  </si>
  <si>
    <t>765-5471</t>
  </si>
  <si>
    <t>765-5474</t>
  </si>
  <si>
    <t>동구 금창로 31(금곡동 45-1)</t>
    <phoneticPr fontId="3" type="noConversion"/>
  </si>
  <si>
    <t>526-3215</t>
  </si>
  <si>
    <t>526-3214</t>
  </si>
  <si>
    <t>미추홀구 재넘이길123번길 29(학익동 306-30)</t>
  </si>
  <si>
    <t>453-9440</t>
  </si>
  <si>
    <t>453-9400</t>
  </si>
  <si>
    <t>875-1344</t>
  </si>
  <si>
    <t>인천국제고등학교</t>
  </si>
  <si>
    <t>745-4500</t>
  </si>
  <si>
    <t>745-4604</t>
  </si>
  <si>
    <t>746-7510</t>
  </si>
  <si>
    <t>인천여자상업고등학교</t>
  </si>
  <si>
    <t>761-2352</t>
  </si>
  <si>
    <t>761-2353</t>
  </si>
  <si>
    <t>761-2355</t>
  </si>
  <si>
    <t>중구 인중로 146(신생동 25-1)</t>
    <phoneticPr fontId="16" type="noConversion"/>
  </si>
  <si>
    <t>511-1645</t>
  </si>
  <si>
    <t>511-1635</t>
  </si>
  <si>
    <t>511-1706</t>
  </si>
  <si>
    <t>부평구 경원대로 1109(십정동 136-4)</t>
  </si>
  <si>
    <t>714-8600</t>
  </si>
  <si>
    <t>714-8500</t>
  </si>
  <si>
    <t>714-8518</t>
  </si>
  <si>
    <t>인천청라고등학교</t>
  </si>
  <si>
    <t>568-9691</t>
  </si>
  <si>
    <t>568-9695</t>
  </si>
  <si>
    <t>서구 담지로86번길 16-14(청라동 137-2)</t>
  </si>
  <si>
    <t>932-7005</t>
  </si>
  <si>
    <t>932-7034</t>
  </si>
  <si>
    <t>770-0720</t>
    <phoneticPr fontId="16" type="noConversion"/>
  </si>
  <si>
    <t>885-3302</t>
  </si>
  <si>
    <t>887-2354</t>
  </si>
  <si>
    <t>동구</t>
  </si>
  <si>
    <t>동구 동산로 58(송림동 97-1)</t>
  </si>
  <si>
    <t>인천온라인학교</t>
  </si>
  <si>
    <t>청각장애</t>
  </si>
  <si>
    <t>부평구 경인로 880(부평동 756-88)</t>
  </si>
  <si>
    <t>524-3545</t>
  </si>
  <si>
    <t>524-3529</t>
  </si>
  <si>
    <t>473-0176</t>
  </si>
  <si>
    <t>473-0173</t>
  </si>
  <si>
    <t>473-0181</t>
  </si>
  <si>
    <t>남동구 수현로136번길 16(만수동 2-82)</t>
    <phoneticPr fontId="16" type="noConversion"/>
  </si>
  <si>
    <t>강화군 양도면 강화남로1002번길 73-29(삼흥리 460)</t>
  </si>
  <si>
    <t>서구 로봇랜드로 473(청라동 5-3)</t>
  </si>
  <si>
    <t>874-0242</t>
  </si>
  <si>
    <t>872-8698</t>
  </si>
  <si>
    <t>868-0243</t>
  </si>
  <si>
    <t>770-4741</t>
  </si>
  <si>
    <t>764-3644</t>
  </si>
  <si>
    <t>남동구 청능대로611번길 54(논현동 604-2)</t>
    <phoneticPr fontId="16" type="noConversion"/>
  </si>
  <si>
    <t>1권역</t>
  </si>
  <si>
    <t>590-7616</t>
  </si>
  <si>
    <t>590-7604</t>
  </si>
  <si>
    <t>590-7680</t>
  </si>
  <si>
    <t>722-5777</t>
  </si>
  <si>
    <t>인천고등학교</t>
  </si>
  <si>
    <t>미추홀구 경원대로 804(주안동 1555)</t>
  </si>
  <si>
    <t>451-0620</t>
  </si>
  <si>
    <t>451-0610</t>
  </si>
  <si>
    <t>429-6422</t>
  </si>
  <si>
    <t>미추홀구 석정로 165(도화동 206-1)</t>
  </si>
  <si>
    <t>627-2642</t>
  </si>
  <si>
    <t>761-6121</t>
  </si>
  <si>
    <t>765-1577</t>
  </si>
  <si>
    <t>760-0107</t>
  </si>
  <si>
    <t>옹진군</t>
  </si>
  <si>
    <t>덕적고등학교</t>
  </si>
  <si>
    <t>764-6682</t>
  </si>
  <si>
    <t>764-6681</t>
  </si>
  <si>
    <t>746-2362</t>
  </si>
  <si>
    <t>745-4300</t>
  </si>
  <si>
    <t>인성여자고등학교</t>
  </si>
  <si>
    <t>762-8506</t>
  </si>
  <si>
    <t>762-8503</t>
  </si>
  <si>
    <t>764-8505</t>
  </si>
  <si>
    <t>중구 샛골로 31(도원동 12-75)</t>
  </si>
  <si>
    <t>883-8748</t>
  </si>
  <si>
    <t>883-8735</t>
  </si>
  <si>
    <t>885-8734</t>
  </si>
  <si>
    <t>중구 영종대로277번길 117(운서동 569)</t>
  </si>
  <si>
    <t>508-8402</t>
  </si>
  <si>
    <t>508-8401</t>
  </si>
  <si>
    <t>508-8871</t>
  </si>
  <si>
    <t>부평구 주부토로 194(갈산동 360-2)</t>
  </si>
  <si>
    <t>627-0126</t>
  </si>
  <si>
    <t>627-0105</t>
  </si>
  <si>
    <t>627-0194</t>
  </si>
  <si>
    <t>부평공업고등학교</t>
  </si>
  <si>
    <t>인천진산과학고등학교</t>
  </si>
  <si>
    <t>508-8261</t>
  </si>
  <si>
    <t>부평구 원적로 260(산곡동 180-147)</t>
  </si>
  <si>
    <t>458-9003</t>
  </si>
  <si>
    <t>525-2687</t>
  </si>
  <si>
    <t>623-4700</t>
  </si>
  <si>
    <t>623-4706</t>
  </si>
  <si>
    <t>514-6165</t>
  </si>
  <si>
    <t>작전고등학교</t>
  </si>
  <si>
    <t>계양구 봉오대로729번길 27(작전동 90)</t>
  </si>
  <si>
    <t>555-1595</t>
  </si>
  <si>
    <t>555-1597</t>
  </si>
  <si>
    <t>인천남고등학교</t>
  </si>
  <si>
    <t>석정여자고등학교</t>
  </si>
  <si>
    <t>남동구 만수로75번길 71-15(만수동 5-394)</t>
  </si>
  <si>
    <t>721-3644</t>
  </si>
  <si>
    <t>721-3607</t>
  </si>
  <si>
    <t>721-3608</t>
  </si>
  <si>
    <t>722-1607</t>
  </si>
  <si>
    <t>722-1505</t>
  </si>
  <si>
    <t>439-5505</t>
  </si>
  <si>
    <t>남동구 방축로469번길 27(간석동 614-11)</t>
  </si>
  <si>
    <t>422-6681</t>
  </si>
  <si>
    <t>422-7779</t>
  </si>
  <si>
    <t>남동구 만수로73번길 20-23(만수동 5-213)</t>
  </si>
  <si>
    <t>463-3825</t>
  </si>
  <si>
    <t>650-3075</t>
  </si>
  <si>
    <t>650-3000</t>
  </si>
  <si>
    <t>834-5484</t>
  </si>
  <si>
    <t>인천포스코고등학교</t>
  </si>
  <si>
    <t>연수구 컨벤시아대로42번길 50(송도동 15-6)</t>
  </si>
  <si>
    <t>850-8620</t>
  </si>
  <si>
    <t>850-8610</t>
  </si>
  <si>
    <t>850-8629</t>
  </si>
  <si>
    <t>인제고등학교</t>
    <phoneticPr fontId="16" type="noConversion"/>
  </si>
  <si>
    <t>백석고등학교</t>
    <phoneticPr fontId="16" type="noConversion"/>
  </si>
  <si>
    <t>인천신현고등학교</t>
    <phoneticPr fontId="16" type="noConversion"/>
  </si>
  <si>
    <t>627-3893</t>
  </si>
  <si>
    <t>627-3918</t>
  </si>
  <si>
    <t>561-0140</t>
  </si>
  <si>
    <t>서구 서곶로 693-1(백석동 산40-3)</t>
    <phoneticPr fontId="16" type="noConversion"/>
  </si>
  <si>
    <t>860-0122</t>
    <phoneticPr fontId="16" type="noConversion"/>
  </si>
  <si>
    <t>860-0101</t>
    <phoneticPr fontId="16" type="noConversion"/>
  </si>
  <si>
    <t>627-9056</t>
    <phoneticPr fontId="16" type="noConversion"/>
  </si>
  <si>
    <t>교동고등학교</t>
  </si>
  <si>
    <t>932-4126</t>
  </si>
  <si>
    <t>932-4026</t>
  </si>
  <si>
    <t>932-6690</t>
  </si>
  <si>
    <t>옹진군 덕적면 덕적남로 15(진리 136)</t>
  </si>
  <si>
    <t>832-9303</t>
  </si>
  <si>
    <t>832-9302</t>
  </si>
  <si>
    <t>832-9307</t>
  </si>
  <si>
    <t>712-2000</t>
  </si>
  <si>
    <t>712-2003</t>
  </si>
  <si>
    <t>712-2019</t>
  </si>
  <si>
    <t>작전여자고등학교</t>
  </si>
  <si>
    <t>555-6217</t>
  </si>
  <si>
    <t>555-6218</t>
  </si>
  <si>
    <t>서구 청라에메랄드로 42(청라동 193-2)</t>
  </si>
  <si>
    <t>강남영상미디어고등학교</t>
    <phoneticPr fontId="16" type="noConversion"/>
  </si>
  <si>
    <t>지적장애</t>
  </si>
  <si>
    <t>계양구 장제로 1304(장기동 133)</t>
  </si>
  <si>
    <t>627-5447</t>
  </si>
  <si>
    <t>518-8552</t>
  </si>
  <si>
    <t>510-7101</t>
  </si>
  <si>
    <t>510-7100</t>
  </si>
  <si>
    <t>569-7156</t>
  </si>
  <si>
    <t>지적장애</t>
    <phoneticPr fontId="16" type="noConversion"/>
  </si>
  <si>
    <t>남동구 인주대로914번길 16(만수동 1007-5)</t>
  </si>
  <si>
    <t>340-8445</t>
  </si>
  <si>
    <t>432-7189</t>
  </si>
  <si>
    <t>채드윅송도국제학교</t>
  </si>
  <si>
    <t>250-5000</t>
  </si>
  <si>
    <t>252-2007</t>
  </si>
  <si>
    <t>구월여자중학교부설방송통신중학교</t>
  </si>
  <si>
    <t>남동구 성말로13번길 78(구월동 1409-1)</t>
  </si>
  <si>
    <t>629-7777</t>
  </si>
  <si>
    <t>433-4004</t>
  </si>
  <si>
    <t>629-7778</t>
  </si>
  <si>
    <t>422-0330</t>
  </si>
  <si>
    <t>422-0331</t>
  </si>
  <si>
    <t>424-0127</t>
  </si>
  <si>
    <t>학생수</t>
    <phoneticPr fontId="16" type="noConversion"/>
  </si>
  <si>
    <t>합계</t>
    <phoneticPr fontId="16" type="noConversion"/>
  </si>
  <si>
    <t>공립 계</t>
    <phoneticPr fontId="16" type="noConversion"/>
  </si>
  <si>
    <t>사립 계</t>
    <phoneticPr fontId="16" type="noConversion"/>
  </si>
  <si>
    <t>서구 독정로 44-4(당하동 779-4)</t>
    <phoneticPr fontId="16" type="noConversion"/>
  </si>
  <si>
    <t>일반 계</t>
    <phoneticPr fontId="16" type="noConversion"/>
  </si>
  <si>
    <t>특성화 계</t>
    <phoneticPr fontId="16" type="noConversion"/>
  </si>
  <si>
    <t>특목 계</t>
    <phoneticPr fontId="16" type="noConversion"/>
  </si>
  <si>
    <t>미추홀구 공립 계</t>
    <phoneticPr fontId="16" type="noConversion"/>
  </si>
  <si>
    <t>미추홀구 사립 계</t>
    <phoneticPr fontId="16" type="noConversion"/>
  </si>
  <si>
    <t>미추홀구 합계</t>
    <phoneticPr fontId="16" type="noConversion"/>
  </si>
  <si>
    <t>동구 사립 계</t>
    <phoneticPr fontId="16" type="noConversion"/>
  </si>
  <si>
    <t>동구 합계</t>
    <phoneticPr fontId="16" type="noConversion"/>
  </si>
  <si>
    <t>옹진군 공립 계</t>
    <phoneticPr fontId="16" type="noConversion"/>
  </si>
  <si>
    <t>옹진군 합계</t>
    <phoneticPr fontId="16" type="noConversion"/>
  </si>
  <si>
    <t>중구 국립 계</t>
    <phoneticPr fontId="16" type="noConversion"/>
  </si>
  <si>
    <t>중구 공립 계</t>
    <phoneticPr fontId="16" type="noConversion"/>
  </si>
  <si>
    <t>자율형 계</t>
    <phoneticPr fontId="16" type="noConversion"/>
  </si>
  <si>
    <t>중구 사립 계</t>
    <phoneticPr fontId="16" type="noConversion"/>
  </si>
  <si>
    <t>중구 합계</t>
    <phoneticPr fontId="16" type="noConversion"/>
  </si>
  <si>
    <t>부평구 공립 계</t>
    <phoneticPr fontId="16" type="noConversion"/>
  </si>
  <si>
    <t>부평구 사립 계</t>
    <phoneticPr fontId="16" type="noConversion"/>
  </si>
  <si>
    <t>부평구 합계</t>
    <phoneticPr fontId="16" type="noConversion"/>
  </si>
  <si>
    <t>계양구 공립 계</t>
    <phoneticPr fontId="16" type="noConversion"/>
  </si>
  <si>
    <t>계양구 합계</t>
    <phoneticPr fontId="16" type="noConversion"/>
  </si>
  <si>
    <t>남동구 공립 계</t>
    <phoneticPr fontId="16" type="noConversion"/>
  </si>
  <si>
    <t>남동구 사립 계</t>
    <phoneticPr fontId="16" type="noConversion"/>
  </si>
  <si>
    <t>남동구 합계</t>
    <phoneticPr fontId="16" type="noConversion"/>
  </si>
  <si>
    <t>연수구 공립 계</t>
    <phoneticPr fontId="16" type="noConversion"/>
  </si>
  <si>
    <t>연수구 사립 계</t>
    <phoneticPr fontId="16" type="noConversion"/>
  </si>
  <si>
    <t>연수구 합계</t>
    <phoneticPr fontId="16" type="noConversion"/>
  </si>
  <si>
    <t>서구 공립 계</t>
    <phoneticPr fontId="16" type="noConversion"/>
  </si>
  <si>
    <t>서구 사립 계</t>
    <phoneticPr fontId="16" type="noConversion"/>
  </si>
  <si>
    <t>서구 합계</t>
    <phoneticPr fontId="16" type="noConversion"/>
  </si>
  <si>
    <t>강화군 공립 계</t>
    <phoneticPr fontId="16" type="noConversion"/>
  </si>
  <si>
    <t>강화군 사립 계</t>
    <phoneticPr fontId="16" type="noConversion"/>
  </si>
  <si>
    <t>강화군 합계</t>
    <phoneticPr fontId="16" type="noConversion"/>
  </si>
  <si>
    <t>일반</t>
    <phoneticPr fontId="16" type="noConversion"/>
  </si>
  <si>
    <t>특성화</t>
    <phoneticPr fontId="16" type="noConversion"/>
  </si>
  <si>
    <t>특목</t>
    <phoneticPr fontId="16" type="noConversion"/>
  </si>
  <si>
    <t>자율형</t>
    <phoneticPr fontId="16" type="noConversion"/>
  </si>
  <si>
    <t>계열별 합계</t>
    <phoneticPr fontId="16" type="noConversion"/>
  </si>
  <si>
    <t>국립</t>
    <phoneticPr fontId="16" type="noConversion"/>
  </si>
  <si>
    <t>공립</t>
    <phoneticPr fontId="16" type="noConversion"/>
  </si>
  <si>
    <t>사립</t>
    <phoneticPr fontId="16" type="noConversion"/>
  </si>
  <si>
    <t>설립별 합계</t>
    <phoneticPr fontId="16" type="noConversion"/>
  </si>
  <si>
    <t>435-0345</t>
  </si>
  <si>
    <t>435-0346</t>
  </si>
  <si>
    <t>431-5259</t>
  </si>
  <si>
    <t>884-8461</t>
  </si>
  <si>
    <t>884-8462</t>
  </si>
  <si>
    <t>885-4159</t>
  </si>
  <si>
    <t>766-2015</t>
  </si>
  <si>
    <t>763-4851</t>
  </si>
  <si>
    <t>766-2016</t>
  </si>
  <si>
    <t>422-2098</t>
  </si>
  <si>
    <t>452-9902</t>
  </si>
  <si>
    <t>452-9901</t>
  </si>
  <si>
    <t>875-1341</t>
  </si>
  <si>
    <t>미추홀구 합계</t>
    <phoneticPr fontId="16" type="noConversion"/>
  </si>
  <si>
    <t>미추홀구 낙섬동로 28(용현동 627-38)</t>
  </si>
  <si>
    <t>인하대학교사범대학부속중학교</t>
  </si>
  <si>
    <t>동구 공립 계</t>
    <phoneticPr fontId="16" type="noConversion"/>
  </si>
  <si>
    <t>동구 동산로 58(송림동 97-1)</t>
    <phoneticPr fontId="16" type="noConversion"/>
  </si>
  <si>
    <t>763-7837</t>
  </si>
  <si>
    <t>883-2922</t>
  </si>
  <si>
    <t>883-8478</t>
  </si>
  <si>
    <t>629-2597</t>
  </si>
  <si>
    <t>746-5823</t>
  </si>
  <si>
    <t>629-2824</t>
  </si>
  <si>
    <t>746-3703</t>
  </si>
  <si>
    <t>746-3705</t>
  </si>
  <si>
    <t>746-3706</t>
  </si>
  <si>
    <t>509-4900</t>
  </si>
  <si>
    <t>509-4919</t>
  </si>
  <si>
    <t>509-4930</t>
  </si>
  <si>
    <t>용유중학교</t>
  </si>
  <si>
    <t>인천중산중학교</t>
  </si>
  <si>
    <t>중구 두미포로 189(중산동 1914-2)</t>
  </si>
  <si>
    <t>갈산중학교</t>
  </si>
  <si>
    <t>628-3986</t>
  </si>
  <si>
    <t>525-6549</t>
  </si>
  <si>
    <t>구산중학교</t>
  </si>
  <si>
    <t>361-9092</t>
  </si>
  <si>
    <t>동암중학교</t>
  </si>
  <si>
    <t>425-9676</t>
  </si>
  <si>
    <t>425-1759</t>
  </si>
  <si>
    <t>426-5515</t>
  </si>
  <si>
    <t>부광중학교</t>
  </si>
  <si>
    <t>516-5556</t>
  </si>
  <si>
    <t>511-6052</t>
  </si>
  <si>
    <t>505-3914</t>
  </si>
  <si>
    <t>부원여자중학교</t>
  </si>
  <si>
    <t>526-3966</t>
  </si>
  <si>
    <t>526-3968</t>
  </si>
  <si>
    <t>361-8355</t>
  </si>
  <si>
    <t>부원중학교</t>
  </si>
  <si>
    <t>522-4177</t>
  </si>
  <si>
    <t>529-2918</t>
  </si>
  <si>
    <t>부일중학교</t>
  </si>
  <si>
    <t>628-3861</t>
  </si>
  <si>
    <t>628-3842</t>
  </si>
  <si>
    <t>부평동중학교</t>
  </si>
  <si>
    <t>529-2082</t>
  </si>
  <si>
    <t>505-1536</t>
  </si>
  <si>
    <t>부평서여자중학교</t>
  </si>
  <si>
    <t>504-0412</t>
  </si>
  <si>
    <t>504-0413</t>
  </si>
  <si>
    <t>504-0419</t>
  </si>
  <si>
    <t>부평서중학교</t>
  </si>
  <si>
    <t>628-3106</t>
  </si>
  <si>
    <t>628-3136</t>
  </si>
  <si>
    <t>628-3131</t>
  </si>
  <si>
    <t>부평여자중학교</t>
  </si>
  <si>
    <t>515-5814</t>
  </si>
  <si>
    <t>515-5813</t>
  </si>
  <si>
    <t>516-8492</t>
  </si>
  <si>
    <t>부평중학교</t>
  </si>
  <si>
    <t>529-5132</t>
  </si>
  <si>
    <t>529-5133</t>
  </si>
  <si>
    <t>부흥중학교</t>
  </si>
  <si>
    <t>산곡남중학교</t>
  </si>
  <si>
    <t>628-3606</t>
  </si>
  <si>
    <t>525-5874</t>
  </si>
  <si>
    <t>산곡여자중학교</t>
  </si>
  <si>
    <t>512-6746</t>
  </si>
  <si>
    <t>512-6747</t>
  </si>
  <si>
    <t>502-6846</t>
  </si>
  <si>
    <t>산곡중학교</t>
  </si>
  <si>
    <t>628-3162</t>
  </si>
  <si>
    <t>523-7322</t>
  </si>
  <si>
    <t>524-7322</t>
  </si>
  <si>
    <t>삼산중학교</t>
  </si>
  <si>
    <t>511-5667</t>
  </si>
  <si>
    <t>511-5668</t>
  </si>
  <si>
    <t>인천상정중학교</t>
  </si>
  <si>
    <t>421-4125</t>
  </si>
  <si>
    <t>421-4126</t>
  </si>
  <si>
    <t>421-4127</t>
  </si>
  <si>
    <t>진산중학교</t>
  </si>
  <si>
    <t>511-1924</t>
  </si>
  <si>
    <t>청천중학교</t>
  </si>
  <si>
    <t>516-9747</t>
  </si>
  <si>
    <t>503-3902</t>
  </si>
  <si>
    <t>504-5293</t>
  </si>
  <si>
    <t>361-9095</t>
  </si>
  <si>
    <t>부평구 충선로 140(부개동 22-1)</t>
  </si>
  <si>
    <t>인천동수중학교</t>
  </si>
  <si>
    <t>부평구 경원대로 1083(십정동 128-4)</t>
  </si>
  <si>
    <t>516-1540</t>
  </si>
  <si>
    <t>부평구 부평문화로 193-1(부개동 120-21)</t>
    <phoneticPr fontId="16" type="noConversion"/>
  </si>
  <si>
    <t>미추홀구 석정로 165(도화동 193-12)</t>
    <phoneticPr fontId="16" type="noConversion"/>
  </si>
  <si>
    <t>계산여자중학교</t>
  </si>
  <si>
    <t>627-7355</t>
  </si>
  <si>
    <t>계산중학교</t>
  </si>
  <si>
    <t>545-8563</t>
  </si>
  <si>
    <t>545-8562</t>
  </si>
  <si>
    <t>계양중학교</t>
  </si>
  <si>
    <t>627-7199</t>
  </si>
  <si>
    <t>515-6500</t>
  </si>
  <si>
    <t>515-0039</t>
  </si>
  <si>
    <t>명현중학교</t>
  </si>
  <si>
    <t>554-6832</t>
  </si>
  <si>
    <t>554-6834</t>
  </si>
  <si>
    <t>554-6835</t>
  </si>
  <si>
    <t>북인천여자중학교</t>
  </si>
  <si>
    <t>548-1875</t>
  </si>
  <si>
    <t>547-0288</t>
  </si>
  <si>
    <t>552-5731</t>
  </si>
  <si>
    <t>북인천중학교</t>
  </si>
  <si>
    <t>554-5564</t>
  </si>
  <si>
    <t>서운중학교</t>
  </si>
  <si>
    <t>627-7636</t>
  </si>
  <si>
    <t>555-0565</t>
  </si>
  <si>
    <t>628-9521</t>
  </si>
  <si>
    <t>628-9499</t>
  </si>
  <si>
    <t>인천동양중학교</t>
  </si>
  <si>
    <t>627-8138</t>
  </si>
  <si>
    <t>556-4650</t>
  </si>
  <si>
    <t>556-3883</t>
  </si>
  <si>
    <t>인천안남중학교</t>
  </si>
  <si>
    <t>549-5334</t>
  </si>
  <si>
    <t>555-9540</t>
  </si>
  <si>
    <t>555-9549</t>
  </si>
  <si>
    <t>인천예일중학교</t>
  </si>
  <si>
    <t>556-4102</t>
  </si>
  <si>
    <t>556-4105</t>
  </si>
  <si>
    <t>547-2527</t>
  </si>
  <si>
    <t>547-3527</t>
  </si>
  <si>
    <t>임학중학교</t>
  </si>
  <si>
    <t>552-2122</t>
  </si>
  <si>
    <t>552-2124</t>
  </si>
  <si>
    <t>작전중학교</t>
  </si>
  <si>
    <t>556-1844</t>
  </si>
  <si>
    <t>556-1845</t>
  </si>
  <si>
    <t>556-1848</t>
  </si>
  <si>
    <t>계양구 장제로755번길 16(계산동 292)</t>
  </si>
  <si>
    <t>627-7583</t>
  </si>
  <si>
    <t>627-7596</t>
  </si>
  <si>
    <t>555-0562</t>
  </si>
  <si>
    <t>인천계수중학교</t>
  </si>
  <si>
    <t>계양구 살라리로2번길 25(서운동 109-2)</t>
  </si>
  <si>
    <t>인천양촌중학교</t>
  </si>
  <si>
    <t>계양구 장제로995번길 39(방축동 27-8)</t>
  </si>
  <si>
    <t>인천효성중학교</t>
  </si>
  <si>
    <t>552-2123</t>
  </si>
  <si>
    <t>429-5969</t>
  </si>
  <si>
    <t>629-7620</t>
  </si>
  <si>
    <t>629-7666</t>
  </si>
  <si>
    <t>구월여자중학교</t>
  </si>
  <si>
    <t>433-4005</t>
  </si>
  <si>
    <t>435-0467</t>
  </si>
  <si>
    <t>462-0120</t>
  </si>
  <si>
    <t>468-5326</t>
  </si>
  <si>
    <t>동인천중학교</t>
  </si>
  <si>
    <t>422-3744</t>
  </si>
  <si>
    <t>422-3743</t>
  </si>
  <si>
    <t>629-7405</t>
  </si>
  <si>
    <t>만수북중학교</t>
  </si>
  <si>
    <t>472-3122</t>
  </si>
  <si>
    <t>472-3126</t>
  </si>
  <si>
    <t>472-3127</t>
  </si>
  <si>
    <t>만수여자중학교</t>
  </si>
  <si>
    <t>467-2262</t>
  </si>
  <si>
    <t>남동구 서창남순환로 22(서창동 658)</t>
  </si>
  <si>
    <t>457-4631</t>
  </si>
  <si>
    <t>457-4608</t>
  </si>
  <si>
    <t>457-4602</t>
  </si>
  <si>
    <t>437-9711</t>
  </si>
  <si>
    <t>428-6606</t>
  </si>
  <si>
    <t>437-9714</t>
  </si>
  <si>
    <t>상인천중학교</t>
  </si>
  <si>
    <t>422-0952</t>
  </si>
  <si>
    <t>438-1380</t>
  </si>
  <si>
    <t>434-4701</t>
  </si>
  <si>
    <t>남동구 논현역로 41(논현동 633-7)</t>
  </si>
  <si>
    <t>인천사리울중학교</t>
  </si>
  <si>
    <t>435-1636</t>
  </si>
  <si>
    <t>435-1635</t>
  </si>
  <si>
    <t>435-1639</t>
  </si>
  <si>
    <t>인천서창중학교</t>
  </si>
  <si>
    <t>473-0338</t>
  </si>
  <si>
    <t>473-0340</t>
  </si>
  <si>
    <t>473-0339</t>
  </si>
  <si>
    <t>인천성리중학교</t>
  </si>
  <si>
    <t>469-3924</t>
  </si>
  <si>
    <t>469-3925</t>
  </si>
  <si>
    <t>469-3930</t>
  </si>
  <si>
    <t>인천정각중학교</t>
  </si>
  <si>
    <t>남동구 구월로 240(구월동 24-4)</t>
  </si>
  <si>
    <t>770-1730</t>
  </si>
  <si>
    <t>770-1700</t>
  </si>
  <si>
    <t>남동구 공립 계</t>
    <phoneticPr fontId="16" type="noConversion"/>
  </si>
  <si>
    <t>숭덕여자중학교</t>
  </si>
  <si>
    <t>463-7436</t>
  </si>
  <si>
    <t>462-5197</t>
  </si>
  <si>
    <t>남동구 합계</t>
    <phoneticPr fontId="16" type="noConversion"/>
  </si>
  <si>
    <t>인천고잔중학교</t>
  </si>
  <si>
    <t>933-9984</t>
  </si>
  <si>
    <t>933-9986</t>
  </si>
  <si>
    <t>933-9987</t>
  </si>
  <si>
    <t>932-8801</t>
  </si>
  <si>
    <t>932-8802</t>
  </si>
  <si>
    <t>627-4259</t>
  </si>
  <si>
    <t>627-3399</t>
  </si>
  <si>
    <t>933-5290</t>
  </si>
  <si>
    <t>933-5292</t>
  </si>
  <si>
    <t>933-5298</t>
  </si>
  <si>
    <t>강화군 화도면 마니산로 703-20(상방리 845-1)</t>
  </si>
  <si>
    <t>937-5907</t>
  </si>
  <si>
    <t>937-2009</t>
  </si>
  <si>
    <t>937-2008</t>
  </si>
  <si>
    <t>932-3072</t>
  </si>
  <si>
    <t>932-3102</t>
  </si>
  <si>
    <t>932-4170</t>
  </si>
  <si>
    <t>강화군 사립 계</t>
    <phoneticPr fontId="16" type="noConversion"/>
  </si>
  <si>
    <t>강화군 합계</t>
    <phoneticPr fontId="16" type="noConversion"/>
  </si>
  <si>
    <t>강화군 하점면 강화서로 909-19(이강리 389)</t>
  </si>
  <si>
    <t>627-4275</t>
  </si>
  <si>
    <t>가정여자중학교</t>
  </si>
  <si>
    <t>627-7142</t>
  </si>
  <si>
    <t>577-2293</t>
  </si>
  <si>
    <t>568-1630</t>
  </si>
  <si>
    <t>568-1628</t>
  </si>
  <si>
    <t>568-1629</t>
  </si>
  <si>
    <t>신현여자중학교</t>
  </si>
  <si>
    <t>577-3993</t>
  </si>
  <si>
    <t>577-3992</t>
  </si>
  <si>
    <t>582-6497</t>
  </si>
  <si>
    <t>575-0379</t>
  </si>
  <si>
    <t>575-0380</t>
  </si>
  <si>
    <t>581-0822</t>
  </si>
  <si>
    <t>571-9901</t>
  </si>
  <si>
    <t>571-9934</t>
  </si>
  <si>
    <t>571-9935</t>
  </si>
  <si>
    <t>627-8058</t>
  </si>
  <si>
    <t>580-2819</t>
  </si>
  <si>
    <t>580-2801</t>
  </si>
  <si>
    <t>서구 청라한울로 44(청라동 140-2)</t>
  </si>
  <si>
    <t>577-6781</t>
  </si>
  <si>
    <t>서구 고래울로28번길 13(가좌동 343)</t>
    <phoneticPr fontId="16" type="noConversion"/>
  </si>
  <si>
    <t>서구 원창로131번길 23(신현동 212-11)</t>
    <phoneticPr fontId="16" type="noConversion"/>
  </si>
  <si>
    <t>서구 차오름로 64(청라동 84-2)</t>
    <phoneticPr fontId="16" type="noConversion"/>
  </si>
  <si>
    <t>시각장애</t>
  </si>
  <si>
    <t>부평구 경인로769번길 27(십정동 576)</t>
  </si>
  <si>
    <t>522-8345</t>
  </si>
  <si>
    <t>522-8340</t>
  </si>
  <si>
    <t>미추홀구 공립 계</t>
    <phoneticPr fontId="16" type="noConversion"/>
  </si>
  <si>
    <t>미추홀구 합계</t>
    <phoneticPr fontId="16" type="noConversion"/>
  </si>
  <si>
    <t>미추홀구 남주길69번길 16(주안동 1627)</t>
  </si>
  <si>
    <t>미추홀구 독정안길 26(숭의동 12-8)</t>
  </si>
  <si>
    <t>동구 사립 계</t>
    <phoneticPr fontId="3" type="noConversion"/>
  </si>
  <si>
    <t>동구 합계</t>
    <phoneticPr fontId="16" type="noConversion"/>
  </si>
  <si>
    <t>836-0973</t>
  </si>
  <si>
    <t>옹진군 공립(분교) 계</t>
    <phoneticPr fontId="3" type="noConversion"/>
  </si>
  <si>
    <t>옹진군(분교) 합계</t>
    <phoneticPr fontId="3" type="noConversion"/>
  </si>
  <si>
    <t>옹진군 북도면 장봉로 553(장봉리 1050)</t>
  </si>
  <si>
    <t>중구 자유공원로 106-8(전동 25-37)</t>
  </si>
  <si>
    <t>764-3818</t>
  </si>
  <si>
    <t>중구 공립(분교) 계</t>
    <phoneticPr fontId="3" type="noConversion"/>
  </si>
  <si>
    <t>중구 사립 계</t>
    <phoneticPr fontId="3" type="noConversion"/>
  </si>
  <si>
    <t>중구(분교) 합계</t>
    <phoneticPr fontId="3" type="noConversion"/>
  </si>
  <si>
    <t>중구 은하수로 402(운남동 1766-4)</t>
  </si>
  <si>
    <t>인천갈산초등학교</t>
  </si>
  <si>
    <t>인천갈월초등학교</t>
  </si>
  <si>
    <t>507-7113</t>
  </si>
  <si>
    <t>인천개흥초등학교</t>
  </si>
  <si>
    <t>인천구산초등학교</t>
  </si>
  <si>
    <t>인천굴포초등학교</t>
  </si>
  <si>
    <t>511-3872</t>
  </si>
  <si>
    <t>511-3870</t>
  </si>
  <si>
    <t>인천금마초등학교</t>
  </si>
  <si>
    <t>508-6082</t>
  </si>
  <si>
    <t>인천대정초등학교</t>
  </si>
  <si>
    <t>인천동수초등학교</t>
  </si>
  <si>
    <t>인천동암초등학교</t>
  </si>
  <si>
    <t>424-6672</t>
  </si>
  <si>
    <t>인천마곡초등학교</t>
  </si>
  <si>
    <t>522-3576</t>
  </si>
  <si>
    <t>522-4312</t>
  </si>
  <si>
    <t>522-4352</t>
  </si>
  <si>
    <t>인천마장초등학교</t>
  </si>
  <si>
    <t>인천미산초등학교</t>
  </si>
  <si>
    <t>628-2464</t>
  </si>
  <si>
    <t>502-4007</t>
  </si>
  <si>
    <t>인천백운초등학교</t>
  </si>
  <si>
    <t>507-6832</t>
  </si>
  <si>
    <t>인천부개서초등학교</t>
  </si>
  <si>
    <t>인천부개초등학교</t>
  </si>
  <si>
    <t>525-0042</t>
  </si>
  <si>
    <t>517-3151</t>
  </si>
  <si>
    <t>인천부곡초등학교</t>
  </si>
  <si>
    <t>628-1754</t>
  </si>
  <si>
    <t>628-1762</t>
  </si>
  <si>
    <t>504-3258</t>
  </si>
  <si>
    <t>인천부광초등학교</t>
  </si>
  <si>
    <t>인천부내초등학교</t>
  </si>
  <si>
    <t>361-8122</t>
  </si>
  <si>
    <t>361-8125</t>
  </si>
  <si>
    <t>361-8124</t>
  </si>
  <si>
    <t>인천부마초등학교</t>
  </si>
  <si>
    <t>인천부원초등학교</t>
  </si>
  <si>
    <t>504-8478</t>
  </si>
  <si>
    <t>504-8479</t>
  </si>
  <si>
    <t>인천부일초등학교</t>
  </si>
  <si>
    <t>부평구 부흥북로 175(부개동 499-8)</t>
  </si>
  <si>
    <t>인천부평남초등학교</t>
  </si>
  <si>
    <t>516-3485</t>
  </si>
  <si>
    <t>인천부평동초등학교</t>
  </si>
  <si>
    <t>인천부평북초등학교</t>
  </si>
  <si>
    <t>515-9812</t>
  </si>
  <si>
    <t>515-9813</t>
  </si>
  <si>
    <t>513-7582</t>
  </si>
  <si>
    <t>인천부평서초등학교</t>
  </si>
  <si>
    <t>인천부흥초등학교</t>
  </si>
  <si>
    <t>516-2760</t>
  </si>
  <si>
    <t>인천산곡남초등학교</t>
  </si>
  <si>
    <t>인천산곡북초등학교</t>
  </si>
  <si>
    <t>516-5664</t>
  </si>
  <si>
    <t>628-1129</t>
  </si>
  <si>
    <t>522-5094</t>
  </si>
  <si>
    <t>인천산곡초등학교</t>
  </si>
  <si>
    <t>인천삼산초등학교</t>
  </si>
  <si>
    <t>부평구 후정동로 44(삼산동 58-2)</t>
  </si>
  <si>
    <t>525-0163</t>
  </si>
  <si>
    <t>525-0167</t>
  </si>
  <si>
    <t>628-0249</t>
  </si>
  <si>
    <t>인천상정초등학교</t>
  </si>
  <si>
    <t>627-8610</t>
  </si>
  <si>
    <t>인천신촌초등학교</t>
  </si>
  <si>
    <t>인천십정초등학교</t>
  </si>
  <si>
    <t>부평구 배곶북로 10-6(십정동 298-1)</t>
  </si>
  <si>
    <t>628-1185</t>
  </si>
  <si>
    <t>628-1189</t>
  </si>
  <si>
    <t>424-4075</t>
  </si>
  <si>
    <t>인천영선초등학교</t>
  </si>
  <si>
    <t>628-2762</t>
  </si>
  <si>
    <t>521-7386</t>
  </si>
  <si>
    <t>인천용마초등학교</t>
  </si>
  <si>
    <t>인천일신초등학교</t>
  </si>
  <si>
    <t>인천진산초등학교</t>
  </si>
  <si>
    <t>인천청천초등학교</t>
  </si>
  <si>
    <t>인천하정초등학교</t>
  </si>
  <si>
    <t>인천한길초등학교</t>
  </si>
  <si>
    <t>인천후정초등학교</t>
  </si>
  <si>
    <t>부평구 영성서로 56(삼산동 390-1)</t>
  </si>
  <si>
    <t>517-2496</t>
  </si>
  <si>
    <t>부평구 사립 계</t>
    <phoneticPr fontId="3" type="noConversion"/>
  </si>
  <si>
    <t>부평구 동암남로35번길 4(십정동 501)</t>
  </si>
  <si>
    <t>부평구 마장로272번길 73(산곡동 148-5)</t>
  </si>
  <si>
    <t>516-1124</t>
  </si>
  <si>
    <t>부평구 부평문화로53번길 19(부평동 542-18)</t>
  </si>
  <si>
    <t>516-3551</t>
  </si>
  <si>
    <t>547-5577</t>
  </si>
  <si>
    <t>547-8466</t>
  </si>
  <si>
    <t>547-8469</t>
  </si>
  <si>
    <t>계양구 국립 계</t>
    <phoneticPr fontId="3" type="noConversion"/>
  </si>
  <si>
    <t>인천부평초등학교</t>
  </si>
  <si>
    <t>인천효성초등학교</t>
  </si>
  <si>
    <t>547-5942</t>
  </si>
  <si>
    <t>547-6313</t>
  </si>
  <si>
    <t>554-5813</t>
  </si>
  <si>
    <t>인천작전초등학교</t>
  </si>
  <si>
    <t>계양구 주부토로 456(작전동 42-5)</t>
  </si>
  <si>
    <t>543-0029</t>
  </si>
  <si>
    <t>542-5155</t>
  </si>
  <si>
    <t>543-0591</t>
  </si>
  <si>
    <t>인천효성동초등학교</t>
  </si>
  <si>
    <t>인천효성서초등학교</t>
  </si>
  <si>
    <t>인천계산초등학교</t>
  </si>
  <si>
    <t>541-4792</t>
  </si>
  <si>
    <t>453-9513</t>
  </si>
  <si>
    <t>549-3190</t>
  </si>
  <si>
    <t>인천화전초등학교</t>
  </si>
  <si>
    <t>인천계양초등학교</t>
  </si>
  <si>
    <t>515-4647</t>
  </si>
  <si>
    <t>544-5533</t>
  </si>
  <si>
    <t>인천소양초등학교</t>
  </si>
  <si>
    <t>542-7517</t>
  </si>
  <si>
    <t>628-9285</t>
  </si>
  <si>
    <t>548-6587</t>
  </si>
  <si>
    <t>인천작동초등학교</t>
  </si>
  <si>
    <t>548-0686</t>
  </si>
  <si>
    <t>548-0688</t>
  </si>
  <si>
    <t>548-0616</t>
  </si>
  <si>
    <t>인천병방초등학교</t>
  </si>
  <si>
    <t>548-8343</t>
  </si>
  <si>
    <t>548-8345</t>
  </si>
  <si>
    <t>548-8346</t>
  </si>
  <si>
    <t>인천부현초등학교</t>
  </si>
  <si>
    <t>552-2675</t>
  </si>
  <si>
    <t>546-0703</t>
  </si>
  <si>
    <t>인천부현동초등학교</t>
  </si>
  <si>
    <t>553-4091</t>
  </si>
  <si>
    <t>553-4092</t>
  </si>
  <si>
    <t>553-4095</t>
  </si>
  <si>
    <t>인천길주초등학교</t>
  </si>
  <si>
    <t>계양구 용종로 90(용종동 227-1)</t>
  </si>
  <si>
    <t>553-2703</t>
  </si>
  <si>
    <t>553-2702</t>
  </si>
  <si>
    <t>553-2705</t>
  </si>
  <si>
    <t>인천신대초등학교</t>
  </si>
  <si>
    <t>계양구 계산새로 133(용종동 228-4)</t>
  </si>
  <si>
    <t>553-2012</t>
  </si>
  <si>
    <t>인천효성남초등학교</t>
  </si>
  <si>
    <t>인천서운초등학교</t>
  </si>
  <si>
    <t>555-2271</t>
  </si>
  <si>
    <t>555-2273</t>
  </si>
  <si>
    <t>555-2275</t>
  </si>
  <si>
    <t>인천안산초등학교</t>
  </si>
  <si>
    <t>555-6065</t>
  </si>
  <si>
    <t>인천명현초등학교</t>
  </si>
  <si>
    <t>628-7169</t>
  </si>
  <si>
    <t>628-7164</t>
  </si>
  <si>
    <t>545-5708</t>
  </si>
  <si>
    <t>인천성지초등학교</t>
  </si>
  <si>
    <t>541-6096</t>
  </si>
  <si>
    <t>인천귤현초등학교</t>
  </si>
  <si>
    <t>511-7247</t>
  </si>
  <si>
    <t>511-7168</t>
  </si>
  <si>
    <t>511-7169</t>
  </si>
  <si>
    <t>인천해서초등학교</t>
  </si>
  <si>
    <t>계양구 계산로 42-1(계산동 783-5)</t>
  </si>
  <si>
    <t>556-4370</t>
  </si>
  <si>
    <t>556-4399</t>
  </si>
  <si>
    <t>인천당산초등학교</t>
  </si>
  <si>
    <t>계양구 동양로 122(동양동 583)</t>
  </si>
  <si>
    <t>515-3873</t>
  </si>
  <si>
    <t>515-4365</t>
  </si>
  <si>
    <t>계양구 장제로 954(병방동 3)</t>
  </si>
  <si>
    <t>556-9465</t>
  </si>
  <si>
    <t>556-9464</t>
  </si>
  <si>
    <t>계양구 공립(분교) 계</t>
    <phoneticPr fontId="16" type="noConversion"/>
  </si>
  <si>
    <t>25(1)</t>
    <phoneticPr fontId="3" type="noConversion"/>
  </si>
  <si>
    <t>계양구(분교) 합계</t>
    <phoneticPr fontId="16" type="noConversion"/>
  </si>
  <si>
    <t>26(1)</t>
    <phoneticPr fontId="3" type="noConversion"/>
  </si>
  <si>
    <t>계양구 장제로755번길 30(계산동 65-4)</t>
  </si>
  <si>
    <t>계양구 봉오대로569번길 10(효성동 15-3)</t>
  </si>
  <si>
    <t>546-3551</t>
  </si>
  <si>
    <t>상인천초등학교</t>
  </si>
  <si>
    <t>인천간석초등학교</t>
  </si>
  <si>
    <t>469-5894</t>
  </si>
  <si>
    <t>469-5893</t>
  </si>
  <si>
    <t>469-1575</t>
  </si>
  <si>
    <t>인천고잔초등학교</t>
  </si>
  <si>
    <t>433-0462</t>
  </si>
  <si>
    <t>433-0464</t>
  </si>
  <si>
    <t>439-6868</t>
  </si>
  <si>
    <t>인천구월서초등학교</t>
  </si>
  <si>
    <t>431-6821</t>
  </si>
  <si>
    <t>431-6823</t>
  </si>
  <si>
    <t>인천구월초등학교</t>
  </si>
  <si>
    <t>629-3700</t>
  </si>
  <si>
    <t>629-3722</t>
  </si>
  <si>
    <t>인천남동초등학교</t>
  </si>
  <si>
    <t>462-0105</t>
  </si>
  <si>
    <t>462-0104</t>
  </si>
  <si>
    <t>463-5495</t>
  </si>
  <si>
    <t>인천남촌초등학교</t>
  </si>
  <si>
    <t>466-5693</t>
  </si>
  <si>
    <t>466-5735</t>
  </si>
  <si>
    <t>인천논곡초등학교</t>
  </si>
  <si>
    <t>남동구 함박뫼로 429(논현동 563-5)</t>
  </si>
  <si>
    <t>446-2988</t>
  </si>
  <si>
    <t>446-9085</t>
  </si>
  <si>
    <t>인천논현초등학교</t>
  </si>
  <si>
    <t>446-5191</t>
  </si>
  <si>
    <t>446-5175</t>
  </si>
  <si>
    <t>446-5193</t>
  </si>
  <si>
    <t>인천담방초등학교</t>
  </si>
  <si>
    <t>468-8074</t>
  </si>
  <si>
    <t>468-8075</t>
  </si>
  <si>
    <t>468-2006</t>
  </si>
  <si>
    <t>인천도림초등학교</t>
  </si>
  <si>
    <t>441-0095</t>
  </si>
  <si>
    <t>446-7205</t>
  </si>
  <si>
    <t>인천동방초등학교</t>
  </si>
  <si>
    <t>442-0340</t>
  </si>
  <si>
    <t>인천동부초등학교</t>
  </si>
  <si>
    <t>466-7461</t>
  </si>
  <si>
    <t>466-7463</t>
  </si>
  <si>
    <t>인천만수북초등학교</t>
  </si>
  <si>
    <t>629-4281</t>
  </si>
  <si>
    <t>466-7383</t>
  </si>
  <si>
    <t>인천만수초등학교</t>
  </si>
  <si>
    <t>남동구 소래로 652(만수동 1074)</t>
  </si>
  <si>
    <t>471-4252</t>
  </si>
  <si>
    <t>471-4254</t>
  </si>
  <si>
    <t>471-4251</t>
  </si>
  <si>
    <t>인천만월초등학교</t>
  </si>
  <si>
    <t>남동구 선수촌로 28(구월동 1521)</t>
  </si>
  <si>
    <t>469-3923</t>
  </si>
  <si>
    <t>469-3920</t>
  </si>
  <si>
    <t>469-3720</t>
  </si>
  <si>
    <t>인천사리울초등학교</t>
  </si>
  <si>
    <t>438-9202</t>
  </si>
  <si>
    <t>438-9209</t>
  </si>
  <si>
    <t>인천상아초등학교</t>
  </si>
  <si>
    <t>473-3022</t>
  </si>
  <si>
    <t>473-3023</t>
  </si>
  <si>
    <t>473-3029</t>
  </si>
  <si>
    <t>인천새말초등학교</t>
  </si>
  <si>
    <t>472-6122</t>
  </si>
  <si>
    <t>629-9798</t>
  </si>
  <si>
    <t>472-6244</t>
  </si>
  <si>
    <t>인천서창초등학교</t>
  </si>
  <si>
    <t>465-0227</t>
  </si>
  <si>
    <t>인천석정초등학교</t>
  </si>
  <si>
    <t>432-3932</t>
  </si>
  <si>
    <t>431-3934</t>
  </si>
  <si>
    <t>431-3935</t>
  </si>
  <si>
    <t>남동구 남동대로 828(구월동 21)</t>
  </si>
  <si>
    <t>469-4020</t>
  </si>
  <si>
    <t>629-4126</t>
  </si>
  <si>
    <t>469-0097</t>
  </si>
  <si>
    <t>인천성리초등학교</t>
  </si>
  <si>
    <t>472-0671</t>
  </si>
  <si>
    <t>472-0237</t>
  </si>
  <si>
    <t>472-0238</t>
  </si>
  <si>
    <t>인천소래초등학교</t>
  </si>
  <si>
    <t>446-5012</t>
  </si>
  <si>
    <t>446-5038</t>
  </si>
  <si>
    <t>인천송천초등학교</t>
  </si>
  <si>
    <t>437-4865</t>
  </si>
  <si>
    <t>437-4860</t>
  </si>
  <si>
    <t>437-4867</t>
  </si>
  <si>
    <t>인천신월초등학교</t>
  </si>
  <si>
    <t>629-6094</t>
  </si>
  <si>
    <t>629-6090</t>
  </si>
  <si>
    <t>인천약산초등학교</t>
  </si>
  <si>
    <t>629-4371</t>
  </si>
  <si>
    <t>629-4368</t>
  </si>
  <si>
    <t>429-2958</t>
  </si>
  <si>
    <t>인천원동초등학교</t>
  </si>
  <si>
    <t>629-7085</t>
  </si>
  <si>
    <t>442-7353</t>
  </si>
  <si>
    <t>인천은봉초등학교</t>
  </si>
  <si>
    <t>620-8729</t>
  </si>
  <si>
    <t>446-5396</t>
  </si>
  <si>
    <t>인천인동초등학교</t>
  </si>
  <si>
    <t>629-5780</t>
  </si>
  <si>
    <t>629-5787</t>
  </si>
  <si>
    <t>466-6836</t>
  </si>
  <si>
    <t>인천인수초등학교</t>
  </si>
  <si>
    <t>629-4529</t>
  </si>
  <si>
    <t>461-5260</t>
  </si>
  <si>
    <t>인천장도초등학교</t>
  </si>
  <si>
    <t>446-9781</t>
  </si>
  <si>
    <t>인천장서초등학교</t>
  </si>
  <si>
    <t>남동구 서창남순환로 109(서창동 678)</t>
  </si>
  <si>
    <t>770-2900</t>
  </si>
  <si>
    <t>441-4901</t>
  </si>
  <si>
    <t>인천장수초등학교</t>
  </si>
  <si>
    <t>629-4793</t>
  </si>
  <si>
    <t>463-4279</t>
  </si>
  <si>
    <t>461-6292</t>
  </si>
  <si>
    <t>인천장아초등학교</t>
  </si>
  <si>
    <t>인천정각초등학교</t>
  </si>
  <si>
    <t>462-7646</t>
  </si>
  <si>
    <t>462-7647</t>
  </si>
  <si>
    <t>462-8154</t>
  </si>
  <si>
    <t>인천조동초등학교</t>
  </si>
  <si>
    <t>472-3012</t>
  </si>
  <si>
    <t>472-3016</t>
  </si>
  <si>
    <t>472-3015</t>
  </si>
  <si>
    <t>인천주원초등학교</t>
  </si>
  <si>
    <t>431-0042</t>
  </si>
  <si>
    <t>431-0045</t>
  </si>
  <si>
    <t>431-0043</t>
  </si>
  <si>
    <t>인천한빛초등학교</t>
  </si>
  <si>
    <t>471-6434</t>
  </si>
  <si>
    <t>남동구 공립 계</t>
    <phoneticPr fontId="16" type="noConversion"/>
  </si>
  <si>
    <t>남동구 담방로 121(만수동 1005-2)</t>
  </si>
  <si>
    <t>431-7446</t>
  </si>
  <si>
    <t>남동구 문화서로77번길 14(구월동 1099)</t>
  </si>
  <si>
    <t>남동구 인주대로721번길 49(구월동 1226-1)</t>
  </si>
  <si>
    <t>442-2599</t>
  </si>
  <si>
    <t>남동구 만수서로33번길 25(만수동 111-5)</t>
  </si>
  <si>
    <t>남동구 백범로180번길 25(만수동 867-18)</t>
  </si>
  <si>
    <t>남동구 장아산로174번길 8(서창동 560-6)</t>
  </si>
  <si>
    <t>629-9732</t>
  </si>
  <si>
    <t>629-9726</t>
  </si>
  <si>
    <t>남동구 성리로 32-2(구월동 1487)</t>
  </si>
  <si>
    <t>남동구 인수로 3(만수동 47)</t>
  </si>
  <si>
    <t>남동구 백범로124번길 164(만수동 11)</t>
  </si>
  <si>
    <t>471-6436</t>
  </si>
  <si>
    <t>472-4892</t>
  </si>
  <si>
    <t>인천능허대초등학교</t>
  </si>
  <si>
    <t>833-9137</t>
  </si>
  <si>
    <t>인천동막초등학교</t>
  </si>
  <si>
    <t>822-2149</t>
  </si>
  <si>
    <t>인천동춘초등학교</t>
  </si>
  <si>
    <t>812-5561</t>
  </si>
  <si>
    <t>817-8996</t>
  </si>
  <si>
    <t>인천먼우금초등학교</t>
  </si>
  <si>
    <t>연수구 해돋이로84번길 33(송도동 3-12)</t>
  </si>
  <si>
    <t>629-6310</t>
  </si>
  <si>
    <t>629-6242</t>
  </si>
  <si>
    <t>851-0535</t>
  </si>
  <si>
    <t>인천명선초등학교</t>
  </si>
  <si>
    <t>인천문남초등학교</t>
  </si>
  <si>
    <t>815-2078</t>
  </si>
  <si>
    <t>815-2079</t>
  </si>
  <si>
    <t>816-0683</t>
  </si>
  <si>
    <t>인천미송초등학교</t>
  </si>
  <si>
    <t>509-1004</t>
  </si>
  <si>
    <t>509-1000</t>
  </si>
  <si>
    <t>인천새봄초등학교</t>
  </si>
  <si>
    <t>455-8845</t>
  </si>
  <si>
    <t>455-8811</t>
  </si>
  <si>
    <t>851-8008</t>
  </si>
  <si>
    <t>인천서면초등학교</t>
  </si>
  <si>
    <t>연수구 먼우금로 54(동춘동 932-4)</t>
  </si>
  <si>
    <t>819-0291</t>
  </si>
  <si>
    <t>819-0294</t>
  </si>
  <si>
    <t>819-0295</t>
  </si>
  <si>
    <t>인천선학초등학교</t>
  </si>
  <si>
    <t>814-2571</t>
  </si>
  <si>
    <t>814-2572</t>
  </si>
  <si>
    <t>인천송담초등학교</t>
  </si>
  <si>
    <t>456-7004</t>
  </si>
  <si>
    <t>858-9210</t>
  </si>
  <si>
    <t>인천송도초등학교</t>
  </si>
  <si>
    <t>629-3592</t>
  </si>
  <si>
    <t>629-3636</t>
  </si>
  <si>
    <t>629-3599</t>
  </si>
  <si>
    <t>인천송명초등학교</t>
  </si>
  <si>
    <t>830-7599</t>
  </si>
  <si>
    <t>인천송원초등학교</t>
  </si>
  <si>
    <t>830-7329</t>
  </si>
  <si>
    <t>인천송일초등학교</t>
  </si>
  <si>
    <t>550-7700</t>
  </si>
  <si>
    <t>인천신송초등학교</t>
  </si>
  <si>
    <t>858-0940</t>
  </si>
  <si>
    <t>858-0939</t>
  </si>
  <si>
    <t>인천신정초등학교</t>
  </si>
  <si>
    <t>851-9050</t>
  </si>
  <si>
    <t>629-6980</t>
  </si>
  <si>
    <t>851-9059</t>
  </si>
  <si>
    <t>인천연성초등학교</t>
  </si>
  <si>
    <t>연수구 원인재로 116(동춘동 925-1)</t>
  </si>
  <si>
    <t>629-5083</t>
  </si>
  <si>
    <t>817-0095</t>
  </si>
  <si>
    <t>인천연송초등학교</t>
  </si>
  <si>
    <t>연수구 해돋이로 248(송도동 18-4)</t>
  </si>
  <si>
    <t>460-7700</t>
  </si>
  <si>
    <t>460-7710</t>
  </si>
  <si>
    <t>인천연수초등학교</t>
  </si>
  <si>
    <t>816-7114</t>
  </si>
  <si>
    <t>인천연화초등학교</t>
  </si>
  <si>
    <t>인천예송초등학교</t>
  </si>
  <si>
    <t>458-9160</t>
  </si>
  <si>
    <t>458-9185</t>
  </si>
  <si>
    <t>858-7882</t>
  </si>
  <si>
    <t>인천옥련초등학교</t>
  </si>
  <si>
    <t>833-6091</t>
  </si>
  <si>
    <t>833-6096</t>
  </si>
  <si>
    <t>834-1823</t>
  </si>
  <si>
    <t>인천은송초등학교</t>
  </si>
  <si>
    <t>510-7510</t>
  </si>
  <si>
    <t>510-7520</t>
  </si>
  <si>
    <t>858-7161</t>
  </si>
  <si>
    <t>인천중앙초등학교</t>
  </si>
  <si>
    <t>629-3809</t>
  </si>
  <si>
    <t>629-3767</t>
  </si>
  <si>
    <t>817-0097</t>
  </si>
  <si>
    <t>인천첨단초등학교</t>
  </si>
  <si>
    <t>연수구 송도교육로 20(송도동 192-3)</t>
  </si>
  <si>
    <t>인천청량초등학교</t>
  </si>
  <si>
    <t>연수구 먼우금로 158(동춘동 923-3)</t>
  </si>
  <si>
    <t>817-6037</t>
  </si>
  <si>
    <t>817-6040</t>
  </si>
  <si>
    <t>인천청학초등학교</t>
  </si>
  <si>
    <t>629-5265</t>
  </si>
  <si>
    <t>817-6058</t>
  </si>
  <si>
    <t>인천축현초등학교</t>
  </si>
  <si>
    <t>834-6182</t>
  </si>
  <si>
    <t>834-8492</t>
  </si>
  <si>
    <t>834-8493</t>
  </si>
  <si>
    <t>인천함박초등학교</t>
  </si>
  <si>
    <t>821-0432</t>
  </si>
  <si>
    <t>629-5504</t>
  </si>
  <si>
    <t>818-4642</t>
  </si>
  <si>
    <t>인천해송초등학교</t>
  </si>
  <si>
    <t>833-0876</t>
  </si>
  <si>
    <t>인천현송초등학교</t>
  </si>
  <si>
    <t>452-8100</t>
  </si>
  <si>
    <t>858-8956</t>
  </si>
  <si>
    <t>인천박문초등학교</t>
  </si>
  <si>
    <t>연수구 봉재산로 138-22(동춘동 517-2)</t>
  </si>
  <si>
    <t>810-8595</t>
  </si>
  <si>
    <t>810-8591</t>
  </si>
  <si>
    <t>810-8599</t>
  </si>
  <si>
    <t>연수구 사립 계</t>
    <phoneticPr fontId="3" type="noConversion"/>
  </si>
  <si>
    <t>연수구 합계</t>
    <phoneticPr fontId="16" type="noConversion"/>
  </si>
  <si>
    <t>연수구 비류대로214번길 21(옥련동 314-2)</t>
  </si>
  <si>
    <t>629-5151</t>
  </si>
  <si>
    <t>629-5154</t>
  </si>
  <si>
    <t>521-7156</t>
  </si>
  <si>
    <t>851-7301</t>
  </si>
  <si>
    <t>629-7176</t>
  </si>
  <si>
    <t>851-7312</t>
  </si>
  <si>
    <t>연수구 컨벤시아대로252번길 15(송도동 107)</t>
  </si>
  <si>
    <t>550-7770</t>
  </si>
  <si>
    <t>629-5087</t>
  </si>
  <si>
    <t>연수구 새말로 153(연수동 579-1)</t>
  </si>
  <si>
    <t>연수구 아카데미로312번길 96(송도동 399-10)</t>
  </si>
  <si>
    <t>인천서곶초등학교</t>
  </si>
  <si>
    <t>561-2015</t>
  </si>
  <si>
    <t>562-2101</t>
  </si>
  <si>
    <t>628-4548</t>
  </si>
  <si>
    <t>571-4965</t>
  </si>
  <si>
    <t>575-0913</t>
  </si>
  <si>
    <t>서구 장고개로 336-1(가좌동 395-4)</t>
  </si>
  <si>
    <t>578-2243</t>
  </si>
  <si>
    <t>574-6941</t>
  </si>
  <si>
    <t>572-0174</t>
  </si>
  <si>
    <t>575-0967</t>
  </si>
  <si>
    <t>서구 장고개로309번길 5(가좌동 30-87)</t>
  </si>
  <si>
    <t>576-7094</t>
  </si>
  <si>
    <t>576-3257</t>
  </si>
  <si>
    <t>576-8869</t>
  </si>
  <si>
    <t>628-5344</t>
  </si>
  <si>
    <t>628-5331</t>
  </si>
  <si>
    <t>575-0911</t>
  </si>
  <si>
    <t>567-0286</t>
  </si>
  <si>
    <t>567-0285</t>
  </si>
  <si>
    <t>인천천마초등학교</t>
  </si>
  <si>
    <t>서구 서달로 58-5(석남동 295-13)</t>
  </si>
  <si>
    <t>571-7395</t>
  </si>
  <si>
    <t>571-7394</t>
  </si>
  <si>
    <t>571-7293</t>
  </si>
  <si>
    <t>628-5855</t>
  </si>
  <si>
    <t>583-0271</t>
  </si>
  <si>
    <t>583-0274</t>
  </si>
  <si>
    <t>628-6006</t>
  </si>
  <si>
    <t>인천검단초등학교</t>
  </si>
  <si>
    <t>563-5988</t>
  </si>
  <si>
    <t>562-1922</t>
  </si>
  <si>
    <t>563-7572</t>
  </si>
  <si>
    <t>서구 단봉로 122(오류동 1720-1)</t>
  </si>
  <si>
    <t>628-6134</t>
  </si>
  <si>
    <t>서구 심곡로 114(심곡동 291-8)</t>
  </si>
  <si>
    <t>562-8620</t>
  </si>
  <si>
    <t>566-0274</t>
  </si>
  <si>
    <t>566-0285</t>
  </si>
  <si>
    <t>565-2210</t>
  </si>
  <si>
    <t>566-2653</t>
  </si>
  <si>
    <t>628-6783</t>
  </si>
  <si>
    <t>579-7388</t>
  </si>
  <si>
    <t>579-7389</t>
  </si>
  <si>
    <t>인천양지초등학교</t>
  </si>
  <si>
    <t>628-7000</t>
  </si>
  <si>
    <t>628-7010</t>
  </si>
  <si>
    <t>628-7002</t>
  </si>
  <si>
    <t>567-0613</t>
  </si>
  <si>
    <t>562-4368</t>
  </si>
  <si>
    <t>628-7155</t>
  </si>
  <si>
    <t>인천목향초등학교</t>
  </si>
  <si>
    <t>인천간재울초등학교</t>
  </si>
  <si>
    <t>568-9164</t>
  </si>
  <si>
    <t>인천검암초등학교</t>
  </si>
  <si>
    <t>564-5337</t>
  </si>
  <si>
    <t>566-8400</t>
  </si>
  <si>
    <t>564-5339</t>
  </si>
  <si>
    <t>인천발산초등학교</t>
  </si>
  <si>
    <t>628-7474</t>
  </si>
  <si>
    <t>628-7479</t>
  </si>
  <si>
    <t>568-0170</t>
  </si>
  <si>
    <t>인천봉화초등학교</t>
  </si>
  <si>
    <t>628-7561</t>
  </si>
  <si>
    <t>628-7557</t>
  </si>
  <si>
    <t>572-9265</t>
  </si>
  <si>
    <t>628-7619</t>
  </si>
  <si>
    <t>628-7687</t>
  </si>
  <si>
    <t>571-6230</t>
  </si>
  <si>
    <t>572-6280</t>
  </si>
  <si>
    <t>569-3084</t>
  </si>
  <si>
    <t>628-8063</t>
  </si>
  <si>
    <t>628-8263</t>
  </si>
  <si>
    <t>628-8266</t>
  </si>
  <si>
    <t>569-5164</t>
  </si>
  <si>
    <t>569-6984</t>
  </si>
  <si>
    <t>569-6980</t>
  </si>
  <si>
    <t>569-6987</t>
  </si>
  <si>
    <t>569-5910</t>
  </si>
  <si>
    <t>569-5913</t>
  </si>
  <si>
    <t>569-5916</t>
  </si>
  <si>
    <t>569-3122</t>
  </si>
  <si>
    <t>569-8837</t>
  </si>
  <si>
    <t>569-8835</t>
  </si>
  <si>
    <t>569-8839</t>
  </si>
  <si>
    <t>인천청일초등학교</t>
  </si>
  <si>
    <t>628-8635</t>
  </si>
  <si>
    <t>628-8615</t>
  </si>
  <si>
    <t>569-5072</t>
  </si>
  <si>
    <t>서구 청라커낼로 336(청라동 149-1)</t>
  </si>
  <si>
    <t>569-6912</t>
  </si>
  <si>
    <t>569-6916</t>
  </si>
  <si>
    <t>569-6657</t>
  </si>
  <si>
    <t>569-6658</t>
  </si>
  <si>
    <t>569-6659</t>
  </si>
  <si>
    <t>569-6436</t>
  </si>
  <si>
    <t>569-6437</t>
  </si>
  <si>
    <t>인천경연초등학교</t>
  </si>
  <si>
    <t>서구 차오름로 64(청라동 84-2)</t>
  </si>
  <si>
    <t>510-7215</t>
  </si>
  <si>
    <t>510-7223</t>
  </si>
  <si>
    <t>569-7388</t>
  </si>
  <si>
    <t>인천청호초등학교</t>
  </si>
  <si>
    <t>456-9123</t>
  </si>
  <si>
    <t>569-4581</t>
  </si>
  <si>
    <t>628-6101</t>
  </si>
  <si>
    <t>568-0421</t>
  </si>
  <si>
    <t>서구 완정로228번길 19(금곡동 721-1)</t>
  </si>
  <si>
    <t>628-6792</t>
  </si>
  <si>
    <t>서구 승학로197번길 11(심곡동 144-2)</t>
  </si>
  <si>
    <t>568-2206</t>
  </si>
  <si>
    <t>568-2207</t>
  </si>
  <si>
    <t>565-7976</t>
  </si>
  <si>
    <t>서구 검단로540번길 23(마전동 267-1)</t>
  </si>
  <si>
    <t>서구 심곡로188번길 21(공촌동 277-2)</t>
  </si>
  <si>
    <t>453-9000</t>
  </si>
  <si>
    <t>569-5841</t>
  </si>
  <si>
    <t>440-0800</t>
  </si>
  <si>
    <t>440-0806</t>
  </si>
  <si>
    <t>440-7973</t>
  </si>
  <si>
    <t>627-6079</t>
  </si>
  <si>
    <t>627-6078</t>
  </si>
  <si>
    <t>627-6077</t>
  </si>
  <si>
    <t>934-9538</t>
  </si>
  <si>
    <t>934-1835</t>
  </si>
  <si>
    <t>강화군 강화읍 대월로 216(대산리 1239)</t>
  </si>
  <si>
    <t>933-2955</t>
  </si>
  <si>
    <t>932-2954</t>
  </si>
  <si>
    <t>강화군 선원면 강화동로 924(냉정리 100)</t>
  </si>
  <si>
    <t>934-4082</t>
  </si>
  <si>
    <t>933-9234</t>
  </si>
  <si>
    <t>933-9235</t>
  </si>
  <si>
    <t>627-0212</t>
  </si>
  <si>
    <t>627-0221</t>
  </si>
  <si>
    <t>627-0220</t>
  </si>
  <si>
    <t>강화군 불은면 중앙로 609(삼성리 809-32)</t>
  </si>
  <si>
    <t>937-4619</t>
  </si>
  <si>
    <t>937-8577</t>
  </si>
  <si>
    <t>937-9845</t>
  </si>
  <si>
    <t>937-0008</t>
  </si>
  <si>
    <t>627-8438</t>
  </si>
  <si>
    <t>937-9687</t>
  </si>
  <si>
    <t>강화군 화도면 마니산로 717(상방리 943)</t>
  </si>
  <si>
    <t>937-1083</t>
  </si>
  <si>
    <t>627-3985</t>
  </si>
  <si>
    <t>627-4000</t>
  </si>
  <si>
    <t>937-2062</t>
  </si>
  <si>
    <t>627-5204</t>
  </si>
  <si>
    <t>627-5207</t>
  </si>
  <si>
    <t>강화군 양도면 강화남로 510(조산리 235-1)</t>
  </si>
  <si>
    <t>937-2068</t>
  </si>
  <si>
    <t>937-8639</t>
  </si>
  <si>
    <t>937-9835</t>
  </si>
  <si>
    <t>627-6083</t>
  </si>
  <si>
    <t>932-5828</t>
  </si>
  <si>
    <t>627-4982</t>
  </si>
  <si>
    <t>627-5000</t>
  </si>
  <si>
    <t>627-6639</t>
  </si>
  <si>
    <t>627-6652</t>
  </si>
  <si>
    <t>932-5538</t>
  </si>
  <si>
    <t>933-4498</t>
  </si>
  <si>
    <t>933-9276</t>
  </si>
  <si>
    <t>550-5900</t>
  </si>
  <si>
    <t>550-5907</t>
  </si>
  <si>
    <t>934-9718</t>
  </si>
  <si>
    <t>627-6111</t>
  </si>
  <si>
    <t>627-6112</t>
  </si>
  <si>
    <t>933-4012</t>
  </si>
  <si>
    <t>627-1104</t>
  </si>
  <si>
    <t>627-1112</t>
  </si>
  <si>
    <t>627-1098</t>
  </si>
  <si>
    <t>932-3278</t>
  </si>
  <si>
    <t>932-5964</t>
  </si>
  <si>
    <t>932-8298</t>
  </si>
  <si>
    <t>932-7006</t>
  </si>
  <si>
    <t>1896-02-04</t>
  </si>
  <si>
    <t>강화군 강화읍 북문길 36(관청리 361)</t>
  </si>
  <si>
    <t>627-3947</t>
  </si>
  <si>
    <t>934-2248</t>
  </si>
  <si>
    <t>934-9799</t>
  </si>
  <si>
    <t>강화군 삼산면 삼산북로 451(석모리 249-2)</t>
  </si>
  <si>
    <t>강화군 삼산면 삼산남로 345(매음리 77-4)</t>
  </si>
  <si>
    <t>남부교육지원청</t>
    <phoneticPr fontId="16" type="noConversion"/>
  </si>
  <si>
    <t>북부교육지원청</t>
    <phoneticPr fontId="16" type="noConversion"/>
  </si>
  <si>
    <t>동부교육지원청</t>
    <phoneticPr fontId="16" type="noConversion"/>
  </si>
  <si>
    <t>서부교육지원청</t>
    <phoneticPr fontId="16" type="noConversion"/>
  </si>
  <si>
    <t>강화교육지원청</t>
    <phoneticPr fontId="16" type="noConversion"/>
  </si>
  <si>
    <t>교육지원청별 합계</t>
    <phoneticPr fontId="16" type="noConversion"/>
  </si>
  <si>
    <t>국립</t>
    <phoneticPr fontId="16" type="noConversion"/>
  </si>
  <si>
    <t>공립</t>
    <phoneticPr fontId="3" type="noConversion"/>
  </si>
  <si>
    <t>사립</t>
    <phoneticPr fontId="16" type="noConversion"/>
  </si>
  <si>
    <t>설립별 합계</t>
    <phoneticPr fontId="16" type="noConversion"/>
  </si>
  <si>
    <t>68(1)</t>
    <phoneticPr fontId="3" type="noConversion"/>
  </si>
  <si>
    <t>3권역</t>
  </si>
  <si>
    <t>인천숭의초등학교병설유치원</t>
  </si>
  <si>
    <t>629-0290</t>
  </si>
  <si>
    <t>629-0987</t>
  </si>
  <si>
    <t>876-6133</t>
  </si>
  <si>
    <t>629-1124</t>
  </si>
  <si>
    <t>629-1156</t>
  </si>
  <si>
    <t>4권역</t>
  </si>
  <si>
    <t>미추홀구 공립 계</t>
    <phoneticPr fontId="16" type="noConversion"/>
  </si>
  <si>
    <t>용현5동</t>
  </si>
  <si>
    <t>주안6동</t>
  </si>
  <si>
    <t>888-3456</t>
  </si>
  <si>
    <t>888-3600</t>
  </si>
  <si>
    <t>884-7780</t>
  </si>
  <si>
    <t>891-3600</t>
  </si>
  <si>
    <t>반디유치원</t>
  </si>
  <si>
    <t>875-6767</t>
  </si>
  <si>
    <t>875-6787</t>
  </si>
  <si>
    <t>해승유치원</t>
  </si>
  <si>
    <t>872-4626</t>
  </si>
  <si>
    <t>872-4627</t>
  </si>
  <si>
    <t>428-6639</t>
  </si>
  <si>
    <t>232-6539</t>
  </si>
  <si>
    <t>미추홀구 사립 계</t>
    <phoneticPr fontId="16" type="noConversion"/>
  </si>
  <si>
    <t>용현2동</t>
  </si>
  <si>
    <t>학익1동</t>
  </si>
  <si>
    <t>미추홀구 매소홀로 340(학익동 721)</t>
  </si>
  <si>
    <t>주안8동</t>
  </si>
  <si>
    <t>미추홀구 인하로 319(주안동 1492-5)</t>
  </si>
  <si>
    <t>3권역</t>
    <phoneticPr fontId="16" type="noConversion"/>
  </si>
  <si>
    <t>능허대중학교</t>
  </si>
  <si>
    <t>연수구 송도교육로 31(송도동 191-10)</t>
  </si>
  <si>
    <t>550-7818</t>
  </si>
  <si>
    <t>550-7808</t>
  </si>
  <si>
    <t>선학중학교</t>
  </si>
  <si>
    <t>연수구 선학로 19(선학동 344)</t>
  </si>
  <si>
    <t>629-7908</t>
  </si>
  <si>
    <t>629-7895</t>
  </si>
  <si>
    <t>811-2909</t>
  </si>
  <si>
    <t>연성중학교</t>
  </si>
  <si>
    <t>연수구 원인재로 105(동춘동 923-7)</t>
  </si>
  <si>
    <t>연수중학교</t>
  </si>
  <si>
    <t>815-4038</t>
  </si>
  <si>
    <t>815-4039</t>
  </si>
  <si>
    <t>819-8108</t>
  </si>
  <si>
    <t>연화중학교</t>
  </si>
  <si>
    <t>822-5584</t>
  </si>
  <si>
    <t>822-5581</t>
  </si>
  <si>
    <t>822-5585</t>
  </si>
  <si>
    <t>옥련중학교</t>
  </si>
  <si>
    <t>연수구 청량로 222(옥련동 275-2)</t>
  </si>
  <si>
    <t>834-1581</t>
  </si>
  <si>
    <t>834-1548</t>
  </si>
  <si>
    <t>인송중학교</t>
  </si>
  <si>
    <t>629-9393</t>
  </si>
  <si>
    <t>858-9132</t>
  </si>
  <si>
    <t>인천예송중학교</t>
  </si>
  <si>
    <t>340-8564</t>
  </si>
  <si>
    <t>340-8569</t>
  </si>
  <si>
    <t>858-8505</t>
  </si>
  <si>
    <t>인천중학교</t>
  </si>
  <si>
    <t>812-1946</t>
  </si>
  <si>
    <t>811-3621</t>
  </si>
  <si>
    <t>812-4892</t>
  </si>
  <si>
    <t>인천해송중학교</t>
  </si>
  <si>
    <t>인천현송중학교</t>
  </si>
  <si>
    <t>610-6124</t>
  </si>
  <si>
    <t>858-7523</t>
  </si>
  <si>
    <t>청량중학교</t>
  </si>
  <si>
    <t>819-8148</t>
  </si>
  <si>
    <t>819-8149</t>
  </si>
  <si>
    <t>819-8287</t>
  </si>
  <si>
    <t>청학중학교</t>
  </si>
  <si>
    <t>629-8156</t>
  </si>
  <si>
    <t>629-8144</t>
  </si>
  <si>
    <t>629-8186</t>
  </si>
  <si>
    <t>함박중학교</t>
  </si>
  <si>
    <t>연수구 솔샘로 143(청학동 109-1)</t>
  </si>
  <si>
    <t>831-1462</t>
  </si>
  <si>
    <t>629-8599</t>
  </si>
  <si>
    <t>연수구 공립 계</t>
    <phoneticPr fontId="16" type="noConversion"/>
  </si>
  <si>
    <t>박문중학교</t>
  </si>
  <si>
    <t>890-1965</t>
  </si>
  <si>
    <t>890-1990</t>
  </si>
  <si>
    <t>연수구 사립 계</t>
    <phoneticPr fontId="16" type="noConversion"/>
  </si>
  <si>
    <t>550-7806</t>
  </si>
  <si>
    <t>815-4129</t>
  </si>
  <si>
    <t>832-8511</t>
  </si>
  <si>
    <t>832-8514</t>
  </si>
  <si>
    <t>832-8517</t>
  </si>
  <si>
    <t>인천신정중학교</t>
  </si>
  <si>
    <t>629-9414</t>
  </si>
  <si>
    <t>연수구 아카데미로 212(송도동 114-1)</t>
  </si>
  <si>
    <t>890-1905</t>
  </si>
  <si>
    <t>강화군 양도면 강화남로 704(하일리 193)</t>
    <phoneticPr fontId="16" type="noConversion"/>
  </si>
  <si>
    <t>교육지원청별 합계</t>
    <phoneticPr fontId="16" type="noConversion"/>
  </si>
  <si>
    <t>공립</t>
    <phoneticPr fontId="16" type="noConversion"/>
  </si>
  <si>
    <t>사립</t>
    <phoneticPr fontId="16" type="noConversion"/>
  </si>
  <si>
    <t>설립별 합계</t>
    <phoneticPr fontId="16" type="noConversion"/>
  </si>
  <si>
    <t>동구 공립 계</t>
    <phoneticPr fontId="16" type="noConversion"/>
  </si>
  <si>
    <t>761-5000</t>
  </si>
  <si>
    <t>762-3504</t>
  </si>
  <si>
    <t>764-8078</t>
  </si>
  <si>
    <t>765-8078</t>
  </si>
  <si>
    <t>예원유치원</t>
  </si>
  <si>
    <t>동구 사립 계</t>
    <phoneticPr fontId="16" type="noConversion"/>
  </si>
  <si>
    <t>동구 합계</t>
    <phoneticPr fontId="16" type="noConversion"/>
  </si>
  <si>
    <t>동구 화수로 40(송현동 66-777)</t>
  </si>
  <si>
    <t>송림3,5동</t>
  </si>
  <si>
    <t>동구 재능로 178(송림동 37-273)</t>
  </si>
  <si>
    <t>인천공항초등학교신도분교장병설유치원</t>
  </si>
  <si>
    <t>627-1389</t>
  </si>
  <si>
    <t>옹진군 사립 계</t>
    <phoneticPr fontId="16" type="noConversion"/>
  </si>
  <si>
    <t>옹진군 합계</t>
    <phoneticPr fontId="16" type="noConversion"/>
  </si>
  <si>
    <t>옹진군 백령면 백령로254번길 66(진촌리 807-1)</t>
  </si>
  <si>
    <t>인천송월초등학교병설유치원</t>
  </si>
  <si>
    <t>629-1479</t>
  </si>
  <si>
    <t>887-7500</t>
  </si>
  <si>
    <t>18권역</t>
  </si>
  <si>
    <t>운서동</t>
  </si>
  <si>
    <t>455-8700</t>
  </si>
  <si>
    <t>무지개유치원</t>
  </si>
  <si>
    <t>해님나라유치원</t>
  </si>
  <si>
    <t>752-7878</t>
  </si>
  <si>
    <t>영종동</t>
  </si>
  <si>
    <t>751-6869</t>
  </si>
  <si>
    <t>중구 오작로 116(중산동 1909-24)</t>
  </si>
  <si>
    <t>중구 남디로안길 34-7(운남동 1676-2)</t>
  </si>
  <si>
    <t>미추홀구 미추홀대로597번길 42(주안동 1446-8)</t>
    <phoneticPr fontId="16" type="noConversion"/>
  </si>
  <si>
    <t>중구 연안부두로33번길 53(항동7가 27-74)</t>
    <phoneticPr fontId="16" type="noConversion"/>
  </si>
  <si>
    <t>인천부원초등학교병설유치원</t>
  </si>
  <si>
    <t>628-0980</t>
  </si>
  <si>
    <t>8권역</t>
  </si>
  <si>
    <t>인천마곡초등학교병설유치원</t>
  </si>
  <si>
    <t>인천부마초등학교병설유치원</t>
  </si>
  <si>
    <t>628-2231</t>
  </si>
  <si>
    <t>628-2239</t>
  </si>
  <si>
    <t>인천상정초등학교병설유치원</t>
  </si>
  <si>
    <t>627-8580</t>
  </si>
  <si>
    <t>628-1202</t>
  </si>
  <si>
    <t>인천동암초등학교병설유치원</t>
  </si>
  <si>
    <t>628-0687</t>
  </si>
  <si>
    <t>인천백운초등학교병설유치원</t>
  </si>
  <si>
    <t>인천용마초등학교병설유치원</t>
  </si>
  <si>
    <t>523-2799</t>
  </si>
  <si>
    <t>9권역</t>
  </si>
  <si>
    <t>인천갈월초등학교병설유치원</t>
  </si>
  <si>
    <t>628-2393</t>
  </si>
  <si>
    <t>삼산유치원</t>
  </si>
  <si>
    <t>330-2261</t>
  </si>
  <si>
    <t>인천금마초등학교병설유치원</t>
  </si>
  <si>
    <t>628-2862</t>
  </si>
  <si>
    <t>628-0605</t>
  </si>
  <si>
    <t>인천부광초등학교병설유치원</t>
  </si>
  <si>
    <t>627-8250</t>
  </si>
  <si>
    <t>627-8282</t>
  </si>
  <si>
    <t>인천부일초등학교병설유치원</t>
  </si>
  <si>
    <t>인천부평동초등학교병설유치원</t>
  </si>
  <si>
    <t>501-4484</t>
  </si>
  <si>
    <t>인천한길초등학교병설유치원</t>
  </si>
  <si>
    <t>인천후정초등학교병설유치원</t>
  </si>
  <si>
    <t>628-2628</t>
  </si>
  <si>
    <t>511-3879</t>
  </si>
  <si>
    <t>인천영선초등학교병설유치원</t>
  </si>
  <si>
    <t>628-2773</t>
  </si>
  <si>
    <t>628-2694</t>
  </si>
  <si>
    <t>503-3758</t>
  </si>
  <si>
    <t>15권역</t>
  </si>
  <si>
    <t>16권역</t>
  </si>
  <si>
    <t>17권역</t>
  </si>
  <si>
    <t>12권역</t>
  </si>
  <si>
    <t>13권역</t>
  </si>
  <si>
    <t>청학동</t>
  </si>
  <si>
    <t>14권역</t>
  </si>
  <si>
    <t>인천신송초등학교병설유치원</t>
  </si>
  <si>
    <t>833-0873</t>
  </si>
  <si>
    <t>연수구 아트센터대로97번길 72(송도동 18-8)</t>
  </si>
  <si>
    <t>인천송도꿈유치원</t>
  </si>
  <si>
    <t>인천송명초등학교병설유치원</t>
  </si>
  <si>
    <t>340-8084</t>
  </si>
  <si>
    <t>인천예송초등학교병설유치원</t>
  </si>
  <si>
    <t>858-7883</t>
  </si>
  <si>
    <t>인천현송초등학교병설유치원</t>
  </si>
  <si>
    <t>인천미송유치원</t>
  </si>
  <si>
    <t>인천미송초등학교병설유치원</t>
  </si>
  <si>
    <t>연수구 공립 계</t>
    <phoneticPr fontId="16" type="noConversion"/>
  </si>
  <si>
    <t>송도5동</t>
  </si>
  <si>
    <t>송도3동</t>
  </si>
  <si>
    <t>송도2동</t>
  </si>
  <si>
    <t>청송유치원</t>
  </si>
  <si>
    <t>528-3420</t>
  </si>
  <si>
    <t>0504-405-9386</t>
  </si>
  <si>
    <t>527-6761</t>
  </si>
  <si>
    <t>527-6768</t>
  </si>
  <si>
    <t>523-8004</t>
  </si>
  <si>
    <t>523-8477</t>
  </si>
  <si>
    <t>이바유치원</t>
  </si>
  <si>
    <t>501-2525</t>
  </si>
  <si>
    <t>515-2526</t>
  </si>
  <si>
    <t>516-4997</t>
  </si>
  <si>
    <t>드림유치원</t>
  </si>
  <si>
    <t>엔젤유치원</t>
  </si>
  <si>
    <t>525-2770</t>
  </si>
  <si>
    <t>527-3568</t>
  </si>
  <si>
    <t>The큰빛유치원</t>
  </si>
  <si>
    <t>501-8188</t>
  </si>
  <si>
    <t>501-8197</t>
  </si>
  <si>
    <t>부평1동</t>
  </si>
  <si>
    <t>부평구 원적로 361(산곡동 124-23)</t>
  </si>
  <si>
    <t>동심유치원</t>
  </si>
  <si>
    <t>십정2동</t>
  </si>
  <si>
    <t>갈산2동</t>
  </si>
  <si>
    <t>삼산1동</t>
  </si>
  <si>
    <t>삼산2동</t>
  </si>
  <si>
    <t>휴원</t>
  </si>
  <si>
    <t>10권역</t>
  </si>
  <si>
    <t>543-4855</t>
  </si>
  <si>
    <t>543-3383</t>
  </si>
  <si>
    <t>553-0733</t>
  </si>
  <si>
    <t>232-3810</t>
  </si>
  <si>
    <t>11권역</t>
  </si>
  <si>
    <t>서해유치원</t>
  </si>
  <si>
    <t>543-8174</t>
  </si>
  <si>
    <t>543-5897</t>
  </si>
  <si>
    <t>542-0600</t>
  </si>
  <si>
    <t>계양구 사립 계</t>
    <phoneticPr fontId="16" type="noConversion"/>
  </si>
  <si>
    <t>계산3동</t>
  </si>
  <si>
    <t>544-7406</t>
  </si>
  <si>
    <t>544-7402</t>
  </si>
  <si>
    <t>070-4009-8233</t>
  </si>
  <si>
    <t>계산2동</t>
  </si>
  <si>
    <t>계양1동</t>
  </si>
  <si>
    <t>계양2동</t>
  </si>
  <si>
    <t>계양3동</t>
  </si>
  <si>
    <t>참조은유치원</t>
  </si>
  <si>
    <t>소담숲유치원</t>
  </si>
  <si>
    <t>자연발도르프유치원</t>
  </si>
  <si>
    <t>해돋이유치원</t>
  </si>
  <si>
    <t>프라임명지유치원</t>
  </si>
  <si>
    <t>꿈의보람유치원</t>
  </si>
  <si>
    <t>아이큰별유치원</t>
  </si>
  <si>
    <t>푸른마을유치원</t>
  </si>
  <si>
    <t>간석유치원</t>
  </si>
  <si>
    <t>삼성유치원</t>
  </si>
  <si>
    <t>새예지유치원</t>
  </si>
  <si>
    <t>아삽유치원</t>
  </si>
  <si>
    <t>새인예유치원</t>
  </si>
  <si>
    <t>신명유치원</t>
  </si>
  <si>
    <t>기암유치원</t>
  </si>
  <si>
    <t>복자유치원</t>
  </si>
  <si>
    <t>청담숲유치원</t>
  </si>
  <si>
    <t>에듀피아유치원</t>
  </si>
  <si>
    <t>제니스유치원</t>
  </si>
  <si>
    <t>해와달유치원</t>
  </si>
  <si>
    <t>경희유치원</t>
  </si>
  <si>
    <t>수피아유치원</t>
  </si>
  <si>
    <t>샤인유치원</t>
  </si>
  <si>
    <t>예다원유치원</t>
  </si>
  <si>
    <t>행복한유치원</t>
  </si>
  <si>
    <t>브레인유치원</t>
  </si>
  <si>
    <t>에이스화인유치원</t>
  </si>
  <si>
    <t>프라임예지유치원</t>
  </si>
  <si>
    <t>구월1동</t>
  </si>
  <si>
    <t>구월2동</t>
  </si>
  <si>
    <t>간석1동</t>
  </si>
  <si>
    <t>간석2동</t>
  </si>
  <si>
    <t>서창2동</t>
  </si>
  <si>
    <t>만수5동</t>
  </si>
  <si>
    <t>논현2동</t>
  </si>
  <si>
    <t>논현고잔동</t>
  </si>
  <si>
    <t>남동구 구월남로 52-1(구월동 1100-10)</t>
    <phoneticPr fontId="16" type="noConversion"/>
  </si>
  <si>
    <t>남동구 방축로 482(간석동 617-110)</t>
    <phoneticPr fontId="16" type="noConversion"/>
  </si>
  <si>
    <t>남동구 석정로539번길 41(간석동 893-2)</t>
    <phoneticPr fontId="16" type="noConversion"/>
  </si>
  <si>
    <t>남동구 찬우물로29번길 12(수산동 149)</t>
    <phoneticPr fontId="16" type="noConversion"/>
  </si>
  <si>
    <t>다샘유치원</t>
  </si>
  <si>
    <t>작은꽃예능유치원</t>
  </si>
  <si>
    <t>부광예능유치원</t>
  </si>
  <si>
    <t>동화나라유치원</t>
  </si>
  <si>
    <t>부광유치원</t>
  </si>
  <si>
    <t>아름솔유치원</t>
  </si>
  <si>
    <t>큰별유치원</t>
  </si>
  <si>
    <t>선학동</t>
  </si>
  <si>
    <t>사랑유치원</t>
  </si>
  <si>
    <t>신도유치원</t>
  </si>
  <si>
    <t>하늘땅유치원</t>
  </si>
  <si>
    <t>해나라유치원</t>
  </si>
  <si>
    <t>키즈월드유치원</t>
  </si>
  <si>
    <t>새하늘유치원</t>
  </si>
  <si>
    <t>인보유치원</t>
  </si>
  <si>
    <t>다슬기유치원</t>
  </si>
  <si>
    <t>연수유치원</t>
  </si>
  <si>
    <t>새싹유치원</t>
  </si>
  <si>
    <t>온누리비전유치원</t>
  </si>
  <si>
    <t>바다의별유치원</t>
  </si>
  <si>
    <t>참아름유치원</t>
  </si>
  <si>
    <t>청학숲유치원</t>
  </si>
  <si>
    <t>꿈동산유치원</t>
  </si>
  <si>
    <t>글로벌레인보우유치원</t>
  </si>
  <si>
    <t>송도국제유치원</t>
  </si>
  <si>
    <t>유엔유치원</t>
  </si>
  <si>
    <t>동춘1동</t>
  </si>
  <si>
    <t>동춘2동</t>
  </si>
  <si>
    <t>동춘3동</t>
  </si>
  <si>
    <t>연수1동</t>
  </si>
  <si>
    <t>연수2동</t>
  </si>
  <si>
    <t>연수3동</t>
  </si>
  <si>
    <t>옥련1동</t>
  </si>
  <si>
    <t>옥련2동</t>
  </si>
  <si>
    <t>628-7702</t>
  </si>
  <si>
    <t>6권역</t>
  </si>
  <si>
    <t>인천서현유치원</t>
  </si>
  <si>
    <t>340-8400</t>
  </si>
  <si>
    <t>584-8517</t>
  </si>
  <si>
    <t>574-0175</t>
  </si>
  <si>
    <t>인천공촌초등학교병설유치원</t>
  </si>
  <si>
    <t>628-8559</t>
  </si>
  <si>
    <t>서구 대평로56번길 9(연희동 745-1)</t>
  </si>
  <si>
    <t>510-7853</t>
  </si>
  <si>
    <t>569-2711</t>
  </si>
  <si>
    <t>569-2715</t>
  </si>
  <si>
    <t>7권역</t>
  </si>
  <si>
    <t>당하동</t>
  </si>
  <si>
    <t>590-7860</t>
  </si>
  <si>
    <t>590-7879</t>
  </si>
  <si>
    <t>서구 원당대로820번길 16(당하동 1022)</t>
  </si>
  <si>
    <t>628-8076</t>
  </si>
  <si>
    <t>마전동</t>
  </si>
  <si>
    <t>628-7890</t>
  </si>
  <si>
    <t>628-7919</t>
  </si>
  <si>
    <t>원당동</t>
  </si>
  <si>
    <t>628-6109</t>
  </si>
  <si>
    <t>서구 건지로250번길 43(가좌동 147)</t>
  </si>
  <si>
    <t>검암경서동</t>
  </si>
  <si>
    <t>청라2동</t>
  </si>
  <si>
    <t>신현원창동</t>
  </si>
  <si>
    <t>가좌2동</t>
  </si>
  <si>
    <t>가정3동</t>
  </si>
  <si>
    <t>가정1동</t>
  </si>
  <si>
    <t>청라유치원</t>
  </si>
  <si>
    <t>서구 새오개로111번안길 7(신현동 307-15)</t>
  </si>
  <si>
    <t>청라3동</t>
  </si>
  <si>
    <t>628-6833</t>
  </si>
  <si>
    <t>430-3900</t>
  </si>
  <si>
    <t>568-9748</t>
  </si>
  <si>
    <t>오류왕길동</t>
  </si>
  <si>
    <t>서구 청마로 144(당하동 1107-1)</t>
  </si>
  <si>
    <t>불로대곡동</t>
  </si>
  <si>
    <t>440-0630</t>
  </si>
  <si>
    <t>서구 이음1로 447(원당동 1016-5)</t>
  </si>
  <si>
    <t>서구 청중로478번길 6(가정동 605-1)</t>
    <phoneticPr fontId="16" type="noConversion"/>
  </si>
  <si>
    <t>서구 서달로 198(가정동 430-29)</t>
  </si>
  <si>
    <t>바다유치원</t>
  </si>
  <si>
    <t>서구 염곡로311번길 7(석남동 168-76)</t>
  </si>
  <si>
    <t>583-0091</t>
  </si>
  <si>
    <t>583-0087</t>
  </si>
  <si>
    <t>564-5118</t>
  </si>
  <si>
    <t>561-6118</t>
  </si>
  <si>
    <t>서구 청라커낼로 163(청라동 173-1)</t>
  </si>
  <si>
    <t>568-3151</t>
  </si>
  <si>
    <t>568-3153</t>
  </si>
  <si>
    <t>은하유치원</t>
  </si>
  <si>
    <t>563-6380</t>
  </si>
  <si>
    <t>566-6380</t>
  </si>
  <si>
    <t>566-7272</t>
  </si>
  <si>
    <t>566-7202</t>
  </si>
  <si>
    <t>565-1600</t>
  </si>
  <si>
    <t>리라유치원</t>
  </si>
  <si>
    <t>567-8808</t>
  </si>
  <si>
    <t>567-2066</t>
  </si>
  <si>
    <t>563-6822</t>
  </si>
  <si>
    <t>569-6822</t>
  </si>
  <si>
    <t>서구 사립 계</t>
    <phoneticPr fontId="16" type="noConversion"/>
  </si>
  <si>
    <t>교지면적(㎡)</t>
    <phoneticPr fontId="3" type="noConversion"/>
  </si>
  <si>
    <t>강화읍</t>
  </si>
  <si>
    <t>26권역</t>
  </si>
  <si>
    <t>선원면</t>
  </si>
  <si>
    <t>28권역</t>
  </si>
  <si>
    <t>교동면</t>
  </si>
  <si>
    <t>627-6115</t>
  </si>
  <si>
    <t>29권역</t>
  </si>
  <si>
    <t>서도면</t>
  </si>
  <si>
    <t>30권역</t>
  </si>
  <si>
    <t>삼산면</t>
  </si>
  <si>
    <t>627-1090</t>
  </si>
  <si>
    <t>강화군 공립 계</t>
    <phoneticPr fontId="16" type="noConversion"/>
  </si>
  <si>
    <t>627-5989</t>
  </si>
  <si>
    <t>강화군 하점면 강화서로560번길 22(망월리 256)</t>
  </si>
  <si>
    <t>휴원</t>
    <phoneticPr fontId="16" type="noConversion"/>
  </si>
  <si>
    <t>934-9420</t>
  </si>
  <si>
    <t>강화유치원</t>
  </si>
  <si>
    <t>934-2221</t>
  </si>
  <si>
    <t>934-2278</t>
  </si>
  <si>
    <t>코끼리유치원</t>
  </si>
  <si>
    <t>934-7859</t>
  </si>
  <si>
    <t>934-2959</t>
  </si>
  <si>
    <t>강화군 사립 계</t>
    <phoneticPr fontId="16" type="noConversion"/>
  </si>
  <si>
    <t>628-2526</t>
  </si>
  <si>
    <t>430-6330</t>
  </si>
  <si>
    <t>516-2830</t>
  </si>
  <si>
    <t>인천부개초등학교병설유치원</t>
  </si>
  <si>
    <t>628-9000</t>
  </si>
  <si>
    <t>547-8176</t>
  </si>
  <si>
    <t>551-0632</t>
  </si>
  <si>
    <t>455-7903</t>
  </si>
  <si>
    <t>인천해서초등학교병설유치원</t>
  </si>
  <si>
    <t>628-7954</t>
  </si>
  <si>
    <t>인천안남초등학교병설유치원</t>
  </si>
  <si>
    <t>628-5710</t>
  </si>
  <si>
    <t>인천양촌초등학교병설유치원</t>
  </si>
  <si>
    <t>556-9473</t>
  </si>
  <si>
    <t>인천당산초등학교병설유치원</t>
  </si>
  <si>
    <t>계양구 공립 계</t>
    <phoneticPr fontId="16" type="noConversion"/>
  </si>
  <si>
    <t>인천화전유치원</t>
  </si>
  <si>
    <t>작전2동</t>
  </si>
  <si>
    <t>인천성지초등학교병설유치원</t>
  </si>
  <si>
    <t>계산1동</t>
  </si>
  <si>
    <t>518-5022</t>
  </si>
  <si>
    <t>인천길주초등학교병설유치원</t>
  </si>
  <si>
    <t>628-6420</t>
  </si>
  <si>
    <t>부평구 합계</t>
    <phoneticPr fontId="16" type="noConversion"/>
  </si>
  <si>
    <t>부평구 산청로127번길 10(청천동 34-6)</t>
    <phoneticPr fontId="16" type="noConversion"/>
  </si>
  <si>
    <t>부평구 충선로311번길 25-14(삼산동 427-7)</t>
    <phoneticPr fontId="16" type="noConversion"/>
  </si>
  <si>
    <t>부평구 충선로234번길 19(삼산동 454-1)</t>
    <phoneticPr fontId="16" type="noConversion"/>
  </si>
  <si>
    <t>인천계양초등학교상야분교장병설유치원</t>
    <phoneticPr fontId="16" type="noConversion"/>
  </si>
  <si>
    <t>인천만월초등학교병설유치원</t>
  </si>
  <si>
    <t>인천성리초등학교병설유치원</t>
  </si>
  <si>
    <t>629-5657</t>
  </si>
  <si>
    <t>인천구월서초등학교병설유치원</t>
  </si>
  <si>
    <t>629-4210</t>
  </si>
  <si>
    <t>431-6825</t>
  </si>
  <si>
    <t>629-6106</t>
  </si>
  <si>
    <t>인천장수초등학교병설유치원</t>
  </si>
  <si>
    <t>629-3558</t>
  </si>
  <si>
    <t>471-4271</t>
  </si>
  <si>
    <t>인천장아초등학교병설유치원</t>
  </si>
  <si>
    <t>남동구 서창방산로 93(서창동 673)</t>
  </si>
  <si>
    <t>770-7081</t>
  </si>
  <si>
    <t>770-7089</t>
  </si>
  <si>
    <t>인천남촌초등학교병설유치원</t>
  </si>
  <si>
    <t>629-6013</t>
  </si>
  <si>
    <t>466-5734</t>
  </si>
  <si>
    <t>구월3동</t>
  </si>
  <si>
    <t>629-4800</t>
  </si>
  <si>
    <t>간석4동</t>
  </si>
  <si>
    <t>남동구 인주대로776번길 14(구월동 609-1)</t>
    <phoneticPr fontId="16" type="noConversion"/>
  </si>
  <si>
    <t>계양구 합계</t>
    <phoneticPr fontId="16" type="noConversion"/>
  </si>
  <si>
    <t>남동구 합계</t>
    <phoneticPr fontId="16" type="noConversion"/>
  </si>
  <si>
    <t>연수구 사립 계</t>
    <phoneticPr fontId="16" type="noConversion"/>
  </si>
  <si>
    <t>연수구 합계</t>
    <phoneticPr fontId="16" type="noConversion"/>
  </si>
  <si>
    <t>서구 합계</t>
    <phoneticPr fontId="16" type="noConversion"/>
  </si>
  <si>
    <t>강화군 합계</t>
    <phoneticPr fontId="16" type="noConversion"/>
  </si>
  <si>
    <t>합계</t>
    <phoneticPr fontId="16" type="noConversion"/>
  </si>
  <si>
    <t>남부교육지원청</t>
    <phoneticPr fontId="16" type="noConversion"/>
  </si>
  <si>
    <t>북부교육지원청</t>
    <phoneticPr fontId="16" type="noConversion"/>
  </si>
  <si>
    <t>동부교육지원청</t>
    <phoneticPr fontId="16" type="noConversion"/>
  </si>
  <si>
    <t>서부교육지원청</t>
    <phoneticPr fontId="16" type="noConversion"/>
  </si>
  <si>
    <t>강화교육지원청</t>
    <phoneticPr fontId="16" type="noConversion"/>
  </si>
  <si>
    <t>교육지원청별 합계</t>
    <phoneticPr fontId="16" type="noConversion"/>
  </si>
  <si>
    <t>공립</t>
    <phoneticPr fontId="3" type="noConversion"/>
  </si>
  <si>
    <t>사립</t>
    <phoneticPr fontId="16" type="noConversion"/>
  </si>
  <si>
    <t>설립별 합계</t>
    <phoneticPr fontId="16" type="noConversion"/>
  </si>
  <si>
    <t>남촌도림동</t>
    <phoneticPr fontId="16" type="noConversion"/>
  </si>
  <si>
    <t>7권역</t>
    <phoneticPr fontId="16" type="noConversion"/>
  </si>
  <si>
    <t>미추홀구 매소홀로475번길 53(학익동 40)</t>
    <phoneticPr fontId="16" type="noConversion"/>
  </si>
  <si>
    <t>옹진군 연평면 연평로137번길 101(연평리 437-1)</t>
    <phoneticPr fontId="16" type="noConversion"/>
  </si>
  <si>
    <t>옹진군 북도면 신도로896번길 18-31(신도리 475-1)</t>
    <phoneticPr fontId="16" type="noConversion"/>
  </si>
  <si>
    <t>부평구 배곶북로 10-6(십정동 298-1)</t>
    <phoneticPr fontId="16" type="noConversion"/>
  </si>
  <si>
    <t>부평구 세월천로30번길 58(청천동 176-4)</t>
    <phoneticPr fontId="16" type="noConversion"/>
  </si>
  <si>
    <t>부평구 영성중로 32(삼산동 393-1)</t>
    <phoneticPr fontId="16" type="noConversion"/>
  </si>
  <si>
    <t>부평구 마분로 9(부개동 356)</t>
    <phoneticPr fontId="16" type="noConversion"/>
  </si>
  <si>
    <t>연수구 앵고개로 224(동춘동 938-1)</t>
    <phoneticPr fontId="16" type="noConversion"/>
  </si>
  <si>
    <t>미추홀구 낙섬서로 77(용현동 624-77)</t>
    <phoneticPr fontId="16" type="noConversion"/>
  </si>
  <si>
    <t>미추홀구 석산로 38(주안동 1618)</t>
    <phoneticPr fontId="16" type="noConversion"/>
  </si>
  <si>
    <t>미추홀구 주승로 109(주안동 1606)</t>
    <phoneticPr fontId="16" type="noConversion"/>
  </si>
  <si>
    <t>미추홀구 낙섬중로 102(용현동 557-1)</t>
    <phoneticPr fontId="16" type="noConversion"/>
  </si>
  <si>
    <t>미추홀구 매소홀로475번길 18(학익동 48-14)</t>
    <phoneticPr fontId="16" type="noConversion"/>
  </si>
  <si>
    <t>동구 솔빛로 17(송현동 155)</t>
    <phoneticPr fontId="16" type="noConversion"/>
  </si>
  <si>
    <t>부평구 산청로17번길 77-1(산곡동 70-18)</t>
    <phoneticPr fontId="16" type="noConversion"/>
  </si>
  <si>
    <t>부평구 화랑로47번길 61(산곡동 산47-1)</t>
    <phoneticPr fontId="16" type="noConversion"/>
  </si>
  <si>
    <t>부평구 부일로 111(부개동 494-3)</t>
    <phoneticPr fontId="16" type="noConversion"/>
  </si>
  <si>
    <t>부평구 길주남로125번길 12(부개동 12-201)</t>
    <phoneticPr fontId="16" type="noConversion"/>
  </si>
  <si>
    <t>부평구 일신로 120(구산동 360)</t>
    <phoneticPr fontId="16" type="noConversion"/>
  </si>
  <si>
    <t>계양구 계양산로35번길 12-37(계산동 산40)</t>
    <phoneticPr fontId="16" type="noConversion"/>
  </si>
  <si>
    <t>남동구 백범로297번길 26(간석동 29-11)</t>
    <phoneticPr fontId="16" type="noConversion"/>
  </si>
  <si>
    <t>남동구 인주대로721번길 56(구월동 1238)</t>
    <phoneticPr fontId="16" type="noConversion"/>
  </si>
  <si>
    <t>남동구 성말로35번길 61(구월동 1152-1)</t>
    <phoneticPr fontId="16" type="noConversion"/>
  </si>
  <si>
    <t>남동구 석산로220번길 18(구월동 7-8)</t>
    <phoneticPr fontId="16" type="noConversion"/>
  </si>
  <si>
    <t>남동구 인주대로 857(만수동 983-1)</t>
    <phoneticPr fontId="16" type="noConversion"/>
  </si>
  <si>
    <t>남동구 서판로 43(만수동 1114)</t>
    <phoneticPr fontId="16" type="noConversion"/>
  </si>
  <si>
    <t>남동구 서창남순환로 124(서창동 677)</t>
    <phoneticPr fontId="16" type="noConversion"/>
  </si>
  <si>
    <t>남동구 장아산로232번길 16-5(서창동 646)</t>
    <phoneticPr fontId="16" type="noConversion"/>
  </si>
  <si>
    <t>남동구 찬우물로 9-3(수산동 200-3)</t>
    <phoneticPr fontId="16" type="noConversion"/>
  </si>
  <si>
    <t>남동구 포구로 64-14(논현동 577)</t>
    <phoneticPr fontId="16" type="noConversion"/>
  </si>
  <si>
    <t>남동구 에코중앙로 192(논현동 774-3)</t>
    <phoneticPr fontId="16" type="noConversion"/>
  </si>
  <si>
    <t>남동구 백범로281번길 3(간석동 8-1)</t>
    <phoneticPr fontId="16" type="noConversion"/>
  </si>
  <si>
    <t>남동구 용천로 50(구월동 24)</t>
    <phoneticPr fontId="16" type="noConversion"/>
  </si>
  <si>
    <t>남동구 백범로247번길 58(구월동 1254-3)</t>
    <phoneticPr fontId="16" type="noConversion"/>
  </si>
  <si>
    <t>남동구 백범로247번길 47-23(만수동 904-17)</t>
    <phoneticPr fontId="16" type="noConversion"/>
  </si>
  <si>
    <t>232-4987</t>
    <phoneticPr fontId="16" type="noConversion"/>
  </si>
  <si>
    <t>811-5527</t>
    <phoneticPr fontId="16" type="noConversion"/>
  </si>
  <si>
    <t>813-0158</t>
    <phoneticPr fontId="16" type="noConversion"/>
  </si>
  <si>
    <t>0504-488-0095</t>
    <phoneticPr fontId="16" type="noConversion"/>
  </si>
  <si>
    <t>813-6310</t>
    <phoneticPr fontId="16" type="noConversion"/>
  </si>
  <si>
    <t>연수구 먼우금로83번길 12(동춘동 938)</t>
    <phoneticPr fontId="16" type="noConversion"/>
  </si>
  <si>
    <t>연수구 먼우금로 123(동춘동 921)</t>
    <phoneticPr fontId="16" type="noConversion"/>
  </si>
  <si>
    <t>연수구 원인재로 124(동춘동 925)</t>
    <phoneticPr fontId="16" type="noConversion"/>
  </si>
  <si>
    <t>연수구 청능대로 124(동춘동 923)</t>
    <phoneticPr fontId="16" type="noConversion"/>
  </si>
  <si>
    <t>연수구 원인재로 88(동춘동 925-7)</t>
    <phoneticPr fontId="16" type="noConversion"/>
  </si>
  <si>
    <t>연수구 선학로 100(선학동 350)</t>
    <phoneticPr fontId="16" type="noConversion"/>
  </si>
  <si>
    <t>연수구 먼우금로 302(연수동 534)</t>
    <phoneticPr fontId="16" type="noConversion"/>
  </si>
  <si>
    <t>연수구 새말로 21(연수동 536)</t>
    <phoneticPr fontId="16" type="noConversion"/>
  </si>
  <si>
    <t>연수구 원인재로 180(연수동 634)</t>
    <phoneticPr fontId="16" type="noConversion"/>
  </si>
  <si>
    <t>연수구 원인재로 232(연수동 582-2)</t>
    <phoneticPr fontId="16" type="noConversion"/>
  </si>
  <si>
    <t>연수구 원인재로 312(연수동 532)</t>
    <phoneticPr fontId="16" type="noConversion"/>
  </si>
  <si>
    <t>연수구 새말로 111(연수동 577)</t>
    <phoneticPr fontId="16" type="noConversion"/>
  </si>
  <si>
    <t>연수구 청량로109번길 22(옥련동 569-2)</t>
    <phoneticPr fontId="16" type="noConversion"/>
  </si>
  <si>
    <t>연수구 청량로185번길 16(옥련동 632)</t>
    <phoneticPr fontId="16" type="noConversion"/>
  </si>
  <si>
    <t>연수구 옥련로 33(옥련동 628)</t>
    <phoneticPr fontId="16" type="noConversion"/>
  </si>
  <si>
    <t>연수구 능허대로79번길 30(옥련동 626)</t>
    <phoneticPr fontId="16" type="noConversion"/>
  </si>
  <si>
    <t>연수구 청학로 49(청학동 22-4)</t>
    <phoneticPr fontId="16" type="noConversion"/>
  </si>
  <si>
    <t>연수구 용담로 3(청학동 451)</t>
    <phoneticPr fontId="16" type="noConversion"/>
  </si>
  <si>
    <t>연수구 용담로62번길 14(청학동 471-1)</t>
    <phoneticPr fontId="16" type="noConversion"/>
  </si>
  <si>
    <t>연수구 센트럴로 233(송도동 24-10)</t>
    <phoneticPr fontId="16" type="noConversion"/>
  </si>
  <si>
    <t>학익2동</t>
    <phoneticPr fontId="16" type="noConversion"/>
  </si>
  <si>
    <t>옹진군 대청면 대청로244번길 110(대청리 1138-1)</t>
    <phoneticPr fontId="16" type="noConversion"/>
  </si>
  <si>
    <t>산곡1동</t>
    <phoneticPr fontId="16" type="noConversion"/>
  </si>
  <si>
    <t>일신동</t>
    <phoneticPr fontId="16" type="noConversion"/>
  </si>
  <si>
    <t>부평구 일신로 88(구산동 357)</t>
    <phoneticPr fontId="16" type="noConversion"/>
  </si>
  <si>
    <t>구월1동</t>
    <phoneticPr fontId="16" type="noConversion"/>
  </si>
  <si>
    <t>만수1동</t>
    <phoneticPr fontId="16" type="noConversion"/>
  </si>
  <si>
    <t>남동구 성리로 32-2(구월동 1487)</t>
    <phoneticPr fontId="16" type="noConversion"/>
  </si>
  <si>
    <t>송도1동</t>
    <phoneticPr fontId="16" type="noConversion"/>
  </si>
  <si>
    <t>송도3동</t>
    <phoneticPr fontId="16" type="noConversion"/>
  </si>
  <si>
    <t>송도4동</t>
    <phoneticPr fontId="16" type="noConversion"/>
  </si>
  <si>
    <t>송도5동</t>
    <phoneticPr fontId="16" type="noConversion"/>
  </si>
  <si>
    <t>연수구 앵고개로104번길 34(동춘동 752-3)</t>
    <phoneticPr fontId="16" type="noConversion"/>
  </si>
  <si>
    <t>미추홀구 석정로434번길 12(주안동 23-19)</t>
    <phoneticPr fontId="16" type="noConversion"/>
  </si>
  <si>
    <t>고등</t>
    <phoneticPr fontId="3" type="noConversion"/>
  </si>
  <si>
    <t>일반계고등학교</t>
  </si>
  <si>
    <t>특성화고등학교</t>
  </si>
  <si>
    <t>특수목적고등학교</t>
  </si>
  <si>
    <t>자율형고등학교</t>
  </si>
  <si>
    <t>학교수</t>
  </si>
  <si>
    <t>동구</t>
    <phoneticPr fontId="16" type="noConversion"/>
  </si>
  <si>
    <t>옹진군</t>
    <phoneticPr fontId="16" type="noConversion"/>
  </si>
  <si>
    <t>중구</t>
    <phoneticPr fontId="16" type="noConversion"/>
  </si>
  <si>
    <t>구분</t>
    <phoneticPr fontId="16" type="noConversion"/>
  </si>
  <si>
    <t>미추홀구</t>
    <phoneticPr fontId="16" type="noConversion"/>
  </si>
  <si>
    <t>합계</t>
    <phoneticPr fontId="16" type="noConversion"/>
  </si>
  <si>
    <t>공학</t>
    <phoneticPr fontId="16" type="noConversion"/>
  </si>
  <si>
    <t>유치원</t>
    <phoneticPr fontId="16" type="noConversion"/>
  </si>
  <si>
    <t>초등학교</t>
  </si>
  <si>
    <t>중학교</t>
  </si>
  <si>
    <t>고등학교</t>
  </si>
  <si>
    <t>특수학교</t>
  </si>
  <si>
    <t>국제학교</t>
    <phoneticPr fontId="17" type="noConversion"/>
  </si>
  <si>
    <t>(위탁학생수)</t>
    <phoneticPr fontId="16" type="noConversion"/>
  </si>
  <si>
    <t xml:space="preserve"> 옹진군 </t>
  </si>
  <si>
    <t xml:space="preserve">중구 </t>
    <phoneticPr fontId="16" type="noConversion"/>
  </si>
  <si>
    <t xml:space="preserve"> 부평구 </t>
  </si>
  <si>
    <t xml:space="preserve"> 남동구 </t>
  </si>
  <si>
    <t xml:space="preserve"> 연수구 </t>
  </si>
  <si>
    <t xml:space="preserve"> 계양구 </t>
  </si>
  <si>
    <t xml:space="preserve"> 강화군 </t>
  </si>
  <si>
    <t xml:space="preserve">합계 </t>
    <phoneticPr fontId="16" type="noConversion"/>
  </si>
  <si>
    <t>구분</t>
    <phoneticPr fontId="16" type="noConversion"/>
  </si>
  <si>
    <t>학력인정평생교육시설</t>
    <phoneticPr fontId="17" type="noConversion"/>
  </si>
  <si>
    <t>학교수</t>
    <phoneticPr fontId="16" type="noConversion"/>
  </si>
  <si>
    <t xml:space="preserve">동구 </t>
    <phoneticPr fontId="16" type="noConversion"/>
  </si>
  <si>
    <t xml:space="preserve"> 서구 </t>
    <phoneticPr fontId="16" type="noConversion"/>
  </si>
  <si>
    <t>※ 학급수: 일반학급+특수학급+한국어학급</t>
    <phoneticPr fontId="16" type="noConversion"/>
  </si>
  <si>
    <t>방송통신중고등학교</t>
    <phoneticPr fontId="16" type="noConversion"/>
  </si>
  <si>
    <t>□ 계열별 고등학교 현황</t>
    <phoneticPr fontId="16" type="noConversion"/>
  </si>
  <si>
    <t>□ 구·군별 각급학교 현황</t>
    <phoneticPr fontId="16" type="noConversion"/>
  </si>
  <si>
    <t>각종학교</t>
    <phoneticPr fontId="16" type="noConversion"/>
  </si>
  <si>
    <t>초등학교</t>
    <phoneticPr fontId="16" type="noConversion"/>
  </si>
  <si>
    <t>중학교</t>
    <phoneticPr fontId="16" type="noConversion"/>
  </si>
  <si>
    <t>고등학교</t>
    <phoneticPr fontId="16" type="noConversion"/>
  </si>
  <si>
    <t>특수학교</t>
    <phoneticPr fontId="16" type="noConversion"/>
  </si>
  <si>
    <t>국제학교</t>
    <phoneticPr fontId="16" type="noConversion"/>
  </si>
  <si>
    <t>방송통신
중고등학교</t>
    <phoneticPr fontId="16" type="noConversion"/>
  </si>
  <si>
    <t>합계</t>
    <phoneticPr fontId="16" type="noConversion"/>
  </si>
  <si>
    <t>단설</t>
    <phoneticPr fontId="16" type="noConversion"/>
  </si>
  <si>
    <t>병설</t>
    <phoneticPr fontId="16" type="noConversion"/>
  </si>
  <si>
    <t>(분교)</t>
    <phoneticPr fontId="16" type="noConversion"/>
  </si>
  <si>
    <t>(위탁)</t>
    <phoneticPr fontId="16" type="noConversion"/>
  </si>
  <si>
    <t>국립</t>
    <phoneticPr fontId="16" type="noConversion"/>
  </si>
  <si>
    <t>학생수</t>
    <phoneticPr fontId="16" type="noConversion"/>
  </si>
  <si>
    <t>공립</t>
    <phoneticPr fontId="16" type="noConversion"/>
  </si>
  <si>
    <t>학교수</t>
    <phoneticPr fontId="16" type="noConversion"/>
  </si>
  <si>
    <t>사립</t>
    <phoneticPr fontId="16" type="noConversion"/>
  </si>
  <si>
    <t>학생수</t>
    <phoneticPr fontId="16" type="noConversion"/>
  </si>
  <si>
    <t>유치원</t>
    <phoneticPr fontId="16" type="noConversion"/>
  </si>
  <si>
    <t>초등학교</t>
    <phoneticPr fontId="16" type="noConversion"/>
  </si>
  <si>
    <t>중학교</t>
    <phoneticPr fontId="16" type="noConversion"/>
  </si>
  <si>
    <t>특수학교</t>
    <phoneticPr fontId="16" type="noConversion"/>
  </si>
  <si>
    <t>국제학교</t>
    <phoneticPr fontId="16" type="noConversion"/>
  </si>
  <si>
    <t>방송통신
중고등학교</t>
    <phoneticPr fontId="16" type="noConversion"/>
  </si>
  <si>
    <t>비고</t>
    <phoneticPr fontId="16" type="noConversion"/>
  </si>
  <si>
    <t>병설</t>
    <phoneticPr fontId="16" type="noConversion"/>
  </si>
  <si>
    <t>본교</t>
    <phoneticPr fontId="16" type="noConversion"/>
  </si>
  <si>
    <t>분교</t>
    <phoneticPr fontId="16" type="noConversion"/>
  </si>
  <si>
    <t>증감</t>
    <phoneticPr fontId="16" type="noConversion"/>
  </si>
  <si>
    <t>개교(원)</t>
    <phoneticPr fontId="16" type="noConversion"/>
  </si>
  <si>
    <t>소계</t>
    <phoneticPr fontId="16" type="noConversion"/>
  </si>
  <si>
    <t>폐교(원)</t>
    <phoneticPr fontId="16" type="noConversion"/>
  </si>
  <si>
    <t>사립</t>
    <phoneticPr fontId="16" type="noConversion"/>
  </si>
  <si>
    <t>소계</t>
    <phoneticPr fontId="16" type="noConversion"/>
  </si>
  <si>
    <t>동인천동</t>
    <phoneticPr fontId="16" type="noConversion"/>
  </si>
  <si>
    <t>계산4동</t>
    <phoneticPr fontId="16" type="noConversion"/>
  </si>
  <si>
    <t>17권역</t>
    <phoneticPr fontId="16" type="noConversion"/>
  </si>
  <si>
    <t>부평구 부평대로88번길 19(부평동 440-1)</t>
    <phoneticPr fontId="16" type="noConversion"/>
  </si>
  <si>
    <t>작전서운동</t>
    <phoneticPr fontId="16" type="noConversion"/>
  </si>
  <si>
    <t>영재학교</t>
    <phoneticPr fontId="16" type="noConversion"/>
  </si>
  <si>
    <t>학력인정
평생교육시설</t>
    <phoneticPr fontId="16" type="noConversion"/>
  </si>
  <si>
    <t>학력인정
평생교육시설</t>
    <phoneticPr fontId="16" type="noConversion"/>
  </si>
  <si>
    <t>712-5600</t>
    <phoneticPr fontId="9" type="noConversion"/>
  </si>
  <si>
    <t>712-5604</t>
    <phoneticPr fontId="9" type="noConversion"/>
  </si>
  <si>
    <t>868-8901</t>
    <phoneticPr fontId="9" type="noConversion"/>
  </si>
  <si>
    <t>세계로국제중고등학교</t>
    <phoneticPr fontId="3" type="noConversion"/>
  </si>
  <si>
    <t>남동구 논현고잔로 215</t>
    <phoneticPr fontId="9" type="noConversion"/>
  </si>
  <si>
    <t>동구 우각로 39(창영동 36)</t>
    <phoneticPr fontId="9" type="noConversion"/>
  </si>
  <si>
    <t>627-6700</t>
    <phoneticPr fontId="9" type="noConversion"/>
  </si>
  <si>
    <t>627-6665</t>
    <phoneticPr fontId="9" type="noConversion"/>
  </si>
  <si>
    <t>766-5465</t>
    <phoneticPr fontId="9" type="noConversion"/>
  </si>
  <si>
    <t>627-3800</t>
    <phoneticPr fontId="9" type="noConversion"/>
  </si>
  <si>
    <t>627-3802</t>
    <phoneticPr fontId="9" type="noConversion"/>
  </si>
  <si>
    <t>627-3803</t>
    <phoneticPr fontId="9" type="noConversion"/>
  </si>
  <si>
    <t>526-6431</t>
    <phoneticPr fontId="9" type="noConversion"/>
  </si>
  <si>
    <t>526-6432</t>
    <phoneticPr fontId="9" type="noConversion"/>
  </si>
  <si>
    <t>514-5431</t>
    <phoneticPr fontId="9" type="noConversion"/>
  </si>
  <si>
    <t>890-6714</t>
    <phoneticPr fontId="16" type="noConversion"/>
  </si>
  <si>
    <t>890-6719</t>
  </si>
  <si>
    <t>933-3554</t>
    <phoneticPr fontId="9" type="noConversion"/>
  </si>
  <si>
    <t>933-3553</t>
    <phoneticPr fontId="9" type="noConversion"/>
  </si>
  <si>
    <t>933-0802</t>
    <phoneticPr fontId="9" type="noConversion"/>
  </si>
  <si>
    <t>552-2032</t>
    <phoneticPr fontId="16" type="noConversion"/>
  </si>
  <si>
    <t>552-2034</t>
    <phoneticPr fontId="16" type="noConversion"/>
  </si>
  <si>
    <t>833-2014</t>
    <phoneticPr fontId="9" type="noConversion"/>
  </si>
  <si>
    <t>831-2014</t>
    <phoneticPr fontId="9" type="noConversion"/>
  </si>
  <si>
    <t>552-0273</t>
    <phoneticPr fontId="9" type="noConversion"/>
  </si>
  <si>
    <t>552-0272</t>
    <phoneticPr fontId="9" type="noConversion"/>
  </si>
  <si>
    <t>552-0274</t>
    <phoneticPr fontId="9" type="noConversion"/>
  </si>
  <si>
    <t>820-6525</t>
    <phoneticPr fontId="9" type="noConversion"/>
  </si>
  <si>
    <t>820-6505</t>
    <phoneticPr fontId="9" type="noConversion"/>
  </si>
  <si>
    <t>820-6530</t>
    <phoneticPr fontId="9" type="noConversion"/>
  </si>
  <si>
    <t>재능고등학교</t>
    <phoneticPr fontId="16" type="noConversion"/>
  </si>
  <si>
    <t>문학정보고등학교</t>
    <phoneticPr fontId="16" type="noConversion"/>
  </si>
  <si>
    <t>621-4666</t>
    <phoneticPr fontId="9" type="noConversion"/>
  </si>
  <si>
    <t>621-4733</t>
    <phoneticPr fontId="9" type="noConversion"/>
  </si>
  <si>
    <t>550-1975</t>
    <phoneticPr fontId="9" type="noConversion"/>
  </si>
  <si>
    <t>627-6867</t>
    <phoneticPr fontId="9" type="noConversion"/>
  </si>
  <si>
    <t>627-6852</t>
    <phoneticPr fontId="9" type="noConversion"/>
  </si>
  <si>
    <t>832-7748</t>
    <phoneticPr fontId="9" type="noConversion"/>
  </si>
  <si>
    <t>460-1800</t>
    <phoneticPr fontId="9" type="noConversion"/>
  </si>
  <si>
    <t>568-9908</t>
    <phoneticPr fontId="9" type="noConversion"/>
  </si>
  <si>
    <t>745-4310</t>
    <phoneticPr fontId="16" type="noConversion"/>
  </si>
  <si>
    <t>746-1595</t>
    <phoneticPr fontId="16" type="noConversion"/>
  </si>
  <si>
    <t>456-8411</t>
    <phoneticPr fontId="9" type="noConversion"/>
  </si>
  <si>
    <t>456-8404</t>
    <phoneticPr fontId="9" type="noConversion"/>
  </si>
  <si>
    <t>752-9946</t>
    <phoneticPr fontId="16" type="noConversion"/>
  </si>
  <si>
    <t>511-3541</t>
    <phoneticPr fontId="9" type="noConversion"/>
  </si>
  <si>
    <t>511-3544</t>
    <phoneticPr fontId="9" type="noConversion"/>
  </si>
  <si>
    <t>622-2443</t>
    <phoneticPr fontId="9" type="noConversion"/>
  </si>
  <si>
    <t>622-2437</t>
    <phoneticPr fontId="9" type="noConversion"/>
  </si>
  <si>
    <t>473-8524</t>
    <phoneticPr fontId="9" type="noConversion"/>
  </si>
  <si>
    <t>760-5204</t>
    <phoneticPr fontId="9" type="noConversion"/>
  </si>
  <si>
    <t>760-5237</t>
    <phoneticPr fontId="9" type="noConversion"/>
  </si>
  <si>
    <t>888-3586</t>
    <phoneticPr fontId="9" type="noConversion"/>
  </si>
  <si>
    <t>746-8302</t>
    <phoneticPr fontId="9" type="noConversion"/>
  </si>
  <si>
    <t>745-8590</t>
    <phoneticPr fontId="9" type="noConversion"/>
  </si>
  <si>
    <t>627-6492</t>
    <phoneticPr fontId="9" type="noConversion"/>
  </si>
  <si>
    <t>569-0720</t>
    <phoneticPr fontId="9" type="noConversion"/>
  </si>
  <si>
    <t>569-0727</t>
    <phoneticPr fontId="9" type="noConversion"/>
  </si>
  <si>
    <t>867-6243</t>
    <phoneticPr fontId="9" type="noConversion"/>
  </si>
  <si>
    <t>867-6242</t>
    <phoneticPr fontId="9" type="noConversion"/>
  </si>
  <si>
    <t>874-1171</t>
    <phoneticPr fontId="9" type="noConversion"/>
  </si>
  <si>
    <t>627-3025</t>
    <phoneticPr fontId="9" type="noConversion"/>
  </si>
  <si>
    <t>627-3073</t>
    <phoneticPr fontId="9" type="noConversion"/>
  </si>
  <si>
    <t>851-1612</t>
    <phoneticPr fontId="9" type="noConversion"/>
  </si>
  <si>
    <t>627-5037</t>
    <phoneticPr fontId="9" type="noConversion"/>
  </si>
  <si>
    <t>851-0239</t>
    <phoneticPr fontId="9" type="noConversion"/>
  </si>
  <si>
    <t>인천보건고등학교</t>
    <phoneticPr fontId="16" type="noConversion"/>
  </si>
  <si>
    <t>서구 서달로 58-16(석남동 295-1)</t>
    <phoneticPr fontId="9" type="noConversion"/>
  </si>
  <si>
    <t>455-0011</t>
    <phoneticPr fontId="9" type="noConversion"/>
  </si>
  <si>
    <t>455-0007</t>
    <phoneticPr fontId="9" type="noConversion"/>
  </si>
  <si>
    <t>570-9199</t>
    <phoneticPr fontId="9" type="noConversion"/>
  </si>
  <si>
    <t>933-2974</t>
    <phoneticPr fontId="9" type="noConversion"/>
  </si>
  <si>
    <t>622-0590</t>
    <phoneticPr fontId="9" type="noConversion"/>
  </si>
  <si>
    <t>934-0865</t>
    <phoneticPr fontId="9" type="noConversion"/>
  </si>
  <si>
    <t>627-1607</t>
    <phoneticPr fontId="9" type="noConversion"/>
  </si>
  <si>
    <t>627-1640</t>
    <phoneticPr fontId="9" type="noConversion"/>
  </si>
  <si>
    <t>세일고등학교</t>
    <phoneticPr fontId="16" type="noConversion"/>
  </si>
  <si>
    <t>부평구 원적로 245(산곡동 179-79번지)</t>
    <phoneticPr fontId="9" type="noConversion"/>
  </si>
  <si>
    <t>515-0972</t>
    <phoneticPr fontId="9" type="noConversion"/>
  </si>
  <si>
    <t>515-0971</t>
    <phoneticPr fontId="9" type="noConversion"/>
  </si>
  <si>
    <t>515-0976</t>
    <phoneticPr fontId="9" type="noConversion"/>
  </si>
  <si>
    <t>868-4143</t>
    <phoneticPr fontId="9" type="noConversion"/>
  </si>
  <si>
    <t>875-2716</t>
    <phoneticPr fontId="9" type="noConversion"/>
  </si>
  <si>
    <t>510-6700</t>
    <phoneticPr fontId="16" type="noConversion"/>
  </si>
  <si>
    <t>인천이음고등학교</t>
    <phoneticPr fontId="16" type="noConversion"/>
  </si>
  <si>
    <t>서구 이음1로 469(원당동 1016-1번지)</t>
    <phoneticPr fontId="9" type="noConversion"/>
  </si>
  <si>
    <t>연수구 용담로12(청학동 455-1)</t>
    <phoneticPr fontId="9" type="noConversion"/>
  </si>
  <si>
    <t>817-0121</t>
    <phoneticPr fontId="9" type="noConversion"/>
  </si>
  <si>
    <t>817-0124</t>
    <phoneticPr fontId="9" type="noConversion"/>
  </si>
  <si>
    <t>816-4762</t>
    <phoneticPr fontId="9" type="noConversion"/>
  </si>
  <si>
    <t>462-5296</t>
    <phoneticPr fontId="9" type="noConversion"/>
  </si>
  <si>
    <t>463-3825</t>
    <phoneticPr fontId="9" type="noConversion"/>
  </si>
  <si>
    <t>567-7831</t>
    <phoneticPr fontId="16" type="noConversion"/>
  </si>
  <si>
    <t>567-7834</t>
    <phoneticPr fontId="16" type="noConversion"/>
  </si>
  <si>
    <t>인천바이오과학고등학교</t>
    <phoneticPr fontId="16" type="noConversion"/>
  </si>
  <si>
    <t>관교여자중학교</t>
    <phoneticPr fontId="16" type="noConversion"/>
  </si>
  <si>
    <t>남인천여자중학교</t>
    <phoneticPr fontId="16" type="noConversion"/>
  </si>
  <si>
    <t>선인중학교</t>
    <phoneticPr fontId="16" type="noConversion"/>
  </si>
  <si>
    <t>인주중학교</t>
    <phoneticPr fontId="16" type="noConversion"/>
  </si>
  <si>
    <t>제물포여자중학교</t>
    <phoneticPr fontId="16" type="noConversion"/>
  </si>
  <si>
    <t>동구 재능로 178(송림동 122-1)</t>
    <phoneticPr fontId="9" type="noConversion"/>
  </si>
  <si>
    <t>836-3013</t>
    <phoneticPr fontId="9" type="noConversion"/>
  </si>
  <si>
    <t>옹진군 덕적면 덕적남로 15(진리 136)</t>
    <phoneticPr fontId="9" type="noConversion"/>
  </si>
  <si>
    <t>832-9302</t>
    <phoneticPr fontId="9" type="noConversion"/>
  </si>
  <si>
    <t>836-0092</t>
    <phoneticPr fontId="9" type="noConversion"/>
  </si>
  <si>
    <t>836-0091</t>
    <phoneticPr fontId="9" type="noConversion"/>
  </si>
  <si>
    <t>836-2210</t>
    <phoneticPr fontId="9" type="noConversion"/>
  </si>
  <si>
    <t>627-1819</t>
    <phoneticPr fontId="16" type="noConversion"/>
  </si>
  <si>
    <t>831-1654</t>
    <phoneticPr fontId="16" type="noConversion"/>
  </si>
  <si>
    <t>831-1655</t>
    <phoneticPr fontId="16" type="noConversion"/>
  </si>
  <si>
    <t>886-0433</t>
    <phoneticPr fontId="9" type="noConversion"/>
  </si>
  <si>
    <t>886-0436</t>
    <phoneticPr fontId="9" type="noConversion"/>
  </si>
  <si>
    <t>886-0434</t>
    <phoneticPr fontId="9" type="noConversion"/>
  </si>
  <si>
    <t>광성중학교</t>
    <phoneticPr fontId="16" type="noConversion"/>
  </si>
  <si>
    <t>중구 참외전로244번길 47(도원동 12-73)</t>
    <phoneticPr fontId="9" type="noConversion"/>
  </si>
  <si>
    <t>중구 제물량로 123(답동 36)</t>
    <phoneticPr fontId="16" type="noConversion"/>
  </si>
  <si>
    <t>부평구 주부토로 166(갈산동 372)</t>
  </si>
  <si>
    <t>부평구 동암산로43번길 12(십정동 589)</t>
  </si>
  <si>
    <t>505-2632</t>
  </si>
  <si>
    <t>505-2633</t>
  </si>
  <si>
    <t>505-2639</t>
  </si>
  <si>
    <t>527-5382</t>
  </si>
  <si>
    <t>514-0876</t>
  </si>
  <si>
    <t>628-3566</t>
  </si>
  <si>
    <t>가좌중학교</t>
    <phoneticPr fontId="16" type="noConversion"/>
  </si>
  <si>
    <t>서구 건지로 334번길 31(가좌동 195)</t>
    <phoneticPr fontId="9" type="noConversion"/>
  </si>
  <si>
    <t>571-7444</t>
    <phoneticPr fontId="9" type="noConversion"/>
  </si>
  <si>
    <t>573-7956</t>
    <phoneticPr fontId="9" type="noConversion"/>
  </si>
  <si>
    <t>582-5467</t>
    <phoneticPr fontId="9" type="noConversion"/>
  </si>
  <si>
    <t>간재울중학교</t>
    <phoneticPr fontId="16" type="noConversion"/>
  </si>
  <si>
    <t>서구 승학로512번길 34(검암동 619-4)</t>
    <phoneticPr fontId="16" type="noConversion"/>
  </si>
  <si>
    <t>검암중학교</t>
    <phoneticPr fontId="16" type="noConversion"/>
  </si>
  <si>
    <t>서구 검암로29번길 12(검암동 497번지)</t>
    <phoneticPr fontId="9" type="noConversion"/>
  </si>
  <si>
    <t>567-1975</t>
    <phoneticPr fontId="9" type="noConversion"/>
  </si>
  <si>
    <t>628-9292</t>
    <phoneticPr fontId="9" type="noConversion"/>
  </si>
  <si>
    <t>동인천여자중학교</t>
    <phoneticPr fontId="16" type="noConversion"/>
  </si>
  <si>
    <t>서구 여우재로112번길 13(가좌4동 402)</t>
    <phoneticPr fontId="9" type="noConversion"/>
  </si>
  <si>
    <t>577-6827</t>
    <phoneticPr fontId="9" type="noConversion"/>
  </si>
  <si>
    <t>577-9430</t>
    <phoneticPr fontId="9" type="noConversion"/>
  </si>
  <si>
    <t>578-2126</t>
    <phoneticPr fontId="9" type="noConversion"/>
  </si>
  <si>
    <t>마전중학교</t>
    <phoneticPr fontId="16" type="noConversion"/>
  </si>
  <si>
    <t>서구 완정로 91(마전동 1029-1)</t>
    <phoneticPr fontId="9" type="noConversion"/>
  </si>
  <si>
    <t>568-7093</t>
    <phoneticPr fontId="9" type="noConversion"/>
  </si>
  <si>
    <t>568-7092</t>
    <phoneticPr fontId="9" type="noConversion"/>
  </si>
  <si>
    <t>568-7190</t>
    <phoneticPr fontId="9" type="noConversion"/>
  </si>
  <si>
    <t>백석중학교</t>
    <phoneticPr fontId="16" type="noConversion"/>
  </si>
  <si>
    <t>서구 서곶로 695(백석동 65-3)</t>
    <phoneticPr fontId="9" type="noConversion"/>
  </si>
  <si>
    <t>627-9076</t>
    <phoneticPr fontId="9" type="noConversion"/>
  </si>
  <si>
    <t>500-9698</t>
    <phoneticPr fontId="9" type="noConversion"/>
  </si>
  <si>
    <t>567-2435</t>
    <phoneticPr fontId="9" type="noConversion"/>
  </si>
  <si>
    <t>불로중학교</t>
    <phoneticPr fontId="16" type="noConversion"/>
  </si>
  <si>
    <t>455-8941</t>
    <phoneticPr fontId="9" type="noConversion"/>
  </si>
  <si>
    <t>455-8906</t>
    <phoneticPr fontId="9" type="noConversion"/>
  </si>
  <si>
    <t>565-5836</t>
    <phoneticPr fontId="9" type="noConversion"/>
  </si>
  <si>
    <t>서곶중학교</t>
    <phoneticPr fontId="16" type="noConversion"/>
  </si>
  <si>
    <t>서부</t>
    <phoneticPr fontId="16" type="noConversion"/>
  </si>
  <si>
    <t>원당중학교</t>
    <phoneticPr fontId="16" type="noConversion"/>
  </si>
  <si>
    <t>564-5422</t>
    <phoneticPr fontId="9" type="noConversion"/>
  </si>
  <si>
    <t>564-5411</t>
    <phoneticPr fontId="9" type="noConversion"/>
  </si>
  <si>
    <t>564-5417</t>
    <phoneticPr fontId="9" type="noConversion"/>
  </si>
  <si>
    <t>인천가좌여자중학교</t>
    <phoneticPr fontId="16" type="noConversion"/>
  </si>
  <si>
    <t>서구 염곡로 409(신현동 305-1번지)</t>
  </si>
  <si>
    <t>인천경연중학교</t>
    <phoneticPr fontId="16" type="noConversion"/>
  </si>
  <si>
    <t>인천당하중학교</t>
    <phoneticPr fontId="16" type="noConversion"/>
  </si>
  <si>
    <t>서구 청마로 38(당하동 1076-1)</t>
    <phoneticPr fontId="9" type="noConversion"/>
  </si>
  <si>
    <t>569-2136</t>
    <phoneticPr fontId="9" type="noConversion"/>
  </si>
  <si>
    <t>569-2139</t>
    <phoneticPr fontId="9" type="noConversion"/>
  </si>
  <si>
    <t>인천루원중학교</t>
    <phoneticPr fontId="16" type="noConversion"/>
  </si>
  <si>
    <t>인천석남중학교</t>
    <phoneticPr fontId="16" type="noConversion"/>
  </si>
  <si>
    <t>인천아라중학교</t>
    <phoneticPr fontId="16" type="noConversion"/>
  </si>
  <si>
    <t>인천이음중학교</t>
    <phoneticPr fontId="16" type="noConversion"/>
  </si>
  <si>
    <t>서구 이음1로 455(원당동 1016-3)</t>
    <phoneticPr fontId="16" type="noConversion"/>
  </si>
  <si>
    <t>580-2816</t>
    <phoneticPr fontId="16" type="noConversion"/>
  </si>
  <si>
    <t>인천청라중학교</t>
    <phoneticPr fontId="16" type="noConversion"/>
  </si>
  <si>
    <t>서구 청라라임로 112(청라동 125-4)</t>
    <phoneticPr fontId="9" type="noConversion"/>
  </si>
  <si>
    <t>561-1973</t>
    <phoneticPr fontId="9" type="noConversion"/>
  </si>
  <si>
    <t>561-1742</t>
    <phoneticPr fontId="9" type="noConversion"/>
  </si>
  <si>
    <t>561-1974</t>
    <phoneticPr fontId="9" type="noConversion"/>
  </si>
  <si>
    <t>인천청람중학교</t>
    <phoneticPr fontId="16" type="noConversion"/>
  </si>
  <si>
    <t>서구 청라커낼로335(청라동 140-5)</t>
    <phoneticPr fontId="9" type="noConversion"/>
  </si>
  <si>
    <t>628-9808</t>
    <phoneticPr fontId="9" type="noConversion"/>
  </si>
  <si>
    <t>628-9723</t>
    <phoneticPr fontId="9" type="noConversion"/>
  </si>
  <si>
    <t>628-9727</t>
    <phoneticPr fontId="9" type="noConversion"/>
  </si>
  <si>
    <t>인천초은중학교</t>
    <phoneticPr fontId="16" type="noConversion"/>
  </si>
  <si>
    <t>서구 청라라임로 10(청라동 192-1)</t>
    <phoneticPr fontId="9" type="noConversion"/>
  </si>
  <si>
    <t>569-5791</t>
    <phoneticPr fontId="9" type="noConversion"/>
  </si>
  <si>
    <t>569-5792</t>
    <phoneticPr fontId="9" type="noConversion"/>
  </si>
  <si>
    <t>569-5799</t>
    <phoneticPr fontId="9" type="noConversion"/>
  </si>
  <si>
    <t>인천해원중학교</t>
    <phoneticPr fontId="16" type="noConversion"/>
  </si>
  <si>
    <t>서구 청라한내로 21(청라동 103-25)</t>
    <phoneticPr fontId="9" type="noConversion"/>
  </si>
  <si>
    <t>560-3600</t>
    <phoneticPr fontId="9" type="noConversion"/>
  </si>
  <si>
    <t>560-3800</t>
    <phoneticPr fontId="9" type="noConversion"/>
  </si>
  <si>
    <t>560-3629</t>
    <phoneticPr fontId="9" type="noConversion"/>
  </si>
  <si>
    <t>제물포중학교</t>
    <phoneticPr fontId="16" type="noConversion"/>
  </si>
  <si>
    <t>578-5825</t>
    <phoneticPr fontId="9" type="noConversion"/>
  </si>
  <si>
    <t>578-5826</t>
    <phoneticPr fontId="9" type="noConversion"/>
  </si>
  <si>
    <t>571-3036</t>
    <phoneticPr fontId="9" type="noConversion"/>
  </si>
  <si>
    <t>인천비즈니스고등학교</t>
    <phoneticPr fontId="16" type="noConversion"/>
  </si>
  <si>
    <t>인천만수고등학교</t>
    <phoneticPr fontId="16" type="noConversion"/>
  </si>
  <si>
    <t>473-0372</t>
    <phoneticPr fontId="9" type="noConversion"/>
  </si>
  <si>
    <t>473-0377</t>
    <phoneticPr fontId="9" type="noConversion"/>
  </si>
  <si>
    <t>인천기계공업고등학교</t>
    <phoneticPr fontId="16" type="noConversion"/>
  </si>
  <si>
    <t>인천광역시 미추홀구 한나루로 545(주안동638-1)</t>
    <phoneticPr fontId="16" type="noConversion"/>
  </si>
  <si>
    <t>연수구 센트럴로 464(송도동 313-1)</t>
  </si>
  <si>
    <t>626-2600</t>
  </si>
  <si>
    <t>626-2700</t>
  </si>
  <si>
    <t>626-2711</t>
  </si>
  <si>
    <t>남동구 간석로25번길 13(간석동 80-1)</t>
  </si>
  <si>
    <t>남동구 구월남로 57번길 12(구월동 1089-1)</t>
  </si>
  <si>
    <t>남동구 만수서로 117(만수동 10)</t>
  </si>
  <si>
    <t>남동구 만수로 50번길 22-36(만수동 27번지)</t>
  </si>
  <si>
    <t>남동구 백범로 297번길 21(간석동 11-1)</t>
  </si>
  <si>
    <t>남동구 논고개로 20(논현동 755-3)</t>
  </si>
  <si>
    <t>남동구 독곡로60번길 16(서창동 543-7)</t>
  </si>
  <si>
    <t>남동구 성리로 26(구월동 1488)</t>
  </si>
  <si>
    <t>770-1710</t>
  </si>
  <si>
    <t>연수구 능허대로 79번길 55</t>
  </si>
  <si>
    <t>연수구 함박뫼로 203(연수3동 534-4)</t>
  </si>
  <si>
    <t>연수구 함박뫼로 5 (청학동 464)</t>
  </si>
  <si>
    <t>인천경원초등학교</t>
    <phoneticPr fontId="16" type="noConversion"/>
  </si>
  <si>
    <t>438-9321</t>
    <phoneticPr fontId="9" type="noConversion"/>
  </si>
  <si>
    <t>424-1692</t>
    <phoneticPr fontId="9" type="noConversion"/>
  </si>
  <si>
    <t>438-9324</t>
    <phoneticPr fontId="9" type="noConversion"/>
  </si>
  <si>
    <t>인천관교초등학교</t>
    <phoneticPr fontId="16" type="noConversion"/>
  </si>
  <si>
    <t>미추홀구 인하로 414(관교동 334)</t>
    <phoneticPr fontId="9" type="noConversion"/>
  </si>
  <si>
    <t>인천남부초등학교</t>
    <phoneticPr fontId="16" type="noConversion"/>
  </si>
  <si>
    <t>865-5784</t>
    <phoneticPr fontId="3" type="noConversion"/>
  </si>
  <si>
    <t>인천대화초등학교</t>
    <phoneticPr fontId="16" type="noConversion"/>
  </si>
  <si>
    <t>867-0046</t>
    <phoneticPr fontId="9" type="noConversion"/>
  </si>
  <si>
    <t>867-0047</t>
    <phoneticPr fontId="9" type="noConversion"/>
  </si>
  <si>
    <t>867-1356</t>
    <phoneticPr fontId="9" type="noConversion"/>
  </si>
  <si>
    <t>미추홀구 경인로 242(도화동 541-5)</t>
    <phoneticPr fontId="9" type="noConversion"/>
  </si>
  <si>
    <t>인천문학초등학교</t>
    <phoneticPr fontId="16" type="noConversion"/>
  </si>
  <si>
    <t>미추홀구 매소홀로 553(문학동 343-2)</t>
    <phoneticPr fontId="9" type="noConversion"/>
  </si>
  <si>
    <t>629-0102</t>
    <phoneticPr fontId="9" type="noConversion"/>
  </si>
  <si>
    <t>629-0101</t>
    <phoneticPr fontId="9" type="noConversion"/>
  </si>
  <si>
    <t>435-0367</t>
    <phoneticPr fontId="9" type="noConversion"/>
  </si>
  <si>
    <t>인천백학초등학교</t>
    <phoneticPr fontId="16" type="noConversion"/>
  </si>
  <si>
    <t>868-6778</t>
    <phoneticPr fontId="9" type="noConversion"/>
  </si>
  <si>
    <t>867-2883</t>
    <phoneticPr fontId="9" type="noConversion"/>
  </si>
  <si>
    <t>867-2884</t>
    <phoneticPr fontId="9" type="noConversion"/>
  </si>
  <si>
    <t>인천서화초등학교</t>
    <phoneticPr fontId="16" type="noConversion"/>
  </si>
  <si>
    <t>미추홀구 송림로 250(도화동 1003)</t>
    <phoneticPr fontId="9" type="noConversion"/>
  </si>
  <si>
    <t>868-9232</t>
    <phoneticPr fontId="9" type="noConversion"/>
  </si>
  <si>
    <t>868-9234</t>
    <phoneticPr fontId="9" type="noConversion"/>
  </si>
  <si>
    <t>868-9237</t>
    <phoneticPr fontId="9" type="noConversion"/>
  </si>
  <si>
    <t>인천석암초등학교</t>
    <phoneticPr fontId="16" type="noConversion"/>
  </si>
  <si>
    <t>미추홀구 주안동로 46(주안동 55-1)</t>
    <phoneticPr fontId="9" type="noConversion"/>
  </si>
  <si>
    <t>424-0143</t>
    <phoneticPr fontId="9" type="noConversion"/>
  </si>
  <si>
    <t>432-7003</t>
    <phoneticPr fontId="9" type="noConversion"/>
  </si>
  <si>
    <t>인천숭의초등학교</t>
    <phoneticPr fontId="16" type="noConversion"/>
  </si>
  <si>
    <t>인천승학초등학교</t>
    <phoneticPr fontId="16" type="noConversion"/>
  </si>
  <si>
    <t>미추홀구 주승로 259(관교동 13-4)</t>
    <phoneticPr fontId="9" type="noConversion"/>
  </si>
  <si>
    <t>432-9775</t>
    <phoneticPr fontId="9" type="noConversion"/>
  </si>
  <si>
    <t>423-9776</t>
    <phoneticPr fontId="9" type="noConversion"/>
  </si>
  <si>
    <t>426-9854</t>
    <phoneticPr fontId="9" type="noConversion"/>
  </si>
  <si>
    <t>인천연학초등학교</t>
    <phoneticPr fontId="16" type="noConversion"/>
  </si>
  <si>
    <t>미추홀구 주승로 20(학익동 29-2)</t>
    <phoneticPr fontId="9" type="noConversion"/>
  </si>
  <si>
    <t>인천용정초등학교</t>
    <phoneticPr fontId="16" type="noConversion"/>
  </si>
  <si>
    <t>627-6300</t>
    <phoneticPr fontId="9" type="noConversion"/>
  </si>
  <si>
    <t>인천용현초등학교</t>
    <phoneticPr fontId="16" type="noConversion"/>
  </si>
  <si>
    <t>미추홀구 낙섬동로 83(용현동 610-108)</t>
    <phoneticPr fontId="9" type="noConversion"/>
  </si>
  <si>
    <t>629-0679</t>
    <phoneticPr fontId="9" type="noConversion"/>
  </si>
  <si>
    <t>629-0601</t>
    <phoneticPr fontId="9" type="noConversion"/>
  </si>
  <si>
    <t>884-8160</t>
    <phoneticPr fontId="9" type="noConversion"/>
  </si>
  <si>
    <t>인천인주초등학교</t>
    <phoneticPr fontId="16" type="noConversion"/>
  </si>
  <si>
    <t>875-2602</t>
    <phoneticPr fontId="3" type="noConversion"/>
  </si>
  <si>
    <t>인천주안남초등학교</t>
    <phoneticPr fontId="16" type="noConversion"/>
  </si>
  <si>
    <t>미추홀구 인주대로434번길 11(주안동 1503)</t>
    <phoneticPr fontId="9" type="noConversion"/>
  </si>
  <si>
    <t>424-7247</t>
    <phoneticPr fontId="9" type="noConversion"/>
  </si>
  <si>
    <t>428-1841</t>
    <phoneticPr fontId="9" type="noConversion"/>
  </si>
  <si>
    <t>424-7245</t>
    <phoneticPr fontId="9" type="noConversion"/>
  </si>
  <si>
    <t>인천주안북초등학교</t>
    <phoneticPr fontId="16" type="noConversion"/>
  </si>
  <si>
    <t>868-5578</t>
    <phoneticPr fontId="9" type="noConversion"/>
  </si>
  <si>
    <t>867-3160</t>
    <phoneticPr fontId="9" type="noConversion"/>
  </si>
  <si>
    <t>876-8026</t>
    <phoneticPr fontId="9" type="noConversion"/>
  </si>
  <si>
    <t>인천주안초등학교</t>
    <phoneticPr fontId="16" type="noConversion"/>
  </si>
  <si>
    <t>미추홀구 남주길69번길 16(주안동 1627)</t>
    <phoneticPr fontId="9" type="noConversion"/>
  </si>
  <si>
    <t>인천학산초등학교</t>
    <phoneticPr fontId="16" type="noConversion"/>
  </si>
  <si>
    <t>미추홀구 한나루로357번길 66(학익동 721-7)</t>
    <phoneticPr fontId="9" type="noConversion"/>
  </si>
  <si>
    <t>865-7515</t>
    <phoneticPr fontId="9" type="noConversion"/>
  </si>
  <si>
    <t>865-7510</t>
    <phoneticPr fontId="9" type="noConversion"/>
  </si>
  <si>
    <t>865-7520</t>
    <phoneticPr fontId="9" type="noConversion"/>
  </si>
  <si>
    <t>865-5795</t>
    <phoneticPr fontId="9" type="noConversion"/>
  </si>
  <si>
    <t>인천만석초등학교</t>
    <phoneticPr fontId="16" type="noConversion"/>
  </si>
  <si>
    <t>동구 제물량로 412(화수동 11-6)</t>
    <phoneticPr fontId="9" type="noConversion"/>
  </si>
  <si>
    <t>인천서림초등학교</t>
    <phoneticPr fontId="16" type="noConversion"/>
  </si>
  <si>
    <t>동구 금곡로 105(송림동 61-11)</t>
    <phoneticPr fontId="9" type="noConversion"/>
  </si>
  <si>
    <t>629-1713</t>
    <phoneticPr fontId="9" type="noConversion"/>
  </si>
  <si>
    <t>629-1718</t>
  </si>
  <si>
    <t>629-1771</t>
  </si>
  <si>
    <t>인천송림초등학교</t>
    <phoneticPr fontId="16" type="noConversion"/>
  </si>
  <si>
    <t>764-2342</t>
    <phoneticPr fontId="9" type="noConversion"/>
  </si>
  <si>
    <t>764-2344</t>
    <phoneticPr fontId="9" type="noConversion"/>
  </si>
  <si>
    <t>764-2340</t>
    <phoneticPr fontId="9" type="noConversion"/>
  </si>
  <si>
    <t>인천창영초등학교</t>
    <phoneticPr fontId="16" type="noConversion"/>
  </si>
  <si>
    <t>동구 우각로 15번길 16(창영동 30)</t>
    <phoneticPr fontId="9" type="noConversion"/>
  </si>
  <si>
    <t>629-1953</t>
    <phoneticPr fontId="9" type="noConversion"/>
  </si>
  <si>
    <t>765-4332</t>
    <phoneticPr fontId="9" type="noConversion"/>
  </si>
  <si>
    <t>765-2348</t>
    <phoneticPr fontId="9" type="noConversion"/>
  </si>
  <si>
    <t>인천동명초등학교</t>
    <phoneticPr fontId="16" type="noConversion"/>
  </si>
  <si>
    <t>동구 송림로70번길 10(송림동 114)</t>
    <phoneticPr fontId="9" type="noConversion"/>
  </si>
  <si>
    <t>773-7549</t>
    <phoneticPr fontId="9" type="noConversion"/>
  </si>
  <si>
    <t>766-7549</t>
    <phoneticPr fontId="9" type="noConversion"/>
  </si>
  <si>
    <t>대청초등학교</t>
    <phoneticPr fontId="16" type="noConversion"/>
  </si>
  <si>
    <t>옹진군 대청면 대청로224번길 110(대청리 1138-1)</t>
  </si>
  <si>
    <t>627-1381</t>
  </si>
  <si>
    <t>627-1355</t>
  </si>
  <si>
    <t>836-0973</t>
    <phoneticPr fontId="9" type="noConversion"/>
  </si>
  <si>
    <t>덕적초등학교</t>
    <phoneticPr fontId="16" type="noConversion"/>
  </si>
  <si>
    <t>832-2748</t>
    <phoneticPr fontId="9" type="noConversion"/>
  </si>
  <si>
    <t>832-9308</t>
    <phoneticPr fontId="9" type="noConversion"/>
  </si>
  <si>
    <t>백령초등학교</t>
    <phoneticPr fontId="16" type="noConversion"/>
  </si>
  <si>
    <t>옹진군 백령면 백령로 316번길 91(진촌리 1047)</t>
    <phoneticPr fontId="9" type="noConversion"/>
  </si>
  <si>
    <t>836-0014</t>
    <phoneticPr fontId="9" type="noConversion"/>
  </si>
  <si>
    <t>629-9583</t>
    <phoneticPr fontId="9" type="noConversion"/>
  </si>
  <si>
    <t>836-2447</t>
    <phoneticPr fontId="9" type="noConversion"/>
  </si>
  <si>
    <t>북포초등학교</t>
    <phoneticPr fontId="16" type="noConversion"/>
  </si>
  <si>
    <t>836-0208</t>
    <phoneticPr fontId="9" type="noConversion"/>
  </si>
  <si>
    <t>836-7719</t>
    <phoneticPr fontId="9" type="noConversion"/>
  </si>
  <si>
    <t>836-0209</t>
    <phoneticPr fontId="9" type="noConversion"/>
  </si>
  <si>
    <t>연평초등학교</t>
    <phoneticPr fontId="16" type="noConversion"/>
  </si>
  <si>
    <t>옹진군 연평면 연평로137번길 101(연평리 437-1)</t>
    <phoneticPr fontId="9" type="noConversion"/>
  </si>
  <si>
    <t>831-2159</t>
    <phoneticPr fontId="9" type="noConversion"/>
  </si>
  <si>
    <t>영흥초등학교</t>
    <phoneticPr fontId="16" type="noConversion"/>
  </si>
  <si>
    <t>886-0435</t>
    <phoneticPr fontId="9" type="noConversion"/>
  </si>
  <si>
    <t>886-0437</t>
    <phoneticPr fontId="9" type="noConversion"/>
  </si>
  <si>
    <t>752-2073</t>
    <phoneticPr fontId="9" type="noConversion"/>
  </si>
  <si>
    <t>옹진군 자월면 대이작로 60(이작리 575-3)</t>
    <phoneticPr fontId="9" type="noConversion"/>
  </si>
  <si>
    <t>627-9002</t>
    <phoneticPr fontId="9" type="noConversion"/>
  </si>
  <si>
    <t>627-9010</t>
    <phoneticPr fontId="9" type="noConversion"/>
  </si>
  <si>
    <t>834-6435</t>
    <phoneticPr fontId="9" type="noConversion"/>
  </si>
  <si>
    <t>831-7419</t>
    <phoneticPr fontId="9" type="noConversion"/>
  </si>
  <si>
    <t>629-1340</t>
    <phoneticPr fontId="9" type="noConversion"/>
  </si>
  <si>
    <t>831-7420</t>
    <phoneticPr fontId="9" type="noConversion"/>
  </si>
  <si>
    <t>옹진군 자월면 승봉로 67번길 43-18(승봉리 712)</t>
    <phoneticPr fontId="9" type="noConversion"/>
  </si>
  <si>
    <t>인천공항초등학교</t>
    <phoneticPr fontId="16" type="noConversion"/>
  </si>
  <si>
    <t>중구 신도시남로 43(운서동 2788-1)</t>
    <phoneticPr fontId="9" type="noConversion"/>
  </si>
  <si>
    <t>752-2072</t>
    <phoneticPr fontId="9" type="noConversion"/>
  </si>
  <si>
    <t>752-2074</t>
    <phoneticPr fontId="9" type="noConversion"/>
  </si>
  <si>
    <t>중구 은하수로 402(운남동 1766-4)</t>
    <phoneticPr fontId="9" type="noConversion"/>
  </si>
  <si>
    <t>455-8705</t>
    <phoneticPr fontId="9" type="noConversion"/>
  </si>
  <si>
    <t>455-8709</t>
    <phoneticPr fontId="9" type="noConversion"/>
  </si>
  <si>
    <t>752-8458</t>
    <phoneticPr fontId="9" type="noConversion"/>
  </si>
  <si>
    <t>인천삼목초등학교</t>
    <phoneticPr fontId="16" type="noConversion"/>
  </si>
  <si>
    <t>중구 신도시북로 42(운서동 2708-2)</t>
    <phoneticPr fontId="9" type="noConversion"/>
  </si>
  <si>
    <t>인천송월초등학교</t>
    <phoneticPr fontId="16" type="noConversion"/>
  </si>
  <si>
    <t>중구 자유공원로 106-8(전동 25-37)</t>
    <phoneticPr fontId="9" type="noConversion"/>
  </si>
  <si>
    <t>764-1901</t>
    <phoneticPr fontId="9" type="noConversion"/>
  </si>
  <si>
    <t>629-0682</t>
    <phoneticPr fontId="9" type="noConversion"/>
  </si>
  <si>
    <t>764-3818</t>
    <phoneticPr fontId="9" type="noConversion"/>
  </si>
  <si>
    <t>인천신광초등학교</t>
    <phoneticPr fontId="16" type="noConversion"/>
  </si>
  <si>
    <t>중구 인중로 63(신흥동3가 7-8)</t>
    <phoneticPr fontId="9" type="noConversion"/>
  </si>
  <si>
    <t>629-0743</t>
    <phoneticPr fontId="9" type="noConversion"/>
  </si>
  <si>
    <t>629-0746</t>
    <phoneticPr fontId="9" type="noConversion"/>
  </si>
  <si>
    <t>881-8341</t>
    <phoneticPr fontId="9" type="noConversion"/>
  </si>
  <si>
    <t>인천신선초등학교</t>
    <phoneticPr fontId="16" type="noConversion"/>
  </si>
  <si>
    <t>중구 축항대로291번길 33(신흥동3가 31-8)</t>
    <phoneticPr fontId="9" type="noConversion"/>
  </si>
  <si>
    <t>650-0805</t>
    <phoneticPr fontId="9" type="noConversion"/>
  </si>
  <si>
    <t>650-0817</t>
    <phoneticPr fontId="9" type="noConversion"/>
  </si>
  <si>
    <t>650-0812</t>
    <phoneticPr fontId="9" type="noConversion"/>
  </si>
  <si>
    <t>인천신흥초등학교</t>
    <phoneticPr fontId="16" type="noConversion"/>
  </si>
  <si>
    <t>중구 제물량로 134(답동 6)</t>
    <phoneticPr fontId="9" type="noConversion"/>
  </si>
  <si>
    <t>629-0440</t>
    <phoneticPr fontId="9" type="noConversion"/>
  </si>
  <si>
    <t>629-0447</t>
    <phoneticPr fontId="9" type="noConversion"/>
  </si>
  <si>
    <t>764-0403</t>
    <phoneticPr fontId="9" type="noConversion"/>
  </si>
  <si>
    <t>인천연안초등학교</t>
    <phoneticPr fontId="16" type="noConversion"/>
  </si>
  <si>
    <t>중구 연안부두로33번길 53(항동7가 27-74)</t>
    <phoneticPr fontId="9" type="noConversion"/>
  </si>
  <si>
    <t>746-7595</t>
    <phoneticPr fontId="9" type="noConversion"/>
  </si>
  <si>
    <t>746-7597</t>
    <phoneticPr fontId="9" type="noConversion"/>
  </si>
  <si>
    <t>인천운남초등학교</t>
    <phoneticPr fontId="16" type="noConversion"/>
  </si>
  <si>
    <t>인천운서초등학교</t>
    <phoneticPr fontId="16" type="noConversion"/>
  </si>
  <si>
    <t>인천중산초등학교</t>
    <phoneticPr fontId="16" type="noConversion"/>
  </si>
  <si>
    <t>중구 두미포로 100(중산동 1887-3)</t>
    <phoneticPr fontId="9" type="noConversion"/>
  </si>
  <si>
    <t>509-3600</t>
    <phoneticPr fontId="9" type="noConversion"/>
  </si>
  <si>
    <t>509-3624</t>
    <phoneticPr fontId="9" type="noConversion"/>
  </si>
  <si>
    <t>509-3603</t>
    <phoneticPr fontId="9" type="noConversion"/>
  </si>
  <si>
    <t>인천하늘초등학교</t>
    <phoneticPr fontId="16" type="noConversion"/>
  </si>
  <si>
    <t>745-6706</t>
    <phoneticPr fontId="9" type="noConversion"/>
  </si>
  <si>
    <t>745-6708</t>
    <phoneticPr fontId="9" type="noConversion"/>
  </si>
  <si>
    <t>745-6700</t>
    <phoneticPr fontId="9" type="noConversion"/>
  </si>
  <si>
    <t>-</t>
  </si>
  <si>
    <t>인성초등학교</t>
    <phoneticPr fontId="16" type="noConversion"/>
  </si>
  <si>
    <t>중구 신포로39번길 42(송학동2가 18-1)</t>
    <phoneticPr fontId="9" type="noConversion"/>
  </si>
  <si>
    <t>772-2238</t>
    <phoneticPr fontId="9" type="noConversion"/>
  </si>
  <si>
    <t>764-1986</t>
    <phoneticPr fontId="9" type="noConversion"/>
  </si>
  <si>
    <t>6(5)</t>
    <phoneticPr fontId="3" type="noConversion"/>
  </si>
  <si>
    <t>516-4328</t>
    <phoneticPr fontId="9" type="noConversion"/>
  </si>
  <si>
    <t>부평구 주부토로 292(갈산동 10-1)</t>
    <phoneticPr fontId="9" type="noConversion"/>
  </si>
  <si>
    <t>부평구 길주로 354번길 39(산곡동 87-236)</t>
    <phoneticPr fontId="9" type="noConversion"/>
  </si>
  <si>
    <t>516-2850</t>
    <phoneticPr fontId="9" type="noConversion"/>
  </si>
  <si>
    <t>507-4875</t>
    <phoneticPr fontId="9" type="noConversion"/>
  </si>
  <si>
    <t>628-2915</t>
    <phoneticPr fontId="9" type="noConversion"/>
  </si>
  <si>
    <t>628-2918</t>
    <phoneticPr fontId="9" type="noConversion"/>
  </si>
  <si>
    <t>513-0422</t>
    <phoneticPr fontId="9" type="noConversion"/>
  </si>
  <si>
    <t>745-4806</t>
  </si>
  <si>
    <t>745-4865</t>
  </si>
  <si>
    <t>629-6494</t>
  </si>
  <si>
    <t>629-6496</t>
  </si>
  <si>
    <t>남동구 석산로184번길 66(간석동 939-4)</t>
  </si>
  <si>
    <t>인천석천초등학교</t>
  </si>
  <si>
    <t>남동구 앵고개로815번길 45(논현동 738-5)</t>
  </si>
  <si>
    <t>남동구 구월로 228(구월동 24-2)</t>
  </si>
  <si>
    <t>연수구 앵고개로 224(동춘동 938-1)</t>
  </si>
  <si>
    <t>연수구 컨벤시아대로42번길 64(송도동 15-5)</t>
  </si>
  <si>
    <t>연수구 앵고개로104번길 34(동춘동 752-3)</t>
  </si>
  <si>
    <t>연수구 선학로 67(선학동 358)</t>
  </si>
  <si>
    <t>629-5070</t>
  </si>
  <si>
    <t>830-7500</t>
  </si>
  <si>
    <t>830-7300</t>
  </si>
  <si>
    <t>550-7719</t>
  </si>
  <si>
    <t>연수구 해돋이로56번길 28(송도동 3-42)</t>
  </si>
  <si>
    <t>460-7719</t>
  </si>
  <si>
    <t>연수구 원인재로 324(연수동 532-1)</t>
  </si>
  <si>
    <t>816-7111</t>
  </si>
  <si>
    <t>816-7112</t>
  </si>
  <si>
    <t>629-5270</t>
  </si>
  <si>
    <t>서구 서달로 174(가정동 430-37)</t>
  </si>
  <si>
    <t>서구 청중로 478번길 6(가정동 605-1번지)</t>
  </si>
  <si>
    <t>서구 염곡로 417(신현동 305-4번지)</t>
  </si>
  <si>
    <t>서구 승학로 433(검암동629-3번지)</t>
  </si>
  <si>
    <t>568-9161</t>
  </si>
  <si>
    <t>458-9936</t>
  </si>
  <si>
    <t>서구 마전로115번길 24(마전동 1137)</t>
  </si>
  <si>
    <t>서구 승학로 599번길 45(검암동 495번지)</t>
  </si>
  <si>
    <t>서구 고산후로 377(불로동 306-25번지)</t>
  </si>
  <si>
    <t>서구 고산후로78번길 6(당하동 1038-1)</t>
  </si>
  <si>
    <t>628-6720</t>
  </si>
  <si>
    <t>628-6642</t>
  </si>
  <si>
    <t>571-0049</t>
  </si>
  <si>
    <t>575-0917</t>
  </si>
  <si>
    <t>서구 원창로 147(신현동 85-1)</t>
  </si>
  <si>
    <t>서구 서로2로 42(당하동 1272-6)</t>
  </si>
  <si>
    <t>서구 완정로 99(마전동 1117번지)</t>
  </si>
  <si>
    <t>서구 청라에메랄드로139(청라동, 125-6)</t>
  </si>
  <si>
    <t>서구 크리스탈로 46(청라동 173-2번지)</t>
  </si>
  <si>
    <t>456-9110</t>
  </si>
  <si>
    <t>강화군 교동면 대룡안길 29(대룡리 535)</t>
  </si>
  <si>
    <t>627-6635</t>
  </si>
  <si>
    <t>강화군 불은면 불은남로544번길 9(두운리 572)</t>
  </si>
  <si>
    <t>강화군 서도면 주문도길 173(주문도리 53)</t>
  </si>
  <si>
    <t>강화군 송해면 전망대로 93-12(솔정리 640)</t>
  </si>
  <si>
    <t>강화군 양사면 덕하로 145(덕하리 117-1)</t>
  </si>
  <si>
    <t>강화군 하점면 강화대로 1190(신봉리 640)</t>
  </si>
  <si>
    <t>강화군 강화읍 합일길3(신문리 452)</t>
  </si>
  <si>
    <t>3권역</t>
    <phoneticPr fontId="17" type="noConversion"/>
  </si>
  <si>
    <t>도화동</t>
    <phoneticPr fontId="9" type="noConversion"/>
  </si>
  <si>
    <t>공립</t>
    <phoneticPr fontId="17" type="noConversion"/>
  </si>
  <si>
    <t>인천도화초등학교병설유치원</t>
    <phoneticPr fontId="9" type="noConversion"/>
  </si>
  <si>
    <t>629-0575</t>
    <phoneticPr fontId="9" type="noConversion"/>
  </si>
  <si>
    <t>865-6137</t>
    <phoneticPr fontId="9" type="noConversion"/>
  </si>
  <si>
    <t>인천서화초등학교병설유치원</t>
    <phoneticPr fontId="9" type="noConversion"/>
  </si>
  <si>
    <t>868-9237</t>
    <phoneticPr fontId="16" type="noConversion"/>
  </si>
  <si>
    <t>인천용일초등학교병설유치원</t>
    <phoneticPr fontId="9" type="noConversion"/>
  </si>
  <si>
    <t>미추홀구 인주대로 244</t>
    <phoneticPr fontId="9" type="noConversion"/>
  </si>
  <si>
    <t>629-0873</t>
    <phoneticPr fontId="9" type="noConversion"/>
  </si>
  <si>
    <t>629-0878</t>
    <phoneticPr fontId="9" type="noConversion"/>
  </si>
  <si>
    <t>인천용학초등학교병설유치원</t>
    <phoneticPr fontId="9" type="noConversion"/>
  </si>
  <si>
    <t>미추홀구 용정공원로83번길 9(용현동 664-4)</t>
    <phoneticPr fontId="9" type="noConversion"/>
  </si>
  <si>
    <t>인천학익초등학교병설유치원</t>
    <phoneticPr fontId="9" type="noConversion"/>
  </si>
  <si>
    <t>629-0428</t>
    <phoneticPr fontId="9" type="noConversion"/>
  </si>
  <si>
    <t>인천연학초등학교병설유치원</t>
    <phoneticPr fontId="9" type="noConversion"/>
  </si>
  <si>
    <t>미추홀구 주승로 20(학익동 29-2)</t>
    <phoneticPr fontId="16" type="noConversion"/>
  </si>
  <si>
    <t>4권역</t>
    <phoneticPr fontId="17" type="noConversion"/>
  </si>
  <si>
    <t>문학동</t>
    <phoneticPr fontId="9" type="noConversion"/>
  </si>
  <si>
    <t>인천문학초등학교병설유치원</t>
    <phoneticPr fontId="9" type="noConversion"/>
  </si>
  <si>
    <t>629-0153</t>
    <phoneticPr fontId="9" type="noConversion"/>
  </si>
  <si>
    <t>인천주안초등학교병설유치원</t>
    <phoneticPr fontId="9" type="noConversion"/>
  </si>
  <si>
    <t>458-9919</t>
    <phoneticPr fontId="3" type="noConversion"/>
  </si>
  <si>
    <t>438-1405</t>
    <phoneticPr fontId="3" type="noConversion"/>
  </si>
  <si>
    <t>인천경원초등학교병설유치원</t>
    <phoneticPr fontId="9" type="noConversion"/>
  </si>
  <si>
    <t>629-2142</t>
    <phoneticPr fontId="9" type="noConversion"/>
  </si>
  <si>
    <t>424-1693</t>
    <phoneticPr fontId="9" type="noConversion"/>
  </si>
  <si>
    <t>2권역</t>
    <phoneticPr fontId="17" type="noConversion"/>
  </si>
  <si>
    <t>금창동</t>
    <phoneticPr fontId="9" type="noConversion"/>
  </si>
  <si>
    <t>인천창영초등학교병설유치원</t>
    <phoneticPr fontId="9" type="noConversion"/>
  </si>
  <si>
    <t>동구 우각로 15번길 16(창영동 30번지)</t>
    <phoneticPr fontId="9" type="noConversion"/>
  </si>
  <si>
    <t>송림동</t>
    <phoneticPr fontId="9" type="noConversion"/>
  </si>
  <si>
    <t>인천송림초등학교병설유치원</t>
    <phoneticPr fontId="9" type="noConversion"/>
  </si>
  <si>
    <t>동구 화도진로 10(송림동 235-1번지)</t>
    <phoneticPr fontId="9" type="noConversion"/>
  </si>
  <si>
    <t>458-9600</t>
    <phoneticPr fontId="9" type="noConversion"/>
  </si>
  <si>
    <t>인천서림초등학교병설유치원</t>
    <phoneticPr fontId="9" type="noConversion"/>
  </si>
  <si>
    <t>629-1757</t>
    <phoneticPr fontId="9" type="noConversion"/>
  </si>
  <si>
    <t>629-1772</t>
    <phoneticPr fontId="9" type="noConversion"/>
  </si>
  <si>
    <t>화수동</t>
    <phoneticPr fontId="9" type="noConversion"/>
  </si>
  <si>
    <t>19권역</t>
    <phoneticPr fontId="17" type="noConversion"/>
  </si>
  <si>
    <t>북도면</t>
    <phoneticPr fontId="9" type="noConversion"/>
  </si>
  <si>
    <t>20권역</t>
    <phoneticPr fontId="17" type="noConversion"/>
  </si>
  <si>
    <t>연평면</t>
    <phoneticPr fontId="9" type="noConversion"/>
  </si>
  <si>
    <t>연평초등학교병설유치원</t>
    <phoneticPr fontId="9" type="noConversion"/>
  </si>
  <si>
    <t>627-1771</t>
    <phoneticPr fontId="9" type="noConversion"/>
  </si>
  <si>
    <t>21권역</t>
    <phoneticPr fontId="17" type="noConversion"/>
  </si>
  <si>
    <t>백령면</t>
    <phoneticPr fontId="9" type="noConversion"/>
  </si>
  <si>
    <t>북포초등학교병설유치원</t>
    <phoneticPr fontId="9" type="noConversion"/>
  </si>
  <si>
    <t>22권역</t>
    <phoneticPr fontId="17" type="noConversion"/>
  </si>
  <si>
    <t>대청면</t>
    <phoneticPr fontId="9" type="noConversion"/>
  </si>
  <si>
    <t>23권역</t>
    <phoneticPr fontId="17" type="noConversion"/>
  </si>
  <si>
    <t>덕적면</t>
    <phoneticPr fontId="9" type="noConversion"/>
  </si>
  <si>
    <t>덕적초등학교병설유치원</t>
    <phoneticPr fontId="9" type="noConversion"/>
  </si>
  <si>
    <t>454-0575</t>
    <phoneticPr fontId="9" type="noConversion"/>
  </si>
  <si>
    <t>24권역</t>
    <phoneticPr fontId="17" type="noConversion"/>
  </si>
  <si>
    <t>자월면</t>
    <phoneticPr fontId="9" type="noConversion"/>
  </si>
  <si>
    <t>인천남부초등학교이작분교장병설유치원</t>
    <phoneticPr fontId="9" type="noConversion"/>
  </si>
  <si>
    <t>옹진군 자월면 대이작로 60번길</t>
    <phoneticPr fontId="9" type="noConversion"/>
  </si>
  <si>
    <t>1권역</t>
    <phoneticPr fontId="17" type="noConversion"/>
  </si>
  <si>
    <t>신포동</t>
    <phoneticPr fontId="9" type="noConversion"/>
  </si>
  <si>
    <t>인천신흥초등학교병설유치원</t>
    <phoneticPr fontId="9" type="noConversion"/>
  </si>
  <si>
    <t>신흥동</t>
    <phoneticPr fontId="9" type="noConversion"/>
  </si>
  <si>
    <t>인천신선초등학교병설유치원</t>
    <phoneticPr fontId="9" type="noConversion"/>
  </si>
  <si>
    <t>연안동</t>
    <phoneticPr fontId="9" type="noConversion"/>
  </si>
  <si>
    <t>인천연안초등학교병설유치원</t>
    <phoneticPr fontId="9" type="noConversion"/>
  </si>
  <si>
    <t>18권역</t>
    <phoneticPr fontId="17" type="noConversion"/>
  </si>
  <si>
    <t>영종동</t>
    <phoneticPr fontId="9" type="noConversion"/>
  </si>
  <si>
    <t>영종유치원</t>
    <phoneticPr fontId="9" type="noConversion"/>
  </si>
  <si>
    <t>중구 백운로 57-25(중산동 1347-1)</t>
    <phoneticPr fontId="9" type="noConversion"/>
  </si>
  <si>
    <t>747-1082</t>
    <phoneticPr fontId="9" type="noConversion"/>
  </si>
  <si>
    <t>747-1084</t>
    <phoneticPr fontId="9" type="noConversion"/>
  </si>
  <si>
    <t>인천별빛초등학교병설유치원</t>
    <phoneticPr fontId="9" type="noConversion"/>
  </si>
  <si>
    <t>752-8459</t>
    <phoneticPr fontId="16" type="noConversion"/>
  </si>
  <si>
    <t>인천영종초등학교병설유치원</t>
    <phoneticPr fontId="9" type="noConversion"/>
  </si>
  <si>
    <t>627-9881</t>
    <phoneticPr fontId="9" type="noConversion"/>
  </si>
  <si>
    <t>746-9429</t>
    <phoneticPr fontId="9" type="noConversion"/>
  </si>
  <si>
    <t>인천중산초등학교병설유치원</t>
    <phoneticPr fontId="9" type="noConversion"/>
  </si>
  <si>
    <t>중구 두미포로 100(중산동 1887-3번지)</t>
    <phoneticPr fontId="9" type="noConversion"/>
  </si>
  <si>
    <t>539-3604</t>
    <phoneticPr fontId="9" type="noConversion"/>
  </si>
  <si>
    <t>인천하늘초등학교병설유치원</t>
    <phoneticPr fontId="9" type="noConversion"/>
  </si>
  <si>
    <t>용유동</t>
    <phoneticPr fontId="9" type="noConversion"/>
  </si>
  <si>
    <t>인천용유초등학교병설유치원</t>
    <phoneticPr fontId="9" type="noConversion"/>
  </si>
  <si>
    <t>중구 남북로 87번길(남북동 584-2)</t>
    <phoneticPr fontId="9" type="noConversion"/>
  </si>
  <si>
    <t>도화1동</t>
    <phoneticPr fontId="9" type="noConversion"/>
  </si>
  <si>
    <t>프라임건영유치원</t>
    <phoneticPr fontId="9" type="noConversion"/>
  </si>
  <si>
    <t>미추홀구 남주길11번길79(도화동 463-6)</t>
    <phoneticPr fontId="9" type="noConversion"/>
  </si>
  <si>
    <t>863-6854</t>
    <phoneticPr fontId="16" type="noConversion"/>
  </si>
  <si>
    <t>714-3795</t>
    <phoneticPr fontId="16" type="noConversion"/>
  </si>
  <si>
    <t>도화2,3동</t>
    <phoneticPr fontId="9" type="noConversion"/>
  </si>
  <si>
    <t>미추홀구 장고개로 42번길 42(도화동 119-16)</t>
    <phoneticPr fontId="9" type="noConversion"/>
  </si>
  <si>
    <t>숭의2동</t>
    <phoneticPr fontId="9" type="noConversion"/>
  </si>
  <si>
    <t>숭의유치원</t>
    <phoneticPr fontId="9" type="noConversion"/>
  </si>
  <si>
    <t>미추홀구구 독배로 485(숭의동 303-7)</t>
    <phoneticPr fontId="9" type="noConversion"/>
  </si>
  <si>
    <t>885-3399</t>
    <phoneticPr fontId="9" type="noConversion"/>
  </si>
  <si>
    <t>885-3343</t>
    <phoneticPr fontId="9" type="noConversion"/>
  </si>
  <si>
    <t>용현1,4동</t>
    <phoneticPr fontId="9" type="noConversion"/>
  </si>
  <si>
    <t>성바오로유치원</t>
    <phoneticPr fontId="9" type="noConversion"/>
  </si>
  <si>
    <t>미추홀구 경인남길 102번길 50(용현동 183-15)</t>
    <phoneticPr fontId="9" type="noConversion"/>
  </si>
  <si>
    <t>875-6204</t>
    <phoneticPr fontId="9" type="noConversion"/>
  </si>
  <si>
    <t>875-6205</t>
    <phoneticPr fontId="9" type="noConversion"/>
  </si>
  <si>
    <t>유원유치원</t>
    <phoneticPr fontId="9" type="noConversion"/>
  </si>
  <si>
    <t>용현5동</t>
    <phoneticPr fontId="9" type="noConversion"/>
  </si>
  <si>
    <t>금호유치원</t>
    <phoneticPr fontId="9" type="noConversion"/>
  </si>
  <si>
    <t>미추홀구 매소홀로 54(용현동 647-1)</t>
    <phoneticPr fontId="9" type="noConversion"/>
  </si>
  <si>
    <t>891-0188</t>
    <phoneticPr fontId="9" type="noConversion"/>
  </si>
  <si>
    <t>891-0189</t>
    <phoneticPr fontId="9" type="noConversion"/>
  </si>
  <si>
    <t>사립</t>
    <phoneticPr fontId="17" type="noConversion"/>
  </si>
  <si>
    <t>노벨유치원</t>
    <phoneticPr fontId="9" type="noConversion"/>
  </si>
  <si>
    <t>미추홀구 낙섬중로 74(용현동 577-58)</t>
    <phoneticPr fontId="9" type="noConversion"/>
  </si>
  <si>
    <t>884-1059</t>
    <phoneticPr fontId="9" type="noConversion"/>
  </si>
  <si>
    <t>888-7400</t>
    <phoneticPr fontId="9" type="noConversion"/>
  </si>
  <si>
    <t>소명유치원</t>
    <phoneticPr fontId="9" type="noConversion"/>
  </si>
  <si>
    <t>미추홀구 낙섬동로 71-1(용현동 611-75)</t>
    <phoneticPr fontId="9" type="noConversion"/>
  </si>
  <si>
    <t>학익1동</t>
    <phoneticPr fontId="9" type="noConversion"/>
  </si>
  <si>
    <t>한빛유치원</t>
    <phoneticPr fontId="9" type="noConversion"/>
  </si>
  <si>
    <t>미추홀구 소성로 120(학익동 719)</t>
    <phoneticPr fontId="9" type="noConversion"/>
  </si>
  <si>
    <t>다솜유치원</t>
    <phoneticPr fontId="16" type="noConversion"/>
  </si>
  <si>
    <t>인천시 미추홀구 학익소로 23번길 11(학익동 15-5)</t>
    <phoneticPr fontId="16" type="noConversion"/>
  </si>
  <si>
    <t>862-1600</t>
    <phoneticPr fontId="9" type="noConversion"/>
  </si>
  <si>
    <t>874-9596</t>
    <phoneticPr fontId="9" type="noConversion"/>
  </si>
  <si>
    <t>학익2동</t>
    <phoneticPr fontId="9" type="noConversion"/>
  </si>
  <si>
    <t>미추홀구 학익소로61번길 93(학익동 645)</t>
  </si>
  <si>
    <t>그림나라유치원</t>
    <phoneticPr fontId="9" type="noConversion"/>
  </si>
  <si>
    <t>미추홀구 소성로332번길 10(문학동 374-3)</t>
    <phoneticPr fontId="9" type="noConversion"/>
  </si>
  <si>
    <t>424-4088</t>
    <phoneticPr fontId="9" type="noConversion"/>
  </si>
  <si>
    <t>424-4089</t>
    <phoneticPr fontId="9" type="noConversion"/>
  </si>
  <si>
    <t>주안2동</t>
    <phoneticPr fontId="9" type="noConversion"/>
  </si>
  <si>
    <t>참빛유치원</t>
    <phoneticPr fontId="9" type="noConversion"/>
  </si>
  <si>
    <t>미추홀구 수봉로 135번길 29(주안2동 660-168)</t>
    <phoneticPr fontId="9" type="noConversion"/>
  </si>
  <si>
    <t>882-9371</t>
    <phoneticPr fontId="9" type="noConversion"/>
  </si>
  <si>
    <t>881-9371</t>
    <phoneticPr fontId="9" type="noConversion"/>
  </si>
  <si>
    <t>주안3동</t>
    <phoneticPr fontId="9" type="noConversion"/>
  </si>
  <si>
    <t>건영유치원</t>
    <phoneticPr fontId="9" type="noConversion"/>
  </si>
  <si>
    <t>미추홀구 인하로221번길 19(주안동 1418-126)</t>
    <phoneticPr fontId="9" type="noConversion"/>
  </si>
  <si>
    <t>866-6854</t>
    <phoneticPr fontId="9" type="noConversion"/>
  </si>
  <si>
    <t>714-3795</t>
    <phoneticPr fontId="9" type="noConversion"/>
  </si>
  <si>
    <t>미추홀구 인하로235번길 27(주안동 1420-32)</t>
  </si>
  <si>
    <t>주안4동</t>
    <phoneticPr fontId="9" type="noConversion"/>
  </si>
  <si>
    <t>미추홀구 경원대로 799(주안동 253-14)</t>
    <phoneticPr fontId="9" type="noConversion"/>
  </si>
  <si>
    <t>424-2364</t>
    <phoneticPr fontId="9" type="noConversion"/>
  </si>
  <si>
    <t>434-2172</t>
    <phoneticPr fontId="9" type="noConversion"/>
  </si>
  <si>
    <t>주안동</t>
    <phoneticPr fontId="9" type="noConversion"/>
  </si>
  <si>
    <t>하늘유치원</t>
    <phoneticPr fontId="9" type="noConversion"/>
  </si>
  <si>
    <t>미추홀구 미추홀대로 626번길 47(주안동1475-36)</t>
    <phoneticPr fontId="9" type="noConversion"/>
  </si>
  <si>
    <t>439-0071</t>
    <phoneticPr fontId="9" type="noConversion"/>
  </si>
  <si>
    <t>439-0072</t>
    <phoneticPr fontId="9" type="noConversion"/>
  </si>
  <si>
    <t>주안5동</t>
    <phoneticPr fontId="9" type="noConversion"/>
  </si>
  <si>
    <t>미주유치원</t>
    <phoneticPr fontId="9" type="noConversion"/>
  </si>
  <si>
    <t>미추홀구 석정로 461번길 19(주안동 19-42)</t>
    <phoneticPr fontId="9" type="noConversion"/>
  </si>
  <si>
    <t>872-8855</t>
    <phoneticPr fontId="9" type="noConversion"/>
  </si>
  <si>
    <t>연흥유치원</t>
    <phoneticPr fontId="9" type="noConversion"/>
  </si>
  <si>
    <t>용화유치원</t>
    <phoneticPr fontId="9" type="noConversion"/>
  </si>
  <si>
    <t>미추홀구 주염로 29(주안동 16-141)</t>
    <phoneticPr fontId="9" type="noConversion"/>
  </si>
  <si>
    <t>875-6543</t>
    <phoneticPr fontId="9" type="noConversion"/>
  </si>
  <si>
    <t>875-6545</t>
    <phoneticPr fontId="9" type="noConversion"/>
  </si>
  <si>
    <t>솔샘유치원</t>
    <phoneticPr fontId="9" type="noConversion"/>
  </si>
  <si>
    <t>주안7동</t>
    <phoneticPr fontId="16" type="noConversion"/>
  </si>
  <si>
    <t>주안8동</t>
    <phoneticPr fontId="9" type="noConversion"/>
  </si>
  <si>
    <t>재능대학교부속유치원</t>
    <phoneticPr fontId="9" type="noConversion"/>
  </si>
  <si>
    <t>송림6동</t>
    <phoneticPr fontId="9" type="noConversion"/>
  </si>
  <si>
    <t>산새소리유치원</t>
    <phoneticPr fontId="9" type="noConversion"/>
  </si>
  <si>
    <t>동구 송림로 117번길 6(송림동 42-31)</t>
    <phoneticPr fontId="9" type="noConversion"/>
  </si>
  <si>
    <t>212-1577</t>
    <phoneticPr fontId="9" type="noConversion"/>
  </si>
  <si>
    <t>송현1,2동</t>
    <phoneticPr fontId="9" type="noConversion"/>
  </si>
  <si>
    <t>솔빛유치원</t>
    <phoneticPr fontId="9" type="noConversion"/>
  </si>
  <si>
    <t>동구 화수로 2(송현동 167)</t>
    <phoneticPr fontId="9" type="noConversion"/>
  </si>
  <si>
    <t>777-5021</t>
    <phoneticPr fontId="9" type="noConversion"/>
  </si>
  <si>
    <t>765-6060</t>
    <phoneticPr fontId="9" type="noConversion"/>
  </si>
  <si>
    <t>예원유치원</t>
    <phoneticPr fontId="9" type="noConversion"/>
  </si>
  <si>
    <t>동구 송현로(송현동 38-1)</t>
    <phoneticPr fontId="9" type="noConversion"/>
  </si>
  <si>
    <t>763-2958</t>
    <phoneticPr fontId="9" type="noConversion"/>
  </si>
  <si>
    <t>송현1,2동</t>
    <phoneticPr fontId="16" type="noConversion"/>
  </si>
  <si>
    <t>화수2동</t>
    <phoneticPr fontId="9" type="noConversion"/>
  </si>
  <si>
    <t>송현유치원</t>
    <phoneticPr fontId="9" type="noConversion"/>
  </si>
  <si>
    <t>박문유치원</t>
    <phoneticPr fontId="9" type="noConversion"/>
  </si>
  <si>
    <t>중구 우현로 50번길2(답동 3)</t>
    <phoneticPr fontId="9" type="noConversion"/>
  </si>
  <si>
    <t>762-7614</t>
    <phoneticPr fontId="9" type="noConversion"/>
  </si>
  <si>
    <t>765-5090</t>
    <phoneticPr fontId="9" type="noConversion"/>
  </si>
  <si>
    <t>지영유치원</t>
    <phoneticPr fontId="9" type="noConversion"/>
  </si>
  <si>
    <t>인천시 중구 도원로 8번길 28(신흥동 신흥3가 11-2)</t>
    <phoneticPr fontId="9" type="noConversion"/>
  </si>
  <si>
    <t>882-6161</t>
    <phoneticPr fontId="9" type="noConversion"/>
  </si>
  <si>
    <t>882-4769</t>
    <phoneticPr fontId="9" type="noConversion"/>
  </si>
  <si>
    <t>영종2동</t>
    <phoneticPr fontId="9" type="noConversion"/>
  </si>
  <si>
    <t>뒤나미스유치원</t>
    <phoneticPr fontId="9" type="noConversion"/>
  </si>
  <si>
    <t>752-9897</t>
    <phoneticPr fontId="9" type="noConversion"/>
  </si>
  <si>
    <t>715-4310</t>
    <phoneticPr fontId="9" type="noConversion"/>
  </si>
  <si>
    <t>운서동</t>
    <phoneticPr fontId="9" type="noConversion"/>
  </si>
  <si>
    <t>무지개유치원</t>
    <phoneticPr fontId="9" type="noConversion"/>
  </si>
  <si>
    <t>중구 눈돌로 35(운서동 2776-2)</t>
    <phoneticPr fontId="9" type="noConversion"/>
  </si>
  <si>
    <t>751-3008</t>
    <phoneticPr fontId="9" type="noConversion"/>
  </si>
  <si>
    <t>18권역</t>
    <phoneticPr fontId="16" type="noConversion"/>
  </si>
  <si>
    <t>초롱유치원</t>
    <phoneticPr fontId="9" type="noConversion"/>
  </si>
  <si>
    <t>중구 영종대로27번길 38(운서동 2748-1)</t>
    <phoneticPr fontId="9" type="noConversion"/>
  </si>
  <si>
    <t>751-8400</t>
    <phoneticPr fontId="9" type="noConversion"/>
  </si>
  <si>
    <t>중구 은골로 42(운서동2705-3)</t>
    <phoneticPr fontId="16" type="noConversion"/>
  </si>
  <si>
    <t>11권역</t>
    <phoneticPr fontId="16" type="noConversion"/>
  </si>
  <si>
    <t>계양구 벌말로 572-1</t>
    <phoneticPr fontId="16" type="noConversion"/>
  </si>
  <si>
    <t>544-5533</t>
    <phoneticPr fontId="16" type="noConversion"/>
  </si>
  <si>
    <t>544-5534</t>
    <phoneticPr fontId="16" type="noConversion"/>
  </si>
  <si>
    <t>2025년도</t>
    <phoneticPr fontId="16" type="noConversion"/>
  </si>
  <si>
    <t>8권역</t>
    <phoneticPr fontId="17" type="noConversion"/>
  </si>
  <si>
    <t>부평구</t>
    <phoneticPr fontId="16" type="noConversion"/>
  </si>
  <si>
    <t>8권역</t>
    <phoneticPr fontId="16" type="noConversion"/>
  </si>
  <si>
    <t>산곡1동</t>
    <phoneticPr fontId="9" type="noConversion"/>
  </si>
  <si>
    <t>산곡2동</t>
    <phoneticPr fontId="16" type="noConversion"/>
  </si>
  <si>
    <t>정민유치원</t>
  </si>
  <si>
    <t>부평구 부흥로111번길 51(산곡동 252-19)</t>
    <phoneticPr fontId="16" type="noConversion"/>
  </si>
  <si>
    <t>산곡3동</t>
    <phoneticPr fontId="16" type="noConversion"/>
  </si>
  <si>
    <t>부평구 안남로 272(청천동 200)</t>
    <phoneticPr fontId="16" type="noConversion"/>
  </si>
  <si>
    <t>9권역</t>
    <phoneticPr fontId="17" type="noConversion"/>
  </si>
  <si>
    <t>부개2동</t>
    <phoneticPr fontId="9" type="noConversion"/>
  </si>
  <si>
    <t>드림유치원</t>
    <phoneticPr fontId="9" type="noConversion"/>
  </si>
  <si>
    <t>부개3동</t>
    <phoneticPr fontId="16" type="noConversion"/>
  </si>
  <si>
    <t>부평구 충선로 124-17(부개동 63-31)</t>
    <phoneticPr fontId="16" type="noConversion"/>
  </si>
  <si>
    <t>부평4동</t>
    <phoneticPr fontId="16" type="noConversion"/>
  </si>
  <si>
    <t>삼산2동</t>
    <phoneticPr fontId="16" type="noConversion"/>
  </si>
  <si>
    <t>10권역</t>
    <phoneticPr fontId="17" type="noConversion"/>
  </si>
  <si>
    <t>작전1동</t>
    <phoneticPr fontId="16" type="noConversion"/>
  </si>
  <si>
    <t>계양구</t>
    <phoneticPr fontId="16" type="noConversion"/>
  </si>
  <si>
    <t>작전서운동</t>
    <phoneticPr fontId="9" type="noConversion"/>
  </si>
  <si>
    <t>효성1동</t>
    <phoneticPr fontId="9" type="noConversion"/>
  </si>
  <si>
    <t>10권역</t>
    <phoneticPr fontId="16" type="noConversion"/>
  </si>
  <si>
    <t>11권역</t>
    <phoneticPr fontId="17" type="noConversion"/>
  </si>
  <si>
    <t>계양구 계양산로 63(계산동 548-4)</t>
    <phoneticPr fontId="16" type="noConversion"/>
  </si>
  <si>
    <t>계양1동</t>
    <phoneticPr fontId="9" type="noConversion"/>
  </si>
  <si>
    <t>계양2동</t>
    <phoneticPr fontId="16" type="noConversion"/>
  </si>
  <si>
    <t>계양구 장제로928번길 23(병방동 100-1)</t>
    <phoneticPr fontId="16" type="noConversion"/>
  </si>
  <si>
    <t>계양3동</t>
    <phoneticPr fontId="9" type="noConversion"/>
  </si>
  <si>
    <t>14권역</t>
    <phoneticPr fontId="17" type="noConversion"/>
  </si>
  <si>
    <t>인천송빛초등학교병설유치원</t>
    <phoneticPr fontId="9" type="noConversion"/>
  </si>
  <si>
    <t>858-6783</t>
    <phoneticPr fontId="9" type="noConversion"/>
  </si>
  <si>
    <t>15권역</t>
    <phoneticPr fontId="17" type="noConversion"/>
  </si>
  <si>
    <t>간석2동</t>
    <phoneticPr fontId="9" type="noConversion"/>
  </si>
  <si>
    <t>인천상아초등학교병설유치원</t>
    <phoneticPr fontId="9" type="noConversion"/>
  </si>
  <si>
    <t>남동구 석산로 184번길 66(간석동 939-4)</t>
    <phoneticPr fontId="9" type="noConversion"/>
  </si>
  <si>
    <t>473-3024</t>
    <phoneticPr fontId="9" type="noConversion"/>
  </si>
  <si>
    <t>473-3030</t>
    <phoneticPr fontId="9" type="noConversion"/>
  </si>
  <si>
    <t>인천주원초등학교병설유치원</t>
    <phoneticPr fontId="9" type="noConversion"/>
  </si>
  <si>
    <t>431-0046</t>
    <phoneticPr fontId="9" type="noConversion"/>
  </si>
  <si>
    <t>431-0043</t>
    <phoneticPr fontId="9" type="noConversion"/>
  </si>
  <si>
    <t>구월1동</t>
    <phoneticPr fontId="9" type="noConversion"/>
  </si>
  <si>
    <t>인천구월유치원</t>
    <phoneticPr fontId="9" type="noConversion"/>
  </si>
  <si>
    <t>남동구 인하로 622(구월동 1520)</t>
    <phoneticPr fontId="9" type="noConversion"/>
  </si>
  <si>
    <t>627-9190</t>
    <phoneticPr fontId="9" type="noConversion"/>
  </si>
  <si>
    <t>472-4597</t>
    <phoneticPr fontId="9" type="noConversion"/>
  </si>
  <si>
    <t xml:space="preserve"> - </t>
  </si>
  <si>
    <t>구월2동</t>
    <phoneticPr fontId="9" type="noConversion"/>
  </si>
  <si>
    <t>인천간석초등학교병설유치원</t>
    <phoneticPr fontId="9" type="noConversion"/>
  </si>
  <si>
    <t>510-7880</t>
    <phoneticPr fontId="9" type="noConversion"/>
  </si>
  <si>
    <t>510-7881</t>
    <phoneticPr fontId="9" type="noConversion"/>
  </si>
  <si>
    <t>인천정각초등학교병설유치원</t>
    <phoneticPr fontId="9" type="noConversion"/>
  </si>
  <si>
    <t>남동구 구월로 228(구월동 24-2번지)</t>
    <phoneticPr fontId="9" type="noConversion"/>
  </si>
  <si>
    <t>629-6593</t>
    <phoneticPr fontId="9" type="noConversion"/>
  </si>
  <si>
    <t>462-0181</t>
    <phoneticPr fontId="9" type="noConversion"/>
  </si>
  <si>
    <t>구월4동</t>
    <phoneticPr fontId="9" type="noConversion"/>
  </si>
  <si>
    <t>인천신월초등학교병설유치원</t>
    <phoneticPr fontId="9" type="noConversion"/>
  </si>
  <si>
    <t>남동구 담방로 121(만수동 1005-2번지)</t>
  </si>
  <si>
    <t>16권역</t>
    <phoneticPr fontId="17" type="noConversion"/>
  </si>
  <si>
    <t>만수3동</t>
    <phoneticPr fontId="9" type="noConversion"/>
  </si>
  <si>
    <t>인천동부초등학교병설유치원</t>
    <phoneticPr fontId="9" type="noConversion"/>
  </si>
  <si>
    <t>629-4108</t>
    <phoneticPr fontId="9" type="noConversion"/>
  </si>
  <si>
    <t>466-7463</t>
    <phoneticPr fontId="9" type="noConversion"/>
  </si>
  <si>
    <t>인천인동초등학교병설유치원</t>
    <phoneticPr fontId="9" type="noConversion"/>
  </si>
  <si>
    <t>629-5859</t>
    <phoneticPr fontId="9" type="noConversion"/>
  </si>
  <si>
    <t>만수6동</t>
    <phoneticPr fontId="9" type="noConversion"/>
  </si>
  <si>
    <t>인천만수초등학교병설유치원</t>
    <phoneticPr fontId="9" type="noConversion"/>
  </si>
  <si>
    <t>서창2동</t>
    <phoneticPr fontId="9" type="noConversion"/>
  </si>
  <si>
    <t>인천장서초등학교병설유치원</t>
    <phoneticPr fontId="9" type="noConversion"/>
  </si>
  <si>
    <t>남동구 서창남순환로 109(서창동 678)</t>
    <phoneticPr fontId="9" type="noConversion"/>
  </si>
  <si>
    <t>인천한빛초등학교병설유치원</t>
    <phoneticPr fontId="9" type="noConversion"/>
  </si>
  <si>
    <t>471-6436</t>
    <phoneticPr fontId="9" type="noConversion"/>
  </si>
  <si>
    <t>472-4892</t>
    <phoneticPr fontId="9" type="noConversion"/>
  </si>
  <si>
    <t>장수서창동</t>
    <phoneticPr fontId="9" type="noConversion"/>
  </si>
  <si>
    <t>인천서창초등학교병설유치원</t>
    <phoneticPr fontId="9" type="noConversion"/>
  </si>
  <si>
    <t>남동구 장아산로 174번길 8(서창동 560-6)</t>
    <phoneticPr fontId="9" type="noConversion"/>
  </si>
  <si>
    <t>465-0227</t>
    <phoneticPr fontId="9" type="noConversion"/>
  </si>
  <si>
    <t>남동구 남촌로 101 (남촌동 556-19)</t>
  </si>
  <si>
    <t>인천도림초등학교병설유치원</t>
    <phoneticPr fontId="16" type="noConversion"/>
  </si>
  <si>
    <t>17권역</t>
    <phoneticPr fontId="17" type="noConversion"/>
  </si>
  <si>
    <t>논현1동</t>
    <phoneticPr fontId="9" type="noConversion"/>
  </si>
  <si>
    <t>인천소래초등학교병설유치원</t>
    <phoneticPr fontId="9" type="noConversion"/>
  </si>
  <si>
    <t>629-5930</t>
    <phoneticPr fontId="9" type="noConversion"/>
  </si>
  <si>
    <t>인천장도초등학교병설유치원</t>
    <phoneticPr fontId="9" type="noConversion"/>
  </si>
  <si>
    <t>남동구 포구로 112(논현동 600-2)</t>
    <phoneticPr fontId="9" type="noConversion"/>
  </si>
  <si>
    <t>446-8735</t>
    <phoneticPr fontId="9" type="noConversion"/>
  </si>
  <si>
    <t>629-6485</t>
    <phoneticPr fontId="9" type="noConversion"/>
  </si>
  <si>
    <t>논현2동</t>
    <phoneticPr fontId="9" type="noConversion"/>
  </si>
  <si>
    <t>논현유치원</t>
    <phoneticPr fontId="9" type="noConversion"/>
  </si>
  <si>
    <t>남동구 은봉로 177(논현동 580-4)</t>
    <phoneticPr fontId="9" type="noConversion"/>
  </si>
  <si>
    <t>인천논곡초등학교병설유치원</t>
    <phoneticPr fontId="9" type="noConversion"/>
  </si>
  <si>
    <t>남동구 함박뫼로 429 (논현동 563-5번지)</t>
    <phoneticPr fontId="9" type="noConversion"/>
  </si>
  <si>
    <t>032-629-5713</t>
    <phoneticPr fontId="9" type="noConversion"/>
  </si>
  <si>
    <t>032-446-2989</t>
    <phoneticPr fontId="9" type="noConversion"/>
  </si>
  <si>
    <t>인천동방초등학교병설유치원</t>
    <phoneticPr fontId="9" type="noConversion"/>
  </si>
  <si>
    <t>남동구 논현역로 31(논현동 633-8)</t>
    <phoneticPr fontId="9" type="noConversion"/>
  </si>
  <si>
    <t>442-0343</t>
    <phoneticPr fontId="9" type="noConversion"/>
  </si>
  <si>
    <t>442-0340</t>
    <phoneticPr fontId="9" type="noConversion"/>
  </si>
  <si>
    <t>논현고잔동</t>
    <phoneticPr fontId="9" type="noConversion"/>
  </si>
  <si>
    <t>인천고잔유치원</t>
    <phoneticPr fontId="9" type="noConversion"/>
  </si>
  <si>
    <t>남동구 앵고개로815번길 71(논현동 738-3)</t>
    <phoneticPr fontId="9" type="noConversion"/>
  </si>
  <si>
    <t>438-5261</t>
    <phoneticPr fontId="9" type="noConversion"/>
  </si>
  <si>
    <t>438-5264</t>
    <phoneticPr fontId="9" type="noConversion"/>
  </si>
  <si>
    <t>인천고잔초등학교병설유치원</t>
    <phoneticPr fontId="9" type="noConversion"/>
  </si>
  <si>
    <t>남동구 아암대로 1503번길48(논현동 774-2번지)</t>
    <phoneticPr fontId="9" type="noConversion"/>
  </si>
  <si>
    <t>439-6868</t>
    <phoneticPr fontId="9" type="noConversion"/>
  </si>
  <si>
    <t>인천사리울초등학교병설유치원</t>
    <phoneticPr fontId="9" type="noConversion"/>
  </si>
  <si>
    <t>인천원동초등학교병설유치원</t>
    <phoneticPr fontId="9" type="noConversion"/>
  </si>
  <si>
    <t>남동구 논고개로 38(논현동 755-2)</t>
    <phoneticPr fontId="9" type="noConversion"/>
  </si>
  <si>
    <t>629-7010</t>
    <phoneticPr fontId="9" type="noConversion"/>
  </si>
  <si>
    <t>442-7354</t>
    <phoneticPr fontId="9" type="noConversion"/>
  </si>
  <si>
    <t>12권역</t>
    <phoneticPr fontId="17" type="noConversion"/>
  </si>
  <si>
    <t>동춘1동</t>
    <phoneticPr fontId="9" type="noConversion"/>
  </si>
  <si>
    <t>인천동춘초등학교병설유치원</t>
    <phoneticPr fontId="9" type="noConversion"/>
  </si>
  <si>
    <t>817-8996</t>
    <phoneticPr fontId="9" type="noConversion"/>
  </si>
  <si>
    <t>인천새봄초등학교병설유치원</t>
    <phoneticPr fontId="9" type="noConversion"/>
  </si>
  <si>
    <t>455-8820</t>
    <phoneticPr fontId="9" type="noConversion"/>
  </si>
  <si>
    <t>455-8891</t>
    <phoneticPr fontId="16" type="noConversion"/>
  </si>
  <si>
    <t>13권역</t>
    <phoneticPr fontId="17" type="noConversion"/>
  </si>
  <si>
    <t>옥련1동</t>
    <phoneticPr fontId="9" type="noConversion"/>
  </si>
  <si>
    <t>인천축현초등학교병설유치원</t>
    <phoneticPr fontId="9" type="noConversion"/>
  </si>
  <si>
    <t>연수구 청량로 176(옥련동 405-5번지)</t>
    <phoneticPr fontId="9" type="noConversion"/>
  </si>
  <si>
    <t>629-5889</t>
    <phoneticPr fontId="9" type="noConversion"/>
  </si>
  <si>
    <t>834-8494</t>
    <phoneticPr fontId="9" type="noConversion"/>
  </si>
  <si>
    <t>청학동</t>
    <phoneticPr fontId="9" type="noConversion"/>
  </si>
  <si>
    <t>인천청학초등학교병설유치원</t>
    <phoneticPr fontId="9" type="noConversion"/>
  </si>
  <si>
    <t>송도1동</t>
    <phoneticPr fontId="9" type="noConversion"/>
  </si>
  <si>
    <t>인천먼우금초등학교병설유치원</t>
    <phoneticPr fontId="9" type="noConversion"/>
  </si>
  <si>
    <t>629-6246</t>
    <phoneticPr fontId="9" type="noConversion"/>
  </si>
  <si>
    <t>851-0534</t>
    <phoneticPr fontId="9" type="noConversion"/>
  </si>
  <si>
    <t>연수구 해돋이로 556번길 28(송도동 3-42번지)</t>
    <phoneticPr fontId="9" type="noConversion"/>
  </si>
  <si>
    <t>858-0939</t>
    <phoneticPr fontId="9" type="noConversion"/>
  </si>
  <si>
    <t>인천해송초등학교병설유치원</t>
    <phoneticPr fontId="9" type="noConversion"/>
  </si>
  <si>
    <t>송도2동</t>
    <phoneticPr fontId="9" type="noConversion"/>
  </si>
  <si>
    <t>인천명선초등학교병설유치원</t>
    <phoneticPr fontId="9" type="noConversion"/>
  </si>
  <si>
    <t>연수구 컨벤시아대로로 42번길 64(송도동 15-5번지)</t>
    <phoneticPr fontId="9" type="noConversion"/>
  </si>
  <si>
    <t>629-7256</t>
    <phoneticPr fontId="9" type="noConversion"/>
  </si>
  <si>
    <t>인천신정초등학교병설유치원</t>
    <phoneticPr fontId="9" type="noConversion"/>
  </si>
  <si>
    <t>연수구 송도교육로 79(송도동 194-8)</t>
    <phoneticPr fontId="9" type="noConversion"/>
  </si>
  <si>
    <t>456-7500</t>
    <phoneticPr fontId="9" type="noConversion"/>
  </si>
  <si>
    <t>822-9602</t>
    <phoneticPr fontId="9" type="noConversion"/>
  </si>
  <si>
    <t>연수구 송도교육로19 (송도동 191-5번지)</t>
    <phoneticPr fontId="9" type="noConversion"/>
  </si>
  <si>
    <t>830-7574</t>
    <phoneticPr fontId="9" type="noConversion"/>
  </si>
  <si>
    <t>830-7576</t>
    <phoneticPr fontId="9" type="noConversion"/>
  </si>
  <si>
    <t>연수구</t>
    <phoneticPr fontId="16" type="noConversion"/>
  </si>
  <si>
    <t>송도3동</t>
    <phoneticPr fontId="9" type="noConversion"/>
  </si>
  <si>
    <t>인천송원초등학교병설유치원</t>
    <phoneticPr fontId="9" type="noConversion"/>
  </si>
  <si>
    <t>830-7390</t>
    <phoneticPr fontId="9" type="noConversion"/>
  </si>
  <si>
    <t>830-7329</t>
    <phoneticPr fontId="9" type="noConversion"/>
  </si>
  <si>
    <t>인천첨단초등학교병설유치원</t>
    <phoneticPr fontId="9" type="noConversion"/>
  </si>
  <si>
    <t>송도4동</t>
    <phoneticPr fontId="9" type="noConversion"/>
  </si>
  <si>
    <t>인천송일초등학교병설유치원</t>
    <phoneticPr fontId="9" type="noConversion"/>
  </si>
  <si>
    <t>인천예송유치원</t>
    <phoneticPr fontId="9" type="noConversion"/>
  </si>
  <si>
    <t>629-9570</t>
    <phoneticPr fontId="9" type="noConversion"/>
  </si>
  <si>
    <t>858-9482</t>
    <phoneticPr fontId="9" type="noConversion"/>
  </si>
  <si>
    <t>연수구 컨벤시아대로 252번길 75(송도동 105번지)</t>
  </si>
  <si>
    <t>458-9170</t>
    <phoneticPr fontId="16" type="noConversion"/>
  </si>
  <si>
    <t>452-8174</t>
    <phoneticPr fontId="9" type="noConversion"/>
  </si>
  <si>
    <t>858-8955</t>
    <phoneticPr fontId="9" type="noConversion"/>
  </si>
  <si>
    <t>연수구 아카데미로 655(송도동 309-4번지)</t>
    <phoneticPr fontId="9" type="noConversion"/>
  </si>
  <si>
    <t>460-6900</t>
    <phoneticPr fontId="9" type="noConversion"/>
  </si>
  <si>
    <t>858-0534</t>
    <phoneticPr fontId="9" type="noConversion"/>
  </si>
  <si>
    <t>송도5동</t>
    <phoneticPr fontId="9" type="noConversion"/>
  </si>
  <si>
    <t>인천송담초등학교병설유치원</t>
    <phoneticPr fontId="9" type="noConversion"/>
  </si>
  <si>
    <t>인천은송초등학교병설유치원</t>
    <phoneticPr fontId="9" type="noConversion"/>
  </si>
  <si>
    <t>연수구 센트럴로 460(송도동 314-1번지)</t>
    <phoneticPr fontId="9" type="noConversion"/>
  </si>
  <si>
    <t>510-7510</t>
    <phoneticPr fontId="9" type="noConversion"/>
  </si>
  <si>
    <t>남동구 석산로 208번길 37(구월동 6-1번지)</t>
    <phoneticPr fontId="9" type="noConversion"/>
  </si>
  <si>
    <t>7권역</t>
    <phoneticPr fontId="17" type="noConversion"/>
  </si>
  <si>
    <t>마전동</t>
    <phoneticPr fontId="9" type="noConversion"/>
  </si>
  <si>
    <t>5권역</t>
    <phoneticPr fontId="17" type="noConversion"/>
  </si>
  <si>
    <t>가정1동</t>
    <phoneticPr fontId="9" type="noConversion"/>
  </si>
  <si>
    <t>가정3동</t>
    <phoneticPr fontId="9" type="noConversion"/>
  </si>
  <si>
    <t>가좌2동</t>
    <phoneticPr fontId="9" type="noConversion"/>
  </si>
  <si>
    <t>6권역</t>
    <phoneticPr fontId="17" type="noConversion"/>
  </si>
  <si>
    <t>검암경서동</t>
    <phoneticPr fontId="9" type="noConversion"/>
  </si>
  <si>
    <t>신현원창동</t>
    <phoneticPr fontId="9" type="noConversion"/>
  </si>
  <si>
    <t>연희동</t>
    <phoneticPr fontId="9" type="noConversion"/>
  </si>
  <si>
    <t>청라2동</t>
    <phoneticPr fontId="9" type="noConversion"/>
  </si>
  <si>
    <t>서구 솔빛로 68(청라동 105-4)</t>
  </si>
  <si>
    <t>당하동</t>
    <phoneticPr fontId="9" type="noConversion"/>
  </si>
  <si>
    <t>당하동</t>
    <phoneticPr fontId="16" type="noConversion"/>
  </si>
  <si>
    <t>불로대곡동</t>
    <phoneticPr fontId="9" type="noConversion"/>
  </si>
  <si>
    <t>오류왕길동</t>
    <phoneticPr fontId="9" type="noConversion"/>
  </si>
  <si>
    <t>원당동</t>
    <phoneticPr fontId="9" type="noConversion"/>
  </si>
  <si>
    <t>서구 고산후로 78번길 6(당하동 1038-1)</t>
  </si>
  <si>
    <t>한울유치원</t>
    <phoneticPr fontId="9" type="noConversion"/>
  </si>
  <si>
    <t>569-1908</t>
    <phoneticPr fontId="9" type="noConversion"/>
  </si>
  <si>
    <t>서구 도요지로201번길 10(검암동 676-3)</t>
  </si>
  <si>
    <t>강화읍</t>
    <phoneticPr fontId="9" type="noConversion"/>
  </si>
  <si>
    <t>강화읍</t>
    <phoneticPr fontId="16" type="noConversion"/>
  </si>
  <si>
    <t>인천남부초등학교이작분교장</t>
    <phoneticPr fontId="16" type="noConversion"/>
  </si>
  <si>
    <t>인천용현남초등학교자월분교장</t>
    <phoneticPr fontId="16" type="noConversion"/>
  </si>
  <si>
    <t>인천주안남초등학교승봉분교장</t>
    <phoneticPr fontId="16" type="noConversion"/>
  </si>
  <si>
    <t>유치</t>
    <phoneticPr fontId="3" type="noConversion"/>
  </si>
  <si>
    <t>□ 2026. 4. 1.자 학교 현황</t>
    <phoneticPr fontId="16" type="noConversion"/>
  </si>
  <si>
    <t>※ 2025. 4. 1.자와 비교(변동사항)</t>
    <phoneticPr fontId="16" type="noConversion"/>
  </si>
  <si>
    <t>2026년도</t>
    <phoneticPr fontId="16" type="noConversion"/>
  </si>
  <si>
    <t>제물포구</t>
  </si>
  <si>
    <t>제물포구</t>
    <phoneticPr fontId="16" type="noConversion"/>
  </si>
  <si>
    <t>영종구</t>
  </si>
  <si>
    <t>영종구</t>
    <phoneticPr fontId="16" type="noConversion"/>
  </si>
  <si>
    <t>검단구</t>
  </si>
  <si>
    <t>검단구</t>
    <phoneticPr fontId="16" type="noConversion"/>
  </si>
  <si>
    <t>개편후 행정구역(2026.7.1.시행)</t>
    <phoneticPr fontId="3" type="noConversion"/>
  </si>
  <si>
    <t>선인고등학교</t>
    <phoneticPr fontId="16" type="noConversion"/>
  </si>
  <si>
    <t>1895-06-27</t>
  </si>
  <si>
    <t>인화여자고등학교</t>
    <phoneticPr fontId="16" type="noConversion"/>
  </si>
  <si>
    <t>미추홀구 석정로 165(도화동 241번지)</t>
    <phoneticPr fontId="9" type="noConversion"/>
  </si>
  <si>
    <t>764-6552</t>
    <phoneticPr fontId="9" type="noConversion"/>
  </si>
  <si>
    <t>765-0621</t>
    <phoneticPr fontId="9" type="noConversion"/>
  </si>
  <si>
    <t>773-6044</t>
    <phoneticPr fontId="9" type="noConversion"/>
  </si>
  <si>
    <t>학익고등학교</t>
    <phoneticPr fontId="16" type="noConversion"/>
  </si>
  <si>
    <t>미추홀구 한나루로 358번길 23-22(미추홀구 학익동 688-1)</t>
    <phoneticPr fontId="9" type="noConversion"/>
  </si>
  <si>
    <t>627-3882</t>
    <phoneticPr fontId="9" type="noConversion"/>
  </si>
  <si>
    <t>학익여자고등학교</t>
    <phoneticPr fontId="16" type="noConversion"/>
  </si>
  <si>
    <t>미추홀구 주승로 52번길 8(학익동 646번지)</t>
    <phoneticPr fontId="9" type="noConversion"/>
  </si>
  <si>
    <t>미추홀구 소성로 350번길 29(미추홀구 문학동 394-4번지)</t>
  </si>
  <si>
    <t>627-0774</t>
    <phoneticPr fontId="9" type="noConversion"/>
  </si>
  <si>
    <t>627-0805</t>
    <phoneticPr fontId="9" type="noConversion"/>
  </si>
  <si>
    <t>627-0778</t>
    <phoneticPr fontId="9" type="noConversion"/>
  </si>
  <si>
    <t>미추홀구 장고개로31(도화동 1010번지)</t>
    <phoneticPr fontId="9" type="noConversion"/>
  </si>
  <si>
    <t>763-3037</t>
    <phoneticPr fontId="9" type="noConversion"/>
  </si>
  <si>
    <t>627-0564</t>
    <phoneticPr fontId="9" type="noConversion"/>
  </si>
  <si>
    <t>인천소방고등학교</t>
    <phoneticPr fontId="16" type="noConversion"/>
  </si>
  <si>
    <t>미추홀구 석정로 165(도화동 193-6)</t>
    <phoneticPr fontId="9" type="noConversion"/>
  </si>
  <si>
    <t>760-0106</t>
    <phoneticPr fontId="16" type="noConversion"/>
  </si>
  <si>
    <t>760-0123</t>
    <phoneticPr fontId="16" type="noConversion"/>
  </si>
  <si>
    <t>인천전자마이스터고등학교</t>
    <phoneticPr fontId="16" type="noConversion"/>
  </si>
  <si>
    <t>620-8631</t>
    <phoneticPr fontId="9" type="noConversion"/>
  </si>
  <si>
    <t>620-8607</t>
    <phoneticPr fontId="9" type="noConversion"/>
  </si>
  <si>
    <t>765-1014</t>
    <phoneticPr fontId="9" type="noConversion"/>
  </si>
  <si>
    <t>인하대학교사범대학부속고등학교</t>
    <phoneticPr fontId="16" type="noConversion"/>
  </si>
  <si>
    <t>인항고등학교</t>
    <phoneticPr fontId="16" type="noConversion"/>
  </si>
  <si>
    <t>미추홀구 매소홀로(용현5동 627-456)</t>
  </si>
  <si>
    <t>정석항공과학고등학교</t>
    <phoneticPr fontId="16" type="noConversion"/>
  </si>
  <si>
    <t>미추홀구 인하로 100(학익동 336-1)</t>
    <phoneticPr fontId="9" type="noConversion"/>
  </si>
  <si>
    <t>남</t>
    <phoneticPr fontId="16" type="noConversion"/>
  </si>
  <si>
    <t>동산고등학교</t>
    <phoneticPr fontId="16" type="noConversion"/>
  </si>
  <si>
    <t>763-7827</t>
    <phoneticPr fontId="16" type="noConversion"/>
  </si>
  <si>
    <t>763-7834</t>
    <phoneticPr fontId="16" type="noConversion"/>
  </si>
  <si>
    <t>764-7825</t>
    <phoneticPr fontId="16" type="noConversion"/>
  </si>
  <si>
    <t>영화국제관광고등학교</t>
    <phoneticPr fontId="16" type="noConversion"/>
  </si>
  <si>
    <t>1892-04-30</t>
    <phoneticPr fontId="3" type="noConversion"/>
  </si>
  <si>
    <t>764-5728</t>
    <phoneticPr fontId="9" type="noConversion"/>
  </si>
  <si>
    <t>890-7600</t>
    <phoneticPr fontId="9" type="noConversion"/>
  </si>
  <si>
    <t>890-7696</t>
    <phoneticPr fontId="9" type="noConversion"/>
  </si>
  <si>
    <t>764-1178</t>
    <phoneticPr fontId="9" type="noConversion"/>
  </si>
  <si>
    <t>대청고등학교</t>
    <phoneticPr fontId="16" type="noConversion"/>
  </si>
  <si>
    <t>대청면 대청로 244번길 116-45</t>
    <phoneticPr fontId="9" type="noConversion"/>
  </si>
  <si>
    <t xml:space="preserve">836-2013 </t>
    <phoneticPr fontId="9" type="noConversion"/>
  </si>
  <si>
    <t>백령고등학교</t>
    <phoneticPr fontId="16" type="noConversion"/>
  </si>
  <si>
    <t>옹진군 백령명 백령로 708(북포리255)</t>
    <phoneticPr fontId="9" type="noConversion"/>
  </si>
  <si>
    <t>연평고등학교</t>
    <phoneticPr fontId="16" type="noConversion"/>
  </si>
  <si>
    <t>인천영흥고등학교</t>
    <phoneticPr fontId="16" type="noConversion"/>
  </si>
  <si>
    <t>옹진군 영흥면 내동로 107</t>
    <phoneticPr fontId="9" type="noConversion"/>
  </si>
  <si>
    <t>인천해사고등학교</t>
    <phoneticPr fontId="16" type="noConversion"/>
  </si>
  <si>
    <t>중구 월미로 338(북성동1가 102-28)</t>
    <phoneticPr fontId="9" type="noConversion"/>
  </si>
  <si>
    <t>770-1004</t>
    <phoneticPr fontId="9" type="noConversion"/>
  </si>
  <si>
    <t>770-1055</t>
    <phoneticPr fontId="9" type="noConversion"/>
  </si>
  <si>
    <t>770-1010</t>
    <phoneticPr fontId="9" type="noConversion"/>
  </si>
  <si>
    <t>중구</t>
    <phoneticPr fontId="17" type="noConversion"/>
  </si>
  <si>
    <t>여</t>
    <phoneticPr fontId="17" type="noConversion"/>
  </si>
  <si>
    <t>인일여자고등학교</t>
    <phoneticPr fontId="16" type="noConversion"/>
  </si>
  <si>
    <t>중구 참외전로72번길 10(전동 25-4)</t>
  </si>
  <si>
    <t>762-3776</t>
    <phoneticPr fontId="17" type="noConversion"/>
  </si>
  <si>
    <t>인천공항고등학교</t>
    <phoneticPr fontId="16" type="noConversion"/>
  </si>
  <si>
    <t>중구 신도시북로 20(운서동 2709-2)</t>
    <phoneticPr fontId="9" type="noConversion"/>
  </si>
  <si>
    <t>746-2364</t>
    <phoneticPr fontId="16" type="noConversion"/>
  </si>
  <si>
    <t>인천영종고등학교</t>
    <phoneticPr fontId="16" type="noConversion"/>
  </si>
  <si>
    <t>중구 영종대로 278번길 34</t>
    <phoneticPr fontId="9" type="noConversion"/>
  </si>
  <si>
    <t>인천중산고등학교</t>
    <phoneticPr fontId="16" type="noConversion"/>
  </si>
  <si>
    <t>중구 은하수로 142</t>
    <phoneticPr fontId="9" type="noConversion"/>
  </si>
  <si>
    <t>인천운남고등학교</t>
    <phoneticPr fontId="16" type="noConversion"/>
  </si>
  <si>
    <t>중구 찬들로284번길 30(운남동 1737-1번지)</t>
    <phoneticPr fontId="9" type="noConversion"/>
  </si>
  <si>
    <t>458-1323</t>
    <phoneticPr fontId="9" type="noConversion"/>
  </si>
  <si>
    <t>458-1305</t>
    <phoneticPr fontId="9" type="noConversion"/>
  </si>
  <si>
    <t>458-6368</t>
    <phoneticPr fontId="9" type="noConversion"/>
  </si>
  <si>
    <t>인천반도체고등학교</t>
    <phoneticPr fontId="16" type="noConversion"/>
  </si>
  <si>
    <t>인천시 중구 참외전로 192</t>
    <phoneticPr fontId="9" type="noConversion"/>
  </si>
  <si>
    <t>770-0720</t>
    <phoneticPr fontId="9" type="noConversion"/>
  </si>
  <si>
    <t>766-7068</t>
    <phoneticPr fontId="9" type="noConversion"/>
  </si>
  <si>
    <t>인천과학고등학교</t>
    <phoneticPr fontId="16" type="noConversion"/>
  </si>
  <si>
    <t>중구 영종대로277번길 74-37(운서동 543-4)</t>
    <phoneticPr fontId="9" type="noConversion"/>
  </si>
  <si>
    <t>중구 영종대로277번길 74-40(운서동 3077-4)</t>
  </si>
  <si>
    <t>광성고등학교</t>
    <phoneticPr fontId="16" type="noConversion"/>
  </si>
  <si>
    <t>중구 홍예문로 39(송학동2가 18-1)</t>
  </si>
  <si>
    <t>인천중앙여자고등학교</t>
    <phoneticPr fontId="16" type="noConversion"/>
  </si>
  <si>
    <t>인천하늘고등학교</t>
    <phoneticPr fontId="16" type="noConversion"/>
  </si>
  <si>
    <t>500-1900</t>
    <phoneticPr fontId="9" type="noConversion"/>
  </si>
  <si>
    <t>500-1929</t>
    <phoneticPr fontId="9" type="noConversion"/>
  </si>
  <si>
    <t>부개고등학교</t>
    <phoneticPr fontId="16" type="noConversion"/>
  </si>
  <si>
    <t>부평구 수변로 57번길 36(부개동 120-546)</t>
  </si>
  <si>
    <t>330-9550</t>
  </si>
  <si>
    <t>부개여자고등학교</t>
    <phoneticPr fontId="16" type="noConversion"/>
  </si>
  <si>
    <t>부평구 부흥로 433(부개동 501-11)</t>
    <phoneticPr fontId="9" type="noConversion"/>
  </si>
  <si>
    <t>510-6700</t>
  </si>
  <si>
    <t>361-4744</t>
  </si>
  <si>
    <t>부광고등학교</t>
    <phoneticPr fontId="16" type="noConversion"/>
  </si>
  <si>
    <t>부평구 화랑로 28(산곡동 310-30번지)</t>
    <phoneticPr fontId="9" type="noConversion"/>
  </si>
  <si>
    <t>500-9114</t>
    <phoneticPr fontId="9" type="noConversion"/>
  </si>
  <si>
    <t>500-9100</t>
    <phoneticPr fontId="9" type="noConversion"/>
  </si>
  <si>
    <t>521-6035</t>
    <phoneticPr fontId="9" type="noConversion"/>
  </si>
  <si>
    <t>부광여자고등학교</t>
    <phoneticPr fontId="16" type="noConversion"/>
  </si>
  <si>
    <t>부평구 충선로 143(부개동 19-6)</t>
  </si>
  <si>
    <t>505-8091</t>
    <phoneticPr fontId="16" type="noConversion"/>
  </si>
  <si>
    <t>부평고등학교</t>
    <phoneticPr fontId="16" type="noConversion"/>
  </si>
  <si>
    <t>부평구 부흥북로 43(부평동 10-312)</t>
    <phoneticPr fontId="9" type="noConversion"/>
  </si>
  <si>
    <t>526-3204</t>
    <phoneticPr fontId="9" type="noConversion"/>
  </si>
  <si>
    <t>515-0782</t>
    <phoneticPr fontId="9" type="noConversion"/>
  </si>
  <si>
    <t>부평여자고등학교</t>
    <phoneticPr fontId="16" type="noConversion"/>
  </si>
  <si>
    <t>부평구 부흥로243번길 44(부평동 65-147)</t>
    <phoneticPr fontId="9" type="noConversion"/>
  </si>
  <si>
    <t>삼산고등학교</t>
    <phoneticPr fontId="16" type="noConversion"/>
  </si>
  <si>
    <t>부평구 영성중로 54(삼산동 391-2)</t>
    <phoneticPr fontId="9" type="noConversion"/>
  </si>
  <si>
    <t>512-9514</t>
    <phoneticPr fontId="16" type="noConversion"/>
  </si>
  <si>
    <t>511-8295</t>
    <phoneticPr fontId="9" type="noConversion"/>
  </si>
  <si>
    <t>512-9515</t>
    <phoneticPr fontId="9" type="noConversion"/>
  </si>
  <si>
    <t>인천부흥고등학교</t>
    <phoneticPr fontId="16" type="noConversion"/>
  </si>
  <si>
    <t>부평구 수변로 57번길 61(부개동120-547)</t>
    <phoneticPr fontId="9" type="noConversion"/>
  </si>
  <si>
    <t>627-5706</t>
    <phoneticPr fontId="9" type="noConversion"/>
  </si>
  <si>
    <t>505-9052</t>
    <phoneticPr fontId="9" type="noConversion"/>
  </si>
  <si>
    <t>505-9527</t>
    <phoneticPr fontId="16" type="noConversion"/>
  </si>
  <si>
    <t>인천산곡고등학교</t>
    <phoneticPr fontId="16" type="noConversion"/>
  </si>
  <si>
    <t>부평구 원적로416번길 25(산곡동 137-2)</t>
    <phoneticPr fontId="9" type="noConversion"/>
  </si>
  <si>
    <t>인천상정고등학교</t>
    <phoneticPr fontId="16" type="noConversion"/>
  </si>
  <si>
    <t>인천영선고등학교</t>
    <phoneticPr fontId="16" type="noConversion"/>
  </si>
  <si>
    <t>부평구 체육관로 179(삼산동 448-5)</t>
    <phoneticPr fontId="9" type="noConversion"/>
  </si>
  <si>
    <t>인천미래생활고등학교</t>
    <phoneticPr fontId="16" type="noConversion"/>
  </si>
  <si>
    <t>부평구 수변로 165(부개동 499-9)</t>
    <phoneticPr fontId="9" type="noConversion"/>
  </si>
  <si>
    <t>361-3698</t>
    <phoneticPr fontId="9" type="noConversion"/>
  </si>
  <si>
    <t>부평구 굴포로 194-9(삼산동 456-6)</t>
  </si>
  <si>
    <t>508-8260</t>
  </si>
  <si>
    <t>명신여자고등학교</t>
    <phoneticPr fontId="16" type="noConversion"/>
  </si>
  <si>
    <t>458-9041</t>
  </si>
  <si>
    <t>제일고등학교</t>
    <phoneticPr fontId="16" type="noConversion"/>
  </si>
  <si>
    <t>부평구 경인로 759번길28(십정동576-1번지)</t>
  </si>
  <si>
    <t>인평자동차고등학교</t>
    <phoneticPr fontId="16" type="noConversion"/>
  </si>
  <si>
    <t>부평구 화랑로 111(산곡동 369-303)</t>
    <phoneticPr fontId="16" type="noConversion"/>
  </si>
  <si>
    <t>517-0721</t>
    <phoneticPr fontId="16" type="noConversion"/>
  </si>
  <si>
    <t>517-0728</t>
    <phoneticPr fontId="16" type="noConversion"/>
  </si>
  <si>
    <t>인천외국어고등학교</t>
    <phoneticPr fontId="16" type="noConversion"/>
  </si>
  <si>
    <t>부평구 원적로 262(산곡동 180-147)</t>
    <phoneticPr fontId="9" type="noConversion"/>
  </si>
  <si>
    <t>계산고등학교</t>
    <phoneticPr fontId="16" type="noConversion"/>
  </si>
  <si>
    <t>계양구 주부토로 588(계산동 907)</t>
    <phoneticPr fontId="9" type="noConversion"/>
  </si>
  <si>
    <t>627-9362</t>
    <phoneticPr fontId="16" type="noConversion"/>
  </si>
  <si>
    <t>542-0687</t>
    <phoneticPr fontId="16" type="noConversion"/>
  </si>
  <si>
    <t>522-1597</t>
    <phoneticPr fontId="16" type="noConversion"/>
  </si>
  <si>
    <t>계산여자고등학교</t>
    <phoneticPr fontId="16" type="noConversion"/>
  </si>
  <si>
    <t>계양구 계산새로131(용종동228-2)</t>
    <phoneticPr fontId="9" type="noConversion"/>
  </si>
  <si>
    <t>계양고등학교</t>
  </si>
  <si>
    <t>계양구 계양문화로 177(용종동 227-3)</t>
  </si>
  <si>
    <t>627-2400</t>
  </si>
  <si>
    <t>627-2365</t>
    <phoneticPr fontId="16" type="noConversion"/>
  </si>
  <si>
    <t>553-4904</t>
  </si>
  <si>
    <t>서운고등학교</t>
    <phoneticPr fontId="16" type="noConversion"/>
  </si>
  <si>
    <t>계양구 아나지로 481(서운동55-42)</t>
    <phoneticPr fontId="9" type="noConversion"/>
  </si>
  <si>
    <t>627-3414</t>
    <phoneticPr fontId="9" type="noConversion"/>
  </si>
  <si>
    <t>627-3482</t>
    <phoneticPr fontId="9" type="noConversion"/>
  </si>
  <si>
    <t>542-7431</t>
    <phoneticPr fontId="9" type="noConversion"/>
  </si>
  <si>
    <t>안남고등학교</t>
    <phoneticPr fontId="16" type="noConversion"/>
  </si>
  <si>
    <t>인천세원고등학교</t>
    <phoneticPr fontId="16" type="noConversion"/>
  </si>
  <si>
    <t>계양구 장제로 966(병방동 5-5)</t>
    <phoneticPr fontId="9" type="noConversion"/>
  </si>
  <si>
    <t>인천예일고등학교</t>
    <phoneticPr fontId="16" type="noConversion"/>
  </si>
  <si>
    <t>계양구 박촌로 23(방축동 27-1)</t>
    <phoneticPr fontId="16" type="noConversion"/>
  </si>
  <si>
    <t>555-6307</t>
    <phoneticPr fontId="16" type="noConversion"/>
  </si>
  <si>
    <t>555-6305</t>
    <phoneticPr fontId="16" type="noConversion"/>
  </si>
  <si>
    <t>555-6304</t>
    <phoneticPr fontId="16" type="noConversion"/>
  </si>
  <si>
    <t>인천효성고등학교</t>
    <phoneticPr fontId="16" type="noConversion"/>
  </si>
  <si>
    <t>계양구 새벌로171번길 21(효성동 13-1)</t>
    <phoneticPr fontId="9" type="noConversion"/>
  </si>
  <si>
    <t>-</t>
    <phoneticPr fontId="16" type="noConversion"/>
  </si>
  <si>
    <t>계양구 주부토로 426번길 15(작전동 92번지)</t>
  </si>
  <si>
    <t>계산공업고등학교</t>
    <phoneticPr fontId="16" type="noConversion"/>
  </si>
  <si>
    <t>552-2035</t>
    <phoneticPr fontId="16" type="noConversion"/>
  </si>
  <si>
    <t>도림고등학교</t>
    <phoneticPr fontId="16" type="noConversion"/>
  </si>
  <si>
    <t>남동구 서창남로 8(서창동 718)</t>
    <phoneticPr fontId="9" type="noConversion"/>
  </si>
  <si>
    <t>동인천고등학교</t>
    <phoneticPr fontId="16" type="noConversion"/>
  </si>
  <si>
    <t>720-7200</t>
  </si>
  <si>
    <t>720-7202</t>
  </si>
  <si>
    <t>421-2668</t>
  </si>
  <si>
    <t>인천고잔고등학교</t>
    <phoneticPr fontId="16" type="noConversion"/>
  </si>
  <si>
    <t>남동구 에코중앙로 117(논현동 762-1)</t>
    <phoneticPr fontId="9" type="noConversion"/>
  </si>
  <si>
    <t>430-2414</t>
    <phoneticPr fontId="9" type="noConversion"/>
  </si>
  <si>
    <t>430-2494</t>
    <phoneticPr fontId="9" type="noConversion"/>
  </si>
  <si>
    <t>435-9041</t>
    <phoneticPr fontId="9" type="noConversion"/>
  </si>
  <si>
    <t>남동구 석정로551번길 41(간석동 614-12)</t>
  </si>
  <si>
    <t>인천남동고등학교</t>
    <phoneticPr fontId="16" type="noConversion"/>
  </si>
  <si>
    <t>남동구 은봉로 283(논현동 588-1)</t>
    <phoneticPr fontId="9" type="noConversion"/>
  </si>
  <si>
    <t>627-2461</t>
    <phoneticPr fontId="9" type="noConversion"/>
  </si>
  <si>
    <t>627-2453</t>
    <phoneticPr fontId="9" type="noConversion"/>
  </si>
  <si>
    <t>627-2536</t>
    <phoneticPr fontId="9" type="noConversion"/>
  </si>
  <si>
    <t>인천논현고등학교</t>
    <phoneticPr fontId="16" type="noConversion"/>
  </si>
  <si>
    <t>446-0634</t>
    <phoneticPr fontId="9" type="noConversion"/>
  </si>
  <si>
    <t>446-0781</t>
    <phoneticPr fontId="9" type="noConversion"/>
  </si>
  <si>
    <t>446-0636</t>
    <phoneticPr fontId="9" type="noConversion"/>
  </si>
  <si>
    <t>남동구 장승로91(만수6동 605-5번지)</t>
  </si>
  <si>
    <t>473-0379</t>
    <phoneticPr fontId="9" type="noConversion"/>
  </si>
  <si>
    <t>인천송천고등학교</t>
    <phoneticPr fontId="16" type="noConversion"/>
  </si>
  <si>
    <t>남동구 앵고개로815번길 59(논현동 738-4)</t>
    <phoneticPr fontId="9" type="noConversion"/>
  </si>
  <si>
    <t>627-2715</t>
    <phoneticPr fontId="9" type="noConversion"/>
  </si>
  <si>
    <t>627-2722</t>
    <phoneticPr fontId="9" type="noConversion"/>
  </si>
  <si>
    <t>627-2797</t>
    <phoneticPr fontId="9" type="noConversion"/>
  </si>
  <si>
    <t>미추홀외국어고등학교</t>
    <phoneticPr fontId="16" type="noConversion"/>
  </si>
  <si>
    <t>남동구 에코중앙로130 (논현동 767-2)</t>
    <phoneticPr fontId="9" type="noConversion"/>
  </si>
  <si>
    <t>442-0963</t>
    <phoneticPr fontId="9" type="noConversion"/>
  </si>
  <si>
    <t>442-0962</t>
    <phoneticPr fontId="9" type="noConversion"/>
  </si>
  <si>
    <t>442-0968</t>
    <phoneticPr fontId="9" type="noConversion"/>
  </si>
  <si>
    <t>인천예술고등학교</t>
    <phoneticPr fontId="16" type="noConversion"/>
  </si>
  <si>
    <t xml:space="preserve">남동구 구월로 115번길 36(간석동 417-3번지) </t>
    <phoneticPr fontId="9" type="noConversion"/>
  </si>
  <si>
    <t>433-3145</t>
    <phoneticPr fontId="16" type="noConversion"/>
  </si>
  <si>
    <t>433-3142</t>
    <phoneticPr fontId="16" type="noConversion"/>
  </si>
  <si>
    <t>570-2075</t>
    <phoneticPr fontId="9" type="noConversion"/>
  </si>
  <si>
    <t>문일여자고등학교</t>
    <phoneticPr fontId="16" type="noConversion"/>
  </si>
  <si>
    <t>남동구 구월로372번길 56(만수동 977-25)</t>
    <phoneticPr fontId="9" type="noConversion"/>
  </si>
  <si>
    <t>465-3413</t>
    <phoneticPr fontId="9" type="noConversion"/>
  </si>
  <si>
    <t>471-9251</t>
    <phoneticPr fontId="9" type="noConversion"/>
  </si>
  <si>
    <t>숭덕여자고등학교</t>
    <phoneticPr fontId="16" type="noConversion"/>
  </si>
  <si>
    <t>남동구 만수로 73번길 20-23(만수동 5-213)</t>
    <phoneticPr fontId="9" type="noConversion"/>
  </si>
  <si>
    <t>462-5197</t>
    <phoneticPr fontId="9" type="noConversion"/>
  </si>
  <si>
    <t>신명여자고등학교</t>
    <phoneticPr fontId="16" type="noConversion"/>
  </si>
  <si>
    <t>남동구 용천로205번길 42(간석동 26번지)</t>
    <phoneticPr fontId="16" type="noConversion"/>
  </si>
  <si>
    <t>남동구 석산로197번길 19(간석동 136-1)</t>
    <phoneticPr fontId="9" type="noConversion"/>
  </si>
  <si>
    <t>인천금융고등학교</t>
    <phoneticPr fontId="16" type="noConversion"/>
  </si>
  <si>
    <t>남동구 함박뫼로 438-9(논현동 580-2)</t>
    <phoneticPr fontId="9" type="noConversion"/>
  </si>
  <si>
    <t>465-6503</t>
    <phoneticPr fontId="9" type="noConversion"/>
  </si>
  <si>
    <t>465-4327</t>
    <phoneticPr fontId="9" type="noConversion"/>
  </si>
  <si>
    <t>신송고등학교</t>
    <phoneticPr fontId="16" type="noConversion"/>
  </si>
  <si>
    <t>인천 연수구 신송로 6번길(송도동2-11)</t>
    <phoneticPr fontId="9" type="noConversion"/>
  </si>
  <si>
    <t>연수고등학교</t>
    <phoneticPr fontId="16" type="noConversion"/>
  </si>
  <si>
    <t>연수구 원인재로 145(연수동 632-1번지)</t>
    <phoneticPr fontId="9" type="noConversion"/>
  </si>
  <si>
    <t>13,489.8㎡</t>
  </si>
  <si>
    <t>817-0052</t>
    <phoneticPr fontId="9" type="noConversion"/>
  </si>
  <si>
    <t>816-0100</t>
    <phoneticPr fontId="9" type="noConversion"/>
  </si>
  <si>
    <t>연수여자고등학교</t>
    <phoneticPr fontId="16" type="noConversion"/>
  </si>
  <si>
    <t>연수구 먼우금로 141번길 9(동춘동 921-1)</t>
    <phoneticPr fontId="9" type="noConversion"/>
  </si>
  <si>
    <t>457-1234</t>
    <phoneticPr fontId="9" type="noConversion"/>
  </si>
  <si>
    <t>457-1199</t>
    <phoneticPr fontId="9" type="noConversion"/>
  </si>
  <si>
    <t>옥련여자고등학교</t>
    <phoneticPr fontId="16" type="noConversion"/>
  </si>
  <si>
    <t>연수구 옥골로 77(옥련동 608-30)</t>
    <phoneticPr fontId="16" type="noConversion"/>
  </si>
  <si>
    <t>인천여자고등학교</t>
    <phoneticPr fontId="16" type="noConversion"/>
  </si>
  <si>
    <t>연수구 비류대로 506번길 14(연수동 534-3)</t>
    <phoneticPr fontId="9" type="noConversion"/>
  </si>
  <si>
    <t>810-6320</t>
    <phoneticPr fontId="9" type="noConversion"/>
  </si>
  <si>
    <t>810-6303</t>
    <phoneticPr fontId="9" type="noConversion"/>
  </si>
  <si>
    <t>810-6399</t>
    <phoneticPr fontId="9" type="noConversion"/>
  </si>
  <si>
    <t>인천연송고등학교</t>
    <phoneticPr fontId="16" type="noConversion"/>
  </si>
  <si>
    <t>연수구 컨벤시아대로42번길 72(송도동 15-4)</t>
    <phoneticPr fontId="9" type="noConversion"/>
  </si>
  <si>
    <t>인천해송고등학교</t>
    <phoneticPr fontId="16" type="noConversion"/>
  </si>
  <si>
    <t>연수구 해송로 20(송도동 9-4)</t>
    <phoneticPr fontId="9" type="noConversion"/>
  </si>
  <si>
    <t>858-9573</t>
    <phoneticPr fontId="9" type="noConversion"/>
  </si>
  <si>
    <t>831-0321</t>
    <phoneticPr fontId="16" type="noConversion"/>
  </si>
  <si>
    <t>831-0322</t>
    <phoneticPr fontId="16" type="noConversion"/>
  </si>
  <si>
    <t>인천뷰티예술고등학교</t>
    <phoneticPr fontId="16" type="noConversion"/>
  </si>
  <si>
    <t>연수구 원인재로 21(동춘2동 932-3)</t>
    <phoneticPr fontId="9" type="noConversion"/>
  </si>
  <si>
    <t>인천생활과학고등학교</t>
    <phoneticPr fontId="16" type="noConversion"/>
  </si>
  <si>
    <t>연수구 함박뫼로 103(연수동 535-1)</t>
    <phoneticPr fontId="9" type="noConversion"/>
  </si>
  <si>
    <t>인천해양과학고등학교</t>
    <phoneticPr fontId="16" type="noConversion"/>
  </si>
  <si>
    <t>연수구 능허대로 71(옥련동194-86번지)</t>
    <phoneticPr fontId="9" type="noConversion"/>
  </si>
  <si>
    <t>인천과학예술영재학교</t>
  </si>
  <si>
    <t>연수구 아카데미로 192(송도동 115)</t>
  </si>
  <si>
    <t>890-6700</t>
    <phoneticPr fontId="9" type="noConversion"/>
  </si>
  <si>
    <t>박문여자고등학교</t>
    <phoneticPr fontId="16" type="noConversion"/>
  </si>
  <si>
    <t>연수구 송도과학로51번길 16(송도동 162-3)</t>
    <phoneticPr fontId="9" type="noConversion"/>
  </si>
  <si>
    <t>특수전공과(1학급8명)미포함</t>
    <phoneticPr fontId="16" type="noConversion"/>
  </si>
  <si>
    <t>송도고등학교</t>
    <phoneticPr fontId="16" type="noConversion"/>
  </si>
  <si>
    <t>인천대건고등학교</t>
    <phoneticPr fontId="16" type="noConversion"/>
  </si>
  <si>
    <t>연수구 능허대로 437(동춘동 517-1)</t>
    <phoneticPr fontId="9" type="noConversion"/>
  </si>
  <si>
    <t>822-0451</t>
    <phoneticPr fontId="9" type="noConversion"/>
  </si>
  <si>
    <t>821-7043</t>
    <phoneticPr fontId="9" type="noConversion"/>
  </si>
  <si>
    <t>가림고등학교</t>
    <phoneticPr fontId="16" type="noConversion"/>
  </si>
  <si>
    <t>서구 원적로58(가좌동30-92번지)</t>
    <phoneticPr fontId="9" type="noConversion"/>
  </si>
  <si>
    <t>584-1757</t>
    <phoneticPr fontId="9" type="noConversion"/>
  </si>
  <si>
    <t>584-1755</t>
    <phoneticPr fontId="9" type="noConversion"/>
  </si>
  <si>
    <t>584-1756</t>
    <phoneticPr fontId="9" type="noConversion"/>
  </si>
  <si>
    <t>가정고등학교</t>
    <phoneticPr fontId="16" type="noConversion"/>
  </si>
  <si>
    <t>720-0725</t>
    <phoneticPr fontId="16" type="noConversion"/>
  </si>
  <si>
    <t>서구 서곶로 701(백석동 67번지)</t>
    <phoneticPr fontId="9" type="noConversion"/>
  </si>
  <si>
    <t>458-9410</t>
    <phoneticPr fontId="9" type="noConversion"/>
  </si>
  <si>
    <t>567-7762</t>
    <phoneticPr fontId="9" type="noConversion"/>
  </si>
  <si>
    <t>567-7764</t>
    <phoneticPr fontId="9" type="noConversion"/>
  </si>
  <si>
    <t>인천마전고등학교</t>
    <phoneticPr fontId="16" type="noConversion"/>
  </si>
  <si>
    <t>인천광역시 서구 마전로 74(마전동 1154-11번지)</t>
    <phoneticPr fontId="9" type="noConversion"/>
  </si>
  <si>
    <t>569-4163</t>
    <phoneticPr fontId="9" type="noConversion"/>
  </si>
  <si>
    <t>627-8821</t>
    <phoneticPr fontId="9" type="noConversion"/>
  </si>
  <si>
    <t>569-4167</t>
    <phoneticPr fontId="9" type="noConversion"/>
  </si>
  <si>
    <t>서구 염곡로 399(신현동 107-42)</t>
    <phoneticPr fontId="9" type="noConversion"/>
  </si>
  <si>
    <t>571-1874</t>
    <phoneticPr fontId="9" type="noConversion"/>
  </si>
  <si>
    <t>571-0628</t>
    <phoneticPr fontId="9" type="noConversion"/>
  </si>
  <si>
    <t>571-1875</t>
    <phoneticPr fontId="9" type="noConversion"/>
  </si>
  <si>
    <t>인천아라고등학교</t>
    <phoneticPr fontId="16" type="noConversion"/>
  </si>
  <si>
    <t>서구 서로 2로 62(당하동 1272번지)</t>
    <phoneticPr fontId="9" type="noConversion"/>
  </si>
  <si>
    <t>460-1804</t>
    <phoneticPr fontId="9" type="noConversion"/>
  </si>
  <si>
    <t>인천원당고등학교</t>
    <phoneticPr fontId="16" type="noConversion"/>
  </si>
  <si>
    <t>서구 고산로40번길 30(원당동 852-3)</t>
    <phoneticPr fontId="9" type="noConversion"/>
  </si>
  <si>
    <t>568-9692</t>
    <phoneticPr fontId="16" type="noConversion"/>
  </si>
  <si>
    <t>인천초은고등학교</t>
    <phoneticPr fontId="16" type="noConversion"/>
  </si>
  <si>
    <t>562-3471</t>
  </si>
  <si>
    <t>562-3002</t>
  </si>
  <si>
    <t>562-4002</t>
  </si>
  <si>
    <t>인천해원고등학교</t>
    <phoneticPr fontId="16" type="noConversion"/>
  </si>
  <si>
    <t>서구 청라사파이어로140번길 25(청라동 103-5)</t>
    <phoneticPr fontId="9" type="noConversion"/>
  </si>
  <si>
    <t>870-1828</t>
  </si>
  <si>
    <t>870-1833</t>
  </si>
  <si>
    <t>569-7812</t>
  </si>
  <si>
    <t>서구 대평로56번길 10(연희동 744-1)</t>
  </si>
  <si>
    <t>560-1600</t>
  </si>
  <si>
    <t>560-1500</t>
  </si>
  <si>
    <t>560-1519</t>
  </si>
  <si>
    <t>인천체육고등학교</t>
    <phoneticPr fontId="16" type="noConversion"/>
  </si>
  <si>
    <t>대인고등학교</t>
    <phoneticPr fontId="16" type="noConversion"/>
  </si>
  <si>
    <t>서구 서곶로 446(공촌동 47-3)</t>
    <phoneticPr fontId="9" type="noConversion"/>
  </si>
  <si>
    <t>562-6312</t>
    <phoneticPr fontId="9" type="noConversion"/>
  </si>
  <si>
    <t>562-6311</t>
    <phoneticPr fontId="9" type="noConversion"/>
  </si>
  <si>
    <t>562-6317</t>
    <phoneticPr fontId="9" type="noConversion"/>
  </si>
  <si>
    <t>서인천고등학교</t>
    <phoneticPr fontId="16" type="noConversion"/>
  </si>
  <si>
    <t>서구 서곶로 475(검암동 636-7)</t>
    <phoneticPr fontId="9" type="noConversion"/>
  </si>
  <si>
    <t>562-0012</t>
    <phoneticPr fontId="9" type="noConversion"/>
  </si>
  <si>
    <t>562-0011</t>
    <phoneticPr fontId="9" type="noConversion"/>
  </si>
  <si>
    <t>562-0020</t>
    <phoneticPr fontId="9" type="noConversion"/>
  </si>
  <si>
    <t>문곡고등학교</t>
    <phoneticPr fontId="16" type="noConversion"/>
  </si>
  <si>
    <t>서구 청마로 52(당하동)</t>
    <phoneticPr fontId="9" type="noConversion"/>
  </si>
  <si>
    <t>428-4523</t>
    <phoneticPr fontId="9" type="noConversion"/>
  </si>
  <si>
    <t>428-4523</t>
    <phoneticPr fontId="16" type="noConversion"/>
  </si>
  <si>
    <t>428-4521</t>
    <phoneticPr fontId="9" type="noConversion"/>
  </si>
  <si>
    <t>한국주얼리고등학교</t>
    <phoneticPr fontId="16" type="noConversion"/>
  </si>
  <si>
    <t>강화고등학교</t>
    <phoneticPr fontId="16" type="noConversion"/>
  </si>
  <si>
    <t>강화여자고등학교</t>
    <phoneticPr fontId="16" type="noConversion"/>
  </si>
  <si>
    <t>강화군 강화읍 송악길 58(관청리 794-1)</t>
    <phoneticPr fontId="9" type="noConversion"/>
  </si>
  <si>
    <t>강화군 교동면 교동남로 77(교동면 대룡리 723-7)</t>
  </si>
  <si>
    <t>서도고등학교</t>
    <phoneticPr fontId="16" type="noConversion"/>
  </si>
  <si>
    <t>강화군 서도면 주문도길 173</t>
    <phoneticPr fontId="9" type="noConversion"/>
  </si>
  <si>
    <t>932-7005</t>
    <phoneticPr fontId="9" type="noConversion"/>
  </si>
  <si>
    <t>932-7034</t>
    <phoneticPr fontId="9" type="noConversion"/>
  </si>
  <si>
    <t>강화군 길상면 강화남로 57(온수리409-4)</t>
    <phoneticPr fontId="9" type="noConversion"/>
  </si>
  <si>
    <t>627-3037</t>
    <phoneticPr fontId="9" type="noConversion"/>
  </si>
  <si>
    <t>특수전공과(2학급10명)미포함</t>
    <phoneticPr fontId="16" type="noConversion"/>
  </si>
  <si>
    <t>덕신고등학교</t>
    <phoneticPr fontId="16" type="noConversion"/>
  </si>
  <si>
    <t>강화군 강화읍 고비고개로 45</t>
    <phoneticPr fontId="9" type="noConversion"/>
  </si>
  <si>
    <t>산마을고등학교</t>
    <phoneticPr fontId="16" type="noConversion"/>
  </si>
  <si>
    <t>937-9801</t>
    <phoneticPr fontId="9" type="noConversion"/>
  </si>
  <si>
    <t>937-9805</t>
    <phoneticPr fontId="9" type="noConversion"/>
  </si>
  <si>
    <t>937-9809</t>
    <phoneticPr fontId="9" type="noConversion"/>
  </si>
  <si>
    <t>한국글로벌셰프고등학교</t>
    <phoneticPr fontId="16" type="noConversion"/>
  </si>
  <si>
    <t>내가면 강화서로 184(고천리 1266)</t>
    <phoneticPr fontId="9" type="noConversion"/>
  </si>
  <si>
    <t>932-5901</t>
    <phoneticPr fontId="9" type="noConversion"/>
  </si>
  <si>
    <t>932-5902</t>
    <phoneticPr fontId="9" type="noConversion"/>
  </si>
  <si>
    <t>개편후 행정구역(2026.7.1.시행)</t>
    <phoneticPr fontId="16" type="noConversion"/>
  </si>
  <si>
    <t>지적/자폐성/뇌병변장애 등</t>
    <phoneticPr fontId="16" type="noConversion"/>
  </si>
  <si>
    <t>지체장애</t>
    <phoneticPr fontId="16" type="noConversion"/>
  </si>
  <si>
    <t>연수구 함박뫼로 208(연수동 580-1)</t>
    <phoneticPr fontId="9" type="noConversion"/>
  </si>
  <si>
    <t>미추홀구 숙골로 135번길 14 (도화동 38-18)</t>
    <phoneticPr fontId="9" type="noConversion"/>
  </si>
  <si>
    <t>부평구 동수로 87(부평동 633)</t>
    <phoneticPr fontId="9" type="noConversion"/>
  </si>
  <si>
    <t>부평구 마분로8(부개동257-1번지)</t>
    <phoneticPr fontId="9" type="noConversion"/>
  </si>
  <si>
    <t xml:space="preserve">10,000.20㎡ </t>
    <phoneticPr fontId="16" type="noConversion"/>
  </si>
  <si>
    <t>816-6473</t>
    <phoneticPr fontId="9" type="noConversion"/>
  </si>
  <si>
    <t>453-1781</t>
    <phoneticPr fontId="9" type="noConversion"/>
  </si>
  <si>
    <t>502-0804</t>
    <phoneticPr fontId="9" type="noConversion"/>
  </si>
  <si>
    <t>529-5043</t>
    <phoneticPr fontId="9" type="noConversion"/>
  </si>
  <si>
    <t>816-6472</t>
    <phoneticPr fontId="9" type="noConversion"/>
  </si>
  <si>
    <t>340-8449</t>
    <phoneticPr fontId="9" type="noConversion"/>
  </si>
  <si>
    <t>453-1785</t>
    <phoneticPr fontId="9" type="noConversion"/>
  </si>
  <si>
    <t>514-8650</t>
    <phoneticPr fontId="9" type="noConversion"/>
  </si>
  <si>
    <t>503-8932</t>
    <phoneticPr fontId="9" type="noConversion"/>
  </si>
  <si>
    <t>627-5541</t>
    <phoneticPr fontId="16" type="noConversion"/>
  </si>
  <si>
    <t>817-6444</t>
    <phoneticPr fontId="9" type="noConversion"/>
  </si>
  <si>
    <t>468-3505</t>
    <phoneticPr fontId="16" type="noConversion"/>
  </si>
  <si>
    <t>764-7011</t>
    <phoneticPr fontId="9" type="noConversion"/>
  </si>
  <si>
    <t>528-6322</t>
    <phoneticPr fontId="9" type="noConversion"/>
  </si>
  <si>
    <t>627-9350</t>
    <phoneticPr fontId="9" type="noConversion"/>
  </si>
  <si>
    <r>
      <t xml:space="preserve">개편후 행정구역
</t>
    </r>
    <r>
      <rPr>
        <b/>
        <sz val="9"/>
        <color theme="1"/>
        <rFont val="맑은 고딕"/>
        <family val="3"/>
        <charset val="129"/>
        <scheme val="minor"/>
      </rPr>
      <t>(2026.7.1.시행)</t>
    </r>
    <phoneticPr fontId="3" type="noConversion"/>
  </si>
  <si>
    <t>동구</t>
    <phoneticPr fontId="3" type="noConversion"/>
  </si>
  <si>
    <t>제물포구</t>
    <phoneticPr fontId="3" type="noConversion"/>
  </si>
  <si>
    <t>각종</t>
    <phoneticPr fontId="3" type="noConversion"/>
  </si>
  <si>
    <t>인천산업정보학교</t>
    <phoneticPr fontId="3" type="noConversion"/>
  </si>
  <si>
    <t>765-5473</t>
    <phoneticPr fontId="3" type="noConversion"/>
  </si>
  <si>
    <t>부평구 굴포로 59(갈산동 360-3)</t>
  </si>
  <si>
    <t>570-2470</t>
  </si>
  <si>
    <t>504-2486</t>
  </si>
  <si>
    <t>627-2292</t>
    <phoneticPr fontId="9" type="noConversion"/>
  </si>
  <si>
    <t>627-2284</t>
    <phoneticPr fontId="9" type="noConversion"/>
  </si>
  <si>
    <t>441-2102</t>
    <phoneticPr fontId="9" type="noConversion"/>
  </si>
  <si>
    <t>결마루미래학교</t>
  </si>
  <si>
    <t>남동구 문화로169번길 73(구월동 1089)</t>
  </si>
  <si>
    <t>627-0429</t>
  </si>
  <si>
    <t>627-0428</t>
  </si>
  <si>
    <t>인천청담고등학교</t>
    <phoneticPr fontId="3" type="noConversion"/>
  </si>
  <si>
    <t>연수구 앵고개로 132(동춘동778-4)</t>
    <phoneticPr fontId="9" type="noConversion"/>
  </si>
  <si>
    <t>외국인</t>
    <phoneticPr fontId="3" type="noConversion"/>
  </si>
  <si>
    <t>한국인천화교소, 중산중. 고등학교</t>
    <phoneticPr fontId="3" type="noConversion"/>
  </si>
  <si>
    <t>중구 차이나타운로 55번길 19</t>
    <phoneticPr fontId="9" type="noConversion"/>
  </si>
  <si>
    <t>1248(㎡)</t>
    <phoneticPr fontId="3" type="noConversion"/>
  </si>
  <si>
    <t>772-3615</t>
    <phoneticPr fontId="9" type="noConversion"/>
  </si>
  <si>
    <t>765-6199</t>
    <phoneticPr fontId="9" type="noConversion"/>
  </si>
  <si>
    <t>청라달튼외국인학교</t>
    <phoneticPr fontId="3" type="noConversion"/>
  </si>
  <si>
    <t>서구 첨단동로 344(청라동 8-128)</t>
    <phoneticPr fontId="9" type="noConversion"/>
  </si>
  <si>
    <t>563-0523</t>
    <phoneticPr fontId="9" type="noConversion"/>
  </si>
  <si>
    <t>563-0524</t>
    <phoneticPr fontId="9" type="noConversion"/>
  </si>
  <si>
    <t>개편후 행정구역
(2026.7.1.시행)</t>
    <phoneticPr fontId="3" type="noConversion"/>
  </si>
  <si>
    <t>인천여자고등학교부설방송통신고등학교</t>
    <phoneticPr fontId="16" type="noConversion"/>
  </si>
  <si>
    <t>연수구 비류대로 506번길 14 (연수동 534-3)</t>
    <phoneticPr fontId="9" type="noConversion"/>
  </si>
  <si>
    <t>810-6337</t>
    <phoneticPr fontId="9" type="noConversion"/>
  </si>
  <si>
    <t>810-6308</t>
    <phoneticPr fontId="9" type="noConversion"/>
  </si>
  <si>
    <t>제물포고등학교부설방송통신고등학교</t>
    <phoneticPr fontId="16" type="noConversion"/>
  </si>
  <si>
    <t>제물포구 자유공원로 58-9(전동 26번지)</t>
    <phoneticPr fontId="16" type="noConversion"/>
  </si>
  <si>
    <t>766-9379</t>
    <phoneticPr fontId="16" type="noConversion"/>
  </si>
  <si>
    <t>□ 외국교육기관(국제학교) 현황</t>
    <phoneticPr fontId="16" type="noConversion"/>
  </si>
  <si>
    <t>비고</t>
    <phoneticPr fontId="3" type="noConversion"/>
  </si>
  <si>
    <t>연수구 아트센터대로 97번길 45</t>
  </si>
  <si>
    <t>칼빈매니토바국제학교</t>
    <phoneticPr fontId="16" type="noConversion"/>
  </si>
  <si>
    <t>연수구 해송로 12 (송도동 9-3)</t>
    <phoneticPr fontId="9" type="noConversion"/>
  </si>
  <si>
    <t>815-1004</t>
    <phoneticPr fontId="9" type="noConversion"/>
  </si>
  <si>
    <t>420-6099</t>
    <phoneticPr fontId="9" type="noConversion"/>
  </si>
  <si>
    <t>학력인정남인천중고등학교</t>
    <phoneticPr fontId="3" type="noConversion"/>
  </si>
  <si>
    <t>미추홀구 매소홀로 418번길 14-57(학익동 686-8)</t>
    <phoneticPr fontId="9" type="noConversion"/>
  </si>
  <si>
    <t>863-9941</t>
    <phoneticPr fontId="9" type="noConversion"/>
  </si>
  <si>
    <t>864-2421</t>
    <phoneticPr fontId="9" type="noConversion"/>
  </si>
  <si>
    <t>876-1319</t>
    <phoneticPr fontId="9" type="noConversion"/>
  </si>
  <si>
    <t>중학교개교2000-03-02</t>
    <phoneticPr fontId="16" type="noConversion"/>
  </si>
  <si>
    <t>학력인정 인천생활예술고등학교</t>
    <phoneticPr fontId="3" type="noConversion"/>
  </si>
  <si>
    <t>인천광역시 부평구 부흥북로24번길 4(부평동)</t>
    <phoneticPr fontId="9" type="noConversion"/>
  </si>
  <si>
    <t>517-5354</t>
    <phoneticPr fontId="9" type="noConversion"/>
  </si>
  <si>
    <t>517-5356</t>
    <phoneticPr fontId="9" type="noConversion"/>
  </si>
  <si>
    <t>522-5089</t>
    <phoneticPr fontId="9" type="noConversion"/>
  </si>
  <si>
    <t>▶ 작성기준일: 2026. 4. 1.자</t>
    <phoneticPr fontId="11" type="noConversion"/>
  </si>
  <si>
    <t>▶ 작성기준일: 2026. 4. 1.자</t>
    <phoneticPr fontId="16" type="noConversion"/>
  </si>
  <si>
    <t>숭의동</t>
  </si>
  <si>
    <t>미추홀구 장천로 99(숭의동42-2)</t>
  </si>
  <si>
    <t>인천대화초등학교병설유치원</t>
    <phoneticPr fontId="9" type="noConversion"/>
  </si>
  <si>
    <t>미추홀구 석정로 301번길(도화동 105-11)</t>
    <phoneticPr fontId="9" type="noConversion"/>
  </si>
  <si>
    <t>629-1483</t>
    <phoneticPr fontId="9" type="noConversion"/>
  </si>
  <si>
    <t>미추홀구 송림로 250(도화동 1003번지)</t>
    <phoneticPr fontId="9" type="noConversion"/>
  </si>
  <si>
    <t>629-0957</t>
    <phoneticPr fontId="9" type="noConversion"/>
  </si>
  <si>
    <t>887-9017</t>
    <phoneticPr fontId="16" type="noConversion"/>
  </si>
  <si>
    <t>학익동</t>
    <phoneticPr fontId="9" type="noConversion"/>
  </si>
  <si>
    <t>용현동</t>
    <phoneticPr fontId="9" type="noConversion"/>
  </si>
  <si>
    <t>인천용정초등학교병설유치원</t>
    <phoneticPr fontId="16" type="noConversion"/>
  </si>
  <si>
    <t>886-9017</t>
    <phoneticPr fontId="9" type="noConversion"/>
  </si>
  <si>
    <t>인천인주초등학교병설유치원</t>
    <phoneticPr fontId="9" type="noConversion"/>
  </si>
  <si>
    <t>875-2606</t>
    <phoneticPr fontId="16" type="noConversion"/>
  </si>
  <si>
    <t>미추홀구 한나루로 403번길 122(학익동 330-1번지)</t>
    <phoneticPr fontId="9" type="noConversion"/>
  </si>
  <si>
    <t>주안6동</t>
    <phoneticPr fontId="9" type="noConversion"/>
  </si>
  <si>
    <t>미추홀구 경인로 511(주안동1620)</t>
    <phoneticPr fontId="9" type="noConversion"/>
  </si>
  <si>
    <t>433-0367</t>
    <phoneticPr fontId="9" type="noConversion"/>
  </si>
  <si>
    <r>
      <t>개편후 
행정구역</t>
    </r>
    <r>
      <rPr>
        <b/>
        <sz val="8"/>
        <color theme="1"/>
        <rFont val="맑은 고딕"/>
        <family val="3"/>
        <charset val="129"/>
        <scheme val="minor"/>
      </rPr>
      <t>(2026.7.1.시행)</t>
    </r>
    <phoneticPr fontId="16" type="noConversion"/>
  </si>
  <si>
    <t>629-1957</t>
  </si>
  <si>
    <t>765-2348</t>
  </si>
  <si>
    <t>인천만석초등학교병설유치원</t>
    <phoneticPr fontId="16" type="noConversion"/>
  </si>
  <si>
    <t>동구 제물량로 412(화수동 11-6)</t>
    <phoneticPr fontId="16" type="noConversion"/>
  </si>
  <si>
    <t>772-4784</t>
    <phoneticPr fontId="16" type="noConversion"/>
  </si>
  <si>
    <t>772-4791</t>
    <phoneticPr fontId="16" type="noConversion"/>
  </si>
  <si>
    <t>송림동</t>
  </si>
  <si>
    <t>인천서흥초등학교병설유치원</t>
  </si>
  <si>
    <t>동구 샛골로 189(송림동 34-1)</t>
  </si>
  <si>
    <t>629-0044</t>
  </si>
  <si>
    <t>629-0041</t>
  </si>
  <si>
    <t>2권역</t>
    <phoneticPr fontId="16" type="noConversion"/>
  </si>
  <si>
    <t>화수2동</t>
    <phoneticPr fontId="16" type="noConversion"/>
  </si>
  <si>
    <t>인천송현초등학교병설유치원</t>
    <phoneticPr fontId="16" type="noConversion"/>
  </si>
  <si>
    <t>동구 송화로 45(송현동 66-21)</t>
    <phoneticPr fontId="16" type="noConversion"/>
  </si>
  <si>
    <t>629-1921</t>
    <phoneticPr fontId="16" type="noConversion"/>
  </si>
  <si>
    <t>629-1925</t>
    <phoneticPr fontId="16" type="noConversion"/>
  </si>
  <si>
    <t>627-9740</t>
    <phoneticPr fontId="9" type="noConversion"/>
  </si>
  <si>
    <t>752-8954</t>
    <phoneticPr fontId="9" type="noConversion"/>
  </si>
  <si>
    <t>인천삼목초등학교장봉분교장병설유치원</t>
    <phoneticPr fontId="16" type="noConversion"/>
  </si>
  <si>
    <t>746-8053</t>
    <phoneticPr fontId="16" type="noConversion"/>
  </si>
  <si>
    <t>746-8054</t>
    <phoneticPr fontId="16" type="noConversion"/>
  </si>
  <si>
    <t>옹진군 연평면 연평로 137번길 101</t>
  </si>
  <si>
    <t>옹진군 백령면 가을길 117(북포리)</t>
    <phoneticPr fontId="9" type="noConversion"/>
  </si>
  <si>
    <t>836-0208</t>
    <phoneticPr fontId="16" type="noConversion"/>
  </si>
  <si>
    <t>대청초등학교병설유치원</t>
    <phoneticPr fontId="9" type="noConversion"/>
  </si>
  <si>
    <t>인천시 옹진군 덕적면 덕적남로 15 (진리 136)</t>
    <phoneticPr fontId="9" type="noConversion"/>
  </si>
  <si>
    <t>인천용현남초등학교자월분교장병설유치원</t>
    <phoneticPr fontId="9" type="noConversion"/>
  </si>
  <si>
    <t>옹진군 자월면 자월서로 177(자월리 1116-2)</t>
    <phoneticPr fontId="9" type="noConversion"/>
  </si>
  <si>
    <t>629-9000</t>
    <phoneticPr fontId="9" type="noConversion"/>
  </si>
  <si>
    <t>25권역</t>
  </si>
  <si>
    <t>영흥면</t>
    <phoneticPr fontId="16" type="noConversion"/>
  </si>
  <si>
    <t>영흥초등학교병설유치원</t>
  </si>
  <si>
    <t>옹진군 영흥면 영흥로 440-8</t>
  </si>
  <si>
    <t>627-9833</t>
  </si>
  <si>
    <t>886-0437</t>
  </si>
  <si>
    <t>개항동</t>
    <phoneticPr fontId="9" type="noConversion"/>
  </si>
  <si>
    <t>자유유치원</t>
    <phoneticPr fontId="9" type="noConversion"/>
  </si>
  <si>
    <t>중구 자유공원로 105(송월동3가 3-140)</t>
    <phoneticPr fontId="9" type="noConversion"/>
  </si>
  <si>
    <t>777-1563</t>
    <phoneticPr fontId="9" type="noConversion"/>
  </si>
  <si>
    <t>777-1561</t>
    <phoneticPr fontId="9" type="noConversion"/>
  </si>
  <si>
    <t>650-0820</t>
    <phoneticPr fontId="9" type="noConversion"/>
  </si>
  <si>
    <t>답동</t>
    <phoneticPr fontId="9" type="noConversion"/>
  </si>
  <si>
    <t>510-7847</t>
    <phoneticPr fontId="9" type="noConversion"/>
  </si>
  <si>
    <t>764-1901</t>
    <phoneticPr fontId="16" type="noConversion"/>
  </si>
  <si>
    <t>영종동</t>
    <phoneticPr fontId="16" type="noConversion"/>
  </si>
  <si>
    <t>인천공항유치원</t>
    <phoneticPr fontId="9" type="noConversion"/>
  </si>
  <si>
    <t>751-8896</t>
    <phoneticPr fontId="9" type="noConversion"/>
  </si>
  <si>
    <t>751-2313</t>
    <phoneticPr fontId="9" type="noConversion"/>
  </si>
  <si>
    <t>영종1동</t>
    <phoneticPr fontId="9" type="noConversion"/>
  </si>
  <si>
    <t>중산동</t>
    <phoneticPr fontId="9" type="noConversion"/>
  </si>
  <si>
    <t>중구 하늘달빛로 133(중산동 1871-2)</t>
  </si>
  <si>
    <t>중구 은하수로294(중산동 288-3번지)</t>
  </si>
  <si>
    <t>745-6770</t>
    <phoneticPr fontId="9" type="noConversion"/>
  </si>
  <si>
    <t>인천달빛초등학교병설유치원</t>
    <phoneticPr fontId="9" type="noConversion"/>
  </si>
  <si>
    <t>중구 은하수로 124(중산동 1914-4번지)</t>
    <phoneticPr fontId="9" type="noConversion"/>
  </si>
  <si>
    <t>458-1000</t>
    <phoneticPr fontId="9" type="noConversion"/>
  </si>
  <si>
    <t>746-0414</t>
    <phoneticPr fontId="9" type="noConversion"/>
  </si>
  <si>
    <t>인천윤슬초등학교병설유치원</t>
    <phoneticPr fontId="9" type="noConversion"/>
  </si>
  <si>
    <t xml:space="preserve">중구 영종대로278번길 27(운서동 3105) </t>
    <phoneticPr fontId="9" type="noConversion"/>
  </si>
  <si>
    <t>500-1832</t>
    <phoneticPr fontId="9" type="noConversion"/>
  </si>
  <si>
    <t>764-6358</t>
    <phoneticPr fontId="9" type="noConversion"/>
  </si>
  <si>
    <t>도화2,3동</t>
    <phoneticPr fontId="16" type="noConversion"/>
  </si>
  <si>
    <t>밀알유치원</t>
  </si>
  <si>
    <t>876-3313</t>
  </si>
  <si>
    <t>715-7813</t>
  </si>
  <si>
    <t xml:space="preserve"> 883-9591</t>
    <phoneticPr fontId="9" type="noConversion"/>
  </si>
  <si>
    <t>0504-213-5580</t>
    <phoneticPr fontId="9" type="noConversion"/>
  </si>
  <si>
    <t>세종유치원</t>
    <phoneticPr fontId="16" type="noConversion"/>
  </si>
  <si>
    <t xml:space="preserve">3권역 </t>
    <phoneticPr fontId="16" type="noConversion"/>
  </si>
  <si>
    <t>반디유치원</t>
    <phoneticPr fontId="16" type="noConversion"/>
  </si>
  <si>
    <t>875-8008</t>
    <phoneticPr fontId="9" type="noConversion"/>
  </si>
  <si>
    <t>875-8112</t>
    <phoneticPr fontId="9" type="noConversion"/>
  </si>
  <si>
    <t>신동아유치원</t>
    <phoneticPr fontId="16" type="noConversion"/>
  </si>
  <si>
    <t>872-4348</t>
    <phoneticPr fontId="9" type="noConversion"/>
  </si>
  <si>
    <t>872-4349</t>
    <phoneticPr fontId="9" type="noConversion"/>
  </si>
  <si>
    <t>해승유치원</t>
    <phoneticPr fontId="16" type="noConversion"/>
  </si>
  <si>
    <t>4권역</t>
    <phoneticPr fontId="16" type="noConversion"/>
  </si>
  <si>
    <t>동원유치원</t>
    <phoneticPr fontId="16" type="noConversion"/>
  </si>
  <si>
    <t>866-2657</t>
    <phoneticPr fontId="16" type="noConversion"/>
  </si>
  <si>
    <t>876-2657</t>
    <phoneticPr fontId="16" type="noConversion"/>
  </si>
  <si>
    <t>소라유치원</t>
    <phoneticPr fontId="16" type="noConversion"/>
  </si>
  <si>
    <t>875-3220</t>
    <phoneticPr fontId="9" type="noConversion"/>
  </si>
  <si>
    <t>866-2713</t>
    <phoneticPr fontId="9" type="noConversion"/>
  </si>
  <si>
    <t>863-7482</t>
    <phoneticPr fontId="9" type="noConversion"/>
  </si>
  <si>
    <t>429-1900</t>
    <phoneticPr fontId="9" type="noConversion"/>
  </si>
  <si>
    <t>429-1902</t>
    <phoneticPr fontId="9" type="noConversion"/>
  </si>
  <si>
    <t>국현유치원</t>
    <phoneticPr fontId="9" type="noConversion"/>
  </si>
  <si>
    <t>도담유치원</t>
    <phoneticPr fontId="9" type="noConversion"/>
  </si>
  <si>
    <t>2007.04.24</t>
    <phoneticPr fontId="3" type="noConversion"/>
  </si>
  <si>
    <t>422-5100</t>
    <phoneticPr fontId="9" type="noConversion"/>
  </si>
  <si>
    <t>진흥유치원</t>
  </si>
  <si>
    <t>425-0360</t>
  </si>
  <si>
    <t>438-0360</t>
  </si>
  <si>
    <t>715-4325</t>
    <phoneticPr fontId="9" type="noConversion"/>
  </si>
  <si>
    <t>777-2007</t>
    <phoneticPr fontId="9" type="noConversion"/>
  </si>
  <si>
    <t>777-2008</t>
    <phoneticPr fontId="9" type="noConversion"/>
  </si>
  <si>
    <t>백령성모유치원</t>
    <phoneticPr fontId="9" type="noConversion"/>
  </si>
  <si>
    <t>836-1223</t>
    <phoneticPr fontId="9" type="noConversion"/>
  </si>
  <si>
    <t>836-8009</t>
    <phoneticPr fontId="9" type="noConversion"/>
  </si>
  <si>
    <t>특수유아1명포함</t>
    <phoneticPr fontId="16" type="noConversion"/>
  </si>
  <si>
    <t>이튼유치원</t>
    <phoneticPr fontId="9" type="noConversion"/>
  </si>
  <si>
    <t>752-7110</t>
    <phoneticPr fontId="9" type="noConversion"/>
  </si>
  <si>
    <t>752-7160</t>
    <phoneticPr fontId="9" type="noConversion"/>
  </si>
  <si>
    <t>751-3006</t>
    <phoneticPr fontId="9" type="noConversion"/>
  </si>
  <si>
    <t>752-8401</t>
    <phoneticPr fontId="9" type="noConversion"/>
  </si>
  <si>
    <t>영종국제물류고등학교</t>
    <phoneticPr fontId="16" type="noConversion"/>
  </si>
  <si>
    <t>영종구 운남서로 10번길 1(운남동 1568)</t>
    <phoneticPr fontId="9" type="noConversion"/>
  </si>
  <si>
    <t>746-4400</t>
    <phoneticPr fontId="9" type="noConversion"/>
  </si>
  <si>
    <t>746-0030</t>
    <phoneticPr fontId="16" type="noConversion"/>
  </si>
  <si>
    <t>746-1815</t>
    <phoneticPr fontId="9" type="noConversion"/>
  </si>
  <si>
    <t>부평구 원적로472번길 29(부평동 65-16)</t>
  </si>
  <si>
    <t>부평1동</t>
    <phoneticPr fontId="9" type="noConversion"/>
  </si>
  <si>
    <t>인천부평서초등학교병설유치원</t>
    <phoneticPr fontId="9" type="noConversion"/>
  </si>
  <si>
    <t>부평구 부평문화로53번길 19(부평동 542-18)</t>
    <phoneticPr fontId="9" type="noConversion"/>
  </si>
  <si>
    <t>628-0490</t>
    <phoneticPr fontId="9" type="noConversion"/>
  </si>
  <si>
    <t>529-7540</t>
    <phoneticPr fontId="9" type="noConversion"/>
  </si>
  <si>
    <t>산곡1동</t>
  </si>
  <si>
    <t>부평구 마곡로27번길 16(산곡동 68)</t>
    <phoneticPr fontId="16" type="noConversion"/>
  </si>
  <si>
    <t>628-1461</t>
  </si>
  <si>
    <t>인천산곡초등학교병설유치원</t>
    <phoneticPr fontId="9" type="noConversion"/>
  </si>
  <si>
    <t>628-0526</t>
    <phoneticPr fontId="9" type="noConversion"/>
  </si>
  <si>
    <t>부평구 안남로253번길 41(산곡동 100-87)</t>
    <phoneticPr fontId="16" type="noConversion"/>
  </si>
  <si>
    <t>산곡4동</t>
    <phoneticPr fontId="16" type="noConversion"/>
  </si>
  <si>
    <t>인천미산초등학교병설유치원</t>
    <phoneticPr fontId="16" type="noConversion"/>
  </si>
  <si>
    <t>부평구 원적로 391(산곡동 128-60)</t>
  </si>
  <si>
    <t>십정1동</t>
    <phoneticPr fontId="16" type="noConversion"/>
  </si>
  <si>
    <t>부평구 상정로 50(십정동 198)</t>
  </si>
  <si>
    <t>인천십정초등학교병설유치원</t>
    <phoneticPr fontId="16" type="noConversion"/>
  </si>
  <si>
    <t>부평구 아트센터로 130(십정동 541-31)</t>
  </si>
  <si>
    <t>628-2333</t>
  </si>
  <si>
    <t>청천1동</t>
  </si>
  <si>
    <t>인천청천초등학교병설유치원</t>
    <phoneticPr fontId="16" type="noConversion"/>
  </si>
  <si>
    <t>청천2동</t>
    <phoneticPr fontId="16" type="noConversion"/>
  </si>
  <si>
    <t>628-2092</t>
  </si>
  <si>
    <t>갈산1동</t>
    <phoneticPr fontId="9" type="noConversion"/>
  </si>
  <si>
    <t>인천부평북초등학교병설유치원</t>
    <phoneticPr fontId="9" type="noConversion"/>
  </si>
  <si>
    <t>628-0754</t>
    <phoneticPr fontId="9" type="noConversion"/>
  </si>
  <si>
    <t>513-7582</t>
    <phoneticPr fontId="9" type="noConversion"/>
  </si>
  <si>
    <t>부평구 주부토로 165(갈산동 373)</t>
    <phoneticPr fontId="16" type="noConversion"/>
  </si>
  <si>
    <t>부개1동</t>
    <phoneticPr fontId="16" type="noConversion"/>
  </si>
  <si>
    <t>인천부개서초등학교병설유치원</t>
    <phoneticPr fontId="9" type="noConversion"/>
  </si>
  <si>
    <t>1998.03.02.</t>
    <phoneticPr fontId="3" type="noConversion"/>
  </si>
  <si>
    <t>부평구 부일로 39(부개동155-1)</t>
    <phoneticPr fontId="9" type="noConversion"/>
  </si>
  <si>
    <t>628-1056</t>
    <phoneticPr fontId="9" type="noConversion"/>
  </si>
  <si>
    <t>부평구 충선로 104(부개동 69-6)</t>
  </si>
  <si>
    <t>458-9094</t>
  </si>
  <si>
    <t>361-2140</t>
  </si>
  <si>
    <t>부평2동</t>
    <phoneticPr fontId="16" type="noConversion"/>
  </si>
  <si>
    <t>인천부평남초등학교병설유치원</t>
    <phoneticPr fontId="16" type="noConversion"/>
  </si>
  <si>
    <t>부평구 경인로911번길 28(부평동 743-1)</t>
  </si>
  <si>
    <t>570-2440</t>
  </si>
  <si>
    <t>507-4873</t>
    <phoneticPr fontId="9" type="noConversion"/>
  </si>
  <si>
    <t>517-2651</t>
  </si>
  <si>
    <t>330-2262</t>
  </si>
  <si>
    <t>인천굴포초등학교병설유치원</t>
    <phoneticPr fontId="16" type="noConversion"/>
  </si>
  <si>
    <t>부평구 충선로 293(삼산동 483-7)</t>
    <phoneticPr fontId="16" type="noConversion"/>
  </si>
  <si>
    <t>삼산2동</t>
    <phoneticPr fontId="9" type="noConversion"/>
  </si>
  <si>
    <t>인천진산초등학교병설유치원</t>
    <phoneticPr fontId="9" type="noConversion"/>
  </si>
  <si>
    <t>부평구 굴포로 194-10(삼산동 456-1)</t>
  </si>
  <si>
    <t>인천서운초등학교병설유치원</t>
    <phoneticPr fontId="9" type="noConversion"/>
  </si>
  <si>
    <t>계양구 서운로 12(서운동 55-133)</t>
    <phoneticPr fontId="9" type="noConversion"/>
  </si>
  <si>
    <t>628-6874</t>
    <phoneticPr fontId="9" type="noConversion"/>
  </si>
  <si>
    <t>555-2274</t>
    <phoneticPr fontId="9" type="noConversion"/>
  </si>
  <si>
    <t>계양구 효서로 314(작전동 169-2)</t>
  </si>
  <si>
    <t>계양구 아나지로247번길 8(작전동 448-2)</t>
    <phoneticPr fontId="16" type="noConversion"/>
  </si>
  <si>
    <t>인천명현초등학교병설유치원</t>
    <phoneticPr fontId="9" type="noConversion"/>
  </si>
  <si>
    <t>계양구 봉오대로569번길 10(효성동 15-3)</t>
    <phoneticPr fontId="9" type="noConversion"/>
  </si>
  <si>
    <t>628-7215</t>
    <phoneticPr fontId="16" type="noConversion"/>
  </si>
  <si>
    <t>545-5708</t>
    <phoneticPr fontId="9" type="noConversion"/>
  </si>
  <si>
    <t>인천안산초등학교병설유치원</t>
    <phoneticPr fontId="16" type="noConversion"/>
  </si>
  <si>
    <t>계양구 임학서로 15(계산동 914)</t>
    <phoneticPr fontId="16" type="noConversion"/>
  </si>
  <si>
    <t>555-6065</t>
    <phoneticPr fontId="16" type="noConversion"/>
  </si>
  <si>
    <t>계산3동</t>
    <phoneticPr fontId="9" type="noConversion"/>
  </si>
  <si>
    <t>인천부현초등학교병설유치원</t>
    <phoneticPr fontId="9" type="noConversion"/>
  </si>
  <si>
    <t>계양구 장제로755번길 30(계산동65-4)</t>
    <phoneticPr fontId="9" type="noConversion"/>
  </si>
  <si>
    <t>621-4812</t>
    <phoneticPr fontId="9" type="noConversion"/>
  </si>
  <si>
    <t>552-2676</t>
    <phoneticPr fontId="9" type="noConversion"/>
  </si>
  <si>
    <t>계양구 경명대로1114번길 26(계산동 34-2)</t>
    <phoneticPr fontId="16" type="noConversion"/>
  </si>
  <si>
    <t>628-9270</t>
  </si>
  <si>
    <t>계양구 용종로 90(용종동 227-1)</t>
    <phoneticPr fontId="16" type="noConversion"/>
  </si>
  <si>
    <t>11권역`</t>
    <phoneticPr fontId="16" type="noConversion"/>
  </si>
  <si>
    <t>인천계양초등학교병설유치원</t>
    <phoneticPr fontId="9" type="noConversion"/>
  </si>
  <si>
    <t>계양구 장제로 1288(장기동 134 )</t>
    <phoneticPr fontId="16" type="noConversion"/>
  </si>
  <si>
    <t>515-4647</t>
    <phoneticPr fontId="9" type="noConversion"/>
  </si>
  <si>
    <t>555-9507</t>
    <phoneticPr fontId="9" type="noConversion"/>
  </si>
  <si>
    <t>인천소양초등학교병설유치원</t>
  </si>
  <si>
    <t>계양구 박촌로 53(박촌동 71-2)</t>
    <phoneticPr fontId="16" type="noConversion"/>
  </si>
  <si>
    <t>계양구 귤현길 15(귤현동 494)</t>
    <phoneticPr fontId="9" type="noConversion"/>
  </si>
  <si>
    <t>꿈나라유치원</t>
  </si>
  <si>
    <t>322-3079</t>
  </si>
  <si>
    <t>부평구 원적로416번길 38(산곡동 137-14)</t>
    <phoneticPr fontId="16" type="noConversion"/>
  </si>
  <si>
    <t>527-6711</t>
    <phoneticPr fontId="16" type="noConversion"/>
  </si>
  <si>
    <t>527-6709</t>
    <phoneticPr fontId="16" type="noConversion"/>
  </si>
  <si>
    <t>산곡유치원</t>
  </si>
  <si>
    <t>부평구 마장로 121(산곡동 370-401)</t>
    <phoneticPr fontId="16" type="noConversion"/>
  </si>
  <si>
    <t>516-6007</t>
  </si>
  <si>
    <t>516-6008</t>
  </si>
  <si>
    <t>숲속유치원</t>
  </si>
  <si>
    <t>527-6007</t>
  </si>
  <si>
    <t>527-0155</t>
  </si>
  <si>
    <t>아란유치원</t>
  </si>
  <si>
    <t>부평구 안남로 91(산곡동 311-126)</t>
    <phoneticPr fontId="16" type="noConversion"/>
  </si>
  <si>
    <t>527-2323</t>
  </si>
  <si>
    <t>232-3373</t>
  </si>
  <si>
    <t>연세유치원</t>
  </si>
  <si>
    <t>부평구 세월천로 16(청천동 176)</t>
    <phoneticPr fontId="16" type="noConversion"/>
  </si>
  <si>
    <t>503-0032</t>
  </si>
  <si>
    <t>503-0031</t>
  </si>
  <si>
    <t>십정2동</t>
    <phoneticPr fontId="16" type="noConversion"/>
  </si>
  <si>
    <t>열우물유치원</t>
  </si>
  <si>
    <t>부평구 아트센터로 118(십정동 607)</t>
    <phoneticPr fontId="16" type="noConversion"/>
  </si>
  <si>
    <t>528-7578</t>
  </si>
  <si>
    <t>527-7577</t>
  </si>
  <si>
    <t>부평구 마장로168번길 17(산곡동 311-6)</t>
    <phoneticPr fontId="16" type="noConversion"/>
  </si>
  <si>
    <t>이화유치원</t>
  </si>
  <si>
    <t>부평1동</t>
    <phoneticPr fontId="16" type="noConversion"/>
  </si>
  <si>
    <t>부평구 부평문화로 37(부평동 70-5)</t>
    <phoneticPr fontId="16" type="noConversion"/>
  </si>
  <si>
    <t>폐원진행중</t>
    <phoneticPr fontId="16" type="noConversion"/>
  </si>
  <si>
    <t>청원유치원</t>
  </si>
  <si>
    <t>502-4884</t>
  </si>
  <si>
    <t>502-4886</t>
  </si>
  <si>
    <t>한빛유치원</t>
  </si>
  <si>
    <t>부평구 부흥로123번길 36(산곡동 264-1)</t>
    <phoneticPr fontId="16" type="noConversion"/>
  </si>
  <si>
    <t>521-4445</t>
  </si>
  <si>
    <t>518-4353</t>
  </si>
  <si>
    <t>햇살유치원</t>
  </si>
  <si>
    <t>부평구 안남로 260(산곡동 124-1)</t>
    <phoneticPr fontId="16" type="noConversion"/>
  </si>
  <si>
    <t>502-2143</t>
  </si>
  <si>
    <t>502-2141</t>
  </si>
  <si>
    <t>홍익유치원</t>
  </si>
  <si>
    <t>부평구 길주로494번길 12(청천동 259-34)</t>
    <phoneticPr fontId="16" type="noConversion"/>
  </si>
  <si>
    <t>512-9339</t>
  </si>
  <si>
    <t>512-9359</t>
  </si>
  <si>
    <t>9권역</t>
    <phoneticPr fontId="16" type="noConversion"/>
  </si>
  <si>
    <t>부평구 장제로195번길 42(부평동 10-296)</t>
    <phoneticPr fontId="16" type="noConversion"/>
  </si>
  <si>
    <t>361-0233</t>
    <phoneticPr fontId="16" type="noConversion"/>
  </si>
  <si>
    <t>361-2326</t>
    <phoneticPr fontId="16" type="noConversion"/>
  </si>
  <si>
    <t>삼산1동</t>
    <phoneticPr fontId="16" type="noConversion"/>
  </si>
  <si>
    <t>근산유치원</t>
  </si>
  <si>
    <t>부평구 영성중로 53(삼산동 389-10)</t>
    <phoneticPr fontId="16" type="noConversion"/>
  </si>
  <si>
    <t>514-3236</t>
  </si>
  <si>
    <t>514-3238</t>
  </si>
  <si>
    <t>꿈나무유치원</t>
  </si>
  <si>
    <t>부평구 동수로120번길 11(부개동 442-3)</t>
    <phoneticPr fontId="16" type="noConversion"/>
  </si>
  <si>
    <t>529-8037</t>
  </si>
  <si>
    <t>529-8038</t>
  </si>
  <si>
    <t>부평구 충선로 158(부개동 498-2)</t>
    <phoneticPr fontId="16" type="noConversion"/>
  </si>
  <si>
    <t>505-6199</t>
  </si>
  <si>
    <t>505-6188</t>
  </si>
  <si>
    <t>부평구 안남로41번길 3(부평동 767-80)</t>
    <phoneticPr fontId="16" type="noConversion"/>
  </si>
  <si>
    <t>517-1914</t>
  </si>
  <si>
    <t>503-1913</t>
  </si>
  <si>
    <t>갈산2동</t>
    <phoneticPr fontId="16" type="noConversion"/>
  </si>
  <si>
    <t>새빛솔금유치원</t>
  </si>
  <si>
    <t>부평구 주부토로 146(갈산동 391)</t>
    <phoneticPr fontId="16" type="noConversion"/>
  </si>
  <si>
    <t>512-9610</t>
  </si>
  <si>
    <t>512-9612</t>
  </si>
  <si>
    <t>성심유치원</t>
  </si>
  <si>
    <t>부평구 부흥로 323(부평동 399-7)</t>
    <phoneticPr fontId="16" type="noConversion"/>
  </si>
  <si>
    <t>527-2314</t>
  </si>
  <si>
    <t>515-6341</t>
  </si>
  <si>
    <t>부개2동</t>
    <phoneticPr fontId="16" type="noConversion"/>
  </si>
  <si>
    <t>엄지유치원</t>
  </si>
  <si>
    <t>525-0041</t>
  </si>
  <si>
    <t>505-0446</t>
  </si>
  <si>
    <t>휴원( ~ 27. 2. 28.)</t>
    <phoneticPr fontId="16" type="noConversion"/>
  </si>
  <si>
    <t>열림유치원</t>
  </si>
  <si>
    <t>부평구 일신로14번길 23-1(일신동 409-1)</t>
    <phoneticPr fontId="16" type="noConversion"/>
  </si>
  <si>
    <t>515-4525</t>
  </si>
  <si>
    <t>515-4526</t>
  </si>
  <si>
    <t>부평구 충선로 262(삼산동 443-2)</t>
    <phoneticPr fontId="16" type="noConversion"/>
  </si>
  <si>
    <t>은현유치원</t>
  </si>
  <si>
    <t>511-6766</t>
  </si>
  <si>
    <t>519-6766</t>
  </si>
  <si>
    <t>이든유치원</t>
  </si>
  <si>
    <t>부평구 부개로 58(부개동 499-2)</t>
    <phoneticPr fontId="16" type="noConversion"/>
  </si>
  <si>
    <t>361-8181</t>
  </si>
  <si>
    <t>361-8183</t>
  </si>
  <si>
    <t>청담유치원</t>
  </si>
  <si>
    <t>부평구 동수천로 70(부개동 130-6)</t>
    <phoneticPr fontId="16" type="noConversion"/>
  </si>
  <si>
    <t>525-1900</t>
  </si>
  <si>
    <t>070-4009-4433</t>
  </si>
  <si>
    <t>에코프라임유치원</t>
    <phoneticPr fontId="16" type="noConversion"/>
  </si>
  <si>
    <t>부평구 갈월동로 45(갈산동 368)</t>
    <phoneticPr fontId="16" type="noConversion"/>
  </si>
  <si>
    <t>503-6108</t>
  </si>
  <si>
    <t>0504-438-4207</t>
  </si>
  <si>
    <t>프렌즈유치원</t>
  </si>
  <si>
    <t>부평구 주부토로 201(갈산동 361-3)</t>
    <phoneticPr fontId="16" type="noConversion"/>
  </si>
  <si>
    <t>526-9007</t>
  </si>
  <si>
    <t>526-8987</t>
  </si>
  <si>
    <t>해마루유치원</t>
  </si>
  <si>
    <t>501-0700</t>
  </si>
  <si>
    <t>0504-019-5851</t>
  </si>
  <si>
    <t>현대유치원</t>
  </si>
  <si>
    <t>부평구 갈월동로 66(갈산동 359-3)</t>
    <phoneticPr fontId="16" type="noConversion"/>
  </si>
  <si>
    <t>518-5148</t>
  </si>
  <si>
    <t>518-5149</t>
  </si>
  <si>
    <t>미래유치원</t>
  </si>
  <si>
    <t>계양구 주부토로363번길 27(작전동 388-2)</t>
    <phoneticPr fontId="16" type="noConversion"/>
  </si>
  <si>
    <t>545-4759</t>
  </si>
  <si>
    <t>545-4770</t>
  </si>
  <si>
    <t>보나유치원</t>
  </si>
  <si>
    <t>계양구 효서로 393(작전동 915-1)</t>
    <phoneticPr fontId="16" type="noConversion"/>
  </si>
  <si>
    <t>효성1동</t>
    <phoneticPr fontId="16" type="noConversion"/>
  </si>
  <si>
    <t>영광유치원</t>
  </si>
  <si>
    <t>계양구 안남로 596(효성동 27-9)</t>
    <phoneticPr fontId="16" type="noConversion"/>
  </si>
  <si>
    <t>548-3435</t>
  </si>
  <si>
    <t>548-0252</t>
  </si>
  <si>
    <t>예그랑유치원</t>
  </si>
  <si>
    <t>계양구 안남로554번길 25(효성동 21-11)</t>
    <phoneticPr fontId="16" type="noConversion"/>
  </si>
  <si>
    <t>547-5959</t>
  </si>
  <si>
    <t>548-5959</t>
  </si>
  <si>
    <t>효성2동</t>
    <phoneticPr fontId="16" type="noConversion"/>
  </si>
  <si>
    <t>예림유치원</t>
  </si>
  <si>
    <t>계양구 아나지로 199(효성동 238-1)</t>
    <phoneticPr fontId="16" type="noConversion"/>
  </si>
  <si>
    <t>548-5957</t>
  </si>
  <si>
    <t>548-5947</t>
  </si>
  <si>
    <t>자연유치원</t>
  </si>
  <si>
    <t>계양구 봉오대로477번길 18(효성동 123-143)</t>
    <phoneticPr fontId="16" type="noConversion"/>
  </si>
  <si>
    <t>553-7090</t>
  </si>
  <si>
    <t>552-5490</t>
  </si>
  <si>
    <t>정원유치원</t>
  </si>
  <si>
    <t>계양구 봉오대로743번길 20(작전동 111-7)</t>
    <phoneticPr fontId="16" type="noConversion"/>
  </si>
  <si>
    <t>계양구 도두리로 54(작전동 912-10)</t>
    <phoneticPr fontId="16" type="noConversion"/>
  </si>
  <si>
    <t>554-7100</t>
  </si>
  <si>
    <t>554-7102</t>
  </si>
  <si>
    <t>계산2동</t>
    <phoneticPr fontId="16" type="noConversion"/>
  </si>
  <si>
    <t>경인여자대학교부속유치원</t>
    <phoneticPr fontId="16" type="noConversion"/>
  </si>
  <si>
    <t>540-0471~2</t>
  </si>
  <si>
    <t>542-6075</t>
  </si>
  <si>
    <t>계양유치원</t>
    <phoneticPr fontId="16" type="noConversion"/>
  </si>
  <si>
    <t>계양구 계양산로193번길 20(병방동 346)</t>
    <phoneticPr fontId="16" type="noConversion"/>
  </si>
  <si>
    <t>556-4419</t>
  </si>
  <si>
    <t>278-5000</t>
  </si>
  <si>
    <t>노틀담유치원</t>
  </si>
  <si>
    <t>542-1060</t>
  </si>
  <si>
    <t>554-1060</t>
  </si>
  <si>
    <t>마리아유치원</t>
  </si>
  <si>
    <t>계양구 임학서로42번길 17(임학동 33-3)</t>
    <phoneticPr fontId="16" type="noConversion"/>
  </si>
  <si>
    <t>545-7713</t>
  </si>
  <si>
    <t>계양구 임학서로45번길 5(임학동 38-2)</t>
    <phoneticPr fontId="16" type="noConversion"/>
  </si>
  <si>
    <t>보람유치원</t>
  </si>
  <si>
    <t>계양1동</t>
    <phoneticPr fontId="16" type="noConversion"/>
  </si>
  <si>
    <t>산들유치원</t>
  </si>
  <si>
    <t>계양구 역골로119번길 17(다남동 79-2)</t>
    <phoneticPr fontId="16" type="noConversion"/>
  </si>
  <si>
    <t>514-5392</t>
  </si>
  <si>
    <t>514-9510</t>
  </si>
  <si>
    <t>상아유치원</t>
  </si>
  <si>
    <t>계양구 장제로 878(병방동 432-5)</t>
    <phoneticPr fontId="16" type="noConversion"/>
  </si>
  <si>
    <t>554-2003</t>
  </si>
  <si>
    <t>554-2022</t>
  </si>
  <si>
    <t>계산3동</t>
    <phoneticPr fontId="16" type="noConversion"/>
  </si>
  <si>
    <t>계양구 계산로 152(계산동 301-11)</t>
    <phoneticPr fontId="16" type="noConversion"/>
  </si>
  <si>
    <t>계양3동</t>
    <phoneticPr fontId="16" type="noConversion"/>
  </si>
  <si>
    <t>예소담유치원</t>
  </si>
  <si>
    <t>계양구 양지말2길 7(동양동 605-1)</t>
    <phoneticPr fontId="16" type="noConversion"/>
  </si>
  <si>
    <t>547-7941</t>
  </si>
  <si>
    <t>547-7942</t>
  </si>
  <si>
    <t>7,060,1</t>
    <phoneticPr fontId="16" type="noConversion"/>
  </si>
  <si>
    <t>인천 남동구 주안로259번길 28</t>
    <phoneticPr fontId="9" type="noConversion"/>
  </si>
  <si>
    <t>남동구 선수촌로 28(구월동 1521번지)</t>
    <phoneticPr fontId="9" type="noConversion"/>
  </si>
  <si>
    <t>629-4658</t>
    <phoneticPr fontId="9" type="noConversion"/>
  </si>
  <si>
    <t>469-3926</t>
    <phoneticPr fontId="9" type="noConversion"/>
  </si>
  <si>
    <t>남동구 만수서로 33번길(만수동111-5번지)</t>
  </si>
  <si>
    <t>남동구 백범로248번길 38(만수동 846)</t>
    <phoneticPr fontId="9" type="noConversion"/>
  </si>
  <si>
    <t>466-6836</t>
    <phoneticPr fontId="9" type="noConversion"/>
  </si>
  <si>
    <t>남동구 소래로 652(만수동 1074번지)</t>
  </si>
  <si>
    <t>466-1809</t>
  </si>
  <si>
    <t>남동구 서창남순환로 190-28(서창동 694번지)</t>
    <phoneticPr fontId="9" type="noConversion"/>
  </si>
  <si>
    <t>629-9711</t>
    <phoneticPr fontId="9" type="noConversion"/>
  </si>
  <si>
    <t>남동구 논고개로 334번길 21(도림동 629-2)</t>
    <phoneticPr fontId="9" type="noConversion"/>
  </si>
  <si>
    <t>870-6124</t>
    <phoneticPr fontId="9" type="noConversion"/>
  </si>
  <si>
    <t>442-2599</t>
    <phoneticPr fontId="9" type="noConversion"/>
  </si>
  <si>
    <t>남동구 장도로 2(논현동 109-85번지)</t>
    <phoneticPr fontId="9" type="noConversion"/>
  </si>
  <si>
    <t>629-6004</t>
    <phoneticPr fontId="16" type="noConversion"/>
  </si>
  <si>
    <t>629-9499</t>
    <phoneticPr fontId="16" type="noConversion"/>
  </si>
  <si>
    <t>455-8643</t>
    <phoneticPr fontId="9" type="noConversion"/>
  </si>
  <si>
    <t>남동구 아암대로 1437번길 50(논현동 767-3)</t>
  </si>
  <si>
    <t>454-7080</t>
  </si>
  <si>
    <t>438-9206</t>
  </si>
  <si>
    <t>817-3694</t>
    <phoneticPr fontId="9" type="noConversion"/>
  </si>
  <si>
    <t>연수구 함박뫼로 25(청학동 465번지)</t>
    <phoneticPr fontId="9" type="noConversion"/>
  </si>
  <si>
    <t>458-9717</t>
    <phoneticPr fontId="9" type="noConversion"/>
  </si>
  <si>
    <t>629-5268</t>
    <phoneticPr fontId="9" type="noConversion"/>
  </si>
  <si>
    <t>연수구 해돋이로84번길 33(송도동 3-12)</t>
    <phoneticPr fontId="9" type="noConversion"/>
  </si>
  <si>
    <t>858-0940</t>
    <phoneticPr fontId="9" type="noConversion"/>
  </si>
  <si>
    <t>연수구 인천타워대로54번길 46(송도동 9-27)</t>
    <phoneticPr fontId="9" type="noConversion"/>
  </si>
  <si>
    <t>833-0942</t>
    <phoneticPr fontId="9" type="noConversion"/>
  </si>
  <si>
    <t>851-7300</t>
    <phoneticPr fontId="9" type="noConversion"/>
  </si>
  <si>
    <t>연수구 아트센터대로97번길 72(송도동18-8)</t>
    <phoneticPr fontId="9" type="noConversion"/>
  </si>
  <si>
    <t>629-6993</t>
    <phoneticPr fontId="9" type="noConversion"/>
  </si>
  <si>
    <t>851-9060</t>
    <phoneticPr fontId="16" type="noConversion"/>
  </si>
  <si>
    <t>연수구 송도과학로 51번길(60번지)</t>
    <phoneticPr fontId="9" type="noConversion"/>
  </si>
  <si>
    <t>연수구 아카데미로 343번길 27(송도동 396-8)</t>
    <phoneticPr fontId="9" type="noConversion"/>
  </si>
  <si>
    <t>745-4881</t>
    <phoneticPr fontId="9" type="noConversion"/>
  </si>
  <si>
    <t>연수구 컨벤시아대로252번길 15(송도동 107번지)</t>
    <phoneticPr fontId="9" type="noConversion"/>
  </si>
  <si>
    <t>550-7781</t>
    <phoneticPr fontId="9" type="noConversion"/>
  </si>
  <si>
    <t>550-7769</t>
    <phoneticPr fontId="9" type="noConversion"/>
  </si>
  <si>
    <t>연수구 컨벤시아대로302번길 23(송도동 115-5)</t>
    <phoneticPr fontId="9" type="noConversion"/>
  </si>
  <si>
    <t>연수구 아카데미로 312번길 96(송도동399-10)</t>
    <phoneticPr fontId="16" type="noConversion"/>
  </si>
  <si>
    <t>연수구구 아카데미로 667(송도동 309-1)</t>
    <phoneticPr fontId="9" type="noConversion"/>
  </si>
  <si>
    <t>509-1098</t>
    <phoneticPr fontId="9" type="noConversion"/>
  </si>
  <si>
    <t>509-1090</t>
    <phoneticPr fontId="9" type="noConversion"/>
  </si>
  <si>
    <t>연수구 아카데미로627(송도동 320-1)</t>
    <phoneticPr fontId="16" type="noConversion"/>
  </si>
  <si>
    <t>456-7590</t>
    <phoneticPr fontId="16" type="noConversion"/>
  </si>
  <si>
    <t>858-9212</t>
    <phoneticPr fontId="16" type="noConversion"/>
  </si>
  <si>
    <t>858-7161</t>
    <phoneticPr fontId="16" type="noConversion"/>
  </si>
  <si>
    <t>816-2509</t>
    <phoneticPr fontId="16" type="noConversion"/>
  </si>
  <si>
    <t>816-2508</t>
    <phoneticPr fontId="16" type="noConversion"/>
  </si>
  <si>
    <t>812-3578</t>
    <phoneticPr fontId="16" type="noConversion"/>
  </si>
  <si>
    <t>811-3576</t>
    <phoneticPr fontId="16" type="noConversion"/>
  </si>
  <si>
    <t>연수구 원인재로 14(동춘동 931-4)</t>
    <phoneticPr fontId="16" type="noConversion"/>
  </si>
  <si>
    <t>813-6304</t>
    <phoneticPr fontId="16" type="noConversion"/>
  </si>
  <si>
    <t>연수구 원인재로 56(동춘동 928)</t>
    <phoneticPr fontId="16" type="noConversion"/>
  </si>
  <si>
    <t>815-7475</t>
    <phoneticPr fontId="16" type="noConversion"/>
  </si>
  <si>
    <t>815-7476</t>
    <phoneticPr fontId="16" type="noConversion"/>
  </si>
  <si>
    <t>816-1064</t>
    <phoneticPr fontId="16" type="noConversion"/>
  </si>
  <si>
    <t>816-1084</t>
    <phoneticPr fontId="16" type="noConversion"/>
  </si>
  <si>
    <t>812-4728</t>
    <phoneticPr fontId="16" type="noConversion"/>
  </si>
  <si>
    <t>811-4728</t>
    <phoneticPr fontId="16" type="noConversion"/>
  </si>
  <si>
    <t>816-1617</t>
    <phoneticPr fontId="16" type="noConversion"/>
  </si>
  <si>
    <t>818-7188</t>
    <phoneticPr fontId="16" type="noConversion"/>
  </si>
  <si>
    <t>연수구 원인재로 81(동춘동 924-3)</t>
    <phoneticPr fontId="16" type="noConversion"/>
  </si>
  <si>
    <t>812-3674</t>
    <phoneticPr fontId="16" type="noConversion"/>
  </si>
  <si>
    <t>812-4820</t>
    <phoneticPr fontId="16" type="noConversion"/>
  </si>
  <si>
    <t>814-7324</t>
    <phoneticPr fontId="16" type="noConversion"/>
  </si>
  <si>
    <t>814-7325</t>
    <phoneticPr fontId="16" type="noConversion"/>
  </si>
  <si>
    <t>813-9889</t>
    <phoneticPr fontId="16" type="noConversion"/>
  </si>
  <si>
    <t>814-2685</t>
    <phoneticPr fontId="16" type="noConversion"/>
  </si>
  <si>
    <t>연수구 함박안로 156번길 15-12(연수동514-1)</t>
    <phoneticPr fontId="9" type="noConversion"/>
  </si>
  <si>
    <t>811-7614</t>
    <phoneticPr fontId="9" type="noConversion"/>
  </si>
  <si>
    <t>811-7615</t>
    <phoneticPr fontId="9" type="noConversion"/>
  </si>
  <si>
    <t>812-4268</t>
    <phoneticPr fontId="16" type="noConversion"/>
  </si>
  <si>
    <t>812-4262</t>
    <phoneticPr fontId="16" type="noConversion"/>
  </si>
  <si>
    <t>819-005</t>
    <phoneticPr fontId="16" type="noConversion"/>
  </si>
  <si>
    <t>815-1437</t>
    <phoneticPr fontId="16" type="noConversion"/>
  </si>
  <si>
    <t>815-1439</t>
    <phoneticPr fontId="16" type="noConversion"/>
  </si>
  <si>
    <t>연수구 새말로 134(연수동 578-1)</t>
    <phoneticPr fontId="16" type="noConversion"/>
  </si>
  <si>
    <t>821-3833</t>
    <phoneticPr fontId="16" type="noConversion"/>
  </si>
  <si>
    <t>817-3283</t>
    <phoneticPr fontId="16" type="noConversion"/>
  </si>
  <si>
    <t>812-7649</t>
    <phoneticPr fontId="16" type="noConversion"/>
  </si>
  <si>
    <t>818-5559</t>
    <phoneticPr fontId="16" type="noConversion"/>
  </si>
  <si>
    <t>831-2320</t>
    <phoneticPr fontId="16" type="noConversion"/>
  </si>
  <si>
    <t>831-2321</t>
    <phoneticPr fontId="16" type="noConversion"/>
  </si>
  <si>
    <t>아이웰유치원</t>
  </si>
  <si>
    <t>연수구 청량로 194번길 6(옥련동 374-5)</t>
    <phoneticPr fontId="16" type="noConversion"/>
  </si>
  <si>
    <t>832-0033</t>
    <phoneticPr fontId="16" type="noConversion"/>
  </si>
  <si>
    <t>832-0034</t>
    <phoneticPr fontId="16" type="noConversion"/>
  </si>
  <si>
    <t>832-0512</t>
    <phoneticPr fontId="16" type="noConversion"/>
  </si>
  <si>
    <t>833-0512</t>
    <phoneticPr fontId="16" type="noConversion"/>
  </si>
  <si>
    <t>833-1466</t>
    <phoneticPr fontId="16" type="noConversion"/>
  </si>
  <si>
    <t>833-7466</t>
    <phoneticPr fontId="16" type="noConversion"/>
  </si>
  <si>
    <t>832-4411</t>
    <phoneticPr fontId="16" type="noConversion"/>
  </si>
  <si>
    <t>0504-061-0676</t>
    <phoneticPr fontId="16" type="noConversion"/>
  </si>
  <si>
    <t>815-8871</t>
    <phoneticPr fontId="16" type="noConversion"/>
  </si>
  <si>
    <t>0504-274-1280</t>
    <phoneticPr fontId="16" type="noConversion"/>
  </si>
  <si>
    <t>미상지유치원(폐원예정)</t>
    <phoneticPr fontId="16" type="noConversion"/>
  </si>
  <si>
    <t>814-2811</t>
    <phoneticPr fontId="16" type="noConversion"/>
  </si>
  <si>
    <t>814-2711</t>
    <phoneticPr fontId="16" type="noConversion"/>
  </si>
  <si>
    <t>832-0135</t>
    <phoneticPr fontId="16" type="noConversion"/>
  </si>
  <si>
    <t>832-1619</t>
    <phoneticPr fontId="16" type="noConversion"/>
  </si>
  <si>
    <t>858-8600</t>
    <phoneticPr fontId="16" type="noConversion"/>
  </si>
  <si>
    <t>연수구 송도교육로 27(송도동 191-8)</t>
    <phoneticPr fontId="16" type="noConversion"/>
  </si>
  <si>
    <t>822-3363</t>
    <phoneticPr fontId="16" type="noConversion"/>
  </si>
  <si>
    <t>817-3363</t>
    <phoneticPr fontId="16" type="noConversion"/>
  </si>
  <si>
    <t>연수구 랜드마크로 113(송도동 319-1)</t>
    <phoneticPr fontId="16" type="noConversion"/>
  </si>
  <si>
    <t>710-8277</t>
    <phoneticPr fontId="16" type="noConversion"/>
  </si>
  <si>
    <t>710-8278</t>
    <phoneticPr fontId="16" type="noConversion"/>
  </si>
  <si>
    <t>남동구 구월로 137번길 65(간석동 342-10)</t>
    <phoneticPr fontId="16" type="noConversion"/>
  </si>
  <si>
    <t>429-4856</t>
    <phoneticPr fontId="16" type="noConversion"/>
  </si>
  <si>
    <t>429-4859</t>
    <phoneticPr fontId="16" type="noConversion"/>
  </si>
  <si>
    <t>남동구 남동대로 860-1(간석동939-1)</t>
    <phoneticPr fontId="16" type="noConversion"/>
  </si>
  <si>
    <t>464-7958</t>
    <phoneticPr fontId="16" type="noConversion"/>
  </si>
  <si>
    <t>464-7957</t>
    <phoneticPr fontId="16" type="noConversion"/>
  </si>
  <si>
    <t>421-7088</t>
    <phoneticPr fontId="16" type="noConversion"/>
  </si>
  <si>
    <t>421-5288</t>
    <phoneticPr fontId="16" type="noConversion"/>
  </si>
  <si>
    <t>435-7505</t>
    <phoneticPr fontId="16" type="noConversion"/>
  </si>
  <si>
    <t>421-7565</t>
    <phoneticPr fontId="16" type="noConversion"/>
  </si>
  <si>
    <t>432-3858</t>
    <phoneticPr fontId="16" type="noConversion"/>
  </si>
  <si>
    <t>439-3858</t>
    <phoneticPr fontId="16" type="noConversion"/>
  </si>
  <si>
    <t>435-4627</t>
    <phoneticPr fontId="16" type="noConversion"/>
  </si>
  <si>
    <t>435-4628</t>
    <phoneticPr fontId="16" type="noConversion"/>
  </si>
  <si>
    <t>462-6333</t>
    <phoneticPr fontId="16" type="noConversion"/>
  </si>
  <si>
    <t>472-6333</t>
    <phoneticPr fontId="16" type="noConversion"/>
  </si>
  <si>
    <t>남동구 선수촌공원로 56(구월동 1502)</t>
    <phoneticPr fontId="16" type="noConversion"/>
  </si>
  <si>
    <t>469-9700</t>
    <phoneticPr fontId="16" type="noConversion"/>
  </si>
  <si>
    <t>469-9701</t>
    <phoneticPr fontId="16" type="noConversion"/>
  </si>
  <si>
    <t>남동구 용천로4번길 9-9(구얼동 1222-4)</t>
    <phoneticPr fontId="16" type="noConversion"/>
  </si>
  <si>
    <t>469-1210</t>
    <phoneticPr fontId="16" type="noConversion"/>
  </si>
  <si>
    <t>469-0129</t>
    <phoneticPr fontId="16" type="noConversion"/>
  </si>
  <si>
    <t>467-6446</t>
    <phoneticPr fontId="16" type="noConversion"/>
  </si>
  <si>
    <t>213-6446</t>
    <phoneticPr fontId="16" type="noConversion"/>
  </si>
  <si>
    <t>남동구 용천로49(구월동 23)</t>
    <phoneticPr fontId="16" type="noConversion"/>
  </si>
  <si>
    <t>465-4928</t>
    <phoneticPr fontId="16" type="noConversion"/>
  </si>
  <si>
    <t>232-4929</t>
    <phoneticPr fontId="16" type="noConversion"/>
  </si>
  <si>
    <t>473-0923</t>
    <phoneticPr fontId="16" type="noConversion"/>
  </si>
  <si>
    <t>473-0925</t>
    <phoneticPr fontId="16" type="noConversion"/>
  </si>
  <si>
    <t>267-7803</t>
    <phoneticPr fontId="16" type="noConversion"/>
  </si>
  <si>
    <t>469-7803</t>
    <phoneticPr fontId="16" type="noConversion"/>
  </si>
  <si>
    <t>433-7335</t>
    <phoneticPr fontId="16" type="noConversion"/>
  </si>
  <si>
    <t>433-7336</t>
    <phoneticPr fontId="16" type="noConversion"/>
  </si>
  <si>
    <t>425-4488</t>
    <phoneticPr fontId="16" type="noConversion"/>
  </si>
  <si>
    <t>425-3341</t>
    <phoneticPr fontId="16" type="noConversion"/>
  </si>
  <si>
    <t>만수1동</t>
  </si>
  <si>
    <t>남동구 백범로101번길 25(만수동963-1)</t>
    <phoneticPr fontId="16" type="noConversion"/>
  </si>
  <si>
    <t>464-7117</t>
    <phoneticPr fontId="16" type="noConversion"/>
  </si>
  <si>
    <t>464-1228</t>
    <phoneticPr fontId="16" type="noConversion"/>
  </si>
  <si>
    <t>조은유치원(휴원중)</t>
    <phoneticPr fontId="16" type="noConversion"/>
  </si>
  <si>
    <t>464-7763</t>
    <phoneticPr fontId="16" type="noConversion"/>
  </si>
  <si>
    <t>465-5039</t>
    <phoneticPr fontId="16" type="noConversion"/>
  </si>
  <si>
    <t>만수3동</t>
  </si>
  <si>
    <t>465-1145</t>
    <phoneticPr fontId="16" type="noConversion"/>
  </si>
  <si>
    <t>464-2740</t>
    <phoneticPr fontId="16" type="noConversion"/>
  </si>
  <si>
    <t>461-5076</t>
    <phoneticPr fontId="16" type="noConversion"/>
  </si>
  <si>
    <t>남동구 만경로8번길 33(만수5동 881-6)</t>
    <phoneticPr fontId="16" type="noConversion"/>
  </si>
  <si>
    <t>465-1239</t>
    <phoneticPr fontId="16" type="noConversion"/>
  </si>
  <si>
    <t>0504-226-8682</t>
    <phoneticPr fontId="16" type="noConversion"/>
  </si>
  <si>
    <t>463-2368</t>
    <phoneticPr fontId="16" type="noConversion"/>
  </si>
  <si>
    <t>462-2368</t>
    <phoneticPr fontId="16" type="noConversion"/>
  </si>
  <si>
    <t>471-0022</t>
    <phoneticPr fontId="16" type="noConversion"/>
  </si>
  <si>
    <t>0504-435-1964</t>
    <phoneticPr fontId="16" type="noConversion"/>
  </si>
  <si>
    <t>남동구 서창방산로99(서창동 674)</t>
    <phoneticPr fontId="16" type="noConversion"/>
  </si>
  <si>
    <t>462-0567</t>
    <phoneticPr fontId="16" type="noConversion"/>
  </si>
  <si>
    <t>227-0567</t>
    <phoneticPr fontId="16" type="noConversion"/>
  </si>
  <si>
    <t>남촌도림동</t>
  </si>
  <si>
    <t>473-7979</t>
    <phoneticPr fontId="16" type="noConversion"/>
  </si>
  <si>
    <t>462-2255</t>
    <phoneticPr fontId="16" type="noConversion"/>
  </si>
  <si>
    <t>472-4816</t>
    <phoneticPr fontId="16" type="noConversion"/>
  </si>
  <si>
    <t>472-4818</t>
    <phoneticPr fontId="16" type="noConversion"/>
  </si>
  <si>
    <t>남동구 호구포로535번길 67(남촌동 294-2)</t>
    <phoneticPr fontId="16" type="noConversion"/>
  </si>
  <si>
    <t>466-0466</t>
    <phoneticPr fontId="16" type="noConversion"/>
  </si>
  <si>
    <t>466-8665</t>
    <phoneticPr fontId="16" type="noConversion"/>
  </si>
  <si>
    <t>논현1동</t>
  </si>
  <si>
    <t>남동구 은봉로 375번길 108(논현동 597-9)</t>
    <phoneticPr fontId="16" type="noConversion"/>
  </si>
  <si>
    <t>435-7782</t>
    <phoneticPr fontId="16" type="noConversion"/>
  </si>
  <si>
    <t>435-7783</t>
    <phoneticPr fontId="16" type="noConversion"/>
  </si>
  <si>
    <t>남동구 앵고개로 941번길 23(논현동 661-3)</t>
    <phoneticPr fontId="16" type="noConversion"/>
  </si>
  <si>
    <t>437-5003</t>
    <phoneticPr fontId="16" type="noConversion"/>
  </si>
  <si>
    <t>070-8220-5211</t>
    <phoneticPr fontId="16" type="noConversion"/>
  </si>
  <si>
    <t>433-4991</t>
    <phoneticPr fontId="16" type="noConversion"/>
  </si>
  <si>
    <t>433-3635</t>
    <phoneticPr fontId="16" type="noConversion"/>
  </si>
  <si>
    <t>남동구 논고개로175번길 22-9(논현동 589-5)</t>
    <phoneticPr fontId="16" type="noConversion"/>
  </si>
  <si>
    <t>433-9700</t>
    <phoneticPr fontId="16" type="noConversion"/>
  </si>
  <si>
    <t>437-4343</t>
    <phoneticPr fontId="16" type="noConversion"/>
  </si>
  <si>
    <t>남동구 에코중앙로 84번길 9(논현동 766-3)</t>
    <phoneticPr fontId="16" type="noConversion"/>
  </si>
  <si>
    <t>431-5271~4</t>
    <phoneticPr fontId="16" type="noConversion"/>
  </si>
  <si>
    <t>431-5275</t>
    <phoneticPr fontId="16" type="noConversion"/>
  </si>
  <si>
    <t>811-1342</t>
    <phoneticPr fontId="16" type="noConversion"/>
  </si>
  <si>
    <t>811-1347</t>
    <phoneticPr fontId="16" type="noConversion"/>
  </si>
  <si>
    <t>수산동</t>
    <phoneticPr fontId="16" type="noConversion"/>
  </si>
  <si>
    <t>미예뜰유치원</t>
    <phoneticPr fontId="16" type="noConversion"/>
  </si>
  <si>
    <t>남동구 경신로 42(수산동 28-9)</t>
    <phoneticPr fontId="16" type="noConversion"/>
  </si>
  <si>
    <t>466-3051</t>
    <phoneticPr fontId="16" type="noConversion"/>
  </si>
  <si>
    <t>465-3051</t>
    <phoneticPr fontId="16" type="noConversion"/>
  </si>
  <si>
    <t>5권역</t>
  </si>
  <si>
    <t>인천가원초등학교병설유치원</t>
  </si>
  <si>
    <t>569-4454</t>
    <phoneticPr fontId="16" type="noConversion"/>
  </si>
  <si>
    <t>가정동</t>
  </si>
  <si>
    <t>인천봉수초등학교병설유치원</t>
  </si>
  <si>
    <t>서구 봉오대로 267번길 11-4(가정동284-438)</t>
    <phoneticPr fontId="16" type="noConversion"/>
  </si>
  <si>
    <t>628-5560</t>
  </si>
  <si>
    <t>569-0442</t>
  </si>
  <si>
    <t>인천가석초등학교병설유치원</t>
  </si>
  <si>
    <t>627-4618</t>
  </si>
  <si>
    <t>455-7864</t>
  </si>
  <si>
    <t>가좌1동</t>
  </si>
  <si>
    <t>인천봉화초등학교병설유치원</t>
  </si>
  <si>
    <t>서구 건지로 250번길 43(가좌동147)</t>
  </si>
  <si>
    <t>628-7566</t>
  </si>
  <si>
    <t>572-9263</t>
  </si>
  <si>
    <t>인천가림초등학교병설유치원</t>
  </si>
  <si>
    <t>서구 장고개로 283번길29(가좌2동231)</t>
    <phoneticPr fontId="16" type="noConversion"/>
  </si>
  <si>
    <t>572-6280</t>
    <phoneticPr fontId="9" type="noConversion"/>
  </si>
  <si>
    <t>가좌3동</t>
  </si>
  <si>
    <t>인천건지초등학교병설유치원</t>
  </si>
  <si>
    <t>서구 건지로 318번길 39(가좌동 200)</t>
  </si>
  <si>
    <t>583-4831</t>
  </si>
  <si>
    <t>가좌동</t>
  </si>
  <si>
    <t>인천가정초등학교병설유치원</t>
  </si>
  <si>
    <t>서구 장고개로 336-1(가좌동 395-4)</t>
    <phoneticPr fontId="16" type="noConversion"/>
  </si>
  <si>
    <t>628-4713~4</t>
  </si>
  <si>
    <t>석남동</t>
  </si>
  <si>
    <t>인천신석초등학교병설유치원</t>
  </si>
  <si>
    <t>서구 새오개로9(석남동 208-2)</t>
  </si>
  <si>
    <t>628-5327</t>
  </si>
  <si>
    <t>석남3동</t>
  </si>
  <si>
    <t>인천석남초등학교병설유치원</t>
  </si>
  <si>
    <t>서구 서달로 130번길 4(석남동109-32)</t>
  </si>
  <si>
    <t>628-4577</t>
  </si>
  <si>
    <t>인천간재울초등학교병설유치원</t>
  </si>
  <si>
    <t>서구 승학로 433(검암동629-3)</t>
    <phoneticPr fontId="16" type="noConversion"/>
  </si>
  <si>
    <t>628-7407</t>
  </si>
  <si>
    <t>628-7386</t>
  </si>
  <si>
    <t>인천검암유치원</t>
  </si>
  <si>
    <t>서구 승학로599번길 45(검암동 495)</t>
  </si>
  <si>
    <t>569-7636</t>
  </si>
  <si>
    <t>569-7634</t>
  </si>
  <si>
    <t>인천경서초등학교병설유치원</t>
  </si>
  <si>
    <t>서구 경서로31번길 31(경서동 741)</t>
  </si>
  <si>
    <t>628-8003</t>
  </si>
  <si>
    <t>569-0481</t>
  </si>
  <si>
    <t>인천은지초등학교병설유치원</t>
  </si>
  <si>
    <t>서구 승학로 572번길 22(검암동 536-1)</t>
    <phoneticPr fontId="16" type="noConversion"/>
  </si>
  <si>
    <t>628-7688</t>
  </si>
  <si>
    <t>568-3316</t>
  </si>
  <si>
    <t>인천한들초등학교병설유치원</t>
  </si>
  <si>
    <t>서구 한중로 25(백석동 98-3)</t>
    <phoneticPr fontId="16" type="noConversion"/>
  </si>
  <si>
    <t>404-0800</t>
  </si>
  <si>
    <t>569-7974</t>
  </si>
  <si>
    <t>인천가현초등학교병설유치원</t>
  </si>
  <si>
    <t>서구 염곡로 417(신현동 305-4)</t>
  </si>
  <si>
    <t>인천신현북초등학교병설유치원</t>
  </si>
  <si>
    <t>연희동</t>
  </si>
  <si>
    <t>인천서곶초등학교병설유치원</t>
  </si>
  <si>
    <t>인천양지초등학교병설유치원</t>
  </si>
  <si>
    <t>서구 승학로197번길11 (심곡동 144-2)</t>
  </si>
  <si>
    <t>628-7001</t>
  </si>
  <si>
    <t>청라1동</t>
  </si>
  <si>
    <t>인천청라초등학교병설유치원</t>
  </si>
  <si>
    <t>서구 청라에메랄드로 139(청라동125-6)</t>
  </si>
  <si>
    <t>569-5915</t>
  </si>
  <si>
    <t>569-5917</t>
  </si>
  <si>
    <t>인천초은초등학교병설유치원</t>
  </si>
  <si>
    <t>서구 청라에메랄드로33(청라동 192-3)</t>
  </si>
  <si>
    <t>628-8476</t>
  </si>
  <si>
    <t>인천경명초등학교병설유치원</t>
  </si>
  <si>
    <t>서구 크리스탈로 130(청라동 139-2)</t>
  </si>
  <si>
    <t>590-9300</t>
  </si>
  <si>
    <t>590-9499</t>
  </si>
  <si>
    <t>인천도담초등학교병설유치원</t>
  </si>
  <si>
    <t>서구 청라커낼로 217(청라동 178-8)</t>
  </si>
  <si>
    <t>561-6659</t>
  </si>
  <si>
    <t>인천청람초등학교병설유치원</t>
  </si>
  <si>
    <t>인천청일초등학교병설유치원</t>
  </si>
  <si>
    <t>서구 크리스탈로 46(청라동 173-2)</t>
  </si>
  <si>
    <t>628-8624</t>
  </si>
  <si>
    <t>인천경연초등학교병설유치원</t>
  </si>
  <si>
    <t>510-7244</t>
  </si>
  <si>
    <t>인천푸른빛유치원</t>
  </si>
  <si>
    <t>서구 청라한내로 145(청라동 84-13)</t>
  </si>
  <si>
    <t>452-3900</t>
  </si>
  <si>
    <t>569-7091</t>
  </si>
  <si>
    <t>인천해원초등학교병설유치원</t>
  </si>
  <si>
    <t>서구 청라사파이어로 140번길 6(청라동 103-3)</t>
  </si>
  <si>
    <t>560-2240</t>
  </si>
  <si>
    <t>770-9445</t>
  </si>
  <si>
    <t>금곡동</t>
    <phoneticPr fontId="16" type="noConversion"/>
  </si>
  <si>
    <t>인천금곡초등학교병설유치원</t>
  </si>
  <si>
    <t>서구 완정로 228번길 19(금곡동 721-1)</t>
  </si>
  <si>
    <t>628-6785</t>
    <phoneticPr fontId="16" type="noConversion"/>
  </si>
  <si>
    <t>628-6784</t>
  </si>
  <si>
    <t>인천당하초등학교병설유치원</t>
  </si>
  <si>
    <t>628-0027</t>
  </si>
  <si>
    <t>567-6895</t>
  </si>
  <si>
    <t>인천백석초등학교병설유치원</t>
  </si>
  <si>
    <t>서구 청마로 55(당하동 1084-1)</t>
  </si>
  <si>
    <t>인천검단초등학교병설유치원</t>
  </si>
  <si>
    <t>서구 마전로 115번길 24(마전동 147-1)</t>
    <phoneticPr fontId="16" type="noConversion"/>
  </si>
  <si>
    <t>564-6602</t>
  </si>
  <si>
    <t>인천능내초등학교병설유치원</t>
  </si>
  <si>
    <t>628-8271</t>
  </si>
  <si>
    <t>인천마전초등학교병설유치원</t>
  </si>
  <si>
    <t>서구 완정로 34번길 23(마전동 999-12)</t>
  </si>
  <si>
    <t>628-7077</t>
  </si>
  <si>
    <t>628-7155</t>
    <phoneticPr fontId="16" type="noConversion"/>
  </si>
  <si>
    <t>인천완정초등학교병설유치원</t>
  </si>
  <si>
    <t>서구 완정로 99(마전동 1117)</t>
  </si>
  <si>
    <t>불로대곡동</t>
    <phoneticPr fontId="16" type="noConversion"/>
  </si>
  <si>
    <t>인천검단나래유치원</t>
  </si>
  <si>
    <t>서구 고산후로310번길 16(불로동249-4)</t>
    <phoneticPr fontId="16" type="noConversion"/>
  </si>
  <si>
    <t>837-8300</t>
  </si>
  <si>
    <t>569-7133</t>
  </si>
  <si>
    <t>인천검단호수초등학교병설유치원</t>
    <phoneticPr fontId="16" type="noConversion"/>
  </si>
  <si>
    <t>서구 독정로324번길 26(불로동483-3)</t>
    <phoneticPr fontId="16" type="noConversion"/>
  </si>
  <si>
    <t>458-1100</t>
  </si>
  <si>
    <t>561-0128</t>
  </si>
  <si>
    <t>인천목향초등학교병설유치원</t>
  </si>
  <si>
    <t>서구 고산후로 377(불로동306-25)</t>
  </si>
  <si>
    <t>628-7300</t>
  </si>
  <si>
    <t>320-6631</t>
  </si>
  <si>
    <t>인천불로초등학교병설유치원</t>
  </si>
  <si>
    <t>서구 검단로 744번 1길 50(불로동 799-3)</t>
  </si>
  <si>
    <t>628-6660</t>
    <phoneticPr fontId="9" type="noConversion"/>
  </si>
  <si>
    <t>628-6726</t>
    <phoneticPr fontId="9" type="noConversion"/>
  </si>
  <si>
    <t>아라동</t>
  </si>
  <si>
    <t>인천검단꿈유치원</t>
  </si>
  <si>
    <t>서구 이음1로 350(원당동 1065-4)</t>
  </si>
  <si>
    <t>인천서로꿈유치원</t>
  </si>
  <si>
    <t>서구 당곡로 24번안길 22(원당동 1003)</t>
    <phoneticPr fontId="16" type="noConversion"/>
  </si>
  <si>
    <t>500-9600</t>
  </si>
  <si>
    <t>565-9053</t>
  </si>
  <si>
    <t>인천아라꿈유치원</t>
  </si>
  <si>
    <t>서구 서로2로 28(당하동 1272-5)</t>
  </si>
  <si>
    <t>310-4100</t>
  </si>
  <si>
    <t>310-4189</t>
  </si>
  <si>
    <t>인천아라초등학교병설유치원</t>
  </si>
  <si>
    <t>인천아람초등학교병설유치원</t>
  </si>
  <si>
    <t>서구 이음1로 289(원당동 1094-2)</t>
  </si>
  <si>
    <t>500-9726</t>
  </si>
  <si>
    <t>563-9603</t>
  </si>
  <si>
    <t>인천이음초등학교병설유치원</t>
  </si>
  <si>
    <t>870-8427</t>
  </si>
  <si>
    <t>569-3976</t>
  </si>
  <si>
    <t>인천한별초등학교병설유치원</t>
  </si>
  <si>
    <t>서구 서로3로 201(원당동 산47-2)</t>
    <phoneticPr fontId="16" type="noConversion"/>
  </si>
  <si>
    <t>569-5628</t>
  </si>
  <si>
    <t>인천해든초등학교병설유치원</t>
  </si>
  <si>
    <t>서구 서로3로 60(당하동 1318)</t>
    <phoneticPr fontId="16" type="noConversion"/>
  </si>
  <si>
    <t>453-9224</t>
  </si>
  <si>
    <t>569-4934</t>
  </si>
  <si>
    <t xml:space="preserve">7권역 </t>
  </si>
  <si>
    <t>인천단봉초등학교병설유치원</t>
  </si>
  <si>
    <t>590-8080</t>
  </si>
  <si>
    <t>590-8088</t>
  </si>
  <si>
    <t>인천왕길초등학교병설유치원</t>
  </si>
  <si>
    <t>서구 봉수대로 1440번길 20(왕길동 649-3)</t>
    <phoneticPr fontId="16" type="noConversion"/>
  </si>
  <si>
    <t>인천발산초등학교병설유치원</t>
  </si>
  <si>
    <t>628-7498</t>
  </si>
  <si>
    <t>인천원당초등학교병설유치원</t>
  </si>
  <si>
    <t>인천창신초등학교병설유치원</t>
  </si>
  <si>
    <t>서구 고산후로161번길 6(원당동 809)</t>
  </si>
  <si>
    <t>- 유치원
이노필유치원(25.5.)
뿌리유치원(26.3.)
성아유치원(26.4.)</t>
    <phoneticPr fontId="16" type="noConversion"/>
  </si>
  <si>
    <t>다은유치원</t>
    <phoneticPr fontId="9" type="noConversion"/>
  </si>
  <si>
    <t>서구 청중로 478번길 9(가정동 606-5)</t>
    <phoneticPr fontId="9" type="noConversion"/>
  </si>
  <si>
    <t>565-9995</t>
    <phoneticPr fontId="9" type="noConversion"/>
  </si>
  <si>
    <t>565-9951</t>
    <phoneticPr fontId="9" type="noConversion"/>
  </si>
  <si>
    <t>583-3438</t>
    <phoneticPr fontId="9" type="noConversion"/>
  </si>
  <si>
    <t>574-3219</t>
    <phoneticPr fontId="9" type="noConversion"/>
  </si>
  <si>
    <t>아림유치원</t>
    <phoneticPr fontId="9" type="noConversion"/>
  </si>
  <si>
    <t>서구 장고개로 375-11(가좌동 2-12)</t>
    <phoneticPr fontId="9" type="noConversion"/>
  </si>
  <si>
    <t>581-8597</t>
    <phoneticPr fontId="16" type="noConversion"/>
  </si>
  <si>
    <t>581-8599</t>
    <phoneticPr fontId="16" type="noConversion"/>
  </si>
  <si>
    <t>예일유치원</t>
    <phoneticPr fontId="9" type="noConversion"/>
  </si>
  <si>
    <t>서구 장고개로 337번길 12(가좌동 19)</t>
    <phoneticPr fontId="9" type="noConversion"/>
  </si>
  <si>
    <t>576-4080</t>
    <phoneticPr fontId="9" type="noConversion"/>
  </si>
  <si>
    <t>576-4099</t>
    <phoneticPr fontId="9" type="noConversion"/>
  </si>
  <si>
    <t xml:space="preserve">서구 </t>
    <phoneticPr fontId="9" type="noConversion"/>
  </si>
  <si>
    <t>가좌4동</t>
    <phoneticPr fontId="9" type="noConversion"/>
  </si>
  <si>
    <t>꿈드림유치원</t>
    <phoneticPr fontId="9" type="noConversion"/>
  </si>
  <si>
    <t>서구 장고개로 280번길 7-1(가좌동 310-5번지)</t>
    <phoneticPr fontId="9" type="noConversion"/>
  </si>
  <si>
    <t>565-6600</t>
    <phoneticPr fontId="9" type="noConversion"/>
  </si>
  <si>
    <t>576-7903</t>
    <phoneticPr fontId="9" type="noConversion"/>
  </si>
  <si>
    <t xml:space="preserve">가좌4동 </t>
    <phoneticPr fontId="9" type="noConversion"/>
  </si>
  <si>
    <t>새한신유치원</t>
    <phoneticPr fontId="9" type="noConversion"/>
  </si>
  <si>
    <t xml:space="preserve">서구 여우재로 129 (가좌4동 309-3번지) </t>
    <phoneticPr fontId="9" type="noConversion"/>
  </si>
  <si>
    <t>576-5840</t>
    <phoneticPr fontId="9" type="noConversion"/>
  </si>
  <si>
    <t>573-5840</t>
    <phoneticPr fontId="9" type="noConversion"/>
  </si>
  <si>
    <t>석남1동</t>
    <phoneticPr fontId="16" type="noConversion"/>
  </si>
  <si>
    <t>세라유치원</t>
    <phoneticPr fontId="9" type="noConversion"/>
  </si>
  <si>
    <t>서구 경서로 80(경서동 950-1)</t>
    <phoneticPr fontId="9" type="noConversion"/>
  </si>
  <si>
    <t>715-5866</t>
    <phoneticPr fontId="9" type="noConversion"/>
  </si>
  <si>
    <t>715-5863</t>
    <phoneticPr fontId="9" type="noConversion"/>
  </si>
  <si>
    <t>예빛유치원</t>
    <phoneticPr fontId="9" type="noConversion"/>
  </si>
  <si>
    <t>서구 경서로32번길 18(경서동 765-2)</t>
    <phoneticPr fontId="16" type="noConversion"/>
  </si>
  <si>
    <t>경서유치원</t>
    <phoneticPr fontId="9" type="noConversion"/>
  </si>
  <si>
    <t>서구 경서로 56번길 7-2(경서동 736-12)</t>
    <phoneticPr fontId="9" type="noConversion"/>
  </si>
  <si>
    <t>566-8000</t>
    <phoneticPr fontId="16" type="noConversion"/>
  </si>
  <si>
    <t>566-8805</t>
    <phoneticPr fontId="16" type="noConversion"/>
  </si>
  <si>
    <t>아이사랑유치원</t>
    <phoneticPr fontId="9" type="noConversion"/>
  </si>
  <si>
    <t>569-1557</t>
    <phoneticPr fontId="9" type="noConversion"/>
  </si>
  <si>
    <t>0508-921-4680</t>
    <phoneticPr fontId="9" type="noConversion"/>
  </si>
  <si>
    <t>한샘유치원</t>
    <phoneticPr fontId="9" type="noConversion"/>
  </si>
  <si>
    <t>서구 율도로15번길 26-9(신현동 173-81)</t>
    <phoneticPr fontId="9" type="noConversion"/>
  </si>
  <si>
    <t>584-3333</t>
    <phoneticPr fontId="9" type="noConversion"/>
  </si>
  <si>
    <t>572-4056</t>
    <phoneticPr fontId="9" type="noConversion"/>
  </si>
  <si>
    <t>연희유치원</t>
    <phoneticPr fontId="9" type="noConversion"/>
  </si>
  <si>
    <t>서구 탁옥로85번길 6(심곡동 285-4번지)</t>
    <phoneticPr fontId="9" type="noConversion"/>
  </si>
  <si>
    <t>562-2662</t>
    <phoneticPr fontId="9" type="noConversion"/>
  </si>
  <si>
    <t>562-2650</t>
    <phoneticPr fontId="9" type="noConversion"/>
  </si>
  <si>
    <t>서구</t>
    <phoneticPr fontId="9" type="noConversion"/>
  </si>
  <si>
    <t>청라새싹유치원</t>
    <phoneticPr fontId="9" type="noConversion"/>
  </si>
  <si>
    <t>서구 용두산로 26번길 14-5(심곡동 326-6번지)</t>
    <phoneticPr fontId="9" type="noConversion"/>
  </si>
  <si>
    <t>568-7634</t>
    <phoneticPr fontId="9" type="noConversion"/>
  </si>
  <si>
    <t>566-0510</t>
    <phoneticPr fontId="9" type="noConversion"/>
  </si>
  <si>
    <t>서구 청라커낼로223번길 13(청라동 182-3)</t>
    <phoneticPr fontId="9" type="noConversion"/>
  </si>
  <si>
    <t>563-4994</t>
    <phoneticPr fontId="9" type="noConversion"/>
  </si>
  <si>
    <t>엔젤유치원</t>
    <phoneticPr fontId="9" type="noConversion"/>
  </si>
  <si>
    <t>561-8801</t>
    <phoneticPr fontId="9" type="noConversion"/>
  </si>
  <si>
    <t>561-8837</t>
    <phoneticPr fontId="9" type="noConversion"/>
  </si>
  <si>
    <t>프라임청라유치원</t>
    <phoneticPr fontId="9" type="noConversion"/>
  </si>
  <si>
    <t>서구 청라한울로 59번길 5호(청라동 111-41)</t>
    <phoneticPr fontId="9" type="noConversion"/>
  </si>
  <si>
    <t>567-8180</t>
    <phoneticPr fontId="9" type="noConversion"/>
  </si>
  <si>
    <t>569-8180</t>
    <phoneticPr fontId="9" type="noConversion"/>
  </si>
  <si>
    <t>금곡동</t>
    <phoneticPr fontId="9" type="noConversion"/>
  </si>
  <si>
    <t>산울림유치원</t>
    <phoneticPr fontId="9" type="noConversion"/>
  </si>
  <si>
    <t>서구 봉수대로 1548-15( 금곡동 242-5)</t>
    <phoneticPr fontId="9" type="noConversion"/>
  </si>
  <si>
    <t>565-6212</t>
    <phoneticPr fontId="9" type="noConversion"/>
  </si>
  <si>
    <t>565-6213</t>
    <phoneticPr fontId="9" type="noConversion"/>
  </si>
  <si>
    <t>사랑샘유치원</t>
    <phoneticPr fontId="9" type="noConversion"/>
  </si>
  <si>
    <t>서구 원당대로 820번 2길5(당하동 1204번지)</t>
    <phoneticPr fontId="16" type="noConversion"/>
  </si>
  <si>
    <t>569-5697</t>
    <phoneticPr fontId="16" type="noConversion"/>
  </si>
  <si>
    <t>한울유치원</t>
    <phoneticPr fontId="16" type="noConversion"/>
  </si>
  <si>
    <t>서구 서곶로 818(당하동 895-1)</t>
    <phoneticPr fontId="16" type="noConversion"/>
  </si>
  <si>
    <t>562-5300</t>
    <phoneticPr fontId="16" type="noConversion"/>
  </si>
  <si>
    <t>562-5400</t>
    <phoneticPr fontId="16" type="noConversion"/>
  </si>
  <si>
    <t>서구 검단로487번길 52-1(마전동 923-6)</t>
    <phoneticPr fontId="16" type="noConversion"/>
  </si>
  <si>
    <t>서구 완정로 10번길 20(마전동 1008-12번지)</t>
    <phoneticPr fontId="16" type="noConversion"/>
  </si>
  <si>
    <t>재은유치원</t>
    <phoneticPr fontId="9" type="noConversion"/>
  </si>
  <si>
    <t>서구 완정로34번길6 (마전동 1003-1)</t>
    <phoneticPr fontId="16" type="noConversion"/>
  </si>
  <si>
    <t>큰사랑유치원</t>
    <phoneticPr fontId="9" type="noConversion"/>
  </si>
  <si>
    <t>서구 완정로64번길7(마전동 639번지)</t>
    <phoneticPr fontId="9" type="noConversion"/>
  </si>
  <si>
    <t>567-4301</t>
    <phoneticPr fontId="9" type="noConversion"/>
  </si>
  <si>
    <t>567-4313</t>
    <phoneticPr fontId="9" type="noConversion"/>
  </si>
  <si>
    <t>예지유치원</t>
    <phoneticPr fontId="9" type="noConversion"/>
  </si>
  <si>
    <t>서구 검단로 836(불로동 308)</t>
    <phoneticPr fontId="9" type="noConversion"/>
  </si>
  <si>
    <t>565-1611</t>
  </si>
  <si>
    <t>꼬마정원유치원</t>
    <phoneticPr fontId="9" type="noConversion"/>
  </si>
  <si>
    <t>서구 봉화로15번길11-7 (오류동 1729-6))</t>
    <phoneticPr fontId="9" type="noConversion"/>
  </si>
  <si>
    <t>561-3007</t>
    <phoneticPr fontId="9" type="noConversion"/>
  </si>
  <si>
    <t>561-3077</t>
    <phoneticPr fontId="9" type="noConversion"/>
  </si>
  <si>
    <t>희망찬유치원</t>
    <phoneticPr fontId="9" type="noConversion"/>
  </si>
  <si>
    <t>서구 단봉로139번길3-2(오류동1725-8)</t>
    <phoneticPr fontId="9" type="noConversion"/>
  </si>
  <si>
    <t>563-9009</t>
    <phoneticPr fontId="9" type="noConversion"/>
  </si>
  <si>
    <t>05043899169</t>
    <phoneticPr fontId="16" type="noConversion"/>
  </si>
  <si>
    <t>서구 원당대로839번안길 6(원당동 818-4)</t>
    <phoneticPr fontId="16" type="noConversion"/>
  </si>
  <si>
    <t>예인유치원</t>
    <phoneticPr fontId="9" type="noConversion"/>
  </si>
  <si>
    <t>서구 원당대로819번길 3(원당동 811-8)</t>
    <phoneticPr fontId="16" type="noConversion"/>
  </si>
  <si>
    <t>569-1155</t>
    <phoneticPr fontId="9" type="noConversion"/>
  </si>
  <si>
    <t>569-0237</t>
    <phoneticPr fontId="9" type="noConversion"/>
  </si>
  <si>
    <t>명문유치원</t>
    <phoneticPr fontId="9" type="noConversion"/>
  </si>
  <si>
    <t>서구 고산로16(원당동 853-3)</t>
    <phoneticPr fontId="9" type="noConversion"/>
  </si>
  <si>
    <t>571-9314</t>
    <phoneticPr fontId="9" type="noConversion"/>
  </si>
  <si>
    <t>564-9315</t>
    <phoneticPr fontId="9" type="noConversion"/>
  </si>
  <si>
    <t>일영유치원</t>
    <phoneticPr fontId="9" type="noConversion"/>
  </si>
  <si>
    <t>서구 고산로45번길 4(원당동 841-6)</t>
    <phoneticPr fontId="9" type="noConversion"/>
  </si>
  <si>
    <t>해나라유치원</t>
    <phoneticPr fontId="9" type="noConversion"/>
  </si>
  <si>
    <t>서구 고산후로 161번 안길35(원당동 798-1번지)</t>
    <phoneticPr fontId="9" type="noConversion"/>
  </si>
  <si>
    <t>563-4279</t>
    <phoneticPr fontId="9" type="noConversion"/>
  </si>
  <si>
    <t>569-4268</t>
    <phoneticPr fontId="9" type="noConversion"/>
  </si>
  <si>
    <t>갑룡초등학교병설유치원</t>
    <phoneticPr fontId="16" type="noConversion"/>
  </si>
  <si>
    <t>강화군 강화읍 갑룡길 88
(갑곳리 435)</t>
    <phoneticPr fontId="16" type="noConversion"/>
  </si>
  <si>
    <t>934-9515</t>
  </si>
  <si>
    <t>934-9517</t>
  </si>
  <si>
    <t>강화초등학교병설유치원</t>
    <phoneticPr fontId="16" type="noConversion"/>
  </si>
  <si>
    <t>627-6034</t>
  </si>
  <si>
    <t>627-6076</t>
  </si>
  <si>
    <t>대월초등학교병설유치원</t>
    <phoneticPr fontId="16" type="noConversion"/>
  </si>
  <si>
    <t>강화군 강화읍 대월로 216 (대산리 1239)</t>
  </si>
  <si>
    <t>합일초등학교병설유치원</t>
    <phoneticPr fontId="16" type="noConversion"/>
  </si>
  <si>
    <t>강화군 강화읍 합일길3(신문리 452)</t>
    <phoneticPr fontId="16" type="noConversion"/>
  </si>
  <si>
    <t>627-3973</t>
  </si>
  <si>
    <t>내가면</t>
  </si>
  <si>
    <t>내가초등학교병설유치원</t>
    <phoneticPr fontId="16" type="noConversion"/>
  </si>
  <si>
    <t>강화군 내가면 강화서로 264(고천리 748-1)</t>
    <phoneticPr fontId="16" type="noConversion"/>
  </si>
  <si>
    <t>627-6094</t>
  </si>
  <si>
    <t>선원초등학교병설유치원</t>
    <phoneticPr fontId="16" type="noConversion"/>
  </si>
  <si>
    <t>강화군 선원면 강화동로 924(냉정리 100)</t>
    <phoneticPr fontId="16" type="noConversion"/>
  </si>
  <si>
    <t>송해면</t>
  </si>
  <si>
    <t>송해초등학교병설유치원</t>
    <phoneticPr fontId="16" type="noConversion"/>
  </si>
  <si>
    <t>강화군 송해면 전망대로93-12(솔정리 640)</t>
    <phoneticPr fontId="16" type="noConversion"/>
  </si>
  <si>
    <t>550-5925</t>
  </si>
  <si>
    <t>양사면</t>
  </si>
  <si>
    <t>양사초등학교병설유치원</t>
    <phoneticPr fontId="16" type="noConversion"/>
  </si>
  <si>
    <t>강화군 덕하로 145(덕하리 117-1)</t>
  </si>
  <si>
    <t>627-5554</t>
  </si>
  <si>
    <t>하점면</t>
  </si>
  <si>
    <t>명신초등학교병설유치원</t>
    <phoneticPr fontId="16" type="noConversion"/>
  </si>
  <si>
    <t>강화군 하점면 강화서로560번길 22(망월리 256)</t>
    <phoneticPr fontId="16" type="noConversion"/>
  </si>
  <si>
    <t>627-6633</t>
  </si>
  <si>
    <t>하점초등학교병설유치원</t>
    <phoneticPr fontId="16" type="noConversion"/>
  </si>
  <si>
    <t>강화군 하점면 강화대로 1190(신봉리 638-1)</t>
  </si>
  <si>
    <t>627-4996</t>
  </si>
  <si>
    <t>27권역</t>
  </si>
  <si>
    <t>양도면</t>
  </si>
  <si>
    <t>마니산유치원</t>
    <phoneticPr fontId="16" type="noConversion"/>
  </si>
  <si>
    <t>강화군 양도면 강화남로 510(조산리235-1)</t>
    <phoneticPr fontId="16" type="noConversion"/>
  </si>
  <si>
    <t>937-3153</t>
  </si>
  <si>
    <t>627-4599</t>
  </si>
  <si>
    <t>교동초등학교병설유치원</t>
    <phoneticPr fontId="16" type="noConversion"/>
  </si>
  <si>
    <t>서도초등학교병설유치원</t>
    <phoneticPr fontId="16" type="noConversion"/>
  </si>
  <si>
    <t>627-0887</t>
  </si>
  <si>
    <t>삼산초등학교병설유치원</t>
    <phoneticPr fontId="16" type="noConversion"/>
  </si>
  <si>
    <t>해명초등학교병설유치원</t>
    <phoneticPr fontId="16" type="noConversion"/>
  </si>
  <si>
    <t>627-1349</t>
  </si>
  <si>
    <t>잠두유치원</t>
    <phoneticPr fontId="9" type="noConversion"/>
  </si>
  <si>
    <t>강화군 강화읍 청하동길 36(신문리 549-3)</t>
  </si>
  <si>
    <t>934-9424</t>
  </si>
  <si>
    <t>인천광역시 강화군 강화읍 관청길22(관청리 250-4)</t>
    <phoneticPr fontId="16" type="noConversion"/>
  </si>
  <si>
    <t>인천광역시 강화군 강화읍 충렬사로 52 (남산리 343-6번지)</t>
  </si>
  <si>
    <t>미추홀구 경인로 511(주안동 1620)</t>
    <phoneticPr fontId="9" type="noConversion"/>
  </si>
  <si>
    <t>434-0492</t>
  </si>
  <si>
    <t>434-0491</t>
  </si>
  <si>
    <t>629-1424</t>
  </si>
  <si>
    <t>미추홀구 인주대로366번길 22(주안동 1444)</t>
  </si>
  <si>
    <t>629-1084</t>
  </si>
  <si>
    <t>865-5787</t>
  </si>
  <si>
    <t>미추홀구 석정로301번길 13(도화동 105-11)</t>
  </si>
  <si>
    <t>인천도화초등학교</t>
    <phoneticPr fontId="3" type="noConversion"/>
  </si>
  <si>
    <t>미추홀구 경인로 242(도화동 541-5)</t>
  </si>
  <si>
    <t>874-2585</t>
  </si>
  <si>
    <t>874-2582</t>
  </si>
  <si>
    <t>865-6134</t>
  </si>
  <si>
    <t>미추홀구 매소홀로 446번길 25(학익동 674)</t>
    <phoneticPr fontId="9" type="noConversion"/>
  </si>
  <si>
    <t>미추홀구 장천로 99(숭의동 42-2)</t>
    <phoneticPr fontId="3" type="noConversion"/>
  </si>
  <si>
    <t>887-9011</t>
  </si>
  <si>
    <t>887-9017</t>
  </si>
  <si>
    <t>남부</t>
    <phoneticPr fontId="3" type="noConversion"/>
  </si>
  <si>
    <t>629-1102</t>
  </si>
  <si>
    <t>629-1110</t>
  </si>
  <si>
    <t>873-0564</t>
  </si>
  <si>
    <t>인천용일초등학교</t>
  </si>
  <si>
    <t>미추홀구 인주대로 244(용현동 74-1)</t>
  </si>
  <si>
    <t>874-0500</t>
  </si>
  <si>
    <t>629-0813</t>
  </si>
  <si>
    <t>미추홀구 독정안길 26(숭의동 12-8)</t>
    <phoneticPr fontId="3" type="noConversion"/>
  </si>
  <si>
    <t>868-2384</t>
  </si>
  <si>
    <t>868-2382</t>
  </si>
  <si>
    <t>868-2383</t>
  </si>
  <si>
    <t>인천용학초등학교</t>
  </si>
  <si>
    <t>미추홀구 용정공원로83번길 9(용현동 664-4)</t>
    <phoneticPr fontId="3" type="noConversion"/>
  </si>
  <si>
    <t>627-6300</t>
  </si>
  <si>
    <t>627-6262</t>
  </si>
  <si>
    <t>886-9717</t>
  </si>
  <si>
    <t>인천용현남초등학교</t>
  </si>
  <si>
    <t>미추홀구 매소홀로 133(용현동 627-449)</t>
    <phoneticPr fontId="3" type="noConversion"/>
  </si>
  <si>
    <t>884-8468</t>
  </si>
  <si>
    <t>884-8467</t>
  </si>
  <si>
    <t>629-1339</t>
  </si>
  <si>
    <t>미추홀구 매소홀로475번길 53(학익동 40)</t>
    <phoneticPr fontId="3" type="noConversion"/>
  </si>
  <si>
    <t>875-2606</t>
    <phoneticPr fontId="3" type="noConversion"/>
  </si>
  <si>
    <t>875-2608</t>
    <phoneticPr fontId="3" type="noConversion"/>
  </si>
  <si>
    <t>미추홀구 석정로 375번길 14(주안동 4-1)</t>
    <phoneticPr fontId="9" type="noConversion"/>
  </si>
  <si>
    <t>629-0245</t>
  </si>
  <si>
    <t>629-0186</t>
  </si>
  <si>
    <t>438-1404</t>
  </si>
  <si>
    <t>인천학익초등학교</t>
  </si>
  <si>
    <t>미추홀구 한나루로403번길 122(학익동 330-1)</t>
    <phoneticPr fontId="3" type="noConversion"/>
  </si>
  <si>
    <t>629-0430</t>
  </si>
  <si>
    <t>629-0368</t>
  </si>
  <si>
    <t>865-5795</t>
  </si>
  <si>
    <t>772-4784</t>
  </si>
  <si>
    <t>772-4785</t>
  </si>
  <si>
    <t>772-4791</t>
  </si>
  <si>
    <t>인천서흥초등학교</t>
  </si>
  <si>
    <t>동구 샛골로189(송림동 34-1)</t>
  </si>
  <si>
    <t>773-3406</t>
  </si>
  <si>
    <t>764-4406</t>
  </si>
  <si>
    <t>동구 화도진로 10(송림동235-1)</t>
    <phoneticPr fontId="9" type="noConversion"/>
  </si>
  <si>
    <t>인천송현초등학교</t>
  </si>
  <si>
    <t>동구 송화로 45 (송현동 66-21)</t>
  </si>
  <si>
    <t>764-4482</t>
  </si>
  <si>
    <t>764-4483</t>
  </si>
  <si>
    <t>764-4456</t>
  </si>
  <si>
    <t>1896-01-22</t>
    <phoneticPr fontId="3" type="noConversion"/>
  </si>
  <si>
    <t>영화초등학교</t>
  </si>
  <si>
    <t>동구 우각로 39</t>
    <phoneticPr fontId="3" type="noConversion"/>
  </si>
  <si>
    <t>764-5131</t>
  </si>
  <si>
    <t>764-5130</t>
  </si>
  <si>
    <t>763-4600</t>
  </si>
  <si>
    <t>5~6학년 복식학급</t>
    <phoneticPr fontId="3" type="noConversion"/>
  </si>
  <si>
    <t>옹진군 백령면 가을길 117(가을리 1)</t>
    <phoneticPr fontId="9" type="noConversion"/>
  </si>
  <si>
    <t>627-1753</t>
    <phoneticPr fontId="9" type="noConversion"/>
  </si>
  <si>
    <t>627-1807</t>
    <phoneticPr fontId="9" type="noConversion"/>
  </si>
  <si>
    <t>831-1655</t>
    <phoneticPr fontId="9" type="noConversion"/>
  </si>
  <si>
    <t>옹진군 영흥면 영흥로 440-8(내리 237)</t>
    <phoneticPr fontId="3" type="noConversion"/>
  </si>
  <si>
    <t>886-0432</t>
  </si>
  <si>
    <t>인천공항초등학교신도분교장</t>
  </si>
  <si>
    <t>옹진군 북도면 신도로896번길 18-31(신도리 492-2)</t>
  </si>
  <si>
    <t>752-4051</t>
  </si>
  <si>
    <t>752-2073</t>
  </si>
  <si>
    <t>752-4010</t>
  </si>
  <si>
    <t>2~3, 5~6학년 복식학급</t>
    <phoneticPr fontId="3" type="noConversion"/>
  </si>
  <si>
    <t>4~5학년 복식학급</t>
    <phoneticPr fontId="3" type="noConversion"/>
  </si>
  <si>
    <t>인천삼목초등학교장봉분교장</t>
    <phoneticPr fontId="3" type="noConversion"/>
  </si>
  <si>
    <t>옹진군 북도면 장봉로 553(장봉리 1040)</t>
  </si>
  <si>
    <t>746-8053</t>
  </si>
  <si>
    <t>746-8054</t>
  </si>
  <si>
    <t>학급미편성</t>
    <phoneticPr fontId="3" type="noConversion"/>
  </si>
  <si>
    <t>1~2학년 복식학급</t>
    <phoneticPr fontId="3" type="noConversion"/>
  </si>
  <si>
    <t>인천달빛초등학교</t>
    <phoneticPr fontId="16" type="noConversion"/>
  </si>
  <si>
    <t>중구 은하수로 124(중산동 1914-4)</t>
    <phoneticPr fontId="9" type="noConversion"/>
  </si>
  <si>
    <t>458-1014</t>
    <phoneticPr fontId="9" type="noConversion"/>
  </si>
  <si>
    <t>458-1023</t>
    <phoneticPr fontId="9" type="noConversion"/>
  </si>
  <si>
    <t>746-0412</t>
    <phoneticPr fontId="9" type="noConversion"/>
  </si>
  <si>
    <t>인천별빛초등학교</t>
    <phoneticPr fontId="3" type="noConversion"/>
  </si>
  <si>
    <t>746-2812</t>
    <phoneticPr fontId="3" type="noConversion"/>
  </si>
  <si>
    <t>746-2813</t>
    <phoneticPr fontId="3" type="noConversion"/>
  </si>
  <si>
    <t>746-2814</t>
    <phoneticPr fontId="3" type="noConversion"/>
  </si>
  <si>
    <t>629-1463</t>
    <phoneticPr fontId="3" type="noConversion"/>
  </si>
  <si>
    <t>629-1446</t>
    <phoneticPr fontId="3" type="noConversion"/>
  </si>
  <si>
    <t>887-7500</t>
    <phoneticPr fontId="3" type="noConversion"/>
  </si>
  <si>
    <t>인천영종초등학교</t>
  </si>
  <si>
    <t>중구 하늘달빛로133(중산동 1871-2)</t>
  </si>
  <si>
    <t>627-9880</t>
  </si>
  <si>
    <t>627-9882</t>
  </si>
  <si>
    <t>746-9614</t>
  </si>
  <si>
    <t>인천영종초등학교금산분교장</t>
  </si>
  <si>
    <t>중구 백운로 414번길 63-50(운북동 453-1)</t>
  </si>
  <si>
    <t>629-2030</t>
  </si>
  <si>
    <t>746-0289</t>
  </si>
  <si>
    <t>인천용유초등학교</t>
  </si>
  <si>
    <t>영종구 남북로87번길 4(남북동 584-2)</t>
    <phoneticPr fontId="3" type="noConversion"/>
  </si>
  <si>
    <t>746-7595</t>
  </si>
  <si>
    <t>746-7594</t>
  </si>
  <si>
    <t>746-7597</t>
  </si>
  <si>
    <t>중구 운남서로 38(운남동 1569)</t>
    <phoneticPr fontId="3" type="noConversion"/>
  </si>
  <si>
    <t>746-2191</t>
  </si>
  <si>
    <t>746-2190</t>
  </si>
  <si>
    <t>746-2199</t>
  </si>
  <si>
    <t>중구 운서2로 57(운서동 2895-13)</t>
  </si>
  <si>
    <t>746-5095</t>
  </si>
  <si>
    <t>746-2163</t>
  </si>
  <si>
    <t>인천윤슬초등학교</t>
    <phoneticPr fontId="16" type="noConversion"/>
  </si>
  <si>
    <t>500-1810</t>
    <phoneticPr fontId="9" type="noConversion"/>
  </si>
  <si>
    <t>500-1820</t>
    <phoneticPr fontId="3" type="noConversion"/>
  </si>
  <si>
    <t>746-6357</t>
    <phoneticPr fontId="9" type="noConversion"/>
  </si>
  <si>
    <t>중구 은하수로294(중산동 1880-3)</t>
    <phoneticPr fontId="9" type="noConversion"/>
  </si>
  <si>
    <t>16(1)</t>
    <phoneticPr fontId="3" type="noConversion"/>
  </si>
  <si>
    <t>17(1)</t>
    <phoneticPr fontId="3" type="noConversion"/>
  </si>
  <si>
    <t>54(6)</t>
    <phoneticPr fontId="3" type="noConversion"/>
  </si>
  <si>
    <r>
      <t>개편후 
행정구역</t>
    </r>
    <r>
      <rPr>
        <b/>
        <sz val="7"/>
        <color theme="1"/>
        <rFont val="맑은 고딕"/>
        <family val="3"/>
        <charset val="129"/>
        <scheme val="minor"/>
      </rPr>
      <t>(2026.7.1.시행)</t>
    </r>
    <phoneticPr fontId="3" type="noConversion"/>
  </si>
  <si>
    <t>부평구 갈월동로 55(갈산동 360-1)</t>
  </si>
  <si>
    <t>508-5592</t>
  </si>
  <si>
    <t>508-5593</t>
  </si>
  <si>
    <t>507-9712</t>
  </si>
  <si>
    <t>부평구 주부토로 165(갈산동 373)</t>
  </si>
  <si>
    <t>507-7108</t>
  </si>
  <si>
    <t>507-7109</t>
  </si>
  <si>
    <t>부평구 길주남로 65번길 11(부평동905)</t>
  </si>
  <si>
    <t>628-1668</t>
  </si>
  <si>
    <t>628-1667</t>
  </si>
  <si>
    <t>512-9685</t>
  </si>
  <si>
    <t>부평구 부개로 93(부개동 496-5번지)</t>
  </si>
  <si>
    <t>361-0831</t>
  </si>
  <si>
    <t>361-0833</t>
  </si>
  <si>
    <t>361-0834</t>
  </si>
  <si>
    <t>부평구 충선로 234번길 19(삼산동 454-1번지)</t>
  </si>
  <si>
    <t>부평구 일신로88(구산동 357)</t>
  </si>
  <si>
    <t>628-2853</t>
  </si>
  <si>
    <t>508-6080</t>
  </si>
  <si>
    <t>부평구 안남로115(산곡동 311-150)</t>
  </si>
  <si>
    <t>524-0474</t>
  </si>
  <si>
    <t>527-0684</t>
  </si>
  <si>
    <t>527-0686</t>
  </si>
  <si>
    <t>부평구 동수로 120번길 10(부개동 442-23)</t>
  </si>
  <si>
    <t>518-4223</t>
  </si>
  <si>
    <t>518-4222</t>
  </si>
  <si>
    <t>518-4168</t>
  </si>
  <si>
    <t>424-6670</t>
  </si>
  <si>
    <t>628-0635</t>
  </si>
  <si>
    <t>부평구 마곡로27번길 16(산곡동 68번지)</t>
  </si>
  <si>
    <t>부평구 안남로 266(청천동 336-10번지)</t>
  </si>
  <si>
    <t>505-5092</t>
  </si>
  <si>
    <t>505-5094</t>
  </si>
  <si>
    <t>505-5093</t>
  </si>
  <si>
    <t>628-2468</t>
  </si>
  <si>
    <t>부평구 아트센터로 130(십정동 541-31번지)</t>
  </si>
  <si>
    <t>507-6833</t>
  </si>
  <si>
    <t>507-6835</t>
  </si>
  <si>
    <t>부평구 부일로 39(부개동 155-1)</t>
  </si>
  <si>
    <t>502-5306</t>
  </si>
  <si>
    <t>502-5307</t>
  </si>
  <si>
    <t>516-4328</t>
  </si>
  <si>
    <t>부평구 마분로 9(부개동 355-1)</t>
  </si>
  <si>
    <t>515-3151</t>
  </si>
  <si>
    <t>627-8244</t>
  </si>
  <si>
    <t>627-8246</t>
  </si>
  <si>
    <t>부평구 수변로 129(부개동 501-12번지)</t>
  </si>
  <si>
    <t>부평구 안남로 253번길 41(산곡동 100-87번지)</t>
  </si>
  <si>
    <t>519-2544</t>
  </si>
  <si>
    <t>519-2546</t>
  </si>
  <si>
    <t>519-2547</t>
  </si>
  <si>
    <t>504-8470</t>
  </si>
  <si>
    <t>458-9085</t>
  </si>
  <si>
    <t>458-9108</t>
  </si>
  <si>
    <t xml:space="preserve">인천광역시 부평구 경인로911번길 28 </t>
  </si>
  <si>
    <t>627-8474</t>
  </si>
  <si>
    <t>522-0454</t>
  </si>
  <si>
    <t>부평구 부평대로88번길 19(부평동 440-1)</t>
  </si>
  <si>
    <t>502-5090</t>
  </si>
  <si>
    <t>503-0907</t>
  </si>
  <si>
    <t>부평구 주부토로 292(갈산동 10-1번지)</t>
  </si>
  <si>
    <t>529-7543</t>
  </si>
  <si>
    <t>529-7542</t>
  </si>
  <si>
    <t>529-7540</t>
  </si>
  <si>
    <t>부평구 부흥로366번길 34(부평동 171)</t>
  </si>
  <si>
    <t>628-9081</t>
  </si>
  <si>
    <t>628-9038</t>
  </si>
  <si>
    <t>부평구 부흥로 144번길 30(산곡동 231-1)</t>
  </si>
  <si>
    <t>516-9027</t>
  </si>
  <si>
    <t>516-7390</t>
  </si>
  <si>
    <t>516-7391</t>
  </si>
  <si>
    <t>부평구 산청로 18(산곡동 39-1)</t>
  </si>
  <si>
    <t>부평구 길주로 354번길 39(산곡동 87-236)</t>
  </si>
  <si>
    <t>518-1782</t>
  </si>
  <si>
    <t>518-1783</t>
  </si>
  <si>
    <t>516-2850</t>
  </si>
  <si>
    <t>431-5302</t>
  </si>
  <si>
    <t>431-5301</t>
  </si>
  <si>
    <t>부평구 경원대로 1215(산곡동 186-346)</t>
  </si>
  <si>
    <t>522-2484</t>
  </si>
  <si>
    <t>528-3286</t>
  </si>
  <si>
    <t>526-6657</t>
  </si>
  <si>
    <t>부평구 충선로 293(삼산동 438-7)</t>
  </si>
  <si>
    <t>628-2768</t>
  </si>
  <si>
    <t>부평구 세월천로 30번길 58(청천동 176-4번지)</t>
  </si>
  <si>
    <t>628-2104</t>
  </si>
  <si>
    <t>628-2086</t>
  </si>
  <si>
    <t>523-0154</t>
  </si>
  <si>
    <t>부평구 항동로 75번길 36(일신동 112-3)</t>
  </si>
  <si>
    <t>503-9602</t>
  </si>
  <si>
    <t>503-9603</t>
  </si>
  <si>
    <t>503-9617</t>
  </si>
  <si>
    <t>511-3713</t>
  </si>
  <si>
    <t>511-3711</t>
  </si>
  <si>
    <t>511-3718</t>
  </si>
  <si>
    <t>부평구 산청로 127번길 10(청천동 34-6)</t>
  </si>
  <si>
    <t>516-2823</t>
  </si>
  <si>
    <t>628-0762</t>
  </si>
  <si>
    <t>513-2830</t>
  </si>
  <si>
    <t>부평구 이규보로 14(십정동 393)</t>
  </si>
  <si>
    <t>628-1490</t>
  </si>
  <si>
    <t>628-1495</t>
  </si>
  <si>
    <t>428-3727</t>
  </si>
  <si>
    <t>부평구 영성중로32(삼산동 393-1)</t>
  </si>
  <si>
    <t>507-4873</t>
  </si>
  <si>
    <t>628-2250</t>
  </si>
  <si>
    <t>507-4875</t>
  </si>
  <si>
    <t>517-2650</t>
  </si>
  <si>
    <t>한일초등학교</t>
    <phoneticPr fontId="16" type="noConversion"/>
  </si>
  <si>
    <t>부평구 원적로 247(산곡동 179-79번지)</t>
    <phoneticPr fontId="9" type="noConversion"/>
  </si>
  <si>
    <t>계양구 경명대로 1005(계산2동 737)</t>
  </si>
  <si>
    <t>계양구 장제로 1288(장기동 134)</t>
    <phoneticPr fontId="3" type="noConversion"/>
  </si>
  <si>
    <t>514-9056</t>
  </si>
  <si>
    <t>인천계양초등학교상야분교</t>
  </si>
  <si>
    <t xml:space="preserve"> 계양구 벌말로 572-1(상야동 130-1번지)</t>
    <phoneticPr fontId="3" type="noConversion"/>
  </si>
  <si>
    <t>544-5515</t>
    <phoneticPr fontId="3" type="noConversion"/>
  </si>
  <si>
    <t>554-5534</t>
  </si>
  <si>
    <t>계양구 귤현길 15(귤현동 494번지)</t>
  </si>
  <si>
    <t>계양구 동양로 122(동양동 583번지)</t>
  </si>
  <si>
    <t>계양구 병방로 2(병방동 432-1)</t>
  </si>
  <si>
    <t>1899-03-15</t>
  </si>
  <si>
    <t>계양구 어사대로 20</t>
  </si>
  <si>
    <t>541-1798</t>
  </si>
  <si>
    <t>628-4478</t>
  </si>
  <si>
    <t>계양구 용종로 5(계산동 1084-4)</t>
  </si>
  <si>
    <t>계양구 서운로 12(서운동 55-133)</t>
  </si>
  <si>
    <t>계양구 아나지로247번길 8(작전동 448-2)</t>
  </si>
  <si>
    <t>계양구 박촌로 53(박촌동 71-2번지)</t>
  </si>
  <si>
    <t>628-5683</t>
  </si>
  <si>
    <t>628-5684</t>
  </si>
  <si>
    <t>518-5120</t>
  </si>
  <si>
    <t>553-2015</t>
  </si>
  <si>
    <t>인천안남초등학교</t>
  </si>
  <si>
    <t>계양구 경명대로 1114번길(계산동 345-2)</t>
  </si>
  <si>
    <t>계양구 임학서로 15(계산2동 914번지)</t>
  </si>
  <si>
    <t>555-6067</t>
  </si>
  <si>
    <t xml:space="preserve">인천양촌초등학교 </t>
  </si>
  <si>
    <t>계양구 장제로 945(병방동 3)</t>
  </si>
  <si>
    <t>계양구 까치말로 35(작전서운동920)</t>
  </si>
  <si>
    <t>계양구 계산로 42-1(계산동 783-5번지)</t>
  </si>
  <si>
    <t>계양구 효서로 303번길 8(작전동 140-4)</t>
  </si>
  <si>
    <t>542-6554</t>
  </si>
  <si>
    <t>542-6553</t>
  </si>
  <si>
    <t>542-6535</t>
  </si>
  <si>
    <t>계양구 새벌로 125(효성동 276)</t>
  </si>
  <si>
    <t>628-6556</t>
  </si>
  <si>
    <t>628-6560</t>
  </si>
  <si>
    <t>542-4254</t>
  </si>
  <si>
    <t>계양구 새벌로171번길 4(효성동 1-4)</t>
  </si>
  <si>
    <t>547-0816</t>
  </si>
  <si>
    <t>547-0815</t>
  </si>
  <si>
    <t>628-5082</t>
  </si>
  <si>
    <t>계양구 봉오대로457(효성동 623-26)</t>
  </si>
  <si>
    <t>628-5238</t>
  </si>
  <si>
    <t>628-5178</t>
  </si>
  <si>
    <t>551-2111</t>
  </si>
  <si>
    <t>계양구 안남로 601(효성동 28-1)</t>
  </si>
  <si>
    <t>경인교육대학교부설초등학교</t>
    <phoneticPr fontId="16" type="noConversion"/>
  </si>
  <si>
    <t>계양구 안남로612(효성동 산19-1)</t>
    <phoneticPr fontId="9" type="noConversion"/>
  </si>
  <si>
    <t>남동구 석산로141번길 29(간석동 304)</t>
  </si>
  <si>
    <t>629-4445</t>
  </si>
  <si>
    <t>851-4118</t>
  </si>
  <si>
    <t>남동구 석산로208번길 37(구월동6-1)</t>
  </si>
  <si>
    <t>남동구 아암대로 1503번길48(논현동 774-2번지)</t>
  </si>
  <si>
    <t>남동구 장승남로33번길 10(만수동 1017번지)</t>
  </si>
  <si>
    <t>남동구 남촌로 101(남촌동 556-19번지)</t>
  </si>
  <si>
    <t>남동구 소래역로 102(논현동 602-2번지)</t>
  </si>
  <si>
    <t>남동구 매소홀로 1027(만수동 1046)</t>
  </si>
  <si>
    <t>남동구 논고개로 334번길 21(도림동 629-2)</t>
  </si>
  <si>
    <t>남동구 논현역로 31(논현동 633-8번지)</t>
  </si>
  <si>
    <t>629-4280</t>
  </si>
  <si>
    <t>남동구 만수로 50번길 (만수동 26)</t>
  </si>
  <si>
    <t>남동구 석정로 539번길 32(간석동 614-5)</t>
  </si>
  <si>
    <t>남동구 장도로 2</t>
  </si>
  <si>
    <t>629-6004</t>
  </si>
  <si>
    <t>남동구 인주대로 776번길 14(구월동 609-1번지)</t>
  </si>
  <si>
    <t>629-6100</t>
  </si>
  <si>
    <t>남동구 간석로 26번길 10(인천광역시 남동구 간석동 104-1)</t>
  </si>
  <si>
    <t>님동구 논고개로 38(논현동 755-2번지)</t>
  </si>
  <si>
    <t>남동구 은봉로312번길 11(논현동 605-1)</t>
  </si>
  <si>
    <t>620-8724</t>
  </si>
  <si>
    <t>남동구 백범로248번길(만수동 846번지)</t>
  </si>
  <si>
    <t>629-4525</t>
  </si>
  <si>
    <t>남동구 포구로 112(논현동 600-2번지)</t>
  </si>
  <si>
    <t>629-6483</t>
  </si>
  <si>
    <t>인천광역시 남동구 서창방산로 93</t>
  </si>
  <si>
    <t>770-7000</t>
    <phoneticPr fontId="3" type="noConversion"/>
  </si>
  <si>
    <t>770-7010</t>
    <phoneticPr fontId="3" type="noConversion"/>
  </si>
  <si>
    <t>465-7088</t>
    <phoneticPr fontId="3" type="noConversion"/>
  </si>
  <si>
    <t>남동구 주안로 259번길 28(간석동 379-1)</t>
  </si>
  <si>
    <t>남동구 서창남순환로 190-28(서창동 694번지)</t>
  </si>
  <si>
    <t>연수구 한진로 12(옥련동 442-1)</t>
  </si>
  <si>
    <t>837-7200</t>
  </si>
  <si>
    <t>837-7110</t>
  </si>
  <si>
    <t>연수구 원인재로36(동춘2동 928-1)</t>
  </si>
  <si>
    <t>연수구 먼우금로 273(연수동)</t>
  </si>
  <si>
    <t>연수구 아카데미로 667(송도동 309-1번지)</t>
  </si>
  <si>
    <t>509-1007</t>
  </si>
  <si>
    <t>연수구 아카데미로 627(송도동)</t>
  </si>
  <si>
    <t>456-7011</t>
  </si>
  <si>
    <t>연수구 송도교육로19(송도동 191-5번지)</t>
  </si>
  <si>
    <t>인천송빛초등학교</t>
  </si>
  <si>
    <t>연수구 아카데미로 343번길 27(송도동 396-8번지)</t>
  </si>
  <si>
    <t>858-6782</t>
  </si>
  <si>
    <t>연수구 송도과학로 51번길 60</t>
  </si>
  <si>
    <t>629-6327</t>
  </si>
  <si>
    <t>연수구 원인재로 150(연수2동 635-1))</t>
  </si>
  <si>
    <t>629-5287</t>
  </si>
  <si>
    <t>629-5276</t>
  </si>
  <si>
    <t>연수구 컨벤시아대로252번길 75(송도동 105)</t>
  </si>
  <si>
    <t>인천광역시 연수구 한진로 30
(옥련동 232번지)</t>
  </si>
  <si>
    <t>연수구 센트럴로460(송도동314-1번지)</t>
  </si>
  <si>
    <t>연수구 함박뫼로 25(청학동 465번지)</t>
  </si>
  <si>
    <t>연수구 청량로 176(옥련동, 405-5)</t>
  </si>
  <si>
    <t>연수구 함박뫼로 87(연수1동 535번지)</t>
  </si>
  <si>
    <t>연수구 인천타워대로54번길 46(송도동 9-27)</t>
  </si>
  <si>
    <t>인천가림초등학교</t>
    <phoneticPr fontId="16" type="noConversion"/>
  </si>
  <si>
    <t>서구 장고개로293번길 29(가좌동 231)</t>
    <phoneticPr fontId="3" type="noConversion"/>
  </si>
  <si>
    <t>571-6230</t>
    <phoneticPr fontId="3" type="noConversion"/>
  </si>
  <si>
    <t>인천가석초등학교</t>
    <phoneticPr fontId="16" type="noConversion"/>
  </si>
  <si>
    <t>서구 서달로 174(가정동)</t>
    <phoneticPr fontId="3" type="noConversion"/>
  </si>
  <si>
    <t>인천가원초등학교</t>
    <phoneticPr fontId="16" type="noConversion"/>
  </si>
  <si>
    <t>인천가정초등학교</t>
    <phoneticPr fontId="16" type="noConversion"/>
  </si>
  <si>
    <t>576-9980</t>
    <phoneticPr fontId="9" type="noConversion"/>
  </si>
  <si>
    <t>577-1826</t>
    <phoneticPr fontId="9" type="noConversion"/>
  </si>
  <si>
    <t>578-2243</t>
    <phoneticPr fontId="9" type="noConversion"/>
  </si>
  <si>
    <t>인천가좌초등학교</t>
    <phoneticPr fontId="16" type="noConversion"/>
  </si>
  <si>
    <t>인천가현초등학교</t>
    <phoneticPr fontId="16" type="noConversion"/>
  </si>
  <si>
    <t>인천건지초등학교</t>
    <phoneticPr fontId="16" type="noConversion"/>
  </si>
  <si>
    <t>서구 건지로318번길 39(가좌동 200)</t>
    <phoneticPr fontId="9" type="noConversion"/>
  </si>
  <si>
    <t>628-5855</t>
    <phoneticPr fontId="9" type="noConversion"/>
  </si>
  <si>
    <t>628-5813</t>
    <phoneticPr fontId="9" type="noConversion"/>
  </si>
  <si>
    <t>628-5854</t>
    <phoneticPr fontId="9" type="noConversion"/>
  </si>
  <si>
    <t>특수(남)1명 입급 예정</t>
    <phoneticPr fontId="3" type="noConversion"/>
  </si>
  <si>
    <t>인천경명초등학교</t>
    <phoneticPr fontId="16" type="noConversion"/>
  </si>
  <si>
    <t>서구 크리스탈로 130(청라동 139-2번지)</t>
    <phoneticPr fontId="9" type="noConversion"/>
  </si>
  <si>
    <t>590-9390</t>
    <phoneticPr fontId="9" type="noConversion"/>
  </si>
  <si>
    <t>590-9490</t>
    <phoneticPr fontId="9" type="noConversion"/>
  </si>
  <si>
    <t>590-9395</t>
    <phoneticPr fontId="9" type="noConversion"/>
  </si>
  <si>
    <t>인천경서초등학교</t>
    <phoneticPr fontId="16" type="noConversion"/>
  </si>
  <si>
    <t>서구 경서로 31번길 31(경서동 741번지)</t>
    <phoneticPr fontId="9" type="noConversion"/>
  </si>
  <si>
    <t>569-0483</t>
    <phoneticPr fontId="9" type="noConversion"/>
  </si>
  <si>
    <t>628-7986</t>
    <phoneticPr fontId="9" type="noConversion"/>
  </si>
  <si>
    <t>569-0487</t>
    <phoneticPr fontId="9" type="noConversion"/>
  </si>
  <si>
    <t>인천공촌초등학교</t>
    <phoneticPr fontId="16" type="noConversion"/>
  </si>
  <si>
    <t>서구 심곡로188번길 21(공촌동 277-2)</t>
    <phoneticPr fontId="3" type="noConversion"/>
  </si>
  <si>
    <t>인천도담초등학교</t>
    <phoneticPr fontId="16" type="noConversion"/>
  </si>
  <si>
    <t>서구 청라커넬로 217(청라동178-8번지)</t>
    <phoneticPr fontId="9" type="noConversion"/>
  </si>
  <si>
    <t>인천봉수초등학교</t>
    <phoneticPr fontId="16" type="noConversion"/>
  </si>
  <si>
    <t>서구 봉오대로267번길 11-4(가정동 284-439)</t>
    <phoneticPr fontId="3" type="noConversion"/>
  </si>
  <si>
    <t>서구</t>
    <phoneticPr fontId="3" type="noConversion"/>
  </si>
  <si>
    <t>인천석남서초등학교</t>
  </si>
  <si>
    <t>서구 건지로249번길 6(석남동 580번지)</t>
    <phoneticPr fontId="3" type="noConversion"/>
  </si>
  <si>
    <t>인천석남초등학교</t>
    <phoneticPr fontId="16" type="noConversion"/>
  </si>
  <si>
    <t>서구 서달로 130번길 4(석남3동)</t>
    <phoneticPr fontId="9" type="noConversion"/>
  </si>
  <si>
    <t>-</t>
    <phoneticPr fontId="3" type="noConversion"/>
  </si>
  <si>
    <t>인천신석초등학교</t>
    <phoneticPr fontId="16" type="noConversion"/>
  </si>
  <si>
    <t>서구 새오개로 9(석남동 208-2번지)</t>
    <phoneticPr fontId="9" type="noConversion"/>
  </si>
  <si>
    <t>인천신현북초등학교</t>
    <phoneticPr fontId="16" type="noConversion"/>
  </si>
  <si>
    <t>인천신현초등학교</t>
    <phoneticPr fontId="16" type="noConversion"/>
  </si>
  <si>
    <t>서구 율도로 77번길 1</t>
    <phoneticPr fontId="3" type="noConversion"/>
  </si>
  <si>
    <t>575-0962</t>
    <phoneticPr fontId="9" type="noConversion"/>
  </si>
  <si>
    <t>572-3977</t>
    <phoneticPr fontId="9" type="noConversion"/>
  </si>
  <si>
    <t>572-0964</t>
    <phoneticPr fontId="9" type="noConversion"/>
  </si>
  <si>
    <t>인천심곡초등학교</t>
    <phoneticPr fontId="16" type="noConversion"/>
  </si>
  <si>
    <t>인천은지초등학교</t>
    <phoneticPr fontId="16" type="noConversion"/>
  </si>
  <si>
    <t>서구 승학로 572번길 22(검암동 536-1번지)</t>
    <phoneticPr fontId="9" type="noConversion"/>
  </si>
  <si>
    <t>628-7688</t>
    <phoneticPr fontId="3" type="noConversion"/>
  </si>
  <si>
    <t>인천청라초등학교</t>
    <phoneticPr fontId="16" type="noConversion"/>
  </si>
  <si>
    <t>인천청람초등학교</t>
    <phoneticPr fontId="16" type="noConversion"/>
  </si>
  <si>
    <t>서구 청라커낼로 336(청라동 149-1)</t>
    <phoneticPr fontId="9" type="noConversion"/>
  </si>
  <si>
    <t>569-6912</t>
    <phoneticPr fontId="9" type="noConversion"/>
  </si>
  <si>
    <t>569-6918</t>
    <phoneticPr fontId="9" type="noConversion"/>
  </si>
  <si>
    <t>서부</t>
    <phoneticPr fontId="3" type="noConversion"/>
  </si>
  <si>
    <t>인천초은초등학교</t>
    <phoneticPr fontId="16" type="noConversion"/>
  </si>
  <si>
    <t>서구 청라에메랄드로 33</t>
    <phoneticPr fontId="9" type="noConversion"/>
  </si>
  <si>
    <t>569-3124</t>
    <phoneticPr fontId="9" type="noConversion"/>
  </si>
  <si>
    <t>569-3121</t>
    <phoneticPr fontId="9" type="noConversion"/>
  </si>
  <si>
    <t>569-3122</t>
    <phoneticPr fontId="9" type="noConversion"/>
  </si>
  <si>
    <t>인천해원초등학교</t>
    <phoneticPr fontId="16" type="noConversion"/>
  </si>
  <si>
    <t>서구 청라사파이어로 140번길 5</t>
    <phoneticPr fontId="9" type="noConversion"/>
  </si>
  <si>
    <t>560-2213</t>
    <phoneticPr fontId="9" type="noConversion"/>
  </si>
  <si>
    <t>560-2226</t>
    <phoneticPr fontId="9" type="noConversion"/>
  </si>
  <si>
    <t>560-2229</t>
    <phoneticPr fontId="9" type="noConversion"/>
  </si>
  <si>
    <t>인천금곡초등학교</t>
    <phoneticPr fontId="16" type="noConversion"/>
  </si>
  <si>
    <t>인천능내초등학교</t>
    <phoneticPr fontId="16" type="noConversion"/>
  </si>
  <si>
    <t>인천단봉초등학교</t>
    <phoneticPr fontId="16" type="noConversion"/>
  </si>
  <si>
    <t>서구 단봉로 122(오류동 1720-1)</t>
    <phoneticPr fontId="9" type="noConversion"/>
  </si>
  <si>
    <t>590-8020</t>
    <phoneticPr fontId="9" type="noConversion"/>
  </si>
  <si>
    <t>590-8028</t>
    <phoneticPr fontId="9" type="noConversion"/>
  </si>
  <si>
    <t>590-8058</t>
    <phoneticPr fontId="9" type="noConversion"/>
  </si>
  <si>
    <t>인천당하초등학교</t>
    <phoneticPr fontId="16" type="noConversion"/>
  </si>
  <si>
    <t>서구 청마로 144(당하초 1107-1)</t>
    <phoneticPr fontId="9" type="noConversion"/>
  </si>
  <si>
    <t>567-6891</t>
    <phoneticPr fontId="9" type="noConversion"/>
  </si>
  <si>
    <t>567-6892</t>
    <phoneticPr fontId="9" type="noConversion"/>
  </si>
  <si>
    <t>569-6891</t>
    <phoneticPr fontId="9" type="noConversion"/>
  </si>
  <si>
    <t>인천마전초등학교</t>
    <phoneticPr fontId="16" type="noConversion"/>
  </si>
  <si>
    <t>서구 완정로34번길 23(마전동 999-12번지)</t>
    <phoneticPr fontId="9" type="noConversion"/>
  </si>
  <si>
    <t>568-2209</t>
    <phoneticPr fontId="3" type="noConversion"/>
  </si>
  <si>
    <t>인천백석초등학교</t>
    <phoneticPr fontId="16" type="noConversion"/>
  </si>
  <si>
    <t>서구 청마로 55(당하동 1084-1번지)</t>
    <phoneticPr fontId="9" type="noConversion"/>
  </si>
  <si>
    <t>590-7883</t>
    <phoneticPr fontId="9" type="noConversion"/>
  </si>
  <si>
    <t>590-7890</t>
    <phoneticPr fontId="9" type="noConversion"/>
  </si>
  <si>
    <t>590-7889</t>
    <phoneticPr fontId="9" type="noConversion"/>
  </si>
  <si>
    <t>인천불로초등학교</t>
    <phoneticPr fontId="16" type="noConversion"/>
  </si>
  <si>
    <t>서구 검단로 744번1길50(불로동 799-2번지)</t>
    <phoneticPr fontId="9" type="noConversion"/>
  </si>
  <si>
    <t>인천아라초등학교</t>
    <phoneticPr fontId="16" type="noConversion"/>
  </si>
  <si>
    <t>서구 서로2로 42(당하동 1272-6번지)</t>
    <phoneticPr fontId="9" type="noConversion"/>
  </si>
  <si>
    <t>440-0664</t>
    <phoneticPr fontId="9" type="noConversion"/>
  </si>
  <si>
    <t>440-0603</t>
    <phoneticPr fontId="9" type="noConversion"/>
  </si>
  <si>
    <t>569-5841</t>
    <phoneticPr fontId="9" type="noConversion"/>
  </si>
  <si>
    <t>인천아람초등학교</t>
    <phoneticPr fontId="16" type="noConversion"/>
  </si>
  <si>
    <t>서구 이음1로 289(원당동 1094-2)</t>
    <phoneticPr fontId="9" type="noConversion"/>
  </si>
  <si>
    <t>032-500-9706</t>
    <phoneticPr fontId="9" type="noConversion"/>
  </si>
  <si>
    <t>032-500-9711</t>
    <phoneticPr fontId="9" type="noConversion"/>
  </si>
  <si>
    <t>032-563-9601</t>
    <phoneticPr fontId="3" type="noConversion"/>
  </si>
  <si>
    <t>인천완정초등학교</t>
    <phoneticPr fontId="16" type="noConversion"/>
  </si>
  <si>
    <t>인천왕길초등학교</t>
    <phoneticPr fontId="16" type="noConversion"/>
  </si>
  <si>
    <t>서구 봉수대로1440번길 20(왕길동 649-3)</t>
    <phoneticPr fontId="9" type="noConversion"/>
  </si>
  <si>
    <t>564-4825</t>
    <phoneticPr fontId="9" type="noConversion"/>
  </si>
  <si>
    <t>628-7912</t>
    <phoneticPr fontId="9" type="noConversion"/>
  </si>
  <si>
    <t>628-7919</t>
    <phoneticPr fontId="9" type="noConversion"/>
  </si>
  <si>
    <t>인천원당초등학교</t>
    <phoneticPr fontId="16" type="noConversion"/>
  </si>
  <si>
    <t>인천이음초등학교</t>
    <phoneticPr fontId="16" type="noConversion"/>
  </si>
  <si>
    <t>서구 이음1로 447(원당동 1016-5번지)</t>
    <phoneticPr fontId="9" type="noConversion"/>
  </si>
  <si>
    <t>870-8447</t>
    <phoneticPr fontId="9" type="noConversion"/>
  </si>
  <si>
    <t>870-8408</t>
    <phoneticPr fontId="9" type="noConversion"/>
  </si>
  <si>
    <t>569-3974</t>
    <phoneticPr fontId="9" type="noConversion"/>
  </si>
  <si>
    <t>인천창신초등학교</t>
    <phoneticPr fontId="16" type="noConversion"/>
  </si>
  <si>
    <t>서구 고산후로 161번길 6(원당동 809번지)</t>
    <phoneticPr fontId="9" type="noConversion"/>
  </si>
  <si>
    <t>인천한들초등학교</t>
    <phoneticPr fontId="16" type="noConversion"/>
  </si>
  <si>
    <t>서구 한중로 25(백석동 98-3)</t>
    <phoneticPr fontId="9" type="noConversion"/>
  </si>
  <si>
    <t>인천한별초등학교</t>
    <phoneticPr fontId="16" type="noConversion"/>
  </si>
  <si>
    <t>서구 서로3로 201(원당동 1020-2)</t>
    <phoneticPr fontId="9" type="noConversion"/>
  </si>
  <si>
    <t>453-9000</t>
    <phoneticPr fontId="9" type="noConversion"/>
  </si>
  <si>
    <t>453-9074</t>
    <phoneticPr fontId="9" type="noConversion"/>
  </si>
  <si>
    <t>569-5626</t>
    <phoneticPr fontId="9" type="noConversion"/>
  </si>
  <si>
    <t>인천해든초등학교</t>
    <phoneticPr fontId="16" type="noConversion"/>
  </si>
  <si>
    <t>서구 서로3로 60(당하동 1318)</t>
    <phoneticPr fontId="9" type="noConversion"/>
  </si>
  <si>
    <t>453-9200</t>
    <phoneticPr fontId="9" type="noConversion"/>
  </si>
  <si>
    <t>453-9206</t>
    <phoneticPr fontId="9" type="noConversion"/>
  </si>
  <si>
    <t>569-4933</t>
    <phoneticPr fontId="9" type="noConversion"/>
  </si>
  <si>
    <t>인천신검단초등학교</t>
    <phoneticPr fontId="16" type="noConversion"/>
  </si>
  <si>
    <t>인천 서구 금정로 55(불로동 247-49)</t>
    <phoneticPr fontId="9" type="noConversion"/>
  </si>
  <si>
    <t>500-7100</t>
    <phoneticPr fontId="9" type="noConversion"/>
  </si>
  <si>
    <t>500-7107</t>
    <phoneticPr fontId="9" type="noConversion"/>
  </si>
  <si>
    <t>561-0824</t>
    <phoneticPr fontId="9" type="noConversion"/>
  </si>
  <si>
    <t>인천검단호수초등학교</t>
    <phoneticPr fontId="16" type="noConversion"/>
  </si>
  <si>
    <t>서구 독정로324번길 26(불로동 483-6번지)</t>
    <phoneticPr fontId="9" type="noConversion"/>
  </si>
  <si>
    <t>458-1151</t>
    <phoneticPr fontId="9" type="noConversion"/>
  </si>
  <si>
    <t>458-1106</t>
    <phoneticPr fontId="9" type="noConversion"/>
  </si>
  <si>
    <t>561-6423</t>
    <phoneticPr fontId="9" type="noConversion"/>
  </si>
  <si>
    <t>미추홀구 경원대로 691(관교동 512)</t>
  </si>
  <si>
    <t>422-0073</t>
  </si>
  <si>
    <t>434-2763</t>
  </si>
  <si>
    <t>438-0277</t>
  </si>
  <si>
    <t>관교중학교</t>
  </si>
  <si>
    <t>미추홀구 경원대로670번길 19(관교동 482)</t>
  </si>
  <si>
    <t>미추홀구 인하로 426(관교동 335-19)</t>
  </si>
  <si>
    <t>629-2469</t>
  </si>
  <si>
    <t>425-1827</t>
  </si>
  <si>
    <t>미추홀구 석정로 165(도화동 193-12)</t>
  </si>
  <si>
    <t>764-4311</t>
  </si>
  <si>
    <t>765-3158</t>
  </si>
  <si>
    <t>772-9627</t>
  </si>
  <si>
    <t>선화여자중학교</t>
  </si>
  <si>
    <t>629-3065</t>
  </si>
  <si>
    <t>629-3073</t>
  </si>
  <si>
    <t>762-9117</t>
  </si>
  <si>
    <t>용현여자중학교</t>
  </si>
  <si>
    <t>용현중학교</t>
  </si>
  <si>
    <t>미추홀구 낙섬동로 16(용현동 627-435)</t>
  </si>
  <si>
    <t>629-2694</t>
  </si>
  <si>
    <t>629-2716</t>
  </si>
  <si>
    <t>888-9877</t>
  </si>
  <si>
    <t>미추홀구 매소홀로 335(학익동 430-51)</t>
  </si>
  <si>
    <t>863-9314</t>
  </si>
  <si>
    <t>863-9313</t>
  </si>
  <si>
    <t>863-9316</t>
  </si>
  <si>
    <t>인천남중학교</t>
  </si>
  <si>
    <t>미추홀구 수봉로 16-23(숭의동41-3)</t>
  </si>
  <si>
    <t>882-0405</t>
  </si>
  <si>
    <t>882-2503</t>
  </si>
  <si>
    <t>887-8764</t>
  </si>
  <si>
    <t>인화여자중학교</t>
    <phoneticPr fontId="16" type="noConversion"/>
  </si>
  <si>
    <t>미추홀구 인주대로470번길 20(주안동 1529)</t>
  </si>
  <si>
    <t>629-2505</t>
  </si>
  <si>
    <t>629-2483</t>
  </si>
  <si>
    <t>화도진중학교</t>
  </si>
  <si>
    <t>동구 화수로 64(화수동 2-5)</t>
    <phoneticPr fontId="16" type="noConversion"/>
  </si>
  <si>
    <t>761-4612</t>
  </si>
  <si>
    <t>761-4613</t>
  </si>
  <si>
    <t>761-3247</t>
  </si>
  <si>
    <t>동산중학교</t>
  </si>
  <si>
    <t>763-7829</t>
    <phoneticPr fontId="16" type="noConversion"/>
  </si>
  <si>
    <t>재능중학교</t>
  </si>
  <si>
    <t>동구 재능로 178(송림동 122-1)</t>
  </si>
  <si>
    <t>627-6957</t>
  </si>
  <si>
    <t>627-6953</t>
  </si>
  <si>
    <t>627-6985</t>
  </si>
  <si>
    <t>대청중학교</t>
  </si>
  <si>
    <t>옹진군 대청면 대청로 244번길 116-45(대청리 1143-2)</t>
    <phoneticPr fontId="16" type="noConversion"/>
  </si>
  <si>
    <t xml:space="preserve">836-2013 </t>
  </si>
  <si>
    <t>836-3013</t>
  </si>
  <si>
    <t>덕적중학교</t>
  </si>
  <si>
    <t>백령중학교</t>
  </si>
  <si>
    <t>옹진군 백령면 백령로 708(북포리 255)</t>
  </si>
  <si>
    <t>836-0092</t>
  </si>
  <si>
    <t>836-0091</t>
  </si>
  <si>
    <t>836-2210</t>
  </si>
  <si>
    <t>연평중학교</t>
  </si>
  <si>
    <t>옹진군 연평면 연평로137번길 101(연평리 437-1)</t>
  </si>
  <si>
    <t>627-1819</t>
  </si>
  <si>
    <t>831-1654</t>
  </si>
  <si>
    <t>831-1655</t>
  </si>
  <si>
    <t>영흥중학교</t>
  </si>
  <si>
    <t>옹진군 영흥면 내동로 107(내리 496-95)</t>
    <phoneticPr fontId="16" type="noConversion"/>
  </si>
  <si>
    <t>886-0433</t>
  </si>
  <si>
    <t>880-0436</t>
  </si>
  <si>
    <t>886-0434</t>
  </si>
  <si>
    <t>신흥여자중학교</t>
  </si>
  <si>
    <t>중구 인항로 24번길 37(신흥동3가 7-210)</t>
    <phoneticPr fontId="16" type="noConversion"/>
  </si>
  <si>
    <t>신흥중학교</t>
  </si>
  <si>
    <t>인항로24번길 38(신흥동3가 7-338)</t>
  </si>
  <si>
    <t>629-2392</t>
  </si>
  <si>
    <t>629-2365</t>
  </si>
  <si>
    <t>629-2393</t>
  </si>
  <si>
    <t>영종중학교</t>
  </si>
  <si>
    <t>중구 남디로 92(운남동 1655-12)</t>
  </si>
  <si>
    <t>746-0010</t>
  </si>
  <si>
    <t>629-2773</t>
  </si>
  <si>
    <t>746-0067</t>
  </si>
  <si>
    <t>중구 남북로 87번길 4(남북동 584-2)</t>
    <phoneticPr fontId="16" type="noConversion"/>
  </si>
  <si>
    <t>746-3027</t>
  </si>
  <si>
    <t>인천공항중학교</t>
  </si>
  <si>
    <t>중구 영종대로 27번길 49(운서동 2747-8)</t>
    <phoneticPr fontId="16" type="noConversion"/>
  </si>
  <si>
    <t>인천하늘중학교</t>
  </si>
  <si>
    <t>중구 찬들로 284번길 16(운남동 1737-2)</t>
    <phoneticPr fontId="16" type="noConversion"/>
  </si>
  <si>
    <t>452-6100</t>
  </si>
  <si>
    <t>452-6104</t>
  </si>
  <si>
    <t>752-8365</t>
  </si>
  <si>
    <t>인천운서중학교</t>
  </si>
  <si>
    <t>중구 하늘초롱길 73(운서동 3083-23)</t>
  </si>
  <si>
    <t>310-8710</t>
  </si>
  <si>
    <t>310-8707</t>
  </si>
  <si>
    <t>752-9868</t>
  </si>
  <si>
    <t>중구 참외전로 244번길 47(도원동 12-73)</t>
  </si>
  <si>
    <t>760-5260</t>
    <phoneticPr fontId="16" type="noConversion"/>
  </si>
  <si>
    <t>760-5298</t>
  </si>
  <si>
    <t>887-1062</t>
    <phoneticPr fontId="16" type="noConversion"/>
  </si>
  <si>
    <t>송도중학교</t>
  </si>
  <si>
    <t>772-9384</t>
  </si>
  <si>
    <t>772-9383</t>
  </si>
  <si>
    <t>764-1766</t>
  </si>
  <si>
    <t>인성여자중학교</t>
  </si>
  <si>
    <t>762-8505</t>
  </si>
  <si>
    <t>762-8504</t>
  </si>
  <si>
    <t>762-8515</t>
  </si>
  <si>
    <t>부평구 수변로 199(부개동 497-4)</t>
    <phoneticPr fontId="16" type="noConversion"/>
  </si>
  <si>
    <t>361-1092</t>
  </si>
  <si>
    <t>부평구 부영로 88(부평동 70-128)</t>
    <phoneticPr fontId="16" type="noConversion"/>
  </si>
  <si>
    <t>부평구 경원대로 1339(부평동 70-131)</t>
    <phoneticPr fontId="16" type="noConversion"/>
  </si>
  <si>
    <t>부평구 영성로 3(삼산동 388-5)</t>
    <phoneticPr fontId="16" type="noConversion"/>
  </si>
  <si>
    <t>528-2155</t>
  </si>
  <si>
    <t>부평구 수변로107번길 4(부개동 120-6)</t>
    <phoneticPr fontId="16" type="noConversion"/>
  </si>
  <si>
    <t>부평구 경원대로 1213(십정동 186-519)</t>
    <phoneticPr fontId="16" type="noConversion"/>
  </si>
  <si>
    <t>부평구 화랑로 29(산곡동 310-23)</t>
    <phoneticPr fontId="16" type="noConversion"/>
  </si>
  <si>
    <t>부평구 부흥북로57번길 10(부평동 136-33)</t>
    <phoneticPr fontId="16" type="noConversion"/>
  </si>
  <si>
    <t>부평구 충선로 152(부개동 13-73)</t>
    <phoneticPr fontId="16" type="noConversion"/>
  </si>
  <si>
    <t>527-5383</t>
  </si>
  <si>
    <t>부평구 안남로 187(산곡동 261-4)</t>
    <phoneticPr fontId="16" type="noConversion"/>
  </si>
  <si>
    <t>부평구 마장로204번길 37(산곡동 235-4)</t>
    <phoneticPr fontId="16" type="noConversion"/>
  </si>
  <si>
    <t>부평구 원적로300번길 14(산곡동 180-356)</t>
    <phoneticPr fontId="16" type="noConversion"/>
  </si>
  <si>
    <t>부평구 충선로 308(삼산동 445-1)</t>
    <phoneticPr fontId="16" type="noConversion"/>
  </si>
  <si>
    <t>부평구 동수로 8(부평동 677)</t>
    <phoneticPr fontId="16" type="noConversion"/>
  </si>
  <si>
    <t>부평구 충선로234번길 70(삼산동 454-11)</t>
    <phoneticPr fontId="16" type="noConversion"/>
  </si>
  <si>
    <t>628-4300</t>
  </si>
  <si>
    <t>부평구 마장로364번길 23(청천동 190-58)</t>
    <phoneticPr fontId="16" type="noConversion"/>
  </si>
  <si>
    <t>627-7365</t>
  </si>
  <si>
    <t>549-6277</t>
  </si>
  <si>
    <t>계양구 도두리로 67-16(계산동 1085-4)</t>
    <phoneticPr fontId="16" type="noConversion"/>
  </si>
  <si>
    <t>543-1917</t>
  </si>
  <si>
    <t>계양구 장제로1181번길 9(귤현동 430)</t>
    <phoneticPr fontId="16" type="noConversion"/>
  </si>
  <si>
    <t>계양구 안남로554번길 26(효성동 20)</t>
    <phoneticPr fontId="16" type="noConversion"/>
  </si>
  <si>
    <t>계양구 아나지로85번길 12(효성동 551)</t>
    <phoneticPr fontId="16" type="noConversion"/>
  </si>
  <si>
    <t>계양구 계산로22번길 6(계산동 765)</t>
    <phoneticPr fontId="16" type="noConversion"/>
  </si>
  <si>
    <t>계양구 아나지로 467(서운동 55-146)</t>
    <phoneticPr fontId="16" type="noConversion"/>
  </si>
  <si>
    <t>계양구 당미길 56(동양동 587)</t>
    <phoneticPr fontId="16" type="noConversion"/>
  </si>
  <si>
    <t>계양구 계산새로33번길 5(계산동 58-1)</t>
    <phoneticPr fontId="16" type="noConversion"/>
  </si>
  <si>
    <t>549-4784</t>
  </si>
  <si>
    <t>계양구 장제로948번길 13(병방동 12)</t>
    <phoneticPr fontId="16" type="noConversion"/>
  </si>
  <si>
    <t>계양구 안남로 607(효성동 28-43)</t>
    <phoneticPr fontId="16" type="noConversion"/>
  </si>
  <si>
    <t>계양구 장제로 894(병방동 432-2)</t>
    <phoneticPr fontId="16" type="noConversion"/>
  </si>
  <si>
    <t>계양구 주부토로448번길 16(작전동 85)</t>
    <phoneticPr fontId="16" type="noConversion"/>
  </si>
  <si>
    <t>간석여자중학교</t>
  </si>
  <si>
    <t>구월중학교</t>
    <phoneticPr fontId="16" type="noConversion"/>
  </si>
  <si>
    <t>남동구 남동대로 814(구월동 22)</t>
    <phoneticPr fontId="9" type="noConversion"/>
  </si>
  <si>
    <t>460-6502</t>
    <phoneticPr fontId="9" type="noConversion"/>
  </si>
  <si>
    <t>460-6515</t>
    <phoneticPr fontId="9" type="noConversion"/>
  </si>
  <si>
    <t>467-5913</t>
    <phoneticPr fontId="9" type="noConversion"/>
  </si>
  <si>
    <t>남동중학교</t>
  </si>
  <si>
    <t>남동구 담방로7(만수6동 1047번지)</t>
  </si>
  <si>
    <t>논곡중학교</t>
  </si>
  <si>
    <t>남동구 논곡로 84(논현동 553-21)</t>
  </si>
  <si>
    <t>629-8552</t>
  </si>
  <si>
    <t>629-8496</t>
  </si>
  <si>
    <t>629-8558</t>
  </si>
  <si>
    <t>만성중학교</t>
  </si>
  <si>
    <t>남동구 인주대로 899(만수동 1005-6)</t>
  </si>
  <si>
    <t>468-8016</t>
  </si>
  <si>
    <t>468-8024</t>
  </si>
  <si>
    <t>629-8091</t>
  </si>
  <si>
    <t>629-8758</t>
  </si>
  <si>
    <t>629-8735</t>
  </si>
  <si>
    <t>만수중학교</t>
  </si>
  <si>
    <t>남동구 인수로 13(만수동 48번지)</t>
  </si>
  <si>
    <t>467-1833</t>
  </si>
  <si>
    <t>629-7485</t>
  </si>
  <si>
    <t>467-1837</t>
  </si>
  <si>
    <t>만월중학교</t>
  </si>
  <si>
    <t>상인천여자중학교</t>
  </si>
  <si>
    <t>남동구 문화로169번길 30(간석동 505-11)</t>
  </si>
  <si>
    <t>422-0951</t>
  </si>
  <si>
    <t>629-7479</t>
  </si>
  <si>
    <t>석정중학교</t>
  </si>
  <si>
    <t>남동구 방축로469번길 1(간석동 614)</t>
  </si>
  <si>
    <t>425-0780</t>
  </si>
  <si>
    <t>629-8634</t>
  </si>
  <si>
    <t>425-0782</t>
  </si>
  <si>
    <t>434-4703</t>
  </si>
  <si>
    <t>인천논현중학교</t>
  </si>
  <si>
    <t>남동구 포구로 118(논현동 600-3)</t>
  </si>
  <si>
    <t>446-7910</t>
  </si>
  <si>
    <t>446-7915</t>
  </si>
  <si>
    <t>인천동방중학교</t>
  </si>
  <si>
    <t>429-2922</t>
  </si>
  <si>
    <t>429-2832</t>
  </si>
  <si>
    <t>429-2833</t>
  </si>
  <si>
    <t>남동구 에코중앙로 84번길 12(논현동 765-2)</t>
  </si>
  <si>
    <t>연수구 송도과학로 51-102(송도동 161-1번지)</t>
  </si>
  <si>
    <t>신송중학교</t>
  </si>
  <si>
    <t>연수구 해돋이로56번길(송도동3-43)</t>
  </si>
  <si>
    <t>851-0561</t>
  </si>
  <si>
    <t>851-0562</t>
  </si>
  <si>
    <t>851-0564</t>
  </si>
  <si>
    <t>815-4128</t>
  </si>
  <si>
    <t>817-4051</t>
  </si>
  <si>
    <t>연수구 원인재로 231(연수동 579-2)</t>
  </si>
  <si>
    <t>연수구 용담로 156(연수동 632번지)</t>
  </si>
  <si>
    <t>인천미송중학교</t>
  </si>
  <si>
    <t>연수구 아카데미로 679(송도동 308-4번지)</t>
  </si>
  <si>
    <t>456-3100</t>
  </si>
  <si>
    <t>858-8823</t>
  </si>
  <si>
    <t>연수구 컨벤시아대로42번길 80(송도동 15-3)</t>
  </si>
  <si>
    <t>인천여자중학교</t>
  </si>
  <si>
    <t>연수구 원인재로 47(동춘동 921-1)</t>
  </si>
  <si>
    <t>629-8283</t>
  </si>
  <si>
    <t>629-8323</t>
  </si>
  <si>
    <t>821-6342</t>
  </si>
  <si>
    <t>인천은송중학교</t>
  </si>
  <si>
    <t>2025.03.01</t>
  </si>
  <si>
    <t>연수구 해송로 148(연수구 송도동 9-28)</t>
  </si>
  <si>
    <t>032-851-6831</t>
  </si>
  <si>
    <t>032-851-6832</t>
  </si>
  <si>
    <t>032-851-6839</t>
  </si>
  <si>
    <t>연수구 아카데미로312번길 84(송도동 214-5번지)</t>
  </si>
  <si>
    <t>610-6170</t>
  </si>
  <si>
    <t>연수구 먼우금로 138(동춘동 924-1)</t>
  </si>
  <si>
    <t>831-1461</t>
  </si>
  <si>
    <t>검단중학교</t>
    <phoneticPr fontId="16" type="noConversion"/>
  </si>
  <si>
    <t>서구 완정로188번길 12(마전동 908-2)</t>
    <phoneticPr fontId="9" type="noConversion"/>
  </si>
  <si>
    <t>627-7420</t>
    <phoneticPr fontId="9" type="noConversion"/>
  </si>
  <si>
    <t>627-7420</t>
    <phoneticPr fontId="16" type="noConversion"/>
  </si>
  <si>
    <t>627-7421</t>
    <phoneticPr fontId="9" type="noConversion"/>
  </si>
  <si>
    <t>서구 고산후로 363(불로동 306-22)</t>
    <phoneticPr fontId="9" type="noConversion"/>
  </si>
  <si>
    <t>서구 대평로56번길 22(연희동 734-2)</t>
    <phoneticPr fontId="9" type="noConversion"/>
  </si>
  <si>
    <t>562-0382</t>
    <phoneticPr fontId="9" type="noConversion"/>
  </si>
  <si>
    <t>562-0384</t>
    <phoneticPr fontId="9" type="noConversion"/>
  </si>
  <si>
    <t>562-0385</t>
    <phoneticPr fontId="9" type="noConversion"/>
  </si>
  <si>
    <t>서구 새오개로111번길 15(신현동 212-21)</t>
    <phoneticPr fontId="16" type="noConversion"/>
  </si>
  <si>
    <t>신현중학교</t>
    <phoneticPr fontId="16" type="noConversion"/>
  </si>
  <si>
    <t>서구 고산로40번길 22(원당동 852-2)</t>
    <phoneticPr fontId="9" type="noConversion"/>
  </si>
  <si>
    <t>서구 서달로 110(석남동 115)</t>
    <phoneticPr fontId="9" type="noConversion"/>
  </si>
  <si>
    <t>573-5976</t>
    <phoneticPr fontId="16" type="noConversion"/>
  </si>
  <si>
    <t>627-7076</t>
    <phoneticPr fontId="9" type="noConversion"/>
  </si>
  <si>
    <t>582-1491</t>
    <phoneticPr fontId="9" type="noConversion"/>
  </si>
  <si>
    <t>인천가현중학교</t>
    <phoneticPr fontId="16" type="noConversion"/>
  </si>
  <si>
    <t>인천검단가온중학교</t>
    <phoneticPr fontId="16" type="noConversion"/>
  </si>
  <si>
    <t>서구 동화시로 122(인천 서구 불로동 1002-1)</t>
    <phoneticPr fontId="9" type="noConversion"/>
  </si>
  <si>
    <t>458-1210</t>
    <phoneticPr fontId="9" type="noConversion"/>
  </si>
  <si>
    <t>561-7320</t>
    <phoneticPr fontId="9" type="noConversion"/>
  </si>
  <si>
    <t>서구 차오름로 64(청라동 84-2)</t>
    <phoneticPr fontId="9" type="noConversion"/>
  </si>
  <si>
    <t>510-7200</t>
    <phoneticPr fontId="9" type="noConversion"/>
  </si>
  <si>
    <t>510-7220</t>
    <phoneticPr fontId="9" type="noConversion"/>
  </si>
  <si>
    <t>569-7389</t>
    <phoneticPr fontId="9" type="noConversion"/>
  </si>
  <si>
    <t>인천단봉중학교</t>
    <phoneticPr fontId="16" type="noConversion"/>
  </si>
  <si>
    <t>서구 봉화로 15번길 10(오류동 1723-15번지)</t>
    <phoneticPr fontId="9" type="noConversion"/>
  </si>
  <si>
    <t>500-2424</t>
    <phoneticPr fontId="9" type="noConversion"/>
  </si>
  <si>
    <t>500-2400</t>
    <phoneticPr fontId="9" type="noConversion"/>
  </si>
  <si>
    <t>561-9605</t>
    <phoneticPr fontId="9" type="noConversion"/>
  </si>
  <si>
    <t>서구 염곡로 517(가정동 603-17)</t>
    <phoneticPr fontId="9" type="noConversion"/>
  </si>
  <si>
    <t>500-9500</t>
  </si>
  <si>
    <t>500-9503</t>
  </si>
  <si>
    <t>500-9580</t>
  </si>
  <si>
    <t>서구 건지로 333(석남동 329-7)</t>
    <phoneticPr fontId="9" type="noConversion"/>
  </si>
  <si>
    <t>584-1831</t>
    <phoneticPr fontId="9" type="noConversion"/>
  </si>
  <si>
    <t>584-1830</t>
    <phoneticPr fontId="9" type="noConversion"/>
  </si>
  <si>
    <t>584-1835</t>
    <phoneticPr fontId="16" type="noConversion"/>
  </si>
  <si>
    <t>서구 서로2로 50(서구 당하동 1272-8)</t>
    <phoneticPr fontId="9" type="noConversion"/>
  </si>
  <si>
    <t>457-1500</t>
    <phoneticPr fontId="9" type="noConversion"/>
  </si>
  <si>
    <t>457-1506</t>
    <phoneticPr fontId="9" type="noConversion"/>
  </si>
  <si>
    <t>457-1571</t>
    <phoneticPr fontId="16" type="noConversion"/>
  </si>
  <si>
    <t>인천청호중학교</t>
    <phoneticPr fontId="16" type="noConversion"/>
  </si>
  <si>
    <t>서구 청라한울로 44(청라동 140-2)</t>
    <phoneticPr fontId="9" type="noConversion"/>
  </si>
  <si>
    <t>456-9100</t>
    <phoneticPr fontId="9" type="noConversion"/>
  </si>
  <si>
    <t>456-1212</t>
    <phoneticPr fontId="9" type="noConversion"/>
  </si>
  <si>
    <t>569-4582</t>
    <phoneticPr fontId="9" type="noConversion"/>
  </si>
  <si>
    <t>서구 여우재로112번길 7(가좌동 401)</t>
    <phoneticPr fontId="16" type="noConversion"/>
  </si>
  <si>
    <t>강화군</t>
    <phoneticPr fontId="16" type="noConversion"/>
  </si>
  <si>
    <t>강화중학교</t>
    <phoneticPr fontId="16" type="noConversion"/>
  </si>
  <si>
    <t>강화군 강화읍 동문로 53(관청리 36)</t>
  </si>
  <si>
    <t>강화여자중학교</t>
    <phoneticPr fontId="16" type="noConversion"/>
  </si>
  <si>
    <t>강화군 강화읍 갑룡길 11(갑곳리 155-1)</t>
  </si>
  <si>
    <t>강남중학교</t>
    <phoneticPr fontId="16" type="noConversion"/>
  </si>
  <si>
    <t>강화군 길상면 강화남로 62-2</t>
  </si>
  <si>
    <t>937-4283</t>
    <phoneticPr fontId="16" type="noConversion"/>
  </si>
  <si>
    <t>강서중학교</t>
    <phoneticPr fontId="16" type="noConversion"/>
  </si>
  <si>
    <t>심도중학교</t>
    <phoneticPr fontId="16" type="noConversion"/>
  </si>
  <si>
    <t>627-4012</t>
  </si>
  <si>
    <t>627-4028</t>
  </si>
  <si>
    <t>교동중학교</t>
    <phoneticPr fontId="16" type="noConversion"/>
  </si>
  <si>
    <t>서도중학교</t>
    <phoneticPr fontId="16" type="noConversion"/>
  </si>
  <si>
    <t>강화군 서도면 주문도길 173</t>
  </si>
  <si>
    <t>동광중학교</t>
    <phoneticPr fontId="16" type="noConversion"/>
  </si>
  <si>
    <t>승영중학교</t>
    <phoneticPr fontId="16" type="noConversion"/>
  </si>
  <si>
    <t>강화군 삼산면 삼산북로473번길 47</t>
  </si>
  <si>
    <t>갑룡초등학교</t>
    <phoneticPr fontId="3" type="noConversion"/>
  </si>
  <si>
    <t>강화군 강화읍 갑룡길 88(갑곳리 435)</t>
    <phoneticPr fontId="3" type="noConversion"/>
  </si>
  <si>
    <t>강화초등학교</t>
    <phoneticPr fontId="16" type="noConversion"/>
  </si>
  <si>
    <t>교동초등학교</t>
    <phoneticPr fontId="16" type="noConversion"/>
  </si>
  <si>
    <t>강화군 교동면 대룡안길 29 (대룡리 535)</t>
  </si>
  <si>
    <t>길상초등학교</t>
    <phoneticPr fontId="3" type="noConversion"/>
  </si>
  <si>
    <t>강화군 길상면 삼랑성길 22(온수리 527-3)</t>
    <phoneticPr fontId="3" type="noConversion"/>
  </si>
  <si>
    <t>내가초등학교</t>
    <phoneticPr fontId="3" type="noConversion"/>
  </si>
  <si>
    <t>강화군 내가면 강화서로 264(고천리 745-2)</t>
    <phoneticPr fontId="3" type="noConversion"/>
  </si>
  <si>
    <t>대월초등학교</t>
    <phoneticPr fontId="3" type="noConversion"/>
  </si>
  <si>
    <t>명신초등학교</t>
    <phoneticPr fontId="3" type="noConversion"/>
  </si>
  <si>
    <t>불은초등학교</t>
    <phoneticPr fontId="3" type="noConversion"/>
  </si>
  <si>
    <t>삼산초등학교</t>
    <phoneticPr fontId="16" type="noConversion"/>
  </si>
  <si>
    <t>5, 6학년 복식학급</t>
    <phoneticPr fontId="3" type="noConversion"/>
  </si>
  <si>
    <t>삼성초등학교</t>
    <phoneticPr fontId="3" type="noConversion"/>
  </si>
  <si>
    <t>서도초등학교</t>
    <phoneticPr fontId="16" type="noConversion"/>
  </si>
  <si>
    <t>선원초등학교</t>
    <phoneticPr fontId="3" type="noConversion"/>
  </si>
  <si>
    <t>송해초등학교</t>
    <phoneticPr fontId="3" type="noConversion"/>
  </si>
  <si>
    <t>양도초등학교</t>
    <phoneticPr fontId="3" type="noConversion"/>
  </si>
  <si>
    <t>강화군 양도면 강화남로 1036(삼흥리288)</t>
  </si>
  <si>
    <t>양사초등학교</t>
    <phoneticPr fontId="3" type="noConversion"/>
  </si>
  <si>
    <t>조산초등학교</t>
    <phoneticPr fontId="3" type="noConversion"/>
  </si>
  <si>
    <t>하점초등학교</t>
    <phoneticPr fontId="3" type="noConversion"/>
  </si>
  <si>
    <t>627-4983</t>
  </si>
  <si>
    <t>합일초등학교</t>
    <phoneticPr fontId="3" type="noConversion"/>
  </si>
  <si>
    <t>해명초등학교</t>
    <phoneticPr fontId="16" type="noConversion"/>
  </si>
  <si>
    <t>3, 4학년 복식학급</t>
    <phoneticPr fontId="3" type="noConversion"/>
  </si>
  <si>
    <t>화도초등학교</t>
    <phoneticPr fontId="3" type="noConversion"/>
  </si>
  <si>
    <t>1, 2학년 복식학급</t>
    <phoneticPr fontId="3" type="noConversion"/>
  </si>
  <si>
    <t>269(7)</t>
    <phoneticPr fontId="3" type="noConversion"/>
  </si>
  <si>
    <t>263(7)</t>
    <phoneticPr fontId="3" type="noConversion"/>
  </si>
  <si>
    <t>- 유치원
인천달빛초등학교병설유치원(26.3.)
인천윤슬초등학교병설유치원(26.3.)
인천검단호수초등학교병설유치원(26.3.)
- 초등학교
인천신검단초등학교(25.9.)
인천달빛초등학교(26.3.)
인천윤슬초등학교(26.3.)
인천검단호수초등학교(26.3.)
- 중학교
인천검단가온중학교(26.3.)
인천단봉중학교(26.3.)
- 고등학교
인천운남고등학교(26.3.)</t>
    <phoneticPr fontId="16" type="noConversion"/>
  </si>
  <si>
    <t>인천귤현초등학교병설유치원</t>
    <phoneticPr fontId="16" type="noConversion"/>
  </si>
  <si>
    <t>인명여자고등학교</t>
    <phoneticPr fontId="16" type="noConversion"/>
  </si>
  <si>
    <t>미추홀구 문화로 11(관교동 13-5</t>
    <phoneticPr fontId="9" type="noConversion"/>
  </si>
  <si>
    <t>439-6083</t>
    <phoneticPr fontId="9" type="noConversion"/>
  </si>
  <si>
    <t>439-6084</t>
    <phoneticPr fontId="9" type="noConversion"/>
  </si>
  <si>
    <t>424-1897</t>
    <phoneticPr fontId="9" type="noConversion"/>
  </si>
  <si>
    <t>□ 행정개편 이후 구·군별 각급학교 현황(2026.7.1.시행)</t>
    <phoneticPr fontId="16" type="noConversion"/>
  </si>
  <si>
    <t>□ 행정개편 이후 계열별 고등학교 현황(2026.7.1.시행)</t>
    <phoneticPr fontId="16" type="noConversion"/>
  </si>
  <si>
    <t>(위탁학생수)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</si>
</sst>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 * #,##0_ ;_ * &quot;₩&quot;\!\-#,##0_ ;_ * &quot;-&quot;_ ;_ @_ "/>
    <numFmt numFmtId="179" formatCode="_ * #,##0.00_ ;_ * &quot;₩&quot;\!\-#,##0.00_ ;_ * &quot;-&quot;??_ ;_ @_ "/>
    <numFmt numFmtId="180" formatCode="_(&quot;$&quot;* #,##0_);_(&quot;$&quot;* &quot;₩&quot;\!\(#,##0&quot;₩&quot;\!\);_(&quot;$&quot;* &quot;-&quot;_);_(@_)"/>
    <numFmt numFmtId="181" formatCode="_(&quot;$&quot;* #,##0.00_);_(&quot;$&quot;* &quot;₩&quot;\!\(#,##0.00&quot;₩&quot;\!\);_(&quot;$&quot;* &quot;-&quot;??_);_(@_)"/>
    <numFmt numFmtId="182" formatCode="00000"/>
    <numFmt numFmtId="183" formatCode="#,##0_);[Red]\(#,##0\)"/>
    <numFmt numFmtId="184" formatCode="General&quot;개&quot;"/>
    <numFmt numFmtId="185" formatCode="@&quot;개&quot;"/>
    <numFmt numFmtId="186" formatCode="0_);[Red]\(0\)"/>
    <numFmt numFmtId="187" formatCode="0_ ;[Red]\-0\ "/>
    <numFmt numFmtId="188" formatCode="#,##0.0"/>
    <numFmt numFmtId="189" formatCode="#,##0.0_);[Red]\(#,##0.0\)"/>
  </numFmts>
  <fonts count="7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8"/>
      <name val="바탕체"/>
      <family val="1"/>
      <charset val="129"/>
    </font>
    <font>
      <sz val="11"/>
      <name val="바탕체"/>
      <family val="1"/>
      <charset val="129"/>
    </font>
    <font>
      <sz val="11"/>
      <color indexed="8"/>
      <name val="굴림체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4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1"/>
      <color indexed="10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inor"/>
    </font>
    <font>
      <sz val="16"/>
      <name val="바탕체"/>
      <family val="1"/>
      <charset val="129"/>
    </font>
    <font>
      <sz val="10"/>
      <color rgb="FF0000FF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6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Microsoft JhengHei"/>
      <family val="3"/>
      <charset val="136"/>
    </font>
    <font>
      <sz val="10"/>
      <color rgb="FF0000FF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16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26">
    <xf numFmtId="0" fontId="0" fillId="0" borderId="0">
      <alignment vertical="center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41" fontId="1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3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 applyProtection="0"/>
    <xf numFmtId="0" fontId="4" fillId="0" borderId="0"/>
    <xf numFmtId="0" fontId="4" fillId="0" borderId="0"/>
    <xf numFmtId="0" fontId="4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12">
    <xf numFmtId="0" fontId="0" fillId="0" borderId="0" xfId="0">
      <alignment vertical="center"/>
    </xf>
    <xf numFmtId="0" fontId="14" fillId="0" borderId="0" xfId="0" applyFont="1">
      <alignment vertical="center"/>
    </xf>
    <xf numFmtId="0" fontId="10" fillId="0" borderId="0" xfId="17" applyFont="1" applyAlignment="1">
      <alignment vertical="center"/>
    </xf>
    <xf numFmtId="0" fontId="10" fillId="0" borderId="0" xfId="19" applyFont="1" applyAlignment="1">
      <alignment vertical="center"/>
    </xf>
    <xf numFmtId="0" fontId="12" fillId="0" borderId="0" xfId="17" applyFont="1" applyAlignment="1">
      <alignment vertical="center" wrapText="1"/>
    </xf>
    <xf numFmtId="0" fontId="15" fillId="0" borderId="0" xfId="0" applyFont="1">
      <alignment vertical="center"/>
    </xf>
    <xf numFmtId="0" fontId="18" fillId="0" borderId="0" xfId="17" applyFont="1" applyAlignment="1">
      <alignment vertical="center"/>
    </xf>
    <xf numFmtId="41" fontId="18" fillId="0" borderId="0" xfId="20" applyFont="1" applyAlignment="1">
      <alignment vertical="center"/>
    </xf>
    <xf numFmtId="0" fontId="18" fillId="0" borderId="0" xfId="17" applyFont="1" applyAlignment="1">
      <alignment horizontal="center" vertical="center"/>
    </xf>
    <xf numFmtId="0" fontId="19" fillId="0" borderId="0" xfId="17" applyFont="1" applyAlignment="1">
      <alignment vertical="center"/>
    </xf>
    <xf numFmtId="0" fontId="21" fillId="0" borderId="0" xfId="0" applyFont="1">
      <alignment vertical="center"/>
    </xf>
    <xf numFmtId="0" fontId="22" fillId="0" borderId="0" xfId="16" applyFont="1" applyBorder="1" applyAlignment="1">
      <alignment horizontal="left" vertical="center"/>
    </xf>
    <xf numFmtId="0" fontId="18" fillId="0" borderId="0" xfId="19" applyFont="1" applyAlignme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0" fillId="0" borderId="0" xfId="0" applyFont="1">
      <alignment vertical="center"/>
    </xf>
    <xf numFmtId="0" fontId="21" fillId="0" borderId="0" xfId="0" applyFont="1" applyAlignment="1">
      <alignment vertical="center"/>
    </xf>
    <xf numFmtId="0" fontId="31" fillId="0" borderId="0" xfId="0" applyFont="1">
      <alignment vertical="center"/>
    </xf>
    <xf numFmtId="0" fontId="33" fillId="0" borderId="0" xfId="19" applyFont="1" applyAlignment="1">
      <alignment vertical="center"/>
    </xf>
    <xf numFmtId="41" fontId="33" fillId="0" borderId="0" xfId="19" applyNumberFormat="1" applyFont="1" applyAlignment="1">
      <alignment vertical="center"/>
    </xf>
    <xf numFmtId="0" fontId="28" fillId="0" borderId="0" xfId="19" applyFont="1" applyAlignment="1">
      <alignment vertical="center"/>
    </xf>
    <xf numFmtId="0" fontId="34" fillId="0" borderId="0" xfId="19" applyFont="1" applyFill="1" applyBorder="1" applyAlignment="1">
      <alignment vertical="center"/>
    </xf>
    <xf numFmtId="0" fontId="35" fillId="0" borderId="0" xfId="0" applyFont="1">
      <alignment vertical="center"/>
    </xf>
    <xf numFmtId="0" fontId="18" fillId="0" borderId="0" xfId="19" applyFont="1" applyFill="1" applyBorder="1" applyAlignment="1">
      <alignment vertical="center"/>
    </xf>
    <xf numFmtId="0" fontId="18" fillId="0" borderId="0" xfId="19" applyFont="1" applyFill="1" applyBorder="1" applyAlignment="1">
      <alignment horizontal="center" vertical="center"/>
    </xf>
    <xf numFmtId="0" fontId="18" fillId="0" borderId="0" xfId="19" applyFont="1" applyFill="1" applyBorder="1" applyAlignment="1">
      <alignment vertical="center" shrinkToFit="1"/>
    </xf>
    <xf numFmtId="0" fontId="18" fillId="0" borderId="0" xfId="19" applyFont="1" applyBorder="1" applyAlignment="1">
      <alignment vertical="center" shrinkToFit="1"/>
    </xf>
    <xf numFmtId="0" fontId="18" fillId="0" borderId="0" xfId="19" applyFont="1" applyBorder="1" applyAlignment="1">
      <alignment horizontal="center" vertical="center" shrinkToFit="1"/>
    </xf>
    <xf numFmtId="0" fontId="18" fillId="0" borderId="0" xfId="19" applyFont="1" applyBorder="1" applyAlignment="1">
      <alignment horizontal="right" vertical="center"/>
    </xf>
    <xf numFmtId="41" fontId="18" fillId="0" borderId="0" xfId="19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15" xfId="0" applyFont="1" applyBorder="1" applyAlignment="1">
      <alignment horizontal="left" vertical="center"/>
    </xf>
    <xf numFmtId="0" fontId="37" fillId="0" borderId="0" xfId="0" applyFont="1">
      <alignment vertical="center"/>
    </xf>
    <xf numFmtId="0" fontId="38" fillId="0" borderId="0" xfId="19" applyFont="1" applyFill="1" applyAlignment="1">
      <alignment horizontal="center" vertical="center"/>
    </xf>
    <xf numFmtId="0" fontId="38" fillId="0" borderId="0" xfId="19" applyFont="1" applyFill="1" applyAlignment="1">
      <alignment horizontal="left" vertical="center" shrinkToFit="1"/>
    </xf>
    <xf numFmtId="0" fontId="38" fillId="0" borderId="0" xfId="17" applyFont="1" applyBorder="1" applyAlignment="1">
      <alignment vertical="center" shrinkToFit="1"/>
    </xf>
    <xf numFmtId="0" fontId="38" fillId="0" borderId="0" xfId="17" applyFont="1" applyBorder="1" applyAlignment="1">
      <alignment horizontal="center" vertical="center" shrinkToFit="1"/>
    </xf>
    <xf numFmtId="0" fontId="38" fillId="0" borderId="0" xfId="17" applyFont="1" applyAlignment="1">
      <alignment vertical="center"/>
    </xf>
    <xf numFmtId="41" fontId="38" fillId="0" borderId="0" xfId="17" applyNumberFormat="1" applyFont="1" applyAlignment="1">
      <alignment vertical="center"/>
    </xf>
    <xf numFmtId="0" fontId="39" fillId="0" borderId="0" xfId="17" applyFont="1" applyAlignment="1">
      <alignment vertical="center"/>
    </xf>
    <xf numFmtId="0" fontId="40" fillId="0" borderId="0" xfId="18" applyFont="1" applyAlignment="1">
      <alignment vertical="center" shrinkToFit="1"/>
    </xf>
    <xf numFmtId="0" fontId="23" fillId="4" borderId="28" xfId="0" applyFont="1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 shrinkToFit="1"/>
    </xf>
    <xf numFmtId="0" fontId="41" fillId="4" borderId="16" xfId="0" applyFont="1" applyFill="1" applyBorder="1" applyAlignment="1">
      <alignment horizontal="center" vertical="center" wrapText="1"/>
    </xf>
    <xf numFmtId="0" fontId="41" fillId="2" borderId="16" xfId="0" applyFont="1" applyFill="1" applyBorder="1" applyAlignment="1">
      <alignment horizontal="center" vertical="center" wrapText="1"/>
    </xf>
    <xf numFmtId="0" fontId="26" fillId="0" borderId="7" xfId="18" applyFont="1" applyBorder="1" applyAlignment="1">
      <alignment horizontal="center" vertical="center" shrinkToFit="1"/>
    </xf>
    <xf numFmtId="183" fontId="20" fillId="0" borderId="7" xfId="18" applyNumberFormat="1" applyFont="1" applyBorder="1" applyAlignment="1">
      <alignment horizontal="center" vertical="center" shrinkToFit="1"/>
    </xf>
    <xf numFmtId="182" fontId="20" fillId="0" borderId="7" xfId="18" applyNumberFormat="1" applyFont="1" applyBorder="1" applyAlignment="1">
      <alignment horizontal="center" vertical="center"/>
    </xf>
    <xf numFmtId="0" fontId="20" fillId="0" borderId="7" xfId="18" applyFont="1" applyBorder="1" applyAlignment="1">
      <alignment horizontal="center" vertical="center" shrinkToFit="1"/>
    </xf>
    <xf numFmtId="0" fontId="20" fillId="0" borderId="27" xfId="18" applyFont="1" applyBorder="1" applyAlignment="1">
      <alignment horizontal="center" vertical="center" shrinkToFit="1"/>
    </xf>
    <xf numFmtId="0" fontId="20" fillId="0" borderId="3" xfId="18" applyFont="1" applyBorder="1" applyAlignment="1">
      <alignment horizontal="center" vertical="center" shrinkToFit="1"/>
    </xf>
    <xf numFmtId="0" fontId="20" fillId="0" borderId="14" xfId="18" applyFont="1" applyBorder="1" applyAlignment="1">
      <alignment horizontal="center" vertical="center" shrinkToFit="1"/>
    </xf>
    <xf numFmtId="41" fontId="20" fillId="0" borderId="25" xfId="8" applyFont="1" applyBorder="1" applyAlignment="1">
      <alignment horizontal="center" vertical="center" shrinkToFit="1"/>
    </xf>
    <xf numFmtId="41" fontId="20" fillId="0" borderId="7" xfId="8" applyFont="1" applyBorder="1" applyAlignment="1">
      <alignment horizontal="center" vertical="center" shrinkToFit="1"/>
    </xf>
    <xf numFmtId="41" fontId="20" fillId="0" borderId="27" xfId="8" applyFont="1" applyBorder="1" applyAlignment="1">
      <alignment horizontal="center" vertical="center" shrinkToFit="1"/>
    </xf>
    <xf numFmtId="41" fontId="20" fillId="0" borderId="25" xfId="10" applyNumberFormat="1" applyFont="1" applyBorder="1" applyAlignment="1">
      <alignment horizontal="center" vertical="center" shrinkToFit="1"/>
    </xf>
    <xf numFmtId="41" fontId="20" fillId="0" borderId="7" xfId="10" applyNumberFormat="1" applyFont="1" applyBorder="1" applyAlignment="1">
      <alignment horizontal="center" vertical="center" shrinkToFit="1"/>
    </xf>
    <xf numFmtId="41" fontId="20" fillId="0" borderId="27" xfId="10" applyNumberFormat="1" applyFont="1" applyBorder="1" applyAlignment="1">
      <alignment horizontal="center" vertical="center" shrinkToFit="1"/>
    </xf>
    <xf numFmtId="41" fontId="20" fillId="0" borderId="26" xfId="10" applyNumberFormat="1" applyFont="1" applyBorder="1" applyAlignment="1">
      <alignment horizontal="center" vertical="center" shrinkToFit="1"/>
    </xf>
    <xf numFmtId="41" fontId="20" fillId="0" borderId="10" xfId="8" applyFont="1" applyBorder="1" applyAlignment="1">
      <alignment horizontal="center" vertical="center" shrinkToFit="1"/>
    </xf>
    <xf numFmtId="41" fontId="20" fillId="0" borderId="3" xfId="8" applyFont="1" applyBorder="1" applyAlignment="1">
      <alignment horizontal="center" vertical="center" shrinkToFit="1"/>
    </xf>
    <xf numFmtId="41" fontId="20" fillId="0" borderId="14" xfId="8" applyFont="1" applyBorder="1" applyAlignment="1">
      <alignment horizontal="center" vertical="center" shrinkToFit="1"/>
    </xf>
    <xf numFmtId="41" fontId="20" fillId="0" borderId="10" xfId="10" applyNumberFormat="1" applyFont="1" applyBorder="1" applyAlignment="1">
      <alignment horizontal="center" vertical="center" shrinkToFit="1"/>
    </xf>
    <xf numFmtId="41" fontId="20" fillId="0" borderId="3" xfId="10" applyNumberFormat="1" applyFont="1" applyBorder="1" applyAlignment="1">
      <alignment horizontal="center" vertical="center" shrinkToFit="1"/>
    </xf>
    <xf numFmtId="41" fontId="20" fillId="0" borderId="14" xfId="10" applyNumberFormat="1" applyFont="1" applyBorder="1" applyAlignment="1">
      <alignment horizontal="center" vertical="center" shrinkToFit="1"/>
    </xf>
    <xf numFmtId="41" fontId="20" fillId="0" borderId="13" xfId="10" applyNumberFormat="1" applyFont="1" applyBorder="1" applyAlignment="1">
      <alignment horizontal="center" vertical="center" shrinkToFit="1"/>
    </xf>
    <xf numFmtId="14" fontId="20" fillId="0" borderId="7" xfId="0" applyNumberFormat="1" applyFont="1" applyBorder="1" applyAlignment="1">
      <alignment horizontal="center" vertical="center" shrinkToFit="1"/>
    </xf>
    <xf numFmtId="183" fontId="20" fillId="0" borderId="7" xfId="18" applyNumberFormat="1" applyFont="1" applyBorder="1" applyAlignment="1">
      <alignment horizontal="center" vertical="center"/>
    </xf>
    <xf numFmtId="41" fontId="20" fillId="0" borderId="7" xfId="8" applyFont="1" applyBorder="1" applyAlignment="1">
      <alignment vertical="center" shrinkToFit="1"/>
    </xf>
    <xf numFmtId="41" fontId="20" fillId="0" borderId="27" xfId="8" applyFont="1" applyBorder="1" applyAlignment="1">
      <alignment vertical="center" shrinkToFit="1"/>
    </xf>
    <xf numFmtId="41" fontId="20" fillId="0" borderId="26" xfId="8" applyFont="1" applyBorder="1" applyAlignment="1">
      <alignment vertical="center" shrinkToFit="1"/>
    </xf>
    <xf numFmtId="0" fontId="20" fillId="0" borderId="25" xfId="0" applyFont="1" applyBorder="1" applyAlignment="1">
      <alignment vertical="center" shrinkToFit="1"/>
    </xf>
    <xf numFmtId="183" fontId="20" fillId="0" borderId="3" xfId="0" applyNumberFormat="1" applyFont="1" applyBorder="1" applyAlignment="1">
      <alignment horizontal="center" vertical="center" shrinkToFit="1"/>
    </xf>
    <xf numFmtId="41" fontId="20" fillId="0" borderId="3" xfId="8" applyFont="1" applyBorder="1" applyAlignment="1">
      <alignment vertical="center" shrinkToFit="1"/>
    </xf>
    <xf numFmtId="41" fontId="20" fillId="0" borderId="13" xfId="8" applyFont="1" applyBorder="1" applyAlignment="1">
      <alignment vertical="center" shrinkToFit="1"/>
    </xf>
    <xf numFmtId="41" fontId="20" fillId="0" borderId="14" xfId="8" applyFont="1" applyBorder="1" applyAlignment="1">
      <alignment vertical="center" shrinkToFit="1"/>
    </xf>
    <xf numFmtId="0" fontId="18" fillId="0" borderId="0" xfId="0" applyFont="1">
      <alignment vertical="center"/>
    </xf>
    <xf numFmtId="14" fontId="26" fillId="0" borderId="7" xfId="0" applyNumberFormat="1" applyFont="1" applyBorder="1" applyAlignment="1">
      <alignment horizontal="center" vertical="center" shrinkToFit="1"/>
    </xf>
    <xf numFmtId="183" fontId="26" fillId="0" borderId="7" xfId="18" applyNumberFormat="1" applyFont="1" applyBorder="1" applyAlignment="1">
      <alignment horizontal="center" vertical="center"/>
    </xf>
    <xf numFmtId="182" fontId="26" fillId="0" borderId="7" xfId="18" applyNumberFormat="1" applyFont="1" applyBorder="1" applyAlignment="1">
      <alignment horizontal="center" vertical="center"/>
    </xf>
    <xf numFmtId="0" fontId="26" fillId="0" borderId="27" xfId="18" applyFont="1" applyBorder="1" applyAlignment="1">
      <alignment horizontal="center" vertical="center" shrinkToFit="1"/>
    </xf>
    <xf numFmtId="41" fontId="26" fillId="0" borderId="26" xfId="8" applyFont="1" applyBorder="1" applyAlignment="1">
      <alignment vertical="center" shrinkToFit="1"/>
    </xf>
    <xf numFmtId="41" fontId="26" fillId="0" borderId="7" xfId="8" applyFont="1" applyBorder="1" applyAlignment="1">
      <alignment vertical="center" shrinkToFit="1"/>
    </xf>
    <xf numFmtId="41" fontId="26" fillId="0" borderId="27" xfId="8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41" fontId="26" fillId="0" borderId="13" xfId="8" applyFont="1" applyBorder="1" applyAlignment="1">
      <alignment vertical="center" shrinkToFit="1"/>
    </xf>
    <xf numFmtId="41" fontId="26" fillId="0" borderId="3" xfId="8" applyFont="1" applyBorder="1" applyAlignment="1">
      <alignment vertical="center" shrinkToFit="1"/>
    </xf>
    <xf numFmtId="41" fontId="26" fillId="0" borderId="14" xfId="8" applyFont="1" applyBorder="1" applyAlignment="1">
      <alignment vertical="center" shrinkToFit="1"/>
    </xf>
    <xf numFmtId="0" fontId="26" fillId="0" borderId="10" xfId="0" applyFont="1" applyBorder="1" applyAlignment="1">
      <alignment vertical="center" shrinkToFit="1"/>
    </xf>
    <xf numFmtId="0" fontId="26" fillId="0" borderId="3" xfId="0" applyFont="1" applyBorder="1" applyAlignment="1">
      <alignment horizontal="center" vertical="center" shrinkToFit="1"/>
    </xf>
    <xf numFmtId="14" fontId="20" fillId="0" borderId="26" xfId="0" applyNumberFormat="1" applyFont="1" applyBorder="1" applyAlignment="1">
      <alignment horizontal="center" vertical="center" shrinkToFit="1"/>
    </xf>
    <xf numFmtId="0" fontId="26" fillId="0" borderId="25" xfId="18" applyFont="1" applyBorder="1" applyAlignment="1">
      <alignment horizontal="center" vertical="center" shrinkToFit="1"/>
    </xf>
    <xf numFmtId="0" fontId="26" fillId="0" borderId="17" xfId="18" applyFont="1" applyBorder="1" applyAlignment="1">
      <alignment horizontal="center" vertical="center" shrinkToFit="1"/>
    </xf>
    <xf numFmtId="0" fontId="26" fillId="0" borderId="34" xfId="18" applyFont="1" applyBorder="1" applyAlignment="1">
      <alignment horizontal="center" vertical="center" shrinkToFit="1"/>
    </xf>
    <xf numFmtId="41" fontId="20" fillId="0" borderId="42" xfId="8" applyFont="1" applyBorder="1">
      <alignment vertical="center"/>
    </xf>
    <xf numFmtId="41" fontId="20" fillId="0" borderId="4" xfId="8" applyFont="1" applyBorder="1">
      <alignment vertical="center"/>
    </xf>
    <xf numFmtId="41" fontId="20" fillId="0" borderId="23" xfId="8" applyFont="1" applyBorder="1">
      <alignment vertical="center"/>
    </xf>
    <xf numFmtId="41" fontId="20" fillId="0" borderId="43" xfId="8" applyFont="1" applyBorder="1">
      <alignment vertical="center"/>
    </xf>
    <xf numFmtId="41" fontId="20" fillId="0" borderId="6" xfId="8" applyFont="1" applyBorder="1">
      <alignment vertical="center"/>
    </xf>
    <xf numFmtId="41" fontId="20" fillId="0" borderId="40" xfId="8" applyFont="1" applyBorder="1">
      <alignment vertical="center"/>
    </xf>
    <xf numFmtId="41" fontId="20" fillId="0" borderId="44" xfId="8" applyFont="1" applyBorder="1">
      <alignment vertical="center"/>
    </xf>
    <xf numFmtId="41" fontId="20" fillId="0" borderId="5" xfId="8" applyFont="1" applyBorder="1">
      <alignment vertical="center"/>
    </xf>
    <xf numFmtId="41" fontId="20" fillId="0" borderId="41" xfId="8" applyFont="1" applyBorder="1">
      <alignment vertical="center"/>
    </xf>
    <xf numFmtId="41" fontId="41" fillId="0" borderId="43" xfId="8" applyFont="1" applyBorder="1">
      <alignment vertical="center"/>
    </xf>
    <xf numFmtId="41" fontId="41" fillId="0" borderId="6" xfId="8" applyFont="1" applyBorder="1">
      <alignment vertical="center"/>
    </xf>
    <xf numFmtId="41" fontId="41" fillId="0" borderId="40" xfId="8" applyFont="1" applyBorder="1">
      <alignment vertical="center"/>
    </xf>
    <xf numFmtId="0" fontId="41" fillId="4" borderId="35" xfId="0" applyFont="1" applyFill="1" applyBorder="1" applyAlignment="1">
      <alignment horizontal="center" vertical="center"/>
    </xf>
    <xf numFmtId="41" fontId="41" fillId="0" borderId="46" xfId="8" applyFont="1" applyBorder="1">
      <alignment vertical="center"/>
    </xf>
    <xf numFmtId="41" fontId="41" fillId="0" borderId="18" xfId="8" applyFont="1" applyBorder="1">
      <alignment vertical="center"/>
    </xf>
    <xf numFmtId="41" fontId="41" fillId="0" borderId="48" xfId="8" applyFont="1" applyBorder="1">
      <alignment vertical="center"/>
    </xf>
    <xf numFmtId="41" fontId="41" fillId="0" borderId="13" xfId="8" applyFont="1" applyBorder="1">
      <alignment vertical="center"/>
    </xf>
    <xf numFmtId="41" fontId="41" fillId="0" borderId="3" xfId="8" applyFont="1" applyBorder="1">
      <alignment vertical="center"/>
    </xf>
    <xf numFmtId="41" fontId="41" fillId="0" borderId="10" xfId="8" applyFont="1" applyBorder="1">
      <alignment vertical="center"/>
    </xf>
    <xf numFmtId="41" fontId="41" fillId="0" borderId="49" xfId="8" applyFont="1" applyBorder="1">
      <alignment vertical="center"/>
    </xf>
    <xf numFmtId="41" fontId="41" fillId="0" borderId="50" xfId="8" applyFont="1" applyBorder="1">
      <alignment vertical="center"/>
    </xf>
    <xf numFmtId="41" fontId="41" fillId="0" borderId="51" xfId="8" applyFont="1" applyBorder="1">
      <alignment vertical="center"/>
    </xf>
    <xf numFmtId="41" fontId="20" fillId="0" borderId="52" xfId="8" applyFont="1" applyBorder="1">
      <alignment vertical="center"/>
    </xf>
    <xf numFmtId="41" fontId="20" fillId="0" borderId="53" xfId="8" applyFont="1" applyBorder="1">
      <alignment vertical="center"/>
    </xf>
    <xf numFmtId="41" fontId="20" fillId="0" borderId="54" xfId="8" applyFont="1" applyBorder="1">
      <alignment vertical="center"/>
    </xf>
    <xf numFmtId="41" fontId="41" fillId="0" borderId="56" xfId="8" applyFont="1" applyBorder="1">
      <alignment vertical="center"/>
    </xf>
    <xf numFmtId="41" fontId="41" fillId="0" borderId="57" xfId="8" applyFont="1" applyBorder="1">
      <alignment vertical="center"/>
    </xf>
    <xf numFmtId="183" fontId="26" fillId="0" borderId="3" xfId="18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shrinkToFit="1"/>
    </xf>
    <xf numFmtId="183" fontId="26" fillId="0" borderId="3" xfId="0" applyNumberFormat="1" applyFont="1" applyBorder="1" applyAlignment="1">
      <alignment horizontal="center" vertical="center" shrinkToFit="1"/>
    </xf>
    <xf numFmtId="41" fontId="20" fillId="0" borderId="10" xfId="8" applyFont="1" applyBorder="1" applyAlignment="1">
      <alignment vertical="center" shrinkToFit="1"/>
    </xf>
    <xf numFmtId="14" fontId="20" fillId="0" borderId="3" xfId="0" applyNumberFormat="1" applyFont="1" applyBorder="1" applyAlignment="1">
      <alignment horizontal="center" vertical="center" shrinkToFit="1"/>
    </xf>
    <xf numFmtId="41" fontId="41" fillId="0" borderId="27" xfId="8" applyFont="1" applyBorder="1" applyAlignment="1">
      <alignment vertical="center" shrinkToFit="1"/>
    </xf>
    <xf numFmtId="41" fontId="41" fillId="0" borderId="7" xfId="8" applyFont="1" applyBorder="1" applyAlignment="1">
      <alignment vertical="center" shrinkToFit="1"/>
    </xf>
    <xf numFmtId="41" fontId="42" fillId="0" borderId="27" xfId="8" applyFont="1" applyBorder="1" applyAlignment="1">
      <alignment vertical="center" shrinkToFit="1"/>
    </xf>
    <xf numFmtId="41" fontId="42" fillId="0" borderId="7" xfId="8" applyFont="1" applyBorder="1" applyAlignment="1">
      <alignment vertical="center" shrinkToFit="1"/>
    </xf>
    <xf numFmtId="41" fontId="42" fillId="0" borderId="27" xfId="8" applyFont="1" applyFill="1" applyBorder="1" applyAlignment="1">
      <alignment vertical="center" shrinkToFit="1"/>
    </xf>
    <xf numFmtId="41" fontId="42" fillId="0" borderId="7" xfId="8" applyFont="1" applyFill="1" applyBorder="1" applyAlignment="1">
      <alignment vertical="center" shrinkToFit="1"/>
    </xf>
    <xf numFmtId="41" fontId="41" fillId="0" borderId="27" xfId="8" applyFont="1" applyFill="1" applyBorder="1" applyAlignment="1">
      <alignment vertical="center" shrinkToFit="1"/>
    </xf>
    <xf numFmtId="41" fontId="41" fillId="0" borderId="7" xfId="8" applyFont="1" applyFill="1" applyBorder="1" applyAlignment="1">
      <alignment vertical="center" shrinkToFit="1"/>
    </xf>
    <xf numFmtId="0" fontId="20" fillId="0" borderId="18" xfId="0" applyFont="1" applyBorder="1" applyAlignment="1">
      <alignment horizontal="center" vertical="center" shrinkToFit="1"/>
    </xf>
    <xf numFmtId="183" fontId="20" fillId="0" borderId="3" xfId="18" applyNumberFormat="1" applyFont="1" applyBorder="1" applyAlignment="1">
      <alignment horizontal="center" vertical="center"/>
    </xf>
    <xf numFmtId="0" fontId="23" fillId="7" borderId="16" xfId="17" applyFont="1" applyFill="1" applyBorder="1" applyAlignment="1">
      <alignment horizontal="center" vertical="center" shrinkToFit="1"/>
    </xf>
    <xf numFmtId="0" fontId="23" fillId="9" borderId="29" xfId="0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29" fillId="9" borderId="16" xfId="0" applyFont="1" applyFill="1" applyBorder="1" applyAlignment="1">
      <alignment horizontal="center" vertical="center"/>
    </xf>
    <xf numFmtId="41" fontId="20" fillId="0" borderId="46" xfId="8" applyFont="1" applyBorder="1" applyAlignment="1">
      <alignment vertical="center" shrinkToFit="1"/>
    </xf>
    <xf numFmtId="41" fontId="20" fillId="0" borderId="18" xfId="8" applyFont="1" applyBorder="1" applyAlignment="1">
      <alignment vertical="center" shrinkToFit="1"/>
    </xf>
    <xf numFmtId="0" fontId="23" fillId="9" borderId="16" xfId="0" applyFont="1" applyFill="1" applyBorder="1" applyAlignment="1">
      <alignment horizontal="center" vertical="center" wrapTex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16" xfId="0" applyFont="1" applyFill="1" applyBorder="1" applyAlignment="1">
      <alignment horizontal="center" vertical="center" shrinkToFit="1"/>
    </xf>
    <xf numFmtId="0" fontId="23" fillId="9" borderId="16" xfId="0" applyFont="1" applyFill="1" applyBorder="1" applyAlignment="1">
      <alignment horizontal="center" vertical="center" shrinkToFit="1"/>
    </xf>
    <xf numFmtId="0" fontId="23" fillId="9" borderId="29" xfId="0" applyFont="1" applyFill="1" applyBorder="1" applyAlignment="1">
      <alignment horizontal="center" vertical="center" shrinkToFit="1"/>
    </xf>
    <xf numFmtId="182" fontId="26" fillId="0" borderId="3" xfId="18" applyNumberFormat="1" applyFont="1" applyBorder="1" applyAlignment="1">
      <alignment horizontal="center" vertical="center"/>
    </xf>
    <xf numFmtId="0" fontId="26" fillId="0" borderId="3" xfId="18" applyFont="1" applyBorder="1" applyAlignment="1">
      <alignment horizontal="center" vertical="center" shrinkToFit="1"/>
    </xf>
    <xf numFmtId="14" fontId="26" fillId="0" borderId="18" xfId="0" applyNumberFormat="1" applyFont="1" applyBorder="1" applyAlignment="1">
      <alignment horizontal="center" vertical="center" shrinkToFit="1"/>
    </xf>
    <xf numFmtId="0" fontId="26" fillId="0" borderId="18" xfId="18" applyFont="1" applyBorder="1" applyAlignment="1">
      <alignment horizontal="center" vertical="center" shrinkToFit="1"/>
    </xf>
    <xf numFmtId="183" fontId="26" fillId="0" borderId="18" xfId="18" applyNumberFormat="1" applyFont="1" applyBorder="1" applyAlignment="1">
      <alignment horizontal="center" vertical="center"/>
    </xf>
    <xf numFmtId="182" fontId="26" fillId="0" borderId="18" xfId="18" applyNumberFormat="1" applyFont="1" applyBorder="1" applyAlignment="1">
      <alignment horizontal="center" vertical="center"/>
    </xf>
    <xf numFmtId="0" fontId="26" fillId="0" borderId="47" xfId="18" applyFont="1" applyBorder="1" applyAlignment="1">
      <alignment horizontal="center" vertical="center" shrinkToFit="1"/>
    </xf>
    <xf numFmtId="41" fontId="26" fillId="0" borderId="26" xfId="8" applyFont="1" applyFill="1" applyBorder="1" applyAlignment="1">
      <alignment vertical="center" shrinkToFit="1"/>
    </xf>
    <xf numFmtId="41" fontId="26" fillId="0" borderId="7" xfId="8" applyFont="1" applyFill="1" applyBorder="1" applyAlignment="1">
      <alignment vertical="center" shrinkToFit="1"/>
    </xf>
    <xf numFmtId="41" fontId="20" fillId="0" borderId="7" xfId="8" applyFont="1" applyFill="1" applyBorder="1" applyAlignment="1">
      <alignment vertical="center" shrinkToFit="1"/>
    </xf>
    <xf numFmtId="0" fontId="26" fillId="0" borderId="24" xfId="18" applyFont="1" applyBorder="1" applyAlignment="1">
      <alignment horizontal="center" vertical="center" shrinkToFit="1"/>
    </xf>
    <xf numFmtId="0" fontId="20" fillId="4" borderId="14" xfId="0" applyFont="1" applyFill="1" applyBorder="1" applyAlignment="1">
      <alignment horizontal="center" vertical="center"/>
    </xf>
    <xf numFmtId="0" fontId="41" fillId="4" borderId="14" xfId="0" applyFont="1" applyFill="1" applyBorder="1" applyAlignment="1">
      <alignment horizontal="center" vertical="center"/>
    </xf>
    <xf numFmtId="0" fontId="41" fillId="4" borderId="29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41" fontId="20" fillId="0" borderId="3" xfId="8" applyFont="1" applyFill="1" applyBorder="1" applyAlignment="1">
      <alignment vertical="center" shrinkToFit="1"/>
    </xf>
    <xf numFmtId="184" fontId="37" fillId="9" borderId="7" xfId="0" applyNumberFormat="1" applyFont="1" applyFill="1" applyBorder="1" applyAlignment="1">
      <alignment horizontal="center" vertical="center" shrinkToFit="1"/>
    </xf>
    <xf numFmtId="41" fontId="43" fillId="10" borderId="3" xfId="8" applyFont="1" applyFill="1" applyBorder="1" applyAlignment="1">
      <alignment vertical="center" shrinkToFit="1"/>
    </xf>
    <xf numFmtId="41" fontId="37" fillId="9" borderId="3" xfId="8" applyFont="1" applyFill="1" applyBorder="1" applyAlignment="1">
      <alignment vertical="center" shrinkToFit="1"/>
    </xf>
    <xf numFmtId="41" fontId="37" fillId="9" borderId="14" xfId="8" applyFont="1" applyFill="1" applyBorder="1" applyAlignment="1">
      <alignment vertical="center" shrinkToFit="1"/>
    </xf>
    <xf numFmtId="41" fontId="43" fillId="10" borderId="7" xfId="8" applyFont="1" applyFill="1" applyBorder="1" applyAlignment="1">
      <alignment vertical="center" shrinkToFit="1"/>
    </xf>
    <xf numFmtId="41" fontId="37" fillId="9" borderId="7" xfId="8" applyFont="1" applyFill="1" applyBorder="1" applyAlignment="1">
      <alignment vertical="center" shrinkToFit="1"/>
    </xf>
    <xf numFmtId="0" fontId="43" fillId="10" borderId="7" xfId="0" applyFont="1" applyFill="1" applyBorder="1" applyAlignment="1">
      <alignment horizontal="center" vertical="center" shrinkToFit="1"/>
    </xf>
    <xf numFmtId="41" fontId="43" fillId="10" borderId="13" xfId="18" applyNumberFormat="1" applyFont="1" applyFill="1" applyBorder="1" applyAlignment="1">
      <alignment horizontal="center" vertical="center" shrinkToFit="1"/>
    </xf>
    <xf numFmtId="41" fontId="43" fillId="10" borderId="13" xfId="8" applyFont="1" applyFill="1" applyBorder="1" applyAlignment="1">
      <alignment vertical="center" shrinkToFit="1"/>
    </xf>
    <xf numFmtId="184" fontId="42" fillId="3" borderId="7" xfId="0" applyNumberFormat="1" applyFont="1" applyFill="1" applyBorder="1" applyAlignment="1">
      <alignment horizontal="center" vertical="center" shrinkToFit="1"/>
    </xf>
    <xf numFmtId="14" fontId="42" fillId="3" borderId="7" xfId="0" applyNumberFormat="1" applyFont="1" applyFill="1" applyBorder="1" applyAlignment="1">
      <alignment horizontal="center" vertical="center" shrinkToFit="1"/>
    </xf>
    <xf numFmtId="0" fontId="42" fillId="3" borderId="7" xfId="18" applyFont="1" applyFill="1" applyBorder="1" applyAlignment="1">
      <alignment horizontal="center" vertical="center" shrinkToFit="1"/>
    </xf>
    <xf numFmtId="183" fontId="42" fillId="3" borderId="7" xfId="18" applyNumberFormat="1" applyFont="1" applyFill="1" applyBorder="1" applyAlignment="1">
      <alignment horizontal="center" vertical="center"/>
    </xf>
    <xf numFmtId="182" fontId="42" fillId="3" borderId="7" xfId="18" applyNumberFormat="1" applyFont="1" applyFill="1" applyBorder="1" applyAlignment="1">
      <alignment horizontal="center" vertical="center"/>
    </xf>
    <xf numFmtId="0" fontId="42" fillId="3" borderId="24" xfId="18" applyFont="1" applyFill="1" applyBorder="1" applyAlignment="1">
      <alignment horizontal="center" vertical="center" shrinkToFit="1"/>
    </xf>
    <xf numFmtId="41" fontId="42" fillId="3" borderId="26" xfId="8" applyFont="1" applyFill="1" applyBorder="1" applyAlignment="1">
      <alignment vertical="center" shrinkToFit="1"/>
    </xf>
    <xf numFmtId="41" fontId="42" fillId="3" borderId="7" xfId="8" applyFont="1" applyFill="1" applyBorder="1" applyAlignment="1">
      <alignment vertical="center" shrinkToFit="1"/>
    </xf>
    <xf numFmtId="41" fontId="42" fillId="3" borderId="27" xfId="8" applyFont="1" applyFill="1" applyBorder="1" applyAlignment="1">
      <alignment vertical="center" shrinkToFit="1"/>
    </xf>
    <xf numFmtId="184" fontId="42" fillId="2" borderId="7" xfId="0" applyNumberFormat="1" applyFont="1" applyFill="1" applyBorder="1" applyAlignment="1">
      <alignment horizontal="center" vertical="center" shrinkToFit="1"/>
    </xf>
    <xf numFmtId="14" fontId="42" fillId="2" borderId="7" xfId="0" applyNumberFormat="1" applyFont="1" applyFill="1" applyBorder="1" applyAlignment="1">
      <alignment horizontal="center" vertical="center" shrinkToFit="1"/>
    </xf>
    <xf numFmtId="0" fontId="42" fillId="2" borderId="7" xfId="18" applyFont="1" applyFill="1" applyBorder="1" applyAlignment="1">
      <alignment horizontal="center" vertical="center" shrinkToFit="1"/>
    </xf>
    <xf numFmtId="183" fontId="42" fillId="2" borderId="7" xfId="18" applyNumberFormat="1" applyFont="1" applyFill="1" applyBorder="1" applyAlignment="1">
      <alignment horizontal="center" vertical="center"/>
    </xf>
    <xf numFmtId="182" fontId="42" fillId="2" borderId="7" xfId="18" applyNumberFormat="1" applyFont="1" applyFill="1" applyBorder="1" applyAlignment="1">
      <alignment horizontal="center" vertical="center"/>
    </xf>
    <xf numFmtId="0" fontId="42" fillId="2" borderId="24" xfId="18" applyFont="1" applyFill="1" applyBorder="1" applyAlignment="1">
      <alignment horizontal="center" vertical="center" shrinkToFit="1"/>
    </xf>
    <xf numFmtId="41" fontId="42" fillId="2" borderId="26" xfId="8" applyFont="1" applyFill="1" applyBorder="1" applyAlignment="1">
      <alignment vertical="center" shrinkToFit="1"/>
    </xf>
    <xf numFmtId="41" fontId="42" fillId="2" borderId="7" xfId="8" applyFont="1" applyFill="1" applyBorder="1" applyAlignment="1">
      <alignment vertical="center" shrinkToFit="1"/>
    </xf>
    <xf numFmtId="41" fontId="42" fillId="2" borderId="27" xfId="8" applyFont="1" applyFill="1" applyBorder="1" applyAlignment="1">
      <alignment vertical="center" shrinkToFit="1"/>
    </xf>
    <xf numFmtId="41" fontId="43" fillId="10" borderId="26" xfId="8" applyFont="1" applyFill="1" applyBorder="1" applyAlignment="1">
      <alignment vertical="center" shrinkToFit="1"/>
    </xf>
    <xf numFmtId="41" fontId="37" fillId="9" borderId="27" xfId="8" applyFont="1" applyFill="1" applyBorder="1" applyAlignment="1">
      <alignment vertical="center" shrinkToFit="1"/>
    </xf>
    <xf numFmtId="41" fontId="44" fillId="10" borderId="26" xfId="8" applyFont="1" applyFill="1" applyBorder="1">
      <alignment vertical="center"/>
    </xf>
    <xf numFmtId="41" fontId="44" fillId="10" borderId="7" xfId="8" applyFont="1" applyFill="1" applyBorder="1">
      <alignment vertical="center"/>
    </xf>
    <xf numFmtId="41" fontId="44" fillId="10" borderId="25" xfId="8" applyFont="1" applyFill="1" applyBorder="1">
      <alignment vertical="center"/>
    </xf>
    <xf numFmtId="0" fontId="44" fillId="10" borderId="12" xfId="0" applyFont="1" applyFill="1" applyBorder="1" applyAlignment="1">
      <alignment horizontal="center" vertical="center"/>
    </xf>
    <xf numFmtId="41" fontId="44" fillId="10" borderId="13" xfId="8" applyFont="1" applyFill="1" applyBorder="1">
      <alignment vertical="center"/>
    </xf>
    <xf numFmtId="41" fontId="44" fillId="10" borderId="3" xfId="8" applyFont="1" applyFill="1" applyBorder="1">
      <alignment vertical="center"/>
    </xf>
    <xf numFmtId="41" fontId="44" fillId="10" borderId="10" xfId="8" applyFont="1" applyFill="1" applyBorder="1">
      <alignment vertical="center"/>
    </xf>
    <xf numFmtId="41" fontId="41" fillId="3" borderId="33" xfId="8" applyFont="1" applyFill="1" applyBorder="1">
      <alignment vertical="center"/>
    </xf>
    <xf numFmtId="184" fontId="45" fillId="0" borderId="7" xfId="0" applyNumberFormat="1" applyFont="1" applyBorder="1" applyAlignment="1">
      <alignment horizontal="center" vertical="center" shrinkToFit="1"/>
    </xf>
    <xf numFmtId="0" fontId="45" fillId="0" borderId="7" xfId="0" applyFont="1" applyBorder="1" applyAlignment="1">
      <alignment horizontal="center" vertical="center" shrinkToFit="1"/>
    </xf>
    <xf numFmtId="14" fontId="45" fillId="0" borderId="7" xfId="0" applyNumberFormat="1" applyFont="1" applyBorder="1" applyAlignment="1">
      <alignment horizontal="center" vertical="center" shrinkToFit="1"/>
    </xf>
    <xf numFmtId="0" fontId="45" fillId="0" borderId="7" xfId="18" applyFont="1" applyBorder="1" applyAlignment="1">
      <alignment horizontal="center" vertical="center" shrinkToFit="1"/>
    </xf>
    <xf numFmtId="183" fontId="45" fillId="0" borderId="7" xfId="18" applyNumberFormat="1" applyFont="1" applyBorder="1" applyAlignment="1">
      <alignment horizontal="center" vertical="center"/>
    </xf>
    <xf numFmtId="182" fontId="45" fillId="0" borderId="7" xfId="18" applyNumberFormat="1" applyFont="1" applyBorder="1" applyAlignment="1">
      <alignment horizontal="center" vertical="center"/>
    </xf>
    <xf numFmtId="0" fontId="45" fillId="0" borderId="24" xfId="18" applyFont="1" applyBorder="1" applyAlignment="1">
      <alignment horizontal="center" vertical="center" shrinkToFit="1"/>
    </xf>
    <xf numFmtId="41" fontId="45" fillId="0" borderId="26" xfId="8" applyFont="1" applyBorder="1" applyAlignment="1">
      <alignment vertical="center" shrinkToFit="1"/>
    </xf>
    <xf numFmtId="41" fontId="45" fillId="0" borderId="7" xfId="8" applyFont="1" applyBorder="1" applyAlignment="1">
      <alignment vertical="center" shrinkToFit="1"/>
    </xf>
    <xf numFmtId="41" fontId="45" fillId="0" borderId="27" xfId="8" applyFont="1" applyBorder="1" applyAlignment="1">
      <alignment vertical="center" shrinkToFit="1"/>
    </xf>
    <xf numFmtId="0" fontId="45" fillId="0" borderId="25" xfId="0" applyFont="1" applyBorder="1" applyAlignment="1">
      <alignment vertical="center" shrinkToFit="1"/>
    </xf>
    <xf numFmtId="0" fontId="42" fillId="3" borderId="7" xfId="0" applyFont="1" applyFill="1" applyBorder="1" applyAlignment="1">
      <alignment horizontal="center" vertical="center" shrinkToFit="1"/>
    </xf>
    <xf numFmtId="0" fontId="42" fillId="3" borderId="25" xfId="0" applyFont="1" applyFill="1" applyBorder="1" applyAlignment="1">
      <alignment vertical="center" shrinkToFit="1"/>
    </xf>
    <xf numFmtId="0" fontId="42" fillId="2" borderId="25" xfId="0" applyFont="1" applyFill="1" applyBorder="1" applyAlignment="1">
      <alignment vertical="center" shrinkToFit="1"/>
    </xf>
    <xf numFmtId="14" fontId="42" fillId="11" borderId="7" xfId="0" applyNumberFormat="1" applyFont="1" applyFill="1" applyBorder="1" applyAlignment="1">
      <alignment horizontal="center" vertical="center" shrinkToFit="1"/>
    </xf>
    <xf numFmtId="0" fontId="42" fillId="11" borderId="7" xfId="18" applyFont="1" applyFill="1" applyBorder="1" applyAlignment="1">
      <alignment horizontal="center" vertical="center" shrinkToFit="1"/>
    </xf>
    <xf numFmtId="183" fontId="42" fillId="11" borderId="7" xfId="18" applyNumberFormat="1" applyFont="1" applyFill="1" applyBorder="1" applyAlignment="1">
      <alignment horizontal="center" vertical="center"/>
    </xf>
    <xf numFmtId="182" fontId="42" fillId="11" borderId="7" xfId="18" applyNumberFormat="1" applyFont="1" applyFill="1" applyBorder="1" applyAlignment="1">
      <alignment horizontal="center" vertical="center"/>
    </xf>
    <xf numFmtId="0" fontId="42" fillId="11" borderId="24" xfId="18" applyFont="1" applyFill="1" applyBorder="1" applyAlignment="1">
      <alignment horizontal="center" vertical="center" shrinkToFit="1"/>
    </xf>
    <xf numFmtId="41" fontId="42" fillId="11" borderId="26" xfId="8" applyFont="1" applyFill="1" applyBorder="1" applyAlignment="1">
      <alignment vertical="center" shrinkToFit="1"/>
    </xf>
    <xf numFmtId="41" fontId="42" fillId="11" borderId="7" xfId="8" applyFont="1" applyFill="1" applyBorder="1" applyAlignment="1">
      <alignment vertical="center" shrinkToFit="1"/>
    </xf>
    <xf numFmtId="41" fontId="42" fillId="11" borderId="27" xfId="8" applyFont="1" applyFill="1" applyBorder="1" applyAlignment="1">
      <alignment vertical="center" shrinkToFit="1"/>
    </xf>
    <xf numFmtId="0" fontId="42" fillId="11" borderId="25" xfId="0" applyFont="1" applyFill="1" applyBorder="1" applyAlignment="1">
      <alignment vertical="center" shrinkToFit="1"/>
    </xf>
    <xf numFmtId="184" fontId="42" fillId="7" borderId="7" xfId="0" applyNumberFormat="1" applyFont="1" applyFill="1" applyBorder="1" applyAlignment="1">
      <alignment horizontal="center" vertical="center" shrinkToFit="1"/>
    </xf>
    <xf numFmtId="14" fontId="42" fillId="7" borderId="7" xfId="0" applyNumberFormat="1" applyFont="1" applyFill="1" applyBorder="1" applyAlignment="1">
      <alignment horizontal="center" vertical="center" shrinkToFit="1"/>
    </xf>
    <xf numFmtId="0" fontId="42" fillId="7" borderId="7" xfId="18" applyFont="1" applyFill="1" applyBorder="1" applyAlignment="1">
      <alignment horizontal="center" vertical="center" shrinkToFit="1"/>
    </xf>
    <xf numFmtId="183" fontId="42" fillId="7" borderId="7" xfId="18" applyNumberFormat="1" applyFont="1" applyFill="1" applyBorder="1" applyAlignment="1">
      <alignment horizontal="center" vertical="center"/>
    </xf>
    <xf numFmtId="182" fontId="42" fillId="7" borderId="7" xfId="18" applyNumberFormat="1" applyFont="1" applyFill="1" applyBorder="1" applyAlignment="1">
      <alignment horizontal="center" vertical="center"/>
    </xf>
    <xf numFmtId="0" fontId="42" fillId="7" borderId="24" xfId="18" applyFont="1" applyFill="1" applyBorder="1" applyAlignment="1">
      <alignment horizontal="center" vertical="center" shrinkToFit="1"/>
    </xf>
    <xf numFmtId="41" fontId="42" fillId="7" borderId="26" xfId="8" applyFont="1" applyFill="1" applyBorder="1" applyAlignment="1">
      <alignment vertical="center" shrinkToFit="1"/>
    </xf>
    <xf numFmtId="41" fontId="42" fillId="7" borderId="7" xfId="8" applyFont="1" applyFill="1" applyBorder="1" applyAlignment="1">
      <alignment vertical="center" shrinkToFit="1"/>
    </xf>
    <xf numFmtId="41" fontId="42" fillId="7" borderId="27" xfId="8" applyFont="1" applyFill="1" applyBorder="1" applyAlignment="1">
      <alignment vertical="center" shrinkToFit="1"/>
    </xf>
    <xf numFmtId="0" fontId="42" fillId="7" borderId="25" xfId="0" applyFont="1" applyFill="1" applyBorder="1" applyAlignment="1">
      <alignment vertical="center" shrinkToFit="1"/>
    </xf>
    <xf numFmtId="0" fontId="43" fillId="10" borderId="7" xfId="18" applyFont="1" applyFill="1" applyBorder="1" applyAlignment="1">
      <alignment horizontal="center" vertical="center" shrinkToFit="1"/>
    </xf>
    <xf numFmtId="183" fontId="43" fillId="10" borderId="7" xfId="18" applyNumberFormat="1" applyFont="1" applyFill="1" applyBorder="1" applyAlignment="1">
      <alignment horizontal="center" vertical="center"/>
    </xf>
    <xf numFmtId="182" fontId="43" fillId="10" borderId="7" xfId="18" applyNumberFormat="1" applyFont="1" applyFill="1" applyBorder="1" applyAlignment="1">
      <alignment horizontal="center" vertical="center"/>
    </xf>
    <xf numFmtId="0" fontId="43" fillId="10" borderId="24" xfId="18" applyFont="1" applyFill="1" applyBorder="1" applyAlignment="1">
      <alignment horizontal="center" vertical="center" shrinkToFit="1"/>
    </xf>
    <xf numFmtId="41" fontId="43" fillId="10" borderId="27" xfId="8" applyFont="1" applyFill="1" applyBorder="1" applyAlignment="1">
      <alignment vertical="center" shrinkToFit="1"/>
    </xf>
    <xf numFmtId="0" fontId="43" fillId="10" borderId="25" xfId="0" applyFont="1" applyFill="1" applyBorder="1" applyAlignment="1">
      <alignment vertical="center" shrinkToFit="1"/>
    </xf>
    <xf numFmtId="41" fontId="43" fillId="10" borderId="39" xfId="8" applyFont="1" applyFill="1" applyBorder="1" applyAlignment="1">
      <alignment vertical="center" shrinkToFit="1"/>
    </xf>
    <xf numFmtId="184" fontId="46" fillId="0" borderId="3" xfId="0" applyNumberFormat="1" applyFont="1" applyBorder="1" applyAlignment="1">
      <alignment horizontal="center" vertical="center"/>
    </xf>
    <xf numFmtId="0" fontId="46" fillId="0" borderId="3" xfId="0" applyFont="1" applyBorder="1">
      <alignment vertical="center"/>
    </xf>
    <xf numFmtId="0" fontId="46" fillId="0" borderId="14" xfId="0" applyFont="1" applyBorder="1">
      <alignment vertical="center"/>
    </xf>
    <xf numFmtId="41" fontId="46" fillId="0" borderId="10" xfId="0" applyNumberFormat="1" applyFont="1" applyBorder="1">
      <alignment vertical="center"/>
    </xf>
    <xf numFmtId="41" fontId="46" fillId="0" borderId="3" xfId="0" applyNumberFormat="1" applyFont="1" applyBorder="1">
      <alignment vertical="center"/>
    </xf>
    <xf numFmtId="41" fontId="29" fillId="9" borderId="14" xfId="0" applyNumberFormat="1" applyFont="1" applyFill="1" applyBorder="1">
      <alignment vertical="center"/>
    </xf>
    <xf numFmtId="41" fontId="29" fillId="9" borderId="3" xfId="0" applyNumberFormat="1" applyFont="1" applyFill="1" applyBorder="1">
      <alignment vertical="center"/>
    </xf>
    <xf numFmtId="41" fontId="46" fillId="0" borderId="13" xfId="0" applyNumberFormat="1" applyFont="1" applyBorder="1">
      <alignment vertical="center"/>
    </xf>
    <xf numFmtId="41" fontId="46" fillId="0" borderId="14" xfId="0" applyNumberFormat="1" applyFont="1" applyBorder="1">
      <alignment vertical="center"/>
    </xf>
    <xf numFmtId="0" fontId="27" fillId="0" borderId="10" xfId="0" applyFont="1" applyBorder="1">
      <alignment vertical="center"/>
    </xf>
    <xf numFmtId="184" fontId="29" fillId="9" borderId="3" xfId="0" applyNumberFormat="1" applyFont="1" applyFill="1" applyBorder="1" applyAlignment="1">
      <alignment horizontal="center" vertical="center"/>
    </xf>
    <xf numFmtId="0" fontId="29" fillId="0" borderId="3" xfId="0" applyFont="1" applyBorder="1">
      <alignment vertical="center"/>
    </xf>
    <xf numFmtId="0" fontId="29" fillId="0" borderId="14" xfId="0" applyFont="1" applyBorder="1">
      <alignment vertical="center"/>
    </xf>
    <xf numFmtId="41" fontId="29" fillId="0" borderId="10" xfId="0" applyNumberFormat="1" applyFont="1" applyBorder="1">
      <alignment vertical="center"/>
    </xf>
    <xf numFmtId="41" fontId="29" fillId="0" borderId="3" xfId="0" applyNumberFormat="1" applyFont="1" applyBorder="1">
      <alignment vertical="center"/>
    </xf>
    <xf numFmtId="41" fontId="29" fillId="0" borderId="13" xfId="0" applyNumberFormat="1" applyFont="1" applyBorder="1">
      <alignment vertical="center"/>
    </xf>
    <xf numFmtId="41" fontId="29" fillId="0" borderId="14" xfId="0" applyNumberFormat="1" applyFont="1" applyBorder="1">
      <alignment vertical="center"/>
    </xf>
    <xf numFmtId="0" fontId="29" fillId="0" borderId="10" xfId="0" applyFont="1" applyBorder="1">
      <alignment vertical="center"/>
    </xf>
    <xf numFmtId="0" fontId="24" fillId="0" borderId="0" xfId="0" applyFont="1">
      <alignment vertical="center"/>
    </xf>
    <xf numFmtId="0" fontId="46" fillId="0" borderId="14" xfId="0" applyFont="1" applyBorder="1" applyAlignment="1">
      <alignment horizontal="center" vertical="center"/>
    </xf>
    <xf numFmtId="41" fontId="46" fillId="0" borderId="10" xfId="0" applyNumberFormat="1" applyFont="1" applyBorder="1" applyAlignment="1">
      <alignment horizontal="center" vertical="center"/>
    </xf>
    <xf numFmtId="41" fontId="46" fillId="0" borderId="3" xfId="0" applyNumberFormat="1" applyFont="1" applyBorder="1" applyAlignment="1">
      <alignment horizontal="center" vertical="center"/>
    </xf>
    <xf numFmtId="41" fontId="29" fillId="9" borderId="14" xfId="0" applyNumberFormat="1" applyFont="1" applyFill="1" applyBorder="1" applyAlignment="1">
      <alignment horizontal="center" vertical="center"/>
    </xf>
    <xf numFmtId="41" fontId="29" fillId="9" borderId="3" xfId="0" applyNumberFormat="1" applyFont="1" applyFill="1" applyBorder="1" applyAlignment="1">
      <alignment horizontal="center" vertical="center"/>
    </xf>
    <xf numFmtId="41" fontId="29" fillId="9" borderId="8" xfId="0" applyNumberFormat="1" applyFont="1" applyFill="1" applyBorder="1" applyAlignment="1">
      <alignment horizontal="center" vertical="center"/>
    </xf>
    <xf numFmtId="41" fontId="29" fillId="0" borderId="13" xfId="0" applyNumberFormat="1" applyFont="1" applyFill="1" applyBorder="1" applyAlignment="1">
      <alignment horizontal="center" vertical="center"/>
    </xf>
    <xf numFmtId="41" fontId="29" fillId="0" borderId="3" xfId="0" applyNumberFormat="1" applyFont="1" applyFill="1" applyBorder="1" applyAlignment="1">
      <alignment horizontal="center" vertical="center"/>
    </xf>
    <xf numFmtId="41" fontId="29" fillId="0" borderId="14" xfId="0" applyNumberFormat="1" applyFont="1" applyFill="1" applyBorder="1" applyAlignment="1">
      <alignment horizontal="center" vertical="center"/>
    </xf>
    <xf numFmtId="41" fontId="46" fillId="0" borderId="13" xfId="0" applyNumberFormat="1" applyFont="1" applyFill="1" applyBorder="1" applyAlignment="1">
      <alignment horizontal="center" vertical="center"/>
    </xf>
    <xf numFmtId="41" fontId="46" fillId="0" borderId="3" xfId="0" applyNumberFormat="1" applyFont="1" applyFill="1" applyBorder="1" applyAlignment="1">
      <alignment horizontal="center" vertical="center"/>
    </xf>
    <xf numFmtId="41" fontId="46" fillId="0" borderId="14" xfId="0" applyNumberFormat="1" applyFont="1" applyFill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41" fontId="29" fillId="0" borderId="10" xfId="0" applyNumberFormat="1" applyFont="1" applyBorder="1" applyAlignment="1">
      <alignment horizontal="center" vertical="center"/>
    </xf>
    <xf numFmtId="41" fontId="29" fillId="0" borderId="3" xfId="0" applyNumberFormat="1" applyFont="1" applyBorder="1" applyAlignment="1">
      <alignment horizontal="center" vertical="center"/>
    </xf>
    <xf numFmtId="184" fontId="41" fillId="11" borderId="7" xfId="0" applyNumberFormat="1" applyFont="1" applyFill="1" applyBorder="1" applyAlignment="1">
      <alignment horizontal="center" vertical="center" shrinkToFit="1"/>
    </xf>
    <xf numFmtId="0" fontId="20" fillId="0" borderId="0" xfId="0" applyFont="1">
      <alignment vertical="center"/>
    </xf>
    <xf numFmtId="0" fontId="41" fillId="3" borderId="7" xfId="0" applyFont="1" applyFill="1" applyBorder="1" applyAlignment="1">
      <alignment horizontal="center" vertical="center" shrinkToFit="1"/>
    </xf>
    <xf numFmtId="14" fontId="41" fillId="3" borderId="7" xfId="0" applyNumberFormat="1" applyFont="1" applyFill="1" applyBorder="1" applyAlignment="1">
      <alignment horizontal="center" vertical="center" shrinkToFit="1"/>
    </xf>
    <xf numFmtId="0" fontId="41" fillId="3" borderId="7" xfId="18" applyFont="1" applyFill="1" applyBorder="1" applyAlignment="1">
      <alignment horizontal="center" vertical="center" shrinkToFit="1"/>
    </xf>
    <xf numFmtId="183" fontId="41" fillId="3" borderId="7" xfId="18" applyNumberFormat="1" applyFont="1" applyFill="1" applyBorder="1" applyAlignment="1">
      <alignment horizontal="center" vertical="center"/>
    </xf>
    <xf numFmtId="182" fontId="41" fillId="3" borderId="7" xfId="18" applyNumberFormat="1" applyFont="1" applyFill="1" applyBorder="1" applyAlignment="1">
      <alignment horizontal="center" vertical="center"/>
    </xf>
    <xf numFmtId="0" fontId="41" fillId="3" borderId="27" xfId="18" applyFont="1" applyFill="1" applyBorder="1" applyAlignment="1">
      <alignment horizontal="center" vertical="center" shrinkToFit="1"/>
    </xf>
    <xf numFmtId="41" fontId="41" fillId="3" borderId="26" xfId="8" applyFont="1" applyFill="1" applyBorder="1" applyAlignment="1">
      <alignment vertical="center" shrinkToFit="1"/>
    </xf>
    <xf numFmtId="41" fontId="41" fillId="3" borderId="7" xfId="8" applyFont="1" applyFill="1" applyBorder="1" applyAlignment="1">
      <alignment vertical="center" shrinkToFit="1"/>
    </xf>
    <xf numFmtId="41" fontId="41" fillId="3" borderId="27" xfId="8" applyFont="1" applyFill="1" applyBorder="1" applyAlignment="1">
      <alignment vertical="center" shrinkToFit="1"/>
    </xf>
    <xf numFmtId="0" fontId="41" fillId="2" borderId="7" xfId="0" applyFont="1" applyFill="1" applyBorder="1" applyAlignment="1">
      <alignment horizontal="center" vertical="center" shrinkToFit="1"/>
    </xf>
    <xf numFmtId="14" fontId="41" fillId="2" borderId="7" xfId="0" applyNumberFormat="1" applyFont="1" applyFill="1" applyBorder="1" applyAlignment="1">
      <alignment horizontal="center" vertical="center" shrinkToFit="1"/>
    </xf>
    <xf numFmtId="0" fontId="41" fillId="2" borderId="7" xfId="18" applyFont="1" applyFill="1" applyBorder="1" applyAlignment="1">
      <alignment horizontal="center" vertical="center" shrinkToFit="1"/>
    </xf>
    <xf numFmtId="183" fontId="41" fillId="2" borderId="3" xfId="0" applyNumberFormat="1" applyFont="1" applyFill="1" applyBorder="1" applyAlignment="1">
      <alignment horizontal="center" vertical="center" shrinkToFit="1"/>
    </xf>
    <xf numFmtId="182" fontId="41" fillId="2" borderId="7" xfId="18" applyNumberFormat="1" applyFont="1" applyFill="1" applyBorder="1" applyAlignment="1">
      <alignment horizontal="center" vertical="center"/>
    </xf>
    <xf numFmtId="0" fontId="41" fillId="2" borderId="27" xfId="18" applyFont="1" applyFill="1" applyBorder="1" applyAlignment="1">
      <alignment horizontal="center" vertical="center" shrinkToFit="1"/>
    </xf>
    <xf numFmtId="41" fontId="41" fillId="2" borderId="13" xfId="8" applyFont="1" applyFill="1" applyBorder="1" applyAlignment="1">
      <alignment vertical="center" shrinkToFit="1"/>
    </xf>
    <xf numFmtId="41" fontId="41" fillId="2" borderId="3" xfId="8" applyFont="1" applyFill="1" applyBorder="1" applyAlignment="1">
      <alignment vertical="center" shrinkToFit="1"/>
    </xf>
    <xf numFmtId="41" fontId="41" fillId="2" borderId="27" xfId="8" applyFont="1" applyFill="1" applyBorder="1" applyAlignment="1">
      <alignment vertical="center" shrinkToFit="1"/>
    </xf>
    <xf numFmtId="41" fontId="41" fillId="2" borderId="7" xfId="8" applyFont="1" applyFill="1" applyBorder="1" applyAlignment="1">
      <alignment vertical="center" shrinkToFit="1"/>
    </xf>
    <xf numFmtId="14" fontId="41" fillId="11" borderId="7" xfId="0" applyNumberFormat="1" applyFont="1" applyFill="1" applyBorder="1" applyAlignment="1">
      <alignment horizontal="center" vertical="center" shrinkToFit="1"/>
    </xf>
    <xf numFmtId="0" fontId="41" fillId="11" borderId="7" xfId="18" applyFont="1" applyFill="1" applyBorder="1" applyAlignment="1">
      <alignment horizontal="center" vertical="center" shrinkToFit="1"/>
    </xf>
    <xf numFmtId="183" fontId="41" fillId="11" borderId="3" xfId="0" applyNumberFormat="1" applyFont="1" applyFill="1" applyBorder="1" applyAlignment="1">
      <alignment horizontal="center" vertical="center" shrinkToFit="1"/>
    </xf>
    <xf numFmtId="182" fontId="41" fillId="11" borderId="7" xfId="18" applyNumberFormat="1" applyFont="1" applyFill="1" applyBorder="1" applyAlignment="1">
      <alignment horizontal="center" vertical="center"/>
    </xf>
    <xf numFmtId="0" fontId="41" fillId="11" borderId="27" xfId="18" applyFont="1" applyFill="1" applyBorder="1" applyAlignment="1">
      <alignment horizontal="center" vertical="center" shrinkToFit="1"/>
    </xf>
    <xf numFmtId="41" fontId="41" fillId="11" borderId="13" xfId="8" applyFont="1" applyFill="1" applyBorder="1" applyAlignment="1">
      <alignment vertical="center" shrinkToFit="1"/>
    </xf>
    <xf numFmtId="41" fontId="41" fillId="11" borderId="3" xfId="8" applyFont="1" applyFill="1" applyBorder="1" applyAlignment="1">
      <alignment vertical="center" shrinkToFit="1"/>
    </xf>
    <xf numFmtId="41" fontId="41" fillId="11" borderId="27" xfId="8" applyFont="1" applyFill="1" applyBorder="1" applyAlignment="1">
      <alignment vertical="center" shrinkToFit="1"/>
    </xf>
    <xf numFmtId="41" fontId="41" fillId="11" borderId="7" xfId="8" applyFont="1" applyFill="1" applyBorder="1" applyAlignment="1">
      <alignment vertical="center" shrinkToFit="1"/>
    </xf>
    <xf numFmtId="41" fontId="20" fillId="0" borderId="26" xfId="8" applyFont="1" applyFill="1" applyBorder="1" applyAlignment="1">
      <alignment vertical="center" shrinkToFit="1"/>
    </xf>
    <xf numFmtId="183" fontId="20" fillId="0" borderId="7" xfId="0" applyNumberFormat="1" applyFont="1" applyBorder="1" applyAlignment="1">
      <alignment horizontal="center" vertical="center" shrinkToFit="1"/>
    </xf>
    <xf numFmtId="41" fontId="41" fillId="11" borderId="24" xfId="8" applyFont="1" applyFill="1" applyBorder="1" applyAlignment="1">
      <alignment vertical="center" shrinkToFit="1"/>
    </xf>
    <xf numFmtId="41" fontId="20" fillId="0" borderId="13" xfId="8" applyFont="1" applyFill="1" applyBorder="1" applyAlignment="1">
      <alignment vertical="center" shrinkToFit="1"/>
    </xf>
    <xf numFmtId="41" fontId="41" fillId="0" borderId="24" xfId="8" applyFont="1" applyBorder="1" applyAlignment="1">
      <alignment vertical="center" shrinkToFit="1"/>
    </xf>
    <xf numFmtId="41" fontId="41" fillId="3" borderId="24" xfId="8" applyFont="1" applyFill="1" applyBorder="1" applyAlignment="1">
      <alignment vertical="center" shrinkToFit="1"/>
    </xf>
    <xf numFmtId="0" fontId="20" fillId="0" borderId="24" xfId="18" applyFont="1" applyBorder="1" applyAlignment="1">
      <alignment horizontal="center" vertical="center" shrinkToFit="1"/>
    </xf>
    <xf numFmtId="183" fontId="41" fillId="3" borderId="3" xfId="0" applyNumberFormat="1" applyFont="1" applyFill="1" applyBorder="1" applyAlignment="1">
      <alignment horizontal="center" vertical="center" shrinkToFit="1"/>
    </xf>
    <xf numFmtId="0" fontId="41" fillId="3" borderId="24" xfId="18" applyFont="1" applyFill="1" applyBorder="1" applyAlignment="1">
      <alignment horizontal="center" vertical="center" shrinkToFit="1"/>
    </xf>
    <xf numFmtId="41" fontId="41" fillId="3" borderId="13" xfId="8" applyFont="1" applyFill="1" applyBorder="1" applyAlignment="1">
      <alignment vertical="center" shrinkToFit="1"/>
    </xf>
    <xf numFmtId="41" fontId="41" fillId="3" borderId="3" xfId="8" applyFont="1" applyFill="1" applyBorder="1" applyAlignment="1">
      <alignment vertical="center" shrinkToFit="1"/>
    </xf>
    <xf numFmtId="41" fontId="41" fillId="3" borderId="10" xfId="8" applyFont="1" applyFill="1" applyBorder="1" applyAlignment="1">
      <alignment vertical="center" shrinkToFit="1"/>
    </xf>
    <xf numFmtId="0" fontId="41" fillId="11" borderId="24" xfId="18" applyFont="1" applyFill="1" applyBorder="1" applyAlignment="1">
      <alignment horizontal="center" vertical="center" shrinkToFit="1"/>
    </xf>
    <xf numFmtId="41" fontId="41" fillId="11" borderId="10" xfId="8" applyFont="1" applyFill="1" applyBorder="1" applyAlignment="1">
      <alignment vertical="center" shrinkToFit="1"/>
    </xf>
    <xf numFmtId="0" fontId="41" fillId="2" borderId="24" xfId="18" applyFont="1" applyFill="1" applyBorder="1" applyAlignment="1">
      <alignment horizontal="center" vertical="center" shrinkToFit="1"/>
    </xf>
    <xf numFmtId="41" fontId="41" fillId="2" borderId="10" xfId="8" applyFont="1" applyFill="1" applyBorder="1" applyAlignment="1">
      <alignment vertical="center" shrinkToFit="1"/>
    </xf>
    <xf numFmtId="41" fontId="41" fillId="2" borderId="24" xfId="8" applyFont="1" applyFill="1" applyBorder="1" applyAlignment="1">
      <alignment vertical="center" shrinkToFit="1"/>
    </xf>
    <xf numFmtId="41" fontId="20" fillId="0" borderId="10" xfId="8" applyFont="1" applyFill="1" applyBorder="1" applyAlignment="1">
      <alignment vertical="center" shrinkToFit="1"/>
    </xf>
    <xf numFmtId="0" fontId="20" fillId="0" borderId="0" xfId="0" applyFont="1" applyFill="1">
      <alignment vertical="center"/>
    </xf>
    <xf numFmtId="41" fontId="41" fillId="3" borderId="26" xfId="18" applyNumberFormat="1" applyFont="1" applyFill="1" applyBorder="1" applyAlignment="1">
      <alignment horizontal="center" vertical="center" shrinkToFit="1"/>
    </xf>
    <xf numFmtId="0" fontId="41" fillId="3" borderId="25" xfId="0" applyFont="1" applyFill="1" applyBorder="1" applyAlignment="1">
      <alignment vertical="center" shrinkToFit="1"/>
    </xf>
    <xf numFmtId="184" fontId="42" fillId="11" borderId="3" xfId="0" applyNumberFormat="1" applyFont="1" applyFill="1" applyBorder="1" applyAlignment="1">
      <alignment horizontal="center" vertical="center" shrinkToFit="1"/>
    </xf>
    <xf numFmtId="0" fontId="42" fillId="11" borderId="7" xfId="0" applyFont="1" applyFill="1" applyBorder="1" applyAlignment="1">
      <alignment horizontal="center" vertical="center" shrinkToFit="1"/>
    </xf>
    <xf numFmtId="183" fontId="41" fillId="11" borderId="7" xfId="18" applyNumberFormat="1" applyFont="1" applyFill="1" applyBorder="1" applyAlignment="1">
      <alignment horizontal="center" vertical="center"/>
    </xf>
    <xf numFmtId="41" fontId="41" fillId="11" borderId="26" xfId="18" applyNumberFormat="1" applyFont="1" applyFill="1" applyBorder="1" applyAlignment="1">
      <alignment horizontal="center" vertical="center" shrinkToFit="1"/>
    </xf>
    <xf numFmtId="41" fontId="41" fillId="11" borderId="26" xfId="8" applyFont="1" applyFill="1" applyBorder="1" applyAlignment="1">
      <alignment vertical="center" shrinkToFit="1"/>
    </xf>
    <xf numFmtId="0" fontId="41" fillId="11" borderId="25" xfId="0" applyFont="1" applyFill="1" applyBorder="1" applyAlignment="1">
      <alignment vertical="center" shrinkToFit="1"/>
    </xf>
    <xf numFmtId="41" fontId="20" fillId="0" borderId="26" xfId="18" applyNumberFormat="1" applyFont="1" applyBorder="1" applyAlignment="1">
      <alignment horizontal="center" vertical="center" shrinkToFit="1"/>
    </xf>
    <xf numFmtId="0" fontId="0" fillId="0" borderId="0" xfId="0" applyFill="1">
      <alignment vertical="center"/>
    </xf>
    <xf numFmtId="183" fontId="41" fillId="2" borderId="7" xfId="18" applyNumberFormat="1" applyFont="1" applyFill="1" applyBorder="1" applyAlignment="1">
      <alignment horizontal="center" vertical="center"/>
    </xf>
    <xf numFmtId="41" fontId="41" fillId="2" borderId="26" xfId="18" applyNumberFormat="1" applyFont="1" applyFill="1" applyBorder="1" applyAlignment="1">
      <alignment horizontal="center" vertical="center" shrinkToFit="1"/>
    </xf>
    <xf numFmtId="41" fontId="41" fillId="2" borderId="26" xfId="8" applyFont="1" applyFill="1" applyBorder="1" applyAlignment="1">
      <alignment vertical="center" shrinkToFit="1"/>
    </xf>
    <xf numFmtId="0" fontId="41" fillId="2" borderId="25" xfId="0" applyFont="1" applyFill="1" applyBorder="1" applyAlignment="1">
      <alignment vertical="center" shrinkToFit="1"/>
    </xf>
    <xf numFmtId="185" fontId="41" fillId="3" borderId="7" xfId="0" applyNumberFormat="1" applyFont="1" applyFill="1" applyBorder="1" applyAlignment="1">
      <alignment horizontal="center" vertical="center" shrinkToFit="1"/>
    </xf>
    <xf numFmtId="185" fontId="41" fillId="11" borderId="7" xfId="0" applyNumberFormat="1" applyFont="1" applyFill="1" applyBorder="1" applyAlignment="1">
      <alignment horizontal="center" vertical="center" shrinkToFit="1"/>
    </xf>
    <xf numFmtId="0" fontId="41" fillId="3" borderId="7" xfId="18" applyNumberFormat="1" applyFont="1" applyFill="1" applyBorder="1" applyAlignment="1">
      <alignment horizontal="center" vertical="center" shrinkToFit="1"/>
    </xf>
    <xf numFmtId="0" fontId="41" fillId="3" borderId="27" xfId="18" applyNumberFormat="1" applyFont="1" applyFill="1" applyBorder="1" applyAlignment="1">
      <alignment horizontal="center" vertical="center" shrinkToFit="1"/>
    </xf>
    <xf numFmtId="0" fontId="41" fillId="7" borderId="7" xfId="0" applyFont="1" applyFill="1" applyBorder="1" applyAlignment="1">
      <alignment horizontal="center" vertical="center" shrinkToFit="1"/>
    </xf>
    <xf numFmtId="14" fontId="41" fillId="7" borderId="7" xfId="0" applyNumberFormat="1" applyFont="1" applyFill="1" applyBorder="1" applyAlignment="1">
      <alignment horizontal="center" vertical="center" shrinkToFit="1"/>
    </xf>
    <xf numFmtId="183" fontId="41" fillId="7" borderId="7" xfId="18" applyNumberFormat="1" applyFont="1" applyFill="1" applyBorder="1" applyAlignment="1">
      <alignment horizontal="center" vertical="center"/>
    </xf>
    <xf numFmtId="182" fontId="41" fillId="7" borderId="7" xfId="18" applyNumberFormat="1" applyFont="1" applyFill="1" applyBorder="1" applyAlignment="1">
      <alignment horizontal="center" vertical="center"/>
    </xf>
    <xf numFmtId="0" fontId="41" fillId="7" borderId="7" xfId="18" applyFont="1" applyFill="1" applyBorder="1" applyAlignment="1">
      <alignment horizontal="center" vertical="center" shrinkToFit="1"/>
    </xf>
    <xf numFmtId="0" fontId="41" fillId="7" borderId="27" xfId="18" applyFont="1" applyFill="1" applyBorder="1" applyAlignment="1">
      <alignment horizontal="center" vertical="center" shrinkToFit="1"/>
    </xf>
    <xf numFmtId="41" fontId="41" fillId="7" borderId="26" xfId="18" applyNumberFormat="1" applyFont="1" applyFill="1" applyBorder="1" applyAlignment="1">
      <alignment horizontal="center" vertical="center" shrinkToFit="1"/>
    </xf>
    <xf numFmtId="41" fontId="41" fillId="7" borderId="7" xfId="8" applyFont="1" applyFill="1" applyBorder="1" applyAlignment="1">
      <alignment vertical="center" shrinkToFit="1"/>
    </xf>
    <xf numFmtId="41" fontId="41" fillId="7" borderId="27" xfId="8" applyFont="1" applyFill="1" applyBorder="1" applyAlignment="1">
      <alignment vertical="center" shrinkToFit="1"/>
    </xf>
    <xf numFmtId="41" fontId="41" fillId="7" borderId="26" xfId="8" applyFont="1" applyFill="1" applyBorder="1" applyAlignment="1">
      <alignment vertical="center" shrinkToFit="1"/>
    </xf>
    <xf numFmtId="0" fontId="41" fillId="7" borderId="25" xfId="0" applyFont="1" applyFill="1" applyBorder="1" applyAlignment="1">
      <alignment vertical="center" shrinkToFit="1"/>
    </xf>
    <xf numFmtId="185" fontId="42" fillId="3" borderId="7" xfId="0" applyNumberFormat="1" applyFont="1" applyFill="1" applyBorder="1" applyAlignment="1">
      <alignment horizontal="center" vertical="center" shrinkToFit="1"/>
    </xf>
    <xf numFmtId="185" fontId="42" fillId="11" borderId="3" xfId="0" applyNumberFormat="1" applyFont="1" applyFill="1" applyBorder="1" applyAlignment="1">
      <alignment horizontal="center" vertical="center" shrinkToFit="1"/>
    </xf>
    <xf numFmtId="0" fontId="46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85" fontId="37" fillId="9" borderId="7" xfId="0" applyNumberFormat="1" applyFont="1" applyFill="1" applyBorder="1" applyAlignment="1">
      <alignment horizontal="center" vertical="center" shrinkToFit="1"/>
    </xf>
    <xf numFmtId="183" fontId="48" fillId="10" borderId="3" xfId="0" applyNumberFormat="1" applyFont="1" applyFill="1" applyBorder="1" applyAlignment="1">
      <alignment horizontal="center" vertical="center" shrinkToFit="1"/>
    </xf>
    <xf numFmtId="182" fontId="48" fillId="10" borderId="7" xfId="18" applyNumberFormat="1" applyFont="1" applyFill="1" applyBorder="1" applyAlignment="1">
      <alignment horizontal="center" vertical="center"/>
    </xf>
    <xf numFmtId="0" fontId="48" fillId="10" borderId="7" xfId="18" applyFont="1" applyFill="1" applyBorder="1" applyAlignment="1">
      <alignment horizontal="center" vertical="center" shrinkToFit="1"/>
    </xf>
    <xf numFmtId="0" fontId="48" fillId="10" borderId="27" xfId="18" applyFont="1" applyFill="1" applyBorder="1" applyAlignment="1">
      <alignment horizontal="center" vertical="center" shrinkToFit="1"/>
    </xf>
    <xf numFmtId="41" fontId="48" fillId="10" borderId="13" xfId="18" applyNumberFormat="1" applyFont="1" applyFill="1" applyBorder="1" applyAlignment="1">
      <alignment horizontal="center" vertical="center" shrinkToFit="1"/>
    </xf>
    <xf numFmtId="41" fontId="48" fillId="10" borderId="3" xfId="18" applyNumberFormat="1" applyFont="1" applyFill="1" applyBorder="1" applyAlignment="1">
      <alignment horizontal="center" vertical="center" shrinkToFit="1"/>
    </xf>
    <xf numFmtId="41" fontId="49" fillId="9" borderId="8" xfId="18" applyNumberFormat="1" applyFont="1" applyFill="1" applyBorder="1" applyAlignment="1">
      <alignment horizontal="center" vertical="center" shrinkToFit="1"/>
    </xf>
    <xf numFmtId="41" fontId="49" fillId="9" borderId="3" xfId="18" applyNumberFormat="1" applyFont="1" applyFill="1" applyBorder="1" applyAlignment="1">
      <alignment horizontal="center" vertical="center" shrinkToFit="1"/>
    </xf>
    <xf numFmtId="41" fontId="49" fillId="9" borderId="14" xfId="18" applyNumberFormat="1" applyFont="1" applyFill="1" applyBorder="1" applyAlignment="1">
      <alignment horizontal="center" vertical="center" shrinkToFit="1"/>
    </xf>
    <xf numFmtId="41" fontId="48" fillId="10" borderId="14" xfId="18" applyNumberFormat="1" applyFont="1" applyFill="1" applyBorder="1" applyAlignment="1">
      <alignment horizontal="center" vertical="center" shrinkToFit="1"/>
    </xf>
    <xf numFmtId="0" fontId="48" fillId="10" borderId="10" xfId="0" applyFont="1" applyFill="1" applyBorder="1" applyAlignment="1">
      <alignment vertical="center" shrinkToFit="1"/>
    </xf>
    <xf numFmtId="185" fontId="46" fillId="0" borderId="3" xfId="0" applyNumberFormat="1" applyFont="1" applyBorder="1" applyAlignment="1">
      <alignment horizontal="center" vertical="center"/>
    </xf>
    <xf numFmtId="0" fontId="46" fillId="0" borderId="8" xfId="0" applyFont="1" applyBorder="1">
      <alignment vertical="center"/>
    </xf>
    <xf numFmtId="41" fontId="29" fillId="9" borderId="12" xfId="0" applyNumberFormat="1" applyFont="1" applyFill="1" applyBorder="1">
      <alignment vertical="center"/>
    </xf>
    <xf numFmtId="41" fontId="29" fillId="9" borderId="10" xfId="0" applyNumberFormat="1" applyFont="1" applyFill="1" applyBorder="1">
      <alignment vertical="center"/>
    </xf>
    <xf numFmtId="41" fontId="29" fillId="9" borderId="2" xfId="0" applyNumberFormat="1" applyFont="1" applyFill="1" applyBorder="1">
      <alignment vertical="center"/>
    </xf>
    <xf numFmtId="185" fontId="29" fillId="9" borderId="3" xfId="0" applyNumberFormat="1" applyFont="1" applyFill="1" applyBorder="1" applyAlignment="1">
      <alignment horizontal="center" vertical="center"/>
    </xf>
    <xf numFmtId="0" fontId="29" fillId="0" borderId="8" xfId="0" applyFont="1" applyBorder="1">
      <alignment vertical="center"/>
    </xf>
    <xf numFmtId="0" fontId="46" fillId="0" borderId="8" xfId="0" applyFont="1" applyBorder="1" applyAlignment="1">
      <alignment horizontal="center" vertical="center"/>
    </xf>
    <xf numFmtId="41" fontId="46" fillId="0" borderId="13" xfId="0" applyNumberFormat="1" applyFont="1" applyBorder="1" applyAlignment="1">
      <alignment horizontal="center" vertical="center"/>
    </xf>
    <xf numFmtId="41" fontId="29" fillId="9" borderId="12" xfId="0" applyNumberFormat="1" applyFont="1" applyFill="1" applyBorder="1" applyAlignment="1">
      <alignment horizontal="center" vertical="center"/>
    </xf>
    <xf numFmtId="41" fontId="29" fillId="9" borderId="10" xfId="0" applyNumberFormat="1" applyFont="1" applyFill="1" applyBorder="1" applyAlignment="1">
      <alignment horizontal="center" vertical="center"/>
    </xf>
    <xf numFmtId="41" fontId="29" fillId="9" borderId="2" xfId="0" applyNumberFormat="1" applyFont="1" applyFill="1" applyBorder="1" applyAlignment="1">
      <alignment horizontal="center" vertical="center"/>
    </xf>
    <xf numFmtId="41" fontId="46" fillId="0" borderId="14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41" fontId="29" fillId="0" borderId="13" xfId="0" applyNumberFormat="1" applyFont="1" applyBorder="1" applyAlignment="1">
      <alignment horizontal="center" vertical="center"/>
    </xf>
    <xf numFmtId="14" fontId="20" fillId="0" borderId="7" xfId="18" applyNumberFormat="1" applyFont="1" applyBorder="1" applyAlignment="1">
      <alignment horizontal="center" vertical="center" shrinkToFit="1"/>
    </xf>
    <xf numFmtId="0" fontId="20" fillId="0" borderId="10" xfId="18" applyFont="1" applyBorder="1" applyAlignment="1">
      <alignment horizontal="center" vertical="center" shrinkToFit="1"/>
    </xf>
    <xf numFmtId="41" fontId="20" fillId="0" borderId="10" xfId="8" applyFont="1" applyFill="1" applyBorder="1" applyAlignment="1">
      <alignment horizontal="center" vertical="center" shrinkToFit="1"/>
    </xf>
    <xf numFmtId="41" fontId="20" fillId="0" borderId="3" xfId="8" applyFont="1" applyFill="1" applyBorder="1" applyAlignment="1">
      <alignment horizontal="center" vertical="center" shrinkToFit="1"/>
    </xf>
    <xf numFmtId="41" fontId="20" fillId="0" borderId="14" xfId="8" applyFont="1" applyFill="1" applyBorder="1" applyAlignment="1">
      <alignment horizontal="center" vertical="center" shrinkToFit="1"/>
    </xf>
    <xf numFmtId="41" fontId="20" fillId="0" borderId="3" xfId="10" applyNumberFormat="1" applyFont="1" applyFill="1" applyBorder="1" applyAlignment="1">
      <alignment horizontal="center" vertical="center" shrinkToFit="1"/>
    </xf>
    <xf numFmtId="41" fontId="20" fillId="0" borderId="14" xfId="10" applyNumberFormat="1" applyFont="1" applyFill="1" applyBorder="1" applyAlignment="1">
      <alignment horizontal="center" vertical="center" shrinkToFit="1"/>
    </xf>
    <xf numFmtId="41" fontId="20" fillId="0" borderId="10" xfId="10" applyNumberFormat="1" applyFont="1" applyFill="1" applyBorder="1" applyAlignment="1">
      <alignment horizontal="center" vertical="center" shrinkToFit="1"/>
    </xf>
    <xf numFmtId="0" fontId="40" fillId="0" borderId="0" xfId="18" applyFont="1" applyFill="1" applyAlignment="1">
      <alignment vertical="center" shrinkToFit="1"/>
    </xf>
    <xf numFmtId="184" fontId="41" fillId="3" borderId="7" xfId="18" applyNumberFormat="1" applyFont="1" applyFill="1" applyBorder="1" applyAlignment="1">
      <alignment horizontal="center" vertical="center" shrinkToFit="1"/>
    </xf>
    <xf numFmtId="14" fontId="41" fillId="3" borderId="7" xfId="18" applyNumberFormat="1" applyFont="1" applyFill="1" applyBorder="1" applyAlignment="1">
      <alignment horizontal="center" vertical="center" shrinkToFit="1"/>
    </xf>
    <xf numFmtId="183" fontId="41" fillId="3" borderId="7" xfId="18" applyNumberFormat="1" applyFont="1" applyFill="1" applyBorder="1" applyAlignment="1">
      <alignment horizontal="center" vertical="center" shrinkToFit="1"/>
    </xf>
    <xf numFmtId="41" fontId="41" fillId="3" borderId="10" xfId="8" applyFont="1" applyFill="1" applyBorder="1" applyAlignment="1">
      <alignment horizontal="center" vertical="center" shrinkToFit="1"/>
    </xf>
    <xf numFmtId="41" fontId="41" fillId="3" borderId="3" xfId="8" applyFont="1" applyFill="1" applyBorder="1" applyAlignment="1">
      <alignment horizontal="center" vertical="center" shrinkToFit="1"/>
    </xf>
    <xf numFmtId="41" fontId="41" fillId="3" borderId="14" xfId="8" applyFont="1" applyFill="1" applyBorder="1" applyAlignment="1">
      <alignment horizontal="center" vertical="center" shrinkToFit="1"/>
    </xf>
    <xf numFmtId="41" fontId="41" fillId="3" borderId="13" xfId="10" applyNumberFormat="1" applyFont="1" applyFill="1" applyBorder="1" applyAlignment="1">
      <alignment horizontal="center" vertical="center" shrinkToFit="1"/>
    </xf>
    <xf numFmtId="41" fontId="41" fillId="3" borderId="3" xfId="10" applyNumberFormat="1" applyFont="1" applyFill="1" applyBorder="1" applyAlignment="1">
      <alignment horizontal="center" vertical="center" shrinkToFit="1"/>
    </xf>
    <xf numFmtId="41" fontId="41" fillId="3" borderId="14" xfId="10" applyNumberFormat="1" applyFont="1" applyFill="1" applyBorder="1" applyAlignment="1">
      <alignment horizontal="center" vertical="center" shrinkToFit="1"/>
    </xf>
    <xf numFmtId="41" fontId="41" fillId="3" borderId="10" xfId="10" applyNumberFormat="1" applyFont="1" applyFill="1" applyBorder="1" applyAlignment="1">
      <alignment horizontal="center" vertical="center" shrinkToFit="1"/>
    </xf>
    <xf numFmtId="41" fontId="41" fillId="3" borderId="10" xfId="20" applyFont="1" applyFill="1" applyBorder="1" applyAlignment="1">
      <alignment horizontal="center" vertical="center" shrinkToFit="1"/>
    </xf>
    <xf numFmtId="41" fontId="41" fillId="3" borderId="3" xfId="20" applyFont="1" applyFill="1" applyBorder="1" applyAlignment="1">
      <alignment horizontal="center" vertical="center" shrinkToFit="1"/>
    </xf>
    <xf numFmtId="41" fontId="41" fillId="3" borderId="14" xfId="20" applyNumberFormat="1" applyFont="1" applyFill="1" applyBorder="1" applyAlignment="1">
      <alignment horizontal="center" vertical="center" shrinkToFit="1"/>
    </xf>
    <xf numFmtId="41" fontId="41" fillId="3" borderId="10" xfId="20" applyNumberFormat="1" applyFont="1" applyFill="1" applyBorder="1" applyAlignment="1">
      <alignment horizontal="center" vertical="center" shrinkToFit="1"/>
    </xf>
    <xf numFmtId="41" fontId="41" fillId="3" borderId="7" xfId="20" applyNumberFormat="1" applyFont="1" applyFill="1" applyBorder="1" applyAlignment="1" applyProtection="1">
      <alignment horizontal="center" vertical="center" shrinkToFit="1"/>
      <protection locked="0"/>
    </xf>
    <xf numFmtId="41" fontId="41" fillId="3" borderId="27" xfId="20" applyNumberFormat="1" applyFont="1" applyFill="1" applyBorder="1" applyAlignment="1" applyProtection="1">
      <alignment horizontal="center" vertical="center" shrinkToFit="1"/>
      <protection locked="0"/>
    </xf>
    <xf numFmtId="0" fontId="41" fillId="3" borderId="10" xfId="18" applyFont="1" applyFill="1" applyBorder="1" applyAlignment="1">
      <alignment horizontal="center" vertical="center" shrinkToFit="1"/>
    </xf>
    <xf numFmtId="184" fontId="41" fillId="2" borderId="7" xfId="18" applyNumberFormat="1" applyFont="1" applyFill="1" applyBorder="1" applyAlignment="1">
      <alignment horizontal="center" vertical="center" shrinkToFit="1"/>
    </xf>
    <xf numFmtId="14" fontId="41" fillId="2" borderId="7" xfId="18" applyNumberFormat="1" applyFont="1" applyFill="1" applyBorder="1" applyAlignment="1">
      <alignment horizontal="center" vertical="center" shrinkToFit="1"/>
    </xf>
    <xf numFmtId="183" fontId="41" fillId="2" borderId="7" xfId="18" applyNumberFormat="1" applyFont="1" applyFill="1" applyBorder="1" applyAlignment="1">
      <alignment horizontal="center" vertical="center" shrinkToFit="1"/>
    </xf>
    <xf numFmtId="41" fontId="41" fillId="2" borderId="10" xfId="8" applyFont="1" applyFill="1" applyBorder="1" applyAlignment="1">
      <alignment horizontal="center" vertical="center" shrinkToFit="1"/>
    </xf>
    <xf numFmtId="41" fontId="41" fillId="2" borderId="3" xfId="8" applyFont="1" applyFill="1" applyBorder="1" applyAlignment="1">
      <alignment horizontal="center" vertical="center" shrinkToFit="1"/>
    </xf>
    <xf numFmtId="41" fontId="41" fillId="2" borderId="14" xfId="8" applyFont="1" applyFill="1" applyBorder="1" applyAlignment="1">
      <alignment horizontal="center" vertical="center" shrinkToFit="1"/>
    </xf>
    <xf numFmtId="41" fontId="41" fillId="2" borderId="13" xfId="10" applyNumberFormat="1" applyFont="1" applyFill="1" applyBorder="1" applyAlignment="1">
      <alignment horizontal="center" vertical="center" shrinkToFit="1"/>
    </xf>
    <xf numFmtId="41" fontId="41" fillId="2" borderId="3" xfId="10" applyNumberFormat="1" applyFont="1" applyFill="1" applyBorder="1" applyAlignment="1">
      <alignment horizontal="center" vertical="center" shrinkToFit="1"/>
    </xf>
    <xf numFmtId="41" fontId="41" fillId="2" borderId="14" xfId="10" applyNumberFormat="1" applyFont="1" applyFill="1" applyBorder="1" applyAlignment="1">
      <alignment horizontal="center" vertical="center" shrinkToFit="1"/>
    </xf>
    <xf numFmtId="41" fontId="41" fillId="2" borderId="10" xfId="10" applyNumberFormat="1" applyFont="1" applyFill="1" applyBorder="1" applyAlignment="1">
      <alignment horizontal="center" vertical="center" shrinkToFit="1"/>
    </xf>
    <xf numFmtId="41" fontId="41" fillId="2" borderId="10" xfId="20" applyFont="1" applyFill="1" applyBorder="1" applyAlignment="1">
      <alignment horizontal="center" vertical="center" shrinkToFit="1"/>
    </xf>
    <xf numFmtId="41" fontId="41" fillId="2" borderId="3" xfId="20" applyFont="1" applyFill="1" applyBorder="1" applyAlignment="1">
      <alignment horizontal="center" vertical="center" shrinkToFit="1"/>
    </xf>
    <xf numFmtId="41" fontId="41" fillId="2" borderId="14" xfId="20" applyNumberFormat="1" applyFont="1" applyFill="1" applyBorder="1" applyAlignment="1">
      <alignment horizontal="center" vertical="center" shrinkToFit="1"/>
    </xf>
    <xf numFmtId="41" fontId="41" fillId="2" borderId="10" xfId="20" applyNumberFormat="1" applyFont="1" applyFill="1" applyBorder="1" applyAlignment="1">
      <alignment horizontal="center" vertical="center" shrinkToFit="1"/>
    </xf>
    <xf numFmtId="41" fontId="41" fillId="2" borderId="7" xfId="20" applyNumberFormat="1" applyFont="1" applyFill="1" applyBorder="1" applyAlignment="1" applyProtection="1">
      <alignment horizontal="center" vertical="center" shrinkToFit="1"/>
      <protection locked="0"/>
    </xf>
    <xf numFmtId="41" fontId="41" fillId="2" borderId="27" xfId="20" applyNumberFormat="1" applyFont="1" applyFill="1" applyBorder="1" applyAlignment="1" applyProtection="1">
      <alignment horizontal="center" vertical="center" shrinkToFit="1"/>
      <protection locked="0"/>
    </xf>
    <xf numFmtId="0" fontId="41" fillId="2" borderId="10" xfId="18" applyFont="1" applyFill="1" applyBorder="1" applyAlignment="1">
      <alignment horizontal="center" vertical="center" shrinkToFit="1"/>
    </xf>
    <xf numFmtId="184" fontId="41" fillId="11" borderId="7" xfId="18" applyNumberFormat="1" applyFont="1" applyFill="1" applyBorder="1" applyAlignment="1">
      <alignment horizontal="center" vertical="center" shrinkToFit="1"/>
    </xf>
    <xf numFmtId="14" fontId="41" fillId="11" borderId="7" xfId="18" applyNumberFormat="1" applyFont="1" applyFill="1" applyBorder="1" applyAlignment="1">
      <alignment horizontal="center" vertical="center" shrinkToFit="1"/>
    </xf>
    <xf numFmtId="183" fontId="41" fillId="11" borderId="7" xfId="18" applyNumberFormat="1" applyFont="1" applyFill="1" applyBorder="1" applyAlignment="1">
      <alignment horizontal="center" vertical="center" shrinkToFit="1"/>
    </xf>
    <xf numFmtId="41" fontId="41" fillId="11" borderId="10" xfId="8" applyFont="1" applyFill="1" applyBorder="1" applyAlignment="1">
      <alignment horizontal="center" vertical="center" shrinkToFit="1"/>
    </xf>
    <xf numFmtId="41" fontId="41" fillId="11" borderId="3" xfId="8" applyFont="1" applyFill="1" applyBorder="1" applyAlignment="1">
      <alignment horizontal="center" vertical="center" shrinkToFit="1"/>
    </xf>
    <xf numFmtId="41" fontId="41" fillId="11" borderId="14" xfId="8" applyFont="1" applyFill="1" applyBorder="1" applyAlignment="1">
      <alignment horizontal="center" vertical="center" shrinkToFit="1"/>
    </xf>
    <xf numFmtId="41" fontId="41" fillId="11" borderId="13" xfId="10" applyNumberFormat="1" applyFont="1" applyFill="1" applyBorder="1" applyAlignment="1">
      <alignment horizontal="center" vertical="center" shrinkToFit="1"/>
    </xf>
    <xf numFmtId="41" fontId="41" fillId="11" borderId="3" xfId="10" applyNumberFormat="1" applyFont="1" applyFill="1" applyBorder="1" applyAlignment="1">
      <alignment horizontal="center" vertical="center" shrinkToFit="1"/>
    </xf>
    <xf numFmtId="41" fontId="41" fillId="11" borderId="14" xfId="10" applyNumberFormat="1" applyFont="1" applyFill="1" applyBorder="1" applyAlignment="1">
      <alignment horizontal="center" vertical="center" shrinkToFit="1"/>
    </xf>
    <xf numFmtId="41" fontId="41" fillId="11" borderId="10" xfId="10" applyNumberFormat="1" applyFont="1" applyFill="1" applyBorder="1" applyAlignment="1">
      <alignment horizontal="center" vertical="center" shrinkToFit="1"/>
    </xf>
    <xf numFmtId="41" fontId="41" fillId="11" borderId="10" xfId="20" applyFont="1" applyFill="1" applyBorder="1" applyAlignment="1">
      <alignment horizontal="center" vertical="center" shrinkToFit="1"/>
    </xf>
    <xf numFmtId="41" fontId="41" fillId="11" borderId="3" xfId="20" applyFont="1" applyFill="1" applyBorder="1" applyAlignment="1">
      <alignment horizontal="center" vertical="center" shrinkToFit="1"/>
    </xf>
    <xf numFmtId="41" fontId="41" fillId="11" borderId="14" xfId="20" applyNumberFormat="1" applyFont="1" applyFill="1" applyBorder="1" applyAlignment="1">
      <alignment horizontal="center" vertical="center" shrinkToFit="1"/>
    </xf>
    <xf numFmtId="41" fontId="41" fillId="11" borderId="10" xfId="20" applyNumberFormat="1" applyFont="1" applyFill="1" applyBorder="1" applyAlignment="1">
      <alignment horizontal="center" vertical="center" shrinkToFit="1"/>
    </xf>
    <xf numFmtId="41" fontId="41" fillId="11" borderId="7" xfId="20" applyNumberFormat="1" applyFont="1" applyFill="1" applyBorder="1" applyAlignment="1" applyProtection="1">
      <alignment horizontal="center" vertical="center" shrinkToFit="1"/>
      <protection locked="0"/>
    </xf>
    <xf numFmtId="41" fontId="41" fillId="11" borderId="27" xfId="20" applyNumberFormat="1" applyFont="1" applyFill="1" applyBorder="1" applyAlignment="1" applyProtection="1">
      <alignment horizontal="center" vertical="center" shrinkToFit="1"/>
      <protection locked="0"/>
    </xf>
    <xf numFmtId="0" fontId="41" fillId="11" borderId="10" xfId="18" applyFont="1" applyFill="1" applyBorder="1" applyAlignment="1">
      <alignment horizontal="center" vertical="center" shrinkToFit="1"/>
    </xf>
    <xf numFmtId="186" fontId="20" fillId="0" borderId="7" xfId="18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20" fillId="0" borderId="7" xfId="18" applyFont="1" applyBorder="1" applyAlignment="1">
      <alignment horizontal="center" vertical="center"/>
    </xf>
    <xf numFmtId="49" fontId="20" fillId="0" borderId="7" xfId="18" applyNumberFormat="1" applyFont="1" applyBorder="1" applyAlignment="1">
      <alignment horizontal="center" vertical="center" shrinkToFit="1"/>
    </xf>
    <xf numFmtId="0" fontId="20" fillId="12" borderId="7" xfId="18" applyFont="1" applyFill="1" applyBorder="1" applyAlignment="1">
      <alignment horizontal="center" vertical="center" shrinkToFit="1"/>
    </xf>
    <xf numFmtId="41" fontId="41" fillId="2" borderId="8" xfId="10" applyNumberFormat="1" applyFont="1" applyFill="1" applyBorder="1" applyAlignment="1">
      <alignment horizontal="center" vertical="center" shrinkToFit="1"/>
    </xf>
    <xf numFmtId="41" fontId="41" fillId="2" borderId="13" xfId="20" applyFont="1" applyFill="1" applyBorder="1" applyAlignment="1">
      <alignment horizontal="center" vertical="center" shrinkToFit="1"/>
    </xf>
    <xf numFmtId="41" fontId="41" fillId="2" borderId="14" xfId="20" applyFont="1" applyFill="1" applyBorder="1" applyAlignment="1">
      <alignment horizontal="center" vertical="center" shrinkToFit="1"/>
    </xf>
    <xf numFmtId="0" fontId="41" fillId="2" borderId="7" xfId="18" applyNumberFormat="1" applyFont="1" applyFill="1" applyBorder="1" applyAlignment="1">
      <alignment horizontal="center" vertical="center" shrinkToFit="1"/>
    </xf>
    <xf numFmtId="0" fontId="41" fillId="2" borderId="27" xfId="18" applyNumberFormat="1" applyFont="1" applyFill="1" applyBorder="1" applyAlignment="1">
      <alignment horizontal="center" vertical="center" shrinkToFit="1"/>
    </xf>
    <xf numFmtId="0" fontId="26" fillId="10" borderId="7" xfId="18" applyFont="1" applyFill="1" applyBorder="1" applyAlignment="1">
      <alignment horizontal="center" vertical="center" shrinkToFit="1"/>
    </xf>
    <xf numFmtId="183" fontId="20" fillId="10" borderId="7" xfId="18" applyNumberFormat="1" applyFont="1" applyFill="1" applyBorder="1" applyAlignment="1">
      <alignment horizontal="center" vertical="center" shrinkToFit="1"/>
    </xf>
    <xf numFmtId="182" fontId="20" fillId="10" borderId="7" xfId="18" applyNumberFormat="1" applyFont="1" applyFill="1" applyBorder="1" applyAlignment="1">
      <alignment horizontal="center" vertical="center"/>
    </xf>
    <xf numFmtId="0" fontId="20" fillId="10" borderId="7" xfId="18" applyFont="1" applyFill="1" applyBorder="1" applyAlignment="1">
      <alignment horizontal="center" vertical="center" shrinkToFit="1"/>
    </xf>
    <xf numFmtId="0" fontId="20" fillId="10" borderId="27" xfId="18" applyFont="1" applyFill="1" applyBorder="1" applyAlignment="1">
      <alignment horizontal="center" vertical="center" shrinkToFit="1"/>
    </xf>
    <xf numFmtId="41" fontId="48" fillId="10" borderId="10" xfId="8" applyFont="1" applyFill="1" applyBorder="1" applyAlignment="1">
      <alignment horizontal="center" vertical="center" shrinkToFit="1"/>
    </xf>
    <xf numFmtId="41" fontId="48" fillId="10" borderId="2" xfId="8" applyFont="1" applyFill="1" applyBorder="1" applyAlignment="1">
      <alignment horizontal="center" vertical="center" shrinkToFit="1"/>
    </xf>
    <xf numFmtId="41" fontId="48" fillId="10" borderId="13" xfId="8" applyFont="1" applyFill="1" applyBorder="1" applyAlignment="1">
      <alignment horizontal="center" vertical="center" shrinkToFit="1"/>
    </xf>
    <xf numFmtId="41" fontId="48" fillId="10" borderId="12" xfId="8" applyFont="1" applyFill="1" applyBorder="1" applyAlignment="1">
      <alignment horizontal="center" vertical="center" shrinkToFit="1"/>
    </xf>
    <xf numFmtId="41" fontId="49" fillId="9" borderId="13" xfId="8" applyFont="1" applyFill="1" applyBorder="1" applyAlignment="1">
      <alignment horizontal="center" vertical="center" shrinkToFit="1"/>
    </xf>
    <xf numFmtId="0" fontId="20" fillId="10" borderId="10" xfId="18" applyFont="1" applyFill="1" applyBorder="1" applyAlignment="1">
      <alignment horizontal="center" vertical="center" shrinkToFit="1"/>
    </xf>
    <xf numFmtId="41" fontId="48" fillId="10" borderId="3" xfId="8" applyFont="1" applyFill="1" applyBorder="1" applyAlignment="1">
      <alignment horizontal="center" vertical="center" shrinkToFit="1"/>
    </xf>
    <xf numFmtId="41" fontId="48" fillId="10" borderId="14" xfId="8" applyFont="1" applyFill="1" applyBorder="1" applyAlignment="1">
      <alignment horizontal="center" vertical="center" shrinkToFit="1"/>
    </xf>
    <xf numFmtId="41" fontId="49" fillId="9" borderId="3" xfId="8" applyFont="1" applyFill="1" applyBorder="1" applyAlignment="1">
      <alignment horizontal="center" vertical="center" shrinkToFit="1"/>
    </xf>
    <xf numFmtId="41" fontId="49" fillId="9" borderId="14" xfId="8" applyFont="1" applyFill="1" applyBorder="1" applyAlignment="1">
      <alignment horizontal="center" vertical="center" shrinkToFit="1"/>
    </xf>
    <xf numFmtId="41" fontId="29" fillId="9" borderId="13" xfId="0" applyNumberFormat="1" applyFont="1" applyFill="1" applyBorder="1">
      <alignment vertical="center"/>
    </xf>
    <xf numFmtId="0" fontId="0" fillId="0" borderId="0" xfId="0" applyFont="1" applyFill="1">
      <alignment vertical="center"/>
    </xf>
    <xf numFmtId="41" fontId="46" fillId="0" borderId="8" xfId="0" applyNumberFormat="1" applyFont="1" applyBorder="1" applyAlignment="1">
      <alignment horizontal="center" vertical="center"/>
    </xf>
    <xf numFmtId="41" fontId="29" fillId="9" borderId="13" xfId="0" applyNumberFormat="1" applyFont="1" applyFill="1" applyBorder="1" applyAlignment="1">
      <alignment horizontal="center" vertical="center"/>
    </xf>
    <xf numFmtId="41" fontId="29" fillId="0" borderId="14" xfId="0" applyNumberFormat="1" applyFont="1" applyBorder="1" applyAlignment="1">
      <alignment horizontal="center" vertical="center"/>
    </xf>
    <xf numFmtId="41" fontId="29" fillId="0" borderId="8" xfId="0" applyNumberFormat="1" applyFont="1" applyBorder="1" applyAlignment="1">
      <alignment horizontal="center" vertical="center"/>
    </xf>
    <xf numFmtId="41" fontId="46" fillId="9" borderId="13" xfId="0" applyNumberFormat="1" applyFont="1" applyFill="1" applyBorder="1" applyAlignment="1">
      <alignment horizontal="center" vertical="center"/>
    </xf>
    <xf numFmtId="41" fontId="46" fillId="9" borderId="3" xfId="0" applyNumberFormat="1" applyFont="1" applyFill="1" applyBorder="1" applyAlignment="1">
      <alignment horizontal="center" vertical="center"/>
    </xf>
    <xf numFmtId="41" fontId="46" fillId="9" borderId="14" xfId="0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51" fillId="0" borderId="0" xfId="16" applyFont="1" applyBorder="1" applyAlignment="1">
      <alignment horizontal="left" vertical="center"/>
    </xf>
    <xf numFmtId="0" fontId="52" fillId="0" borderId="0" xfId="13" applyFont="1" applyAlignment="1">
      <alignment horizontal="center" vertical="center"/>
    </xf>
    <xf numFmtId="0" fontId="52" fillId="0" borderId="0" xfId="13" applyFont="1" applyAlignment="1">
      <alignment vertical="center"/>
    </xf>
    <xf numFmtId="0" fontId="52" fillId="0" borderId="0" xfId="13" applyFont="1" applyBorder="1" applyAlignment="1">
      <alignment vertical="center"/>
    </xf>
    <xf numFmtId="0" fontId="52" fillId="0" borderId="0" xfId="13" applyFont="1" applyAlignment="1">
      <alignment horizontal="right" vertical="center"/>
    </xf>
    <xf numFmtId="0" fontId="53" fillId="0" borderId="0" xfId="0" applyFont="1">
      <alignment vertical="center"/>
    </xf>
    <xf numFmtId="0" fontId="52" fillId="4" borderId="78" xfId="13" applyFont="1" applyFill="1" applyBorder="1" applyAlignment="1">
      <alignment horizontal="center" vertical="center"/>
    </xf>
    <xf numFmtId="0" fontId="52" fillId="4" borderId="16" xfId="13" applyFont="1" applyFill="1" applyBorder="1" applyAlignment="1">
      <alignment horizontal="center" vertical="center"/>
    </xf>
    <xf numFmtId="0" fontId="52" fillId="4" borderId="45" xfId="13" applyFont="1" applyFill="1" applyBorder="1" applyAlignment="1">
      <alignment horizontal="center" vertical="center"/>
    </xf>
    <xf numFmtId="0" fontId="52" fillId="4" borderId="79" xfId="13" applyFont="1" applyFill="1" applyBorder="1" applyAlignment="1">
      <alignment horizontal="center" vertical="center"/>
    </xf>
    <xf numFmtId="0" fontId="52" fillId="9" borderId="30" xfId="13" applyFont="1" applyFill="1" applyBorder="1" applyAlignment="1">
      <alignment horizontal="center" vertical="center"/>
    </xf>
    <xf numFmtId="0" fontId="52" fillId="9" borderId="16" xfId="13" applyFont="1" applyFill="1" applyBorder="1" applyAlignment="1">
      <alignment horizontal="center" vertical="center"/>
    </xf>
    <xf numFmtId="0" fontId="52" fillId="0" borderId="80" xfId="13" applyFont="1" applyBorder="1" applyAlignment="1">
      <alignment horizontal="center" vertical="center"/>
    </xf>
    <xf numFmtId="41" fontId="54" fillId="0" borderId="81" xfId="24" applyFont="1" applyFill="1" applyBorder="1" applyAlignment="1">
      <alignment horizontal="right" vertical="center"/>
    </xf>
    <xf numFmtId="41" fontId="54" fillId="0" borderId="7" xfId="24" applyFont="1" applyFill="1" applyBorder="1" applyAlignment="1">
      <alignment horizontal="right" vertical="center"/>
    </xf>
    <xf numFmtId="41" fontId="54" fillId="0" borderId="24" xfId="24" applyFont="1" applyFill="1" applyBorder="1" applyAlignment="1">
      <alignment horizontal="right" vertical="center"/>
    </xf>
    <xf numFmtId="41" fontId="54" fillId="0" borderId="82" xfId="24" applyFont="1" applyFill="1" applyBorder="1" applyAlignment="1">
      <alignment horizontal="right" vertical="center"/>
    </xf>
    <xf numFmtId="41" fontId="54" fillId="0" borderId="83" xfId="24" applyFont="1" applyFill="1" applyBorder="1" applyAlignment="1">
      <alignment horizontal="right" vertical="center"/>
    </xf>
    <xf numFmtId="41" fontId="52" fillId="0" borderId="25" xfId="24" applyFont="1" applyBorder="1" applyAlignment="1">
      <alignment horizontal="right" vertical="center"/>
    </xf>
    <xf numFmtId="0" fontId="52" fillId="0" borderId="84" xfId="13" applyFont="1" applyBorder="1" applyAlignment="1">
      <alignment horizontal="center" vertical="center"/>
    </xf>
    <xf numFmtId="41" fontId="54" fillId="0" borderId="85" xfId="24" applyFont="1" applyFill="1" applyBorder="1" applyAlignment="1">
      <alignment horizontal="right" vertical="center"/>
    </xf>
    <xf numFmtId="41" fontId="54" fillId="0" borderId="3" xfId="24" applyFont="1" applyFill="1" applyBorder="1" applyAlignment="1">
      <alignment horizontal="right" vertical="center"/>
    </xf>
    <xf numFmtId="41" fontId="54" fillId="0" borderId="8" xfId="24" applyFont="1" applyFill="1" applyBorder="1" applyAlignment="1">
      <alignment horizontal="right" vertical="center"/>
    </xf>
    <xf numFmtId="41" fontId="54" fillId="0" borderId="86" xfId="24" applyFont="1" applyFill="1" applyBorder="1" applyAlignment="1">
      <alignment horizontal="right" vertical="center"/>
    </xf>
    <xf numFmtId="41" fontId="54" fillId="0" borderId="87" xfId="24" applyFont="1" applyFill="1" applyBorder="1" applyAlignment="1">
      <alignment horizontal="right" vertical="center"/>
    </xf>
    <xf numFmtId="41" fontId="54" fillId="0" borderId="88" xfId="24" applyFont="1" applyFill="1" applyBorder="1" applyAlignment="1">
      <alignment horizontal="right" vertical="center"/>
    </xf>
    <xf numFmtId="41" fontId="54" fillId="0" borderId="90" xfId="24" applyFont="1" applyFill="1" applyBorder="1" applyAlignment="1">
      <alignment horizontal="right" vertical="center"/>
    </xf>
    <xf numFmtId="41" fontId="52" fillId="4" borderId="91" xfId="24" applyFont="1" applyFill="1" applyBorder="1" applyAlignment="1">
      <alignment horizontal="right" vertical="center"/>
    </xf>
    <xf numFmtId="41" fontId="52" fillId="4" borderId="92" xfId="24" applyFont="1" applyFill="1" applyBorder="1" applyAlignment="1">
      <alignment horizontal="right" vertical="center"/>
    </xf>
    <xf numFmtId="41" fontId="52" fillId="4" borderId="93" xfId="24" applyFont="1" applyFill="1" applyBorder="1" applyAlignment="1">
      <alignment horizontal="right" vertical="center"/>
    </xf>
    <xf numFmtId="0" fontId="50" fillId="0" borderId="0" xfId="13" applyFont="1" applyAlignment="1">
      <alignment vertical="center"/>
    </xf>
    <xf numFmtId="41" fontId="52" fillId="0" borderId="10" xfId="24" applyFont="1" applyBorder="1" applyAlignment="1">
      <alignment horizontal="right" vertical="center"/>
    </xf>
    <xf numFmtId="0" fontId="52" fillId="0" borderId="95" xfId="13" applyFont="1" applyBorder="1" applyAlignment="1">
      <alignment horizontal="center" vertical="center"/>
    </xf>
    <xf numFmtId="41" fontId="54" fillId="0" borderId="97" xfId="24" applyFont="1" applyFill="1" applyBorder="1" applyAlignment="1">
      <alignment horizontal="right" vertical="center"/>
    </xf>
    <xf numFmtId="0" fontId="26" fillId="0" borderId="25" xfId="0" applyFont="1" applyBorder="1" applyAlignment="1">
      <alignment horizontal="center" vertical="center" shrinkToFit="1"/>
    </xf>
    <xf numFmtId="0" fontId="55" fillId="0" borderId="99" xfId="13" applyFont="1" applyBorder="1" applyAlignment="1">
      <alignment vertical="center"/>
    </xf>
    <xf numFmtId="0" fontId="52" fillId="0" borderId="80" xfId="13" applyFont="1" applyFill="1" applyBorder="1" applyAlignment="1">
      <alignment horizontal="center" vertical="center"/>
    </xf>
    <xf numFmtId="41" fontId="52" fillId="0" borderId="87" xfId="24" applyFont="1" applyFill="1" applyBorder="1" applyAlignment="1">
      <alignment horizontal="right" vertical="center"/>
    </xf>
    <xf numFmtId="41" fontId="52" fillId="0" borderId="7" xfId="24" applyFont="1" applyFill="1" applyBorder="1" applyAlignment="1">
      <alignment horizontal="right" vertical="center"/>
    </xf>
    <xf numFmtId="0" fontId="52" fillId="0" borderId="84" xfId="13" applyFont="1" applyFill="1" applyBorder="1" applyAlignment="1">
      <alignment horizontal="center" vertical="center"/>
    </xf>
    <xf numFmtId="41" fontId="52" fillId="0" borderId="86" xfId="24" applyFont="1" applyFill="1" applyBorder="1" applyAlignment="1">
      <alignment horizontal="right" vertical="center"/>
    </xf>
    <xf numFmtId="41" fontId="54" fillId="12" borderId="3" xfId="24" applyFont="1" applyFill="1" applyBorder="1" applyAlignment="1">
      <alignment horizontal="right" vertical="center"/>
    </xf>
    <xf numFmtId="41" fontId="54" fillId="12" borderId="86" xfId="24" applyFont="1" applyFill="1" applyBorder="1" applyAlignment="1">
      <alignment horizontal="right" vertical="center"/>
    </xf>
    <xf numFmtId="41" fontId="56" fillId="0" borderId="89" xfId="24" applyFont="1" applyFill="1" applyBorder="1" applyAlignment="1">
      <alignment horizontal="right" vertical="center"/>
    </xf>
    <xf numFmtId="0" fontId="52" fillId="4" borderId="94" xfId="13" applyFont="1" applyFill="1" applyBorder="1" applyAlignment="1">
      <alignment horizontal="center" vertical="center"/>
    </xf>
    <xf numFmtId="41" fontId="52" fillId="9" borderId="91" xfId="24" applyFont="1" applyFill="1" applyBorder="1" applyAlignment="1">
      <alignment horizontal="right" vertical="center"/>
    </xf>
    <xf numFmtId="41" fontId="52" fillId="9" borderId="92" xfId="24" applyFont="1" applyFill="1" applyBorder="1" applyAlignment="1">
      <alignment horizontal="right" vertical="center"/>
    </xf>
    <xf numFmtId="0" fontId="54" fillId="0" borderId="0" xfId="13" applyFont="1">
      <alignment vertical="center"/>
    </xf>
    <xf numFmtId="0" fontId="57" fillId="0" borderId="0" xfId="0" applyFont="1">
      <alignment vertical="center"/>
    </xf>
    <xf numFmtId="0" fontId="58" fillId="0" borderId="0" xfId="0" applyFont="1" applyAlignment="1">
      <alignment vertical="center"/>
    </xf>
    <xf numFmtId="0" fontId="42" fillId="4" borderId="78" xfId="13" applyFont="1" applyFill="1" applyBorder="1" applyAlignment="1">
      <alignment horizontal="center" vertical="center"/>
    </xf>
    <xf numFmtId="0" fontId="42" fillId="4" borderId="16" xfId="13" applyFont="1" applyFill="1" applyBorder="1" applyAlignment="1">
      <alignment horizontal="center" vertical="center"/>
    </xf>
    <xf numFmtId="0" fontId="42" fillId="4" borderId="79" xfId="13" applyFont="1" applyFill="1" applyBorder="1" applyAlignment="1">
      <alignment horizontal="center" vertical="center"/>
    </xf>
    <xf numFmtId="0" fontId="42" fillId="4" borderId="34" xfId="13" applyFont="1" applyFill="1" applyBorder="1" applyAlignment="1">
      <alignment vertical="center"/>
    </xf>
    <xf numFmtId="0" fontId="45" fillId="4" borderId="60" xfId="13" applyFont="1" applyFill="1" applyBorder="1" applyAlignment="1">
      <alignment horizontal="center" vertical="center"/>
    </xf>
    <xf numFmtId="0" fontId="42" fillId="4" borderId="109" xfId="13" applyFont="1" applyFill="1" applyBorder="1" applyAlignment="1">
      <alignment vertical="center"/>
    </xf>
    <xf numFmtId="0" fontId="45" fillId="4" borderId="79" xfId="13" applyFont="1" applyFill="1" applyBorder="1" applyAlignment="1">
      <alignment horizontal="center" vertical="center"/>
    </xf>
    <xf numFmtId="0" fontId="42" fillId="9" borderId="109" xfId="13" applyFont="1" applyFill="1" applyBorder="1" applyAlignment="1">
      <alignment vertical="center"/>
    </xf>
    <xf numFmtId="0" fontId="45" fillId="4" borderId="16" xfId="13" applyFont="1" applyFill="1" applyBorder="1" applyAlignment="1">
      <alignment horizontal="center" vertical="center"/>
    </xf>
    <xf numFmtId="0" fontId="26" fillId="0" borderId="24" xfId="13" applyFont="1" applyFill="1" applyBorder="1" applyAlignment="1">
      <alignment horizontal="center" vertical="center"/>
    </xf>
    <xf numFmtId="41" fontId="26" fillId="0" borderId="83" xfId="24" applyFont="1" applyFill="1" applyBorder="1" applyAlignment="1">
      <alignment horizontal="right" vertical="center"/>
    </xf>
    <xf numFmtId="41" fontId="26" fillId="0" borderId="7" xfId="24" applyFont="1" applyFill="1" applyBorder="1" applyAlignment="1">
      <alignment horizontal="right" vertical="center"/>
    </xf>
    <xf numFmtId="41" fontId="26" fillId="0" borderId="82" xfId="24" applyFont="1" applyFill="1" applyBorder="1" applyAlignment="1">
      <alignment horizontal="center" vertical="center"/>
    </xf>
    <xf numFmtId="41" fontId="26" fillId="0" borderId="25" xfId="24" applyFont="1" applyFill="1" applyBorder="1" applyAlignment="1">
      <alignment horizontal="right" vertical="center"/>
    </xf>
    <xf numFmtId="41" fontId="59" fillId="0" borderId="15" xfId="24" applyFont="1" applyFill="1" applyBorder="1" applyAlignment="1">
      <alignment horizontal="right" vertical="center"/>
    </xf>
    <xf numFmtId="41" fontId="26" fillId="0" borderId="80" xfId="24" applyFont="1" applyFill="1" applyBorder="1" applyAlignment="1">
      <alignment horizontal="center" vertical="center"/>
    </xf>
    <xf numFmtId="41" fontId="26" fillId="0" borderId="15" xfId="24" applyFont="1" applyFill="1" applyBorder="1" applyAlignment="1">
      <alignment horizontal="right" vertical="center"/>
    </xf>
    <xf numFmtId="41" fontId="26" fillId="0" borderId="80" xfId="24" applyFont="1" applyFill="1" applyBorder="1" applyAlignment="1">
      <alignment horizontal="right" vertical="center"/>
    </xf>
    <xf numFmtId="41" fontId="59" fillId="0" borderId="82" xfId="24" applyFont="1" applyFill="1" applyBorder="1" applyAlignment="1">
      <alignment horizontal="right" vertical="center"/>
    </xf>
    <xf numFmtId="41" fontId="26" fillId="0" borderId="81" xfId="24" applyFont="1" applyFill="1" applyBorder="1" applyAlignment="1">
      <alignment horizontal="right" vertical="center"/>
    </xf>
    <xf numFmtId="41" fontId="42" fillId="0" borderId="83" xfId="24" applyFont="1" applyFill="1" applyBorder="1" applyAlignment="1">
      <alignment horizontal="right" vertical="center"/>
    </xf>
    <xf numFmtId="41" fontId="45" fillId="0" borderId="7" xfId="24" applyFont="1" applyFill="1" applyBorder="1" applyAlignment="1">
      <alignment horizontal="right" vertical="center"/>
    </xf>
    <xf numFmtId="41" fontId="45" fillId="0" borderId="82" xfId="24" applyFont="1" applyFill="1" applyBorder="1" applyAlignment="1">
      <alignment horizontal="right" vertical="center"/>
    </xf>
    <xf numFmtId="0" fontId="26" fillId="0" borderId="8" xfId="13" applyFont="1" applyFill="1" applyBorder="1" applyAlignment="1">
      <alignment horizontal="center" vertical="center"/>
    </xf>
    <xf numFmtId="41" fontId="26" fillId="0" borderId="87" xfId="24" applyFont="1" applyFill="1" applyBorder="1" applyAlignment="1">
      <alignment horizontal="right" vertical="center"/>
    </xf>
    <xf numFmtId="41" fontId="26" fillId="0" borderId="3" xfId="24" applyFont="1" applyFill="1" applyBorder="1" applyAlignment="1">
      <alignment horizontal="right" vertical="center"/>
    </xf>
    <xf numFmtId="41" fontId="26" fillId="0" borderId="10" xfId="24" applyFont="1" applyFill="1" applyBorder="1" applyAlignment="1">
      <alignment horizontal="right" vertical="center"/>
    </xf>
    <xf numFmtId="41" fontId="59" fillId="0" borderId="2" xfId="24" applyFont="1" applyFill="1" applyBorder="1" applyAlignment="1">
      <alignment horizontal="right" vertical="center"/>
    </xf>
    <xf numFmtId="41" fontId="26" fillId="0" borderId="84" xfId="24" applyFont="1" applyFill="1" applyBorder="1" applyAlignment="1">
      <alignment horizontal="center" vertical="center"/>
    </xf>
    <xf numFmtId="41" fontId="26" fillId="0" borderId="2" xfId="24" applyFont="1" applyFill="1" applyBorder="1" applyAlignment="1">
      <alignment horizontal="right" vertical="center"/>
    </xf>
    <xf numFmtId="41" fontId="26" fillId="0" borderId="84" xfId="24" applyFont="1" applyFill="1" applyBorder="1" applyAlignment="1">
      <alignment horizontal="right" vertical="center"/>
    </xf>
    <xf numFmtId="41" fontId="59" fillId="0" borderId="86" xfId="24" applyFont="1" applyFill="1" applyBorder="1" applyAlignment="1">
      <alignment horizontal="right" vertical="center"/>
    </xf>
    <xf numFmtId="41" fontId="26" fillId="0" borderId="85" xfId="24" applyFont="1" applyFill="1" applyBorder="1" applyAlignment="1">
      <alignment horizontal="right" vertical="center"/>
    </xf>
    <xf numFmtId="41" fontId="42" fillId="0" borderId="87" xfId="24" applyFont="1" applyFill="1" applyBorder="1" applyAlignment="1">
      <alignment horizontal="right" vertical="center"/>
    </xf>
    <xf numFmtId="41" fontId="45" fillId="0" borderId="3" xfId="24" applyFont="1" applyFill="1" applyBorder="1" applyAlignment="1">
      <alignment horizontal="right" vertical="center"/>
    </xf>
    <xf numFmtId="41" fontId="45" fillId="0" borderId="86" xfId="24" applyFont="1" applyFill="1" applyBorder="1" applyAlignment="1">
      <alignment horizontal="right" vertical="center"/>
    </xf>
    <xf numFmtId="0" fontId="26" fillId="0" borderId="89" xfId="13" applyFont="1" applyFill="1" applyBorder="1" applyAlignment="1">
      <alignment horizontal="center" vertical="center"/>
    </xf>
    <xf numFmtId="41" fontId="26" fillId="0" borderId="97" xfId="24" applyFont="1" applyFill="1" applyBorder="1" applyAlignment="1">
      <alignment horizontal="right" vertical="center"/>
    </xf>
    <xf numFmtId="41" fontId="26" fillId="0" borderId="88" xfId="24" applyFont="1" applyFill="1" applyBorder="1" applyAlignment="1">
      <alignment horizontal="right" vertical="center"/>
    </xf>
    <xf numFmtId="41" fontId="26" fillId="0" borderId="111" xfId="24" applyFont="1" applyFill="1" applyBorder="1" applyAlignment="1">
      <alignment horizontal="center" vertical="center"/>
    </xf>
    <xf numFmtId="41" fontId="26" fillId="0" borderId="112" xfId="24" applyFont="1" applyFill="1" applyBorder="1" applyAlignment="1">
      <alignment horizontal="right" vertical="center"/>
    </xf>
    <xf numFmtId="41" fontId="59" fillId="0" borderId="113" xfId="24" applyFont="1" applyFill="1" applyBorder="1" applyAlignment="1">
      <alignment horizontal="right" vertical="center"/>
    </xf>
    <xf numFmtId="41" fontId="26" fillId="0" borderId="95" xfId="24" applyFont="1" applyFill="1" applyBorder="1" applyAlignment="1">
      <alignment horizontal="center" vertical="center"/>
    </xf>
    <xf numFmtId="41" fontId="26" fillId="0" borderId="113" xfId="24" applyFont="1" applyFill="1" applyBorder="1" applyAlignment="1">
      <alignment horizontal="right" vertical="center"/>
    </xf>
    <xf numFmtId="41" fontId="26" fillId="0" borderId="95" xfId="24" applyFont="1" applyFill="1" applyBorder="1" applyAlignment="1">
      <alignment horizontal="right" vertical="center"/>
    </xf>
    <xf numFmtId="41" fontId="59" fillId="0" borderId="90" xfId="24" applyFont="1" applyFill="1" applyBorder="1" applyAlignment="1">
      <alignment horizontal="right" vertical="center"/>
    </xf>
    <xf numFmtId="41" fontId="26" fillId="0" borderId="96" xfId="24" applyFont="1" applyFill="1" applyBorder="1" applyAlignment="1">
      <alignment horizontal="right" vertical="center"/>
    </xf>
    <xf numFmtId="41" fontId="42" fillId="0" borderId="97" xfId="24" applyFont="1" applyFill="1" applyBorder="1" applyAlignment="1">
      <alignment horizontal="right" vertical="center"/>
    </xf>
    <xf numFmtId="41" fontId="45" fillId="0" borderId="88" xfId="24" applyFont="1" applyFill="1" applyBorder="1" applyAlignment="1">
      <alignment horizontal="right" vertical="center"/>
    </xf>
    <xf numFmtId="41" fontId="45" fillId="0" borderId="90" xfId="24" applyFont="1" applyFill="1" applyBorder="1" applyAlignment="1">
      <alignment horizontal="right" vertical="center"/>
    </xf>
    <xf numFmtId="41" fontId="26" fillId="0" borderId="83" xfId="24" applyNumberFormat="1" applyFont="1" applyFill="1" applyBorder="1" applyAlignment="1">
      <alignment horizontal="right" vertical="center"/>
    </xf>
    <xf numFmtId="41" fontId="60" fillId="0" borderId="82" xfId="24" applyFont="1" applyFill="1" applyBorder="1" applyAlignment="1">
      <alignment horizontal="right" vertical="center"/>
    </xf>
    <xf numFmtId="41" fontId="60" fillId="0" borderId="86" xfId="24" applyFont="1" applyFill="1" applyBorder="1" applyAlignment="1">
      <alignment horizontal="right" vertical="center"/>
    </xf>
    <xf numFmtId="41" fontId="26" fillId="0" borderId="114" xfId="24" applyFont="1" applyFill="1" applyBorder="1" applyAlignment="1">
      <alignment horizontal="right" vertical="center"/>
    </xf>
    <xf numFmtId="41" fontId="24" fillId="0" borderId="115" xfId="0" applyNumberFormat="1" applyFont="1" applyFill="1" applyBorder="1">
      <alignment vertical="center"/>
    </xf>
    <xf numFmtId="0" fontId="26" fillId="0" borderId="90" xfId="13" applyFont="1" applyFill="1" applyBorder="1" applyAlignment="1">
      <alignment horizontal="center" vertical="center"/>
    </xf>
    <xf numFmtId="41" fontId="60" fillId="0" borderId="90" xfId="24" applyFont="1" applyFill="1" applyBorder="1" applyAlignment="1">
      <alignment horizontal="right" vertical="center"/>
    </xf>
    <xf numFmtId="0" fontId="26" fillId="0" borderId="74" xfId="13" applyFont="1" applyFill="1" applyBorder="1" applyAlignment="1">
      <alignment horizontal="center" vertical="center"/>
    </xf>
    <xf numFmtId="41" fontId="26" fillId="0" borderId="72" xfId="24" applyFont="1" applyFill="1" applyBorder="1" applyAlignment="1">
      <alignment horizontal="right" vertical="center"/>
    </xf>
    <xf numFmtId="41" fontId="26" fillId="0" borderId="76" xfId="24" applyFont="1" applyFill="1" applyBorder="1" applyAlignment="1">
      <alignment horizontal="right" vertical="center"/>
    </xf>
    <xf numFmtId="41" fontId="26" fillId="0" borderId="75" xfId="24" applyFont="1" applyFill="1" applyBorder="1" applyAlignment="1">
      <alignment horizontal="center" vertical="center"/>
    </xf>
    <xf numFmtId="41" fontId="59" fillId="0" borderId="75" xfId="24" applyFont="1" applyFill="1" applyBorder="1" applyAlignment="1">
      <alignment horizontal="right" vertical="center"/>
    </xf>
    <xf numFmtId="41" fontId="26" fillId="0" borderId="71" xfId="24" applyFont="1" applyFill="1" applyBorder="1" applyAlignment="1">
      <alignment horizontal="center" vertical="center"/>
    </xf>
    <xf numFmtId="41" fontId="26" fillId="0" borderId="101" xfId="24" applyFont="1" applyFill="1" applyBorder="1" applyAlignment="1">
      <alignment horizontal="right" vertical="center"/>
    </xf>
    <xf numFmtId="41" fontId="26" fillId="0" borderId="71" xfId="24" applyFont="1" applyFill="1" applyBorder="1" applyAlignment="1">
      <alignment horizontal="right" vertical="center"/>
    </xf>
    <xf numFmtId="41" fontId="59" fillId="0" borderId="102" xfId="24" applyFont="1" applyFill="1" applyBorder="1" applyAlignment="1">
      <alignment horizontal="right" vertical="center"/>
    </xf>
    <xf numFmtId="41" fontId="26" fillId="0" borderId="100" xfId="24" applyFont="1" applyFill="1" applyBorder="1" applyAlignment="1">
      <alignment horizontal="right" vertical="center"/>
    </xf>
    <xf numFmtId="41" fontId="42" fillId="0" borderId="72" xfId="24" applyFont="1" applyFill="1" applyBorder="1" applyAlignment="1">
      <alignment horizontal="right" vertical="center"/>
    </xf>
    <xf numFmtId="41" fontId="45" fillId="0" borderId="73" xfId="24" applyFont="1" applyFill="1" applyBorder="1" applyAlignment="1">
      <alignment horizontal="right" vertical="center"/>
    </xf>
    <xf numFmtId="41" fontId="45" fillId="0" borderId="75" xfId="24" applyFont="1" applyFill="1" applyBorder="1" applyAlignment="1">
      <alignment horizontal="right" vertical="center"/>
    </xf>
    <xf numFmtId="41" fontId="59" fillId="0" borderId="114" xfId="24" applyFont="1" applyFill="1" applyBorder="1" applyAlignment="1">
      <alignment horizontal="right" vertical="center"/>
    </xf>
    <xf numFmtId="0" fontId="26" fillId="0" borderId="79" xfId="13" applyFont="1" applyFill="1" applyBorder="1" applyAlignment="1">
      <alignment horizontal="center" vertical="center"/>
    </xf>
    <xf numFmtId="41" fontId="26" fillId="0" borderId="78" xfId="24" applyFont="1" applyFill="1" applyBorder="1" applyAlignment="1">
      <alignment horizontal="right" vertical="center"/>
    </xf>
    <xf numFmtId="41" fontId="26" fillId="0" borderId="30" xfId="24" applyFont="1" applyFill="1" applyBorder="1" applyAlignment="1">
      <alignment horizontal="right" vertical="center"/>
    </xf>
    <xf numFmtId="41" fontId="26" fillId="0" borderId="116" xfId="24" applyFont="1" applyFill="1" applyBorder="1" applyAlignment="1">
      <alignment horizontal="center" vertical="center"/>
    </xf>
    <xf numFmtId="0" fontId="42" fillId="4" borderId="24" xfId="13" applyFont="1" applyFill="1" applyBorder="1" applyAlignment="1">
      <alignment horizontal="center" vertical="center"/>
    </xf>
    <xf numFmtId="41" fontId="42" fillId="4" borderId="83" xfId="24" applyFont="1" applyFill="1" applyBorder="1" applyAlignment="1">
      <alignment horizontal="right" vertical="center"/>
    </xf>
    <xf numFmtId="41" fontId="42" fillId="4" borderId="7" xfId="24" applyFont="1" applyFill="1" applyBorder="1" applyAlignment="1">
      <alignment horizontal="right" vertical="center"/>
    </xf>
    <xf numFmtId="41" fontId="42" fillId="4" borderId="82" xfId="24" applyFont="1" applyFill="1" applyBorder="1" applyAlignment="1">
      <alignment horizontal="center" vertical="center"/>
    </xf>
    <xf numFmtId="41" fontId="45" fillId="4" borderId="15" xfId="24" applyFont="1" applyFill="1" applyBorder="1" applyAlignment="1">
      <alignment horizontal="right" vertical="center"/>
    </xf>
    <xf numFmtId="41" fontId="42" fillId="9" borderId="120" xfId="24" applyFont="1" applyFill="1" applyBorder="1" applyAlignment="1">
      <alignment horizontal="right" vertical="center"/>
    </xf>
    <xf numFmtId="0" fontId="42" fillId="4" borderId="8" xfId="13" applyFont="1" applyFill="1" applyBorder="1" applyAlignment="1">
      <alignment horizontal="center" vertical="center"/>
    </xf>
    <xf numFmtId="41" fontId="42" fillId="4" borderId="87" xfId="24" applyFont="1" applyFill="1" applyBorder="1" applyAlignment="1">
      <alignment horizontal="right" vertical="center"/>
    </xf>
    <xf numFmtId="41" fontId="42" fillId="4" borderId="3" xfId="24" applyFont="1" applyFill="1" applyBorder="1" applyAlignment="1">
      <alignment horizontal="right" vertical="center"/>
    </xf>
    <xf numFmtId="41" fontId="42" fillId="4" borderId="86" xfId="24" applyFont="1" applyFill="1" applyBorder="1" applyAlignment="1">
      <alignment horizontal="center" vertical="center"/>
    </xf>
    <xf numFmtId="41" fontId="42" fillId="4" borderId="84" xfId="24" applyFont="1" applyFill="1" applyBorder="1" applyAlignment="1">
      <alignment horizontal="center" vertical="center"/>
    </xf>
    <xf numFmtId="41" fontId="42" fillId="4" borderId="2" xfId="24" applyFont="1" applyFill="1" applyBorder="1" applyAlignment="1">
      <alignment horizontal="right" vertical="center"/>
    </xf>
    <xf numFmtId="41" fontId="42" fillId="4" borderId="84" xfId="24" applyFont="1" applyFill="1" applyBorder="1" applyAlignment="1">
      <alignment horizontal="right" vertical="center"/>
    </xf>
    <xf numFmtId="41" fontId="42" fillId="4" borderId="85" xfId="24" applyFont="1" applyFill="1" applyBorder="1" applyAlignment="1">
      <alignment horizontal="right" vertical="center"/>
    </xf>
    <xf numFmtId="41" fontId="42" fillId="4" borderId="10" xfId="24" applyFont="1" applyFill="1" applyBorder="1" applyAlignment="1">
      <alignment horizontal="right" vertical="center"/>
    </xf>
    <xf numFmtId="41" fontId="42" fillId="9" borderId="83" xfId="24" applyFont="1" applyFill="1" applyBorder="1" applyAlignment="1">
      <alignment horizontal="right" vertical="center"/>
    </xf>
    <xf numFmtId="41" fontId="45" fillId="9" borderId="3" xfId="24" applyFont="1" applyFill="1" applyBorder="1" applyAlignment="1">
      <alignment horizontal="right" vertical="center"/>
    </xf>
    <xf numFmtId="41" fontId="45" fillId="9" borderId="86" xfId="24" applyFont="1" applyFill="1" applyBorder="1" applyAlignment="1">
      <alignment horizontal="right" vertical="center"/>
    </xf>
    <xf numFmtId="0" fontId="42" fillId="4" borderId="89" xfId="13" applyFont="1" applyFill="1" applyBorder="1" applyAlignment="1">
      <alignment horizontal="center" vertical="center"/>
    </xf>
    <xf numFmtId="41" fontId="42" fillId="4" borderId="97" xfId="24" applyFont="1" applyFill="1" applyBorder="1" applyAlignment="1">
      <alignment horizontal="right" vertical="center"/>
    </xf>
    <xf numFmtId="41" fontId="42" fillId="4" borderId="88" xfId="24" applyFont="1" applyFill="1" applyBorder="1" applyAlignment="1">
      <alignment horizontal="right" vertical="center"/>
    </xf>
    <xf numFmtId="41" fontId="42" fillId="4" borderId="90" xfId="24" applyFont="1" applyFill="1" applyBorder="1" applyAlignment="1">
      <alignment horizontal="center" vertical="center"/>
    </xf>
    <xf numFmtId="41" fontId="42" fillId="4" borderId="112" xfId="24" applyFont="1" applyFill="1" applyBorder="1" applyAlignment="1">
      <alignment horizontal="right" vertical="center"/>
    </xf>
    <xf numFmtId="41" fontId="45" fillId="4" borderId="121" xfId="24" applyFont="1" applyFill="1" applyBorder="1" applyAlignment="1">
      <alignment horizontal="right" vertical="center"/>
    </xf>
    <xf numFmtId="41" fontId="42" fillId="4" borderId="95" xfId="24" applyFont="1" applyFill="1" applyBorder="1" applyAlignment="1">
      <alignment horizontal="center" vertical="center"/>
    </xf>
    <xf numFmtId="41" fontId="42" fillId="4" borderId="113" xfId="24" applyFont="1" applyFill="1" applyBorder="1" applyAlignment="1">
      <alignment horizontal="right" vertical="center"/>
    </xf>
    <xf numFmtId="41" fontId="42" fillId="4" borderId="95" xfId="24" applyFont="1" applyFill="1" applyBorder="1" applyAlignment="1">
      <alignment horizontal="right" vertical="center"/>
    </xf>
    <xf numFmtId="41" fontId="42" fillId="4" borderId="96" xfId="24" applyFont="1" applyFill="1" applyBorder="1" applyAlignment="1">
      <alignment horizontal="right" vertical="center"/>
    </xf>
    <xf numFmtId="41" fontId="42" fillId="9" borderId="97" xfId="24" applyFont="1" applyFill="1" applyBorder="1" applyAlignment="1">
      <alignment horizontal="right" vertical="center"/>
    </xf>
    <xf numFmtId="41" fontId="45" fillId="9" borderId="88" xfId="24" applyFont="1" applyFill="1" applyBorder="1" applyAlignment="1">
      <alignment horizontal="right" vertical="center"/>
    </xf>
    <xf numFmtId="41" fontId="45" fillId="9" borderId="111" xfId="24" applyFont="1" applyFill="1" applyBorder="1" applyAlignment="1">
      <alignment horizontal="right" vertical="center"/>
    </xf>
    <xf numFmtId="0" fontId="61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3" fillId="0" borderId="0" xfId="0" applyFont="1" applyFill="1">
      <alignment vertical="center"/>
    </xf>
    <xf numFmtId="0" fontId="42" fillId="4" borderId="16" xfId="0" applyFont="1" applyFill="1" applyBorder="1" applyAlignment="1">
      <alignment horizontal="center" vertical="center"/>
    </xf>
    <xf numFmtId="0" fontId="42" fillId="4" borderId="124" xfId="0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/>
    </xf>
    <xf numFmtId="187" fontId="26" fillId="12" borderId="7" xfId="8" applyNumberFormat="1" applyFont="1" applyFill="1" applyBorder="1" applyAlignment="1">
      <alignment horizontal="center" vertical="center"/>
    </xf>
    <xf numFmtId="187" fontId="26" fillId="0" borderId="7" xfId="8" applyNumberFormat="1" applyFont="1" applyFill="1" applyBorder="1" applyAlignment="1">
      <alignment horizontal="center" vertical="center"/>
    </xf>
    <xf numFmtId="187" fontId="42" fillId="0" borderId="7" xfId="8" applyNumberFormat="1" applyFont="1" applyFill="1" applyBorder="1" applyAlignment="1">
      <alignment horizontal="center" vertical="center"/>
    </xf>
    <xf numFmtId="0" fontId="42" fillId="0" borderId="3" xfId="0" applyFont="1" applyFill="1" applyBorder="1" applyAlignment="1">
      <alignment horizontal="center" vertical="center"/>
    </xf>
    <xf numFmtId="187" fontId="26" fillId="12" borderId="3" xfId="8" applyNumberFormat="1" applyFont="1" applyFill="1" applyBorder="1" applyAlignment="1">
      <alignment horizontal="center" vertical="center"/>
    </xf>
    <xf numFmtId="187" fontId="26" fillId="0" borderId="3" xfId="8" applyNumberFormat="1" applyFont="1" applyFill="1" applyBorder="1" applyAlignment="1">
      <alignment horizontal="center" vertical="center"/>
    </xf>
    <xf numFmtId="187" fontId="42" fillId="0" borderId="3" xfId="8" applyNumberFormat="1" applyFont="1" applyFill="1" applyBorder="1" applyAlignment="1">
      <alignment horizontal="center" vertical="center"/>
    </xf>
    <xf numFmtId="187" fontId="42" fillId="2" borderId="3" xfId="8" applyNumberFormat="1" applyFont="1" applyFill="1" applyBorder="1" applyAlignment="1">
      <alignment horizontal="center" vertical="center"/>
    </xf>
    <xf numFmtId="187" fontId="29" fillId="12" borderId="3" xfId="8" applyNumberFormat="1" applyFont="1" applyFill="1" applyBorder="1" applyAlignment="1">
      <alignment horizontal="center" vertical="center"/>
    </xf>
    <xf numFmtId="187" fontId="46" fillId="12" borderId="3" xfId="8" applyNumberFormat="1" applyFont="1" applyFill="1" applyBorder="1" applyAlignment="1">
      <alignment horizontal="center" vertical="center"/>
    </xf>
    <xf numFmtId="187" fontId="46" fillId="0" borderId="3" xfId="8" applyNumberFormat="1" applyFont="1" applyFill="1" applyBorder="1" applyAlignment="1">
      <alignment horizontal="center" vertical="center"/>
    </xf>
    <xf numFmtId="187" fontId="46" fillId="0" borderId="3" xfId="8" applyNumberFormat="1" applyFont="1" applyFill="1" applyBorder="1" applyAlignment="1">
      <alignment horizontal="center" vertical="center" wrapText="1"/>
    </xf>
    <xf numFmtId="187" fontId="29" fillId="0" borderId="3" xfId="8" applyNumberFormat="1" applyFont="1" applyFill="1" applyBorder="1" applyAlignment="1">
      <alignment horizontal="center" vertical="center"/>
    </xf>
    <xf numFmtId="187" fontId="42" fillId="2" borderId="16" xfId="8" applyNumberFormat="1" applyFont="1" applyFill="1" applyBorder="1" applyAlignment="1">
      <alignment horizontal="center" vertical="center"/>
    </xf>
    <xf numFmtId="187" fontId="64" fillId="3" borderId="129" xfId="13" applyNumberFormat="1" applyFont="1" applyFill="1" applyBorder="1" applyAlignment="1">
      <alignment horizontal="center" vertical="center"/>
    </xf>
    <xf numFmtId="187" fontId="42" fillId="2" borderId="3" xfId="0" applyNumberFormat="1" applyFont="1" applyFill="1" applyBorder="1" applyAlignment="1">
      <alignment horizontal="center" vertical="center"/>
    </xf>
    <xf numFmtId="187" fontId="64" fillId="3" borderId="88" xfId="0" applyNumberFormat="1" applyFont="1" applyFill="1" applyBorder="1" applyAlignment="1">
      <alignment horizontal="center" vertical="center"/>
    </xf>
    <xf numFmtId="0" fontId="52" fillId="4" borderId="133" xfId="13" applyFont="1" applyFill="1" applyBorder="1" applyAlignment="1">
      <alignment horizontal="center" vertical="center"/>
    </xf>
    <xf numFmtId="41" fontId="52" fillId="4" borderId="128" xfId="24" applyFont="1" applyFill="1" applyBorder="1" applyAlignment="1">
      <alignment horizontal="right" vertical="center"/>
    </xf>
    <xf numFmtId="41" fontId="52" fillId="4" borderId="129" xfId="24" applyFont="1" applyFill="1" applyBorder="1" applyAlignment="1">
      <alignment horizontal="right" vertical="center"/>
    </xf>
    <xf numFmtId="41" fontId="52" fillId="4" borderId="134" xfId="24" applyFont="1" applyFill="1" applyBorder="1" applyAlignment="1">
      <alignment horizontal="right" vertical="center"/>
    </xf>
    <xf numFmtId="41" fontId="52" fillId="4" borderId="111" xfId="24" applyFont="1" applyFill="1" applyBorder="1" applyAlignment="1">
      <alignment horizontal="right" vertical="center"/>
    </xf>
    <xf numFmtId="41" fontId="52" fillId="4" borderId="135" xfId="24" applyFont="1" applyFill="1" applyBorder="1" applyAlignment="1">
      <alignment horizontal="right" vertical="center"/>
    </xf>
    <xf numFmtId="41" fontId="52" fillId="9" borderId="98" xfId="24" applyFont="1" applyFill="1" applyBorder="1" applyAlignment="1">
      <alignment horizontal="right" vertical="center"/>
    </xf>
    <xf numFmtId="0" fontId="52" fillId="0" borderId="77" xfId="13" applyFont="1" applyBorder="1" applyAlignment="1">
      <alignment horizontal="center" vertical="center"/>
    </xf>
    <xf numFmtId="41" fontId="54" fillId="0" borderId="118" xfId="24" applyFont="1" applyFill="1" applyBorder="1" applyAlignment="1">
      <alignment horizontal="right" vertical="center"/>
    </xf>
    <xf numFmtId="41" fontId="54" fillId="0" borderId="16" xfId="24" applyFont="1" applyFill="1" applyBorder="1" applyAlignment="1">
      <alignment horizontal="right" vertical="center"/>
    </xf>
    <xf numFmtId="41" fontId="54" fillId="0" borderId="45" xfId="24" applyFont="1" applyFill="1" applyBorder="1" applyAlignment="1">
      <alignment horizontal="right" vertical="center"/>
    </xf>
    <xf numFmtId="41" fontId="54" fillId="0" borderId="79" xfId="24" applyFont="1" applyFill="1" applyBorder="1" applyAlignment="1">
      <alignment horizontal="right" vertical="center"/>
    </xf>
    <xf numFmtId="41" fontId="54" fillId="0" borderId="78" xfId="24" applyFont="1" applyFill="1" applyBorder="1" applyAlignment="1">
      <alignment horizontal="right" vertical="center"/>
    </xf>
    <xf numFmtId="41" fontId="52" fillId="0" borderId="34" xfId="24" applyFont="1" applyBorder="1" applyAlignment="1">
      <alignment horizontal="right" vertical="center"/>
    </xf>
    <xf numFmtId="0" fontId="52" fillId="9" borderId="79" xfId="13" applyFont="1" applyFill="1" applyBorder="1" applyAlignment="1">
      <alignment horizontal="center" vertical="center"/>
    </xf>
    <xf numFmtId="41" fontId="52" fillId="0" borderId="119" xfId="24" applyFont="1" applyBorder="1" applyAlignment="1">
      <alignment horizontal="right" vertical="center"/>
    </xf>
    <xf numFmtId="41" fontId="52" fillId="0" borderId="114" xfId="24" applyFont="1" applyBorder="1" applyAlignment="1">
      <alignment horizontal="right" vertical="center"/>
    </xf>
    <xf numFmtId="41" fontId="52" fillId="0" borderId="108" xfId="24" applyFont="1" applyBorder="1" applyAlignment="1">
      <alignment horizontal="right" vertical="center"/>
    </xf>
    <xf numFmtId="41" fontId="52" fillId="9" borderId="136" xfId="24" applyFont="1" applyFill="1" applyBorder="1" applyAlignment="1">
      <alignment horizontal="right" vertical="center"/>
    </xf>
    <xf numFmtId="41" fontId="52" fillId="4" borderId="92" xfId="8" applyFont="1" applyFill="1" applyBorder="1" applyAlignment="1">
      <alignment horizontal="right" vertical="center"/>
    </xf>
    <xf numFmtId="0" fontId="26" fillId="12" borderId="7" xfId="18" applyFont="1" applyFill="1" applyBorder="1" applyAlignment="1">
      <alignment horizontal="center" vertical="center" shrinkToFit="1"/>
    </xf>
    <xf numFmtId="0" fontId="26" fillId="12" borderId="27" xfId="18" applyFont="1" applyFill="1" applyBorder="1" applyAlignment="1">
      <alignment horizontal="center" vertical="center" shrinkToFit="1"/>
    </xf>
    <xf numFmtId="41" fontId="26" fillId="0" borderId="26" xfId="8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26" fillId="9" borderId="3" xfId="0" applyFont="1" applyFill="1" applyBorder="1">
      <alignment vertical="center"/>
    </xf>
    <xf numFmtId="41" fontId="26" fillId="0" borderId="7" xfId="8" applyFont="1" applyBorder="1" applyAlignment="1">
      <alignment horizontal="center" vertical="center" shrinkToFit="1"/>
    </xf>
    <xf numFmtId="41" fontId="26" fillId="0" borderId="27" xfId="8" applyFont="1" applyBorder="1" applyAlignment="1">
      <alignment horizontal="center" vertical="center" shrinkToFit="1"/>
    </xf>
    <xf numFmtId="41" fontId="41" fillId="0" borderId="47" xfId="8" applyFont="1" applyFill="1" applyBorder="1" applyAlignment="1">
      <alignment vertical="center" shrinkToFit="1"/>
    </xf>
    <xf numFmtId="41" fontId="41" fillId="0" borderId="18" xfId="8" applyFont="1" applyFill="1" applyBorder="1" applyAlignment="1">
      <alignment vertical="center" shrinkToFit="1"/>
    </xf>
    <xf numFmtId="41" fontId="41" fillId="3" borderId="62" xfId="8" applyFont="1" applyFill="1" applyBorder="1">
      <alignment vertical="center"/>
    </xf>
    <xf numFmtId="41" fontId="41" fillId="3" borderId="32" xfId="8" applyFont="1" applyFill="1" applyBorder="1">
      <alignment vertical="center"/>
    </xf>
    <xf numFmtId="41" fontId="41" fillId="3" borderId="66" xfId="8" applyFont="1" applyFill="1" applyBorder="1">
      <alignment vertical="center"/>
    </xf>
    <xf numFmtId="41" fontId="41" fillId="3" borderId="67" xfId="8" applyFont="1" applyFill="1" applyBorder="1">
      <alignment vertical="center"/>
    </xf>
    <xf numFmtId="41" fontId="41" fillId="3" borderId="68" xfId="8" applyFont="1" applyFill="1" applyBorder="1">
      <alignment vertical="center"/>
    </xf>
    <xf numFmtId="41" fontId="41" fillId="3" borderId="69" xfId="8" applyFont="1" applyFill="1" applyBorder="1">
      <alignment vertical="center"/>
    </xf>
    <xf numFmtId="41" fontId="41" fillId="3" borderId="70" xfId="8" applyFont="1" applyFill="1" applyBorder="1">
      <alignment vertical="center"/>
    </xf>
    <xf numFmtId="41" fontId="41" fillId="13" borderId="18" xfId="8" applyFont="1" applyFill="1" applyBorder="1">
      <alignment vertical="center"/>
    </xf>
    <xf numFmtId="41" fontId="41" fillId="13" borderId="3" xfId="8" applyFont="1" applyFill="1" applyBorder="1">
      <alignment vertical="center"/>
    </xf>
    <xf numFmtId="41" fontId="20" fillId="13" borderId="4" xfId="8" applyFont="1" applyFill="1" applyBorder="1">
      <alignment vertical="center"/>
    </xf>
    <xf numFmtId="41" fontId="20" fillId="13" borderId="6" xfId="8" applyFont="1" applyFill="1" applyBorder="1">
      <alignment vertical="center"/>
    </xf>
    <xf numFmtId="41" fontId="41" fillId="13" borderId="6" xfId="8" applyFont="1" applyFill="1" applyBorder="1">
      <alignment vertical="center"/>
    </xf>
    <xf numFmtId="41" fontId="41" fillId="13" borderId="50" xfId="8" applyFont="1" applyFill="1" applyBorder="1">
      <alignment vertical="center"/>
    </xf>
    <xf numFmtId="41" fontId="20" fillId="13" borderId="5" xfId="8" applyFont="1" applyFill="1" applyBorder="1">
      <alignment vertical="center"/>
    </xf>
    <xf numFmtId="41" fontId="20" fillId="2" borderId="6" xfId="8" applyFont="1" applyFill="1" applyBorder="1">
      <alignment vertical="center"/>
    </xf>
    <xf numFmtId="41" fontId="41" fillId="2" borderId="6" xfId="8" applyFont="1" applyFill="1" applyBorder="1">
      <alignment vertical="center"/>
    </xf>
    <xf numFmtId="41" fontId="41" fillId="2" borderId="50" xfId="8" applyFont="1" applyFill="1" applyBorder="1">
      <alignment vertical="center"/>
    </xf>
    <xf numFmtId="41" fontId="20" fillId="2" borderId="5" xfId="8" applyFont="1" applyFill="1" applyBorder="1">
      <alignment vertical="center"/>
    </xf>
    <xf numFmtId="41" fontId="20" fillId="2" borderId="53" xfId="8" applyFont="1" applyFill="1" applyBorder="1">
      <alignment vertical="center"/>
    </xf>
    <xf numFmtId="41" fontId="41" fillId="2" borderId="56" xfId="8" applyFont="1" applyFill="1" applyBorder="1">
      <alignment vertical="center"/>
    </xf>
    <xf numFmtId="41" fontId="20" fillId="0" borderId="7" xfId="8" applyFont="1" applyFill="1" applyBorder="1" applyAlignment="1">
      <alignment horizontal="center" vertical="center" shrinkToFit="1"/>
    </xf>
    <xf numFmtId="182" fontId="20" fillId="0" borderId="3" xfId="18" applyNumberFormat="1" applyFont="1" applyBorder="1" applyAlignment="1">
      <alignment horizontal="center" vertical="center"/>
    </xf>
    <xf numFmtId="0" fontId="20" fillId="0" borderId="8" xfId="18" applyFont="1" applyBorder="1" applyAlignment="1">
      <alignment horizontal="center" vertical="center" shrinkToFit="1"/>
    </xf>
    <xf numFmtId="41" fontId="41" fillId="0" borderId="14" xfId="8" applyFont="1" applyBorder="1" applyAlignment="1">
      <alignment vertical="center" shrinkToFit="1"/>
    </xf>
    <xf numFmtId="41" fontId="41" fillId="0" borderId="3" xfId="8" applyFont="1" applyBorder="1" applyAlignment="1">
      <alignment vertical="center" shrinkToFit="1"/>
    </xf>
    <xf numFmtId="41" fontId="41" fillId="0" borderId="8" xfId="8" applyFont="1" applyBorder="1" applyAlignment="1">
      <alignment vertical="center" shrinkToFit="1"/>
    </xf>
    <xf numFmtId="0" fontId="24" fillId="0" borderId="7" xfId="0" applyFont="1" applyBorder="1" applyAlignment="1">
      <alignment horizontal="center" vertical="center" shrinkToFit="1"/>
    </xf>
    <xf numFmtId="14" fontId="24" fillId="0" borderId="7" xfId="0" applyNumberFormat="1" applyFont="1" applyBorder="1" applyAlignment="1">
      <alignment horizontal="center" vertical="center" shrinkToFit="1"/>
    </xf>
    <xf numFmtId="0" fontId="24" fillId="0" borderId="7" xfId="18" applyFont="1" applyBorder="1" applyAlignment="1">
      <alignment horizontal="center" vertical="center" shrinkToFit="1"/>
    </xf>
    <xf numFmtId="0" fontId="46" fillId="0" borderId="7" xfId="18" applyFont="1" applyBorder="1" applyAlignment="1">
      <alignment horizontal="center" vertical="center" shrinkToFit="1"/>
    </xf>
    <xf numFmtId="41" fontId="41" fillId="0" borderId="36" xfId="8" applyFont="1" applyFill="1" applyBorder="1" applyAlignment="1">
      <alignment vertical="center" shrinkToFit="1"/>
    </xf>
    <xf numFmtId="41" fontId="41" fillId="0" borderId="4" xfId="8" applyFont="1" applyFill="1" applyBorder="1" applyAlignment="1">
      <alignment vertical="center" shrinkToFit="1"/>
    </xf>
    <xf numFmtId="0" fontId="20" fillId="0" borderId="13" xfId="0" applyFont="1" applyBorder="1" applyAlignment="1">
      <alignment horizontal="center" vertical="center" shrinkToFit="1"/>
    </xf>
    <xf numFmtId="0" fontId="20" fillId="0" borderId="10" xfId="0" applyFont="1" applyBorder="1" applyAlignment="1">
      <alignment vertical="center" shrinkToFit="1"/>
    </xf>
    <xf numFmtId="182" fontId="20" fillId="12" borderId="7" xfId="18" applyNumberFormat="1" applyFont="1" applyFill="1" applyBorder="1" applyAlignment="1">
      <alignment horizontal="center" vertical="center"/>
    </xf>
    <xf numFmtId="41" fontId="0" fillId="0" borderId="0" xfId="0" applyNumberFormat="1" applyFont="1">
      <alignment vertical="center"/>
    </xf>
    <xf numFmtId="41" fontId="20" fillId="0" borderId="26" xfId="8" applyFont="1" applyBorder="1" applyAlignment="1">
      <alignment horizontal="center" vertical="center" shrinkToFit="1"/>
    </xf>
    <xf numFmtId="41" fontId="20" fillId="0" borderId="26" xfId="8" applyFont="1" applyBorder="1" applyAlignment="1">
      <alignment horizontal="right" vertical="center" shrinkToFit="1"/>
    </xf>
    <xf numFmtId="41" fontId="20" fillId="0" borderId="13" xfId="8" applyFont="1" applyBorder="1" applyAlignment="1">
      <alignment horizontal="center" vertical="center" shrinkToFit="1"/>
    </xf>
    <xf numFmtId="41" fontId="20" fillId="0" borderId="7" xfId="8" applyFont="1" applyBorder="1" applyAlignment="1">
      <alignment horizontal="right" vertical="center" shrinkToFit="1"/>
    </xf>
    <xf numFmtId="14" fontId="26" fillId="0" borderId="7" xfId="18" applyNumberFormat="1" applyFont="1" applyBorder="1" applyAlignment="1">
      <alignment horizontal="center" vertical="center" shrinkToFit="1"/>
    </xf>
    <xf numFmtId="41" fontId="20" fillId="0" borderId="3" xfId="8" applyFont="1" applyBorder="1" applyAlignment="1">
      <alignment horizontal="right" vertical="center" shrinkToFit="1"/>
    </xf>
    <xf numFmtId="182" fontId="24" fillId="0" borderId="7" xfId="18" applyNumberFormat="1" applyFont="1" applyBorder="1" applyAlignment="1">
      <alignment horizontal="center" vertical="center"/>
    </xf>
    <xf numFmtId="0" fontId="24" fillId="0" borderId="27" xfId="18" applyFont="1" applyBorder="1" applyAlignment="1">
      <alignment horizontal="center" vertical="center" shrinkToFit="1"/>
    </xf>
    <xf numFmtId="41" fontId="23" fillId="0" borderId="27" xfId="8" applyFont="1" applyBorder="1" applyAlignment="1">
      <alignment vertical="center" shrinkToFit="1"/>
    </xf>
    <xf numFmtId="0" fontId="24" fillId="0" borderId="10" xfId="0" applyFont="1" applyBorder="1" applyAlignment="1">
      <alignment vertical="center" shrinkToFit="1"/>
    </xf>
    <xf numFmtId="0" fontId="46" fillId="0" borderId="3" xfId="18" applyFont="1" applyBorder="1" applyAlignment="1">
      <alignment horizontal="center" vertical="center" shrinkToFit="1"/>
    </xf>
    <xf numFmtId="182" fontId="46" fillId="0" borderId="3" xfId="18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41" fontId="41" fillId="0" borderId="27" xfId="8" applyFont="1" applyBorder="1" applyAlignment="1">
      <alignment horizontal="right" vertical="center" shrinkToFit="1"/>
    </xf>
    <xf numFmtId="14" fontId="66" fillId="0" borderId="7" xfId="0" applyNumberFormat="1" applyFont="1" applyBorder="1" applyAlignment="1">
      <alignment horizontal="center" vertical="center" shrinkToFit="1"/>
    </xf>
    <xf numFmtId="0" fontId="66" fillId="0" borderId="7" xfId="18" applyFont="1" applyBorder="1" applyAlignment="1">
      <alignment horizontal="center" vertical="center" shrinkToFit="1"/>
    </xf>
    <xf numFmtId="182" fontId="66" fillId="0" borderId="7" xfId="18" applyNumberFormat="1" applyFont="1" applyBorder="1" applyAlignment="1">
      <alignment horizontal="center" vertical="center"/>
    </xf>
    <xf numFmtId="0" fontId="66" fillId="0" borderId="27" xfId="18" applyFont="1" applyBorder="1" applyAlignment="1">
      <alignment horizontal="center" vertical="center" shrinkToFit="1"/>
    </xf>
    <xf numFmtId="41" fontId="20" fillId="0" borderId="7" xfId="8" applyFont="1" applyFill="1" applyBorder="1" applyAlignment="1">
      <alignment horizontal="right" vertical="center" shrinkToFit="1"/>
    </xf>
    <xf numFmtId="0" fontId="20" fillId="0" borderId="26" xfId="18" applyFont="1" applyBorder="1" applyAlignment="1">
      <alignment horizontal="center" vertical="center" shrinkToFit="1"/>
    </xf>
    <xf numFmtId="0" fontId="20" fillId="0" borderId="18" xfId="18" applyFont="1" applyBorder="1" applyAlignment="1">
      <alignment horizontal="center" vertical="center" shrinkToFit="1"/>
    </xf>
    <xf numFmtId="14" fontId="20" fillId="0" borderId="18" xfId="0" applyNumberFormat="1" applyFont="1" applyBorder="1" applyAlignment="1">
      <alignment horizontal="center" vertical="center" shrinkToFit="1"/>
    </xf>
    <xf numFmtId="182" fontId="20" fillId="0" borderId="18" xfId="18" applyNumberFormat="1" applyFont="1" applyBorder="1" applyAlignment="1">
      <alignment horizontal="center" vertical="center"/>
    </xf>
    <xf numFmtId="0" fontId="20" fillId="0" borderId="47" xfId="18" applyFont="1" applyBorder="1" applyAlignment="1">
      <alignment horizontal="center" vertical="center" shrinkToFit="1"/>
    </xf>
    <xf numFmtId="183" fontId="20" fillId="0" borderId="3" xfId="18" applyNumberFormat="1" applyFont="1" applyBorder="1" applyAlignment="1">
      <alignment horizontal="center" vertical="center" shrinkToFit="1"/>
    </xf>
    <xf numFmtId="49" fontId="20" fillId="0" borderId="3" xfId="18" applyNumberFormat="1" applyFont="1" applyBorder="1" applyAlignment="1">
      <alignment horizontal="center" vertical="center" shrinkToFit="1"/>
    </xf>
    <xf numFmtId="49" fontId="66" fillId="0" borderId="7" xfId="18" applyNumberFormat="1" applyFont="1" applyBorder="1" applyAlignment="1">
      <alignment horizontal="center" vertical="center" shrinkToFit="1"/>
    </xf>
    <xf numFmtId="183" fontId="66" fillId="0" borderId="7" xfId="18" applyNumberFormat="1" applyFont="1" applyBorder="1" applyAlignment="1">
      <alignment horizontal="center" vertical="center" shrinkToFit="1"/>
    </xf>
    <xf numFmtId="41" fontId="66" fillId="0" borderId="25" xfId="10" applyNumberFormat="1" applyFont="1" applyBorder="1" applyAlignment="1">
      <alignment horizontal="center" vertical="center" shrinkToFit="1"/>
    </xf>
    <xf numFmtId="41" fontId="66" fillId="0" borderId="7" xfId="10" applyNumberFormat="1" applyFont="1" applyBorder="1" applyAlignment="1">
      <alignment horizontal="center" vertical="center" shrinkToFit="1"/>
    </xf>
    <xf numFmtId="41" fontId="66" fillId="0" borderId="27" xfId="10" applyNumberFormat="1" applyFont="1" applyBorder="1" applyAlignment="1">
      <alignment horizontal="center" vertical="center" shrinkToFit="1"/>
    </xf>
    <xf numFmtId="41" fontId="66" fillId="0" borderId="26" xfId="10" applyNumberFormat="1" applyFont="1" applyBorder="1" applyAlignment="1">
      <alignment horizontal="center" vertical="center" shrinkToFit="1"/>
    </xf>
    <xf numFmtId="41" fontId="20" fillId="0" borderId="10" xfId="24" applyFont="1" applyBorder="1" applyAlignment="1">
      <alignment horizontal="center" vertical="center" shrinkToFit="1"/>
    </xf>
    <xf numFmtId="41" fontId="20" fillId="0" borderId="14" xfId="24" applyFont="1" applyBorder="1" applyAlignment="1">
      <alignment horizontal="center" vertical="center" shrinkToFit="1"/>
    </xf>
    <xf numFmtId="183" fontId="24" fillId="0" borderId="7" xfId="18" applyNumberFormat="1" applyFont="1" applyBorder="1" applyAlignment="1">
      <alignment horizontal="center" vertical="center" shrinkToFit="1"/>
    </xf>
    <xf numFmtId="187" fontId="42" fillId="0" borderId="3" xfId="0" applyNumberFormat="1" applyFont="1" applyFill="1" applyBorder="1" applyAlignment="1">
      <alignment horizontal="center" vertical="center"/>
    </xf>
    <xf numFmtId="187" fontId="42" fillId="0" borderId="3" xfId="0" applyNumberFormat="1" applyFont="1" applyFill="1" applyBorder="1" applyAlignment="1">
      <alignment horizontal="center" vertical="center" wrapText="1"/>
    </xf>
    <xf numFmtId="41" fontId="20" fillId="0" borderId="25" xfId="8" applyFont="1" applyFill="1" applyBorder="1" applyAlignment="1">
      <alignment horizontal="center" vertical="center" shrinkToFit="1"/>
    </xf>
    <xf numFmtId="41" fontId="20" fillId="0" borderId="27" xfId="8" applyFont="1" applyFill="1" applyBorder="1" applyAlignment="1">
      <alignment horizontal="center" vertical="center" shrinkToFit="1"/>
    </xf>
    <xf numFmtId="41" fontId="66" fillId="0" borderId="10" xfId="10" applyNumberFormat="1" applyFont="1" applyBorder="1" applyAlignment="1">
      <alignment horizontal="center" vertical="center" shrinkToFit="1"/>
    </xf>
    <xf numFmtId="41" fontId="66" fillId="0" borderId="3" xfId="10" applyNumberFormat="1" applyFont="1" applyBorder="1" applyAlignment="1">
      <alignment horizontal="center" vertical="center" shrinkToFit="1"/>
    </xf>
    <xf numFmtId="41" fontId="66" fillId="0" borderId="14" xfId="10" applyNumberFormat="1" applyFont="1" applyBorder="1" applyAlignment="1">
      <alignment horizontal="center" vertical="center" shrinkToFit="1"/>
    </xf>
    <xf numFmtId="41" fontId="66" fillId="0" borderId="13" xfId="10" applyNumberFormat="1" applyFont="1" applyBorder="1" applyAlignment="1">
      <alignment horizontal="center" vertical="center" shrinkToFit="1"/>
    </xf>
    <xf numFmtId="0" fontId="23" fillId="4" borderId="16" xfId="0" applyFont="1" applyFill="1" applyBorder="1" applyAlignment="1">
      <alignment horizontal="center" vertical="center"/>
    </xf>
    <xf numFmtId="41" fontId="20" fillId="0" borderId="25" xfId="10" applyNumberFormat="1" applyFont="1" applyFill="1" applyBorder="1" applyAlignment="1">
      <alignment horizontal="center" vertical="center" shrinkToFit="1"/>
    </xf>
    <xf numFmtId="41" fontId="20" fillId="0" borderId="7" xfId="10" applyNumberFormat="1" applyFont="1" applyFill="1" applyBorder="1" applyAlignment="1">
      <alignment horizontal="center" vertical="center" shrinkToFit="1"/>
    </xf>
    <xf numFmtId="41" fontId="20" fillId="0" borderId="27" xfId="10" applyNumberFormat="1" applyFont="1" applyFill="1" applyBorder="1" applyAlignment="1">
      <alignment horizontal="center" vertical="center" shrinkToFit="1"/>
    </xf>
    <xf numFmtId="41" fontId="24" fillId="0" borderId="13" xfId="10" applyNumberFormat="1" applyFont="1" applyBorder="1" applyAlignment="1">
      <alignment horizontal="center" vertical="center" shrinkToFit="1"/>
    </xf>
    <xf numFmtId="41" fontId="24" fillId="0" borderId="3" xfId="10" applyNumberFormat="1" applyFont="1" applyBorder="1" applyAlignment="1">
      <alignment horizontal="center" vertical="center" shrinkToFit="1"/>
    </xf>
    <xf numFmtId="41" fontId="24" fillId="0" borderId="14" xfId="10" applyNumberFormat="1" applyFont="1" applyBorder="1" applyAlignment="1">
      <alignment horizontal="center" vertical="center" shrinkToFit="1"/>
    </xf>
    <xf numFmtId="41" fontId="24" fillId="0" borderId="10" xfId="10" applyNumberFormat="1" applyFont="1" applyBorder="1" applyAlignment="1">
      <alignment horizontal="center" vertical="center" shrinkToFit="1"/>
    </xf>
    <xf numFmtId="41" fontId="20" fillId="0" borderId="35" xfId="10" applyNumberFormat="1" applyFont="1" applyBorder="1" applyAlignment="1">
      <alignment horizontal="center" vertical="center" shrinkToFit="1"/>
    </xf>
    <xf numFmtId="41" fontId="20" fillId="0" borderId="26" xfId="10" applyNumberFormat="1" applyFont="1" applyFill="1" applyBorder="1" applyAlignment="1">
      <alignment horizontal="center" vertical="center" shrinkToFit="1"/>
    </xf>
    <xf numFmtId="41" fontId="45" fillId="0" borderId="13" xfId="8" applyFont="1" applyBorder="1" applyAlignment="1">
      <alignment vertical="center" shrinkToFit="1"/>
    </xf>
    <xf numFmtId="41" fontId="45" fillId="0" borderId="3" xfId="8" applyFont="1" applyBorder="1" applyAlignment="1">
      <alignment vertical="center" shrinkToFit="1"/>
    </xf>
    <xf numFmtId="41" fontId="45" fillId="0" borderId="14" xfId="8" applyFont="1" applyBorder="1" applyAlignment="1">
      <alignment vertical="center" shrinkToFit="1"/>
    </xf>
    <xf numFmtId="41" fontId="40" fillId="0" borderId="0" xfId="18" applyNumberFormat="1" applyFont="1" applyAlignment="1">
      <alignment vertical="center" shrinkToFit="1"/>
    </xf>
    <xf numFmtId="41" fontId="0" fillId="0" borderId="0" xfId="0" applyNumberFormat="1">
      <alignment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/>
    </xf>
    <xf numFmtId="41" fontId="10" fillId="0" borderId="0" xfId="17" applyNumberFormat="1" applyFont="1" applyAlignment="1">
      <alignment vertical="center"/>
    </xf>
    <xf numFmtId="41" fontId="18" fillId="0" borderId="0" xfId="17" applyNumberFormat="1" applyFont="1" applyAlignment="1">
      <alignment vertical="center"/>
    </xf>
    <xf numFmtId="14" fontId="20" fillId="0" borderId="3" xfId="18" applyNumberFormat="1" applyFont="1" applyBorder="1" applyAlignment="1">
      <alignment horizontal="center" vertical="center" shrinkToFit="1"/>
    </xf>
    <xf numFmtId="41" fontId="27" fillId="0" borderId="0" xfId="0" applyNumberFormat="1" applyFont="1">
      <alignment vertical="center"/>
    </xf>
    <xf numFmtId="41" fontId="20" fillId="0" borderId="27" xfId="8" applyFont="1" applyFill="1" applyBorder="1" applyAlignment="1">
      <alignment vertical="center" shrinkToFit="1"/>
    </xf>
    <xf numFmtId="41" fontId="20" fillId="0" borderId="27" xfId="8" applyFont="1" applyFill="1" applyBorder="1" applyAlignment="1">
      <alignment horizontal="right" vertical="center" shrinkToFit="1"/>
    </xf>
    <xf numFmtId="41" fontId="53" fillId="0" borderId="0" xfId="0" applyNumberFormat="1" applyFont="1">
      <alignment vertical="center"/>
    </xf>
    <xf numFmtId="41" fontId="40" fillId="0" borderId="0" xfId="18" applyNumberFormat="1" applyFont="1" applyFill="1" applyAlignment="1">
      <alignment vertical="center" shrinkToFit="1"/>
    </xf>
    <xf numFmtId="41" fontId="20" fillId="0" borderId="25" xfId="8" applyFont="1" applyFill="1" applyBorder="1" applyAlignment="1">
      <alignment horizontal="right" vertical="center" shrinkToFit="1"/>
    </xf>
    <xf numFmtId="41" fontId="41" fillId="0" borderId="22" xfId="8" applyFont="1" applyFill="1" applyBorder="1" applyAlignment="1">
      <alignment vertical="center" shrinkToFit="1"/>
    </xf>
    <xf numFmtId="41" fontId="62" fillId="0" borderId="0" xfId="0" applyNumberFormat="1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23" fillId="5" borderId="16" xfId="17" applyFont="1" applyFill="1" applyBorder="1" applyAlignment="1">
      <alignment horizontal="center" vertical="center" shrinkToFit="1"/>
    </xf>
    <xf numFmtId="0" fontId="23" fillId="8" borderId="16" xfId="17" applyFont="1" applyFill="1" applyBorder="1" applyAlignment="1">
      <alignment horizontal="center" vertical="center" shrinkToFit="1"/>
    </xf>
    <xf numFmtId="0" fontId="23" fillId="6" borderId="16" xfId="17" applyFont="1" applyFill="1" applyBorder="1" applyAlignment="1">
      <alignment horizontal="center" vertical="center" shrinkToFit="1"/>
    </xf>
    <xf numFmtId="0" fontId="23" fillId="6" borderId="29" xfId="17" applyFont="1" applyFill="1" applyBorder="1" applyAlignment="1">
      <alignment horizontal="center" vertical="center" shrinkToFit="1"/>
    </xf>
    <xf numFmtId="0" fontId="29" fillId="4" borderId="16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shrinkToFit="1"/>
    </xf>
    <xf numFmtId="0" fontId="23" fillId="9" borderId="29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 shrinkToFit="1"/>
    </xf>
    <xf numFmtId="0" fontId="23" fillId="4" borderId="12" xfId="0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 shrinkToFit="1"/>
    </xf>
    <xf numFmtId="0" fontId="32" fillId="0" borderId="0" xfId="16" applyFont="1" applyAlignment="1">
      <alignment horizontal="left" vertical="center"/>
    </xf>
    <xf numFmtId="0" fontId="33" fillId="0" borderId="0" xfId="19" applyFont="1" applyAlignment="1">
      <alignment horizontal="center" vertical="center"/>
    </xf>
    <xf numFmtId="0" fontId="33" fillId="0" borderId="0" xfId="19" applyFont="1" applyAlignment="1">
      <alignment vertical="center" shrinkToFit="1"/>
    </xf>
    <xf numFmtId="0" fontId="33" fillId="0" borderId="0" xfId="19" applyFont="1" applyAlignment="1">
      <alignment horizontal="center" vertical="center" shrinkToFit="1"/>
    </xf>
    <xf numFmtId="0" fontId="33" fillId="0" borderId="0" xfId="19" applyFont="1" applyAlignment="1">
      <alignment horizontal="right" vertical="center"/>
    </xf>
    <xf numFmtId="0" fontId="64" fillId="0" borderId="7" xfId="0" applyFont="1" applyBorder="1" applyAlignment="1">
      <alignment horizontal="center" vertical="center" shrinkToFit="1"/>
    </xf>
    <xf numFmtId="0" fontId="64" fillId="3" borderId="7" xfId="0" applyFont="1" applyFill="1" applyBorder="1" applyAlignment="1">
      <alignment horizontal="center" vertical="center" shrinkToFit="1"/>
    </xf>
    <xf numFmtId="41" fontId="26" fillId="0" borderId="7" xfId="8" applyFont="1" applyBorder="1" applyAlignment="1">
      <alignment horizontal="right" vertical="center" shrinkToFit="1"/>
    </xf>
    <xf numFmtId="41" fontId="26" fillId="0" borderId="7" xfId="8" quotePrefix="1" applyFont="1" applyBorder="1" applyAlignment="1">
      <alignment horizontal="right" vertical="center" shrinkToFit="1"/>
    </xf>
    <xf numFmtId="41" fontId="45" fillId="0" borderId="7" xfId="8" applyFont="1" applyBorder="1" applyAlignment="1">
      <alignment horizontal="right" vertical="center" shrinkToFit="1"/>
    </xf>
    <xf numFmtId="0" fontId="64" fillId="2" borderId="7" xfId="0" applyFont="1" applyFill="1" applyBorder="1" applyAlignment="1">
      <alignment horizontal="center" vertical="center" shrinkToFit="1"/>
    </xf>
    <xf numFmtId="184" fontId="64" fillId="11" borderId="7" xfId="0" applyNumberFormat="1" applyFont="1" applyFill="1" applyBorder="1" applyAlignment="1">
      <alignment horizontal="center" vertical="center" shrinkToFit="1"/>
    </xf>
    <xf numFmtId="14" fontId="27" fillId="0" borderId="3" xfId="0" applyNumberFormat="1" applyFont="1" applyBorder="1">
      <alignment vertical="center"/>
    </xf>
    <xf numFmtId="3" fontId="46" fillId="0" borderId="3" xfId="0" applyNumberFormat="1" applyFont="1" applyBorder="1">
      <alignment vertical="center"/>
    </xf>
    <xf numFmtId="0" fontId="27" fillId="0" borderId="3" xfId="0" applyFont="1" applyBorder="1">
      <alignment vertical="center"/>
    </xf>
    <xf numFmtId="41" fontId="26" fillId="0" borderId="25" xfId="8" applyFont="1" applyBorder="1" applyAlignment="1">
      <alignment vertical="center" shrinkToFit="1"/>
    </xf>
    <xf numFmtId="0" fontId="64" fillId="7" borderId="7" xfId="0" applyFont="1" applyFill="1" applyBorder="1" applyAlignment="1">
      <alignment horizontal="center" vertical="center" shrinkToFit="1"/>
    </xf>
    <xf numFmtId="41" fontId="42" fillId="0" borderId="27" xfId="8" applyFont="1" applyBorder="1" applyAlignment="1">
      <alignment horizontal="right" vertical="center" shrinkToFit="1"/>
    </xf>
    <xf numFmtId="14" fontId="46" fillId="0" borderId="7" xfId="0" applyNumberFormat="1" applyFont="1" applyBorder="1" applyAlignment="1">
      <alignment horizontal="center" vertical="center" shrinkToFit="1"/>
    </xf>
    <xf numFmtId="189" fontId="26" fillId="0" borderId="7" xfId="18" applyNumberFormat="1" applyFont="1" applyBorder="1" applyAlignment="1">
      <alignment horizontal="center" vertical="center"/>
    </xf>
    <xf numFmtId="0" fontId="26" fillId="0" borderId="7" xfId="18" applyFont="1" applyBorder="1" applyAlignment="1">
      <alignment horizontal="center" vertical="center"/>
    </xf>
    <xf numFmtId="41" fontId="42" fillId="0" borderId="7" xfId="8" applyFont="1" applyBorder="1" applyAlignment="1">
      <alignment horizontal="center" vertical="center" shrinkToFit="1"/>
    </xf>
    <xf numFmtId="41" fontId="42" fillId="0" borderId="27" xfId="8" applyFont="1" applyBorder="1" applyAlignment="1">
      <alignment horizontal="center" vertical="center" shrinkToFit="1"/>
    </xf>
    <xf numFmtId="0" fontId="69" fillId="0" borderId="25" xfId="0" applyFont="1" applyBorder="1" applyAlignment="1">
      <alignment vertical="center" wrapText="1" shrinkToFit="1"/>
    </xf>
    <xf numFmtId="0" fontId="22" fillId="0" borderId="0" xfId="16" applyFont="1" applyAlignment="1">
      <alignment horizontal="left" vertical="center"/>
    </xf>
    <xf numFmtId="0" fontId="18" fillId="0" borderId="0" xfId="19" applyFont="1" applyAlignment="1">
      <alignment horizontal="center" vertical="center"/>
    </xf>
    <xf numFmtId="0" fontId="18" fillId="0" borderId="0" xfId="19" applyFont="1" applyAlignment="1">
      <alignment vertical="center" shrinkToFit="1"/>
    </xf>
    <xf numFmtId="0" fontId="18" fillId="0" borderId="0" xfId="19" applyFont="1" applyAlignment="1">
      <alignment horizontal="center" vertical="center" shrinkToFit="1"/>
    </xf>
    <xf numFmtId="0" fontId="18" fillId="0" borderId="0" xfId="19" applyFont="1" applyAlignment="1">
      <alignment horizontal="right" vertical="center"/>
    </xf>
    <xf numFmtId="0" fontId="4" fillId="0" borderId="0" xfId="19" applyAlignment="1">
      <alignment horizontal="right" vertical="center"/>
    </xf>
    <xf numFmtId="0" fontId="4" fillId="0" borderId="0" xfId="19" applyAlignment="1">
      <alignment vertical="center"/>
    </xf>
    <xf numFmtId="41" fontId="4" fillId="0" borderId="0" xfId="19" applyNumberFormat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center" vertical="center" shrinkToFit="1"/>
    </xf>
    <xf numFmtId="14" fontId="20" fillId="0" borderId="24" xfId="0" applyNumberFormat="1" applyFont="1" applyBorder="1" applyAlignment="1">
      <alignment horizontal="center" vertical="center" shrinkToFit="1"/>
    </xf>
    <xf numFmtId="0" fontId="20" fillId="12" borderId="27" xfId="18" applyFont="1" applyFill="1" applyBorder="1" applyAlignment="1">
      <alignment horizontal="center" vertical="center" shrinkToFit="1"/>
    </xf>
    <xf numFmtId="0" fontId="20" fillId="0" borderId="25" xfId="18" applyFont="1" applyBorder="1" applyAlignment="1">
      <alignment horizontal="center" vertical="center" shrinkToFit="1"/>
    </xf>
    <xf numFmtId="183" fontId="20" fillId="0" borderId="13" xfId="0" applyNumberFormat="1" applyFont="1" applyBorder="1" applyAlignment="1">
      <alignment horizontal="center" vertical="center" wrapText="1"/>
    </xf>
    <xf numFmtId="183" fontId="20" fillId="0" borderId="3" xfId="0" applyNumberFormat="1" applyFont="1" applyBorder="1" applyAlignment="1">
      <alignment horizontal="center" vertical="center" wrapText="1"/>
    </xf>
    <xf numFmtId="183" fontId="20" fillId="0" borderId="10" xfId="0" applyNumberFormat="1" applyFont="1" applyBorder="1" applyAlignment="1">
      <alignment horizontal="center" vertical="center" wrapText="1"/>
    </xf>
    <xf numFmtId="183" fontId="20" fillId="0" borderId="8" xfId="0" applyNumberFormat="1" applyFont="1" applyBorder="1" applyAlignment="1">
      <alignment horizontal="center" vertical="center" wrapText="1"/>
    </xf>
    <xf numFmtId="182" fontId="26" fillId="0" borderId="25" xfId="18" applyNumberFormat="1" applyFont="1" applyBorder="1" applyAlignment="1">
      <alignment horizontal="center" vertical="center"/>
    </xf>
    <xf numFmtId="182" fontId="26" fillId="0" borderId="24" xfId="18" applyNumberFormat="1" applyFont="1" applyBorder="1" applyAlignment="1">
      <alignment horizontal="center" vertical="center"/>
    </xf>
    <xf numFmtId="0" fontId="26" fillId="0" borderId="124" xfId="18" applyFont="1" applyBorder="1" applyAlignment="1">
      <alignment horizontal="center" vertical="center" shrinkToFit="1"/>
    </xf>
    <xf numFmtId="41" fontId="41" fillId="0" borderId="55" xfId="8" applyFont="1" applyBorder="1">
      <alignment vertical="center"/>
    </xf>
    <xf numFmtId="41" fontId="49" fillId="15" borderId="18" xfId="0" applyNumberFormat="1" applyFont="1" applyFill="1" applyBorder="1">
      <alignment vertical="center"/>
    </xf>
    <xf numFmtId="41" fontId="41" fillId="0" borderId="8" xfId="8" applyFont="1" applyBorder="1">
      <alignment vertical="center"/>
    </xf>
    <xf numFmtId="41" fontId="49" fillId="15" borderId="3" xfId="0" applyNumberFormat="1" applyFont="1" applyFill="1" applyBorder="1">
      <alignment vertical="center"/>
    </xf>
    <xf numFmtId="41" fontId="20" fillId="0" borderId="22" xfId="8" applyFont="1" applyBorder="1">
      <alignment vertical="center"/>
    </xf>
    <xf numFmtId="41" fontId="49" fillId="15" borderId="53" xfId="0" applyNumberFormat="1" applyFont="1" applyFill="1" applyBorder="1">
      <alignment vertical="center"/>
    </xf>
    <xf numFmtId="41" fontId="23" fillId="0" borderId="6" xfId="8" applyFont="1" applyBorder="1">
      <alignment vertical="center"/>
    </xf>
    <xf numFmtId="41" fontId="20" fillId="0" borderId="141" xfId="8" applyFont="1" applyBorder="1">
      <alignment vertical="center"/>
    </xf>
    <xf numFmtId="41" fontId="47" fillId="0" borderId="6" xfId="8" applyFont="1" applyBorder="1">
      <alignment vertical="center"/>
    </xf>
    <xf numFmtId="41" fontId="49" fillId="15" borderId="6" xfId="0" applyNumberFormat="1" applyFont="1" applyFill="1" applyBorder="1">
      <alignment vertical="center"/>
    </xf>
    <xf numFmtId="41" fontId="41" fillId="0" borderId="141" xfId="8" applyFont="1" applyBorder="1">
      <alignment vertical="center"/>
    </xf>
    <xf numFmtId="41" fontId="41" fillId="0" borderId="142" xfId="8" applyFont="1" applyBorder="1">
      <alignment vertical="center"/>
    </xf>
    <xf numFmtId="41" fontId="49" fillId="15" borderId="50" xfId="0" applyNumberFormat="1" applyFont="1" applyFill="1" applyBorder="1">
      <alignment vertical="center"/>
    </xf>
    <xf numFmtId="41" fontId="20" fillId="0" borderId="143" xfId="8" applyFont="1" applyBorder="1">
      <alignment vertical="center"/>
    </xf>
    <xf numFmtId="41" fontId="47" fillId="0" borderId="5" xfId="8" applyFont="1" applyBorder="1">
      <alignment vertical="center"/>
    </xf>
    <xf numFmtId="41" fontId="47" fillId="0" borderId="6" xfId="8" applyFont="1" applyFill="1" applyBorder="1">
      <alignment vertical="center"/>
    </xf>
    <xf numFmtId="41" fontId="20" fillId="0" borderId="144" xfId="8" applyFont="1" applyBorder="1">
      <alignment vertical="center"/>
    </xf>
    <xf numFmtId="41" fontId="41" fillId="0" borderId="145" xfId="8" applyFont="1" applyBorder="1">
      <alignment vertical="center"/>
    </xf>
    <xf numFmtId="41" fontId="49" fillId="15" borderId="56" xfId="0" applyNumberFormat="1" applyFont="1" applyFill="1" applyBorder="1">
      <alignment vertical="center"/>
    </xf>
    <xf numFmtId="41" fontId="44" fillId="10" borderId="27" xfId="8" applyFont="1" applyFill="1" applyBorder="1">
      <alignment vertical="center"/>
    </xf>
    <xf numFmtId="41" fontId="44" fillId="10" borderId="33" xfId="8" applyFont="1" applyFill="1" applyBorder="1">
      <alignment vertical="center"/>
    </xf>
    <xf numFmtId="41" fontId="44" fillId="10" borderId="55" xfId="8" applyFont="1" applyFill="1" applyBorder="1">
      <alignment vertical="center"/>
    </xf>
    <xf numFmtId="41" fontId="48" fillId="10" borderId="7" xfId="0" applyNumberFormat="1" applyFont="1" applyFill="1" applyBorder="1">
      <alignment vertical="center"/>
    </xf>
    <xf numFmtId="41" fontId="44" fillId="10" borderId="14" xfId="8" applyFont="1" applyFill="1" applyBorder="1">
      <alignment vertical="center"/>
    </xf>
    <xf numFmtId="41" fontId="44" fillId="10" borderId="12" xfId="8" applyFont="1" applyFill="1" applyBorder="1">
      <alignment vertical="center"/>
    </xf>
    <xf numFmtId="41" fontId="44" fillId="10" borderId="8" xfId="8" applyFont="1" applyFill="1" applyBorder="1">
      <alignment vertical="center"/>
    </xf>
    <xf numFmtId="41" fontId="48" fillId="10" borderId="3" xfId="0" applyNumberFormat="1" applyFont="1" applyFill="1" applyBorder="1">
      <alignment vertical="center"/>
    </xf>
    <xf numFmtId="0" fontId="23" fillId="4" borderId="30" xfId="0" applyFont="1" applyFill="1" applyBorder="1" applyAlignment="1">
      <alignment horizontal="center" vertical="center" wrapText="1"/>
    </xf>
    <xf numFmtId="41" fontId="20" fillId="0" borderId="25" xfId="8" applyFont="1" applyBorder="1" applyAlignment="1">
      <alignment vertical="center" shrinkToFit="1"/>
    </xf>
    <xf numFmtId="0" fontId="42" fillId="3" borderId="7" xfId="18" applyFont="1" applyFill="1" applyBorder="1" applyAlignment="1">
      <alignment horizontal="center" vertical="center"/>
    </xf>
    <xf numFmtId="41" fontId="42" fillId="3" borderId="25" xfId="8" applyFont="1" applyFill="1" applyBorder="1" applyAlignment="1">
      <alignment vertical="center" shrinkToFit="1"/>
    </xf>
    <xf numFmtId="0" fontId="72" fillId="0" borderId="25" xfId="18" applyFont="1" applyBorder="1" applyAlignment="1">
      <alignment horizontal="center" vertical="center" shrinkToFit="1"/>
    </xf>
    <xf numFmtId="0" fontId="72" fillId="0" borderId="27" xfId="18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41" fontId="42" fillId="2" borderId="25" xfId="8" applyFont="1" applyFill="1" applyBorder="1" applyAlignment="1">
      <alignment vertical="center" shrinkToFit="1"/>
    </xf>
    <xf numFmtId="0" fontId="43" fillId="10" borderId="10" xfId="0" applyFont="1" applyFill="1" applyBorder="1" applyAlignment="1">
      <alignment vertical="center" shrinkToFit="1"/>
    </xf>
    <xf numFmtId="0" fontId="43" fillId="10" borderId="7" xfId="18" applyFont="1" applyFill="1" applyBorder="1" applyAlignment="1">
      <alignment horizontal="center" vertical="center"/>
    </xf>
    <xf numFmtId="0" fontId="43" fillId="10" borderId="3" xfId="18" applyFont="1" applyFill="1" applyBorder="1" applyAlignment="1">
      <alignment horizontal="center" vertical="center" shrinkToFit="1"/>
    </xf>
    <xf numFmtId="41" fontId="43" fillId="10" borderId="25" xfId="8" applyFont="1" applyFill="1" applyBorder="1" applyAlignment="1">
      <alignment vertical="center" shrinkToFit="1"/>
    </xf>
    <xf numFmtId="0" fontId="25" fillId="0" borderId="0" xfId="0" applyFont="1" applyAlignment="1">
      <alignment horizontal="center" vertical="center"/>
    </xf>
    <xf numFmtId="0" fontId="30" fillId="0" borderId="15" xfId="0" applyFont="1" applyBorder="1">
      <alignment vertical="center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8" fontId="20" fillId="0" borderId="18" xfId="18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shrinkToFit="1"/>
    </xf>
    <xf numFmtId="0" fontId="20" fillId="0" borderId="25" xfId="0" applyFont="1" applyBorder="1" applyAlignment="1">
      <alignment horizontal="center" vertical="center" shrinkToFit="1"/>
    </xf>
    <xf numFmtId="0" fontId="43" fillId="10" borderId="14" xfId="18" applyFont="1" applyFill="1" applyBorder="1" applyAlignment="1">
      <alignment horizontal="center" vertical="center" shrinkToFit="1"/>
    </xf>
    <xf numFmtId="41" fontId="37" fillId="9" borderId="24" xfId="8" applyFont="1" applyFill="1" applyBorder="1" applyAlignment="1">
      <alignment vertical="center" shrinkToFit="1"/>
    </xf>
    <xf numFmtId="0" fontId="73" fillId="0" borderId="0" xfId="0" applyFont="1" applyAlignment="1">
      <alignment horizontal="center" vertical="center" shrinkToFit="1"/>
    </xf>
    <xf numFmtId="14" fontId="73" fillId="0" borderId="0" xfId="0" applyNumberFormat="1" applyFont="1" applyAlignment="1">
      <alignment horizontal="center" vertical="center" shrinkToFit="1"/>
    </xf>
    <xf numFmtId="0" fontId="73" fillId="0" borderId="0" xfId="18" applyFont="1" applyAlignment="1">
      <alignment horizontal="center" vertical="center"/>
    </xf>
    <xf numFmtId="182" fontId="73" fillId="0" borderId="0" xfId="18" applyNumberFormat="1" applyFont="1" applyAlignment="1">
      <alignment horizontal="center" vertical="center"/>
    </xf>
    <xf numFmtId="0" fontId="73" fillId="0" borderId="0" xfId="18" applyFont="1" applyAlignment="1">
      <alignment horizontal="center" vertical="center" shrinkToFit="1"/>
    </xf>
    <xf numFmtId="41" fontId="73" fillId="0" borderId="0" xfId="8" applyFont="1" applyBorder="1" applyAlignment="1">
      <alignment vertical="center" shrinkToFit="1"/>
    </xf>
    <xf numFmtId="41" fontId="20" fillId="0" borderId="25" xfId="25" applyFont="1" applyFill="1" applyBorder="1" applyAlignment="1">
      <alignment horizontal="center" vertical="center" shrinkToFit="1"/>
    </xf>
    <xf numFmtId="41" fontId="20" fillId="0" borderId="7" xfId="25" applyFont="1" applyFill="1" applyBorder="1" applyAlignment="1">
      <alignment horizontal="center" vertical="center" shrinkToFit="1"/>
    </xf>
    <xf numFmtId="41" fontId="20" fillId="0" borderId="27" xfId="25" applyFont="1" applyFill="1" applyBorder="1" applyAlignment="1">
      <alignment horizontal="center" vertical="center" shrinkToFit="1"/>
    </xf>
    <xf numFmtId="41" fontId="41" fillId="0" borderId="25" xfId="25" applyFont="1" applyFill="1" applyBorder="1" applyAlignment="1" applyProtection="1">
      <alignment horizontal="center" vertical="center" shrinkToFit="1"/>
      <protection locked="0"/>
    </xf>
    <xf numFmtId="41" fontId="41" fillId="0" borderId="7" xfId="25" applyFont="1" applyFill="1" applyBorder="1" applyAlignment="1" applyProtection="1">
      <alignment horizontal="center" vertical="center" shrinkToFit="1"/>
      <protection locked="0"/>
    </xf>
    <xf numFmtId="14" fontId="24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54" fillId="0" borderId="7" xfId="18" applyFont="1" applyBorder="1" applyAlignment="1">
      <alignment horizontal="center" vertical="center" shrinkToFit="1"/>
    </xf>
    <xf numFmtId="14" fontId="54" fillId="0" borderId="7" xfId="0" applyNumberFormat="1" applyFont="1" applyBorder="1" applyAlignment="1">
      <alignment horizontal="center" vertical="center" shrinkToFit="1"/>
    </xf>
    <xf numFmtId="183" fontId="54" fillId="0" borderId="7" xfId="18" applyNumberFormat="1" applyFont="1" applyBorder="1" applyAlignment="1">
      <alignment horizontal="center" vertical="center" shrinkToFit="1"/>
    </xf>
    <xf numFmtId="182" fontId="54" fillId="0" borderId="7" xfId="18" applyNumberFormat="1" applyFont="1" applyBorder="1" applyAlignment="1">
      <alignment horizontal="center" vertical="center"/>
    </xf>
    <xf numFmtId="0" fontId="54" fillId="0" borderId="27" xfId="18" applyFont="1" applyBorder="1" applyAlignment="1">
      <alignment horizontal="center" vertical="center" shrinkToFit="1"/>
    </xf>
    <xf numFmtId="41" fontId="54" fillId="0" borderId="25" xfId="8" applyFont="1" applyFill="1" applyBorder="1" applyAlignment="1">
      <alignment horizontal="center" vertical="center" shrinkToFit="1"/>
    </xf>
    <xf numFmtId="41" fontId="54" fillId="0" borderId="7" xfId="8" applyFont="1" applyFill="1" applyBorder="1" applyAlignment="1">
      <alignment horizontal="center" vertical="center" shrinkToFit="1"/>
    </xf>
    <xf numFmtId="41" fontId="54" fillId="0" borderId="27" xfId="8" applyFont="1" applyFill="1" applyBorder="1" applyAlignment="1">
      <alignment horizontal="center" vertical="center" shrinkToFit="1"/>
    </xf>
    <xf numFmtId="41" fontId="54" fillId="0" borderId="25" xfId="10" applyNumberFormat="1" applyFont="1" applyFill="1" applyBorder="1" applyAlignment="1">
      <alignment horizontal="center" vertical="center" shrinkToFit="1"/>
    </xf>
    <xf numFmtId="41" fontId="54" fillId="0" borderId="7" xfId="10" applyNumberFormat="1" applyFont="1" applyFill="1" applyBorder="1" applyAlignment="1">
      <alignment horizontal="center" vertical="center" shrinkToFit="1"/>
    </xf>
    <xf numFmtId="41" fontId="54" fillId="0" borderId="27" xfId="10" applyNumberFormat="1" applyFont="1" applyFill="1" applyBorder="1" applyAlignment="1">
      <alignment horizontal="center" vertical="center" shrinkToFit="1"/>
    </xf>
    <xf numFmtId="41" fontId="54" fillId="0" borderId="26" xfId="10" applyNumberFormat="1" applyFont="1" applyFill="1" applyBorder="1" applyAlignment="1">
      <alignment horizontal="center" vertical="center" shrinkToFit="1"/>
    </xf>
    <xf numFmtId="41" fontId="54" fillId="0" borderId="25" xfId="25" applyFont="1" applyFill="1" applyBorder="1" applyAlignment="1">
      <alignment horizontal="center" vertical="center" shrinkToFit="1"/>
    </xf>
    <xf numFmtId="41" fontId="54" fillId="0" borderId="7" xfId="25" applyFont="1" applyFill="1" applyBorder="1" applyAlignment="1">
      <alignment horizontal="center" vertical="center" shrinkToFit="1"/>
    </xf>
    <xf numFmtId="41" fontId="54" fillId="0" borderId="27" xfId="25" applyFont="1" applyFill="1" applyBorder="1" applyAlignment="1">
      <alignment horizontal="center" vertical="center" shrinkToFit="1"/>
    </xf>
    <xf numFmtId="41" fontId="52" fillId="0" borderId="25" xfId="25" applyFont="1" applyFill="1" applyBorder="1" applyAlignment="1" applyProtection="1">
      <alignment horizontal="center" vertical="center" shrinkToFit="1"/>
      <protection locked="0"/>
    </xf>
    <xf numFmtId="41" fontId="52" fillId="0" borderId="7" xfId="25" applyFont="1" applyFill="1" applyBorder="1" applyAlignment="1" applyProtection="1">
      <alignment horizontal="center" vertical="center" shrinkToFit="1"/>
      <protection locked="0"/>
    </xf>
    <xf numFmtId="49" fontId="24" fillId="0" borderId="7" xfId="18" applyNumberFormat="1" applyFont="1" applyBorder="1" applyAlignment="1">
      <alignment horizontal="center" vertical="center" shrinkToFit="1"/>
    </xf>
    <xf numFmtId="41" fontId="20" fillId="0" borderId="10" xfId="25" applyFont="1" applyFill="1" applyBorder="1" applyAlignment="1">
      <alignment horizontal="center" vertical="center" shrinkToFit="1"/>
    </xf>
    <xf numFmtId="41" fontId="20" fillId="0" borderId="3" xfId="25" applyFont="1" applyFill="1" applyBorder="1" applyAlignment="1">
      <alignment horizontal="center" vertical="center" shrinkToFit="1"/>
    </xf>
    <xf numFmtId="41" fontId="20" fillId="0" borderId="14" xfId="25" applyFont="1" applyFill="1" applyBorder="1" applyAlignment="1">
      <alignment horizontal="center" vertical="center" shrinkToFit="1"/>
    </xf>
    <xf numFmtId="41" fontId="41" fillId="0" borderId="10" xfId="25" applyFont="1" applyFill="1" applyBorder="1" applyAlignment="1">
      <alignment horizontal="center" vertical="center" shrinkToFit="1"/>
    </xf>
    <xf numFmtId="41" fontId="41" fillId="0" borderId="3" xfId="25" applyFont="1" applyFill="1" applyBorder="1" applyAlignment="1" applyProtection="1">
      <alignment horizontal="center" vertical="center" shrinkToFit="1"/>
      <protection locked="0"/>
    </xf>
    <xf numFmtId="41" fontId="20" fillId="0" borderId="25" xfId="25" applyFont="1" applyBorder="1" applyAlignment="1">
      <alignment horizontal="center" vertical="center" shrinkToFit="1"/>
    </xf>
    <xf numFmtId="41" fontId="20" fillId="0" borderId="7" xfId="25" applyFont="1" applyBorder="1" applyAlignment="1">
      <alignment horizontal="center" vertical="center" shrinkToFit="1"/>
    </xf>
    <xf numFmtId="41" fontId="20" fillId="0" borderId="27" xfId="25" applyFont="1" applyBorder="1" applyAlignment="1">
      <alignment horizontal="center" vertical="center" shrinkToFit="1"/>
    </xf>
    <xf numFmtId="41" fontId="41" fillId="0" borderId="25" xfId="25" applyFont="1" applyBorder="1" applyAlignment="1" applyProtection="1">
      <alignment horizontal="center" vertical="center" shrinkToFit="1"/>
      <protection locked="0"/>
    </xf>
    <xf numFmtId="41" fontId="41" fillId="0" borderId="7" xfId="25" applyFont="1" applyBorder="1" applyAlignment="1" applyProtection="1">
      <alignment horizontal="center" vertical="center" shrinkToFit="1"/>
      <protection locked="0"/>
    </xf>
    <xf numFmtId="49" fontId="66" fillId="0" borderId="3" xfId="18" applyNumberFormat="1" applyFont="1" applyBorder="1" applyAlignment="1">
      <alignment horizontal="center" vertical="center" shrinkToFit="1"/>
    </xf>
    <xf numFmtId="0" fontId="66" fillId="0" borderId="3" xfId="18" applyFont="1" applyBorder="1" applyAlignment="1">
      <alignment horizontal="center" vertical="center" shrinkToFit="1"/>
    </xf>
    <xf numFmtId="183" fontId="66" fillId="0" borderId="3" xfId="18" applyNumberFormat="1" applyFont="1" applyBorder="1" applyAlignment="1">
      <alignment horizontal="center" vertical="center" shrinkToFit="1"/>
    </xf>
    <xf numFmtId="0" fontId="66" fillId="0" borderId="14" xfId="18" applyFont="1" applyBorder="1" applyAlignment="1">
      <alignment horizontal="center" vertical="center" shrinkToFit="1"/>
    </xf>
    <xf numFmtId="41" fontId="66" fillId="0" borderId="10" xfId="25" applyFont="1" applyBorder="1" applyAlignment="1">
      <alignment horizontal="center" vertical="center" shrinkToFit="1"/>
    </xf>
    <xf numFmtId="41" fontId="66" fillId="0" borderId="3" xfId="25" applyFont="1" applyBorder="1" applyAlignment="1">
      <alignment horizontal="center" vertical="center" shrinkToFit="1"/>
    </xf>
    <xf numFmtId="41" fontId="67" fillId="0" borderId="7" xfId="25" applyFont="1" applyBorder="1" applyAlignment="1" applyProtection="1">
      <alignment horizontal="center" vertical="center" shrinkToFit="1"/>
      <protection locked="0"/>
    </xf>
    <xf numFmtId="183" fontId="24" fillId="12" borderId="7" xfId="18" applyNumberFormat="1" applyFont="1" applyFill="1" applyBorder="1" applyAlignment="1">
      <alignment horizontal="center" vertical="center" shrinkToFit="1"/>
    </xf>
    <xf numFmtId="3" fontId="46" fillId="0" borderId="3" xfId="18" applyNumberFormat="1" applyFont="1" applyBorder="1" applyAlignment="1">
      <alignment horizontal="center" vertical="center" shrinkToFit="1"/>
    </xf>
    <xf numFmtId="0" fontId="27" fillId="0" borderId="14" xfId="18" applyFont="1" applyBorder="1" applyAlignment="1">
      <alignment horizontal="center" vertical="center" shrinkToFit="1"/>
    </xf>
    <xf numFmtId="41" fontId="66" fillId="0" borderId="25" xfId="25" applyFont="1" applyBorder="1" applyAlignment="1">
      <alignment horizontal="center" vertical="center" shrinkToFit="1"/>
    </xf>
    <xf numFmtId="41" fontId="66" fillId="0" borderId="7" xfId="25" applyFont="1" applyBorder="1" applyAlignment="1">
      <alignment horizontal="center" vertical="center" shrinkToFit="1"/>
    </xf>
    <xf numFmtId="41" fontId="20" fillId="0" borderId="10" xfId="25" applyFont="1" applyBorder="1" applyAlignment="1">
      <alignment horizontal="center" vertical="center" shrinkToFit="1"/>
    </xf>
    <xf numFmtId="41" fontId="20" fillId="0" borderId="3" xfId="25" applyFont="1" applyBorder="1" applyAlignment="1">
      <alignment horizontal="center" vertical="center" shrinkToFit="1"/>
    </xf>
    <xf numFmtId="41" fontId="20" fillId="0" borderId="14" xfId="25" applyFont="1" applyBorder="1" applyAlignment="1">
      <alignment horizontal="center" vertical="center" shrinkToFit="1"/>
    </xf>
    <xf numFmtId="41" fontId="41" fillId="0" borderId="10" xfId="25" applyFont="1" applyBorder="1" applyAlignment="1" applyProtection="1">
      <alignment horizontal="center" vertical="center" shrinkToFit="1"/>
      <protection locked="0"/>
    </xf>
    <xf numFmtId="41" fontId="41" fillId="0" borderId="10" xfId="25" applyFont="1" applyBorder="1" applyAlignment="1">
      <alignment horizontal="center" vertical="center" shrinkToFit="1"/>
    </xf>
    <xf numFmtId="41" fontId="41" fillId="0" borderId="24" xfId="25" applyFont="1" applyBorder="1" applyAlignment="1" applyProtection="1">
      <alignment horizontal="center" vertical="center" shrinkToFit="1"/>
      <protection locked="0"/>
    </xf>
    <xf numFmtId="3" fontId="27" fillId="0" borderId="3" xfId="18" applyNumberFormat="1" applyFont="1" applyBorder="1" applyAlignment="1">
      <alignment horizontal="center" vertical="center" shrinkToFit="1"/>
    </xf>
    <xf numFmtId="182" fontId="27" fillId="0" borderId="3" xfId="18" applyNumberFormat="1" applyFont="1" applyBorder="1" applyAlignment="1">
      <alignment horizontal="center" vertical="center" shrinkToFit="1"/>
    </xf>
    <xf numFmtId="0" fontId="27" fillId="0" borderId="3" xfId="18" applyFont="1" applyBorder="1" applyAlignment="1">
      <alignment horizontal="center" vertical="center" shrinkToFit="1"/>
    </xf>
    <xf numFmtId="0" fontId="18" fillId="0" borderId="14" xfId="18" applyFont="1" applyBorder="1" applyAlignment="1">
      <alignment horizontal="center" vertical="center" shrinkToFit="1"/>
    </xf>
    <xf numFmtId="41" fontId="20" fillId="0" borderId="15" xfId="10" applyNumberFormat="1" applyFont="1" applyBorder="1" applyAlignment="1">
      <alignment horizontal="center" vertical="center" shrinkToFit="1"/>
    </xf>
    <xf numFmtId="41" fontId="20" fillId="0" borderId="33" xfId="10" applyNumberFormat="1" applyFont="1" applyBorder="1" applyAlignment="1">
      <alignment horizontal="center" vertical="center" shrinkToFit="1"/>
    </xf>
    <xf numFmtId="41" fontId="41" fillId="0" borderId="15" xfId="25" applyFont="1" applyBorder="1" applyAlignment="1" applyProtection="1">
      <alignment horizontal="center" vertical="center" shrinkToFit="1"/>
      <protection locked="0"/>
    </xf>
    <xf numFmtId="41" fontId="41" fillId="0" borderId="3" xfId="25" applyFont="1" applyBorder="1" applyAlignment="1" applyProtection="1">
      <alignment horizontal="center" vertical="center" shrinkToFit="1"/>
      <protection locked="0"/>
    </xf>
    <xf numFmtId="183" fontId="20" fillId="12" borderId="7" xfId="18" applyNumberFormat="1" applyFont="1" applyFill="1" applyBorder="1" applyAlignment="1">
      <alignment horizontal="center" vertical="center" shrinkToFit="1"/>
    </xf>
    <xf numFmtId="41" fontId="20" fillId="0" borderId="15" xfId="8" applyFont="1" applyBorder="1" applyAlignment="1">
      <alignment horizontal="center" vertical="center" shrinkToFit="1"/>
    </xf>
    <xf numFmtId="41" fontId="20" fillId="0" borderId="33" xfId="8" applyFont="1" applyBorder="1" applyAlignment="1">
      <alignment horizontal="center" vertical="center" shrinkToFit="1"/>
    </xf>
    <xf numFmtId="41" fontId="20" fillId="0" borderId="39" xfId="10" applyNumberFormat="1" applyFont="1" applyBorder="1" applyAlignment="1">
      <alignment horizontal="center" vertical="center" shrinkToFit="1"/>
    </xf>
    <xf numFmtId="41" fontId="20" fillId="0" borderId="2" xfId="25" applyFont="1" applyBorder="1" applyAlignment="1">
      <alignment horizontal="center" vertical="center" shrinkToFit="1"/>
    </xf>
    <xf numFmtId="41" fontId="20" fillId="0" borderId="33" xfId="25" applyFont="1" applyBorder="1" applyAlignment="1">
      <alignment horizontal="center" vertical="center" shrinkToFit="1"/>
    </xf>
    <xf numFmtId="41" fontId="20" fillId="0" borderId="0" xfId="10" applyNumberFormat="1" applyFont="1" applyBorder="1" applyAlignment="1">
      <alignment horizontal="center" vertical="center" shrinkToFit="1"/>
    </xf>
    <xf numFmtId="41" fontId="20" fillId="0" borderId="35" xfId="25" applyFont="1" applyBorder="1" applyAlignment="1">
      <alignment horizontal="center" vertical="center" shrinkToFit="1"/>
    </xf>
    <xf numFmtId="41" fontId="41" fillId="0" borderId="0" xfId="25" applyFont="1" applyBorder="1" applyAlignment="1">
      <alignment horizontal="center" vertical="center" shrinkToFit="1"/>
    </xf>
    <xf numFmtId="41" fontId="20" fillId="0" borderId="2" xfId="10" applyNumberFormat="1" applyFont="1" applyBorder="1" applyAlignment="1">
      <alignment horizontal="center" vertical="center" shrinkToFit="1"/>
    </xf>
    <xf numFmtId="41" fontId="41" fillId="0" borderId="2" xfId="25" applyFont="1" applyBorder="1" applyAlignment="1">
      <alignment horizontal="center" vertical="center" shrinkToFit="1"/>
    </xf>
    <xf numFmtId="49" fontId="68" fillId="0" borderId="137" xfId="0" applyNumberFormat="1" applyFont="1" applyBorder="1" applyAlignment="1">
      <alignment horizontal="center" vertical="center" shrinkToFit="1"/>
    </xf>
    <xf numFmtId="0" fontId="68" fillId="0" borderId="137" xfId="0" applyFont="1" applyBorder="1" applyAlignment="1">
      <alignment horizontal="center" vertical="center" shrinkToFit="1"/>
    </xf>
    <xf numFmtId="0" fontId="68" fillId="0" borderId="146" xfId="0" applyFont="1" applyBorder="1" applyAlignment="1">
      <alignment horizontal="center" vertical="center" shrinkToFit="1"/>
    </xf>
    <xf numFmtId="41" fontId="20" fillId="0" borderId="15" xfId="25" applyFont="1" applyBorder="1" applyAlignment="1">
      <alignment horizontal="center" vertical="center" shrinkToFit="1"/>
    </xf>
    <xf numFmtId="41" fontId="41" fillId="0" borderId="2" xfId="25" applyFont="1" applyBorder="1" applyAlignment="1" applyProtection="1">
      <alignment horizontal="center" vertical="center" shrinkToFit="1"/>
      <protection locked="0"/>
    </xf>
    <xf numFmtId="41" fontId="20" fillId="0" borderId="3" xfId="18" applyNumberFormat="1" applyFont="1" applyBorder="1" applyAlignment="1">
      <alignment horizontal="center" vertical="center" shrinkToFit="1"/>
    </xf>
    <xf numFmtId="41" fontId="20" fillId="0" borderId="8" xfId="18" applyNumberFormat="1" applyFont="1" applyBorder="1" applyAlignment="1">
      <alignment horizontal="center" vertical="center" shrinkToFit="1"/>
    </xf>
    <xf numFmtId="0" fontId="20" fillId="0" borderId="33" xfId="18" applyFont="1" applyBorder="1" applyAlignment="1">
      <alignment horizontal="center" vertical="center" shrinkToFit="1"/>
    </xf>
    <xf numFmtId="41" fontId="41" fillId="0" borderId="13" xfId="25" applyFont="1" applyBorder="1" applyAlignment="1" applyProtection="1">
      <alignment horizontal="center" vertical="center" shrinkToFit="1"/>
      <protection locked="0"/>
    </xf>
    <xf numFmtId="41" fontId="20" fillId="0" borderId="15" xfId="8" applyFont="1" applyFill="1" applyBorder="1" applyAlignment="1">
      <alignment vertical="center" shrinkToFit="1"/>
    </xf>
    <xf numFmtId="41" fontId="20" fillId="0" borderId="33" xfId="8" applyFont="1" applyFill="1" applyBorder="1" applyAlignment="1">
      <alignment horizontal="center" vertical="center" shrinkToFit="1"/>
    </xf>
    <xf numFmtId="0" fontId="18" fillId="0" borderId="13" xfId="17" applyFont="1" applyBorder="1" applyAlignment="1">
      <alignment horizontal="right" vertical="center"/>
    </xf>
    <xf numFmtId="0" fontId="18" fillId="0" borderId="3" xfId="17" applyFont="1" applyBorder="1" applyAlignment="1">
      <alignment horizontal="right" vertical="center"/>
    </xf>
    <xf numFmtId="0" fontId="18" fillId="0" borderId="8" xfId="17" applyFont="1" applyBorder="1" applyAlignment="1">
      <alignment horizontal="right" vertical="center"/>
    </xf>
    <xf numFmtId="41" fontId="20" fillId="0" borderId="8" xfId="10" applyNumberFormat="1" applyFont="1" applyBorder="1" applyAlignment="1">
      <alignment horizontal="center" vertical="center" shrinkToFit="1"/>
    </xf>
    <xf numFmtId="41" fontId="20" fillId="0" borderId="8" xfId="25" applyFont="1" applyBorder="1" applyAlignment="1">
      <alignment horizontal="center" vertical="center" shrinkToFit="1"/>
    </xf>
    <xf numFmtId="41" fontId="41" fillId="0" borderId="8" xfId="25" applyFont="1" applyBorder="1" applyAlignment="1" applyProtection="1">
      <alignment horizontal="center" vertical="center" shrinkToFit="1"/>
      <protection locked="0"/>
    </xf>
    <xf numFmtId="188" fontId="65" fillId="0" borderId="7" xfId="0" applyNumberFormat="1" applyFont="1" applyBorder="1" applyAlignment="1">
      <alignment horizontal="center" vertical="center"/>
    </xf>
    <xf numFmtId="41" fontId="20" fillId="0" borderId="25" xfId="8" applyFont="1" applyBorder="1" applyAlignment="1">
      <alignment horizontal="right" vertical="center" shrinkToFit="1"/>
    </xf>
    <xf numFmtId="41" fontId="20" fillId="0" borderId="27" xfId="8" applyFont="1" applyBorder="1" applyAlignment="1">
      <alignment horizontal="right" vertical="center" shrinkToFit="1"/>
    </xf>
    <xf numFmtId="0" fontId="66" fillId="16" borderId="7" xfId="18" applyFont="1" applyFill="1" applyBorder="1" applyAlignment="1">
      <alignment horizontal="center" vertical="center" shrinkToFit="1"/>
    </xf>
    <xf numFmtId="14" fontId="66" fillId="0" borderId="7" xfId="18" applyNumberFormat="1" applyFont="1" applyBorder="1" applyAlignment="1">
      <alignment horizontal="center" vertical="center" shrinkToFit="1"/>
    </xf>
    <xf numFmtId="14" fontId="66" fillId="16" borderId="7" xfId="18" applyNumberFormat="1" applyFont="1" applyFill="1" applyBorder="1" applyAlignment="1">
      <alignment horizontal="center" vertical="center" shrinkToFit="1"/>
    </xf>
    <xf numFmtId="0" fontId="40" fillId="0" borderId="7" xfId="18" applyFont="1" applyBorder="1" applyAlignment="1">
      <alignment vertical="center" shrinkToFit="1"/>
    </xf>
    <xf numFmtId="0" fontId="24" fillId="0" borderId="3" xfId="18" applyFont="1" applyBorder="1" applyAlignment="1">
      <alignment horizontal="center" vertical="center" shrinkToFit="1"/>
    </xf>
    <xf numFmtId="0" fontId="24" fillId="0" borderId="14" xfId="18" applyFont="1" applyBorder="1" applyAlignment="1">
      <alignment horizontal="center" vertical="center" shrinkToFit="1"/>
    </xf>
    <xf numFmtId="41" fontId="24" fillId="0" borderId="3" xfId="8" applyFont="1" applyBorder="1" applyAlignment="1">
      <alignment horizontal="center" vertical="center" shrinkToFit="1"/>
    </xf>
    <xf numFmtId="41" fontId="24" fillId="0" borderId="14" xfId="8" applyFont="1" applyBorder="1" applyAlignment="1">
      <alignment horizontal="center" vertical="center" shrinkToFit="1"/>
    </xf>
    <xf numFmtId="41" fontId="24" fillId="0" borderId="10" xfId="25" applyFont="1" applyBorder="1" applyAlignment="1">
      <alignment horizontal="center" vertical="center" shrinkToFit="1"/>
    </xf>
    <xf numFmtId="41" fontId="24" fillId="0" borderId="3" xfId="25" applyFont="1" applyBorder="1" applyAlignment="1">
      <alignment horizontal="center" vertical="center" shrinkToFit="1"/>
    </xf>
    <xf numFmtId="41" fontId="24" fillId="0" borderId="14" xfId="25" applyFont="1" applyBorder="1" applyAlignment="1">
      <alignment horizontal="center" vertical="center" shrinkToFit="1"/>
    </xf>
    <xf numFmtId="41" fontId="23" fillId="0" borderId="10" xfId="25" applyFont="1" applyBorder="1" applyAlignment="1" applyProtection="1">
      <alignment horizontal="center" vertical="center" shrinkToFit="1"/>
      <protection locked="0"/>
    </xf>
    <xf numFmtId="41" fontId="23" fillId="0" borderId="7" xfId="25" applyFont="1" applyBorder="1" applyAlignment="1" applyProtection="1">
      <alignment horizontal="center" vertical="center" shrinkToFit="1"/>
      <protection locked="0"/>
    </xf>
    <xf numFmtId="0" fontId="66" fillId="0" borderId="7" xfId="18" applyFont="1" applyBorder="1" applyAlignment="1">
      <alignment horizontal="left" vertical="center" shrinkToFit="1"/>
    </xf>
    <xf numFmtId="41" fontId="66" fillId="0" borderId="27" xfId="25" applyFont="1" applyBorder="1" applyAlignment="1">
      <alignment horizontal="center" vertical="center" shrinkToFit="1"/>
    </xf>
    <xf numFmtId="41" fontId="67" fillId="0" borderId="25" xfId="25" applyFont="1" applyBorder="1" applyAlignment="1" applyProtection="1">
      <alignment horizontal="center" vertical="center" shrinkToFit="1"/>
      <protection locked="0"/>
    </xf>
    <xf numFmtId="49" fontId="20" fillId="0" borderId="14" xfId="18" applyNumberFormat="1" applyFont="1" applyBorder="1" applyAlignment="1">
      <alignment horizontal="center" vertical="center" shrinkToFit="1"/>
    </xf>
    <xf numFmtId="14" fontId="66" fillId="0" borderId="3" xfId="18" applyNumberFormat="1" applyFont="1" applyBorder="1" applyAlignment="1">
      <alignment horizontal="center" vertical="center" shrinkToFit="1"/>
    </xf>
    <xf numFmtId="41" fontId="66" fillId="0" borderId="14" xfId="25" applyFont="1" applyBorder="1" applyAlignment="1">
      <alignment horizontal="center" vertical="center" shrinkToFit="1"/>
    </xf>
    <xf numFmtId="41" fontId="67" fillId="0" borderId="10" xfId="25" applyFont="1" applyBorder="1" applyAlignment="1" applyProtection="1">
      <alignment horizontal="center" vertical="center" shrinkToFit="1"/>
      <protection locked="0"/>
    </xf>
    <xf numFmtId="49" fontId="20" fillId="0" borderId="147" xfId="18" applyNumberFormat="1" applyFont="1" applyBorder="1" applyAlignment="1">
      <alignment horizontal="center" vertical="center" shrinkToFit="1"/>
    </xf>
    <xf numFmtId="0" fontId="20" fillId="0" borderId="147" xfId="18" applyFont="1" applyBorder="1" applyAlignment="1">
      <alignment horizontal="center" vertical="center" shrinkToFit="1"/>
    </xf>
    <xf numFmtId="14" fontId="20" fillId="0" borderId="147" xfId="18" applyNumberFormat="1" applyFont="1" applyBorder="1" applyAlignment="1">
      <alignment horizontal="center" vertical="center" shrinkToFit="1"/>
    </xf>
    <xf numFmtId="0" fontId="26" fillId="0" borderId="147" xfId="18" applyFont="1" applyBorder="1" applyAlignment="1">
      <alignment horizontal="center" vertical="center" shrinkToFit="1"/>
    </xf>
    <xf numFmtId="183" fontId="20" fillId="0" borderId="147" xfId="18" applyNumberFormat="1" applyFont="1" applyBorder="1" applyAlignment="1">
      <alignment horizontal="center" vertical="center" shrinkToFit="1"/>
    </xf>
    <xf numFmtId="182" fontId="20" fillId="0" borderId="147" xfId="18" applyNumberFormat="1" applyFont="1" applyBorder="1" applyAlignment="1">
      <alignment horizontal="center" vertical="center"/>
    </xf>
    <xf numFmtId="0" fontId="20" fillId="0" borderId="148" xfId="18" applyFont="1" applyBorder="1" applyAlignment="1">
      <alignment horizontal="center" vertical="center" shrinkToFit="1"/>
    </xf>
    <xf numFmtId="41" fontId="20" fillId="0" borderId="149" xfId="10" applyNumberFormat="1" applyFont="1" applyBorder="1" applyAlignment="1">
      <alignment horizontal="center" vertical="center" shrinkToFit="1"/>
    </xf>
    <xf numFmtId="41" fontId="20" fillId="0" borderId="147" xfId="10" applyNumberFormat="1" applyFont="1" applyBorder="1" applyAlignment="1">
      <alignment horizontal="center" vertical="center" shrinkToFit="1"/>
    </xf>
    <xf numFmtId="41" fontId="20" fillId="0" borderId="148" xfId="10" applyNumberFormat="1" applyFont="1" applyBorder="1" applyAlignment="1">
      <alignment horizontal="center" vertical="center" shrinkToFit="1"/>
    </xf>
    <xf numFmtId="41" fontId="20" fillId="0" borderId="150" xfId="10" applyNumberFormat="1" applyFont="1" applyBorder="1" applyAlignment="1">
      <alignment horizontal="center" vertical="center" shrinkToFit="1"/>
    </xf>
    <xf numFmtId="41" fontId="20" fillId="0" borderId="149" xfId="25" applyFont="1" applyBorder="1" applyAlignment="1">
      <alignment horizontal="center" vertical="center" shrinkToFit="1"/>
    </xf>
    <xf numFmtId="41" fontId="20" fillId="0" borderId="147" xfId="25" applyFont="1" applyBorder="1" applyAlignment="1">
      <alignment horizontal="center" vertical="center" shrinkToFit="1"/>
    </xf>
    <xf numFmtId="41" fontId="20" fillId="0" borderId="148" xfId="25" applyFont="1" applyBorder="1" applyAlignment="1">
      <alignment horizontal="center" vertical="center" shrinkToFit="1"/>
    </xf>
    <xf numFmtId="41" fontId="41" fillId="0" borderId="149" xfId="25" applyFont="1" applyBorder="1" applyAlignment="1" applyProtection="1">
      <alignment horizontal="center" vertical="center" shrinkToFit="1"/>
      <protection locked="0"/>
    </xf>
    <xf numFmtId="41" fontId="41" fillId="0" borderId="147" xfId="25" applyFont="1" applyBorder="1" applyAlignment="1" applyProtection="1">
      <alignment horizontal="center" vertical="center" shrinkToFit="1"/>
      <protection locked="0"/>
    </xf>
    <xf numFmtId="0" fontId="20" fillId="0" borderId="2" xfId="18" applyFont="1" applyBorder="1" applyAlignment="1">
      <alignment horizontal="center" vertical="center" shrinkToFit="1"/>
    </xf>
    <xf numFmtId="183" fontId="20" fillId="0" borderId="2" xfId="18" applyNumberFormat="1" applyFont="1" applyBorder="1" applyAlignment="1">
      <alignment horizontal="center" vertical="center" shrinkToFit="1"/>
    </xf>
    <xf numFmtId="14" fontId="54" fillId="14" borderId="7" xfId="0" applyNumberFormat="1" applyFont="1" applyFill="1" applyBorder="1" applyAlignment="1">
      <alignment horizontal="center" vertical="center" shrinkToFit="1"/>
    </xf>
    <xf numFmtId="0" fontId="54" fillId="14" borderId="7" xfId="18" applyFont="1" applyFill="1" applyBorder="1" applyAlignment="1">
      <alignment horizontal="center" vertical="center" shrinkToFit="1"/>
    </xf>
    <xf numFmtId="183" fontId="54" fillId="14" borderId="7" xfId="18" applyNumberFormat="1" applyFont="1" applyFill="1" applyBorder="1" applyAlignment="1">
      <alignment horizontal="center" vertical="center"/>
    </xf>
    <xf numFmtId="182" fontId="54" fillId="14" borderId="7" xfId="18" applyNumberFormat="1" applyFont="1" applyFill="1" applyBorder="1" applyAlignment="1">
      <alignment horizontal="center" vertical="center"/>
    </xf>
    <xf numFmtId="0" fontId="54" fillId="14" borderId="27" xfId="18" applyFont="1" applyFill="1" applyBorder="1" applyAlignment="1">
      <alignment horizontal="center" vertical="center" shrinkToFit="1"/>
    </xf>
    <xf numFmtId="183" fontId="24" fillId="0" borderId="3" xfId="18" applyNumberFormat="1" applyFont="1" applyBorder="1" applyAlignment="1">
      <alignment horizontal="center" vertical="center"/>
    </xf>
    <xf numFmtId="41" fontId="24" fillId="0" borderId="26" xfId="8" applyFont="1" applyBorder="1" applyAlignment="1">
      <alignment horizontal="center" vertical="center" shrinkToFit="1"/>
    </xf>
    <xf numFmtId="41" fontId="24" fillId="0" borderId="7" xfId="8" applyFont="1" applyBorder="1" applyAlignment="1">
      <alignment vertical="center" shrinkToFit="1"/>
    </xf>
    <xf numFmtId="41" fontId="24" fillId="0" borderId="26" xfId="8" applyFont="1" applyBorder="1" applyAlignment="1">
      <alignment vertical="center" shrinkToFit="1"/>
    </xf>
    <xf numFmtId="41" fontId="23" fillId="0" borderId="7" xfId="8" applyFont="1" applyBorder="1" applyAlignment="1">
      <alignment vertical="center" shrinkToFit="1"/>
    </xf>
    <xf numFmtId="0" fontId="24" fillId="0" borderId="25" xfId="0" applyFont="1" applyBorder="1" applyAlignment="1">
      <alignment vertical="center" shrinkToFit="1"/>
    </xf>
    <xf numFmtId="0" fontId="42" fillId="3" borderId="15" xfId="0" applyFont="1" applyFill="1" applyBorder="1" applyAlignment="1">
      <alignment horizontal="center" vertical="center" shrinkToFit="1"/>
    </xf>
    <xf numFmtId="0" fontId="41" fillId="2" borderId="25" xfId="0" applyFont="1" applyFill="1" applyBorder="1" applyAlignment="1">
      <alignment horizontal="center" vertical="center" shrinkToFit="1"/>
    </xf>
    <xf numFmtId="0" fontId="41" fillId="3" borderId="25" xfId="0" applyFont="1" applyFill="1" applyBorder="1" applyAlignment="1">
      <alignment horizontal="center" vertical="center" shrinkToFit="1"/>
    </xf>
    <xf numFmtId="0" fontId="41" fillId="7" borderId="25" xfId="0" applyFont="1" applyFill="1" applyBorder="1" applyAlignment="1">
      <alignment horizontal="center" vertical="center" shrinkToFit="1"/>
    </xf>
    <xf numFmtId="0" fontId="54" fillId="0" borderId="7" xfId="0" applyFont="1" applyBorder="1" applyAlignment="1">
      <alignment horizontal="center" vertical="center" shrinkToFit="1"/>
    </xf>
    <xf numFmtId="183" fontId="54" fillId="0" borderId="7" xfId="0" applyNumberFormat="1" applyFont="1" applyBorder="1" applyAlignment="1">
      <alignment horizontal="center" vertical="center" shrinkToFit="1"/>
    </xf>
    <xf numFmtId="41" fontId="20" fillId="0" borderId="26" xfId="8" applyFont="1" applyFill="1" applyBorder="1" applyAlignment="1">
      <alignment horizontal="center" vertical="center" shrinkToFit="1"/>
    </xf>
    <xf numFmtId="0" fontId="46" fillId="0" borderId="7" xfId="0" applyFont="1" applyBorder="1" applyAlignment="1">
      <alignment horizontal="center" vertical="center" shrinkToFit="1"/>
    </xf>
    <xf numFmtId="0" fontId="46" fillId="0" borderId="27" xfId="0" applyFont="1" applyBorder="1" applyAlignment="1">
      <alignment horizontal="center" vertical="center" shrinkToFit="1"/>
    </xf>
    <xf numFmtId="183" fontId="20" fillId="0" borderId="25" xfId="18" applyNumberFormat="1" applyFont="1" applyBorder="1" applyAlignment="1">
      <alignment horizontal="center" vertical="center"/>
    </xf>
    <xf numFmtId="41" fontId="41" fillId="3" borderId="13" xfId="18" applyNumberFormat="1" applyFont="1" applyFill="1" applyBorder="1" applyAlignment="1">
      <alignment horizontal="center" vertical="center" shrinkToFit="1"/>
    </xf>
    <xf numFmtId="41" fontId="41" fillId="3" borderId="3" xfId="18" applyNumberFormat="1" applyFont="1" applyFill="1" applyBorder="1" applyAlignment="1">
      <alignment horizontal="center" vertical="center" shrinkToFit="1"/>
    </xf>
    <xf numFmtId="41" fontId="41" fillId="3" borderId="14" xfId="18" applyNumberFormat="1" applyFont="1" applyFill="1" applyBorder="1" applyAlignment="1">
      <alignment horizontal="center" vertical="center" shrinkToFit="1"/>
    </xf>
    <xf numFmtId="0" fontId="46" fillId="0" borderId="3" xfId="18" applyFont="1" applyBorder="1" applyAlignment="1">
      <alignment horizontal="center" vertical="center"/>
    </xf>
    <xf numFmtId="183" fontId="46" fillId="0" borderId="3" xfId="18" applyNumberFormat="1" applyFont="1" applyBorder="1" applyAlignment="1">
      <alignment horizontal="center" vertical="center"/>
    </xf>
    <xf numFmtId="41" fontId="41" fillId="0" borderId="27" xfId="8" applyFont="1" applyBorder="1" applyAlignment="1">
      <alignment horizontal="center" vertical="center" shrinkToFit="1"/>
    </xf>
    <xf numFmtId="41" fontId="41" fillId="0" borderId="7" xfId="8" applyFont="1" applyBorder="1" applyAlignment="1">
      <alignment horizontal="center" vertical="center" shrinkToFit="1"/>
    </xf>
    <xf numFmtId="183" fontId="20" fillId="0" borderId="25" xfId="0" applyNumberFormat="1" applyFont="1" applyBorder="1" applyAlignment="1">
      <alignment horizontal="center" vertical="center" shrinkToFit="1"/>
    </xf>
    <xf numFmtId="183" fontId="20" fillId="0" borderId="3" xfId="8" applyNumberFormat="1" applyFont="1" applyBorder="1" applyAlignment="1">
      <alignment horizontal="center" vertical="center"/>
    </xf>
    <xf numFmtId="183" fontId="20" fillId="0" borderId="3" xfId="8" applyNumberFormat="1" applyFont="1" applyFill="1" applyBorder="1" applyAlignment="1">
      <alignment horizontal="center" vertical="center" shrinkToFit="1"/>
    </xf>
    <xf numFmtId="183" fontId="20" fillId="0" borderId="10" xfId="0" applyNumberFormat="1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14" fontId="24" fillId="0" borderId="3" xfId="0" applyNumberFormat="1" applyFont="1" applyBorder="1" applyAlignment="1">
      <alignment horizontal="center" vertical="center" shrinkToFit="1"/>
    </xf>
    <xf numFmtId="0" fontId="24" fillId="0" borderId="26" xfId="18" applyFont="1" applyBorder="1" applyAlignment="1">
      <alignment horizontal="center" vertical="center" shrinkToFit="1"/>
    </xf>
    <xf numFmtId="41" fontId="24" fillId="0" borderId="13" xfId="8" applyFont="1" applyBorder="1" applyAlignment="1">
      <alignment horizontal="center" vertical="center" shrinkToFit="1"/>
    </xf>
    <xf numFmtId="41" fontId="41" fillId="3" borderId="25" xfId="0" applyNumberFormat="1" applyFont="1" applyFill="1" applyBorder="1" applyAlignment="1">
      <alignment vertical="center" shrinkToFit="1"/>
    </xf>
    <xf numFmtId="41" fontId="41" fillId="11" borderId="25" xfId="0" applyNumberFormat="1" applyFont="1" applyFill="1" applyBorder="1" applyAlignment="1">
      <alignment vertical="center" shrinkToFit="1"/>
    </xf>
    <xf numFmtId="41" fontId="20" fillId="0" borderId="25" xfId="0" applyNumberFormat="1" applyFont="1" applyBorder="1" applyAlignment="1">
      <alignment vertical="center" shrinkToFit="1"/>
    </xf>
    <xf numFmtId="0" fontId="20" fillId="3" borderId="7" xfId="0" applyFont="1" applyFill="1" applyBorder="1" applyAlignment="1">
      <alignment horizontal="center" vertical="center" shrinkToFit="1"/>
    </xf>
    <xf numFmtId="14" fontId="20" fillId="3" borderId="7" xfId="0" applyNumberFormat="1" applyFont="1" applyFill="1" applyBorder="1" applyAlignment="1">
      <alignment horizontal="center" vertical="center" shrinkToFit="1"/>
    </xf>
    <xf numFmtId="0" fontId="26" fillId="3" borderId="7" xfId="18" applyFont="1" applyFill="1" applyBorder="1" applyAlignment="1">
      <alignment horizontal="center" vertical="center" shrinkToFit="1"/>
    </xf>
    <xf numFmtId="183" fontId="20" fillId="3" borderId="3" xfId="0" applyNumberFormat="1" applyFont="1" applyFill="1" applyBorder="1" applyAlignment="1">
      <alignment horizontal="center" vertical="center" shrinkToFit="1"/>
    </xf>
    <xf numFmtId="182" fontId="20" fillId="3" borderId="7" xfId="18" applyNumberFormat="1" applyFont="1" applyFill="1" applyBorder="1" applyAlignment="1">
      <alignment horizontal="center" vertical="center"/>
    </xf>
    <xf numFmtId="0" fontId="20" fillId="3" borderId="7" xfId="18" applyFont="1" applyFill="1" applyBorder="1" applyAlignment="1">
      <alignment horizontal="center" vertical="center" shrinkToFit="1"/>
    </xf>
    <xf numFmtId="0" fontId="20" fillId="3" borderId="27" xfId="18" applyFont="1" applyFill="1" applyBorder="1" applyAlignment="1">
      <alignment horizontal="center" vertical="center" shrinkToFit="1"/>
    </xf>
    <xf numFmtId="41" fontId="20" fillId="3" borderId="26" xfId="18" applyNumberFormat="1" applyFont="1" applyFill="1" applyBorder="1" applyAlignment="1">
      <alignment horizontal="center" vertical="center" shrinkToFit="1"/>
    </xf>
    <xf numFmtId="41" fontId="20" fillId="3" borderId="3" xfId="8" applyFont="1" applyFill="1" applyBorder="1" applyAlignment="1">
      <alignment vertical="center" shrinkToFit="1"/>
    </xf>
    <xf numFmtId="41" fontId="20" fillId="3" borderId="13" xfId="8" applyFont="1" applyFill="1" applyBorder="1" applyAlignment="1">
      <alignment vertical="center" shrinkToFit="1"/>
    </xf>
    <xf numFmtId="41" fontId="20" fillId="3" borderId="14" xfId="8" applyFont="1" applyFill="1" applyBorder="1" applyAlignment="1">
      <alignment vertical="center" shrinkToFit="1"/>
    </xf>
    <xf numFmtId="41" fontId="20" fillId="3" borderId="10" xfId="0" applyNumberFormat="1" applyFont="1" applyFill="1" applyBorder="1" applyAlignment="1">
      <alignment vertical="center" shrinkToFit="1"/>
    </xf>
    <xf numFmtId="41" fontId="20" fillId="0" borderId="10" xfId="0" applyNumberFormat="1" applyFont="1" applyBorder="1" applyAlignment="1">
      <alignment vertical="center" shrinkToFit="1"/>
    </xf>
    <xf numFmtId="0" fontId="20" fillId="2" borderId="7" xfId="0" applyFont="1" applyFill="1" applyBorder="1" applyAlignment="1">
      <alignment horizontal="center" vertical="center" shrinkToFit="1"/>
    </xf>
    <xf numFmtId="14" fontId="20" fillId="2" borderId="7" xfId="0" applyNumberFormat="1" applyFont="1" applyFill="1" applyBorder="1" applyAlignment="1">
      <alignment horizontal="center" vertical="center" shrinkToFit="1"/>
    </xf>
    <xf numFmtId="0" fontId="26" fillId="2" borderId="7" xfId="18" applyFont="1" applyFill="1" applyBorder="1" applyAlignment="1">
      <alignment horizontal="center" vertical="center" shrinkToFit="1"/>
    </xf>
    <xf numFmtId="183" fontId="20" fillId="2" borderId="3" xfId="0" applyNumberFormat="1" applyFont="1" applyFill="1" applyBorder="1" applyAlignment="1">
      <alignment horizontal="center" vertical="center" shrinkToFit="1"/>
    </xf>
    <xf numFmtId="182" fontId="20" fillId="2" borderId="7" xfId="18" applyNumberFormat="1" applyFont="1" applyFill="1" applyBorder="1" applyAlignment="1">
      <alignment horizontal="center" vertical="center"/>
    </xf>
    <xf numFmtId="0" fontId="20" fillId="2" borderId="7" xfId="18" applyFont="1" applyFill="1" applyBorder="1" applyAlignment="1">
      <alignment horizontal="center" vertical="center" shrinkToFit="1"/>
    </xf>
    <xf numFmtId="0" fontId="20" fillId="2" borderId="27" xfId="18" applyFont="1" applyFill="1" applyBorder="1" applyAlignment="1">
      <alignment horizontal="center" vertical="center" shrinkToFit="1"/>
    </xf>
    <xf numFmtId="41" fontId="20" fillId="2" borderId="26" xfId="18" applyNumberFormat="1" applyFont="1" applyFill="1" applyBorder="1" applyAlignment="1">
      <alignment horizontal="center" vertical="center" shrinkToFit="1"/>
    </xf>
    <xf numFmtId="41" fontId="20" fillId="2" borderId="3" xfId="8" applyFont="1" applyFill="1" applyBorder="1" applyAlignment="1">
      <alignment vertical="center" shrinkToFit="1"/>
    </xf>
    <xf numFmtId="41" fontId="20" fillId="2" borderId="13" xfId="8" applyFont="1" applyFill="1" applyBorder="1" applyAlignment="1">
      <alignment vertical="center" shrinkToFit="1"/>
    </xf>
    <xf numFmtId="41" fontId="20" fillId="2" borderId="14" xfId="8" applyFont="1" applyFill="1" applyBorder="1" applyAlignment="1">
      <alignment vertical="center" shrinkToFit="1"/>
    </xf>
    <xf numFmtId="41" fontId="20" fillId="2" borderId="10" xfId="0" applyNumberFormat="1" applyFont="1" applyFill="1" applyBorder="1" applyAlignment="1">
      <alignment vertical="center" shrinkToFit="1"/>
    </xf>
    <xf numFmtId="3" fontId="46" fillId="0" borderId="3" xfId="0" applyNumberFormat="1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183" fontId="20" fillId="0" borderId="18" xfId="18" applyNumberFormat="1" applyFont="1" applyBorder="1" applyAlignment="1">
      <alignment horizontal="center" vertical="center"/>
    </xf>
    <xf numFmtId="0" fontId="20" fillId="0" borderId="55" xfId="18" applyFont="1" applyBorder="1" applyAlignment="1">
      <alignment horizontal="center" vertical="center" shrinkToFit="1"/>
    </xf>
    <xf numFmtId="41" fontId="41" fillId="0" borderId="47" xfId="8" applyFont="1" applyBorder="1" applyAlignment="1">
      <alignment vertical="center" shrinkToFit="1"/>
    </xf>
    <xf numFmtId="41" fontId="20" fillId="0" borderId="48" xfId="8" applyFont="1" applyBorder="1" applyAlignment="1">
      <alignment vertical="center" shrinkToFit="1"/>
    </xf>
    <xf numFmtId="41" fontId="41" fillId="0" borderId="18" xfId="8" applyFont="1" applyBorder="1" applyAlignment="1">
      <alignment vertical="center" shrinkToFit="1"/>
    </xf>
    <xf numFmtId="41" fontId="41" fillId="0" borderId="55" xfId="8" applyFont="1" applyBorder="1" applyAlignment="1">
      <alignment vertical="center" shrinkToFit="1"/>
    </xf>
    <xf numFmtId="184" fontId="42" fillId="3" borderId="3" xfId="0" applyNumberFormat="1" applyFont="1" applyFill="1" applyBorder="1" applyAlignment="1">
      <alignment horizontal="center" vertical="center" shrinkToFit="1"/>
    </xf>
    <xf numFmtId="0" fontId="42" fillId="3" borderId="3" xfId="0" applyFont="1" applyFill="1" applyBorder="1" applyAlignment="1">
      <alignment horizontal="center" vertical="center" shrinkToFit="1"/>
    </xf>
    <xf numFmtId="14" fontId="42" fillId="3" borderId="3" xfId="0" applyNumberFormat="1" applyFont="1" applyFill="1" applyBorder="1" applyAlignment="1">
      <alignment horizontal="center" vertical="center" shrinkToFit="1"/>
    </xf>
    <xf numFmtId="0" fontId="42" fillId="3" borderId="3" xfId="18" applyFont="1" applyFill="1" applyBorder="1" applyAlignment="1">
      <alignment horizontal="center" vertical="center" shrinkToFit="1"/>
    </xf>
    <xf numFmtId="183" fontId="42" fillId="3" borderId="3" xfId="18" applyNumberFormat="1" applyFont="1" applyFill="1" applyBorder="1" applyAlignment="1">
      <alignment horizontal="center" vertical="center"/>
    </xf>
    <xf numFmtId="182" fontId="42" fillId="3" borderId="3" xfId="18" applyNumberFormat="1" applyFont="1" applyFill="1" applyBorder="1" applyAlignment="1">
      <alignment horizontal="center" vertical="center"/>
    </xf>
    <xf numFmtId="0" fontId="42" fillId="3" borderId="8" xfId="18" applyFont="1" applyFill="1" applyBorder="1" applyAlignment="1">
      <alignment horizontal="center" vertical="center" shrinkToFit="1"/>
    </xf>
    <xf numFmtId="41" fontId="42" fillId="3" borderId="13" xfId="8" applyFont="1" applyFill="1" applyBorder="1" applyAlignment="1">
      <alignment vertical="center" shrinkToFit="1"/>
    </xf>
    <xf numFmtId="41" fontId="42" fillId="3" borderId="3" xfId="8" applyFont="1" applyFill="1" applyBorder="1" applyAlignment="1">
      <alignment vertical="center" shrinkToFit="1"/>
    </xf>
    <xf numFmtId="41" fontId="42" fillId="3" borderId="14" xfId="8" applyFont="1" applyFill="1" applyBorder="1" applyAlignment="1">
      <alignment vertical="center" shrinkToFit="1"/>
    </xf>
    <xf numFmtId="41" fontId="42" fillId="3" borderId="10" xfId="8" applyFont="1" applyFill="1" applyBorder="1" applyAlignment="1">
      <alignment vertical="center" shrinkToFit="1"/>
    </xf>
    <xf numFmtId="41" fontId="42" fillId="3" borderId="8" xfId="8" applyFont="1" applyFill="1" applyBorder="1" applyAlignment="1">
      <alignment vertical="center" shrinkToFit="1"/>
    </xf>
    <xf numFmtId="184" fontId="42" fillId="2" borderId="3" xfId="0" applyNumberFormat="1" applyFont="1" applyFill="1" applyBorder="1" applyAlignment="1">
      <alignment horizontal="center" vertical="center" shrinkToFit="1"/>
    </xf>
    <xf numFmtId="14" fontId="42" fillId="2" borderId="3" xfId="0" applyNumberFormat="1" applyFont="1" applyFill="1" applyBorder="1" applyAlignment="1">
      <alignment horizontal="center" vertical="center" shrinkToFit="1"/>
    </xf>
    <xf numFmtId="0" fontId="42" fillId="2" borderId="3" xfId="18" applyFont="1" applyFill="1" applyBorder="1" applyAlignment="1">
      <alignment horizontal="center" vertical="center" shrinkToFit="1"/>
    </xf>
    <xf numFmtId="183" fontId="42" fillId="2" borderId="3" xfId="18" applyNumberFormat="1" applyFont="1" applyFill="1" applyBorder="1" applyAlignment="1">
      <alignment horizontal="center" vertical="center"/>
    </xf>
    <xf numFmtId="182" fontId="42" fillId="2" borderId="3" xfId="18" applyNumberFormat="1" applyFont="1" applyFill="1" applyBorder="1" applyAlignment="1">
      <alignment horizontal="center" vertical="center"/>
    </xf>
    <xf numFmtId="0" fontId="42" fillId="2" borderId="8" xfId="18" applyFont="1" applyFill="1" applyBorder="1" applyAlignment="1">
      <alignment horizontal="center" vertical="center" shrinkToFit="1"/>
    </xf>
    <xf numFmtId="41" fontId="42" fillId="2" borderId="13" xfId="8" applyFont="1" applyFill="1" applyBorder="1" applyAlignment="1">
      <alignment vertical="center" shrinkToFit="1"/>
    </xf>
    <xf numFmtId="41" fontId="42" fillId="2" borderId="3" xfId="8" applyFont="1" applyFill="1" applyBorder="1" applyAlignment="1">
      <alignment vertical="center" shrinkToFit="1"/>
    </xf>
    <xf numFmtId="41" fontId="42" fillId="2" borderId="14" xfId="8" applyFont="1" applyFill="1" applyBorder="1" applyAlignment="1">
      <alignment vertical="center" shrinkToFit="1"/>
    </xf>
    <xf numFmtId="41" fontId="42" fillId="2" borderId="10" xfId="8" applyFont="1" applyFill="1" applyBorder="1" applyAlignment="1">
      <alignment vertical="center" shrinkToFit="1"/>
    </xf>
    <xf numFmtId="41" fontId="42" fillId="2" borderId="8" xfId="8" applyFont="1" applyFill="1" applyBorder="1" applyAlignment="1">
      <alignment vertical="center" shrinkToFit="1"/>
    </xf>
    <xf numFmtId="184" fontId="41" fillId="11" borderId="3" xfId="0" applyNumberFormat="1" applyFont="1" applyFill="1" applyBorder="1" applyAlignment="1">
      <alignment horizontal="center" vertical="center" shrinkToFit="1"/>
    </xf>
    <xf numFmtId="14" fontId="42" fillId="11" borderId="3" xfId="0" applyNumberFormat="1" applyFont="1" applyFill="1" applyBorder="1" applyAlignment="1">
      <alignment horizontal="center" vertical="center" shrinkToFit="1"/>
    </xf>
    <xf numFmtId="0" fontId="42" fillId="11" borderId="3" xfId="18" applyFont="1" applyFill="1" applyBorder="1" applyAlignment="1">
      <alignment horizontal="center" vertical="center" shrinkToFit="1"/>
    </xf>
    <xf numFmtId="183" fontId="42" fillId="11" borderId="3" xfId="18" applyNumberFormat="1" applyFont="1" applyFill="1" applyBorder="1" applyAlignment="1">
      <alignment horizontal="center" vertical="center"/>
    </xf>
    <xf numFmtId="182" fontId="42" fillId="11" borderId="3" xfId="18" applyNumberFormat="1" applyFont="1" applyFill="1" applyBorder="1" applyAlignment="1">
      <alignment horizontal="center" vertical="center"/>
    </xf>
    <xf numFmtId="0" fontId="42" fillId="11" borderId="8" xfId="18" applyFont="1" applyFill="1" applyBorder="1" applyAlignment="1">
      <alignment horizontal="center" vertical="center" shrinkToFit="1"/>
    </xf>
    <xf numFmtId="41" fontId="42" fillId="11" borderId="13" xfId="8" applyFont="1" applyFill="1" applyBorder="1" applyAlignment="1">
      <alignment vertical="center" shrinkToFit="1"/>
    </xf>
    <xf numFmtId="41" fontId="42" fillId="11" borderId="3" xfId="8" applyFont="1" applyFill="1" applyBorder="1" applyAlignment="1">
      <alignment vertical="center" shrinkToFit="1"/>
    </xf>
    <xf numFmtId="41" fontId="42" fillId="11" borderId="14" xfId="8" applyFont="1" applyFill="1" applyBorder="1" applyAlignment="1">
      <alignment vertical="center" shrinkToFit="1"/>
    </xf>
    <xf numFmtId="41" fontId="42" fillId="11" borderId="10" xfId="8" applyFont="1" applyFill="1" applyBorder="1" applyAlignment="1">
      <alignment vertical="center" shrinkToFit="1"/>
    </xf>
    <xf numFmtId="41" fontId="42" fillId="11" borderId="8" xfId="8" applyFont="1" applyFill="1" applyBorder="1" applyAlignment="1">
      <alignment vertical="center" shrinkToFit="1"/>
    </xf>
    <xf numFmtId="0" fontId="41" fillId="3" borderId="3" xfId="0" applyFont="1" applyFill="1" applyBorder="1" applyAlignment="1">
      <alignment horizontal="center" vertical="center" shrinkToFit="1"/>
    </xf>
    <xf numFmtId="14" fontId="41" fillId="3" borderId="3" xfId="0" applyNumberFormat="1" applyFont="1" applyFill="1" applyBorder="1" applyAlignment="1">
      <alignment horizontal="center" vertical="center" shrinkToFit="1"/>
    </xf>
    <xf numFmtId="183" fontId="41" fillId="3" borderId="3" xfId="18" applyNumberFormat="1" applyFont="1" applyFill="1" applyBorder="1" applyAlignment="1">
      <alignment horizontal="center" vertical="center"/>
    </xf>
    <xf numFmtId="182" fontId="41" fillId="3" borderId="3" xfId="18" applyNumberFormat="1" applyFont="1" applyFill="1" applyBorder="1" applyAlignment="1">
      <alignment horizontal="center" vertical="center"/>
    </xf>
    <xf numFmtId="0" fontId="41" fillId="3" borderId="3" xfId="18" applyFont="1" applyFill="1" applyBorder="1" applyAlignment="1">
      <alignment horizontal="center" vertical="center" shrinkToFit="1"/>
    </xf>
    <xf numFmtId="0" fontId="41" fillId="3" borderId="8" xfId="18" applyFont="1" applyFill="1" applyBorder="1" applyAlignment="1">
      <alignment horizontal="center" vertical="center" shrinkToFit="1"/>
    </xf>
    <xf numFmtId="41" fontId="41" fillId="3" borderId="14" xfId="8" applyFont="1" applyFill="1" applyBorder="1" applyAlignment="1">
      <alignment vertical="center" shrinkToFit="1"/>
    </xf>
    <xf numFmtId="41" fontId="41" fillId="3" borderId="8" xfId="8" applyFont="1" applyFill="1" applyBorder="1" applyAlignment="1">
      <alignment vertical="center" shrinkToFit="1"/>
    </xf>
    <xf numFmtId="0" fontId="41" fillId="2" borderId="3" xfId="0" applyFont="1" applyFill="1" applyBorder="1" applyAlignment="1">
      <alignment horizontal="center" vertical="center" shrinkToFit="1"/>
    </xf>
    <xf numFmtId="14" fontId="41" fillId="2" borderId="3" xfId="0" applyNumberFormat="1" applyFont="1" applyFill="1" applyBorder="1" applyAlignment="1">
      <alignment horizontal="center" vertical="center" shrinkToFit="1"/>
    </xf>
    <xf numFmtId="182" fontId="41" fillId="2" borderId="3" xfId="18" applyNumberFormat="1" applyFont="1" applyFill="1" applyBorder="1" applyAlignment="1">
      <alignment horizontal="center" vertical="center"/>
    </xf>
    <xf numFmtId="0" fontId="41" fillId="2" borderId="3" xfId="18" applyFont="1" applyFill="1" applyBorder="1" applyAlignment="1">
      <alignment horizontal="center" vertical="center" shrinkToFit="1"/>
    </xf>
    <xf numFmtId="0" fontId="41" fillId="2" borderId="8" xfId="18" applyFont="1" applyFill="1" applyBorder="1" applyAlignment="1">
      <alignment horizontal="center" vertical="center" shrinkToFit="1"/>
    </xf>
    <xf numFmtId="41" fontId="41" fillId="2" borderId="14" xfId="8" applyFont="1" applyFill="1" applyBorder="1" applyAlignment="1">
      <alignment vertical="center" shrinkToFit="1"/>
    </xf>
    <xf numFmtId="41" fontId="41" fillId="2" borderId="8" xfId="8" applyFont="1" applyFill="1" applyBorder="1" applyAlignment="1">
      <alignment vertical="center" shrinkToFit="1"/>
    </xf>
    <xf numFmtId="14" fontId="41" fillId="11" borderId="3" xfId="0" applyNumberFormat="1" applyFont="1" applyFill="1" applyBorder="1" applyAlignment="1">
      <alignment horizontal="center" vertical="center" shrinkToFit="1"/>
    </xf>
    <xf numFmtId="182" fontId="41" fillId="11" borderId="3" xfId="18" applyNumberFormat="1" applyFont="1" applyFill="1" applyBorder="1" applyAlignment="1">
      <alignment horizontal="center" vertical="center"/>
    </xf>
    <xf numFmtId="0" fontId="41" fillId="11" borderId="3" xfId="18" applyFont="1" applyFill="1" applyBorder="1" applyAlignment="1">
      <alignment horizontal="center" vertical="center" shrinkToFit="1"/>
    </xf>
    <xf numFmtId="0" fontId="41" fillId="11" borderId="8" xfId="18" applyFont="1" applyFill="1" applyBorder="1" applyAlignment="1">
      <alignment horizontal="center" vertical="center" shrinkToFit="1"/>
    </xf>
    <xf numFmtId="41" fontId="41" fillId="11" borderId="14" xfId="8" applyFont="1" applyFill="1" applyBorder="1" applyAlignment="1">
      <alignment vertical="center" shrinkToFit="1"/>
    </xf>
    <xf numFmtId="41" fontId="41" fillId="11" borderId="8" xfId="8" applyFont="1" applyFill="1" applyBorder="1" applyAlignment="1">
      <alignment vertical="center" shrinkToFit="1"/>
    </xf>
    <xf numFmtId="41" fontId="20" fillId="0" borderId="9" xfId="8" applyFont="1" applyBorder="1" applyAlignment="1">
      <alignment vertical="center" shrinkToFit="1"/>
    </xf>
    <xf numFmtId="184" fontId="41" fillId="11" borderId="16" xfId="0" applyNumberFormat="1" applyFont="1" applyFill="1" applyBorder="1" applyAlignment="1">
      <alignment horizontal="center" vertical="center" shrinkToFit="1"/>
    </xf>
    <xf numFmtId="14" fontId="41" fillId="11" borderId="16" xfId="0" applyNumberFormat="1" applyFont="1" applyFill="1" applyBorder="1" applyAlignment="1">
      <alignment horizontal="center" vertical="center" shrinkToFit="1"/>
    </xf>
    <xf numFmtId="0" fontId="42" fillId="11" borderId="16" xfId="18" applyFont="1" applyFill="1" applyBorder="1" applyAlignment="1">
      <alignment horizontal="center" vertical="center" shrinkToFit="1"/>
    </xf>
    <xf numFmtId="183" fontId="41" fillId="11" borderId="16" xfId="0" applyNumberFormat="1" applyFont="1" applyFill="1" applyBorder="1" applyAlignment="1">
      <alignment horizontal="center" vertical="center" shrinkToFit="1"/>
    </xf>
    <xf numFmtId="182" fontId="41" fillId="11" borderId="16" xfId="18" applyNumberFormat="1" applyFont="1" applyFill="1" applyBorder="1" applyAlignment="1">
      <alignment horizontal="center" vertical="center"/>
    </xf>
    <xf numFmtId="0" fontId="41" fillId="11" borderId="16" xfId="18" applyFont="1" applyFill="1" applyBorder="1" applyAlignment="1">
      <alignment horizontal="center" vertical="center" shrinkToFit="1"/>
    </xf>
    <xf numFmtId="0" fontId="41" fillId="11" borderId="45" xfId="18" applyFont="1" applyFill="1" applyBorder="1" applyAlignment="1">
      <alignment horizontal="center" vertical="center" shrinkToFit="1"/>
    </xf>
    <xf numFmtId="41" fontId="41" fillId="11" borderId="28" xfId="8" applyFont="1" applyFill="1" applyBorder="1" applyAlignment="1">
      <alignment vertical="center" shrinkToFit="1"/>
    </xf>
    <xf numFmtId="41" fontId="41" fillId="11" borderId="16" xfId="8" applyFont="1" applyFill="1" applyBorder="1" applyAlignment="1">
      <alignment vertical="center" shrinkToFit="1"/>
    </xf>
    <xf numFmtId="41" fontId="41" fillId="11" borderId="29" xfId="8" applyFont="1" applyFill="1" applyBorder="1" applyAlignment="1">
      <alignment vertical="center" shrinkToFit="1"/>
    </xf>
    <xf numFmtId="41" fontId="41" fillId="11" borderId="30" xfId="8" applyFont="1" applyFill="1" applyBorder="1" applyAlignment="1">
      <alignment vertical="center" shrinkToFit="1"/>
    </xf>
    <xf numFmtId="41" fontId="41" fillId="11" borderId="45" xfId="8" applyFont="1" applyFill="1" applyBorder="1" applyAlignment="1">
      <alignment vertical="center" shrinkToFit="1"/>
    </xf>
    <xf numFmtId="14" fontId="20" fillId="12" borderId="7" xfId="0" applyNumberFormat="1" applyFont="1" applyFill="1" applyBorder="1" applyAlignment="1">
      <alignment horizontal="center" vertical="center" shrinkToFit="1"/>
    </xf>
    <xf numFmtId="3" fontId="26" fillId="0" borderId="3" xfId="0" applyNumberFormat="1" applyFont="1" applyBorder="1" applyAlignment="1">
      <alignment horizontal="center" vertical="center"/>
    </xf>
    <xf numFmtId="41" fontId="41" fillId="0" borderId="24" xfId="8" applyFont="1" applyFill="1" applyBorder="1" applyAlignment="1">
      <alignment vertical="center" shrinkToFit="1"/>
    </xf>
    <xf numFmtId="0" fontId="23" fillId="4" borderId="16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41" fontId="41" fillId="0" borderId="18" xfId="8" applyFont="1" applyBorder="1" applyAlignment="1">
      <alignment vertical="center"/>
    </xf>
    <xf numFmtId="41" fontId="41" fillId="0" borderId="3" xfId="8" applyFont="1" applyBorder="1" applyAlignment="1">
      <alignment vertical="center"/>
    </xf>
    <xf numFmtId="41" fontId="20" fillId="0" borderId="4" xfId="8" applyFont="1" applyBorder="1" applyAlignment="1">
      <alignment vertical="center"/>
    </xf>
    <xf numFmtId="41" fontId="20" fillId="0" borderId="6" xfId="8" applyFont="1" applyBorder="1" applyAlignment="1">
      <alignment vertical="center"/>
    </xf>
    <xf numFmtId="41" fontId="41" fillId="0" borderId="6" xfId="8" applyFont="1" applyBorder="1" applyAlignment="1">
      <alignment vertical="center"/>
    </xf>
    <xf numFmtId="41" fontId="41" fillId="0" borderId="50" xfId="8" applyFont="1" applyBorder="1" applyAlignment="1">
      <alignment vertical="center"/>
    </xf>
    <xf numFmtId="41" fontId="20" fillId="0" borderId="5" xfId="8" applyFont="1" applyBorder="1" applyAlignment="1">
      <alignment vertical="center"/>
    </xf>
    <xf numFmtId="41" fontId="41" fillId="0" borderId="56" xfId="8" applyFont="1" applyBorder="1" applyAlignment="1">
      <alignment vertical="center"/>
    </xf>
    <xf numFmtId="0" fontId="20" fillId="0" borderId="10" xfId="0" applyFont="1" applyBorder="1" applyAlignment="1">
      <alignment horizontal="right" vertical="center" shrinkToFit="1"/>
    </xf>
    <xf numFmtId="0" fontId="20" fillId="0" borderId="3" xfId="0" applyFont="1" applyBorder="1" applyAlignment="1">
      <alignment horizontal="right" vertical="center" shrinkToFit="1"/>
    </xf>
    <xf numFmtId="41" fontId="20" fillId="0" borderId="3" xfId="8" applyFont="1" applyFill="1" applyBorder="1" applyAlignment="1">
      <alignment horizontal="right" vertical="center" shrinkToFit="1"/>
    </xf>
    <xf numFmtId="0" fontId="20" fillId="0" borderId="4" xfId="0" applyFont="1" applyBorder="1" applyAlignment="1">
      <alignment horizontal="center" vertical="center" shrinkToFit="1"/>
    </xf>
    <xf numFmtId="14" fontId="20" fillId="0" borderId="4" xfId="0" applyNumberFormat="1" applyFont="1" applyBorder="1" applyAlignment="1">
      <alignment horizontal="center" vertical="center" shrinkToFit="1"/>
    </xf>
    <xf numFmtId="0" fontId="26" fillId="0" borderId="4" xfId="18" applyFont="1" applyBorder="1" applyAlignment="1">
      <alignment horizontal="center" vertical="center" shrinkToFit="1"/>
    </xf>
    <xf numFmtId="183" fontId="20" fillId="0" borderId="4" xfId="18" applyNumberFormat="1" applyFont="1" applyBorder="1" applyAlignment="1">
      <alignment horizontal="center" vertical="center"/>
    </xf>
    <xf numFmtId="182" fontId="20" fillId="0" borderId="4" xfId="18" applyNumberFormat="1" applyFont="1" applyBorder="1" applyAlignment="1">
      <alignment horizontal="center" vertical="center"/>
    </xf>
    <xf numFmtId="0" fontId="20" fillId="0" borderId="4" xfId="18" applyFont="1" applyBorder="1" applyAlignment="1">
      <alignment horizontal="center" vertical="center" shrinkToFit="1"/>
    </xf>
    <xf numFmtId="0" fontId="20" fillId="0" borderId="36" xfId="18" applyFont="1" applyBorder="1" applyAlignment="1">
      <alignment horizontal="center" vertical="center" shrinkToFit="1"/>
    </xf>
    <xf numFmtId="41" fontId="20" fillId="0" borderId="42" xfId="18" applyNumberFormat="1" applyFont="1" applyBorder="1" applyAlignment="1">
      <alignment horizontal="center" vertical="center" shrinkToFit="1"/>
    </xf>
    <xf numFmtId="41" fontId="20" fillId="0" borderId="4" xfId="8" applyFont="1" applyBorder="1" applyAlignment="1">
      <alignment vertical="center" shrinkToFit="1"/>
    </xf>
    <xf numFmtId="41" fontId="41" fillId="0" borderId="36" xfId="8" applyFont="1" applyBorder="1" applyAlignment="1">
      <alignment vertical="center" shrinkToFit="1"/>
    </xf>
    <xf numFmtId="41" fontId="20" fillId="0" borderId="42" xfId="8" applyFont="1" applyBorder="1" applyAlignment="1">
      <alignment vertical="center" shrinkToFit="1"/>
    </xf>
    <xf numFmtId="41" fontId="41" fillId="0" borderId="4" xfId="8" applyFont="1" applyBorder="1" applyAlignment="1">
      <alignment vertical="center" shrinkToFit="1"/>
    </xf>
    <xf numFmtId="41" fontId="20" fillId="0" borderId="36" xfId="8" applyFont="1" applyBorder="1" applyAlignment="1">
      <alignment vertical="center" shrinkToFit="1"/>
    </xf>
    <xf numFmtId="0" fontId="20" fillId="0" borderId="23" xfId="0" applyFont="1" applyBorder="1" applyAlignment="1">
      <alignment vertical="center" shrinkToFit="1"/>
    </xf>
    <xf numFmtId="41" fontId="20" fillId="12" borderId="25" xfId="8" applyFont="1" applyFill="1" applyBorder="1" applyAlignment="1">
      <alignment horizontal="center" vertical="center" shrinkToFit="1"/>
    </xf>
    <xf numFmtId="41" fontId="20" fillId="12" borderId="7" xfId="8" applyFont="1" applyFill="1" applyBorder="1" applyAlignment="1">
      <alignment horizontal="center" vertical="center" shrinkToFit="1"/>
    </xf>
    <xf numFmtId="41" fontId="20" fillId="12" borderId="10" xfId="8" applyFont="1" applyFill="1" applyBorder="1" applyAlignment="1">
      <alignment horizontal="center" vertical="center" shrinkToFit="1"/>
    </xf>
    <xf numFmtId="41" fontId="20" fillId="12" borderId="3" xfId="8" applyFont="1" applyFill="1" applyBorder="1" applyAlignment="1">
      <alignment horizontal="center" vertical="center" shrinkToFit="1"/>
    </xf>
    <xf numFmtId="41" fontId="20" fillId="12" borderId="14" xfId="8" applyFont="1" applyFill="1" applyBorder="1" applyAlignment="1">
      <alignment horizontal="center" vertical="center" shrinkToFit="1"/>
    </xf>
    <xf numFmtId="41" fontId="20" fillId="12" borderId="2" xfId="8" applyFont="1" applyFill="1" applyBorder="1" applyAlignment="1">
      <alignment horizontal="center" vertical="center" shrinkToFit="1"/>
    </xf>
    <xf numFmtId="41" fontId="20" fillId="12" borderId="15" xfId="8" applyFont="1" applyFill="1" applyBorder="1" applyAlignment="1">
      <alignment horizontal="center" vertical="center" shrinkToFit="1"/>
    </xf>
    <xf numFmtId="41" fontId="20" fillId="12" borderId="27" xfId="8" applyFont="1" applyFill="1" applyBorder="1" applyAlignment="1">
      <alignment horizontal="center" vertical="center" shrinkToFit="1"/>
    </xf>
    <xf numFmtId="41" fontId="54" fillId="0" borderId="3" xfId="8" applyFont="1" applyBorder="1" applyAlignment="1">
      <alignment horizontal="center" vertical="center" shrinkToFit="1"/>
    </xf>
    <xf numFmtId="41" fontId="54" fillId="0" borderId="25" xfId="8" applyFont="1" applyBorder="1" applyAlignment="1">
      <alignment horizontal="center" vertical="center" shrinkToFit="1"/>
    </xf>
    <xf numFmtId="41" fontId="54" fillId="0" borderId="27" xfId="8" applyFont="1" applyBorder="1" applyAlignment="1">
      <alignment horizontal="center" vertical="center" shrinkToFit="1"/>
    </xf>
    <xf numFmtId="41" fontId="54" fillId="0" borderId="7" xfId="8" applyFont="1" applyBorder="1" applyAlignment="1">
      <alignment horizontal="center" vertical="center" shrinkToFit="1"/>
    </xf>
    <xf numFmtId="41" fontId="54" fillId="0" borderId="10" xfId="8" applyFont="1" applyFill="1" applyBorder="1" applyAlignment="1">
      <alignment horizontal="center" vertical="center" shrinkToFit="1"/>
    </xf>
    <xf numFmtId="41" fontId="54" fillId="0" borderId="3" xfId="8" applyFont="1" applyFill="1" applyBorder="1" applyAlignment="1">
      <alignment horizontal="center" vertical="center" shrinkToFit="1"/>
    </xf>
    <xf numFmtId="41" fontId="54" fillId="0" borderId="14" xfId="8" applyFont="1" applyFill="1" applyBorder="1" applyAlignment="1">
      <alignment horizontal="center" vertical="center" shrinkToFit="1"/>
    </xf>
    <xf numFmtId="41" fontId="20" fillId="0" borderId="149" xfId="8" applyFont="1" applyFill="1" applyBorder="1" applyAlignment="1">
      <alignment horizontal="center" vertical="center" shrinkToFit="1"/>
    </xf>
    <xf numFmtId="41" fontId="20" fillId="0" borderId="147" xfId="8" applyFont="1" applyFill="1" applyBorder="1" applyAlignment="1">
      <alignment horizontal="center" vertical="center" shrinkToFit="1"/>
    </xf>
    <xf numFmtId="41" fontId="20" fillId="0" borderId="148" xfId="8" applyFont="1" applyFill="1" applyBorder="1" applyAlignment="1">
      <alignment horizontal="center" vertical="center" shrinkToFit="1"/>
    </xf>
    <xf numFmtId="41" fontId="20" fillId="0" borderId="15" xfId="8" applyFont="1" applyFill="1" applyBorder="1" applyAlignment="1">
      <alignment horizontal="center" vertical="center" shrinkToFit="1"/>
    </xf>
    <xf numFmtId="41" fontId="20" fillId="0" borderId="2" xfId="8" applyFont="1" applyFill="1" applyBorder="1" applyAlignment="1">
      <alignment horizontal="center" vertical="center" shrinkToFit="1"/>
    </xf>
    <xf numFmtId="0" fontId="20" fillId="0" borderId="24" xfId="0" applyFont="1" applyFill="1" applyBorder="1" applyAlignment="1">
      <alignment horizontal="right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26" xfId="18" applyFont="1" applyFill="1" applyBorder="1" applyAlignment="1">
      <alignment horizontal="center" vertical="center" shrinkToFit="1"/>
    </xf>
    <xf numFmtId="14" fontId="20" fillId="0" borderId="3" xfId="0" applyNumberFormat="1" applyFont="1" applyFill="1" applyBorder="1" applyAlignment="1">
      <alignment horizontal="center" vertical="center" shrinkToFit="1"/>
    </xf>
    <xf numFmtId="0" fontId="46" fillId="0" borderId="3" xfId="18" applyFont="1" applyFill="1" applyBorder="1" applyAlignment="1">
      <alignment horizontal="center" vertical="center"/>
    </xf>
    <xf numFmtId="183" fontId="46" fillId="0" borderId="3" xfId="18" applyNumberFormat="1" applyFont="1" applyFill="1" applyBorder="1" applyAlignment="1">
      <alignment horizontal="center" vertical="center"/>
    </xf>
    <xf numFmtId="182" fontId="46" fillId="0" borderId="3" xfId="18" applyNumberFormat="1" applyFont="1" applyFill="1" applyBorder="1" applyAlignment="1">
      <alignment horizontal="center" vertical="center"/>
    </xf>
    <xf numFmtId="0" fontId="46" fillId="0" borderId="3" xfId="18" applyFont="1" applyFill="1" applyBorder="1" applyAlignment="1">
      <alignment horizontal="center" vertical="center" shrinkToFit="1"/>
    </xf>
    <xf numFmtId="41" fontId="20" fillId="0" borderId="26" xfId="18" applyNumberFormat="1" applyFont="1" applyFill="1" applyBorder="1" applyAlignment="1">
      <alignment horizontal="center" vertical="center" shrinkToFit="1"/>
    </xf>
    <xf numFmtId="41" fontId="26" fillId="0" borderId="21" xfId="24" applyFont="1" applyFill="1" applyBorder="1" applyAlignment="1">
      <alignment horizontal="right" vertical="center"/>
    </xf>
    <xf numFmtId="41" fontId="59" fillId="0" borderId="20" xfId="24" applyFont="1" applyFill="1" applyBorder="1" applyAlignment="1">
      <alignment horizontal="right" vertical="center"/>
    </xf>
    <xf numFmtId="41" fontId="26" fillId="0" borderId="138" xfId="24" applyFont="1" applyFill="1" applyBorder="1" applyAlignment="1">
      <alignment horizontal="center" vertical="center"/>
    </xf>
    <xf numFmtId="41" fontId="26" fillId="0" borderId="20" xfId="24" applyFont="1" applyFill="1" applyBorder="1" applyAlignment="1">
      <alignment horizontal="right" vertical="center"/>
    </xf>
    <xf numFmtId="41" fontId="26" fillId="0" borderId="138" xfId="24" applyFont="1" applyFill="1" applyBorder="1" applyAlignment="1">
      <alignment horizontal="right" vertical="center"/>
    </xf>
    <xf numFmtId="41" fontId="26" fillId="0" borderId="139" xfId="24" applyFont="1" applyFill="1" applyBorder="1" applyAlignment="1">
      <alignment horizontal="right" vertical="center"/>
    </xf>
    <xf numFmtId="41" fontId="59" fillId="0" borderId="152" xfId="24" applyFont="1" applyFill="1" applyBorder="1" applyAlignment="1">
      <alignment horizontal="right" vertical="center"/>
    </xf>
    <xf numFmtId="41" fontId="26" fillId="0" borderId="153" xfId="24" applyFont="1" applyFill="1" applyBorder="1" applyAlignment="1">
      <alignment horizontal="right" vertical="center"/>
    </xf>
    <xf numFmtId="41" fontId="26" fillId="0" borderId="115" xfId="24" applyFont="1" applyFill="1" applyBorder="1" applyAlignment="1">
      <alignment horizontal="right" vertical="center"/>
    </xf>
    <xf numFmtId="41" fontId="42" fillId="0" borderId="139" xfId="24" applyFont="1" applyFill="1" applyBorder="1" applyAlignment="1">
      <alignment horizontal="right" vertical="center"/>
    </xf>
    <xf numFmtId="41" fontId="45" fillId="0" borderId="9" xfId="24" applyFont="1" applyFill="1" applyBorder="1" applyAlignment="1">
      <alignment horizontal="right" vertical="center"/>
    </xf>
    <xf numFmtId="41" fontId="45" fillId="0" borderId="140" xfId="24" applyFont="1" applyFill="1" applyBorder="1" applyAlignment="1">
      <alignment horizontal="right" vertical="center"/>
    </xf>
    <xf numFmtId="41" fontId="42" fillId="4" borderId="120" xfId="24" applyFont="1" applyFill="1" applyBorder="1" applyAlignment="1">
      <alignment horizontal="right" vertical="center"/>
    </xf>
    <xf numFmtId="41" fontId="45" fillId="4" borderId="59" xfId="24" applyFont="1" applyFill="1" applyBorder="1" applyAlignment="1">
      <alignment horizontal="right" vertical="center"/>
    </xf>
    <xf numFmtId="41" fontId="42" fillId="4" borderId="151" xfId="24" applyFont="1" applyFill="1" applyBorder="1" applyAlignment="1">
      <alignment horizontal="center" vertical="center"/>
    </xf>
    <xf numFmtId="41" fontId="42" fillId="4" borderId="59" xfId="24" applyFont="1" applyFill="1" applyBorder="1" applyAlignment="1">
      <alignment horizontal="right" vertical="center"/>
    </xf>
    <xf numFmtId="41" fontId="42" fillId="4" borderId="151" xfId="24" applyFont="1" applyFill="1" applyBorder="1" applyAlignment="1">
      <alignment horizontal="right" vertical="center"/>
    </xf>
    <xf numFmtId="41" fontId="42" fillId="4" borderId="126" xfId="24" applyFont="1" applyFill="1" applyBorder="1" applyAlignment="1">
      <alignment horizontal="right" vertical="center"/>
    </xf>
    <xf numFmtId="41" fontId="42" fillId="4" borderId="48" xfId="24" applyFont="1" applyFill="1" applyBorder="1" applyAlignment="1">
      <alignment horizontal="right" vertical="center"/>
    </xf>
    <xf numFmtId="41" fontId="45" fillId="9" borderId="18" xfId="24" applyFont="1" applyFill="1" applyBorder="1" applyAlignment="1">
      <alignment horizontal="right" vertical="center"/>
    </xf>
    <xf numFmtId="41" fontId="45" fillId="9" borderId="154" xfId="24" applyFont="1" applyFill="1" applyBorder="1" applyAlignment="1">
      <alignment horizontal="right" vertical="center"/>
    </xf>
    <xf numFmtId="41" fontId="45" fillId="4" borderId="127" xfId="24" applyFont="1" applyFill="1" applyBorder="1" applyAlignment="1">
      <alignment horizontal="right" vertical="center"/>
    </xf>
    <xf numFmtId="41" fontId="45" fillId="4" borderId="114" xfId="24" applyFont="1" applyFill="1" applyBorder="1" applyAlignment="1">
      <alignment horizontal="right" vertical="center"/>
    </xf>
    <xf numFmtId="41" fontId="45" fillId="4" borderId="112" xfId="24" applyFont="1" applyFill="1" applyBorder="1" applyAlignment="1">
      <alignment horizontal="right" vertical="center"/>
    </xf>
    <xf numFmtId="41" fontId="54" fillId="0" borderId="10" xfId="24" applyFont="1" applyFill="1" applyBorder="1" applyAlignment="1">
      <alignment horizontal="right" vertical="center"/>
    </xf>
    <xf numFmtId="0" fontId="52" fillId="0" borderId="81" xfId="13" applyFont="1" applyFill="1" applyBorder="1" applyAlignment="1">
      <alignment horizontal="center" vertical="center"/>
    </xf>
    <xf numFmtId="0" fontId="52" fillId="0" borderId="85" xfId="13" applyFont="1" applyFill="1" applyBorder="1" applyAlignment="1">
      <alignment horizontal="center" vertical="center"/>
    </xf>
    <xf numFmtId="0" fontId="52" fillId="0" borderId="153" xfId="13" applyFont="1" applyBorder="1" applyAlignment="1">
      <alignment horizontal="center" vertical="center"/>
    </xf>
    <xf numFmtId="41" fontId="52" fillId="0" borderId="3" xfId="24" applyFont="1" applyFill="1" applyBorder="1" applyAlignment="1">
      <alignment horizontal="right" vertical="center"/>
    </xf>
    <xf numFmtId="41" fontId="26" fillId="0" borderId="26" xfId="8" applyFont="1" applyBorder="1" applyAlignment="1">
      <alignment horizontal="right" vertical="center" shrinkToFit="1"/>
    </xf>
    <xf numFmtId="41" fontId="26" fillId="0" borderId="27" xfId="8" applyFont="1" applyBorder="1" applyAlignment="1">
      <alignment horizontal="right" vertical="center" shrinkToFit="1"/>
    </xf>
    <xf numFmtId="41" fontId="45" fillId="0" borderId="26" xfId="8" applyFont="1" applyBorder="1" applyAlignment="1">
      <alignment horizontal="right" vertical="center" shrinkToFit="1"/>
    </xf>
    <xf numFmtId="41" fontId="45" fillId="0" borderId="27" xfId="8" applyFont="1" applyBorder="1" applyAlignment="1">
      <alignment horizontal="right" vertical="center" shrinkToFit="1"/>
    </xf>
    <xf numFmtId="0" fontId="23" fillId="4" borderId="45" xfId="0" applyFont="1" applyFill="1" applyBorder="1" applyAlignment="1">
      <alignment horizontal="center" vertical="center"/>
    </xf>
    <xf numFmtId="41" fontId="20" fillId="0" borderId="55" xfId="8" applyFont="1" applyBorder="1" applyAlignment="1">
      <alignment vertical="center" shrinkToFit="1"/>
    </xf>
    <xf numFmtId="41" fontId="20" fillId="0" borderId="8" xfId="8" applyFont="1" applyBorder="1" applyAlignment="1">
      <alignment vertical="center" shrinkToFit="1"/>
    </xf>
    <xf numFmtId="41" fontId="20" fillId="0" borderId="24" xfId="8" applyFont="1" applyBorder="1" applyAlignment="1">
      <alignment vertical="center" shrinkToFit="1"/>
    </xf>
    <xf numFmtId="41" fontId="20" fillId="0" borderId="24" xfId="8" applyFont="1" applyFill="1" applyBorder="1" applyAlignment="1">
      <alignment vertical="center" shrinkToFit="1"/>
    </xf>
    <xf numFmtId="41" fontId="20" fillId="0" borderId="8" xfId="8" applyFont="1" applyFill="1" applyBorder="1" applyAlignment="1">
      <alignment vertical="center" shrinkToFit="1"/>
    </xf>
    <xf numFmtId="41" fontId="46" fillId="0" borderId="2" xfId="0" applyNumberFormat="1" applyFont="1" applyBorder="1">
      <alignment vertical="center"/>
    </xf>
    <xf numFmtId="41" fontId="29" fillId="0" borderId="2" xfId="0" applyNumberFormat="1" applyFont="1" applyBorder="1">
      <alignment vertical="center"/>
    </xf>
    <xf numFmtId="41" fontId="46" fillId="0" borderId="2" xfId="0" applyNumberFormat="1" applyFont="1" applyBorder="1" applyAlignment="1">
      <alignment horizontal="center" vertical="center"/>
    </xf>
    <xf numFmtId="41" fontId="29" fillId="0" borderId="2" xfId="0" applyNumberFormat="1" applyFont="1" applyBorder="1" applyAlignment="1">
      <alignment horizontal="center" vertical="center"/>
    </xf>
    <xf numFmtId="41" fontId="42" fillId="11" borderId="21" xfId="8" applyFont="1" applyFill="1" applyBorder="1" applyAlignment="1">
      <alignment vertical="center" shrinkToFit="1"/>
    </xf>
    <xf numFmtId="41" fontId="42" fillId="11" borderId="35" xfId="8" applyFont="1" applyFill="1" applyBorder="1" applyAlignment="1">
      <alignment vertical="center" shrinkToFit="1"/>
    </xf>
    <xf numFmtId="41" fontId="41" fillId="11" borderId="21" xfId="8" applyFont="1" applyFill="1" applyBorder="1" applyAlignment="1">
      <alignment vertical="center" shrinkToFit="1"/>
    </xf>
    <xf numFmtId="41" fontId="41" fillId="11" borderId="35" xfId="8" applyFont="1" applyFill="1" applyBorder="1" applyAlignment="1">
      <alignment vertical="center" shrinkToFit="1"/>
    </xf>
    <xf numFmtId="41" fontId="41" fillId="11" borderId="9" xfId="8" applyFont="1" applyFill="1" applyBorder="1" applyAlignment="1">
      <alignment vertical="center" shrinkToFit="1"/>
    </xf>
    <xf numFmtId="41" fontId="43" fillId="10" borderId="9" xfId="8" applyFont="1" applyFill="1" applyBorder="1" applyAlignment="1">
      <alignment vertical="center" shrinkToFit="1"/>
    </xf>
    <xf numFmtId="41" fontId="41" fillId="0" borderId="3" xfId="8" applyFont="1" applyFill="1" applyBorder="1" applyAlignment="1">
      <alignment vertical="center" shrinkToFit="1"/>
    </xf>
    <xf numFmtId="0" fontId="23" fillId="4" borderId="88" xfId="0" applyFont="1" applyFill="1" applyBorder="1" applyAlignment="1">
      <alignment horizontal="center" vertical="center"/>
    </xf>
    <xf numFmtId="41" fontId="20" fillId="0" borderId="158" xfId="8" applyFont="1" applyBorder="1">
      <alignment vertical="center"/>
    </xf>
    <xf numFmtId="41" fontId="20" fillId="0" borderId="159" xfId="8" applyFont="1" applyBorder="1">
      <alignment vertical="center"/>
    </xf>
    <xf numFmtId="41" fontId="47" fillId="0" borderId="159" xfId="8" applyFont="1" applyFill="1" applyBorder="1">
      <alignment vertical="center"/>
    </xf>
    <xf numFmtId="41" fontId="41" fillId="0" borderId="158" xfId="8" applyFont="1" applyBorder="1">
      <alignment vertical="center"/>
    </xf>
    <xf numFmtId="41" fontId="41" fillId="0" borderId="159" xfId="8" applyFont="1" applyBorder="1">
      <alignment vertical="center"/>
    </xf>
    <xf numFmtId="41" fontId="41" fillId="0" borderId="157" xfId="8" applyFont="1" applyBorder="1">
      <alignment vertical="center"/>
    </xf>
    <xf numFmtId="41" fontId="41" fillId="0" borderId="160" xfId="8" applyFont="1" applyBorder="1">
      <alignment vertical="center"/>
    </xf>
    <xf numFmtId="0" fontId="20" fillId="12" borderId="8" xfId="0" applyFont="1" applyFill="1" applyBorder="1" applyAlignment="1">
      <alignment horizontal="center" vertical="center"/>
    </xf>
    <xf numFmtId="14" fontId="20" fillId="12" borderId="24" xfId="0" applyNumberFormat="1" applyFont="1" applyFill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12" borderId="24" xfId="18" applyFont="1" applyFill="1" applyBorder="1" applyAlignment="1">
      <alignment horizontal="center" vertical="center" shrinkToFit="1"/>
    </xf>
    <xf numFmtId="183" fontId="20" fillId="0" borderId="8" xfId="0" applyNumberFormat="1" applyFont="1" applyBorder="1" applyAlignment="1">
      <alignment horizontal="center" vertical="center" wrapText="1" shrinkToFit="1"/>
    </xf>
    <xf numFmtId="182" fontId="26" fillId="12" borderId="8" xfId="18" applyNumberFormat="1" applyFont="1" applyFill="1" applyBorder="1" applyAlignment="1">
      <alignment horizontal="center" vertical="center"/>
    </xf>
    <xf numFmtId="0" fontId="26" fillId="12" borderId="8" xfId="18" applyFont="1" applyFill="1" applyBorder="1" applyAlignment="1">
      <alignment horizontal="center" vertical="center" shrinkToFit="1"/>
    </xf>
    <xf numFmtId="0" fontId="26" fillId="12" borderId="24" xfId="18" applyFont="1" applyFill="1" applyBorder="1" applyAlignment="1">
      <alignment horizontal="center" vertical="center" shrinkToFit="1"/>
    </xf>
    <xf numFmtId="0" fontId="26" fillId="12" borderId="124" xfId="18" applyFont="1" applyFill="1" applyBorder="1" applyAlignment="1">
      <alignment horizontal="center" vertical="center" shrinkToFit="1"/>
    </xf>
    <xf numFmtId="41" fontId="41" fillId="0" borderId="24" xfId="8" applyFont="1" applyBorder="1">
      <alignment vertical="center"/>
    </xf>
    <xf numFmtId="41" fontId="20" fillId="0" borderId="161" xfId="8" applyFont="1" applyBorder="1">
      <alignment vertical="center"/>
    </xf>
    <xf numFmtId="41" fontId="41" fillId="0" borderId="161" xfId="8" applyFont="1" applyBorder="1">
      <alignment vertical="center"/>
    </xf>
    <xf numFmtId="41" fontId="41" fillId="0" borderId="162" xfId="8" applyFont="1" applyBorder="1">
      <alignment vertical="center"/>
    </xf>
    <xf numFmtId="14" fontId="20" fillId="0" borderId="7" xfId="0" applyNumberFormat="1" applyFont="1" applyFill="1" applyBorder="1" applyAlignment="1">
      <alignment horizontal="center" vertical="center" shrinkToFit="1"/>
    </xf>
    <xf numFmtId="0" fontId="26" fillId="0" borderId="7" xfId="18" applyFont="1" applyFill="1" applyBorder="1" applyAlignment="1">
      <alignment horizontal="center" vertical="center" shrinkToFit="1"/>
    </xf>
    <xf numFmtId="183" fontId="20" fillId="0" borderId="7" xfId="18" applyNumberFormat="1" applyFont="1" applyFill="1" applyBorder="1" applyAlignment="1">
      <alignment horizontal="center" vertical="center"/>
    </xf>
    <xf numFmtId="182" fontId="20" fillId="0" borderId="7" xfId="18" applyNumberFormat="1" applyFont="1" applyFill="1" applyBorder="1" applyAlignment="1">
      <alignment horizontal="center" vertical="center"/>
    </xf>
    <xf numFmtId="0" fontId="20" fillId="0" borderId="7" xfId="18" applyFont="1" applyFill="1" applyBorder="1" applyAlignment="1">
      <alignment horizontal="center" vertical="center" shrinkToFit="1"/>
    </xf>
    <xf numFmtId="0" fontId="20" fillId="0" borderId="27" xfId="18" applyFont="1" applyFill="1" applyBorder="1" applyAlignment="1">
      <alignment horizontal="center" vertical="center" shrinkToFit="1"/>
    </xf>
    <xf numFmtId="0" fontId="20" fillId="0" borderId="25" xfId="0" applyFont="1" applyFill="1" applyBorder="1" applyAlignment="1">
      <alignment vertical="center" shrinkToFit="1"/>
    </xf>
    <xf numFmtId="0" fontId="52" fillId="4" borderId="3" xfId="13" applyFont="1" applyFill="1" applyBorder="1" applyAlignment="1">
      <alignment horizontal="center" vertical="center"/>
    </xf>
    <xf numFmtId="0" fontId="52" fillId="9" borderId="3" xfId="13" applyFont="1" applyFill="1" applyBorder="1" applyAlignment="1">
      <alignment horizontal="center" vertical="center"/>
    </xf>
    <xf numFmtId="0" fontId="52" fillId="9" borderId="86" xfId="13" applyFont="1" applyFill="1" applyBorder="1" applyAlignment="1">
      <alignment horizontal="center" vertical="center"/>
    </xf>
    <xf numFmtId="41" fontId="52" fillId="0" borderId="3" xfId="24" applyFont="1" applyBorder="1" applyAlignment="1">
      <alignment horizontal="right" vertical="center"/>
    </xf>
    <xf numFmtId="41" fontId="52" fillId="0" borderId="86" xfId="24" applyFont="1" applyBorder="1" applyAlignment="1">
      <alignment horizontal="right" vertical="center"/>
    </xf>
    <xf numFmtId="41" fontId="52" fillId="4" borderId="88" xfId="24" applyFont="1" applyFill="1" applyBorder="1" applyAlignment="1">
      <alignment horizontal="right" vertical="center"/>
    </xf>
    <xf numFmtId="41" fontId="52" fillId="9" borderId="88" xfId="24" applyFont="1" applyFill="1" applyBorder="1" applyAlignment="1">
      <alignment horizontal="right" vertical="center"/>
    </xf>
    <xf numFmtId="41" fontId="52" fillId="9" borderId="90" xfId="24" applyFont="1" applyFill="1" applyBorder="1" applyAlignment="1">
      <alignment horizontal="right" vertical="center"/>
    </xf>
    <xf numFmtId="0" fontId="52" fillId="0" borderId="85" xfId="13" applyFont="1" applyBorder="1" applyAlignment="1">
      <alignment horizontal="center" vertical="center"/>
    </xf>
    <xf numFmtId="0" fontId="52" fillId="4" borderId="96" xfId="13" applyFont="1" applyFill="1" applyBorder="1" applyAlignment="1">
      <alignment horizontal="center" vertical="center"/>
    </xf>
    <xf numFmtId="0" fontId="52" fillId="4" borderId="10" xfId="13" applyFont="1" applyFill="1" applyBorder="1" applyAlignment="1">
      <alignment horizontal="center" vertical="center"/>
    </xf>
    <xf numFmtId="41" fontId="52" fillId="4" borderId="112" xfId="24" applyFont="1" applyFill="1" applyBorder="1" applyAlignment="1">
      <alignment horizontal="right" vertical="center"/>
    </xf>
    <xf numFmtId="0" fontId="52" fillId="4" borderId="87" xfId="13" applyFont="1" applyFill="1" applyBorder="1" applyAlignment="1">
      <alignment horizontal="center" vertical="center"/>
    </xf>
    <xf numFmtId="0" fontId="52" fillId="4" borderId="86" xfId="13" applyFont="1" applyFill="1" applyBorder="1" applyAlignment="1">
      <alignment horizontal="center" vertical="center"/>
    </xf>
    <xf numFmtId="41" fontId="52" fillId="4" borderId="97" xfId="24" applyFont="1" applyFill="1" applyBorder="1" applyAlignment="1">
      <alignment horizontal="right" vertical="center"/>
    </xf>
    <xf numFmtId="41" fontId="52" fillId="4" borderId="90" xfId="24" applyFont="1" applyFill="1" applyBorder="1" applyAlignment="1">
      <alignment horizontal="right" vertical="center"/>
    </xf>
    <xf numFmtId="0" fontId="52" fillId="4" borderId="8" xfId="13" applyFont="1" applyFill="1" applyBorder="1" applyAlignment="1">
      <alignment horizontal="center" vertical="center"/>
    </xf>
    <xf numFmtId="41" fontId="52" fillId="4" borderId="89" xfId="24" applyFont="1" applyFill="1" applyBorder="1" applyAlignment="1">
      <alignment horizontal="right" vertical="center"/>
    </xf>
    <xf numFmtId="0" fontId="52" fillId="9" borderId="87" xfId="13" applyFont="1" applyFill="1" applyBorder="1" applyAlignment="1">
      <alignment horizontal="center" vertical="center"/>
    </xf>
    <xf numFmtId="41" fontId="52" fillId="0" borderId="87" xfId="24" applyFont="1" applyBorder="1" applyAlignment="1">
      <alignment horizontal="right" vertical="center"/>
    </xf>
    <xf numFmtId="41" fontId="52" fillId="9" borderId="97" xfId="24" applyFont="1" applyFill="1" applyBorder="1" applyAlignment="1">
      <alignment horizontal="right" vertical="center"/>
    </xf>
    <xf numFmtId="0" fontId="26" fillId="0" borderId="4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/>
    </xf>
    <xf numFmtId="183" fontId="26" fillId="0" borderId="4" xfId="18" applyNumberFormat="1" applyFont="1" applyBorder="1" applyAlignment="1">
      <alignment horizontal="center" vertical="center"/>
    </xf>
    <xf numFmtId="3" fontId="65" fillId="0" borderId="3" xfId="0" applyNumberFormat="1" applyFont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 shrinkToFit="1"/>
    </xf>
    <xf numFmtId="14" fontId="26" fillId="0" borderId="7" xfId="0" applyNumberFormat="1" applyFont="1" applyFill="1" applyBorder="1" applyAlignment="1">
      <alignment horizontal="center" vertical="center" shrinkToFit="1"/>
    </xf>
    <xf numFmtId="183" fontId="26" fillId="0" borderId="7" xfId="18" applyNumberFormat="1" applyFont="1" applyFill="1" applyBorder="1" applyAlignment="1">
      <alignment horizontal="center" vertical="center"/>
    </xf>
    <xf numFmtId="182" fontId="26" fillId="0" borderId="7" xfId="18" applyNumberFormat="1" applyFont="1" applyFill="1" applyBorder="1" applyAlignment="1">
      <alignment horizontal="center" vertical="center"/>
    </xf>
    <xf numFmtId="0" fontId="26" fillId="0" borderId="27" xfId="18" applyFont="1" applyFill="1" applyBorder="1" applyAlignment="1">
      <alignment horizontal="center" vertical="center" shrinkToFit="1"/>
    </xf>
    <xf numFmtId="41" fontId="26" fillId="0" borderId="27" xfId="8" applyFont="1" applyFill="1" applyBorder="1" applyAlignment="1">
      <alignment vertical="center" shrinkToFit="1"/>
    </xf>
    <xf numFmtId="0" fontId="26" fillId="0" borderId="25" xfId="0" applyFont="1" applyFill="1" applyBorder="1" applyAlignment="1">
      <alignment vertical="center" shrinkToFit="1"/>
    </xf>
    <xf numFmtId="0" fontId="18" fillId="0" borderId="0" xfId="0" applyFont="1" applyFill="1">
      <alignment vertical="center"/>
    </xf>
    <xf numFmtId="41" fontId="26" fillId="0" borderId="13" xfId="8" applyFont="1" applyFill="1" applyBorder="1" applyAlignment="1">
      <alignment vertical="center" shrinkToFit="1"/>
    </xf>
    <xf numFmtId="41" fontId="26" fillId="0" borderId="3" xfId="8" applyFont="1" applyFill="1" applyBorder="1" applyAlignment="1">
      <alignment vertical="center" shrinkToFit="1"/>
    </xf>
    <xf numFmtId="41" fontId="26" fillId="0" borderId="14" xfId="8" applyFont="1" applyFill="1" applyBorder="1" applyAlignment="1">
      <alignment vertical="center" shrinkToFit="1"/>
    </xf>
    <xf numFmtId="0" fontId="26" fillId="0" borderId="10" xfId="0" applyFont="1" applyFill="1" applyBorder="1" applyAlignment="1">
      <alignment vertical="center" shrinkToFit="1"/>
    </xf>
    <xf numFmtId="41" fontId="20" fillId="0" borderId="13" xfId="8" applyFont="1" applyFill="1" applyBorder="1" applyAlignment="1">
      <alignment horizontal="center" vertical="center" shrinkToFit="1"/>
    </xf>
    <xf numFmtId="41" fontId="20" fillId="0" borderId="42" xfId="8" applyFont="1" applyFill="1" applyBorder="1" applyAlignment="1">
      <alignment vertical="center" shrinkToFit="1"/>
    </xf>
    <xf numFmtId="41" fontId="26" fillId="0" borderId="7" xfId="8" applyFont="1" applyFill="1" applyBorder="1" applyAlignment="1">
      <alignment horizontal="right" vertical="center" shrinkToFit="1"/>
    </xf>
    <xf numFmtId="41" fontId="26" fillId="0" borderId="26" xfId="8" applyFont="1" applyFill="1" applyBorder="1" applyAlignment="1">
      <alignment horizontal="center" vertical="center" shrinkToFit="1"/>
    </xf>
    <xf numFmtId="41" fontId="26" fillId="0" borderId="7" xfId="8" applyFont="1" applyFill="1" applyBorder="1" applyAlignment="1">
      <alignment horizontal="center" vertical="center" shrinkToFit="1"/>
    </xf>
    <xf numFmtId="41" fontId="42" fillId="0" borderId="26" xfId="8" applyFont="1" applyFill="1" applyBorder="1" applyAlignment="1">
      <alignment vertical="center" shrinkToFit="1"/>
    </xf>
    <xf numFmtId="41" fontId="54" fillId="0" borderId="18" xfId="24" applyFont="1" applyFill="1" applyBorder="1" applyAlignment="1">
      <alignment horizontal="right" vertical="center"/>
    </xf>
    <xf numFmtId="0" fontId="52" fillId="9" borderId="17" xfId="13" applyFont="1" applyFill="1" applyBorder="1" applyAlignment="1">
      <alignment horizontal="center" vertical="center"/>
    </xf>
    <xf numFmtId="0" fontId="52" fillId="9" borderId="109" xfId="13" applyFont="1" applyFill="1" applyBorder="1" applyAlignment="1">
      <alignment horizontal="center" vertical="center"/>
    </xf>
    <xf numFmtId="0" fontId="52" fillId="4" borderId="109" xfId="13" applyFont="1" applyFill="1" applyBorder="1" applyAlignment="1">
      <alignment horizontal="center" vertical="center"/>
    </xf>
    <xf numFmtId="0" fontId="52" fillId="4" borderId="17" xfId="13" applyFont="1" applyFill="1" applyBorder="1" applyAlignment="1">
      <alignment horizontal="center" vertical="center"/>
    </xf>
    <xf numFmtId="41" fontId="54" fillId="0" borderId="129" xfId="24" applyFont="1" applyFill="1" applyBorder="1" applyAlignment="1">
      <alignment horizontal="right" vertical="center"/>
    </xf>
    <xf numFmtId="41" fontId="54" fillId="0" borderId="111" xfId="24" applyFont="1" applyFill="1" applyBorder="1" applyAlignment="1">
      <alignment horizontal="right" vertical="center"/>
    </xf>
    <xf numFmtId="41" fontId="54" fillId="0" borderId="83" xfId="8" applyFont="1" applyFill="1" applyBorder="1" applyAlignment="1">
      <alignment horizontal="right" vertical="center"/>
    </xf>
    <xf numFmtId="41" fontId="54" fillId="0" borderId="7" xfId="8" applyFont="1" applyFill="1" applyBorder="1" applyAlignment="1">
      <alignment horizontal="right" vertical="center"/>
    </xf>
    <xf numFmtId="41" fontId="54" fillId="0" borderId="82" xfId="8" applyFont="1" applyFill="1" applyBorder="1" applyAlignment="1">
      <alignment horizontal="right" vertical="center"/>
    </xf>
    <xf numFmtId="41" fontId="54" fillId="0" borderId="25" xfId="8" applyFont="1" applyFill="1" applyBorder="1" applyAlignment="1">
      <alignment horizontal="right" vertical="center"/>
    </xf>
    <xf numFmtId="41" fontId="54" fillId="0" borderId="24" xfId="8" applyFont="1" applyFill="1" applyBorder="1" applyAlignment="1">
      <alignment horizontal="right" vertical="center"/>
    </xf>
    <xf numFmtId="41" fontId="52" fillId="0" borderId="25" xfId="8" applyFont="1" applyFill="1" applyBorder="1" applyAlignment="1">
      <alignment horizontal="right" vertical="center"/>
    </xf>
    <xf numFmtId="41" fontId="52" fillId="0" borderId="7" xfId="8" applyFont="1" applyFill="1" applyBorder="1" applyAlignment="1">
      <alignment horizontal="right" vertical="center"/>
    </xf>
    <xf numFmtId="41" fontId="54" fillId="0" borderId="87" xfId="8" applyFont="1" applyFill="1" applyBorder="1" applyAlignment="1">
      <alignment horizontal="right" vertical="center"/>
    </xf>
    <xf numFmtId="41" fontId="54" fillId="0" borderId="3" xfId="8" applyFont="1" applyFill="1" applyBorder="1" applyAlignment="1">
      <alignment horizontal="right" vertical="center"/>
    </xf>
    <xf numFmtId="41" fontId="54" fillId="0" borderId="86" xfId="8" applyFont="1" applyFill="1" applyBorder="1" applyAlignment="1">
      <alignment horizontal="right" vertical="center"/>
    </xf>
    <xf numFmtId="41" fontId="54" fillId="0" borderId="10" xfId="8" applyFont="1" applyFill="1" applyBorder="1" applyAlignment="1">
      <alignment horizontal="right" vertical="center"/>
    </xf>
    <xf numFmtId="41" fontId="54" fillId="0" borderId="8" xfId="8" applyFont="1" applyFill="1" applyBorder="1" applyAlignment="1">
      <alignment horizontal="right" vertical="center"/>
    </xf>
    <xf numFmtId="41" fontId="54" fillId="12" borderId="3" xfId="8" applyFont="1" applyFill="1" applyBorder="1" applyAlignment="1">
      <alignment horizontal="right" vertical="center"/>
    </xf>
    <xf numFmtId="41" fontId="54" fillId="12" borderId="86" xfId="8" applyFont="1" applyFill="1" applyBorder="1" applyAlignment="1">
      <alignment horizontal="right" vertical="center"/>
    </xf>
    <xf numFmtId="41" fontId="54" fillId="0" borderId="139" xfId="8" applyFont="1" applyFill="1" applyBorder="1" applyAlignment="1">
      <alignment horizontal="right" vertical="center"/>
    </xf>
    <xf numFmtId="41" fontId="54" fillId="0" borderId="9" xfId="8" applyFont="1" applyFill="1" applyBorder="1" applyAlignment="1">
      <alignment horizontal="right" vertical="center"/>
    </xf>
    <xf numFmtId="41" fontId="54" fillId="0" borderId="140" xfId="8" applyFont="1" applyFill="1" applyBorder="1" applyAlignment="1">
      <alignment horizontal="right" vertical="center"/>
    </xf>
    <xf numFmtId="41" fontId="54" fillId="0" borderId="21" xfId="8" applyFont="1" applyFill="1" applyBorder="1" applyAlignment="1">
      <alignment horizontal="right" vertical="center"/>
    </xf>
    <xf numFmtId="41" fontId="54" fillId="0" borderId="19" xfId="8" applyFont="1" applyFill="1" applyBorder="1" applyAlignment="1">
      <alignment horizontal="right" vertical="center"/>
    </xf>
    <xf numFmtId="41" fontId="52" fillId="4" borderId="91" xfId="8" applyFont="1" applyFill="1" applyBorder="1" applyAlignment="1">
      <alignment horizontal="right" vertical="center"/>
    </xf>
    <xf numFmtId="41" fontId="52" fillId="4" borderId="93" xfId="8" applyFont="1" applyFill="1" applyBorder="1" applyAlignment="1">
      <alignment horizontal="right" vertical="center"/>
    </xf>
    <xf numFmtId="41" fontId="52" fillId="4" borderId="155" xfId="8" applyFont="1" applyFill="1" applyBorder="1" applyAlignment="1">
      <alignment horizontal="right" vertical="center"/>
    </xf>
    <xf numFmtId="41" fontId="52" fillId="4" borderId="156" xfId="8" applyFont="1" applyFill="1" applyBorder="1" applyAlignment="1">
      <alignment horizontal="right" vertical="center"/>
    </xf>
    <xf numFmtId="41" fontId="52" fillId="9" borderId="155" xfId="8" applyFont="1" applyFill="1" applyBorder="1" applyAlignment="1">
      <alignment horizontal="right" vertical="center"/>
    </xf>
    <xf numFmtId="41" fontId="54" fillId="0" borderId="0" xfId="13" applyNumberFormat="1" applyFont="1">
      <alignment vertical="center"/>
    </xf>
    <xf numFmtId="41" fontId="56" fillId="0" borderId="7" xfId="24" applyFont="1" applyFill="1" applyBorder="1" applyAlignment="1">
      <alignment horizontal="right" vertical="center"/>
    </xf>
    <xf numFmtId="41" fontId="76" fillId="4" borderId="92" xfId="24" applyFont="1" applyFill="1" applyBorder="1" applyAlignment="1">
      <alignment horizontal="right" vertical="center"/>
    </xf>
    <xf numFmtId="41" fontId="76" fillId="4" borderId="92" xfId="8" applyFont="1" applyFill="1" applyBorder="1" applyAlignment="1">
      <alignment horizontal="right" vertical="center"/>
    </xf>
    <xf numFmtId="41" fontId="56" fillId="0" borderId="82" xfId="24" applyFont="1" applyFill="1" applyBorder="1" applyAlignment="1">
      <alignment horizontal="right" vertical="center"/>
    </xf>
    <xf numFmtId="41" fontId="76" fillId="4" borderId="93" xfId="24" applyFont="1" applyFill="1" applyBorder="1" applyAlignment="1">
      <alignment horizontal="right" vertical="center"/>
    </xf>
    <xf numFmtId="41" fontId="76" fillId="0" borderId="25" xfId="24" applyFont="1" applyFill="1" applyBorder="1" applyAlignment="1">
      <alignment horizontal="right" vertical="center"/>
    </xf>
    <xf numFmtId="41" fontId="76" fillId="9" borderId="155" xfId="24" applyFont="1" applyFill="1" applyBorder="1" applyAlignment="1">
      <alignment horizontal="right" vertical="center"/>
    </xf>
    <xf numFmtId="41" fontId="76" fillId="0" borderId="7" xfId="24" applyFont="1" applyFill="1" applyBorder="1" applyAlignment="1">
      <alignment horizontal="right" vertical="center"/>
    </xf>
    <xf numFmtId="41" fontId="76" fillId="9" borderId="92" xfId="24" applyFont="1" applyFill="1" applyBorder="1" applyAlignment="1">
      <alignment horizontal="right" vertical="center"/>
    </xf>
    <xf numFmtId="41" fontId="76" fillId="0" borderId="24" xfId="24" applyFont="1" applyFill="1" applyBorder="1" applyAlignment="1">
      <alignment horizontal="right" vertical="center"/>
    </xf>
    <xf numFmtId="0" fontId="76" fillId="2" borderId="79" xfId="13" applyFont="1" applyFill="1" applyBorder="1" applyAlignment="1">
      <alignment horizontal="center" vertical="center" shrinkToFit="1"/>
    </xf>
    <xf numFmtId="41" fontId="76" fillId="0" borderId="82" xfId="24" applyFont="1" applyFill="1" applyBorder="1" applyAlignment="1">
      <alignment horizontal="right" vertical="center"/>
    </xf>
    <xf numFmtId="41" fontId="56" fillId="0" borderId="24" xfId="24" applyFont="1" applyFill="1" applyBorder="1" applyAlignment="1">
      <alignment horizontal="right" vertical="center"/>
    </xf>
    <xf numFmtId="41" fontId="56" fillId="0" borderId="8" xfId="24" applyFont="1" applyFill="1" applyBorder="1" applyAlignment="1">
      <alignment horizontal="right" vertical="center"/>
    </xf>
    <xf numFmtId="0" fontId="76" fillId="15" borderId="16" xfId="13" applyFont="1" applyFill="1" applyBorder="1" applyAlignment="1">
      <alignment horizontal="center" vertical="center"/>
    </xf>
    <xf numFmtId="0" fontId="76" fillId="15" borderId="79" xfId="13" applyFont="1" applyFill="1" applyBorder="1" applyAlignment="1">
      <alignment horizontal="center" vertical="center"/>
    </xf>
    <xf numFmtId="0" fontId="76" fillId="15" borderId="30" xfId="13" applyFont="1" applyFill="1" applyBorder="1" applyAlignment="1">
      <alignment horizontal="center" vertical="center"/>
    </xf>
    <xf numFmtId="0" fontId="76" fillId="15" borderId="45" xfId="13" applyFont="1" applyFill="1" applyBorder="1" applyAlignment="1">
      <alignment horizontal="center" vertical="center"/>
    </xf>
    <xf numFmtId="0" fontId="52" fillId="4" borderId="17" xfId="13" applyFont="1" applyFill="1" applyBorder="1" applyAlignment="1">
      <alignment vertical="center"/>
    </xf>
    <xf numFmtId="0" fontId="76" fillId="2" borderId="79" xfId="13" applyFont="1" applyFill="1" applyBorder="1" applyAlignment="1">
      <alignment vertical="center" shrinkToFit="1"/>
    </xf>
    <xf numFmtId="41" fontId="56" fillId="0" borderId="25" xfId="8" applyFont="1" applyFill="1" applyBorder="1" applyAlignment="1">
      <alignment horizontal="right" vertical="center"/>
    </xf>
    <xf numFmtId="41" fontId="56" fillId="0" borderId="10" xfId="8" applyFont="1" applyFill="1" applyBorder="1" applyAlignment="1">
      <alignment horizontal="right" vertical="center"/>
    </xf>
    <xf numFmtId="41" fontId="56" fillId="0" borderId="21" xfId="8" applyFont="1" applyFill="1" applyBorder="1" applyAlignment="1">
      <alignment horizontal="right" vertical="center"/>
    </xf>
    <xf numFmtId="41" fontId="76" fillId="4" borderId="155" xfId="8" applyFont="1" applyFill="1" applyBorder="1" applyAlignment="1">
      <alignment horizontal="right" vertical="center"/>
    </xf>
    <xf numFmtId="41" fontId="56" fillId="0" borderId="24" xfId="8" applyFont="1" applyFill="1" applyBorder="1" applyAlignment="1">
      <alignment horizontal="right" vertical="center"/>
    </xf>
    <xf numFmtId="41" fontId="56" fillId="0" borderId="8" xfId="8" applyFont="1" applyFill="1" applyBorder="1" applyAlignment="1">
      <alignment horizontal="right" vertical="center"/>
    </xf>
    <xf numFmtId="41" fontId="56" fillId="0" borderId="19" xfId="8" applyFont="1" applyFill="1" applyBorder="1" applyAlignment="1">
      <alignment horizontal="right" vertical="center"/>
    </xf>
    <xf numFmtId="41" fontId="76" fillId="4" borderId="156" xfId="8" applyFont="1" applyFill="1" applyBorder="1" applyAlignment="1">
      <alignment horizontal="right" vertical="center"/>
    </xf>
    <xf numFmtId="41" fontId="56" fillId="0" borderId="15" xfId="8" applyFont="1" applyFill="1" applyBorder="1" applyAlignment="1">
      <alignment horizontal="right" vertical="center"/>
    </xf>
    <xf numFmtId="41" fontId="56" fillId="0" borderId="2" xfId="8" applyFont="1" applyFill="1" applyBorder="1" applyAlignment="1">
      <alignment horizontal="right" vertical="center"/>
    </xf>
    <xf numFmtId="41" fontId="56" fillId="0" borderId="20" xfId="8" applyFont="1" applyFill="1" applyBorder="1" applyAlignment="1">
      <alignment horizontal="right" vertical="center"/>
    </xf>
    <xf numFmtId="41" fontId="76" fillId="4" borderId="1" xfId="8" applyFont="1" applyFill="1" applyBorder="1" applyAlignment="1">
      <alignment horizontal="right" vertical="center"/>
    </xf>
    <xf numFmtId="41" fontId="76" fillId="0" borderId="25" xfId="8" applyFont="1" applyFill="1" applyBorder="1" applyAlignment="1">
      <alignment horizontal="right" vertical="center"/>
    </xf>
    <xf numFmtId="41" fontId="76" fillId="9" borderId="155" xfId="8" applyFont="1" applyFill="1" applyBorder="1" applyAlignment="1">
      <alignment horizontal="right" vertical="center"/>
    </xf>
    <xf numFmtId="41" fontId="76" fillId="0" borderId="7" xfId="8" applyFont="1" applyFill="1" applyBorder="1" applyAlignment="1">
      <alignment horizontal="right" vertical="center"/>
    </xf>
    <xf numFmtId="41" fontId="76" fillId="0" borderId="24" xfId="8" applyFont="1" applyFill="1" applyBorder="1" applyAlignment="1">
      <alignment horizontal="right" vertical="center"/>
    </xf>
    <xf numFmtId="41" fontId="76" fillId="0" borderId="82" xfId="8" applyFont="1" applyFill="1" applyBorder="1" applyAlignment="1">
      <alignment horizontal="right" vertical="center"/>
    </xf>
    <xf numFmtId="41" fontId="76" fillId="0" borderId="86" xfId="8" applyFont="1" applyFill="1" applyBorder="1" applyAlignment="1">
      <alignment horizontal="right" vertical="center"/>
    </xf>
    <xf numFmtId="41" fontId="76" fillId="0" borderId="140" xfId="8" applyFont="1" applyFill="1" applyBorder="1" applyAlignment="1">
      <alignment horizontal="right" vertical="center"/>
    </xf>
    <xf numFmtId="41" fontId="76" fillId="9" borderId="93" xfId="8" applyFont="1" applyFill="1" applyBorder="1" applyAlignment="1">
      <alignment horizontal="right" vertical="center"/>
    </xf>
    <xf numFmtId="41" fontId="53" fillId="0" borderId="0" xfId="0" applyNumberFormat="1" applyFont="1" applyAlignment="1">
      <alignment vertical="center" shrinkToFit="1"/>
    </xf>
    <xf numFmtId="0" fontId="42" fillId="4" borderId="72" xfId="13" applyFont="1" applyFill="1" applyBorder="1" applyAlignment="1">
      <alignment horizontal="center" vertical="center"/>
    </xf>
    <xf numFmtId="0" fontId="42" fillId="4" borderId="74" xfId="13" applyFont="1" applyFill="1" applyBorder="1" applyAlignment="1">
      <alignment horizontal="center" vertical="center"/>
    </xf>
    <xf numFmtId="0" fontId="42" fillId="4" borderId="78" xfId="13" applyFont="1" applyFill="1" applyBorder="1" applyAlignment="1">
      <alignment horizontal="center" vertical="center"/>
    </xf>
    <xf numFmtId="0" fontId="42" fillId="4" borderId="45" xfId="13" applyFont="1" applyFill="1" applyBorder="1" applyAlignment="1">
      <alignment horizontal="center" vertical="center"/>
    </xf>
    <xf numFmtId="0" fontId="42" fillId="4" borderId="100" xfId="13" applyFont="1" applyFill="1" applyBorder="1" applyAlignment="1">
      <alignment horizontal="center" vertical="center"/>
    </xf>
    <xf numFmtId="0" fontId="42" fillId="4" borderId="101" xfId="13" applyFont="1" applyFill="1" applyBorder="1" applyAlignment="1">
      <alignment horizontal="center" vertical="center"/>
    </xf>
    <xf numFmtId="0" fontId="42" fillId="4" borderId="102" xfId="13" applyFont="1" applyFill="1" applyBorder="1" applyAlignment="1">
      <alignment horizontal="center" vertical="center"/>
    </xf>
    <xf numFmtId="0" fontId="42" fillId="4" borderId="103" xfId="13" applyFont="1" applyFill="1" applyBorder="1" applyAlignment="1">
      <alignment horizontal="center" vertical="center"/>
    </xf>
    <xf numFmtId="0" fontId="42" fillId="4" borderId="104" xfId="13" applyFont="1" applyFill="1" applyBorder="1" applyAlignment="1">
      <alignment horizontal="center" vertical="center"/>
    </xf>
    <xf numFmtId="0" fontId="42" fillId="4" borderId="105" xfId="13" applyFont="1" applyFill="1" applyBorder="1" applyAlignment="1">
      <alignment horizontal="center" vertical="center"/>
    </xf>
    <xf numFmtId="0" fontId="42" fillId="4" borderId="107" xfId="13" applyFont="1" applyFill="1" applyBorder="1" applyAlignment="1">
      <alignment horizontal="center" vertical="center"/>
    </xf>
    <xf numFmtId="0" fontId="42" fillId="4" borderId="108" xfId="13" applyFont="1" applyFill="1" applyBorder="1" applyAlignment="1">
      <alignment horizontal="center" vertical="center"/>
    </xf>
    <xf numFmtId="0" fontId="42" fillId="0" borderId="83" xfId="13" applyFont="1" applyFill="1" applyBorder="1" applyAlignment="1">
      <alignment horizontal="center" vertical="center"/>
    </xf>
    <xf numFmtId="0" fontId="42" fillId="0" borderId="87" xfId="13" applyFont="1" applyFill="1" applyBorder="1" applyAlignment="1">
      <alignment horizontal="center" vertical="center"/>
    </xf>
    <xf numFmtId="0" fontId="42" fillId="0" borderId="97" xfId="13" applyFont="1" applyFill="1" applyBorder="1" applyAlignment="1">
      <alignment horizontal="center" vertical="center"/>
    </xf>
    <xf numFmtId="0" fontId="42" fillId="0" borderId="72" xfId="13" applyFont="1" applyFill="1" applyBorder="1" applyAlignment="1">
      <alignment horizontal="center" vertical="center"/>
    </xf>
    <xf numFmtId="0" fontId="42" fillId="0" borderId="78" xfId="13" applyFont="1" applyFill="1" applyBorder="1" applyAlignment="1">
      <alignment horizontal="center" vertical="center"/>
    </xf>
    <xf numFmtId="0" fontId="42" fillId="4" borderId="83" xfId="13" applyFont="1" applyFill="1" applyBorder="1" applyAlignment="1">
      <alignment horizontal="center" vertical="center"/>
    </xf>
    <xf numFmtId="0" fontId="42" fillId="4" borderId="87" xfId="13" applyFont="1" applyFill="1" applyBorder="1" applyAlignment="1">
      <alignment horizontal="center" vertical="center"/>
    </xf>
    <xf numFmtId="0" fontId="42" fillId="4" borderId="97" xfId="13" applyFont="1" applyFill="1" applyBorder="1" applyAlignment="1">
      <alignment horizontal="center" vertical="center"/>
    </xf>
    <xf numFmtId="0" fontId="42" fillId="4" borderId="72" xfId="0" applyFont="1" applyFill="1" applyBorder="1" applyAlignment="1">
      <alignment horizontal="center" vertical="center"/>
    </xf>
    <xf numFmtId="0" fontId="42" fillId="4" borderId="73" xfId="0" applyFont="1" applyFill="1" applyBorder="1" applyAlignment="1">
      <alignment horizontal="center" vertical="center"/>
    </xf>
    <xf numFmtId="0" fontId="42" fillId="4" borderId="78" xfId="0" applyFont="1" applyFill="1" applyBorder="1" applyAlignment="1">
      <alignment horizontal="center" vertical="center"/>
    </xf>
    <xf numFmtId="0" fontId="42" fillId="4" borderId="16" xfId="0" applyFont="1" applyFill="1" applyBorder="1" applyAlignment="1">
      <alignment horizontal="center" vertical="center"/>
    </xf>
    <xf numFmtId="0" fontId="42" fillId="4" borderId="73" xfId="0" applyFont="1" applyFill="1" applyBorder="1" applyAlignment="1">
      <alignment horizontal="center" vertical="center" wrapText="1"/>
    </xf>
    <xf numFmtId="0" fontId="42" fillId="4" borderId="16" xfId="0" applyFont="1" applyFill="1" applyBorder="1" applyAlignment="1">
      <alignment horizontal="center" vertical="center" wrapText="1"/>
    </xf>
    <xf numFmtId="0" fontId="42" fillId="4" borderId="123" xfId="0" applyFont="1" applyFill="1" applyBorder="1" applyAlignment="1">
      <alignment horizontal="center" vertical="center"/>
    </xf>
    <xf numFmtId="0" fontId="42" fillId="4" borderId="103" xfId="0" applyFont="1" applyFill="1" applyBorder="1" applyAlignment="1">
      <alignment horizontal="center" vertical="center"/>
    </xf>
    <xf numFmtId="0" fontId="42" fillId="4" borderId="104" xfId="0" applyFont="1" applyFill="1" applyBorder="1" applyAlignment="1">
      <alignment horizontal="center" vertical="center"/>
    </xf>
    <xf numFmtId="0" fontId="42" fillId="4" borderId="124" xfId="0" applyFont="1" applyFill="1" applyBorder="1" applyAlignment="1">
      <alignment horizontal="center" vertical="center"/>
    </xf>
    <xf numFmtId="0" fontId="42" fillId="4" borderId="125" xfId="0" applyFont="1" applyFill="1" applyBorder="1" applyAlignment="1">
      <alignment horizontal="center" vertical="center"/>
    </xf>
    <xf numFmtId="0" fontId="42" fillId="4" borderId="108" xfId="0" applyFont="1" applyFill="1" applyBorder="1" applyAlignment="1">
      <alignment horizontal="center" vertical="center"/>
    </xf>
    <xf numFmtId="0" fontId="42" fillId="4" borderId="106" xfId="13" applyFont="1" applyFill="1" applyBorder="1" applyAlignment="1">
      <alignment horizontal="center" vertical="center"/>
    </xf>
    <xf numFmtId="0" fontId="42" fillId="4" borderId="110" xfId="13" applyFont="1" applyFill="1" applyBorder="1" applyAlignment="1">
      <alignment horizontal="center" vertical="center"/>
    </xf>
    <xf numFmtId="0" fontId="42" fillId="4" borderId="105" xfId="13" applyFont="1" applyFill="1" applyBorder="1" applyAlignment="1">
      <alignment horizontal="center" vertical="center" wrapText="1"/>
    </xf>
    <xf numFmtId="0" fontId="42" fillId="4" borderId="104" xfId="13" applyFont="1" applyFill="1" applyBorder="1" applyAlignment="1">
      <alignment horizontal="center" vertical="center" wrapText="1"/>
    </xf>
    <xf numFmtId="0" fontId="42" fillId="9" borderId="106" xfId="13" applyFont="1" applyFill="1" applyBorder="1" applyAlignment="1">
      <alignment horizontal="center" vertical="center"/>
    </xf>
    <xf numFmtId="0" fontId="42" fillId="9" borderId="103" xfId="13" applyFont="1" applyFill="1" applyBorder="1" applyAlignment="1">
      <alignment horizontal="center" vertical="center"/>
    </xf>
    <xf numFmtId="0" fontId="42" fillId="9" borderId="104" xfId="13" applyFont="1" applyFill="1" applyBorder="1" applyAlignment="1">
      <alignment horizontal="center" vertical="center"/>
    </xf>
    <xf numFmtId="0" fontId="42" fillId="4" borderId="122" xfId="0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42" fillId="4" borderId="122" xfId="0" applyFont="1" applyFill="1" applyBorder="1" applyAlignment="1">
      <alignment horizontal="center" vertical="center" wrapText="1"/>
    </xf>
    <xf numFmtId="0" fontId="42" fillId="4" borderId="17" xfId="0" applyFont="1" applyFill="1" applyBorder="1" applyAlignment="1">
      <alignment horizontal="center" vertical="center" wrapText="1"/>
    </xf>
    <xf numFmtId="0" fontId="42" fillId="0" borderId="126" xfId="0" applyFont="1" applyFill="1" applyBorder="1" applyAlignment="1">
      <alignment horizontal="center" vertical="center"/>
    </xf>
    <xf numFmtId="0" fontId="42" fillId="0" borderId="48" xfId="0" applyFont="1" applyFill="1" applyBorder="1" applyAlignment="1">
      <alignment horizontal="center" vertical="center"/>
    </xf>
    <xf numFmtId="0" fontId="42" fillId="2" borderId="85" xfId="0" applyFont="1" applyFill="1" applyBorder="1" applyAlignment="1">
      <alignment horizontal="center" vertical="center"/>
    </xf>
    <xf numFmtId="0" fontId="42" fillId="2" borderId="10" xfId="0" applyFont="1" applyFill="1" applyBorder="1" applyAlignment="1">
      <alignment horizontal="center" vertical="center"/>
    </xf>
    <xf numFmtId="0" fontId="42" fillId="3" borderId="96" xfId="0" applyFont="1" applyFill="1" applyBorder="1" applyAlignment="1">
      <alignment horizontal="center" vertical="center"/>
    </xf>
    <xf numFmtId="0" fontId="42" fillId="3" borderId="112" xfId="0" applyFont="1" applyFill="1" applyBorder="1" applyAlignment="1">
      <alignment horizontal="center" vertical="center"/>
    </xf>
    <xf numFmtId="0" fontId="42" fillId="4" borderId="74" xfId="0" applyFont="1" applyFill="1" applyBorder="1" applyAlignment="1">
      <alignment horizontal="center" vertical="center"/>
    </xf>
    <xf numFmtId="0" fontId="42" fillId="4" borderId="76" xfId="0" applyFont="1" applyFill="1" applyBorder="1" applyAlignment="1">
      <alignment horizontal="center" vertical="center"/>
    </xf>
    <xf numFmtId="0" fontId="42" fillId="2" borderId="78" xfId="0" applyFont="1" applyFill="1" applyBorder="1" applyAlignment="1">
      <alignment horizontal="center" vertical="center"/>
    </xf>
    <xf numFmtId="0" fontId="42" fillId="2" borderId="16" xfId="0" applyFont="1" applyFill="1" applyBorder="1" applyAlignment="1">
      <alignment horizontal="center" vertical="center"/>
    </xf>
    <xf numFmtId="0" fontId="42" fillId="3" borderId="128" xfId="13" applyFont="1" applyFill="1" applyBorder="1" applyAlignment="1">
      <alignment horizontal="center" vertical="center"/>
    </xf>
    <xf numFmtId="0" fontId="42" fillId="3" borderId="129" xfId="13" applyFont="1" applyFill="1" applyBorder="1" applyAlignment="1">
      <alignment horizontal="center" vertical="center"/>
    </xf>
    <xf numFmtId="0" fontId="42" fillId="0" borderId="83" xfId="0" applyFont="1" applyFill="1" applyBorder="1" applyAlignment="1">
      <alignment horizontal="center" vertical="center"/>
    </xf>
    <xf numFmtId="0" fontId="42" fillId="0" borderId="87" xfId="0" applyFont="1" applyFill="1" applyBorder="1" applyAlignment="1">
      <alignment horizontal="center" vertical="center"/>
    </xf>
    <xf numFmtId="0" fontId="42" fillId="2" borderId="87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42" fillId="0" borderId="87" xfId="0" applyFont="1" applyFill="1" applyBorder="1" applyAlignment="1">
      <alignment horizontal="center" vertical="center" wrapText="1"/>
    </xf>
    <xf numFmtId="0" fontId="42" fillId="3" borderId="130" xfId="13" applyFont="1" applyFill="1" applyBorder="1" applyAlignment="1">
      <alignment horizontal="center" vertical="center"/>
    </xf>
    <xf numFmtId="0" fontId="42" fillId="3" borderId="131" xfId="13" applyFont="1" applyFill="1" applyBorder="1" applyAlignment="1">
      <alignment horizontal="center" vertical="center"/>
    </xf>
    <xf numFmtId="0" fontId="42" fillId="3" borderId="132" xfId="13" applyFont="1" applyFill="1" applyBorder="1" applyAlignment="1">
      <alignment horizontal="center" vertical="center"/>
    </xf>
    <xf numFmtId="0" fontId="64" fillId="2" borderId="45" xfId="0" applyFont="1" applyFill="1" applyBorder="1" applyAlignment="1">
      <alignment horizontal="center" vertical="center"/>
    </xf>
    <xf numFmtId="0" fontId="64" fillId="2" borderId="60" xfId="0" applyFont="1" applyFill="1" applyBorder="1" applyAlignment="1">
      <alignment horizontal="center" vertical="center"/>
    </xf>
    <xf numFmtId="0" fontId="64" fillId="2" borderId="117" xfId="0" applyFont="1" applyFill="1" applyBorder="1" applyAlignment="1">
      <alignment horizontal="center" vertical="center"/>
    </xf>
    <xf numFmtId="0" fontId="26" fillId="12" borderId="8" xfId="0" quotePrefix="1" applyNumberFormat="1" applyFont="1" applyFill="1" applyBorder="1" applyAlignment="1">
      <alignment horizontal="left" vertical="center" wrapText="1"/>
    </xf>
    <xf numFmtId="0" fontId="26" fillId="12" borderId="2" xfId="0" quotePrefix="1" applyNumberFormat="1" applyFont="1" applyFill="1" applyBorder="1" applyAlignment="1">
      <alignment horizontal="left" vertical="center" wrapText="1"/>
    </xf>
    <xf numFmtId="0" fontId="26" fillId="12" borderId="114" xfId="0" quotePrefix="1" applyNumberFormat="1" applyFont="1" applyFill="1" applyBorder="1" applyAlignment="1">
      <alignment horizontal="left" vertical="center" wrapText="1"/>
    </xf>
    <xf numFmtId="0" fontId="26" fillId="0" borderId="55" xfId="0" quotePrefix="1" applyFont="1" applyFill="1" applyBorder="1" applyAlignment="1">
      <alignment horizontal="left" vertical="center" wrapText="1"/>
    </xf>
    <xf numFmtId="0" fontId="26" fillId="0" borderId="59" xfId="0" quotePrefix="1" applyFont="1" applyFill="1" applyBorder="1" applyAlignment="1">
      <alignment horizontal="left" vertical="center" wrapText="1"/>
    </xf>
    <xf numFmtId="0" fontId="26" fillId="0" borderId="127" xfId="0" quotePrefix="1" applyFont="1" applyFill="1" applyBorder="1" applyAlignment="1">
      <alignment horizontal="left" vertical="center" wrapText="1"/>
    </xf>
    <xf numFmtId="0" fontId="26" fillId="2" borderId="8" xfId="0" quotePrefix="1" applyFont="1" applyFill="1" applyBorder="1" applyAlignment="1">
      <alignment horizontal="center" vertical="center" wrapText="1"/>
    </xf>
    <xf numFmtId="0" fontId="26" fillId="2" borderId="2" xfId="0" quotePrefix="1" applyFont="1" applyFill="1" applyBorder="1" applyAlignment="1">
      <alignment horizontal="center" vertical="center" wrapText="1"/>
    </xf>
    <xf numFmtId="0" fontId="26" fillId="2" borderId="114" xfId="0" quotePrefix="1" applyFont="1" applyFill="1" applyBorder="1" applyAlignment="1">
      <alignment horizontal="center" vertical="center" wrapText="1"/>
    </xf>
    <xf numFmtId="0" fontId="26" fillId="3" borderId="89" xfId="0" quotePrefix="1" applyFont="1" applyFill="1" applyBorder="1" applyAlignment="1">
      <alignment horizontal="center" vertical="center" wrapText="1"/>
    </xf>
    <xf numFmtId="0" fontId="26" fillId="3" borderId="113" xfId="0" quotePrefix="1" applyFont="1" applyFill="1" applyBorder="1" applyAlignment="1">
      <alignment horizontal="center" vertical="center" wrapText="1"/>
    </xf>
    <xf numFmtId="0" fontId="26" fillId="3" borderId="121" xfId="0" quotePrefix="1" applyFont="1" applyFill="1" applyBorder="1" applyAlignment="1">
      <alignment horizontal="center" vertical="center" wrapText="1"/>
    </xf>
    <xf numFmtId="0" fontId="26" fillId="2" borderId="8" xfId="0" applyNumberFormat="1" applyFont="1" applyFill="1" applyBorder="1" applyAlignment="1">
      <alignment horizontal="center" vertical="center"/>
    </xf>
    <xf numFmtId="0" fontId="26" fillId="2" borderId="2" xfId="0" applyNumberFormat="1" applyFont="1" applyFill="1" applyBorder="1" applyAlignment="1">
      <alignment horizontal="center" vertical="center"/>
    </xf>
    <xf numFmtId="0" fontId="26" fillId="2" borderId="114" xfId="0" applyNumberFormat="1" applyFont="1" applyFill="1" applyBorder="1" applyAlignment="1">
      <alignment horizontal="center" vertical="center"/>
    </xf>
    <xf numFmtId="0" fontId="26" fillId="12" borderId="74" xfId="0" quotePrefix="1" applyNumberFormat="1" applyFont="1" applyFill="1" applyBorder="1" applyAlignment="1">
      <alignment horizontal="left" vertical="center" wrapText="1"/>
    </xf>
    <xf numFmtId="0" fontId="26" fillId="12" borderId="101" xfId="0" quotePrefix="1" applyNumberFormat="1" applyFont="1" applyFill="1" applyBorder="1" applyAlignment="1">
      <alignment horizontal="left" vertical="center" wrapText="1"/>
    </xf>
    <xf numFmtId="0" fontId="26" fillId="12" borderId="102" xfId="0" quotePrefix="1" applyNumberFormat="1" applyFont="1" applyFill="1" applyBorder="1" applyAlignment="1">
      <alignment horizontal="left" vertical="center" wrapText="1"/>
    </xf>
    <xf numFmtId="0" fontId="52" fillId="4" borderId="153" xfId="13" applyFont="1" applyFill="1" applyBorder="1" applyAlignment="1">
      <alignment horizontal="center" vertical="center"/>
    </xf>
    <xf numFmtId="0" fontId="52" fillId="4" borderId="21" xfId="13" applyFont="1" applyFill="1" applyBorder="1" applyAlignment="1">
      <alignment horizontal="center" vertical="center"/>
    </xf>
    <xf numFmtId="0" fontId="52" fillId="4" borderId="19" xfId="13" applyFont="1" applyFill="1" applyBorder="1" applyAlignment="1">
      <alignment horizontal="center" vertical="center"/>
    </xf>
    <xf numFmtId="0" fontId="52" fillId="4" borderId="71" xfId="13" applyFont="1" applyFill="1" applyBorder="1" applyAlignment="1">
      <alignment horizontal="center" vertical="center"/>
    </xf>
    <xf numFmtId="0" fontId="52" fillId="4" borderId="115" xfId="13" applyFont="1" applyFill="1" applyBorder="1" applyAlignment="1">
      <alignment horizontal="center" vertical="center"/>
    </xf>
    <xf numFmtId="0" fontId="52" fillId="4" borderId="77" xfId="13" applyFont="1" applyFill="1" applyBorder="1" applyAlignment="1">
      <alignment horizontal="center" vertical="center"/>
    </xf>
    <xf numFmtId="0" fontId="52" fillId="4" borderId="100" xfId="13" applyFont="1" applyFill="1" applyBorder="1" applyAlignment="1">
      <alignment horizontal="center" vertical="center"/>
    </xf>
    <xf numFmtId="0" fontId="52" fillId="4" borderId="101" xfId="13" applyFont="1" applyFill="1" applyBorder="1" applyAlignment="1">
      <alignment horizontal="center" vertical="center"/>
    </xf>
    <xf numFmtId="0" fontId="52" fillId="4" borderId="102" xfId="13" applyFont="1" applyFill="1" applyBorder="1" applyAlignment="1">
      <alignment horizontal="center" vertical="center"/>
    </xf>
    <xf numFmtId="0" fontId="52" fillId="4" borderId="139" xfId="13" applyFont="1" applyFill="1" applyBorder="1" applyAlignment="1">
      <alignment horizontal="center" vertical="center"/>
    </xf>
    <xf numFmtId="0" fontId="52" fillId="4" borderId="109" xfId="13" applyFont="1" applyFill="1" applyBorder="1" applyAlignment="1">
      <alignment horizontal="center" vertical="center"/>
    </xf>
    <xf numFmtId="0" fontId="52" fillId="4" borderId="152" xfId="13" applyFont="1" applyFill="1" applyBorder="1" applyAlignment="1">
      <alignment horizontal="center" vertical="center"/>
    </xf>
    <xf numFmtId="0" fontId="52" fillId="4" borderId="9" xfId="13" applyFont="1" applyFill="1" applyBorder="1" applyAlignment="1">
      <alignment horizontal="center" vertical="center"/>
    </xf>
    <xf numFmtId="0" fontId="52" fillId="4" borderId="17" xfId="13" applyFont="1" applyFill="1" applyBorder="1" applyAlignment="1">
      <alignment horizontal="center" vertical="center"/>
    </xf>
    <xf numFmtId="0" fontId="52" fillId="4" borderId="140" xfId="13" applyFont="1" applyFill="1" applyBorder="1" applyAlignment="1">
      <alignment horizontal="center" vertical="center"/>
    </xf>
    <xf numFmtId="0" fontId="52" fillId="4" borderId="116" xfId="13" applyFont="1" applyFill="1" applyBorder="1" applyAlignment="1">
      <alignment horizontal="center" vertical="center"/>
    </xf>
    <xf numFmtId="0" fontId="52" fillId="9" borderId="100" xfId="13" applyFont="1" applyFill="1" applyBorder="1" applyAlignment="1">
      <alignment horizontal="center" vertical="center"/>
    </xf>
    <xf numFmtId="0" fontId="52" fillId="9" borderId="101" xfId="13" applyFont="1" applyFill="1" applyBorder="1" applyAlignment="1">
      <alignment horizontal="center" vertical="center"/>
    </xf>
    <xf numFmtId="0" fontId="52" fillId="9" borderId="102" xfId="13" applyFont="1" applyFill="1" applyBorder="1" applyAlignment="1">
      <alignment horizontal="center" vertical="center"/>
    </xf>
    <xf numFmtId="0" fontId="52" fillId="9" borderId="153" xfId="13" applyFont="1" applyFill="1" applyBorder="1" applyAlignment="1">
      <alignment horizontal="center" vertical="center"/>
    </xf>
    <xf numFmtId="0" fontId="52" fillId="9" borderId="21" xfId="13" applyFont="1" applyFill="1" applyBorder="1" applyAlignment="1">
      <alignment horizontal="center" vertical="center"/>
    </xf>
    <xf numFmtId="0" fontId="52" fillId="9" borderId="19" xfId="13" applyFont="1" applyFill="1" applyBorder="1" applyAlignment="1">
      <alignment horizontal="center" vertical="center"/>
    </xf>
    <xf numFmtId="0" fontId="52" fillId="9" borderId="20" xfId="13" applyFont="1" applyFill="1" applyBorder="1" applyAlignment="1">
      <alignment horizontal="center" vertical="center"/>
    </xf>
    <xf numFmtId="0" fontId="52" fillId="9" borderId="152" xfId="13" applyFont="1" applyFill="1" applyBorder="1" applyAlignment="1">
      <alignment horizontal="center" vertical="center"/>
    </xf>
    <xf numFmtId="0" fontId="52" fillId="9" borderId="72" xfId="13" applyFont="1" applyFill="1" applyBorder="1" applyAlignment="1">
      <alignment horizontal="center" vertical="center"/>
    </xf>
    <xf numFmtId="0" fontId="52" fillId="9" borderId="73" xfId="13" applyFont="1" applyFill="1" applyBorder="1" applyAlignment="1">
      <alignment horizontal="center" vertical="center"/>
    </xf>
    <xf numFmtId="0" fontId="52" fillId="9" borderId="75" xfId="13" applyFont="1" applyFill="1" applyBorder="1" applyAlignment="1">
      <alignment horizontal="center" vertical="center"/>
    </xf>
    <xf numFmtId="0" fontId="52" fillId="4" borderId="85" xfId="13" applyFont="1" applyFill="1" applyBorder="1" applyAlignment="1">
      <alignment horizontal="center" vertical="center"/>
    </xf>
    <xf numFmtId="0" fontId="52" fillId="4" borderId="72" xfId="13" applyFont="1" applyFill="1" applyBorder="1" applyAlignment="1">
      <alignment horizontal="center" vertical="center"/>
    </xf>
    <xf numFmtId="0" fontId="52" fillId="4" borderId="73" xfId="13" applyFont="1" applyFill="1" applyBorder="1" applyAlignment="1">
      <alignment horizontal="center" vertical="center"/>
    </xf>
    <xf numFmtId="0" fontId="52" fillId="4" borderId="75" xfId="13" applyFont="1" applyFill="1" applyBorder="1" applyAlignment="1">
      <alignment horizontal="center" vertical="center"/>
    </xf>
    <xf numFmtId="0" fontId="52" fillId="4" borderId="76" xfId="13" applyFont="1" applyFill="1" applyBorder="1" applyAlignment="1">
      <alignment horizontal="center" vertical="center"/>
    </xf>
    <xf numFmtId="0" fontId="52" fillId="4" borderId="74" xfId="13" applyFont="1" applyFill="1" applyBorder="1" applyAlignment="1">
      <alignment horizontal="center" vertical="center"/>
    </xf>
    <xf numFmtId="0" fontId="52" fillId="9" borderId="76" xfId="13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49" fontId="41" fillId="11" borderId="8" xfId="18" applyNumberFormat="1" applyFont="1" applyFill="1" applyBorder="1" applyAlignment="1">
      <alignment horizontal="center" vertical="center" shrinkToFit="1"/>
    </xf>
    <xf numFmtId="49" fontId="41" fillId="11" borderId="2" xfId="18" applyNumberFormat="1" applyFont="1" applyFill="1" applyBorder="1" applyAlignment="1">
      <alignment horizontal="center" vertical="center" shrinkToFit="1"/>
    </xf>
    <xf numFmtId="49" fontId="41" fillId="11" borderId="10" xfId="18" applyNumberFormat="1" applyFont="1" applyFill="1" applyBorder="1" applyAlignment="1">
      <alignment horizontal="center" vertical="center" shrinkToFit="1"/>
    </xf>
    <xf numFmtId="0" fontId="43" fillId="10" borderId="8" xfId="0" applyFont="1" applyFill="1" applyBorder="1" applyAlignment="1">
      <alignment horizontal="center" vertical="center" shrinkToFit="1"/>
    </xf>
    <xf numFmtId="0" fontId="43" fillId="10" borderId="2" xfId="0" applyFont="1" applyFill="1" applyBorder="1" applyAlignment="1">
      <alignment horizontal="center" vertical="center" shrinkToFit="1"/>
    </xf>
    <xf numFmtId="0" fontId="43" fillId="10" borderId="10" xfId="0" applyFont="1" applyFill="1" applyBorder="1" applyAlignment="1">
      <alignment horizontal="center" vertical="center" shrinkToFit="1"/>
    </xf>
    <xf numFmtId="0" fontId="23" fillId="5" borderId="2" xfId="17" applyFont="1" applyFill="1" applyBorder="1" applyAlignment="1">
      <alignment horizontal="center" vertical="center" shrinkToFit="1"/>
    </xf>
    <xf numFmtId="0" fontId="23" fillId="5" borderId="12" xfId="17" applyFont="1" applyFill="1" applyBorder="1" applyAlignment="1">
      <alignment horizontal="center" vertical="center" shrinkToFit="1"/>
    </xf>
    <xf numFmtId="0" fontId="23" fillId="4" borderId="10" xfId="17" applyFont="1" applyFill="1" applyBorder="1" applyAlignment="1">
      <alignment horizontal="center" vertical="center" shrinkToFit="1"/>
    </xf>
    <xf numFmtId="0" fontId="23" fillId="4" borderId="3" xfId="17" applyFont="1" applyFill="1" applyBorder="1" applyAlignment="1">
      <alignment horizontal="center" vertical="center" shrinkToFit="1"/>
    </xf>
    <xf numFmtId="0" fontId="23" fillId="8" borderId="3" xfId="17" applyFont="1" applyFill="1" applyBorder="1" applyAlignment="1">
      <alignment horizontal="center" vertical="center" shrinkToFit="1"/>
    </xf>
    <xf numFmtId="0" fontId="23" fillId="4" borderId="16" xfId="17" applyFont="1" applyFill="1" applyBorder="1" applyAlignment="1">
      <alignment horizontal="center" vertical="center" shrinkToFit="1"/>
    </xf>
    <xf numFmtId="0" fontId="23" fillId="4" borderId="14" xfId="17" applyFont="1" applyFill="1" applyBorder="1" applyAlignment="1">
      <alignment horizontal="center" vertical="center" shrinkToFit="1"/>
    </xf>
    <xf numFmtId="0" fontId="23" fillId="4" borderId="29" xfId="17" applyFont="1" applyFill="1" applyBorder="1" applyAlignment="1">
      <alignment horizontal="center" vertical="center" shrinkToFit="1"/>
    </xf>
    <xf numFmtId="0" fontId="23" fillId="5" borderId="10" xfId="17" applyFont="1" applyFill="1" applyBorder="1" applyAlignment="1">
      <alignment horizontal="center" vertical="center" shrinkToFit="1"/>
    </xf>
    <xf numFmtId="0" fontId="23" fillId="5" borderId="30" xfId="17" applyFont="1" applyFill="1" applyBorder="1" applyAlignment="1">
      <alignment horizontal="center" vertical="center" shrinkToFit="1"/>
    </xf>
    <xf numFmtId="0" fontId="23" fillId="5" borderId="3" xfId="17" applyFont="1" applyFill="1" applyBorder="1" applyAlignment="1">
      <alignment horizontal="center" vertical="center" shrinkToFit="1"/>
    </xf>
    <xf numFmtId="0" fontId="23" fillId="5" borderId="16" xfId="17" applyFont="1" applyFill="1" applyBorder="1" applyAlignment="1">
      <alignment horizontal="center" vertical="center" shrinkToFit="1"/>
    </xf>
    <xf numFmtId="0" fontId="23" fillId="5" borderId="14" xfId="17" applyFont="1" applyFill="1" applyBorder="1" applyAlignment="1">
      <alignment horizontal="center" vertical="center" shrinkToFit="1"/>
    </xf>
    <xf numFmtId="0" fontId="23" fillId="5" borderId="29" xfId="17" applyFont="1" applyFill="1" applyBorder="1" applyAlignment="1">
      <alignment horizontal="center" vertical="center" shrinkToFit="1"/>
    </xf>
    <xf numFmtId="0" fontId="23" fillId="6" borderId="10" xfId="17" applyFont="1" applyFill="1" applyBorder="1" applyAlignment="1">
      <alignment horizontal="center" vertical="center" shrinkToFit="1"/>
    </xf>
    <xf numFmtId="0" fontId="23" fillId="6" borderId="30" xfId="17" applyFont="1" applyFill="1" applyBorder="1" applyAlignment="1">
      <alignment horizontal="center" vertical="center" shrinkToFit="1"/>
    </xf>
    <xf numFmtId="0" fontId="23" fillId="8" borderId="16" xfId="17" applyFont="1" applyFill="1" applyBorder="1" applyAlignment="1">
      <alignment horizontal="center" vertical="center" shrinkToFit="1"/>
    </xf>
    <xf numFmtId="0" fontId="23" fillId="6" borderId="3" xfId="17" applyFont="1" applyFill="1" applyBorder="1" applyAlignment="1">
      <alignment horizontal="center" vertical="center" shrinkToFit="1"/>
    </xf>
    <xf numFmtId="0" fontId="23" fillId="6" borderId="14" xfId="17" applyFont="1" applyFill="1" applyBorder="1" applyAlignment="1">
      <alignment horizontal="center" vertical="center" shrinkToFit="1"/>
    </xf>
    <xf numFmtId="0" fontId="23" fillId="6" borderId="16" xfId="17" applyFont="1" applyFill="1" applyBorder="1" applyAlignment="1">
      <alignment horizontal="center" vertical="center" shrinkToFit="1"/>
    </xf>
    <xf numFmtId="0" fontId="23" fillId="5" borderId="13" xfId="17" applyFont="1" applyFill="1" applyBorder="1" applyAlignment="1">
      <alignment horizontal="center" vertical="center" shrinkToFit="1"/>
    </xf>
    <xf numFmtId="0" fontId="23" fillId="5" borderId="28" xfId="17" applyFont="1" applyFill="1" applyBorder="1" applyAlignment="1">
      <alignment horizontal="center" vertical="center" shrinkToFit="1"/>
    </xf>
    <xf numFmtId="0" fontId="23" fillId="5" borderId="8" xfId="17" applyFont="1" applyFill="1" applyBorder="1" applyAlignment="1">
      <alignment horizontal="center" vertical="center" shrinkToFit="1"/>
    </xf>
    <xf numFmtId="0" fontId="23" fillId="4" borderId="20" xfId="17" applyFont="1" applyFill="1" applyBorder="1" applyAlignment="1">
      <alignment horizontal="center" vertical="center" shrinkToFit="1"/>
    </xf>
    <xf numFmtId="0" fontId="23" fillId="4" borderId="31" xfId="17" applyFont="1" applyFill="1" applyBorder="1" applyAlignment="1">
      <alignment horizontal="center" vertical="center" shrinkToFit="1"/>
    </xf>
    <xf numFmtId="0" fontId="23" fillId="4" borderId="0" xfId="17" applyFont="1" applyFill="1" applyAlignment="1">
      <alignment horizontal="center" vertical="center" shrinkToFit="1"/>
    </xf>
    <xf numFmtId="0" fontId="23" fillId="4" borderId="32" xfId="17" applyFont="1" applyFill="1" applyBorder="1" applyAlignment="1">
      <alignment horizontal="center" vertical="center" shrinkToFit="1"/>
    </xf>
    <xf numFmtId="0" fontId="23" fillId="4" borderId="15" xfId="17" applyFont="1" applyFill="1" applyBorder="1" applyAlignment="1">
      <alignment horizontal="center" vertical="center" shrinkToFit="1"/>
    </xf>
    <xf numFmtId="0" fontId="23" fillId="4" borderId="33" xfId="17" applyFont="1" applyFill="1" applyBorder="1" applyAlignment="1">
      <alignment horizontal="center" vertical="center" shrinkToFit="1"/>
    </xf>
    <xf numFmtId="0" fontId="23" fillId="4" borderId="21" xfId="17" applyFont="1" applyFill="1" applyBorder="1" applyAlignment="1">
      <alignment horizontal="center" vertical="center" shrinkToFit="1"/>
    </xf>
    <xf numFmtId="0" fontId="23" fillId="4" borderId="34" xfId="17" applyFont="1" applyFill="1" applyBorder="1" applyAlignment="1">
      <alignment horizontal="center" vertical="center" shrinkToFit="1"/>
    </xf>
    <xf numFmtId="0" fontId="23" fillId="4" borderId="9" xfId="17" applyFont="1" applyFill="1" applyBorder="1" applyAlignment="1">
      <alignment horizontal="center" vertical="center" shrinkToFit="1"/>
    </xf>
    <xf numFmtId="0" fontId="23" fillId="4" borderId="4" xfId="17" applyFont="1" applyFill="1" applyBorder="1" applyAlignment="1">
      <alignment horizontal="center" vertical="center" shrinkToFit="1"/>
    </xf>
    <xf numFmtId="0" fontId="23" fillId="4" borderId="17" xfId="17" applyFont="1" applyFill="1" applyBorder="1" applyAlignment="1">
      <alignment horizontal="center" vertical="center" shrinkToFit="1"/>
    </xf>
    <xf numFmtId="0" fontId="23" fillId="4" borderId="9" xfId="17" applyFont="1" applyFill="1" applyBorder="1" applyAlignment="1">
      <alignment horizontal="center" vertical="center" wrapText="1" shrinkToFit="1"/>
    </xf>
    <xf numFmtId="0" fontId="23" fillId="7" borderId="3" xfId="17" applyFont="1" applyFill="1" applyBorder="1" applyAlignment="1">
      <alignment horizontal="center" vertical="center" shrinkToFit="1"/>
    </xf>
    <xf numFmtId="0" fontId="23" fillId="6" borderId="29" xfId="17" applyFont="1" applyFill="1" applyBorder="1" applyAlignment="1">
      <alignment horizontal="center" vertical="center" shrinkToFit="1"/>
    </xf>
    <xf numFmtId="49" fontId="41" fillId="3" borderId="8" xfId="18" applyNumberFormat="1" applyFont="1" applyFill="1" applyBorder="1" applyAlignment="1">
      <alignment horizontal="center" vertical="center" shrinkToFit="1"/>
    </xf>
    <xf numFmtId="49" fontId="41" fillId="3" borderId="2" xfId="18" applyNumberFormat="1" applyFont="1" applyFill="1" applyBorder="1" applyAlignment="1">
      <alignment horizontal="center" vertical="center" shrinkToFit="1"/>
    </xf>
    <xf numFmtId="49" fontId="41" fillId="3" borderId="10" xfId="18" applyNumberFormat="1" applyFont="1" applyFill="1" applyBorder="1" applyAlignment="1">
      <alignment horizontal="center" vertical="center" shrinkToFit="1"/>
    </xf>
    <xf numFmtId="49" fontId="41" fillId="2" borderId="8" xfId="18" applyNumberFormat="1" applyFont="1" applyFill="1" applyBorder="1" applyAlignment="1">
      <alignment horizontal="center" vertical="center" shrinkToFit="1"/>
    </xf>
    <xf numFmtId="49" fontId="41" fillId="2" borderId="2" xfId="18" applyNumberFormat="1" applyFont="1" applyFill="1" applyBorder="1" applyAlignment="1">
      <alignment horizontal="center" vertical="center" shrinkToFit="1"/>
    </xf>
    <xf numFmtId="49" fontId="41" fillId="2" borderId="10" xfId="18" applyNumberFormat="1" applyFont="1" applyFill="1" applyBorder="1" applyAlignment="1">
      <alignment horizontal="center" vertical="center" shrinkToFit="1"/>
    </xf>
    <xf numFmtId="0" fontId="23" fillId="3" borderId="13" xfId="17" applyFont="1" applyFill="1" applyBorder="1" applyAlignment="1">
      <alignment horizontal="center" vertical="center" shrinkToFit="1"/>
    </xf>
    <xf numFmtId="0" fontId="23" fillId="3" borderId="3" xfId="17" applyFont="1" applyFill="1" applyBorder="1" applyAlignment="1">
      <alignment horizontal="center" vertical="center" shrinkToFit="1"/>
    </xf>
    <xf numFmtId="0" fontId="23" fillId="3" borderId="14" xfId="17" applyFont="1" applyFill="1" applyBorder="1" applyAlignment="1">
      <alignment horizontal="center" vertical="center" shrinkToFit="1"/>
    </xf>
    <xf numFmtId="0" fontId="23" fillId="7" borderId="10" xfId="17" applyFont="1" applyFill="1" applyBorder="1" applyAlignment="1">
      <alignment horizontal="center" vertical="center" shrinkToFit="1"/>
    </xf>
    <xf numFmtId="0" fontId="23" fillId="3" borderId="10" xfId="17" applyFont="1" applyFill="1" applyBorder="1" applyAlignment="1">
      <alignment horizontal="center" vertical="center" shrinkToFit="1"/>
    </xf>
    <xf numFmtId="0" fontId="23" fillId="7" borderId="30" xfId="17" applyFont="1" applyFill="1" applyBorder="1" applyAlignment="1">
      <alignment horizontal="center" vertical="center" shrinkToFit="1"/>
    </xf>
    <xf numFmtId="0" fontId="46" fillId="0" borderId="8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2" fillId="3" borderId="8" xfId="0" applyFont="1" applyFill="1" applyBorder="1" applyAlignment="1">
      <alignment horizontal="center" vertical="center" shrinkToFit="1"/>
    </xf>
    <xf numFmtId="0" fontId="42" fillId="3" borderId="2" xfId="0" applyFont="1" applyFill="1" applyBorder="1" applyAlignment="1">
      <alignment horizontal="center" vertical="center" shrinkToFit="1"/>
    </xf>
    <xf numFmtId="0" fontId="42" fillId="11" borderId="8" xfId="0" applyFont="1" applyFill="1" applyBorder="1" applyAlignment="1">
      <alignment horizontal="center" vertical="center" shrinkToFit="1"/>
    </xf>
    <xf numFmtId="0" fontId="42" fillId="11" borderId="2" xfId="0" applyFont="1" applyFill="1" applyBorder="1" applyAlignment="1">
      <alignment horizontal="center" vertical="center" shrinkToFit="1"/>
    </xf>
    <xf numFmtId="0" fontId="42" fillId="11" borderId="10" xfId="0" applyFont="1" applyFill="1" applyBorder="1" applyAlignment="1">
      <alignment horizontal="center" vertical="center" shrinkToFit="1"/>
    </xf>
    <xf numFmtId="0" fontId="23" fillId="4" borderId="1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3" fillId="4" borderId="35" xfId="0" applyFont="1" applyFill="1" applyBorder="1" applyAlignment="1">
      <alignment horizontal="center" vertical="center" wrapText="1"/>
    </xf>
    <xf numFmtId="0" fontId="23" fillId="4" borderId="36" xfId="0" applyFont="1" applyFill="1" applyBorder="1" applyAlignment="1">
      <alignment horizontal="center" vertical="center" wrapText="1"/>
    </xf>
    <xf numFmtId="0" fontId="23" fillId="4" borderId="37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71" fillId="4" borderId="9" xfId="0" applyFont="1" applyFill="1" applyBorder="1" applyAlignment="1">
      <alignment horizontal="center" vertical="center" wrapText="1"/>
    </xf>
    <xf numFmtId="0" fontId="71" fillId="4" borderId="4" xfId="0" applyFont="1" applyFill="1" applyBorder="1" applyAlignment="1">
      <alignment horizontal="center" vertical="center" wrapText="1"/>
    </xf>
    <xf numFmtId="0" fontId="71" fillId="4" borderId="17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3" fillId="4" borderId="38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9" xfId="0" applyFon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4" borderId="33" xfId="0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 shrinkToFit="1"/>
    </xf>
    <xf numFmtId="0" fontId="41" fillId="2" borderId="10" xfId="0" applyFont="1" applyFill="1" applyBorder="1" applyAlignment="1">
      <alignment horizontal="center" vertical="center" shrinkToFit="1"/>
    </xf>
    <xf numFmtId="0" fontId="41" fillId="3" borderId="8" xfId="0" applyFont="1" applyFill="1" applyBorder="1" applyAlignment="1">
      <alignment horizontal="center" vertical="center" shrinkToFit="1"/>
    </xf>
    <xf numFmtId="0" fontId="41" fillId="3" borderId="10" xfId="0" applyFont="1" applyFill="1" applyBorder="1" applyAlignment="1">
      <alignment horizontal="center" vertical="center" shrinkToFit="1"/>
    </xf>
    <xf numFmtId="0" fontId="41" fillId="11" borderId="8" xfId="0" applyFont="1" applyFill="1" applyBorder="1" applyAlignment="1">
      <alignment horizontal="center" vertical="center" shrinkToFit="1"/>
    </xf>
    <xf numFmtId="0" fontId="41" fillId="11" borderId="2" xfId="0" applyFont="1" applyFill="1" applyBorder="1" applyAlignment="1">
      <alignment horizontal="center" vertical="center" shrinkToFit="1"/>
    </xf>
    <xf numFmtId="0" fontId="41" fillId="11" borderId="10" xfId="0" applyFont="1" applyFill="1" applyBorder="1" applyAlignment="1">
      <alignment horizontal="center" vertical="center" shrinkToFit="1"/>
    </xf>
    <xf numFmtId="0" fontId="41" fillId="7" borderId="8" xfId="0" applyFont="1" applyFill="1" applyBorder="1" applyAlignment="1">
      <alignment horizontal="center" vertical="center" shrinkToFit="1"/>
    </xf>
    <xf numFmtId="0" fontId="41" fillId="7" borderId="10" xfId="0" applyFont="1" applyFill="1" applyBorder="1" applyAlignment="1">
      <alignment horizontal="center" vertical="center" shrinkToFit="1"/>
    </xf>
    <xf numFmtId="0" fontId="42" fillId="3" borderId="10" xfId="0" applyFont="1" applyFill="1" applyBorder="1" applyAlignment="1">
      <alignment horizontal="center" vertical="center" shrinkToFit="1"/>
    </xf>
    <xf numFmtId="0" fontId="41" fillId="2" borderId="2" xfId="0" applyFont="1" applyFill="1" applyBorder="1" applyAlignment="1">
      <alignment horizontal="center" vertical="center" shrinkToFit="1"/>
    </xf>
    <xf numFmtId="0" fontId="41" fillId="11" borderId="28" xfId="0" applyFont="1" applyFill="1" applyBorder="1" applyAlignment="1">
      <alignment horizontal="center" vertical="center" shrinkToFit="1"/>
    </xf>
    <xf numFmtId="0" fontId="41" fillId="11" borderId="16" xfId="0" applyFont="1" applyFill="1" applyBorder="1" applyAlignment="1">
      <alignment horizontal="center" vertical="center" shrinkToFit="1"/>
    </xf>
    <xf numFmtId="0" fontId="42" fillId="2" borderId="13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42" fillId="11" borderId="13" xfId="0" applyFont="1" applyFill="1" applyBorder="1" applyAlignment="1">
      <alignment horizontal="center" vertical="center" shrinkToFit="1"/>
    </xf>
    <xf numFmtId="0" fontId="42" fillId="11" borderId="3" xfId="0" applyFont="1" applyFill="1" applyBorder="1" applyAlignment="1">
      <alignment horizontal="center" vertical="center" shrinkToFit="1"/>
    </xf>
    <xf numFmtId="0" fontId="42" fillId="3" borderId="13" xfId="0" applyFont="1" applyFill="1" applyBorder="1" applyAlignment="1">
      <alignment horizontal="center" vertical="center" shrinkToFit="1"/>
    </xf>
    <xf numFmtId="0" fontId="42" fillId="3" borderId="3" xfId="0" applyFont="1" applyFill="1" applyBorder="1" applyAlignment="1">
      <alignment horizontal="center" vertical="center" shrinkToFit="1"/>
    </xf>
    <xf numFmtId="0" fontId="41" fillId="11" borderId="13" xfId="0" applyFont="1" applyFill="1" applyBorder="1" applyAlignment="1">
      <alignment horizontal="center" vertical="center" shrinkToFit="1"/>
    </xf>
    <xf numFmtId="0" fontId="41" fillId="11" borderId="3" xfId="0" applyFont="1" applyFill="1" applyBorder="1" applyAlignment="1">
      <alignment horizontal="center" vertical="center" shrinkToFit="1"/>
    </xf>
    <xf numFmtId="0" fontId="23" fillId="9" borderId="3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 shrinkToFit="1"/>
    </xf>
    <xf numFmtId="0" fontId="42" fillId="2" borderId="2" xfId="0" applyFont="1" applyFill="1" applyBorder="1" applyAlignment="1">
      <alignment horizontal="center" vertical="center" shrinkToFit="1"/>
    </xf>
    <xf numFmtId="0" fontId="42" fillId="2" borderId="10" xfId="0" applyFont="1" applyFill="1" applyBorder="1" applyAlignment="1">
      <alignment horizontal="center" vertical="center" shrinkToFit="1"/>
    </xf>
    <xf numFmtId="0" fontId="45" fillId="0" borderId="3" xfId="0" applyFont="1" applyBorder="1" applyAlignment="1">
      <alignment horizontal="center" vertical="center" shrinkToFit="1"/>
    </xf>
    <xf numFmtId="0" fontId="42" fillId="7" borderId="8" xfId="0" applyFont="1" applyFill="1" applyBorder="1" applyAlignment="1">
      <alignment horizontal="center" vertical="center" shrinkToFit="1"/>
    </xf>
    <xf numFmtId="0" fontId="42" fillId="7" borderId="2" xfId="0" applyFont="1" applyFill="1" applyBorder="1" applyAlignment="1">
      <alignment horizontal="center" vertical="center" shrinkToFit="1"/>
    </xf>
    <xf numFmtId="0" fontId="29" fillId="4" borderId="35" xfId="0" applyFont="1" applyFill="1" applyBorder="1" applyAlignment="1">
      <alignment horizontal="center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37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38" xfId="0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4" borderId="25" xfId="0" applyFont="1" applyFill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4" borderId="31" xfId="0" applyFont="1" applyFill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44" fillId="10" borderId="63" xfId="0" applyFont="1" applyFill="1" applyBorder="1" applyAlignment="1">
      <alignment horizontal="center" vertical="center"/>
    </xf>
    <xf numFmtId="0" fontId="44" fillId="10" borderId="64" xfId="0" applyFont="1" applyFill="1" applyBorder="1" applyAlignment="1">
      <alignment horizontal="center" vertical="center"/>
    </xf>
    <xf numFmtId="0" fontId="44" fillId="10" borderId="22" xfId="0" applyFont="1" applyFill="1" applyBorder="1" applyAlignment="1">
      <alignment horizontal="center" vertical="center"/>
    </xf>
    <xf numFmtId="0" fontId="44" fillId="10" borderId="23" xfId="0" applyFont="1" applyFill="1" applyBorder="1" applyAlignment="1">
      <alignment horizontal="center" vertical="center"/>
    </xf>
    <xf numFmtId="0" fontId="44" fillId="10" borderId="24" xfId="0" applyFont="1" applyFill="1" applyBorder="1" applyAlignment="1">
      <alignment horizontal="center" vertical="center"/>
    </xf>
    <xf numFmtId="0" fontId="44" fillId="10" borderId="25" xfId="0" applyFont="1" applyFill="1" applyBorder="1" applyAlignment="1">
      <alignment horizontal="center" vertical="center"/>
    </xf>
    <xf numFmtId="0" fontId="44" fillId="10" borderId="55" xfId="0" applyFont="1" applyFill="1" applyBorder="1" applyAlignment="1">
      <alignment horizontal="center" vertical="center"/>
    </xf>
    <xf numFmtId="0" fontId="44" fillId="10" borderId="59" xfId="0" applyFont="1" applyFill="1" applyBorder="1" applyAlignment="1">
      <alignment horizontal="center" vertical="center"/>
    </xf>
    <xf numFmtId="0" fontId="44" fillId="10" borderId="62" xfId="0" applyFont="1" applyFill="1" applyBorder="1" applyAlignment="1">
      <alignment horizontal="center" vertical="center"/>
    </xf>
    <xf numFmtId="0" fontId="44" fillId="10" borderId="19" xfId="0" applyFont="1" applyFill="1" applyBorder="1" applyAlignment="1">
      <alignment horizontal="center" vertical="center"/>
    </xf>
    <xf numFmtId="0" fontId="44" fillId="10" borderId="21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41" fillId="4" borderId="9" xfId="0" applyFont="1" applyFill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  <xf numFmtId="0" fontId="41" fillId="4" borderId="12" xfId="0" applyFont="1" applyFill="1" applyBorder="1" applyAlignment="1">
      <alignment horizontal="center" vertical="center"/>
    </xf>
    <xf numFmtId="0" fontId="41" fillId="4" borderId="9" xfId="0" applyFont="1" applyFill="1" applyBorder="1" applyAlignment="1">
      <alignment horizontal="center" vertical="center" wrapText="1"/>
    </xf>
    <xf numFmtId="0" fontId="41" fillId="4" borderId="4" xfId="0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41" fillId="4" borderId="7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41" fillId="4" borderId="45" xfId="0" applyFont="1" applyFill="1" applyBorder="1" applyAlignment="1">
      <alignment horizontal="center" vertical="center"/>
    </xf>
    <xf numFmtId="0" fontId="41" fillId="4" borderId="60" xfId="0" applyFont="1" applyFill="1" applyBorder="1" applyAlignment="1">
      <alignment horizontal="center" vertical="center"/>
    </xf>
    <xf numFmtId="0" fontId="41" fillId="4" borderId="61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 wrapText="1"/>
    </xf>
    <xf numFmtId="0" fontId="41" fillId="4" borderId="55" xfId="0" applyFont="1" applyFill="1" applyBorder="1" applyAlignment="1">
      <alignment horizontal="center" vertical="center"/>
    </xf>
    <xf numFmtId="0" fontId="41" fillId="4" borderId="59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70" fillId="15" borderId="9" xfId="0" applyFont="1" applyFill="1" applyBorder="1" applyAlignment="1">
      <alignment horizontal="center" vertical="center"/>
    </xf>
    <xf numFmtId="0" fontId="70" fillId="15" borderId="4" xfId="0" applyFont="1" applyFill="1" applyBorder="1" applyAlignment="1">
      <alignment horizontal="center" vertical="center"/>
    </xf>
    <xf numFmtId="0" fontId="41" fillId="3" borderId="31" xfId="0" applyFont="1" applyFill="1" applyBorder="1" applyAlignment="1">
      <alignment horizontal="center" vertical="center"/>
    </xf>
    <xf numFmtId="0" fontId="41" fillId="3" borderId="32" xfId="0" applyFont="1" applyFill="1" applyBorder="1" applyAlignment="1">
      <alignment horizontal="center" vertical="center"/>
    </xf>
    <xf numFmtId="0" fontId="41" fillId="3" borderId="6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28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shrinkToFit="1"/>
    </xf>
    <xf numFmtId="0" fontId="23" fillId="4" borderId="16" xfId="0" applyFont="1" applyFill="1" applyBorder="1" applyAlignment="1">
      <alignment horizontal="center" vertical="center" shrinkToFit="1"/>
    </xf>
    <xf numFmtId="0" fontId="23" fillId="4" borderId="16" xfId="0" applyFont="1" applyFill="1" applyBorder="1" applyAlignment="1">
      <alignment horizontal="center" vertical="center" wrapText="1"/>
    </xf>
    <xf numFmtId="0" fontId="23" fillId="9" borderId="14" xfId="0" applyFont="1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shrinkToFit="1"/>
    </xf>
    <xf numFmtId="0" fontId="29" fillId="4" borderId="3" xfId="0" applyFont="1" applyFill="1" applyBorder="1" applyAlignment="1">
      <alignment horizontal="center" vertical="center" shrinkToFit="1"/>
    </xf>
    <xf numFmtId="0" fontId="29" fillId="4" borderId="14" xfId="0" applyFont="1" applyFill="1" applyBorder="1" applyAlignment="1">
      <alignment horizontal="center" vertical="center" shrinkToFit="1"/>
    </xf>
    <xf numFmtId="0" fontId="29" fillId="4" borderId="10" xfId="0" applyFont="1" applyFill="1" applyBorder="1" applyAlignment="1">
      <alignment horizontal="center" vertical="center" shrinkToFit="1"/>
    </xf>
    <xf numFmtId="0" fontId="29" fillId="4" borderId="30" xfId="0" applyFont="1" applyFill="1" applyBorder="1" applyAlignment="1">
      <alignment horizontal="center" vertical="center" shrinkToFit="1"/>
    </xf>
    <xf numFmtId="0" fontId="29" fillId="9" borderId="3" xfId="0" applyFont="1" applyFill="1" applyBorder="1" applyAlignment="1">
      <alignment horizontal="center" vertical="center" shrinkToFit="1"/>
    </xf>
    <xf numFmtId="0" fontId="29" fillId="9" borderId="14" xfId="0" applyFont="1" applyFill="1" applyBorder="1" applyAlignment="1">
      <alignment horizontal="center" vertical="center" shrinkToFit="1"/>
    </xf>
    <xf numFmtId="0" fontId="29" fillId="4" borderId="35" xfId="0" applyFont="1" applyFill="1" applyBorder="1" applyAlignment="1">
      <alignment horizontal="center" vertical="center" wrapText="1" shrinkToFit="1"/>
    </xf>
    <xf numFmtId="0" fontId="29" fillId="4" borderId="36" xfId="0" applyFont="1" applyFill="1" applyBorder="1" applyAlignment="1">
      <alignment horizontal="center" vertical="center" shrinkToFit="1"/>
    </xf>
    <xf numFmtId="0" fontId="29" fillId="4" borderId="37" xfId="0" applyFont="1" applyFill="1" applyBorder="1" applyAlignment="1">
      <alignment horizontal="center" vertical="center" shrinkToFit="1"/>
    </xf>
    <xf numFmtId="0" fontId="29" fillId="4" borderId="16" xfId="0" applyFont="1" applyFill="1" applyBorder="1" applyAlignment="1">
      <alignment horizontal="center" vertical="center" shrinkToFit="1"/>
    </xf>
    <xf numFmtId="0" fontId="29" fillId="4" borderId="9" xfId="0" applyFont="1" applyFill="1" applyBorder="1" applyAlignment="1">
      <alignment horizontal="center" vertical="center" shrinkToFit="1"/>
    </xf>
    <xf numFmtId="0" fontId="29" fillId="4" borderId="4" xfId="0" applyFont="1" applyFill="1" applyBorder="1" applyAlignment="1">
      <alignment horizontal="center" vertical="center" shrinkToFit="1"/>
    </xf>
    <xf numFmtId="0" fontId="29" fillId="4" borderId="17" xfId="0" applyFont="1" applyFill="1" applyBorder="1" applyAlignment="1">
      <alignment horizontal="center" vertical="center" shrinkToFit="1"/>
    </xf>
    <xf numFmtId="0" fontId="29" fillId="4" borderId="3" xfId="0" applyFont="1" applyFill="1" applyBorder="1" applyAlignment="1">
      <alignment horizontal="center" vertical="center" wrapText="1" shrinkToFit="1"/>
    </xf>
    <xf numFmtId="0" fontId="23" fillId="4" borderId="19" xfId="0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wrapText="1"/>
    </xf>
    <xf numFmtId="0" fontId="23" fillId="4" borderId="25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shrinkToFit="1"/>
    </xf>
    <xf numFmtId="0" fontId="23" fillId="4" borderId="21" xfId="0" applyFont="1" applyFill="1" applyBorder="1" applyAlignment="1">
      <alignment horizontal="center" vertical="center" shrinkToFit="1"/>
    </xf>
    <xf numFmtId="0" fontId="23" fillId="4" borderId="24" xfId="0" applyFont="1" applyFill="1" applyBorder="1" applyAlignment="1">
      <alignment horizontal="center" vertical="center" shrinkToFit="1"/>
    </xf>
    <xf numFmtId="0" fontId="23" fillId="4" borderId="25" xfId="0" applyFont="1" applyFill="1" applyBorder="1" applyAlignment="1">
      <alignment horizontal="center" vertical="center" shrinkToFit="1"/>
    </xf>
    <xf numFmtId="0" fontId="23" fillId="9" borderId="19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3" fillId="9" borderId="24" xfId="0" applyFont="1" applyFill="1" applyBorder="1" applyAlignment="1">
      <alignment horizontal="center" vertical="center" wrapText="1"/>
    </xf>
    <xf numFmtId="0" fontId="23" fillId="9" borderId="33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</cellXfs>
  <cellStyles count="26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Header1" xfId="5" xr:uid="{00000000-0005-0000-0000-000004000000}"/>
    <cellStyle name="Header2" xfId="6" xr:uid="{00000000-0005-0000-0000-000005000000}"/>
    <cellStyle name="Normal_Certs Q2" xfId="7" xr:uid="{00000000-0005-0000-0000-000006000000}"/>
    <cellStyle name="쉼표 [0]" xfId="8" builtinId="6"/>
    <cellStyle name="쉼표 [0] 2" xfId="9" xr:uid="{00000000-0005-0000-0000-000008000000}"/>
    <cellStyle name="쉼표 [0] 2 2" xfId="24" xr:uid="{00000000-0005-0000-0000-000009000000}"/>
    <cellStyle name="쉼표 [0] 3" xfId="20" xr:uid="{00000000-0005-0000-0000-00000A000000}"/>
    <cellStyle name="쉼표 [0] 3 2" xfId="25" xr:uid="{63F721E4-B548-470B-A980-7F35EEE78E3F}"/>
    <cellStyle name="쉼표 [0] 4" xfId="22" xr:uid="{00000000-0005-0000-0000-00000B000000}"/>
    <cellStyle name="쉼표 [0] 4 2" xfId="23" xr:uid="{00000000-0005-0000-0000-00000C000000}"/>
    <cellStyle name="쉼표 [0]_유·초등학교 현황(00.12.31)" xfId="10" xr:uid="{00000000-0005-0000-0000-00000D000000}"/>
    <cellStyle name="콤마 [0]_2001중학교변경수용계획" xfId="11" xr:uid="{00000000-0005-0000-0000-00000E000000}"/>
    <cellStyle name="콤마_2001중학교변경수용계획" xfId="12" xr:uid="{00000000-0005-0000-0000-00000F000000}"/>
    <cellStyle name="표준" xfId="0" builtinId="0"/>
    <cellStyle name="표준 2" xfId="13" xr:uid="{00000000-0005-0000-0000-000011000000}"/>
    <cellStyle name="표준 2 2" xfId="14" xr:uid="{00000000-0005-0000-0000-000012000000}"/>
    <cellStyle name="표준 3" xfId="21" xr:uid="{00000000-0005-0000-0000-000013000000}"/>
    <cellStyle name="표준 7" xfId="15" xr:uid="{00000000-0005-0000-0000-000014000000}"/>
    <cellStyle name="표준_유,초,중학교현황('01.9.1)" xfId="16" xr:uid="{00000000-0005-0000-0000-000015000000}"/>
    <cellStyle name="표준_유·초등학교 현황(00.12.31)_각급학교현황-2002.4.1(중학교)_2003.3.5 각급학교 현황(지역시행)" xfId="17" xr:uid="{00000000-0005-0000-0000-000016000000}"/>
    <cellStyle name="표준_유·초등학교 현황(00.12.31)_각급학교현황-2002.4.1(중학교)_2004.3.5 각급학교 현황(남부-유,초,중)" xfId="18" xr:uid="{00000000-0005-0000-0000-000017000000}"/>
    <cellStyle name="표준_초등학교_각급학교현황-2002.4.1(중학교)_2003.3.5 각급학교 현황(지역시행)" xfId="19" xr:uid="{00000000-0005-0000-0000-000018000000}"/>
  </cellStyles>
  <dxfs count="0"/>
  <tableStyles count="0" defaultTableStyle="TableStyleMedium9" defaultPivotStyle="PivotStyleLight16"/>
  <colors>
    <mruColors>
      <color rgb="FF0000FF"/>
      <color rgb="FF10D243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49352;%20&#54260;&#45908;\&#54617;&#49373;&#48176;&#52824;&#54016;\4_&#54617;&#44368;&#54788;&#54889;\2026&#45380;\&#48373;&#49324;&#51089;&#50629;_2026.4.1.&#51088;%20&#54617;&#44368;%20&#54788;&#54889;.xlsx" TargetMode="External"/><Relationship Id="rId1" Type="http://schemas.openxmlformats.org/officeDocument/2006/relationships/externalLinkPath" Target="&#48373;&#49324;&#51089;&#50629;_2026.4.1.&#51088;%20&#54617;&#44368;%20&#54788;&#54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총괄"/>
      <sheetName val="구·군별"/>
      <sheetName val="(계열별)고등학교"/>
      <sheetName val="유치원"/>
      <sheetName val="초등학교"/>
      <sheetName val="중학교"/>
      <sheetName val="고등학교"/>
      <sheetName val="특수학교"/>
      <sheetName val="각종학교(각종,대안,외국인)"/>
      <sheetName val="외국교육기관(국제학교)"/>
      <sheetName val="방송통신중고등학교"/>
      <sheetName val="학력인정평생교육시설"/>
    </sheetNames>
    <sheetDataSet>
      <sheetData sheetId="0"/>
      <sheetData sheetId="1"/>
      <sheetData sheetId="2"/>
      <sheetData sheetId="3"/>
      <sheetData sheetId="4"/>
      <sheetData sheetId="5"/>
      <sheetData sheetId="6">
        <row r="212">
          <cell r="D212">
            <v>1</v>
          </cell>
        </row>
        <row r="213">
          <cell r="D213">
            <v>95</v>
          </cell>
        </row>
        <row r="214">
          <cell r="D214">
            <v>33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  <pageSetUpPr fitToPage="1"/>
  </sheetPr>
  <dimension ref="A1:V31"/>
  <sheetViews>
    <sheetView tabSelected="1" workbookViewId="0">
      <selection activeCell="B1" sqref="B1"/>
    </sheetView>
  </sheetViews>
  <sheetFormatPr defaultRowHeight="16.5"/>
  <cols>
    <col min="2" max="2" width="9" customWidth="1"/>
    <col min="3" max="19" width="10.625" customWidth="1"/>
    <col min="22" max="22" width="9.375" bestFit="1" customWidth="1"/>
  </cols>
  <sheetData>
    <row r="1" spans="1:22" ht="26.25" customHeight="1">
      <c r="A1" s="538" t="s">
        <v>2817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</row>
    <row r="2" spans="1:22" ht="17.25" customHeight="1" thickBot="1">
      <c r="A2" s="524" t="s">
        <v>3244</v>
      </c>
    </row>
    <row r="3" spans="1:22" ht="18" customHeight="1">
      <c r="A3" s="1448" t="s">
        <v>1907</v>
      </c>
      <c r="B3" s="1449"/>
      <c r="C3" s="1452" t="s">
        <v>1911</v>
      </c>
      <c r="D3" s="1453"/>
      <c r="E3" s="1454"/>
      <c r="F3" s="1455" t="s">
        <v>1936</v>
      </c>
      <c r="G3" s="1456"/>
      <c r="H3" s="1457" t="s">
        <v>1937</v>
      </c>
      <c r="I3" s="1456" t="s">
        <v>1938</v>
      </c>
      <c r="J3" s="1457" t="s">
        <v>1939</v>
      </c>
      <c r="K3" s="1480" t="s">
        <v>1935</v>
      </c>
      <c r="L3" s="1456"/>
      <c r="M3" s="1480" t="s">
        <v>1940</v>
      </c>
      <c r="N3" s="1482" t="s">
        <v>1941</v>
      </c>
      <c r="O3" s="1483" t="s">
        <v>1975</v>
      </c>
      <c r="P3" s="1484" t="s">
        <v>1942</v>
      </c>
      <c r="Q3" s="1485"/>
      <c r="R3" s="1486"/>
    </row>
    <row r="4" spans="1:22" ht="18" customHeight="1" thickBot="1">
      <c r="A4" s="1450"/>
      <c r="B4" s="1451"/>
      <c r="C4" s="539" t="s">
        <v>1943</v>
      </c>
      <c r="D4" s="540" t="s">
        <v>1944</v>
      </c>
      <c r="E4" s="541" t="s">
        <v>117</v>
      </c>
      <c r="F4" s="542"/>
      <c r="G4" s="543" t="s">
        <v>1945</v>
      </c>
      <c r="H4" s="1458"/>
      <c r="I4" s="1459"/>
      <c r="J4" s="1458"/>
      <c r="K4" s="544"/>
      <c r="L4" s="545" t="s">
        <v>1946</v>
      </c>
      <c r="M4" s="1481"/>
      <c r="N4" s="1458"/>
      <c r="O4" s="1459"/>
      <c r="P4" s="546"/>
      <c r="Q4" s="547" t="s">
        <v>1945</v>
      </c>
      <c r="R4" s="545" t="s">
        <v>1946</v>
      </c>
    </row>
    <row r="5" spans="1:22" ht="18" customHeight="1" thickTop="1">
      <c r="A5" s="1460" t="s">
        <v>1947</v>
      </c>
      <c r="B5" s="548" t="s">
        <v>1928</v>
      </c>
      <c r="C5" s="549"/>
      <c r="D5" s="550"/>
      <c r="E5" s="551"/>
      <c r="F5" s="552">
        <f>초등학교!D316</f>
        <v>1</v>
      </c>
      <c r="G5" s="553"/>
      <c r="H5" s="554"/>
      <c r="I5" s="555">
        <f>[1]고등학교!$D$212</f>
        <v>1</v>
      </c>
      <c r="J5" s="556"/>
      <c r="K5" s="549"/>
      <c r="L5" s="557"/>
      <c r="M5" s="558"/>
      <c r="N5" s="556"/>
      <c r="O5" s="552"/>
      <c r="P5" s="559">
        <f t="shared" ref="P5:P16" si="0">E5+F5+H5+I5+J5+N5+K5+M5+O5</f>
        <v>2</v>
      </c>
      <c r="Q5" s="560">
        <f t="shared" ref="Q5:Q16" si="1">G5</f>
        <v>0</v>
      </c>
      <c r="R5" s="561">
        <f t="shared" ref="R5:R16" si="2">L5</f>
        <v>0</v>
      </c>
    </row>
    <row r="6" spans="1:22" ht="18" customHeight="1">
      <c r="A6" s="1461"/>
      <c r="B6" s="562" t="s">
        <v>134</v>
      </c>
      <c r="C6" s="563"/>
      <c r="D6" s="564"/>
      <c r="E6" s="551"/>
      <c r="F6" s="565">
        <f>초등학교!U316</f>
        <v>25</v>
      </c>
      <c r="G6" s="566"/>
      <c r="H6" s="567"/>
      <c r="I6" s="568">
        <f>고등학교!S212</f>
        <v>18</v>
      </c>
      <c r="J6" s="569"/>
      <c r="K6" s="563"/>
      <c r="L6" s="570"/>
      <c r="M6" s="571"/>
      <c r="N6" s="569"/>
      <c r="O6" s="565"/>
      <c r="P6" s="572">
        <f t="shared" si="0"/>
        <v>43</v>
      </c>
      <c r="Q6" s="573">
        <f t="shared" si="1"/>
        <v>0</v>
      </c>
      <c r="R6" s="574">
        <f t="shared" si="2"/>
        <v>0</v>
      </c>
    </row>
    <row r="7" spans="1:22" ht="18" customHeight="1" thickBot="1">
      <c r="A7" s="1462"/>
      <c r="B7" s="575" t="s">
        <v>1948</v>
      </c>
      <c r="C7" s="576"/>
      <c r="D7" s="577"/>
      <c r="E7" s="578"/>
      <c r="F7" s="579">
        <f>초등학교!AH316</f>
        <v>543</v>
      </c>
      <c r="G7" s="580"/>
      <c r="H7" s="581"/>
      <c r="I7" s="582">
        <f>고등학교!Z212</f>
        <v>310</v>
      </c>
      <c r="J7" s="583"/>
      <c r="K7" s="576"/>
      <c r="L7" s="584"/>
      <c r="M7" s="585"/>
      <c r="N7" s="583"/>
      <c r="O7" s="579"/>
      <c r="P7" s="586">
        <f t="shared" si="0"/>
        <v>853</v>
      </c>
      <c r="Q7" s="587">
        <f t="shared" si="1"/>
        <v>0</v>
      </c>
      <c r="R7" s="588">
        <f t="shared" si="2"/>
        <v>0</v>
      </c>
    </row>
    <row r="8" spans="1:22" ht="18" customHeight="1">
      <c r="A8" s="1460" t="s">
        <v>1949</v>
      </c>
      <c r="B8" s="548" t="s">
        <v>1950</v>
      </c>
      <c r="C8" s="589">
        <v>20</v>
      </c>
      <c r="D8" s="550">
        <f>유치원!E438-C8</f>
        <v>183</v>
      </c>
      <c r="E8" s="551">
        <f t="shared" ref="E8:E13" si="3">SUM(C8:D8)</f>
        <v>203</v>
      </c>
      <c r="F8" s="552">
        <v>263</v>
      </c>
      <c r="G8" s="590">
        <v>7</v>
      </c>
      <c r="H8" s="554">
        <f>중학교!D188</f>
        <v>137</v>
      </c>
      <c r="I8" s="555">
        <f>[1]고등학교!$D$213</f>
        <v>95</v>
      </c>
      <c r="J8" s="556">
        <v>6</v>
      </c>
      <c r="K8" s="549">
        <v>2</v>
      </c>
      <c r="L8" s="590">
        <v>2</v>
      </c>
      <c r="M8" s="555"/>
      <c r="N8" s="556">
        <f>방송통신중고등학교!D9</f>
        <v>3</v>
      </c>
      <c r="O8" s="552"/>
      <c r="P8" s="559">
        <f t="shared" si="0"/>
        <v>709</v>
      </c>
      <c r="Q8" s="560">
        <f t="shared" si="1"/>
        <v>7</v>
      </c>
      <c r="R8" s="561">
        <f t="shared" si="2"/>
        <v>2</v>
      </c>
    </row>
    <row r="9" spans="1:22" ht="18" customHeight="1">
      <c r="A9" s="1461"/>
      <c r="B9" s="562" t="s">
        <v>134</v>
      </c>
      <c r="C9" s="563">
        <f>유치원!BB79+유치원!BB84+유치원!BB85+유치원!BB125+유치원!BB167+유치원!BB204+유치원!BB223+유치원!BB226+유치원!BB275+유치원!BB281+유치원!BB284+유치원!BB329+유치원!BB334+유치원!BB346+유치원!BB348+유치원!BB356+유치원!BB360+유치원!BB361+유치원!BB362+유치원!BB418+유치원!BG79+유치원!BG84+유치원!BG85+유치원!BG125+유치원!BG167+유치원!BG204+유치원!BG223+유치원!BG226+유치원!BG275+유치원!BG281+유치원!BG284+유치원!BG329+유치원!BG334+유치원!BG346+유치원!BG348+유치원!BG356+유치원!BG360+유치원!BG361+유치원!BG362+유치원!BG418</f>
        <v>269</v>
      </c>
      <c r="D9" s="564">
        <f>유치원!BB438+유치원!BG438-C9</f>
        <v>479</v>
      </c>
      <c r="E9" s="551">
        <f t="shared" si="3"/>
        <v>748</v>
      </c>
      <c r="F9" s="565">
        <f>초등학교!U317-G9</f>
        <v>6789</v>
      </c>
      <c r="G9" s="591">
        <f>초등학교!U48+초등학교!U49+초등학교!U50+초등학교!U51+초등학교!U52+초등학교!U65+초등학교!U125</f>
        <v>18</v>
      </c>
      <c r="H9" s="567">
        <f>중학교!S188</f>
        <v>3048</v>
      </c>
      <c r="I9" s="592">
        <f>고등학교!S213</f>
        <v>2357</v>
      </c>
      <c r="J9" s="593">
        <f>특수학교!L99</f>
        <v>283</v>
      </c>
      <c r="K9" s="563">
        <f>'각종학교(각종,대안,외국인)'!S8+'각종학교(각종,대안,외국인)'!S9</f>
        <v>16</v>
      </c>
      <c r="L9" s="591">
        <f>'각종학교(각종,대안,외국인)'!S6+'각종학교(각종,대안,외국인)'!S7</f>
        <v>15</v>
      </c>
      <c r="M9" s="568"/>
      <c r="N9" s="569">
        <f>방송통신중고등학교!P9</f>
        <v>24</v>
      </c>
      <c r="O9" s="565"/>
      <c r="P9" s="572">
        <f t="shared" si="0"/>
        <v>13265</v>
      </c>
      <c r="Q9" s="573">
        <f t="shared" si="1"/>
        <v>18</v>
      </c>
      <c r="R9" s="574">
        <f t="shared" si="2"/>
        <v>15</v>
      </c>
      <c r="S9" s="793"/>
    </row>
    <row r="10" spans="1:22" ht="18" customHeight="1" thickBot="1">
      <c r="A10" s="1462"/>
      <c r="B10" s="594" t="s">
        <v>401</v>
      </c>
      <c r="C10" s="576">
        <f>유치원!BF79+유치원!BF84+유치원!BF85+유치원!BF125+유치원!BF167+유치원!BF204+유치원!BF223+유치원!BF226+유치원!BF275+유치원!BF281+유치원!BF284+유치원!BF329+유치원!BF334+유치원!BF346+유치원!BF348+유치원!BF356+유치원!BF360+유치원!BF361+유치원!BF362+유치원!BF418+유치원!BK79+유치원!BK84+유치원!BK85+유치원!BK125+유치원!BK167+유치원!BK204+유치원!BK223+유치원!BK226+유치원!BK275+유치원!BK281+유치원!BK284+유치원!BK329+유치원!BK334+유치원!BK346+유치원!BK348+유치원!BK356+유치원!BK360+유치원!BK361+유치원!BK362+유치원!BK418</f>
        <v>3180</v>
      </c>
      <c r="D10" s="577">
        <f>유치원!BF438+유치원!BK438-C10</f>
        <v>4750</v>
      </c>
      <c r="E10" s="578">
        <f t="shared" si="3"/>
        <v>7930</v>
      </c>
      <c r="F10" s="579">
        <f>초등학교!AH317-G10</f>
        <v>136131</v>
      </c>
      <c r="G10" s="595">
        <f>초등학교!AH48+초등학교!AH49+초등학교!AH50+초등학교!AH51+초등학교!AH52+초등학교!AH65+초등학교!AH125</f>
        <v>63</v>
      </c>
      <c r="H10" s="581">
        <f>중학교!Z188</f>
        <v>77831</v>
      </c>
      <c r="I10" s="582">
        <f>고등학교!Z213</f>
        <v>55042</v>
      </c>
      <c r="J10" s="583">
        <f>특수학교!L100</f>
        <v>1650</v>
      </c>
      <c r="K10" s="576">
        <f>'각종학교(각종,대안,외국인)'!AH8+'각종학교(각종,대안,외국인)'!AH9</f>
        <v>120</v>
      </c>
      <c r="L10" s="595">
        <f>'각종학교(각종,대안,외국인)'!AI6+'각종학교(각종,대안,외국인)'!AI7+'각종학교(각종,대안,외국인)'!AI8</f>
        <v>1791</v>
      </c>
      <c r="M10" s="582"/>
      <c r="N10" s="583">
        <f>방송통신중고등학교!W9</f>
        <v>531</v>
      </c>
      <c r="O10" s="579"/>
      <c r="P10" s="586">
        <f t="shared" si="0"/>
        <v>279235</v>
      </c>
      <c r="Q10" s="587">
        <f t="shared" si="1"/>
        <v>63</v>
      </c>
      <c r="R10" s="588">
        <f t="shared" si="2"/>
        <v>1791</v>
      </c>
      <c r="S10" s="793"/>
    </row>
    <row r="11" spans="1:22" ht="18" customHeight="1">
      <c r="A11" s="1463" t="s">
        <v>1951</v>
      </c>
      <c r="B11" s="596" t="s">
        <v>1928</v>
      </c>
      <c r="C11" s="597">
        <f>유치원!E439</f>
        <v>188</v>
      </c>
      <c r="D11" s="598"/>
      <c r="E11" s="599">
        <f t="shared" si="3"/>
        <v>188</v>
      </c>
      <c r="F11" s="598">
        <f>초등학교!D318</f>
        <v>5</v>
      </c>
      <c r="G11" s="600"/>
      <c r="H11" s="601">
        <f>중학교!D189</f>
        <v>10</v>
      </c>
      <c r="I11" s="602">
        <f>[1]고등학교!$D$214</f>
        <v>33</v>
      </c>
      <c r="J11" s="603">
        <v>4</v>
      </c>
      <c r="K11" s="597">
        <f>'각종학교(각종,대안,외국인)'!E14</f>
        <v>3</v>
      </c>
      <c r="L11" s="604"/>
      <c r="M11" s="605">
        <f>'외국교육기관(국제학교)'!D8</f>
        <v>2</v>
      </c>
      <c r="N11" s="603"/>
      <c r="O11" s="598">
        <f>학력인정평생교육시설!D9</f>
        <v>2</v>
      </c>
      <c r="P11" s="606">
        <f t="shared" si="0"/>
        <v>247</v>
      </c>
      <c r="Q11" s="607">
        <f t="shared" si="1"/>
        <v>0</v>
      </c>
      <c r="R11" s="608">
        <f t="shared" si="2"/>
        <v>0</v>
      </c>
    </row>
    <row r="12" spans="1:22" ht="18" customHeight="1">
      <c r="A12" s="1461"/>
      <c r="B12" s="562" t="s">
        <v>134</v>
      </c>
      <c r="C12" s="563">
        <f>유치원!BB439+유치원!BG439</f>
        <v>1212</v>
      </c>
      <c r="D12" s="565"/>
      <c r="E12" s="551">
        <f t="shared" si="3"/>
        <v>1212</v>
      </c>
      <c r="F12" s="565">
        <f>초등학교!U318</f>
        <v>79</v>
      </c>
      <c r="G12" s="566"/>
      <c r="H12" s="567">
        <f>중학교!S189</f>
        <v>148</v>
      </c>
      <c r="I12" s="568">
        <f>고등학교!S214</f>
        <v>837</v>
      </c>
      <c r="J12" s="569">
        <f>특수학교!Q99</f>
        <v>81</v>
      </c>
      <c r="K12" s="563">
        <f>'각종학교(각종,대안,외국인)'!S11+'각종학교(각종,대안,외국인)'!S12+'각종학교(각종,대안,외국인)'!S13</f>
        <v>56</v>
      </c>
      <c r="L12" s="609"/>
      <c r="M12" s="571">
        <f>'외국교육기관(국제학교)'!P8</f>
        <v>97</v>
      </c>
      <c r="N12" s="556"/>
      <c r="O12" s="565">
        <f>학력인정평생교육시설!P9+학력인정평생교육시설!Q9</f>
        <v>45</v>
      </c>
      <c r="P12" s="572">
        <f t="shared" si="0"/>
        <v>2555</v>
      </c>
      <c r="Q12" s="573">
        <f t="shared" si="1"/>
        <v>0</v>
      </c>
      <c r="R12" s="574">
        <f t="shared" si="2"/>
        <v>0</v>
      </c>
    </row>
    <row r="13" spans="1:22" ht="18" customHeight="1" thickBot="1">
      <c r="A13" s="1464"/>
      <c r="B13" s="610" t="s">
        <v>1952</v>
      </c>
      <c r="C13" s="611">
        <f>유치원!BF439+유치원!BK439</f>
        <v>25257</v>
      </c>
      <c r="D13" s="612"/>
      <c r="E13" s="613">
        <f t="shared" si="3"/>
        <v>25257</v>
      </c>
      <c r="F13" s="1254">
        <f>초등학교!AH318</f>
        <v>2099</v>
      </c>
      <c r="G13" s="1255"/>
      <c r="H13" s="1256">
        <f>중학교!Z189</f>
        <v>3667</v>
      </c>
      <c r="I13" s="1257">
        <f>고등학교!Z214</f>
        <v>19877</v>
      </c>
      <c r="J13" s="1258">
        <f>특수학교!Q100</f>
        <v>377</v>
      </c>
      <c r="K13" s="1259">
        <f>'각종학교(각종,대안,외국인)'!AH11+'각종학교(각종,대안,외국인)'!AH12+'각종학교(각종,대안,외국인)'!AH13</f>
        <v>940</v>
      </c>
      <c r="L13" s="1260"/>
      <c r="M13" s="1261">
        <f>'외국교육기관(국제학교)'!Y8</f>
        <v>1960</v>
      </c>
      <c r="N13" s="1262"/>
      <c r="O13" s="1254">
        <f>학력인정평생교육시설!Z9+학력인정평생교육시설!AA9</f>
        <v>1297</v>
      </c>
      <c r="P13" s="1263">
        <f t="shared" si="0"/>
        <v>55474</v>
      </c>
      <c r="Q13" s="1264">
        <f t="shared" si="1"/>
        <v>0</v>
      </c>
      <c r="R13" s="1265">
        <f t="shared" si="2"/>
        <v>0</v>
      </c>
    </row>
    <row r="14" spans="1:22" ht="18" customHeight="1" thickTop="1">
      <c r="A14" s="1465" t="s">
        <v>402</v>
      </c>
      <c r="B14" s="614" t="s">
        <v>1928</v>
      </c>
      <c r="C14" s="615">
        <f>C5+C8+C11</f>
        <v>208</v>
      </c>
      <c r="D14" s="616">
        <f t="shared" ref="D14:M16" si="4">D5+D8+D11</f>
        <v>183</v>
      </c>
      <c r="E14" s="617">
        <f t="shared" si="4"/>
        <v>391</v>
      </c>
      <c r="F14" s="1266">
        <f t="shared" si="4"/>
        <v>269</v>
      </c>
      <c r="G14" s="1267">
        <f t="shared" si="4"/>
        <v>7</v>
      </c>
      <c r="H14" s="1268">
        <f t="shared" si="4"/>
        <v>147</v>
      </c>
      <c r="I14" s="1269">
        <f t="shared" si="4"/>
        <v>129</v>
      </c>
      <c r="J14" s="1270">
        <f t="shared" si="4"/>
        <v>10</v>
      </c>
      <c r="K14" s="1266">
        <f t="shared" si="4"/>
        <v>5</v>
      </c>
      <c r="L14" s="1275">
        <f t="shared" si="4"/>
        <v>2</v>
      </c>
      <c r="M14" s="1271">
        <f t="shared" si="4"/>
        <v>2</v>
      </c>
      <c r="N14" s="1270">
        <f t="shared" ref="N14:O16" si="5">N5+N8+N11</f>
        <v>3</v>
      </c>
      <c r="O14" s="1272">
        <f t="shared" si="5"/>
        <v>2</v>
      </c>
      <c r="P14" s="619">
        <f t="shared" si="0"/>
        <v>958</v>
      </c>
      <c r="Q14" s="1273">
        <f t="shared" si="1"/>
        <v>7</v>
      </c>
      <c r="R14" s="1274">
        <f t="shared" si="2"/>
        <v>2</v>
      </c>
      <c r="S14" s="793"/>
      <c r="T14" s="793"/>
    </row>
    <row r="15" spans="1:22" ht="18" customHeight="1">
      <c r="A15" s="1466"/>
      <c r="B15" s="620" t="s">
        <v>134</v>
      </c>
      <c r="C15" s="621">
        <f>C6+C9+C12</f>
        <v>1481</v>
      </c>
      <c r="D15" s="622">
        <f t="shared" si="4"/>
        <v>479</v>
      </c>
      <c r="E15" s="623">
        <f t="shared" si="4"/>
        <v>1960</v>
      </c>
      <c r="F15" s="615">
        <f t="shared" si="4"/>
        <v>6893</v>
      </c>
      <c r="G15" s="618">
        <f t="shared" si="4"/>
        <v>18</v>
      </c>
      <c r="H15" s="624">
        <f>H6+H9+H12</f>
        <v>3196</v>
      </c>
      <c r="I15" s="625">
        <f t="shared" si="4"/>
        <v>3212</v>
      </c>
      <c r="J15" s="626">
        <f t="shared" si="4"/>
        <v>364</v>
      </c>
      <c r="K15" s="621">
        <f t="shared" si="4"/>
        <v>72</v>
      </c>
      <c r="L15" s="1276">
        <f t="shared" si="4"/>
        <v>15</v>
      </c>
      <c r="M15" s="627">
        <f t="shared" si="4"/>
        <v>97</v>
      </c>
      <c r="N15" s="626">
        <f t="shared" si="5"/>
        <v>24</v>
      </c>
      <c r="O15" s="628">
        <f t="shared" si="5"/>
        <v>45</v>
      </c>
      <c r="P15" s="629">
        <f t="shared" si="0"/>
        <v>15863</v>
      </c>
      <c r="Q15" s="630">
        <f t="shared" si="1"/>
        <v>18</v>
      </c>
      <c r="R15" s="631">
        <f t="shared" si="2"/>
        <v>15</v>
      </c>
      <c r="S15" s="793"/>
      <c r="T15" s="793"/>
    </row>
    <row r="16" spans="1:22" ht="18" customHeight="1" thickBot="1">
      <c r="A16" s="1467"/>
      <c r="B16" s="632" t="s">
        <v>401</v>
      </c>
      <c r="C16" s="633">
        <f>C7+C10+C13</f>
        <v>28437</v>
      </c>
      <c r="D16" s="634">
        <f t="shared" si="4"/>
        <v>4750</v>
      </c>
      <c r="E16" s="635">
        <f t="shared" si="4"/>
        <v>33187</v>
      </c>
      <c r="F16" s="636">
        <f t="shared" si="4"/>
        <v>138773</v>
      </c>
      <c r="G16" s="637">
        <f t="shared" si="4"/>
        <v>63</v>
      </c>
      <c r="H16" s="638">
        <f>H7+H10+H13</f>
        <v>81498</v>
      </c>
      <c r="I16" s="639">
        <f t="shared" si="4"/>
        <v>75229</v>
      </c>
      <c r="J16" s="640">
        <f t="shared" si="4"/>
        <v>2027</v>
      </c>
      <c r="K16" s="633">
        <f t="shared" si="4"/>
        <v>1060</v>
      </c>
      <c r="L16" s="1277">
        <f t="shared" si="4"/>
        <v>1791</v>
      </c>
      <c r="M16" s="641">
        <f t="shared" si="4"/>
        <v>1960</v>
      </c>
      <c r="N16" s="640">
        <f t="shared" si="5"/>
        <v>531</v>
      </c>
      <c r="O16" s="636">
        <f t="shared" si="5"/>
        <v>1297</v>
      </c>
      <c r="P16" s="642">
        <f t="shared" si="0"/>
        <v>335562</v>
      </c>
      <c r="Q16" s="643">
        <f t="shared" si="1"/>
        <v>63</v>
      </c>
      <c r="R16" s="644">
        <f t="shared" si="2"/>
        <v>1791</v>
      </c>
      <c r="S16" s="793"/>
      <c r="T16" s="793"/>
      <c r="U16" s="793"/>
      <c r="V16" s="793"/>
    </row>
    <row r="17" spans="1:18">
      <c r="F17" s="793"/>
      <c r="K17" s="793"/>
      <c r="L17" s="793"/>
    </row>
    <row r="18" spans="1:18">
      <c r="E18" s="793"/>
      <c r="F18" s="793"/>
      <c r="G18" s="793"/>
      <c r="H18" s="793"/>
      <c r="I18" s="793"/>
      <c r="J18" s="793"/>
      <c r="K18" s="793"/>
      <c r="L18" s="793"/>
      <c r="M18" s="793"/>
      <c r="P18" s="793"/>
      <c r="Q18" s="793"/>
    </row>
    <row r="19" spans="1:18" ht="21" thickBot="1">
      <c r="A19" s="645" t="s">
        <v>2818</v>
      </c>
      <c r="B19" s="646"/>
      <c r="C19" s="646"/>
      <c r="D19" s="646"/>
      <c r="E19" s="646"/>
      <c r="F19" s="793"/>
      <c r="G19" s="646"/>
      <c r="H19" s="646"/>
      <c r="I19" s="646"/>
      <c r="J19" s="646"/>
      <c r="K19" s="806"/>
      <c r="L19" s="806"/>
      <c r="M19" s="646"/>
      <c r="N19" s="646"/>
      <c r="O19" s="646"/>
      <c r="P19" s="646"/>
      <c r="Q19" s="646"/>
      <c r="R19" s="647"/>
    </row>
    <row r="20" spans="1:18" ht="18" customHeight="1">
      <c r="A20" s="1468" t="s">
        <v>1907</v>
      </c>
      <c r="B20" s="1469"/>
      <c r="C20" s="1469" t="s">
        <v>1953</v>
      </c>
      <c r="D20" s="1469"/>
      <c r="E20" s="1497" t="s">
        <v>1954</v>
      </c>
      <c r="F20" s="1498"/>
      <c r="G20" s="1487" t="s">
        <v>1955</v>
      </c>
      <c r="H20" s="1487" t="s">
        <v>1938</v>
      </c>
      <c r="I20" s="1487" t="s">
        <v>1956</v>
      </c>
      <c r="J20" s="1489" t="s">
        <v>1935</v>
      </c>
      <c r="K20" s="1469" t="s">
        <v>1957</v>
      </c>
      <c r="L20" s="1472" t="s">
        <v>1958</v>
      </c>
      <c r="M20" s="1472" t="s">
        <v>1976</v>
      </c>
      <c r="N20" s="1469" t="s">
        <v>402</v>
      </c>
      <c r="O20" s="1474" t="s">
        <v>1959</v>
      </c>
      <c r="P20" s="1475"/>
      <c r="Q20" s="1475"/>
      <c r="R20" s="1476"/>
    </row>
    <row r="21" spans="1:18" ht="18" customHeight="1" thickBot="1">
      <c r="A21" s="1470"/>
      <c r="B21" s="1471"/>
      <c r="C21" s="648" t="s">
        <v>1943</v>
      </c>
      <c r="D21" s="648" t="s">
        <v>1960</v>
      </c>
      <c r="E21" s="649" t="s">
        <v>1961</v>
      </c>
      <c r="F21" s="650" t="s">
        <v>1962</v>
      </c>
      <c r="G21" s="1488"/>
      <c r="H21" s="1488"/>
      <c r="I21" s="1488"/>
      <c r="J21" s="1490"/>
      <c r="K21" s="1471"/>
      <c r="L21" s="1471"/>
      <c r="M21" s="1473"/>
      <c r="N21" s="1471"/>
      <c r="O21" s="1477"/>
      <c r="P21" s="1478"/>
      <c r="Q21" s="1478"/>
      <c r="R21" s="1479"/>
    </row>
    <row r="22" spans="1:18" ht="18" customHeight="1" thickTop="1">
      <c r="A22" s="1491" t="s">
        <v>2622</v>
      </c>
      <c r="B22" s="1492"/>
      <c r="C22" s="771">
        <v>211</v>
      </c>
      <c r="D22" s="771">
        <v>180</v>
      </c>
      <c r="E22" s="771">
        <v>265</v>
      </c>
      <c r="F22" s="771">
        <v>7</v>
      </c>
      <c r="G22" s="771">
        <v>145</v>
      </c>
      <c r="H22" s="771">
        <v>128</v>
      </c>
      <c r="I22" s="771">
        <v>10</v>
      </c>
      <c r="J22" s="771">
        <v>7</v>
      </c>
      <c r="K22" s="771">
        <v>2</v>
      </c>
      <c r="L22" s="771">
        <v>3</v>
      </c>
      <c r="M22" s="772">
        <v>2</v>
      </c>
      <c r="N22" s="771">
        <v>960</v>
      </c>
      <c r="O22" s="1517"/>
      <c r="P22" s="1518"/>
      <c r="Q22" s="1518"/>
      <c r="R22" s="1519"/>
    </row>
    <row r="23" spans="1:18" ht="18" customHeight="1">
      <c r="A23" s="1493" t="s">
        <v>2819</v>
      </c>
      <c r="B23" s="1494"/>
      <c r="C23" s="667">
        <f>C14</f>
        <v>208</v>
      </c>
      <c r="D23" s="667">
        <f t="shared" ref="D23" si="6">D14</f>
        <v>183</v>
      </c>
      <c r="E23" s="667">
        <f>F14</f>
        <v>269</v>
      </c>
      <c r="F23" s="667">
        <f t="shared" ref="F23:K23" si="7">G14</f>
        <v>7</v>
      </c>
      <c r="G23" s="667">
        <f t="shared" si="7"/>
        <v>147</v>
      </c>
      <c r="H23" s="667">
        <f t="shared" si="7"/>
        <v>129</v>
      </c>
      <c r="I23" s="667">
        <f t="shared" si="7"/>
        <v>10</v>
      </c>
      <c r="J23" s="667">
        <f>K14+L14</f>
        <v>7</v>
      </c>
      <c r="K23" s="667">
        <f t="shared" si="7"/>
        <v>2</v>
      </c>
      <c r="L23" s="667">
        <f>N14</f>
        <v>3</v>
      </c>
      <c r="M23" s="667">
        <f>O14</f>
        <v>2</v>
      </c>
      <c r="N23" s="667">
        <f>SUM(C23:M23)</f>
        <v>967</v>
      </c>
      <c r="O23" s="1520"/>
      <c r="P23" s="1521"/>
      <c r="Q23" s="1521"/>
      <c r="R23" s="1522"/>
    </row>
    <row r="24" spans="1:18" ht="18" customHeight="1" thickBot="1">
      <c r="A24" s="1495" t="s">
        <v>1963</v>
      </c>
      <c r="B24" s="1496"/>
      <c r="C24" s="668">
        <f>C23-C22</f>
        <v>-3</v>
      </c>
      <c r="D24" s="668">
        <f t="shared" ref="D24:I24" si="8">D23-D22</f>
        <v>3</v>
      </c>
      <c r="E24" s="668">
        <f t="shared" si="8"/>
        <v>4</v>
      </c>
      <c r="F24" s="668">
        <f t="shared" si="8"/>
        <v>0</v>
      </c>
      <c r="G24" s="668">
        <f t="shared" si="8"/>
        <v>2</v>
      </c>
      <c r="H24" s="668">
        <f t="shared" si="8"/>
        <v>1</v>
      </c>
      <c r="I24" s="668">
        <f t="shared" si="8"/>
        <v>0</v>
      </c>
      <c r="J24" s="668">
        <f>J23-J22</f>
        <v>0</v>
      </c>
      <c r="K24" s="668">
        <f>K23-K22</f>
        <v>0</v>
      </c>
      <c r="L24" s="668">
        <f>L23-L22</f>
        <v>0</v>
      </c>
      <c r="M24" s="668">
        <f>M23-M22</f>
        <v>0</v>
      </c>
      <c r="N24" s="668">
        <f>N23-N22</f>
        <v>7</v>
      </c>
      <c r="O24" s="1523"/>
      <c r="P24" s="1524"/>
      <c r="Q24" s="1524"/>
      <c r="R24" s="1525"/>
    </row>
    <row r="25" spans="1:18" ht="248.25" customHeight="1">
      <c r="A25" s="1503" t="s">
        <v>1964</v>
      </c>
      <c r="B25" s="651" t="s">
        <v>444</v>
      </c>
      <c r="C25" s="652"/>
      <c r="D25" s="652">
        <v>3</v>
      </c>
      <c r="E25" s="653">
        <v>4</v>
      </c>
      <c r="F25" s="653"/>
      <c r="G25" s="653">
        <v>2</v>
      </c>
      <c r="H25" s="653">
        <v>1</v>
      </c>
      <c r="I25" s="653"/>
      <c r="J25" s="653"/>
      <c r="K25" s="653"/>
      <c r="L25" s="653"/>
      <c r="M25" s="653"/>
      <c r="N25" s="654">
        <f>SUM(C25:M25)</f>
        <v>10</v>
      </c>
      <c r="O25" s="1529" t="s">
        <v>4943</v>
      </c>
      <c r="P25" s="1530"/>
      <c r="Q25" s="1530"/>
      <c r="R25" s="1531"/>
    </row>
    <row r="26" spans="1:18" ht="35.25" customHeight="1">
      <c r="A26" s="1504"/>
      <c r="B26" s="655" t="s">
        <v>445</v>
      </c>
      <c r="C26" s="656"/>
      <c r="D26" s="656"/>
      <c r="E26" s="657"/>
      <c r="F26" s="657"/>
      <c r="G26" s="657"/>
      <c r="H26" s="657"/>
      <c r="I26" s="657"/>
      <c r="J26" s="657"/>
      <c r="K26" s="657"/>
      <c r="L26" s="657"/>
      <c r="M26" s="657"/>
      <c r="N26" s="658">
        <f>SUM(C26:M26)</f>
        <v>0</v>
      </c>
      <c r="O26" s="1514"/>
      <c r="P26" s="1515"/>
      <c r="Q26" s="1515"/>
      <c r="R26" s="1516"/>
    </row>
    <row r="27" spans="1:18" ht="18" customHeight="1">
      <c r="A27" s="1505" t="s">
        <v>1965</v>
      </c>
      <c r="B27" s="1506"/>
      <c r="C27" s="659">
        <f>SUM(C25:C26)</f>
        <v>0</v>
      </c>
      <c r="D27" s="659">
        <f t="shared" ref="D27:I27" si="9">SUM(D25:D26)</f>
        <v>3</v>
      </c>
      <c r="E27" s="659">
        <f t="shared" si="9"/>
        <v>4</v>
      </c>
      <c r="F27" s="659">
        <f t="shared" si="9"/>
        <v>0</v>
      </c>
      <c r="G27" s="659">
        <f t="shared" si="9"/>
        <v>2</v>
      </c>
      <c r="H27" s="659">
        <f t="shared" si="9"/>
        <v>1</v>
      </c>
      <c r="I27" s="659">
        <f t="shared" si="9"/>
        <v>0</v>
      </c>
      <c r="J27" s="659">
        <f>SUM(J25:J26)</f>
        <v>0</v>
      </c>
      <c r="K27" s="659">
        <f>SUM(K25:K26)</f>
        <v>0</v>
      </c>
      <c r="L27" s="659">
        <f>SUM(L25:L26)</f>
        <v>0</v>
      </c>
      <c r="M27" s="659">
        <f>SUM(M25:M26)</f>
        <v>0</v>
      </c>
      <c r="N27" s="659">
        <f>SUM(N25:N26)</f>
        <v>10</v>
      </c>
      <c r="O27" s="1526"/>
      <c r="P27" s="1527"/>
      <c r="Q27" s="1527"/>
      <c r="R27" s="1528"/>
    </row>
    <row r="28" spans="1:18" ht="38.25" customHeight="1">
      <c r="A28" s="1507" t="s">
        <v>1966</v>
      </c>
      <c r="B28" s="655" t="s">
        <v>444</v>
      </c>
      <c r="C28" s="660"/>
      <c r="D28" s="661"/>
      <c r="E28" s="662"/>
      <c r="F28" s="663"/>
      <c r="G28" s="663"/>
      <c r="H28" s="663"/>
      <c r="I28" s="662"/>
      <c r="J28" s="662"/>
      <c r="K28" s="662"/>
      <c r="L28" s="662"/>
      <c r="M28" s="662"/>
      <c r="N28" s="664">
        <f>SUM(C28:M28)</f>
        <v>0</v>
      </c>
      <c r="O28" s="1514"/>
      <c r="P28" s="1515"/>
      <c r="Q28" s="1515"/>
      <c r="R28" s="1516"/>
    </row>
    <row r="29" spans="1:18" ht="75" customHeight="1">
      <c r="A29" s="1507"/>
      <c r="B29" s="655" t="s">
        <v>1967</v>
      </c>
      <c r="C29" s="661">
        <v>3</v>
      </c>
      <c r="D29" s="661"/>
      <c r="E29" s="662"/>
      <c r="F29" s="662"/>
      <c r="G29" s="662"/>
      <c r="H29" s="662"/>
      <c r="I29" s="662"/>
      <c r="J29" s="662"/>
      <c r="K29" s="662"/>
      <c r="L29" s="662"/>
      <c r="M29" s="662"/>
      <c r="N29" s="664">
        <f>SUM(C29:M29)</f>
        <v>3</v>
      </c>
      <c r="O29" s="1514" t="s">
        <v>3986</v>
      </c>
      <c r="P29" s="1515"/>
      <c r="Q29" s="1515"/>
      <c r="R29" s="1516"/>
    </row>
    <row r="30" spans="1:18" ht="18" customHeight="1" thickBot="1">
      <c r="A30" s="1499" t="s">
        <v>1968</v>
      </c>
      <c r="B30" s="1500"/>
      <c r="C30" s="665">
        <f>SUM(C28:C29)</f>
        <v>3</v>
      </c>
      <c r="D30" s="665">
        <f t="shared" ref="D30:I30" si="10">SUM(D28:D29)</f>
        <v>0</v>
      </c>
      <c r="E30" s="665">
        <f t="shared" si="10"/>
        <v>0</v>
      </c>
      <c r="F30" s="665">
        <f t="shared" si="10"/>
        <v>0</v>
      </c>
      <c r="G30" s="665">
        <f t="shared" si="10"/>
        <v>0</v>
      </c>
      <c r="H30" s="665">
        <f t="shared" si="10"/>
        <v>0</v>
      </c>
      <c r="I30" s="665">
        <f t="shared" si="10"/>
        <v>0</v>
      </c>
      <c r="J30" s="665">
        <f>SUM(J28:J29)</f>
        <v>0</v>
      </c>
      <c r="K30" s="665">
        <f>SUM(K28:K29)</f>
        <v>0</v>
      </c>
      <c r="L30" s="665">
        <f>SUM(L28:L29)</f>
        <v>0</v>
      </c>
      <c r="M30" s="665">
        <f>SUM(M28:M29)</f>
        <v>0</v>
      </c>
      <c r="N30" s="665">
        <f>SUM(N28:N29)</f>
        <v>3</v>
      </c>
      <c r="O30" s="1511"/>
      <c r="P30" s="1512"/>
      <c r="Q30" s="1512"/>
      <c r="R30" s="1513"/>
    </row>
    <row r="31" spans="1:18" ht="20.100000000000001" customHeight="1" thickTop="1" thickBot="1">
      <c r="A31" s="1501" t="s">
        <v>402</v>
      </c>
      <c r="B31" s="1502"/>
      <c r="C31" s="666">
        <f>C27-C30</f>
        <v>-3</v>
      </c>
      <c r="D31" s="666">
        <f t="shared" ref="D31:I31" si="11">D27-D30</f>
        <v>3</v>
      </c>
      <c r="E31" s="666">
        <f t="shared" si="11"/>
        <v>4</v>
      </c>
      <c r="F31" s="666">
        <f t="shared" si="11"/>
        <v>0</v>
      </c>
      <c r="G31" s="666">
        <f t="shared" si="11"/>
        <v>2</v>
      </c>
      <c r="H31" s="666">
        <f t="shared" si="11"/>
        <v>1</v>
      </c>
      <c r="I31" s="666">
        <f t="shared" si="11"/>
        <v>0</v>
      </c>
      <c r="J31" s="666">
        <f>J27-J30</f>
        <v>0</v>
      </c>
      <c r="K31" s="666">
        <f>K27-K30</f>
        <v>0</v>
      </c>
      <c r="L31" s="666">
        <f>L27-L30</f>
        <v>0</v>
      </c>
      <c r="M31" s="666">
        <f>M27-M30</f>
        <v>0</v>
      </c>
      <c r="N31" s="666">
        <f>N27-N30</f>
        <v>7</v>
      </c>
      <c r="O31" s="1508"/>
      <c r="P31" s="1509"/>
      <c r="Q31" s="1509"/>
      <c r="R31" s="1510"/>
    </row>
  </sheetData>
  <mergeCells count="45">
    <mergeCell ref="O31:R31"/>
    <mergeCell ref="O30:R30"/>
    <mergeCell ref="O29:R29"/>
    <mergeCell ref="O28:R28"/>
    <mergeCell ref="O22:R22"/>
    <mergeCell ref="O23:R23"/>
    <mergeCell ref="O24:R24"/>
    <mergeCell ref="O27:R27"/>
    <mergeCell ref="O26:R26"/>
    <mergeCell ref="O25:R25"/>
    <mergeCell ref="A30:B30"/>
    <mergeCell ref="A31:B31"/>
    <mergeCell ref="A25:A26"/>
    <mergeCell ref="A27:B27"/>
    <mergeCell ref="A28:A29"/>
    <mergeCell ref="A22:B22"/>
    <mergeCell ref="A23:B23"/>
    <mergeCell ref="A24:B24"/>
    <mergeCell ref="E20:F20"/>
    <mergeCell ref="G20:G21"/>
    <mergeCell ref="M20:M21"/>
    <mergeCell ref="N20:N21"/>
    <mergeCell ref="O20:R21"/>
    <mergeCell ref="C20:D20"/>
    <mergeCell ref="K3:L3"/>
    <mergeCell ref="M3:M4"/>
    <mergeCell ref="N3:N4"/>
    <mergeCell ref="O3:O4"/>
    <mergeCell ref="P3:R3"/>
    <mergeCell ref="J3:J4"/>
    <mergeCell ref="H20:H21"/>
    <mergeCell ref="I20:I21"/>
    <mergeCell ref="J20:J21"/>
    <mergeCell ref="K20:K21"/>
    <mergeCell ref="L20:L21"/>
    <mergeCell ref="A5:A7"/>
    <mergeCell ref="A8:A10"/>
    <mergeCell ref="A11:A13"/>
    <mergeCell ref="A14:A16"/>
    <mergeCell ref="A20:B21"/>
    <mergeCell ref="A3:B4"/>
    <mergeCell ref="C3:E3"/>
    <mergeCell ref="F3:G3"/>
    <mergeCell ref="H3:H4"/>
    <mergeCell ref="I3:I4"/>
  </mergeCells>
  <phoneticPr fontId="16" type="noConversion"/>
  <pageMargins left="0.25" right="0.25" top="0.75" bottom="0.75" header="0.3" footer="0.3"/>
  <pageSetup paperSize="8" scale="83" orientation="landscape" r:id="rId1"/>
  <ignoredErrors>
    <ignoredError sqref="N24 N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AM41"/>
  <sheetViews>
    <sheetView zoomScale="98" zoomScaleNormal="98" workbookViewId="0">
      <selection activeCell="D1" sqref="D1"/>
    </sheetView>
  </sheetViews>
  <sheetFormatPr defaultRowHeight="16.5"/>
  <cols>
    <col min="2" max="32" width="8.375" customWidth="1"/>
    <col min="33" max="39" width="8.875" customWidth="1"/>
  </cols>
  <sheetData>
    <row r="1" spans="1:39" ht="26.25" customHeight="1">
      <c r="A1" s="519" t="s">
        <v>1934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  <c r="AD1" s="519"/>
      <c r="AE1" s="519"/>
      <c r="AF1" s="519"/>
      <c r="AG1" s="519"/>
      <c r="AH1" s="519"/>
      <c r="AI1" s="519"/>
      <c r="AJ1" s="519"/>
      <c r="AK1" s="519"/>
      <c r="AL1" s="519"/>
      <c r="AM1" s="519"/>
    </row>
    <row r="2" spans="1:39" ht="20.100000000000001" customHeight="1" thickBot="1">
      <c r="A2" s="524" t="s">
        <v>3244</v>
      </c>
      <c r="B2" s="524"/>
      <c r="C2" s="524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2"/>
      <c r="U2" s="492"/>
      <c r="V2" s="493"/>
      <c r="W2" s="490"/>
      <c r="X2" s="492"/>
      <c r="Y2" s="492"/>
      <c r="Z2" s="493"/>
      <c r="AA2" s="490"/>
      <c r="AB2" s="492"/>
      <c r="AC2" s="492"/>
      <c r="AD2" s="492"/>
      <c r="AE2" s="492"/>
      <c r="AF2" s="493"/>
      <c r="AG2" s="492"/>
      <c r="AH2" s="492"/>
      <c r="AI2" s="492"/>
      <c r="AJ2" s="492"/>
      <c r="AK2" s="492"/>
      <c r="AL2" s="492"/>
      <c r="AM2" s="493"/>
    </row>
    <row r="3" spans="1:39" ht="18" customHeight="1">
      <c r="A3" s="1535" t="s">
        <v>1926</v>
      </c>
      <c r="B3" s="1538" t="s">
        <v>1911</v>
      </c>
      <c r="C3" s="1539"/>
      <c r="D3" s="1540"/>
      <c r="E3" s="1538" t="s">
        <v>1912</v>
      </c>
      <c r="F3" s="1539"/>
      <c r="G3" s="1539"/>
      <c r="H3" s="1539"/>
      <c r="I3" s="1539"/>
      <c r="J3" s="1540"/>
      <c r="K3" s="1538" t="s">
        <v>1913</v>
      </c>
      <c r="L3" s="1539"/>
      <c r="M3" s="1540"/>
      <c r="N3" s="1538" t="s">
        <v>1914</v>
      </c>
      <c r="O3" s="1539"/>
      <c r="P3" s="1540"/>
      <c r="Q3" s="1538" t="s">
        <v>1915</v>
      </c>
      <c r="R3" s="1539"/>
      <c r="S3" s="1540"/>
      <c r="T3" s="1538" t="s">
        <v>1935</v>
      </c>
      <c r="U3" s="1539"/>
      <c r="V3" s="1539"/>
      <c r="W3" s="1540"/>
      <c r="X3" s="1538" t="s">
        <v>1916</v>
      </c>
      <c r="Y3" s="1539"/>
      <c r="Z3" s="1539"/>
      <c r="AA3" s="1538" t="s">
        <v>1932</v>
      </c>
      <c r="AB3" s="1539"/>
      <c r="AC3" s="1540"/>
      <c r="AD3" s="1538" t="s">
        <v>1927</v>
      </c>
      <c r="AE3" s="1539"/>
      <c r="AF3" s="1539"/>
      <c r="AG3" s="1548" t="s">
        <v>402</v>
      </c>
      <c r="AH3" s="1549"/>
      <c r="AI3" s="1549"/>
      <c r="AJ3" s="1549"/>
      <c r="AK3" s="1549"/>
      <c r="AL3" s="1549"/>
      <c r="AM3" s="1550"/>
    </row>
    <row r="4" spans="1:39" ht="18" customHeight="1">
      <c r="A4" s="1536"/>
      <c r="B4" s="1541" t="s">
        <v>1903</v>
      </c>
      <c r="C4" s="1544" t="s">
        <v>2</v>
      </c>
      <c r="D4" s="1546" t="s">
        <v>3</v>
      </c>
      <c r="E4" s="1532" t="s">
        <v>1928</v>
      </c>
      <c r="F4" s="1533"/>
      <c r="G4" s="1534" t="s">
        <v>134</v>
      </c>
      <c r="H4" s="1533"/>
      <c r="I4" s="1534" t="s">
        <v>401</v>
      </c>
      <c r="J4" s="1543"/>
      <c r="K4" s="1541" t="s">
        <v>1903</v>
      </c>
      <c r="L4" s="1544" t="s">
        <v>2</v>
      </c>
      <c r="M4" s="1546" t="s">
        <v>3</v>
      </c>
      <c r="N4" s="1541" t="s">
        <v>1903</v>
      </c>
      <c r="O4" s="1544" t="s">
        <v>2</v>
      </c>
      <c r="P4" s="1546" t="s">
        <v>3</v>
      </c>
      <c r="Q4" s="1541" t="s">
        <v>1903</v>
      </c>
      <c r="R4" s="1544" t="s">
        <v>2</v>
      </c>
      <c r="S4" s="1546" t="s">
        <v>3</v>
      </c>
      <c r="T4" s="1541" t="s">
        <v>1903</v>
      </c>
      <c r="U4" s="1544" t="s">
        <v>2</v>
      </c>
      <c r="V4" s="1534" t="s">
        <v>3</v>
      </c>
      <c r="W4" s="1543"/>
      <c r="X4" s="1541" t="s">
        <v>1903</v>
      </c>
      <c r="Y4" s="1544" t="s">
        <v>2</v>
      </c>
      <c r="Z4" s="1546" t="s">
        <v>3</v>
      </c>
      <c r="AA4" s="1541" t="s">
        <v>1903</v>
      </c>
      <c r="AB4" s="1544" t="s">
        <v>2</v>
      </c>
      <c r="AC4" s="1546" t="s">
        <v>3</v>
      </c>
      <c r="AD4" s="1541" t="s">
        <v>1903</v>
      </c>
      <c r="AE4" s="1544" t="s">
        <v>2</v>
      </c>
      <c r="AF4" s="1546" t="s">
        <v>3</v>
      </c>
      <c r="AG4" s="1551" t="s">
        <v>1928</v>
      </c>
      <c r="AH4" s="1552"/>
      <c r="AI4" s="1553" t="s">
        <v>134</v>
      </c>
      <c r="AJ4" s="1552"/>
      <c r="AK4" s="1553" t="s">
        <v>401</v>
      </c>
      <c r="AL4" s="1554"/>
      <c r="AM4" s="1555"/>
    </row>
    <row r="5" spans="1:39" ht="18" customHeight="1" thickBot="1">
      <c r="A5" s="1537"/>
      <c r="B5" s="1542"/>
      <c r="C5" s="1545"/>
      <c r="D5" s="1547"/>
      <c r="E5" s="1378"/>
      <c r="F5" s="1421" t="s">
        <v>1962</v>
      </c>
      <c r="G5" s="1379"/>
      <c r="H5" s="1421" t="s">
        <v>1962</v>
      </c>
      <c r="I5" s="1379"/>
      <c r="J5" s="1422" t="s">
        <v>1962</v>
      </c>
      <c r="K5" s="1542"/>
      <c r="L5" s="1545"/>
      <c r="M5" s="1547"/>
      <c r="N5" s="1542"/>
      <c r="O5" s="1545"/>
      <c r="P5" s="1547"/>
      <c r="Q5" s="1542"/>
      <c r="R5" s="1545"/>
      <c r="S5" s="1547"/>
      <c r="T5" s="1542"/>
      <c r="U5" s="1545"/>
      <c r="V5" s="1425"/>
      <c r="W5" s="1426" t="s">
        <v>1917</v>
      </c>
      <c r="X5" s="1542"/>
      <c r="Y5" s="1545"/>
      <c r="Z5" s="1547"/>
      <c r="AA5" s="1542"/>
      <c r="AB5" s="1545"/>
      <c r="AC5" s="1547"/>
      <c r="AD5" s="1542"/>
      <c r="AE5" s="1545"/>
      <c r="AF5" s="1547"/>
      <c r="AG5" s="1377"/>
      <c r="AH5" s="1423" t="s">
        <v>1962</v>
      </c>
      <c r="AI5" s="1376" t="s">
        <v>2</v>
      </c>
      <c r="AJ5" s="1421" t="s">
        <v>1962</v>
      </c>
      <c r="AK5" s="1376"/>
      <c r="AL5" s="1424" t="s">
        <v>1962</v>
      </c>
      <c r="AM5" s="1417" t="s">
        <v>1917</v>
      </c>
    </row>
    <row r="6" spans="1:39" ht="18" customHeight="1" thickTop="1">
      <c r="A6" s="525" t="s">
        <v>131</v>
      </c>
      <c r="B6" s="506">
        <f>유치원!F50</f>
        <v>40</v>
      </c>
      <c r="C6" s="503">
        <f>유치원!BB50+유치원!BG50</f>
        <v>173</v>
      </c>
      <c r="D6" s="505">
        <f>유치원!BF50+유치원!BK50</f>
        <v>3057</v>
      </c>
      <c r="E6" s="506">
        <f>초등학교!E30</f>
        <v>23</v>
      </c>
      <c r="F6" s="1407"/>
      <c r="G6" s="503">
        <f>초등학교!U30</f>
        <v>717</v>
      </c>
      <c r="H6" s="1407"/>
      <c r="I6" s="1375">
        <f>초등학교!AH30</f>
        <v>14748</v>
      </c>
      <c r="J6" s="1410"/>
      <c r="K6" s="502">
        <f>중학교!F20</f>
        <v>12</v>
      </c>
      <c r="L6" s="504">
        <f>중학교!S20</f>
        <v>303</v>
      </c>
      <c r="M6" s="505">
        <f>중학교!Z20</f>
        <v>7668</v>
      </c>
      <c r="N6" s="502">
        <f>고등학교!F28</f>
        <v>15</v>
      </c>
      <c r="O6" s="504">
        <f>고등학교!S28</f>
        <v>414</v>
      </c>
      <c r="P6" s="505">
        <f>고등학교!Z28</f>
        <v>8104</v>
      </c>
      <c r="Q6" s="506">
        <v>1</v>
      </c>
      <c r="R6" s="503">
        <f>특수학교!J99</f>
        <v>57</v>
      </c>
      <c r="S6" s="505">
        <f>특수학교!J100</f>
        <v>333</v>
      </c>
      <c r="T6" s="506"/>
      <c r="U6" s="503"/>
      <c r="V6" s="503"/>
      <c r="W6" s="1419"/>
      <c r="X6" s="506"/>
      <c r="Y6" s="503"/>
      <c r="Z6" s="503"/>
      <c r="AA6" s="506"/>
      <c r="AB6" s="503"/>
      <c r="AC6" s="505"/>
      <c r="AD6" s="506">
        <v>1</v>
      </c>
      <c r="AE6" s="503">
        <f>학력인정평생교육시설!P7+학력인정평생교육시설!Q7</f>
        <v>24</v>
      </c>
      <c r="AF6" s="503">
        <f>학력인정평생교육시설!Z7+학력인정평생교육시설!AA7</f>
        <v>959</v>
      </c>
      <c r="AG6" s="526">
        <f>B6+E6+K6+N6+Q6+T6+X6+AA6+AD6</f>
        <v>92</v>
      </c>
      <c r="AH6" s="1412">
        <f>F6</f>
        <v>0</v>
      </c>
      <c r="AI6" s="527">
        <f>C6+G6+L6+O6+R6+U6+Y6+AB6+AE6</f>
        <v>1688</v>
      </c>
      <c r="AJ6" s="1414">
        <f>H6</f>
        <v>0</v>
      </c>
      <c r="AK6" s="527">
        <f>D6+I6+M6+P6+S6+V6+Z6+AC6+AF6</f>
        <v>34869</v>
      </c>
      <c r="AL6" s="1416">
        <f>J6</f>
        <v>0</v>
      </c>
      <c r="AM6" s="1418">
        <f>W6</f>
        <v>0</v>
      </c>
    </row>
    <row r="7" spans="1:39" ht="18" customHeight="1">
      <c r="A7" s="528" t="s">
        <v>1929</v>
      </c>
      <c r="B7" s="513">
        <f>유치원!F65</f>
        <v>12</v>
      </c>
      <c r="C7" s="503">
        <f>유치원!BB65+유치원!BG65</f>
        <v>38</v>
      </c>
      <c r="D7" s="505">
        <f>유치원!BF65+유치원!BK65</f>
        <v>528</v>
      </c>
      <c r="E7" s="506">
        <f>초등학교!E41</f>
        <v>8</v>
      </c>
      <c r="F7" s="1407"/>
      <c r="G7" s="503">
        <f>초등학교!U41</f>
        <v>146</v>
      </c>
      <c r="H7" s="1407"/>
      <c r="I7" s="503">
        <f>초등학교!AH41</f>
        <v>2803</v>
      </c>
      <c r="J7" s="1410"/>
      <c r="K7" s="502">
        <f>중학교!F26</f>
        <v>3</v>
      </c>
      <c r="L7" s="504">
        <f>중학교!S26</f>
        <v>54</v>
      </c>
      <c r="M7" s="505">
        <f>중학교!Z26</f>
        <v>1181</v>
      </c>
      <c r="N7" s="502">
        <f>고등학교!F35</f>
        <v>3</v>
      </c>
      <c r="O7" s="504">
        <f>고등학교!S35</f>
        <v>76</v>
      </c>
      <c r="P7" s="505">
        <f>고등학교!Z35</f>
        <v>1469</v>
      </c>
      <c r="Q7" s="513"/>
      <c r="R7" s="510"/>
      <c r="S7" s="512"/>
      <c r="T7" s="513">
        <v>1</v>
      </c>
      <c r="U7" s="510">
        <f>'각종학교(각종,대안,외국인)'!S6</f>
        <v>9</v>
      </c>
      <c r="V7" s="510"/>
      <c r="W7" s="1420">
        <f>'각종학교(각종,대안,외국인)'!AI6</f>
        <v>126</v>
      </c>
      <c r="X7" s="513"/>
      <c r="Y7" s="510"/>
      <c r="Z7" s="510"/>
      <c r="AA7" s="513"/>
      <c r="AB7" s="510"/>
      <c r="AC7" s="512"/>
      <c r="AD7" s="513"/>
      <c r="AE7" s="510"/>
      <c r="AF7" s="510"/>
      <c r="AG7" s="526">
        <f t="shared" ref="AG7:AG15" si="0">B7+E7+K7+N7+Q7+T7+X7+AA7+AD7</f>
        <v>27</v>
      </c>
      <c r="AH7" s="1412">
        <f t="shared" ref="AH7:AH15" si="1">F7</f>
        <v>0</v>
      </c>
      <c r="AI7" s="527">
        <f t="shared" ref="AI7:AI15" si="2">C7+G7+L7+O7+R7+U7+Y7+AB7+AE7</f>
        <v>323</v>
      </c>
      <c r="AJ7" s="1414">
        <f t="shared" ref="AJ7:AJ15" si="3">H7</f>
        <v>0</v>
      </c>
      <c r="AK7" s="527">
        <f t="shared" ref="AK7:AK15" si="4">D7+I7+M7+P7+S7+V7+Z7+AC7+AF7</f>
        <v>5981</v>
      </c>
      <c r="AL7" s="1416">
        <f t="shared" ref="AL7:AL15" si="5">J7</f>
        <v>0</v>
      </c>
      <c r="AM7" s="1418">
        <f t="shared" ref="AM7:AM15" si="6">W7</f>
        <v>126</v>
      </c>
    </row>
    <row r="8" spans="1:39" s="1364" customFormat="1" ht="18" customHeight="1">
      <c r="A8" s="528" t="s">
        <v>1919</v>
      </c>
      <c r="B8" s="513">
        <f>유치원!F102</f>
        <v>21</v>
      </c>
      <c r="C8" s="503">
        <f>유치원!BB102+유치원!BG102</f>
        <v>136</v>
      </c>
      <c r="D8" s="505">
        <f>유치원!BF102+유치원!BK102</f>
        <v>2170</v>
      </c>
      <c r="E8" s="506">
        <f>(COUNTA(초등학교!E55:E73))-F8</f>
        <v>17</v>
      </c>
      <c r="F8" s="1407">
        <f>COUNTA(초등학교!E65)</f>
        <v>1</v>
      </c>
      <c r="G8" s="503">
        <f>초등학교!U75-H8</f>
        <v>472</v>
      </c>
      <c r="H8" s="1407">
        <v>7</v>
      </c>
      <c r="I8" s="503">
        <f>초등학교!AH75-J8</f>
        <v>9664</v>
      </c>
      <c r="J8" s="1410">
        <v>42</v>
      </c>
      <c r="K8" s="502">
        <f>중학교!F47</f>
        <v>11</v>
      </c>
      <c r="L8" s="504">
        <f>중학교!S47</f>
        <v>231</v>
      </c>
      <c r="M8" s="505">
        <f>중학교!Z47</f>
        <v>5819</v>
      </c>
      <c r="N8" s="502">
        <f>고등학교!F70</f>
        <v>16</v>
      </c>
      <c r="O8" s="504">
        <v>360</v>
      </c>
      <c r="P8" s="505">
        <f>고등학교!Z70</f>
        <v>7925</v>
      </c>
      <c r="Q8" s="513"/>
      <c r="R8" s="510"/>
      <c r="S8" s="512"/>
      <c r="T8" s="513">
        <v>1</v>
      </c>
      <c r="U8" s="510">
        <f>'각종학교(각종,대안,외국인)'!S12</f>
        <v>13</v>
      </c>
      <c r="V8" s="510">
        <f>'각종학교(각종,대안,외국인)'!AH12</f>
        <v>347</v>
      </c>
      <c r="W8" s="1420"/>
      <c r="X8" s="513"/>
      <c r="Y8" s="510"/>
      <c r="Z8" s="510"/>
      <c r="AA8" s="513">
        <v>1</v>
      </c>
      <c r="AB8" s="510">
        <f>방송통신중고등학교!P8</f>
        <v>6</v>
      </c>
      <c r="AC8" s="512">
        <f>방송통신중고등학교!W8</f>
        <v>138</v>
      </c>
      <c r="AD8" s="513"/>
      <c r="AE8" s="510"/>
      <c r="AF8" s="510"/>
      <c r="AG8" s="526">
        <f t="shared" si="0"/>
        <v>67</v>
      </c>
      <c r="AH8" s="1412">
        <f t="shared" si="1"/>
        <v>1</v>
      </c>
      <c r="AI8" s="527">
        <f t="shared" si="2"/>
        <v>1218</v>
      </c>
      <c r="AJ8" s="1414">
        <f t="shared" si="3"/>
        <v>7</v>
      </c>
      <c r="AK8" s="527">
        <f t="shared" si="4"/>
        <v>26063</v>
      </c>
      <c r="AL8" s="1416">
        <f t="shared" si="5"/>
        <v>42</v>
      </c>
      <c r="AM8" s="1418">
        <f t="shared" si="6"/>
        <v>0</v>
      </c>
    </row>
    <row r="9" spans="1:39" s="1364" customFormat="1" ht="18" customHeight="1">
      <c r="A9" s="528" t="s">
        <v>1918</v>
      </c>
      <c r="B9" s="513">
        <f>유치원!F78</f>
        <v>10</v>
      </c>
      <c r="C9" s="503">
        <f>유치원!BB78+유치원!BG78</f>
        <v>10</v>
      </c>
      <c r="D9" s="505">
        <f>유치원!BF78+유치원!BK78</f>
        <v>38</v>
      </c>
      <c r="E9" s="506">
        <f>(COUNTA(초등학교!E42:E52))-F9</f>
        <v>6</v>
      </c>
      <c r="F9" s="1407">
        <f>COUNTA(초등학교!E48:E52)</f>
        <v>5</v>
      </c>
      <c r="G9" s="503">
        <f>초등학교!U54-H9</f>
        <v>40</v>
      </c>
      <c r="H9" s="1407">
        <f>초등학교!U48+초등학교!U49+초등학교!U50+초등학교!U51+초등학교!U52</f>
        <v>7</v>
      </c>
      <c r="I9" s="503">
        <f>초등학교!AH54-J9</f>
        <v>281</v>
      </c>
      <c r="J9" s="1410">
        <f>초등학교!AH48+초등학교!AH49+초등학교!AH50+초등학교!AH51+초등학교!AH52</f>
        <v>15</v>
      </c>
      <c r="K9" s="502">
        <f>중학교!F33</f>
        <v>5</v>
      </c>
      <c r="L9" s="504">
        <f>중학교!S33</f>
        <v>23</v>
      </c>
      <c r="M9" s="505">
        <f>중학교!Z33</f>
        <v>199</v>
      </c>
      <c r="N9" s="502">
        <f>고등학교!F43</f>
        <v>5</v>
      </c>
      <c r="O9" s="504">
        <f>고등학교!S43</f>
        <v>24</v>
      </c>
      <c r="P9" s="505">
        <f>고등학교!Z43</f>
        <v>216</v>
      </c>
      <c r="Q9" s="513"/>
      <c r="R9" s="510"/>
      <c r="S9" s="512"/>
      <c r="T9" s="513"/>
      <c r="U9" s="510"/>
      <c r="V9" s="510"/>
      <c r="W9" s="1420"/>
      <c r="X9" s="513"/>
      <c r="Y9" s="510"/>
      <c r="Z9" s="510"/>
      <c r="AA9" s="513"/>
      <c r="AB9" s="510"/>
      <c r="AC9" s="512"/>
      <c r="AD9" s="513"/>
      <c r="AE9" s="510"/>
      <c r="AF9" s="510"/>
      <c r="AG9" s="526">
        <f>B9+E9+K9+N9+Q9+T9+X9+AA9+AD9</f>
        <v>26</v>
      </c>
      <c r="AH9" s="1412">
        <f>F9</f>
        <v>5</v>
      </c>
      <c r="AI9" s="527">
        <f>C9+G9+L9+O9+R9+U9+Y9+AB9+AE9</f>
        <v>97</v>
      </c>
      <c r="AJ9" s="1414">
        <f>H9</f>
        <v>7</v>
      </c>
      <c r="AK9" s="527">
        <f>D9+I9+M9+P9+S9+V9+Z9+AC9+AF9</f>
        <v>734</v>
      </c>
      <c r="AL9" s="1416">
        <f>J9</f>
        <v>15</v>
      </c>
      <c r="AM9" s="1418">
        <f>W9</f>
        <v>0</v>
      </c>
    </row>
    <row r="10" spans="1:39" s="1364" customFormat="1" ht="18" customHeight="1">
      <c r="A10" s="528" t="s">
        <v>1920</v>
      </c>
      <c r="B10" s="513">
        <f>유치원!F165</f>
        <v>60</v>
      </c>
      <c r="C10" s="503">
        <f>유치원!BB165+유치원!BG165</f>
        <v>244</v>
      </c>
      <c r="D10" s="505">
        <f>유치원!BF165+유치원!BK165</f>
        <v>3878</v>
      </c>
      <c r="E10" s="506">
        <f>초등학교!E120</f>
        <v>42</v>
      </c>
      <c r="F10" s="1407"/>
      <c r="G10" s="503">
        <f>초등학교!U120</f>
        <v>1005</v>
      </c>
      <c r="H10" s="1407"/>
      <c r="I10" s="503">
        <f>초등학교!AH120</f>
        <v>19189</v>
      </c>
      <c r="J10" s="1410"/>
      <c r="K10" s="502">
        <f>중학교!F70</f>
        <v>21</v>
      </c>
      <c r="L10" s="504">
        <f>중학교!S70</f>
        <v>453</v>
      </c>
      <c r="M10" s="505">
        <f>중학교!Z70</f>
        <v>11120</v>
      </c>
      <c r="N10" s="502">
        <f>고등학교!F98</f>
        <v>19</v>
      </c>
      <c r="O10" s="504">
        <f>고등학교!S98</f>
        <v>442</v>
      </c>
      <c r="P10" s="505">
        <f>고등학교!Z98</f>
        <v>9934</v>
      </c>
      <c r="Q10" s="513">
        <v>4</v>
      </c>
      <c r="R10" s="510">
        <f>특수학교!Q99</f>
        <v>81</v>
      </c>
      <c r="S10" s="510">
        <f>특수학교!Q100</f>
        <v>377</v>
      </c>
      <c r="T10" s="513">
        <v>1</v>
      </c>
      <c r="U10" s="510">
        <f>'각종학교(각종,대안,외국인)'!S7</f>
        <v>6</v>
      </c>
      <c r="V10" s="510"/>
      <c r="W10" s="1420">
        <f>'각종학교(각종,대안,외국인)'!AI7</f>
        <v>1661</v>
      </c>
      <c r="X10" s="513"/>
      <c r="Y10" s="510"/>
      <c r="Z10" s="510"/>
      <c r="AA10" s="513"/>
      <c r="AB10" s="510"/>
      <c r="AC10" s="512"/>
      <c r="AD10" s="513">
        <v>1</v>
      </c>
      <c r="AE10" s="510">
        <f>학력인정평생교육시설!P8+학력인정평생교육시설!Q8</f>
        <v>21</v>
      </c>
      <c r="AF10" s="510">
        <f>학력인정평생교육시설!Z8+학력인정평생교육시설!AA8</f>
        <v>338</v>
      </c>
      <c r="AG10" s="526">
        <f t="shared" si="0"/>
        <v>148</v>
      </c>
      <c r="AH10" s="1412">
        <f t="shared" si="1"/>
        <v>0</v>
      </c>
      <c r="AI10" s="527">
        <f t="shared" si="2"/>
        <v>2252</v>
      </c>
      <c r="AJ10" s="1414">
        <f t="shared" si="3"/>
        <v>0</v>
      </c>
      <c r="AK10" s="527">
        <f t="shared" si="4"/>
        <v>44836</v>
      </c>
      <c r="AL10" s="1416">
        <f t="shared" si="5"/>
        <v>0</v>
      </c>
      <c r="AM10" s="1418">
        <f t="shared" si="6"/>
        <v>1661</v>
      </c>
    </row>
    <row r="11" spans="1:39" s="1364" customFormat="1" ht="18" customHeight="1">
      <c r="A11" s="528" t="s">
        <v>1923</v>
      </c>
      <c r="B11" s="513">
        <f>유치원!F201</f>
        <v>33</v>
      </c>
      <c r="C11" s="503">
        <f>유치원!BB201+유치원!BG201</f>
        <v>127</v>
      </c>
      <c r="D11" s="505">
        <f>유치원!BF201+유치원!BK201</f>
        <v>2109</v>
      </c>
      <c r="E11" s="506">
        <f>(COUNTA(초등학교!E121:E148))-F11</f>
        <v>26</v>
      </c>
      <c r="F11" s="1407">
        <v>1</v>
      </c>
      <c r="G11" s="503">
        <f>초등학교!U150-H11</f>
        <v>487</v>
      </c>
      <c r="H11" s="1407">
        <f>초등학교!U125</f>
        <v>4</v>
      </c>
      <c r="I11" s="503">
        <f>초등학교!AH150-J11</f>
        <v>9171</v>
      </c>
      <c r="J11" s="1410">
        <f>초등학교!AH125</f>
        <v>6</v>
      </c>
      <c r="K11" s="502">
        <f>중학교!F87</f>
        <v>15</v>
      </c>
      <c r="L11" s="504">
        <f>중학교!S87</f>
        <v>258</v>
      </c>
      <c r="M11" s="505">
        <f>중학교!Z87</f>
        <v>5838</v>
      </c>
      <c r="N11" s="502">
        <f>고등학교!F113</f>
        <v>11</v>
      </c>
      <c r="O11" s="504">
        <f>고등학교!S113</f>
        <v>256</v>
      </c>
      <c r="P11" s="505">
        <f>고등학교!Z113</f>
        <v>5850</v>
      </c>
      <c r="Q11" s="513">
        <v>1</v>
      </c>
      <c r="R11" s="510">
        <f>특수학교!F99</f>
        <v>43</v>
      </c>
      <c r="S11" s="510">
        <f>특수학교!F100</f>
        <v>250</v>
      </c>
      <c r="T11" s="513"/>
      <c r="U11" s="510"/>
      <c r="V11" s="510"/>
      <c r="W11" s="1420"/>
      <c r="X11" s="513"/>
      <c r="Y11" s="510"/>
      <c r="Z11" s="510"/>
      <c r="AA11" s="513"/>
      <c r="AB11" s="510"/>
      <c r="AC11" s="512"/>
      <c r="AD11" s="513"/>
      <c r="AE11" s="510"/>
      <c r="AF11" s="510"/>
      <c r="AG11" s="526">
        <f t="shared" si="0"/>
        <v>86</v>
      </c>
      <c r="AH11" s="1412">
        <f t="shared" si="1"/>
        <v>1</v>
      </c>
      <c r="AI11" s="527">
        <f t="shared" si="2"/>
        <v>1171</v>
      </c>
      <c r="AJ11" s="1414">
        <f t="shared" si="3"/>
        <v>4</v>
      </c>
      <c r="AK11" s="527">
        <f t="shared" si="4"/>
        <v>23218</v>
      </c>
      <c r="AL11" s="1416">
        <f t="shared" si="5"/>
        <v>6</v>
      </c>
      <c r="AM11" s="1418">
        <f t="shared" si="6"/>
        <v>0</v>
      </c>
    </row>
    <row r="12" spans="1:39" ht="18" customHeight="1">
      <c r="A12" s="528" t="s">
        <v>1921</v>
      </c>
      <c r="B12" s="513">
        <f>유치원!F265</f>
        <v>61</v>
      </c>
      <c r="C12" s="503">
        <f>유치원!BB265+유치원!BG265</f>
        <v>323</v>
      </c>
      <c r="D12" s="505">
        <f>유치원!BF265+유치원!BK265</f>
        <v>5415</v>
      </c>
      <c r="E12" s="506">
        <f>초등학교!E191</f>
        <v>39</v>
      </c>
      <c r="F12" s="1407"/>
      <c r="G12" s="503">
        <f>초등학교!U191</f>
        <v>981</v>
      </c>
      <c r="H12" s="1407"/>
      <c r="I12" s="503">
        <f>초등학교!AH191</f>
        <v>19810</v>
      </c>
      <c r="J12" s="1410"/>
      <c r="K12" s="502">
        <f>중학교!F112</f>
        <v>22</v>
      </c>
      <c r="L12" s="504">
        <f>중학교!S112</f>
        <v>518</v>
      </c>
      <c r="M12" s="505">
        <f>중학교!Z112</f>
        <v>13679</v>
      </c>
      <c r="N12" s="502">
        <f>고등학교!F136</f>
        <v>16</v>
      </c>
      <c r="O12" s="504">
        <f>고등학교!S136</f>
        <v>469</v>
      </c>
      <c r="P12" s="505">
        <f>고등학교!Z136</f>
        <v>11758</v>
      </c>
      <c r="Q12" s="513">
        <v>2</v>
      </c>
      <c r="R12" s="530">
        <f>특수학교!H99+특수학교!I99</f>
        <v>82</v>
      </c>
      <c r="S12" s="530">
        <f>특수학교!H100+특수학교!I100</f>
        <v>481</v>
      </c>
      <c r="T12" s="513">
        <v>2</v>
      </c>
      <c r="U12" s="510">
        <f>'각종학교(각종,대안,외국인)'!S8+'각종학교(각종,대안,외국인)'!S9</f>
        <v>16</v>
      </c>
      <c r="V12" s="510">
        <f>'각종학교(각종,대안,외국인)'!AH8+'각종학교(각종,대안,외국인)'!AH9</f>
        <v>120</v>
      </c>
      <c r="W12" s="1420">
        <f>'각종학교(각종,대안,외국인)'!AI8</f>
        <v>4</v>
      </c>
      <c r="X12" s="513"/>
      <c r="Y12" s="510"/>
      <c r="Z12" s="510"/>
      <c r="AA12" s="513">
        <v>1</v>
      </c>
      <c r="AB12" s="530">
        <f>방송통신중고등학교!P6</f>
        <v>6</v>
      </c>
      <c r="AC12" s="531">
        <f>방송통신중고등학교!W6</f>
        <v>135</v>
      </c>
      <c r="AD12" s="513"/>
      <c r="AE12" s="510"/>
      <c r="AF12" s="510"/>
      <c r="AG12" s="526">
        <f t="shared" si="0"/>
        <v>143</v>
      </c>
      <c r="AH12" s="1412">
        <f t="shared" si="1"/>
        <v>0</v>
      </c>
      <c r="AI12" s="527">
        <f t="shared" si="2"/>
        <v>2395</v>
      </c>
      <c r="AJ12" s="1414">
        <f t="shared" si="3"/>
        <v>0</v>
      </c>
      <c r="AK12" s="527">
        <f t="shared" si="4"/>
        <v>51398</v>
      </c>
      <c r="AL12" s="1416">
        <f t="shared" si="5"/>
        <v>0</v>
      </c>
      <c r="AM12" s="1418">
        <f t="shared" si="6"/>
        <v>4</v>
      </c>
    </row>
    <row r="13" spans="1:39" ht="18" customHeight="1">
      <c r="A13" s="528" t="s">
        <v>1922</v>
      </c>
      <c r="B13" s="513">
        <f>유치원!F318</f>
        <v>50</v>
      </c>
      <c r="C13" s="503">
        <f>유치원!BB318+유치원!BG318</f>
        <v>332</v>
      </c>
      <c r="D13" s="505">
        <f>유치원!BF318+유치원!BK318</f>
        <v>6174</v>
      </c>
      <c r="E13" s="506">
        <f>초등학교!E228</f>
        <v>34</v>
      </c>
      <c r="F13" s="1407"/>
      <c r="G13" s="503">
        <f>초등학교!U228</f>
        <v>1133</v>
      </c>
      <c r="H13" s="1407"/>
      <c r="I13" s="503">
        <f>초등학교!AH228</f>
        <v>24805</v>
      </c>
      <c r="J13" s="1410"/>
      <c r="K13" s="502">
        <f>중학교!F135</f>
        <v>20</v>
      </c>
      <c r="L13" s="504">
        <f>중학교!S135</f>
        <v>519</v>
      </c>
      <c r="M13" s="505">
        <f>중학교!Z135</f>
        <v>14395</v>
      </c>
      <c r="N13" s="502">
        <f>고등학교!F160</f>
        <v>16</v>
      </c>
      <c r="O13" s="504">
        <f>고등학교!S160</f>
        <v>475</v>
      </c>
      <c r="P13" s="505">
        <f>고등학교!Z160</f>
        <v>12125</v>
      </c>
      <c r="Q13" s="513">
        <v>1</v>
      </c>
      <c r="R13" s="530">
        <f>특수학교!G99</f>
        <v>48</v>
      </c>
      <c r="S13" s="530">
        <f>특수학교!G100</f>
        <v>285</v>
      </c>
      <c r="T13" s="513">
        <v>1</v>
      </c>
      <c r="U13" s="510">
        <f>'각종학교(각종,대안,외국인)'!S11</f>
        <v>3</v>
      </c>
      <c r="V13" s="510">
        <f>'각종학교(각종,대안,외국인)'!AH11</f>
        <v>38</v>
      </c>
      <c r="W13" s="1420"/>
      <c r="X13" s="513">
        <f>'외국교육기관(국제학교)'!D8</f>
        <v>2</v>
      </c>
      <c r="Y13" s="510">
        <f>'외국교육기관(국제학교)'!P8</f>
        <v>97</v>
      </c>
      <c r="Z13" s="510">
        <f>'외국교육기관(국제학교)'!Y8</f>
        <v>1960</v>
      </c>
      <c r="AA13" s="513">
        <v>1</v>
      </c>
      <c r="AB13" s="530">
        <f>방송통신중고등학교!P7</f>
        <v>12</v>
      </c>
      <c r="AC13" s="531">
        <f>방송통신중고등학교!W7</f>
        <v>258</v>
      </c>
      <c r="AD13" s="513"/>
      <c r="AE13" s="510"/>
      <c r="AF13" s="510"/>
      <c r="AG13" s="526">
        <f t="shared" si="0"/>
        <v>125</v>
      </c>
      <c r="AH13" s="1412">
        <f t="shared" si="1"/>
        <v>0</v>
      </c>
      <c r="AI13" s="527">
        <f t="shared" si="2"/>
        <v>2619</v>
      </c>
      <c r="AJ13" s="1414">
        <f t="shared" si="3"/>
        <v>0</v>
      </c>
      <c r="AK13" s="527">
        <f t="shared" si="4"/>
        <v>60040</v>
      </c>
      <c r="AL13" s="1416">
        <f t="shared" si="5"/>
        <v>0</v>
      </c>
      <c r="AM13" s="1418">
        <f t="shared" si="6"/>
        <v>0</v>
      </c>
    </row>
    <row r="14" spans="1:39" ht="18" customHeight="1">
      <c r="A14" s="528" t="s">
        <v>1930</v>
      </c>
      <c r="B14" s="513">
        <f>유치원!F407</f>
        <v>86</v>
      </c>
      <c r="C14" s="503">
        <f>유치원!BB407+유치원!BG407</f>
        <v>541</v>
      </c>
      <c r="D14" s="505">
        <f>유치원!BF407+유치원!BK407</f>
        <v>9528</v>
      </c>
      <c r="E14" s="506">
        <f>초등학교!E284</f>
        <v>54</v>
      </c>
      <c r="F14" s="1407"/>
      <c r="G14" s="503">
        <f>초등학교!U284</f>
        <v>1754</v>
      </c>
      <c r="H14" s="1407"/>
      <c r="I14" s="503">
        <f>초등학교!AH284</f>
        <v>36614</v>
      </c>
      <c r="J14" s="1410"/>
      <c r="K14" s="502">
        <f>중학교!F166</f>
        <v>29</v>
      </c>
      <c r="L14" s="504">
        <f>중학교!S166</f>
        <v>769</v>
      </c>
      <c r="M14" s="505">
        <f>중학교!Z166</f>
        <v>20364</v>
      </c>
      <c r="N14" s="502">
        <f>고등학교!F188</f>
        <v>20</v>
      </c>
      <c r="O14" s="504">
        <f>고등학교!S188</f>
        <v>613</v>
      </c>
      <c r="P14" s="505">
        <f>고등학교!Z188</f>
        <v>16205</v>
      </c>
      <c r="Q14" s="513">
        <v>1</v>
      </c>
      <c r="R14" s="530">
        <f>특수학교!K99</f>
        <v>53</v>
      </c>
      <c r="S14" s="530">
        <f>특수학교!K100</f>
        <v>301</v>
      </c>
      <c r="T14" s="513">
        <v>1</v>
      </c>
      <c r="U14" s="510">
        <f>'각종학교(각종,대안,외국인)'!S13</f>
        <v>40</v>
      </c>
      <c r="V14" s="510">
        <f>'각종학교(각종,대안,외국인)'!AH13</f>
        <v>555</v>
      </c>
      <c r="W14" s="1420"/>
      <c r="X14" s="513"/>
      <c r="Y14" s="510"/>
      <c r="Z14" s="510"/>
      <c r="AA14" s="513"/>
      <c r="AB14" s="510"/>
      <c r="AC14" s="512"/>
      <c r="AD14" s="513"/>
      <c r="AE14" s="510"/>
      <c r="AF14" s="510"/>
      <c r="AG14" s="526">
        <f t="shared" si="0"/>
        <v>191</v>
      </c>
      <c r="AH14" s="1412">
        <f t="shared" si="1"/>
        <v>0</v>
      </c>
      <c r="AI14" s="527">
        <f t="shared" si="2"/>
        <v>3770</v>
      </c>
      <c r="AJ14" s="1414">
        <f t="shared" si="3"/>
        <v>0</v>
      </c>
      <c r="AK14" s="527">
        <f t="shared" si="4"/>
        <v>83567</v>
      </c>
      <c r="AL14" s="1416">
        <f t="shared" si="5"/>
        <v>0</v>
      </c>
      <c r="AM14" s="1418">
        <f t="shared" si="6"/>
        <v>0</v>
      </c>
    </row>
    <row r="15" spans="1:39" ht="18" customHeight="1" thickBot="1">
      <c r="A15" s="521" t="s">
        <v>1924</v>
      </c>
      <c r="B15" s="522">
        <f>유치원!F428</f>
        <v>18</v>
      </c>
      <c r="C15" s="1380">
        <f>유치원!BB428+유치원!BG428</f>
        <v>36</v>
      </c>
      <c r="D15" s="1381">
        <f>유치원!BF428+유치원!BK428</f>
        <v>290</v>
      </c>
      <c r="E15" s="506">
        <f>초등학교!E306</f>
        <v>20</v>
      </c>
      <c r="F15" s="1407"/>
      <c r="G15" s="503">
        <f>초등학교!U306</f>
        <v>158</v>
      </c>
      <c r="H15" s="1407"/>
      <c r="I15" s="503">
        <f>초등학교!AH306</f>
        <v>1688</v>
      </c>
      <c r="J15" s="1410"/>
      <c r="K15" s="502">
        <f>중학교!F178</f>
        <v>9</v>
      </c>
      <c r="L15" s="504">
        <f>중학교!S178</f>
        <v>68</v>
      </c>
      <c r="M15" s="505">
        <f>중학교!Z178</f>
        <v>1235</v>
      </c>
      <c r="N15" s="502">
        <f>고등학교!F203</f>
        <v>8</v>
      </c>
      <c r="O15" s="504">
        <f>고등학교!S203</f>
        <v>83</v>
      </c>
      <c r="P15" s="505">
        <f>고등학교!Z203</f>
        <v>1643</v>
      </c>
      <c r="Q15" s="522"/>
      <c r="R15" s="514"/>
      <c r="S15" s="515"/>
      <c r="T15" s="522"/>
      <c r="U15" s="514"/>
      <c r="V15" s="514"/>
      <c r="W15" s="532"/>
      <c r="X15" s="522"/>
      <c r="Y15" s="514"/>
      <c r="Z15" s="514"/>
      <c r="AA15" s="522"/>
      <c r="AB15" s="514"/>
      <c r="AC15" s="515"/>
      <c r="AD15" s="522"/>
      <c r="AE15" s="514"/>
      <c r="AF15" s="514"/>
      <c r="AG15" s="526">
        <f t="shared" si="0"/>
        <v>55</v>
      </c>
      <c r="AH15" s="1412">
        <f t="shared" si="1"/>
        <v>0</v>
      </c>
      <c r="AI15" s="527">
        <f t="shared" si="2"/>
        <v>345</v>
      </c>
      <c r="AJ15" s="1414">
        <f t="shared" si="3"/>
        <v>0</v>
      </c>
      <c r="AK15" s="527">
        <f t="shared" si="4"/>
        <v>4856</v>
      </c>
      <c r="AL15" s="1416">
        <f t="shared" si="5"/>
        <v>0</v>
      </c>
      <c r="AM15" s="1418">
        <f t="shared" si="6"/>
        <v>0</v>
      </c>
    </row>
    <row r="16" spans="1:39" ht="18" customHeight="1" thickBot="1">
      <c r="A16" s="533" t="s">
        <v>1925</v>
      </c>
      <c r="B16" s="516">
        <f t="shared" ref="B16:AJ16" si="7">SUM(B6:B15)</f>
        <v>391</v>
      </c>
      <c r="C16" s="517">
        <f t="shared" si="7"/>
        <v>1960</v>
      </c>
      <c r="D16" s="518">
        <f t="shared" si="7"/>
        <v>33187</v>
      </c>
      <c r="E16" s="516">
        <f t="shared" si="7"/>
        <v>269</v>
      </c>
      <c r="F16" s="1408">
        <f t="shared" si="7"/>
        <v>7</v>
      </c>
      <c r="G16" s="688">
        <f t="shared" si="7"/>
        <v>6893</v>
      </c>
      <c r="H16" s="1409">
        <f t="shared" si="7"/>
        <v>18</v>
      </c>
      <c r="I16" s="517">
        <f t="shared" si="7"/>
        <v>138773</v>
      </c>
      <c r="J16" s="1411">
        <f t="shared" si="7"/>
        <v>63</v>
      </c>
      <c r="K16" s="516">
        <f t="shared" si="7"/>
        <v>147</v>
      </c>
      <c r="L16" s="517">
        <f t="shared" si="7"/>
        <v>3196</v>
      </c>
      <c r="M16" s="518">
        <f t="shared" si="7"/>
        <v>81498</v>
      </c>
      <c r="N16" s="516">
        <f t="shared" si="7"/>
        <v>129</v>
      </c>
      <c r="O16" s="517">
        <f t="shared" si="7"/>
        <v>3212</v>
      </c>
      <c r="P16" s="518">
        <f t="shared" si="7"/>
        <v>75229</v>
      </c>
      <c r="Q16" s="516">
        <f t="shared" si="7"/>
        <v>10</v>
      </c>
      <c r="R16" s="517">
        <f t="shared" si="7"/>
        <v>364</v>
      </c>
      <c r="S16" s="518">
        <f t="shared" si="7"/>
        <v>2027</v>
      </c>
      <c r="T16" s="516">
        <f t="shared" si="7"/>
        <v>7</v>
      </c>
      <c r="U16" s="517">
        <f t="shared" si="7"/>
        <v>87</v>
      </c>
      <c r="V16" s="517">
        <f t="shared" si="7"/>
        <v>1060</v>
      </c>
      <c r="W16" s="1411">
        <f t="shared" si="7"/>
        <v>1791</v>
      </c>
      <c r="X16" s="516">
        <f t="shared" si="7"/>
        <v>2</v>
      </c>
      <c r="Y16" s="517">
        <f t="shared" si="7"/>
        <v>97</v>
      </c>
      <c r="Z16" s="517">
        <f t="shared" si="7"/>
        <v>1960</v>
      </c>
      <c r="AA16" s="516">
        <f t="shared" si="7"/>
        <v>3</v>
      </c>
      <c r="AB16" s="517">
        <f t="shared" si="7"/>
        <v>24</v>
      </c>
      <c r="AC16" s="518">
        <f t="shared" si="7"/>
        <v>531</v>
      </c>
      <c r="AD16" s="516">
        <f t="shared" si="7"/>
        <v>2</v>
      </c>
      <c r="AE16" s="517">
        <f t="shared" si="7"/>
        <v>45</v>
      </c>
      <c r="AF16" s="517">
        <f t="shared" si="7"/>
        <v>1297</v>
      </c>
      <c r="AG16" s="534">
        <f>SUM(AG6:AG15)</f>
        <v>960</v>
      </c>
      <c r="AH16" s="1413">
        <f>SUM(AH6:AH15)</f>
        <v>7</v>
      </c>
      <c r="AI16" s="535">
        <f>SUM(AI6:AI15)</f>
        <v>15878</v>
      </c>
      <c r="AJ16" s="1415">
        <f t="shared" si="7"/>
        <v>18</v>
      </c>
      <c r="AK16" s="535">
        <f>SUM(AK6:AK15)</f>
        <v>335562</v>
      </c>
      <c r="AL16" s="1415">
        <f>SUM(AL6:AL15)</f>
        <v>63</v>
      </c>
      <c r="AM16" s="1415">
        <f>SUM(AM6:AM15)</f>
        <v>1791</v>
      </c>
    </row>
    <row r="17" spans="1:39">
      <c r="A17" s="536"/>
      <c r="B17" s="536"/>
      <c r="C17" s="536"/>
      <c r="D17" s="536"/>
      <c r="E17" s="536"/>
      <c r="F17" s="536"/>
      <c r="G17" s="536"/>
      <c r="H17" s="536"/>
      <c r="I17" s="536"/>
      <c r="J17" s="536"/>
      <c r="K17" s="536"/>
      <c r="L17" s="536"/>
      <c r="M17" s="536"/>
      <c r="N17" s="536"/>
      <c r="O17" s="536"/>
      <c r="P17" s="536"/>
      <c r="Q17" s="536"/>
      <c r="R17" s="536"/>
      <c r="S17" s="536"/>
      <c r="T17" s="536"/>
      <c r="U17" s="536"/>
      <c r="V17" s="536"/>
      <c r="W17" s="536"/>
      <c r="X17" s="536"/>
      <c r="Y17" s="536"/>
      <c r="Z17" s="536"/>
      <c r="AA17" s="536"/>
      <c r="AB17" s="536"/>
      <c r="AC17" s="536"/>
      <c r="AD17" s="536"/>
      <c r="AE17" s="536"/>
      <c r="AF17" s="536"/>
      <c r="AG17" s="536"/>
      <c r="AH17" s="536"/>
      <c r="AI17" s="536"/>
      <c r="AJ17" s="536"/>
      <c r="AK17" s="536"/>
      <c r="AL17" s="536"/>
      <c r="AM17" s="536"/>
    </row>
    <row r="18" spans="1:39">
      <c r="A18" s="537" t="s">
        <v>1931</v>
      </c>
      <c r="B18" s="494"/>
      <c r="C18" s="494"/>
      <c r="D18" s="494"/>
      <c r="E18" s="494"/>
      <c r="F18" s="494"/>
      <c r="G18" s="494"/>
      <c r="H18" s="494"/>
      <c r="I18" s="802"/>
      <c r="J18" s="802"/>
      <c r="K18" s="494"/>
      <c r="L18" s="494"/>
      <c r="M18" s="494"/>
      <c r="N18" s="494"/>
      <c r="O18" s="494"/>
      <c r="P18" s="1447"/>
      <c r="Q18" s="494"/>
      <c r="R18" s="494"/>
      <c r="S18" s="494"/>
      <c r="T18" s="494"/>
      <c r="U18" s="494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4"/>
      <c r="AG18" s="494"/>
      <c r="AH18" s="494"/>
      <c r="AI18" s="494"/>
      <c r="AJ18" s="494"/>
      <c r="AK18" s="494"/>
      <c r="AL18" s="494"/>
      <c r="AM18" s="494"/>
    </row>
    <row r="19" spans="1:39">
      <c r="E19" s="793"/>
      <c r="F19" s="793"/>
      <c r="I19" s="793"/>
      <c r="J19" s="793"/>
      <c r="K19" s="793"/>
      <c r="L19" s="793"/>
      <c r="N19" s="793"/>
      <c r="O19" s="793"/>
      <c r="P19" s="793"/>
      <c r="R19" s="793"/>
      <c r="AK19" s="793"/>
      <c r="AL19" s="793"/>
    </row>
    <row r="21" spans="1:39">
      <c r="E21" s="793"/>
      <c r="F21" s="793"/>
      <c r="I21" s="793"/>
      <c r="J21" s="793"/>
      <c r="L21" s="793"/>
      <c r="R21" s="793"/>
    </row>
    <row r="22" spans="1:39" ht="26.25" customHeight="1">
      <c r="A22" s="519" t="s">
        <v>4950</v>
      </c>
      <c r="B22" s="519"/>
      <c r="C22" s="519"/>
      <c r="D22" s="519"/>
      <c r="E22" s="519"/>
      <c r="F22" s="519"/>
      <c r="G22" s="519"/>
      <c r="H22" s="519"/>
      <c r="I22" s="519"/>
      <c r="J22" s="519"/>
      <c r="K22" s="519"/>
      <c r="L22" s="519"/>
      <c r="M22" s="519"/>
      <c r="N22" s="519"/>
      <c r="O22" s="519"/>
      <c r="P22" s="519"/>
      <c r="Q22" s="519"/>
      <c r="R22" s="519"/>
      <c r="S22" s="519"/>
      <c r="T22" s="519"/>
      <c r="U22" s="519"/>
      <c r="V22" s="519"/>
      <c r="W22" s="519"/>
      <c r="X22" s="519"/>
      <c r="Y22" s="519"/>
      <c r="Z22" s="519"/>
      <c r="AA22" s="519"/>
      <c r="AB22" s="519"/>
      <c r="AC22" s="519"/>
      <c r="AD22" s="519"/>
      <c r="AE22" s="519"/>
      <c r="AF22" s="519"/>
      <c r="AG22" s="519"/>
      <c r="AH22" s="519"/>
      <c r="AI22" s="519"/>
      <c r="AJ22" s="519"/>
      <c r="AK22" s="519"/>
      <c r="AL22" s="519"/>
      <c r="AM22" s="519"/>
    </row>
    <row r="23" spans="1:39" ht="20.100000000000001" customHeight="1" thickBot="1">
      <c r="A23" s="524" t="s">
        <v>3244</v>
      </c>
      <c r="B23" s="524"/>
      <c r="C23" s="524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  <c r="T23" s="492"/>
      <c r="U23" s="492"/>
      <c r="V23" s="493"/>
      <c r="W23" s="490"/>
      <c r="X23" s="492"/>
      <c r="Y23" s="492"/>
      <c r="Z23" s="493"/>
      <c r="AA23" s="490"/>
      <c r="AB23" s="492"/>
      <c r="AC23" s="492"/>
      <c r="AD23" s="492"/>
      <c r="AE23" s="492"/>
      <c r="AF23" s="493"/>
      <c r="AG23" s="492"/>
      <c r="AH23" s="492"/>
      <c r="AI23" s="492"/>
      <c r="AJ23" s="492"/>
      <c r="AK23" s="492"/>
      <c r="AL23" s="492"/>
      <c r="AM23" s="493"/>
    </row>
    <row r="24" spans="1:39" ht="18" customHeight="1">
      <c r="A24" s="1535" t="s">
        <v>1907</v>
      </c>
      <c r="B24" s="1538" t="s">
        <v>1911</v>
      </c>
      <c r="C24" s="1539"/>
      <c r="D24" s="1540"/>
      <c r="E24" s="1538" t="s">
        <v>1912</v>
      </c>
      <c r="F24" s="1539"/>
      <c r="G24" s="1539"/>
      <c r="H24" s="1539"/>
      <c r="I24" s="1539"/>
      <c r="J24" s="1540"/>
      <c r="K24" s="1538" t="s">
        <v>1913</v>
      </c>
      <c r="L24" s="1539"/>
      <c r="M24" s="1540"/>
      <c r="N24" s="1538" t="s">
        <v>1914</v>
      </c>
      <c r="O24" s="1539"/>
      <c r="P24" s="1540"/>
      <c r="Q24" s="1538" t="s">
        <v>1915</v>
      </c>
      <c r="R24" s="1539"/>
      <c r="S24" s="1540"/>
      <c r="T24" s="1538" t="s">
        <v>1935</v>
      </c>
      <c r="U24" s="1539"/>
      <c r="V24" s="1539"/>
      <c r="W24" s="1540"/>
      <c r="X24" s="1538" t="s">
        <v>1916</v>
      </c>
      <c r="Y24" s="1539"/>
      <c r="Z24" s="1539"/>
      <c r="AA24" s="1538" t="s">
        <v>1932</v>
      </c>
      <c r="AB24" s="1539"/>
      <c r="AC24" s="1540"/>
      <c r="AD24" s="1538" t="s">
        <v>1927</v>
      </c>
      <c r="AE24" s="1539"/>
      <c r="AF24" s="1539"/>
      <c r="AG24" s="1548" t="s">
        <v>402</v>
      </c>
      <c r="AH24" s="1549"/>
      <c r="AI24" s="1549"/>
      <c r="AJ24" s="1549"/>
      <c r="AK24" s="1549"/>
      <c r="AL24" s="1549"/>
      <c r="AM24" s="1550"/>
    </row>
    <row r="25" spans="1:39" ht="18" customHeight="1">
      <c r="A25" s="1536"/>
      <c r="B25" s="1541" t="s">
        <v>1903</v>
      </c>
      <c r="C25" s="1544" t="s">
        <v>2</v>
      </c>
      <c r="D25" s="1546" t="s">
        <v>3</v>
      </c>
      <c r="E25" s="1532" t="s">
        <v>1928</v>
      </c>
      <c r="F25" s="1533"/>
      <c r="G25" s="1534" t="s">
        <v>134</v>
      </c>
      <c r="H25" s="1533"/>
      <c r="I25" s="1534" t="s">
        <v>401</v>
      </c>
      <c r="J25" s="1543"/>
      <c r="K25" s="1541" t="s">
        <v>1903</v>
      </c>
      <c r="L25" s="1544" t="s">
        <v>2</v>
      </c>
      <c r="M25" s="1546" t="s">
        <v>3</v>
      </c>
      <c r="N25" s="1541" t="s">
        <v>1903</v>
      </c>
      <c r="O25" s="1544" t="s">
        <v>2</v>
      </c>
      <c r="P25" s="1546" t="s">
        <v>3</v>
      </c>
      <c r="Q25" s="1541" t="s">
        <v>1903</v>
      </c>
      <c r="R25" s="1544" t="s">
        <v>2</v>
      </c>
      <c r="S25" s="1546" t="s">
        <v>3</v>
      </c>
      <c r="T25" s="1541" t="s">
        <v>1903</v>
      </c>
      <c r="U25" s="1544" t="s">
        <v>2</v>
      </c>
      <c r="V25" s="1534" t="s">
        <v>401</v>
      </c>
      <c r="W25" s="1543"/>
      <c r="X25" s="1541" t="s">
        <v>1903</v>
      </c>
      <c r="Y25" s="1544" t="s">
        <v>2</v>
      </c>
      <c r="Z25" s="1546" t="s">
        <v>3</v>
      </c>
      <c r="AA25" s="1541" t="s">
        <v>1903</v>
      </c>
      <c r="AB25" s="1544" t="s">
        <v>2</v>
      </c>
      <c r="AC25" s="1546" t="s">
        <v>3</v>
      </c>
      <c r="AD25" s="1541" t="s">
        <v>1903</v>
      </c>
      <c r="AE25" s="1544" t="s">
        <v>2</v>
      </c>
      <c r="AF25" s="1546" t="s">
        <v>3</v>
      </c>
      <c r="AG25" s="1551" t="s">
        <v>1928</v>
      </c>
      <c r="AH25" s="1552"/>
      <c r="AI25" s="1553" t="s">
        <v>134</v>
      </c>
      <c r="AJ25" s="1552"/>
      <c r="AK25" s="1553" t="s">
        <v>401</v>
      </c>
      <c r="AL25" s="1554"/>
      <c r="AM25" s="1555"/>
    </row>
    <row r="26" spans="1:39" ht="18" customHeight="1" thickBot="1">
      <c r="A26" s="1537"/>
      <c r="B26" s="1542"/>
      <c r="C26" s="1545"/>
      <c r="D26" s="1547"/>
      <c r="E26" s="1378"/>
      <c r="F26" s="1421" t="s">
        <v>1962</v>
      </c>
      <c r="G26" s="1379"/>
      <c r="H26" s="1421" t="s">
        <v>1962</v>
      </c>
      <c r="I26" s="1379"/>
      <c r="J26" s="1422" t="s">
        <v>1962</v>
      </c>
      <c r="K26" s="1542"/>
      <c r="L26" s="1545"/>
      <c r="M26" s="1547"/>
      <c r="N26" s="1542"/>
      <c r="O26" s="1545"/>
      <c r="P26" s="1547"/>
      <c r="Q26" s="1542"/>
      <c r="R26" s="1545"/>
      <c r="S26" s="1547"/>
      <c r="T26" s="1542"/>
      <c r="U26" s="1545"/>
      <c r="V26" s="1425"/>
      <c r="W26" s="1426" t="s">
        <v>4952</v>
      </c>
      <c r="X26" s="1542"/>
      <c r="Y26" s="1545"/>
      <c r="Z26" s="1547"/>
      <c r="AA26" s="1542"/>
      <c r="AB26" s="1545"/>
      <c r="AC26" s="1547"/>
      <c r="AD26" s="1542"/>
      <c r="AE26" s="1545"/>
      <c r="AF26" s="1547"/>
      <c r="AG26" s="1377"/>
      <c r="AH26" s="1423" t="s">
        <v>1962</v>
      </c>
      <c r="AI26" s="1376" t="s">
        <v>2</v>
      </c>
      <c r="AJ26" s="1421" t="s">
        <v>1962</v>
      </c>
      <c r="AK26" s="1376"/>
      <c r="AL26" s="1424" t="s">
        <v>1962</v>
      </c>
      <c r="AM26" s="1417" t="s">
        <v>1917</v>
      </c>
    </row>
    <row r="27" spans="1:39" ht="18" customHeight="1" thickTop="1">
      <c r="A27" s="1279" t="s">
        <v>131</v>
      </c>
      <c r="B27" s="1382">
        <f>유치원!F50</f>
        <v>40</v>
      </c>
      <c r="C27" s="1383">
        <f>유치원!BB50+유치원!BG50</f>
        <v>173</v>
      </c>
      <c r="D27" s="1384">
        <f>유치원!BF50+유치원!BK50</f>
        <v>3057</v>
      </c>
      <c r="E27" s="1385">
        <f>E6</f>
        <v>23</v>
      </c>
      <c r="F27" s="1427"/>
      <c r="G27" s="1383">
        <f>G6</f>
        <v>717</v>
      </c>
      <c r="H27" s="1431"/>
      <c r="I27" s="1386">
        <f>I6</f>
        <v>14748</v>
      </c>
      <c r="J27" s="1435"/>
      <c r="K27" s="1382">
        <f t="shared" ref="K27:AF27" si="8">K6</f>
        <v>12</v>
      </c>
      <c r="L27" s="1383">
        <f t="shared" si="8"/>
        <v>303</v>
      </c>
      <c r="M27" s="1384">
        <f t="shared" si="8"/>
        <v>7668</v>
      </c>
      <c r="N27" s="1385">
        <f t="shared" si="8"/>
        <v>15</v>
      </c>
      <c r="O27" s="1383">
        <f t="shared" si="8"/>
        <v>414</v>
      </c>
      <c r="P27" s="1386">
        <f t="shared" si="8"/>
        <v>8104</v>
      </c>
      <c r="Q27" s="1382">
        <f t="shared" si="8"/>
        <v>1</v>
      </c>
      <c r="R27" s="1383">
        <f t="shared" si="8"/>
        <v>57</v>
      </c>
      <c r="S27" s="1384">
        <f t="shared" si="8"/>
        <v>333</v>
      </c>
      <c r="T27" s="1385">
        <f t="shared" si="8"/>
        <v>0</v>
      </c>
      <c r="U27" s="1383">
        <f t="shared" si="8"/>
        <v>0</v>
      </c>
      <c r="V27" s="1383">
        <f t="shared" si="8"/>
        <v>0</v>
      </c>
      <c r="W27" s="1431">
        <f t="shared" si="8"/>
        <v>0</v>
      </c>
      <c r="X27" s="1382">
        <f t="shared" si="8"/>
        <v>0</v>
      </c>
      <c r="Y27" s="1383">
        <f t="shared" si="8"/>
        <v>0</v>
      </c>
      <c r="Z27" s="1384">
        <f t="shared" si="8"/>
        <v>0</v>
      </c>
      <c r="AA27" s="1385">
        <f t="shared" si="8"/>
        <v>0</v>
      </c>
      <c r="AB27" s="1383">
        <f t="shared" si="8"/>
        <v>0</v>
      </c>
      <c r="AC27" s="1386">
        <f t="shared" si="8"/>
        <v>0</v>
      </c>
      <c r="AD27" s="1382">
        <f t="shared" si="8"/>
        <v>1</v>
      </c>
      <c r="AE27" s="1383">
        <f t="shared" si="8"/>
        <v>24</v>
      </c>
      <c r="AF27" s="1384">
        <f t="shared" si="8"/>
        <v>959</v>
      </c>
      <c r="AG27" s="1387">
        <f>B27+E27+K27+N27+Q27+T27+X27+AA27+AD27</f>
        <v>92</v>
      </c>
      <c r="AH27" s="1439">
        <f>F27</f>
        <v>0</v>
      </c>
      <c r="AI27" s="1388">
        <f>C27+G27+L27+O27+R27+U27+Y27+AB27+AE27</f>
        <v>1688</v>
      </c>
      <c r="AJ27" s="1441">
        <f>H27</f>
        <v>0</v>
      </c>
      <c r="AK27" s="1388">
        <f>D27+I27+M27+P27+S27+V27+Z27+AC27+AF27</f>
        <v>34869</v>
      </c>
      <c r="AL27" s="1442">
        <f>J27</f>
        <v>0</v>
      </c>
      <c r="AM27" s="1443">
        <f>AM6</f>
        <v>0</v>
      </c>
    </row>
    <row r="28" spans="1:39" s="81" customFormat="1" ht="18" customHeight="1">
      <c r="A28" s="1280" t="s">
        <v>2821</v>
      </c>
      <c r="B28" s="1389">
        <v>19</v>
      </c>
      <c r="C28" s="1390">
        <v>76</v>
      </c>
      <c r="D28" s="1391">
        <v>900</v>
      </c>
      <c r="E28" s="1392">
        <v>14</v>
      </c>
      <c r="F28" s="1428"/>
      <c r="G28" s="1390">
        <v>258</v>
      </c>
      <c r="H28" s="1432"/>
      <c r="I28" s="1393">
        <v>4764</v>
      </c>
      <c r="J28" s="1436"/>
      <c r="K28" s="1389">
        <v>8</v>
      </c>
      <c r="L28" s="1390">
        <v>135</v>
      </c>
      <c r="M28" s="1391">
        <v>2848</v>
      </c>
      <c r="N28" s="1392">
        <v>11</v>
      </c>
      <c r="O28" s="1390">
        <v>262</v>
      </c>
      <c r="P28" s="1393">
        <v>5065</v>
      </c>
      <c r="Q28" s="1389"/>
      <c r="R28" s="1390"/>
      <c r="S28" s="1391"/>
      <c r="T28" s="1392">
        <v>2</v>
      </c>
      <c r="U28" s="1390">
        <f>9+13</f>
        <v>22</v>
      </c>
      <c r="V28" s="1390">
        <v>347</v>
      </c>
      <c r="W28" s="1432">
        <f>W7</f>
        <v>126</v>
      </c>
      <c r="X28" s="1389"/>
      <c r="Y28" s="1390"/>
      <c r="Z28" s="1391"/>
      <c r="AA28" s="1392">
        <v>1</v>
      </c>
      <c r="AB28" s="1390">
        <v>6</v>
      </c>
      <c r="AC28" s="1393">
        <v>138</v>
      </c>
      <c r="AD28" s="1389"/>
      <c r="AE28" s="1390"/>
      <c r="AF28" s="1391"/>
      <c r="AG28" s="1387">
        <f t="shared" ref="AG28:AG37" si="9">B28+E28+K28+N28+Q28+T28+X28+AA28+AD28</f>
        <v>55</v>
      </c>
      <c r="AH28" s="1439">
        <f t="shared" ref="AH28:AH37" si="10">F28</f>
        <v>0</v>
      </c>
      <c r="AI28" s="1388">
        <f t="shared" ref="AI28:AI37" si="11">C28+G28+L28+O28+R28+U28+Y28+AB28+AE28</f>
        <v>759</v>
      </c>
      <c r="AJ28" s="1441">
        <f t="shared" ref="AJ28:AJ37" si="12">H28</f>
        <v>0</v>
      </c>
      <c r="AK28" s="1388">
        <f t="shared" ref="AK28:AK37" si="13">D28+I28+M28+P28+S28+V28+Z28+AC28+AF28</f>
        <v>14062</v>
      </c>
      <c r="AL28" s="1442">
        <f t="shared" ref="AL28:AL37" si="14">J28</f>
        <v>0</v>
      </c>
      <c r="AM28" s="1444">
        <f>W28</f>
        <v>126</v>
      </c>
    </row>
    <row r="29" spans="1:39" s="1364" customFormat="1" ht="18" customHeight="1">
      <c r="A29" s="1280" t="s">
        <v>2823</v>
      </c>
      <c r="B29" s="1389">
        <v>14</v>
      </c>
      <c r="C29" s="1390">
        <f>90+8</f>
        <v>98</v>
      </c>
      <c r="D29" s="1391">
        <f>1767+31</f>
        <v>1798</v>
      </c>
      <c r="E29" s="1392">
        <v>11</v>
      </c>
      <c r="F29" s="1428">
        <v>1</v>
      </c>
      <c r="G29" s="1390">
        <v>360</v>
      </c>
      <c r="H29" s="1432">
        <f>초등학교!U65</f>
        <v>7</v>
      </c>
      <c r="I29" s="1393">
        <v>7703</v>
      </c>
      <c r="J29" s="1436">
        <f>초등학교!AH65</f>
        <v>42</v>
      </c>
      <c r="K29" s="1389">
        <v>6</v>
      </c>
      <c r="L29" s="1390">
        <v>150</v>
      </c>
      <c r="M29" s="1391">
        <v>4152</v>
      </c>
      <c r="N29" s="1392">
        <v>8</v>
      </c>
      <c r="O29" s="1390">
        <v>174</v>
      </c>
      <c r="P29" s="1393">
        <v>4329</v>
      </c>
      <c r="Q29" s="1389"/>
      <c r="R29" s="1390"/>
      <c r="S29" s="1391"/>
      <c r="T29" s="1392"/>
      <c r="U29" s="1390"/>
      <c r="V29" s="1390"/>
      <c r="W29" s="1432"/>
      <c r="X29" s="1389"/>
      <c r="Y29" s="1390"/>
      <c r="Z29" s="1391"/>
      <c r="AA29" s="1392"/>
      <c r="AB29" s="1390"/>
      <c r="AC29" s="1393"/>
      <c r="AD29" s="1389"/>
      <c r="AE29" s="1390"/>
      <c r="AF29" s="1391"/>
      <c r="AG29" s="1387">
        <f t="shared" si="9"/>
        <v>39</v>
      </c>
      <c r="AH29" s="1439">
        <f t="shared" si="10"/>
        <v>1</v>
      </c>
      <c r="AI29" s="1388">
        <f t="shared" si="11"/>
        <v>782</v>
      </c>
      <c r="AJ29" s="1441">
        <f t="shared" si="12"/>
        <v>7</v>
      </c>
      <c r="AK29" s="1388">
        <f t="shared" si="13"/>
        <v>17982</v>
      </c>
      <c r="AL29" s="1442">
        <f t="shared" si="14"/>
        <v>42</v>
      </c>
      <c r="AM29" s="1444">
        <f t="shared" ref="AM29:AM36" si="15">W29</f>
        <v>0</v>
      </c>
    </row>
    <row r="30" spans="1:39" s="339" customFormat="1" ht="18" customHeight="1">
      <c r="A30" s="1280" t="s">
        <v>1905</v>
      </c>
      <c r="B30" s="1389">
        <f t="shared" ref="B30:Y30" si="16">B9</f>
        <v>10</v>
      </c>
      <c r="C30" s="1390">
        <f t="shared" si="16"/>
        <v>10</v>
      </c>
      <c r="D30" s="1391">
        <f t="shared" si="16"/>
        <v>38</v>
      </c>
      <c r="E30" s="1392">
        <f t="shared" si="16"/>
        <v>6</v>
      </c>
      <c r="F30" s="1428">
        <f t="shared" si="16"/>
        <v>5</v>
      </c>
      <c r="G30" s="1390">
        <f t="shared" si="16"/>
        <v>40</v>
      </c>
      <c r="H30" s="1432">
        <f t="shared" si="16"/>
        <v>7</v>
      </c>
      <c r="I30" s="1393">
        <f t="shared" si="16"/>
        <v>281</v>
      </c>
      <c r="J30" s="1436">
        <f t="shared" si="16"/>
        <v>15</v>
      </c>
      <c r="K30" s="1389">
        <f t="shared" si="16"/>
        <v>5</v>
      </c>
      <c r="L30" s="1390">
        <f t="shared" si="16"/>
        <v>23</v>
      </c>
      <c r="M30" s="1391">
        <f t="shared" si="16"/>
        <v>199</v>
      </c>
      <c r="N30" s="1392">
        <f t="shared" si="16"/>
        <v>5</v>
      </c>
      <c r="O30" s="1390">
        <f t="shared" si="16"/>
        <v>24</v>
      </c>
      <c r="P30" s="1393">
        <f t="shared" si="16"/>
        <v>216</v>
      </c>
      <c r="Q30" s="1389">
        <f t="shared" si="16"/>
        <v>0</v>
      </c>
      <c r="R30" s="1390">
        <f t="shared" si="16"/>
        <v>0</v>
      </c>
      <c r="S30" s="1391">
        <f t="shared" si="16"/>
        <v>0</v>
      </c>
      <c r="T30" s="1392">
        <f t="shared" si="16"/>
        <v>0</v>
      </c>
      <c r="U30" s="1390">
        <f t="shared" si="16"/>
        <v>0</v>
      </c>
      <c r="V30" s="1390">
        <f t="shared" si="16"/>
        <v>0</v>
      </c>
      <c r="W30" s="1432">
        <f t="shared" si="16"/>
        <v>0</v>
      </c>
      <c r="X30" s="1389">
        <f t="shared" si="16"/>
        <v>0</v>
      </c>
      <c r="Y30" s="1390">
        <f t="shared" si="16"/>
        <v>0</v>
      </c>
      <c r="Z30" s="1391">
        <f t="shared" ref="Z30:AF30" si="17">Z9</f>
        <v>0</v>
      </c>
      <c r="AA30" s="1392">
        <f t="shared" si="17"/>
        <v>0</v>
      </c>
      <c r="AB30" s="1390">
        <f t="shared" si="17"/>
        <v>0</v>
      </c>
      <c r="AC30" s="1393">
        <f t="shared" si="17"/>
        <v>0</v>
      </c>
      <c r="AD30" s="1389">
        <f t="shared" si="17"/>
        <v>0</v>
      </c>
      <c r="AE30" s="1390">
        <f t="shared" si="17"/>
        <v>0</v>
      </c>
      <c r="AF30" s="1391">
        <f t="shared" si="17"/>
        <v>0</v>
      </c>
      <c r="AG30" s="1387">
        <f>B30+E30+K30+N30+Q30+T30+X30+AA30+AD30</f>
        <v>26</v>
      </c>
      <c r="AH30" s="1439">
        <f>F30</f>
        <v>5</v>
      </c>
      <c r="AI30" s="1388">
        <f>C30+G30+L30+O30+R30+U30+Y30+AB30+AE30</f>
        <v>97</v>
      </c>
      <c r="AJ30" s="1441">
        <f>H30</f>
        <v>7</v>
      </c>
      <c r="AK30" s="1388">
        <f t="shared" si="13"/>
        <v>734</v>
      </c>
      <c r="AL30" s="1442">
        <f>J30</f>
        <v>15</v>
      </c>
      <c r="AM30" s="1444">
        <f>AM9</f>
        <v>0</v>
      </c>
    </row>
    <row r="31" spans="1:39" s="339" customFormat="1" ht="18" customHeight="1">
      <c r="A31" s="1280" t="s">
        <v>1920</v>
      </c>
      <c r="B31" s="1389">
        <f t="shared" ref="B31:AF31" si="18">B10</f>
        <v>60</v>
      </c>
      <c r="C31" s="1390">
        <f t="shared" si="18"/>
        <v>244</v>
      </c>
      <c r="D31" s="1391">
        <f t="shared" si="18"/>
        <v>3878</v>
      </c>
      <c r="E31" s="1392">
        <f t="shared" si="18"/>
        <v>42</v>
      </c>
      <c r="F31" s="1428">
        <f t="shared" si="18"/>
        <v>0</v>
      </c>
      <c r="G31" s="1390">
        <f t="shared" si="18"/>
        <v>1005</v>
      </c>
      <c r="H31" s="1432">
        <f t="shared" si="18"/>
        <v>0</v>
      </c>
      <c r="I31" s="1393">
        <f t="shared" si="18"/>
        <v>19189</v>
      </c>
      <c r="J31" s="1436">
        <f t="shared" si="18"/>
        <v>0</v>
      </c>
      <c r="K31" s="1389">
        <f t="shared" si="18"/>
        <v>21</v>
      </c>
      <c r="L31" s="1390">
        <f t="shared" si="18"/>
        <v>453</v>
      </c>
      <c r="M31" s="1391">
        <f t="shared" si="18"/>
        <v>11120</v>
      </c>
      <c r="N31" s="1392">
        <f t="shared" si="18"/>
        <v>19</v>
      </c>
      <c r="O31" s="1390">
        <f t="shared" si="18"/>
        <v>442</v>
      </c>
      <c r="P31" s="1393">
        <f t="shared" si="18"/>
        <v>9934</v>
      </c>
      <c r="Q31" s="1389">
        <f t="shared" si="18"/>
        <v>4</v>
      </c>
      <c r="R31" s="1390">
        <f t="shared" si="18"/>
        <v>81</v>
      </c>
      <c r="S31" s="1391">
        <f t="shared" si="18"/>
        <v>377</v>
      </c>
      <c r="T31" s="1392">
        <f t="shared" si="18"/>
        <v>1</v>
      </c>
      <c r="U31" s="1390">
        <f t="shared" si="18"/>
        <v>6</v>
      </c>
      <c r="V31" s="1390">
        <f t="shared" si="18"/>
        <v>0</v>
      </c>
      <c r="W31" s="1432">
        <f t="shared" si="18"/>
        <v>1661</v>
      </c>
      <c r="X31" s="1389">
        <f t="shared" si="18"/>
        <v>0</v>
      </c>
      <c r="Y31" s="1390">
        <f t="shared" si="18"/>
        <v>0</v>
      </c>
      <c r="Z31" s="1391">
        <f t="shared" si="18"/>
        <v>0</v>
      </c>
      <c r="AA31" s="1392">
        <f t="shared" si="18"/>
        <v>0</v>
      </c>
      <c r="AB31" s="1390">
        <f t="shared" si="18"/>
        <v>0</v>
      </c>
      <c r="AC31" s="1393">
        <f t="shared" si="18"/>
        <v>0</v>
      </c>
      <c r="AD31" s="1389">
        <f t="shared" si="18"/>
        <v>1</v>
      </c>
      <c r="AE31" s="1390">
        <f t="shared" si="18"/>
        <v>21</v>
      </c>
      <c r="AF31" s="1391">
        <f t="shared" si="18"/>
        <v>338</v>
      </c>
      <c r="AG31" s="1387">
        <f t="shared" si="9"/>
        <v>148</v>
      </c>
      <c r="AH31" s="1439">
        <f t="shared" si="10"/>
        <v>0</v>
      </c>
      <c r="AI31" s="1388">
        <f t="shared" si="11"/>
        <v>2252</v>
      </c>
      <c r="AJ31" s="1441">
        <f t="shared" si="12"/>
        <v>0</v>
      </c>
      <c r="AK31" s="1388">
        <f t="shared" si="13"/>
        <v>44836</v>
      </c>
      <c r="AL31" s="1442">
        <f t="shared" si="14"/>
        <v>0</v>
      </c>
      <c r="AM31" s="1444">
        <v>1661</v>
      </c>
    </row>
    <row r="32" spans="1:39" s="339" customFormat="1" ht="18" customHeight="1">
      <c r="A32" s="1280" t="s">
        <v>1923</v>
      </c>
      <c r="B32" s="1389">
        <f t="shared" ref="B32:AF32" si="19">B11</f>
        <v>33</v>
      </c>
      <c r="C32" s="1390">
        <f t="shared" si="19"/>
        <v>127</v>
      </c>
      <c r="D32" s="1391">
        <f t="shared" si="19"/>
        <v>2109</v>
      </c>
      <c r="E32" s="1392">
        <f t="shared" si="19"/>
        <v>26</v>
      </c>
      <c r="F32" s="1428">
        <f t="shared" si="19"/>
        <v>1</v>
      </c>
      <c r="G32" s="1390">
        <f t="shared" si="19"/>
        <v>487</v>
      </c>
      <c r="H32" s="1432">
        <f t="shared" si="19"/>
        <v>4</v>
      </c>
      <c r="I32" s="1393">
        <f t="shared" si="19"/>
        <v>9171</v>
      </c>
      <c r="J32" s="1436">
        <f t="shared" si="19"/>
        <v>6</v>
      </c>
      <c r="K32" s="1389">
        <f t="shared" si="19"/>
        <v>15</v>
      </c>
      <c r="L32" s="1390">
        <f t="shared" si="19"/>
        <v>258</v>
      </c>
      <c r="M32" s="1391">
        <f t="shared" si="19"/>
        <v>5838</v>
      </c>
      <c r="N32" s="1392">
        <f t="shared" si="19"/>
        <v>11</v>
      </c>
      <c r="O32" s="1390">
        <f t="shared" si="19"/>
        <v>256</v>
      </c>
      <c r="P32" s="1393">
        <f t="shared" si="19"/>
        <v>5850</v>
      </c>
      <c r="Q32" s="1389">
        <f t="shared" si="19"/>
        <v>1</v>
      </c>
      <c r="R32" s="1390">
        <f t="shared" si="19"/>
        <v>43</v>
      </c>
      <c r="S32" s="1391">
        <f t="shared" si="19"/>
        <v>250</v>
      </c>
      <c r="T32" s="1392">
        <f t="shared" si="19"/>
        <v>0</v>
      </c>
      <c r="U32" s="1390">
        <f t="shared" si="19"/>
        <v>0</v>
      </c>
      <c r="V32" s="1390">
        <f t="shared" si="19"/>
        <v>0</v>
      </c>
      <c r="W32" s="1432">
        <f t="shared" si="19"/>
        <v>0</v>
      </c>
      <c r="X32" s="1389">
        <f t="shared" si="19"/>
        <v>0</v>
      </c>
      <c r="Y32" s="1390">
        <f t="shared" si="19"/>
        <v>0</v>
      </c>
      <c r="Z32" s="1391">
        <f t="shared" si="19"/>
        <v>0</v>
      </c>
      <c r="AA32" s="1392">
        <f t="shared" si="19"/>
        <v>0</v>
      </c>
      <c r="AB32" s="1390">
        <f t="shared" si="19"/>
        <v>0</v>
      </c>
      <c r="AC32" s="1393">
        <f t="shared" si="19"/>
        <v>0</v>
      </c>
      <c r="AD32" s="1389">
        <f t="shared" si="19"/>
        <v>0</v>
      </c>
      <c r="AE32" s="1390">
        <f t="shared" si="19"/>
        <v>0</v>
      </c>
      <c r="AF32" s="1391">
        <f t="shared" si="19"/>
        <v>0</v>
      </c>
      <c r="AG32" s="1387">
        <f t="shared" si="9"/>
        <v>86</v>
      </c>
      <c r="AH32" s="1439">
        <f t="shared" si="10"/>
        <v>1</v>
      </c>
      <c r="AI32" s="1388">
        <f t="shared" si="11"/>
        <v>1171</v>
      </c>
      <c r="AJ32" s="1441">
        <f t="shared" si="12"/>
        <v>4</v>
      </c>
      <c r="AK32" s="1388">
        <f t="shared" si="13"/>
        <v>23218</v>
      </c>
      <c r="AL32" s="1442">
        <f t="shared" si="14"/>
        <v>6</v>
      </c>
      <c r="AM32" s="1444">
        <v>0</v>
      </c>
    </row>
    <row r="33" spans="1:39" ht="18" customHeight="1">
      <c r="A33" s="1280" t="s">
        <v>1921</v>
      </c>
      <c r="B33" s="1389">
        <f t="shared" ref="B33:AF33" si="20">B12</f>
        <v>61</v>
      </c>
      <c r="C33" s="1390">
        <f t="shared" si="20"/>
        <v>323</v>
      </c>
      <c r="D33" s="1391">
        <f t="shared" si="20"/>
        <v>5415</v>
      </c>
      <c r="E33" s="1392">
        <f t="shared" si="20"/>
        <v>39</v>
      </c>
      <c r="F33" s="1428">
        <f t="shared" si="20"/>
        <v>0</v>
      </c>
      <c r="G33" s="1390">
        <f t="shared" si="20"/>
        <v>981</v>
      </c>
      <c r="H33" s="1432">
        <f t="shared" si="20"/>
        <v>0</v>
      </c>
      <c r="I33" s="1393">
        <f t="shared" si="20"/>
        <v>19810</v>
      </c>
      <c r="J33" s="1436">
        <f t="shared" si="20"/>
        <v>0</v>
      </c>
      <c r="K33" s="1389">
        <f t="shared" si="20"/>
        <v>22</v>
      </c>
      <c r="L33" s="1390">
        <f t="shared" si="20"/>
        <v>518</v>
      </c>
      <c r="M33" s="1391">
        <f t="shared" si="20"/>
        <v>13679</v>
      </c>
      <c r="N33" s="1392">
        <f t="shared" si="20"/>
        <v>16</v>
      </c>
      <c r="O33" s="1390">
        <f t="shared" si="20"/>
        <v>469</v>
      </c>
      <c r="P33" s="1393">
        <f t="shared" si="20"/>
        <v>11758</v>
      </c>
      <c r="Q33" s="1389">
        <f t="shared" si="20"/>
        <v>2</v>
      </c>
      <c r="R33" s="1390">
        <f t="shared" si="20"/>
        <v>82</v>
      </c>
      <c r="S33" s="1391">
        <f t="shared" si="20"/>
        <v>481</v>
      </c>
      <c r="T33" s="1392">
        <f t="shared" si="20"/>
        <v>2</v>
      </c>
      <c r="U33" s="1390">
        <f t="shared" si="20"/>
        <v>16</v>
      </c>
      <c r="V33" s="1390">
        <f t="shared" si="20"/>
        <v>120</v>
      </c>
      <c r="W33" s="1432">
        <f t="shared" si="20"/>
        <v>4</v>
      </c>
      <c r="X33" s="1389">
        <f t="shared" si="20"/>
        <v>0</v>
      </c>
      <c r="Y33" s="1390">
        <f t="shared" si="20"/>
        <v>0</v>
      </c>
      <c r="Z33" s="1391">
        <f t="shared" si="20"/>
        <v>0</v>
      </c>
      <c r="AA33" s="1392">
        <f t="shared" si="20"/>
        <v>1</v>
      </c>
      <c r="AB33" s="1390">
        <f t="shared" si="20"/>
        <v>6</v>
      </c>
      <c r="AC33" s="1393">
        <f t="shared" si="20"/>
        <v>135</v>
      </c>
      <c r="AD33" s="1389">
        <f t="shared" si="20"/>
        <v>0</v>
      </c>
      <c r="AE33" s="1390">
        <f t="shared" si="20"/>
        <v>0</v>
      </c>
      <c r="AF33" s="1391">
        <f t="shared" si="20"/>
        <v>0</v>
      </c>
      <c r="AG33" s="1387">
        <f t="shared" si="9"/>
        <v>143</v>
      </c>
      <c r="AH33" s="1439">
        <f t="shared" si="10"/>
        <v>0</v>
      </c>
      <c r="AI33" s="1388">
        <f t="shared" si="11"/>
        <v>2395</v>
      </c>
      <c r="AJ33" s="1441">
        <f t="shared" si="12"/>
        <v>0</v>
      </c>
      <c r="AK33" s="1388">
        <f t="shared" si="13"/>
        <v>51398</v>
      </c>
      <c r="AL33" s="1442">
        <f t="shared" si="14"/>
        <v>0</v>
      </c>
      <c r="AM33" s="1444">
        <v>4</v>
      </c>
    </row>
    <row r="34" spans="1:39" ht="18" customHeight="1">
      <c r="A34" s="1280" t="s">
        <v>1922</v>
      </c>
      <c r="B34" s="1389">
        <f t="shared" ref="B34:AF34" si="21">B13</f>
        <v>50</v>
      </c>
      <c r="C34" s="1390">
        <f t="shared" si="21"/>
        <v>332</v>
      </c>
      <c r="D34" s="1391">
        <f t="shared" si="21"/>
        <v>6174</v>
      </c>
      <c r="E34" s="1392">
        <f t="shared" si="21"/>
        <v>34</v>
      </c>
      <c r="F34" s="1428">
        <f t="shared" si="21"/>
        <v>0</v>
      </c>
      <c r="G34" s="1390">
        <f t="shared" si="21"/>
        <v>1133</v>
      </c>
      <c r="H34" s="1432">
        <f t="shared" si="21"/>
        <v>0</v>
      </c>
      <c r="I34" s="1393">
        <f t="shared" si="21"/>
        <v>24805</v>
      </c>
      <c r="J34" s="1436">
        <f t="shared" si="21"/>
        <v>0</v>
      </c>
      <c r="K34" s="1389">
        <f t="shared" si="21"/>
        <v>20</v>
      </c>
      <c r="L34" s="1390">
        <f t="shared" si="21"/>
        <v>519</v>
      </c>
      <c r="M34" s="1391">
        <f t="shared" si="21"/>
        <v>14395</v>
      </c>
      <c r="N34" s="1392">
        <f t="shared" si="21"/>
        <v>16</v>
      </c>
      <c r="O34" s="1390">
        <f t="shared" si="21"/>
        <v>475</v>
      </c>
      <c r="P34" s="1393">
        <f t="shared" si="21"/>
        <v>12125</v>
      </c>
      <c r="Q34" s="1389">
        <f t="shared" si="21"/>
        <v>1</v>
      </c>
      <c r="R34" s="1390">
        <f t="shared" si="21"/>
        <v>48</v>
      </c>
      <c r="S34" s="1391">
        <f t="shared" si="21"/>
        <v>285</v>
      </c>
      <c r="T34" s="1392">
        <f t="shared" si="21"/>
        <v>1</v>
      </c>
      <c r="U34" s="1390">
        <f t="shared" si="21"/>
        <v>3</v>
      </c>
      <c r="V34" s="1390">
        <f t="shared" si="21"/>
        <v>38</v>
      </c>
      <c r="W34" s="1432">
        <f t="shared" si="21"/>
        <v>0</v>
      </c>
      <c r="X34" s="1389">
        <f t="shared" si="21"/>
        <v>2</v>
      </c>
      <c r="Y34" s="1390">
        <f t="shared" si="21"/>
        <v>97</v>
      </c>
      <c r="Z34" s="1391">
        <f t="shared" si="21"/>
        <v>1960</v>
      </c>
      <c r="AA34" s="1392">
        <f t="shared" si="21"/>
        <v>1</v>
      </c>
      <c r="AB34" s="1390">
        <f t="shared" si="21"/>
        <v>12</v>
      </c>
      <c r="AC34" s="1393">
        <f t="shared" si="21"/>
        <v>258</v>
      </c>
      <c r="AD34" s="1389">
        <f t="shared" si="21"/>
        <v>0</v>
      </c>
      <c r="AE34" s="1390">
        <f t="shared" si="21"/>
        <v>0</v>
      </c>
      <c r="AF34" s="1391">
        <f t="shared" si="21"/>
        <v>0</v>
      </c>
      <c r="AG34" s="1387">
        <f t="shared" si="9"/>
        <v>125</v>
      </c>
      <c r="AH34" s="1439">
        <f t="shared" si="10"/>
        <v>0</v>
      </c>
      <c r="AI34" s="1388">
        <f t="shared" si="11"/>
        <v>2619</v>
      </c>
      <c r="AJ34" s="1441">
        <f t="shared" si="12"/>
        <v>0</v>
      </c>
      <c r="AK34" s="1388">
        <f>D34+I34+M34+P34+S34+V34+Z34+AC34+AF34</f>
        <v>60040</v>
      </c>
      <c r="AL34" s="1442">
        <f t="shared" si="14"/>
        <v>0</v>
      </c>
      <c r="AM34" s="1444">
        <v>0</v>
      </c>
    </row>
    <row r="35" spans="1:39" ht="18" customHeight="1">
      <c r="A35" s="1280" t="s">
        <v>1930</v>
      </c>
      <c r="B35" s="1389">
        <v>47</v>
      </c>
      <c r="C35" s="1390">
        <v>269</v>
      </c>
      <c r="D35" s="1391">
        <f>4755+74</f>
        <v>4829</v>
      </c>
      <c r="E35" s="1392">
        <v>32</v>
      </c>
      <c r="F35" s="1428"/>
      <c r="G35" s="1390">
        <v>933</v>
      </c>
      <c r="H35" s="1432"/>
      <c r="I35" s="1393">
        <v>19489</v>
      </c>
      <c r="J35" s="1436"/>
      <c r="K35" s="1389">
        <v>19</v>
      </c>
      <c r="L35" s="1390">
        <v>428</v>
      </c>
      <c r="M35" s="1391">
        <v>11500</v>
      </c>
      <c r="N35" s="1392">
        <v>12</v>
      </c>
      <c r="O35" s="1390">
        <v>362</v>
      </c>
      <c r="P35" s="1393">
        <v>9325</v>
      </c>
      <c r="Q35" s="1389"/>
      <c r="R35" s="1394"/>
      <c r="S35" s="1395"/>
      <c r="T35" s="1392">
        <v>1</v>
      </c>
      <c r="U35" s="1390">
        <v>40</v>
      </c>
      <c r="V35" s="1390">
        <v>555</v>
      </c>
      <c r="W35" s="1432"/>
      <c r="X35" s="1389"/>
      <c r="Y35" s="1390"/>
      <c r="Z35" s="1391"/>
      <c r="AA35" s="1392"/>
      <c r="AB35" s="1390"/>
      <c r="AC35" s="1393"/>
      <c r="AD35" s="1389"/>
      <c r="AE35" s="1390"/>
      <c r="AF35" s="1391"/>
      <c r="AG35" s="1387">
        <f t="shared" si="9"/>
        <v>111</v>
      </c>
      <c r="AH35" s="1439">
        <f t="shared" si="10"/>
        <v>0</v>
      </c>
      <c r="AI35" s="1388">
        <f t="shared" si="11"/>
        <v>2032</v>
      </c>
      <c r="AJ35" s="1441">
        <f t="shared" si="12"/>
        <v>0</v>
      </c>
      <c r="AK35" s="1388">
        <f t="shared" si="13"/>
        <v>45698</v>
      </c>
      <c r="AL35" s="1442">
        <f t="shared" si="14"/>
        <v>0</v>
      </c>
      <c r="AM35" s="1444">
        <f t="shared" si="15"/>
        <v>0</v>
      </c>
    </row>
    <row r="36" spans="1:39" ht="18" customHeight="1">
      <c r="A36" s="1280" t="s">
        <v>2825</v>
      </c>
      <c r="B36" s="1389">
        <v>39</v>
      </c>
      <c r="C36" s="1390">
        <v>272</v>
      </c>
      <c r="D36" s="1391">
        <f>4619+80</f>
        <v>4699</v>
      </c>
      <c r="E36" s="1392">
        <v>22</v>
      </c>
      <c r="F36" s="1428"/>
      <c r="G36" s="1390">
        <v>821</v>
      </c>
      <c r="H36" s="1432"/>
      <c r="I36" s="1393">
        <v>17125</v>
      </c>
      <c r="J36" s="1436"/>
      <c r="K36" s="1389">
        <v>10</v>
      </c>
      <c r="L36" s="1390">
        <v>341</v>
      </c>
      <c r="M36" s="1391">
        <v>8864</v>
      </c>
      <c r="N36" s="1392">
        <v>8</v>
      </c>
      <c r="O36" s="1390">
        <v>251</v>
      </c>
      <c r="P36" s="1393">
        <v>6880</v>
      </c>
      <c r="Q36" s="1389">
        <v>1</v>
      </c>
      <c r="R36" s="1394">
        <v>53</v>
      </c>
      <c r="S36" s="1395">
        <v>301</v>
      </c>
      <c r="T36" s="1392"/>
      <c r="U36" s="1390"/>
      <c r="V36" s="1390"/>
      <c r="W36" s="1432"/>
      <c r="X36" s="1389"/>
      <c r="Y36" s="1390"/>
      <c r="Z36" s="1391"/>
      <c r="AA36" s="1392"/>
      <c r="AB36" s="1390"/>
      <c r="AC36" s="1393"/>
      <c r="AD36" s="1389"/>
      <c r="AE36" s="1390"/>
      <c r="AF36" s="1391"/>
      <c r="AG36" s="1387">
        <f t="shared" si="9"/>
        <v>80</v>
      </c>
      <c r="AH36" s="1439">
        <f t="shared" si="10"/>
        <v>0</v>
      </c>
      <c r="AI36" s="1388">
        <f t="shared" si="11"/>
        <v>1738</v>
      </c>
      <c r="AJ36" s="1441">
        <f t="shared" si="12"/>
        <v>0</v>
      </c>
      <c r="AK36" s="1388">
        <f t="shared" si="13"/>
        <v>37869</v>
      </c>
      <c r="AL36" s="1442">
        <f t="shared" si="14"/>
        <v>0</v>
      </c>
      <c r="AM36" s="1444">
        <f t="shared" si="15"/>
        <v>0</v>
      </c>
    </row>
    <row r="37" spans="1:39" ht="18" customHeight="1" thickBot="1">
      <c r="A37" s="1281" t="s">
        <v>1924</v>
      </c>
      <c r="B37" s="1396">
        <f>B15</f>
        <v>18</v>
      </c>
      <c r="C37" s="1397">
        <f>C15</f>
        <v>36</v>
      </c>
      <c r="D37" s="1398">
        <f>D15</f>
        <v>290</v>
      </c>
      <c r="E37" s="1399">
        <f>E15</f>
        <v>20</v>
      </c>
      <c r="F37" s="1429"/>
      <c r="G37" s="1397">
        <f>G15</f>
        <v>158</v>
      </c>
      <c r="H37" s="1433"/>
      <c r="I37" s="1400">
        <f>I15</f>
        <v>1688</v>
      </c>
      <c r="J37" s="1437"/>
      <c r="K37" s="1396">
        <f t="shared" ref="K37:AF37" si="22">K15</f>
        <v>9</v>
      </c>
      <c r="L37" s="1397">
        <f t="shared" si="22"/>
        <v>68</v>
      </c>
      <c r="M37" s="1398">
        <f t="shared" si="22"/>
        <v>1235</v>
      </c>
      <c r="N37" s="1399">
        <f t="shared" si="22"/>
        <v>8</v>
      </c>
      <c r="O37" s="1397">
        <f t="shared" si="22"/>
        <v>83</v>
      </c>
      <c r="P37" s="1400">
        <f t="shared" si="22"/>
        <v>1643</v>
      </c>
      <c r="Q37" s="1396">
        <f t="shared" si="22"/>
        <v>0</v>
      </c>
      <c r="R37" s="1397">
        <f t="shared" si="22"/>
        <v>0</v>
      </c>
      <c r="S37" s="1398">
        <f t="shared" si="22"/>
        <v>0</v>
      </c>
      <c r="T37" s="1399">
        <f t="shared" si="22"/>
        <v>0</v>
      </c>
      <c r="U37" s="1397">
        <f t="shared" si="22"/>
        <v>0</v>
      </c>
      <c r="V37" s="1397">
        <f t="shared" si="22"/>
        <v>0</v>
      </c>
      <c r="W37" s="1433">
        <f t="shared" si="22"/>
        <v>0</v>
      </c>
      <c r="X37" s="1396">
        <f t="shared" si="22"/>
        <v>0</v>
      </c>
      <c r="Y37" s="1397">
        <f t="shared" si="22"/>
        <v>0</v>
      </c>
      <c r="Z37" s="1398">
        <f t="shared" si="22"/>
        <v>0</v>
      </c>
      <c r="AA37" s="1399">
        <f t="shared" si="22"/>
        <v>0</v>
      </c>
      <c r="AB37" s="1397">
        <f t="shared" si="22"/>
        <v>0</v>
      </c>
      <c r="AC37" s="1400">
        <f t="shared" si="22"/>
        <v>0</v>
      </c>
      <c r="AD37" s="1396">
        <f t="shared" si="22"/>
        <v>0</v>
      </c>
      <c r="AE37" s="1397">
        <f t="shared" si="22"/>
        <v>0</v>
      </c>
      <c r="AF37" s="1398">
        <f t="shared" si="22"/>
        <v>0</v>
      </c>
      <c r="AG37" s="1387">
        <f t="shared" si="9"/>
        <v>55</v>
      </c>
      <c r="AH37" s="1439">
        <f t="shared" si="10"/>
        <v>0</v>
      </c>
      <c r="AI37" s="1388">
        <f t="shared" si="11"/>
        <v>345</v>
      </c>
      <c r="AJ37" s="1441">
        <f t="shared" si="12"/>
        <v>0</v>
      </c>
      <c r="AK37" s="1388">
        <f t="shared" si="13"/>
        <v>4856</v>
      </c>
      <c r="AL37" s="1442">
        <f t="shared" si="14"/>
        <v>0</v>
      </c>
      <c r="AM37" s="1445">
        <f>AM15</f>
        <v>0</v>
      </c>
    </row>
    <row r="38" spans="1:39" ht="18" customHeight="1" thickBot="1">
      <c r="A38" s="533" t="s">
        <v>1925</v>
      </c>
      <c r="B38" s="1401">
        <f t="shared" ref="B38:AM38" si="23">SUM(B27:B37)</f>
        <v>391</v>
      </c>
      <c r="C38" s="688">
        <f t="shared" si="23"/>
        <v>1960</v>
      </c>
      <c r="D38" s="1402">
        <f>SUM(D27:D37)</f>
        <v>33187</v>
      </c>
      <c r="E38" s="1403">
        <f t="shared" si="23"/>
        <v>269</v>
      </c>
      <c r="F38" s="1430">
        <f t="shared" si="23"/>
        <v>7</v>
      </c>
      <c r="G38" s="688">
        <f t="shared" si="23"/>
        <v>6893</v>
      </c>
      <c r="H38" s="1434">
        <f t="shared" si="23"/>
        <v>18</v>
      </c>
      <c r="I38" s="1404">
        <f>SUM(I27:I37)</f>
        <v>138773</v>
      </c>
      <c r="J38" s="1438">
        <f t="shared" si="23"/>
        <v>63</v>
      </c>
      <c r="K38" s="1401">
        <f t="shared" si="23"/>
        <v>147</v>
      </c>
      <c r="L38" s="688">
        <f t="shared" si="23"/>
        <v>3196</v>
      </c>
      <c r="M38" s="1402">
        <f>SUM(M27:M37)</f>
        <v>81498</v>
      </c>
      <c r="N38" s="1403">
        <f t="shared" si="23"/>
        <v>129</v>
      </c>
      <c r="O38" s="688">
        <f t="shared" si="23"/>
        <v>3212</v>
      </c>
      <c r="P38" s="1404">
        <f>SUM(P27:P37)</f>
        <v>75229</v>
      </c>
      <c r="Q38" s="1401">
        <f t="shared" si="23"/>
        <v>10</v>
      </c>
      <c r="R38" s="688">
        <f t="shared" si="23"/>
        <v>364</v>
      </c>
      <c r="S38" s="1402">
        <f>SUM(S27:S37)</f>
        <v>2027</v>
      </c>
      <c r="T38" s="1403">
        <f t="shared" si="23"/>
        <v>7</v>
      </c>
      <c r="U38" s="688">
        <f t="shared" si="23"/>
        <v>87</v>
      </c>
      <c r="V38" s="688">
        <f>SUM(V27:V37)</f>
        <v>1060</v>
      </c>
      <c r="W38" s="1434">
        <f t="shared" si="23"/>
        <v>1791</v>
      </c>
      <c r="X38" s="1401">
        <f t="shared" si="23"/>
        <v>2</v>
      </c>
      <c r="Y38" s="688">
        <f t="shared" si="23"/>
        <v>97</v>
      </c>
      <c r="Z38" s="1402">
        <f>SUM(Z27:Z37)</f>
        <v>1960</v>
      </c>
      <c r="AA38" s="1403">
        <f t="shared" si="23"/>
        <v>3</v>
      </c>
      <c r="AB38" s="688">
        <f t="shared" si="23"/>
        <v>24</v>
      </c>
      <c r="AC38" s="1404">
        <f>SUM(AC27:AC37)</f>
        <v>531</v>
      </c>
      <c r="AD38" s="1401">
        <f t="shared" si="23"/>
        <v>2</v>
      </c>
      <c r="AE38" s="688">
        <f t="shared" si="23"/>
        <v>45</v>
      </c>
      <c r="AF38" s="1402">
        <f>SUM(AF27:AF37)</f>
        <v>1297</v>
      </c>
      <c r="AG38" s="1405">
        <f t="shared" si="23"/>
        <v>960</v>
      </c>
      <c r="AH38" s="1440">
        <f t="shared" si="23"/>
        <v>7</v>
      </c>
      <c r="AI38" s="1405">
        <f>SUM(AI27:AI37)</f>
        <v>15878</v>
      </c>
      <c r="AJ38" s="1440">
        <f t="shared" si="23"/>
        <v>18</v>
      </c>
      <c r="AK38" s="1405">
        <f>SUM(AK27:AK37)</f>
        <v>335562</v>
      </c>
      <c r="AL38" s="1440">
        <f t="shared" si="23"/>
        <v>63</v>
      </c>
      <c r="AM38" s="1446">
        <f t="shared" si="23"/>
        <v>1791</v>
      </c>
    </row>
    <row r="39" spans="1:39">
      <c r="A39" s="536"/>
      <c r="B39" s="1406"/>
      <c r="C39" s="1406"/>
      <c r="D39" s="1406"/>
      <c r="E39" s="1406"/>
      <c r="F39" s="1406"/>
      <c r="G39" s="1406"/>
      <c r="H39" s="1406"/>
      <c r="I39" s="1406"/>
      <c r="J39" s="1406"/>
      <c r="K39" s="1406"/>
      <c r="L39" s="1406"/>
      <c r="M39" s="1406"/>
      <c r="N39" s="1406"/>
      <c r="O39" s="1406"/>
      <c r="P39" s="1406"/>
      <c r="Q39" s="1406"/>
      <c r="R39" s="1406"/>
      <c r="S39" s="1406"/>
      <c r="T39" s="1406"/>
      <c r="U39" s="1406"/>
      <c r="V39" s="1406"/>
      <c r="W39" s="1406"/>
      <c r="X39" s="1406"/>
      <c r="Y39" s="1406"/>
      <c r="Z39" s="1406"/>
      <c r="AA39" s="1406"/>
      <c r="AB39" s="1406"/>
      <c r="AC39" s="1406"/>
      <c r="AD39" s="1406"/>
      <c r="AE39" s="1406"/>
      <c r="AF39" s="1406"/>
      <c r="AG39" s="1406"/>
      <c r="AH39" s="1406"/>
      <c r="AI39" s="1406"/>
      <c r="AJ39" s="1406"/>
      <c r="AK39" s="1406"/>
      <c r="AL39" s="1406"/>
      <c r="AM39" s="1406"/>
    </row>
    <row r="40" spans="1:39">
      <c r="A40" s="537" t="s">
        <v>1931</v>
      </c>
      <c r="B40" s="494"/>
      <c r="C40" s="494"/>
      <c r="D40" s="494"/>
      <c r="E40" s="494"/>
      <c r="F40" s="494"/>
      <c r="G40" s="494"/>
      <c r="H40" s="494"/>
      <c r="I40" s="802"/>
      <c r="J40" s="802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Y40" s="494"/>
      <c r="Z40" s="494"/>
      <c r="AA40" s="494"/>
      <c r="AB40" s="494"/>
      <c r="AC40" s="494"/>
      <c r="AD40" s="494"/>
      <c r="AE40" s="494"/>
      <c r="AF40" s="494"/>
      <c r="AG40" s="494"/>
      <c r="AH40" s="494"/>
      <c r="AI40" s="494"/>
      <c r="AJ40" s="494"/>
      <c r="AK40" s="494"/>
      <c r="AL40" s="494"/>
      <c r="AM40" s="494"/>
    </row>
    <row r="41" spans="1:39">
      <c r="AK41" s="793">
        <f>AK16-AK38</f>
        <v>0</v>
      </c>
    </row>
  </sheetData>
  <mergeCells count="82">
    <mergeCell ref="AF25:AF26"/>
    <mergeCell ref="AG25:AH25"/>
    <mergeCell ref="AI25:AJ25"/>
    <mergeCell ref="AK25:AM25"/>
    <mergeCell ref="AA25:AA26"/>
    <mergeCell ref="AB25:AB26"/>
    <mergeCell ref="AC25:AC26"/>
    <mergeCell ref="AD25:AD26"/>
    <mergeCell ref="AE25:AE26"/>
    <mergeCell ref="U25:U26"/>
    <mergeCell ref="X25:X26"/>
    <mergeCell ref="Y25:Y26"/>
    <mergeCell ref="V25:W25"/>
    <mergeCell ref="Z25:Z26"/>
    <mergeCell ref="AG24:AM24"/>
    <mergeCell ref="C25:C26"/>
    <mergeCell ref="D25:D26"/>
    <mergeCell ref="E25:F25"/>
    <mergeCell ref="G25:H25"/>
    <mergeCell ref="I25:J25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AA4:AA5"/>
    <mergeCell ref="AB4:AB5"/>
    <mergeCell ref="AC4:AC5"/>
    <mergeCell ref="AD4:AD5"/>
    <mergeCell ref="T24:W24"/>
    <mergeCell ref="X24:Z24"/>
    <mergeCell ref="AA24:AC24"/>
    <mergeCell ref="AD24:AF24"/>
    <mergeCell ref="U4:U5"/>
    <mergeCell ref="X4:X5"/>
    <mergeCell ref="Y4:Y5"/>
    <mergeCell ref="V4:W4"/>
    <mergeCell ref="Z4:Z5"/>
    <mergeCell ref="AD3:AF3"/>
    <mergeCell ref="AG3:AM3"/>
    <mergeCell ref="AG4:AH4"/>
    <mergeCell ref="AI4:AJ4"/>
    <mergeCell ref="AK4:AM4"/>
    <mergeCell ref="AE4:AE5"/>
    <mergeCell ref="AF4:AF5"/>
    <mergeCell ref="C4:C5"/>
    <mergeCell ref="D4:D5"/>
    <mergeCell ref="T3:W3"/>
    <mergeCell ref="X3:Z3"/>
    <mergeCell ref="AA3:AC3"/>
    <mergeCell ref="B3:D3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E4:F4"/>
    <mergeCell ref="G4:H4"/>
    <mergeCell ref="A24:A26"/>
    <mergeCell ref="Q3:S3"/>
    <mergeCell ref="A3:A5"/>
    <mergeCell ref="K3:M3"/>
    <mergeCell ref="N3:P3"/>
    <mergeCell ref="E3:J3"/>
    <mergeCell ref="B4:B5"/>
    <mergeCell ref="B24:D24"/>
    <mergeCell ref="E24:J24"/>
    <mergeCell ref="K24:M24"/>
    <mergeCell ref="N24:P24"/>
    <mergeCell ref="Q24:S24"/>
    <mergeCell ref="B25:B26"/>
    <mergeCell ref="I4:J4"/>
  </mergeCells>
  <phoneticPr fontId="16" type="noConversion"/>
  <pageMargins left="0.25" right="0.25" top="0.75" bottom="0.75" header="0.3" footer="0.3"/>
  <pageSetup paperSize="9" scale="42" fitToHeight="0" orientation="landscape" r:id="rId1"/>
  <ignoredErrors>
    <ignoredError sqref="AI10:AI15 AK10:AM15 AI27:AJ27 AI33:AJ37 U29:AJ29 U28:V28 AG31:AJ32 X28:AJ28 AK6:AM7 AI6:AI7 AK8:AM8 AI8 AL29:AM29 AL31:AM32 AL28:AM28 AK27:AK37 AI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  <pageSetUpPr fitToPage="1"/>
  </sheetPr>
  <dimension ref="A1:P34"/>
  <sheetViews>
    <sheetView workbookViewId="0">
      <selection activeCell="D1" sqref="D1"/>
    </sheetView>
  </sheetViews>
  <sheetFormatPr defaultRowHeight="16.5"/>
  <cols>
    <col min="2" max="3" width="9.125" bestFit="1" customWidth="1"/>
    <col min="4" max="4" width="9.375" bestFit="1" customWidth="1"/>
    <col min="5" max="6" width="9.125" bestFit="1" customWidth="1"/>
    <col min="7" max="7" width="9.375" bestFit="1" customWidth="1"/>
    <col min="8" max="15" width="9.125" bestFit="1" customWidth="1"/>
    <col min="16" max="16" width="9.375" bestFit="1" customWidth="1"/>
  </cols>
  <sheetData>
    <row r="1" spans="1:16" ht="26.1" customHeight="1">
      <c r="A1" s="519" t="s">
        <v>1933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</row>
    <row r="2" spans="1:16" ht="20.100000000000001" customHeight="1" thickBot="1">
      <c r="A2" s="489" t="s">
        <v>3243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1"/>
      <c r="N2" s="492"/>
      <c r="O2" s="492"/>
      <c r="P2" s="493"/>
    </row>
    <row r="3" spans="1:16" ht="18" customHeight="1">
      <c r="A3" s="1535" t="s">
        <v>1907</v>
      </c>
      <c r="B3" s="1560" t="s">
        <v>1899</v>
      </c>
      <c r="C3" s="1561"/>
      <c r="D3" s="1564"/>
      <c r="E3" s="1560" t="s">
        <v>1900</v>
      </c>
      <c r="F3" s="1561"/>
      <c r="G3" s="1562"/>
      <c r="H3" s="1560" t="s">
        <v>1901</v>
      </c>
      <c r="I3" s="1561"/>
      <c r="J3" s="1562"/>
      <c r="K3" s="1560" t="s">
        <v>1902</v>
      </c>
      <c r="L3" s="1561"/>
      <c r="M3" s="1562"/>
      <c r="N3" s="1565" t="s">
        <v>402</v>
      </c>
      <c r="O3" s="1557"/>
      <c r="P3" s="1558"/>
    </row>
    <row r="4" spans="1:16" ht="18" customHeight="1" thickBot="1">
      <c r="A4" s="1537"/>
      <c r="B4" s="495" t="s">
        <v>1903</v>
      </c>
      <c r="C4" s="496" t="s">
        <v>2</v>
      </c>
      <c r="D4" s="497" t="s">
        <v>3</v>
      </c>
      <c r="E4" s="495" t="s">
        <v>1903</v>
      </c>
      <c r="F4" s="496" t="s">
        <v>2</v>
      </c>
      <c r="G4" s="498" t="s">
        <v>3</v>
      </c>
      <c r="H4" s="495" t="s">
        <v>1903</v>
      </c>
      <c r="I4" s="496" t="s">
        <v>2</v>
      </c>
      <c r="J4" s="498" t="s">
        <v>3</v>
      </c>
      <c r="K4" s="495" t="s">
        <v>1903</v>
      </c>
      <c r="L4" s="496" t="s">
        <v>2</v>
      </c>
      <c r="M4" s="498" t="s">
        <v>3</v>
      </c>
      <c r="N4" s="499" t="s">
        <v>1903</v>
      </c>
      <c r="O4" s="500" t="s">
        <v>2</v>
      </c>
      <c r="P4" s="683" t="s">
        <v>3</v>
      </c>
    </row>
    <row r="5" spans="1:16" ht="18" customHeight="1" thickTop="1">
      <c r="A5" s="501" t="s">
        <v>1908</v>
      </c>
      <c r="B5" s="502">
        <f>고등학교!D11+고등학교!D24</f>
        <v>8</v>
      </c>
      <c r="C5" s="503">
        <f>고등학교!S11+고등학교!S24</f>
        <v>225</v>
      </c>
      <c r="D5" s="504">
        <f>고등학교!Z11+고등학교!Z24</f>
        <v>4879</v>
      </c>
      <c r="E5" s="502">
        <f>고등학교!D17+고등학교!D26</f>
        <v>6</v>
      </c>
      <c r="F5" s="503">
        <f>고등학교!S17+고등학교!S26</f>
        <v>165</v>
      </c>
      <c r="G5" s="503">
        <f>고등학교!Z17+고등학교!Z26</f>
        <v>2876</v>
      </c>
      <c r="H5" s="502">
        <f>고등학교!D19</f>
        <v>1</v>
      </c>
      <c r="I5" s="503">
        <f>고등학교!S19</f>
        <v>24</v>
      </c>
      <c r="J5" s="505">
        <f>고등학교!Z19</f>
        <v>349</v>
      </c>
      <c r="K5" s="506"/>
      <c r="L5" s="503"/>
      <c r="M5" s="505"/>
      <c r="N5" s="507">
        <f>B5+E5+H5+K5</f>
        <v>15</v>
      </c>
      <c r="O5" s="507">
        <f>C5+F5+I5+L5</f>
        <v>414</v>
      </c>
      <c r="P5" s="684">
        <f>D5+G5+J5+M5</f>
        <v>8104</v>
      </c>
    </row>
    <row r="6" spans="1:16" ht="18" customHeight="1">
      <c r="A6" s="508" t="s">
        <v>1904</v>
      </c>
      <c r="B6" s="509">
        <f>고등학교!D30</f>
        <v>1</v>
      </c>
      <c r="C6" s="510">
        <f>고등학교!S30</f>
        <v>22</v>
      </c>
      <c r="D6" s="511">
        <f>고등학교!Z30</f>
        <v>454</v>
      </c>
      <c r="E6" s="509">
        <f>고등학교!D33</f>
        <v>2</v>
      </c>
      <c r="F6" s="510">
        <f>고등학교!S33</f>
        <v>54</v>
      </c>
      <c r="G6" s="510">
        <f>고등학교!Z33</f>
        <v>1015</v>
      </c>
      <c r="H6" s="509"/>
      <c r="I6" s="510"/>
      <c r="J6" s="512"/>
      <c r="K6" s="513"/>
      <c r="L6" s="510"/>
      <c r="M6" s="512"/>
      <c r="N6" s="507">
        <f>B6+E6+H6+K6</f>
        <v>3</v>
      </c>
      <c r="O6" s="507">
        <f t="shared" ref="O6:P14" si="0">C6+F6+I6+L6</f>
        <v>76</v>
      </c>
      <c r="P6" s="684">
        <f t="shared" si="0"/>
        <v>1469</v>
      </c>
    </row>
    <row r="7" spans="1:16" ht="18" customHeight="1">
      <c r="A7" s="508" t="s">
        <v>1905</v>
      </c>
      <c r="B7" s="509">
        <f>고등학교!D41</f>
        <v>5</v>
      </c>
      <c r="C7" s="510">
        <f>고등학교!S41</f>
        <v>24</v>
      </c>
      <c r="D7" s="511">
        <f>고등학교!Z41</f>
        <v>216</v>
      </c>
      <c r="E7" s="509"/>
      <c r="F7" s="510"/>
      <c r="G7" s="510"/>
      <c r="H7" s="509"/>
      <c r="I7" s="510"/>
      <c r="J7" s="512"/>
      <c r="K7" s="513"/>
      <c r="L7" s="510"/>
      <c r="M7" s="512"/>
      <c r="N7" s="507">
        <f t="shared" ref="N7:N14" si="1">B7+E7+H7+K7</f>
        <v>5</v>
      </c>
      <c r="O7" s="507">
        <f t="shared" si="0"/>
        <v>24</v>
      </c>
      <c r="P7" s="684">
        <f t="shared" si="0"/>
        <v>216</v>
      </c>
    </row>
    <row r="8" spans="1:16" ht="18" customHeight="1">
      <c r="A8" s="508" t="s">
        <v>1906</v>
      </c>
      <c r="B8" s="509">
        <f>고등학교!D53+고등학교!D64</f>
        <v>8</v>
      </c>
      <c r="C8" s="510">
        <f>고등학교!S53+고등학교!S64</f>
        <v>198</v>
      </c>
      <c r="D8" s="511">
        <f>고등학교!Z53+고등학교!Z64</f>
        <v>4863</v>
      </c>
      <c r="E8" s="509">
        <f>고등학교!D57+고등학교!D66</f>
        <v>4</v>
      </c>
      <c r="F8" s="510">
        <f>고등학교!S57+고등학교!S66</f>
        <v>90</v>
      </c>
      <c r="G8" s="510">
        <f>고등학교!Z57+고등학교!Z66</f>
        <v>1471</v>
      </c>
      <c r="H8" s="509">
        <f>고등학교!D45+고등학교!D60</f>
        <v>3</v>
      </c>
      <c r="I8" s="510">
        <f>고등학교!S45+고등학교!S60</f>
        <v>48</v>
      </c>
      <c r="J8" s="512">
        <f>고등학교!Z45+고등학교!Z60</f>
        <v>925</v>
      </c>
      <c r="K8" s="513">
        <v>1</v>
      </c>
      <c r="L8" s="510">
        <v>24</v>
      </c>
      <c r="M8" s="512">
        <v>666</v>
      </c>
      <c r="N8" s="507">
        <f t="shared" si="1"/>
        <v>16</v>
      </c>
      <c r="O8" s="507">
        <f t="shared" si="0"/>
        <v>360</v>
      </c>
      <c r="P8" s="684">
        <f t="shared" si="0"/>
        <v>7925</v>
      </c>
    </row>
    <row r="9" spans="1:16" ht="18" customHeight="1">
      <c r="A9" s="508" t="s">
        <v>7</v>
      </c>
      <c r="B9" s="509">
        <f>고등학교!D82+고등학교!D92</f>
        <v>14</v>
      </c>
      <c r="C9" s="510">
        <f>고등학교!S82+고등학교!S92</f>
        <v>327</v>
      </c>
      <c r="D9" s="511">
        <f>고등학교!Z82+고등학교!Z92</f>
        <v>7824</v>
      </c>
      <c r="E9" s="509">
        <f>고등학교!D85+고등학교!D94</f>
        <v>3</v>
      </c>
      <c r="F9" s="510">
        <f>고등학교!S85+고등학교!S94</f>
        <v>76</v>
      </c>
      <c r="G9" s="510">
        <f>고등학교!Z85+고등학교!Z94</f>
        <v>1210</v>
      </c>
      <c r="H9" s="509">
        <f>고등학교!D87+고등학교!D96</f>
        <v>2</v>
      </c>
      <c r="I9" s="510">
        <f>고등학교!S87+고등학교!S96</f>
        <v>39</v>
      </c>
      <c r="J9" s="512">
        <f>고등학교!Z87+고등학교!Z96</f>
        <v>900</v>
      </c>
      <c r="K9" s="513"/>
      <c r="L9" s="510"/>
      <c r="M9" s="512"/>
      <c r="N9" s="507">
        <f t="shared" si="1"/>
        <v>19</v>
      </c>
      <c r="O9" s="507">
        <f t="shared" si="0"/>
        <v>442</v>
      </c>
      <c r="P9" s="684">
        <f t="shared" si="0"/>
        <v>9934</v>
      </c>
    </row>
    <row r="10" spans="1:16" ht="18" customHeight="1">
      <c r="A10" s="508" t="s">
        <v>10</v>
      </c>
      <c r="B10" s="509">
        <f>고등학교!D109</f>
        <v>10</v>
      </c>
      <c r="C10" s="510">
        <f>고등학교!S109</f>
        <v>225</v>
      </c>
      <c r="D10" s="511">
        <f>고등학교!Z109</f>
        <v>5418</v>
      </c>
      <c r="E10" s="509">
        <f>고등학교!D111</f>
        <v>1</v>
      </c>
      <c r="F10" s="510">
        <f>고등학교!S111</f>
        <v>31</v>
      </c>
      <c r="G10" s="510">
        <f>고등학교!Z111</f>
        <v>432</v>
      </c>
      <c r="H10" s="509"/>
      <c r="I10" s="510"/>
      <c r="J10" s="512"/>
      <c r="K10" s="513"/>
      <c r="L10" s="510"/>
      <c r="M10" s="512"/>
      <c r="N10" s="507">
        <f>B10+E10+H10+K10</f>
        <v>11</v>
      </c>
      <c r="O10" s="507">
        <f>C10+F10+I10+L10</f>
        <v>256</v>
      </c>
      <c r="P10" s="684">
        <f>D10+G10+J10+M10</f>
        <v>5850</v>
      </c>
    </row>
    <row r="11" spans="1:16" ht="18" customHeight="1">
      <c r="A11" s="508" t="s">
        <v>8</v>
      </c>
      <c r="B11" s="509">
        <f>고등학교!D123+고등학교!D132</f>
        <v>13</v>
      </c>
      <c r="C11" s="510">
        <f>고등학교!S123+고등학교!S132</f>
        <v>397</v>
      </c>
      <c r="D11" s="511">
        <f>고등학교!Z123+고등학교!Z132</f>
        <v>10234</v>
      </c>
      <c r="E11" s="509">
        <f>고등학교!D134</f>
        <v>1</v>
      </c>
      <c r="F11" s="510">
        <f>고등학교!S134</f>
        <v>27</v>
      </c>
      <c r="G11" s="510">
        <f>고등학교!Z134</f>
        <v>505</v>
      </c>
      <c r="H11" s="509">
        <f>고등학교!D126</f>
        <v>2</v>
      </c>
      <c r="I11" s="510">
        <f>고등학교!S126</f>
        <v>45</v>
      </c>
      <c r="J11" s="512">
        <f>고등학교!Z126</f>
        <v>1019</v>
      </c>
      <c r="K11" s="513"/>
      <c r="L11" s="510"/>
      <c r="M11" s="512"/>
      <c r="N11" s="507">
        <f t="shared" si="1"/>
        <v>16</v>
      </c>
      <c r="O11" s="507">
        <f t="shared" si="0"/>
        <v>469</v>
      </c>
      <c r="P11" s="684">
        <f t="shared" si="0"/>
        <v>11758</v>
      </c>
    </row>
    <row r="12" spans="1:16" ht="18" customHeight="1">
      <c r="A12" s="508" t="s">
        <v>9</v>
      </c>
      <c r="B12" s="509">
        <f>고등학교!D144+고등학교!D156</f>
        <v>10</v>
      </c>
      <c r="C12" s="510">
        <f>고등학교!S144+고등학교!S156</f>
        <v>331</v>
      </c>
      <c r="D12" s="511">
        <f>고등학교!Z144+고등학교!Z156</f>
        <v>9444</v>
      </c>
      <c r="E12" s="509">
        <f>고등학교!D149</f>
        <v>4</v>
      </c>
      <c r="F12" s="510">
        <f>고등학교!S149</f>
        <v>105</v>
      </c>
      <c r="G12" s="510">
        <f>고등학교!Z149</f>
        <v>1720</v>
      </c>
      <c r="H12" s="509">
        <f>고등학교!D151</f>
        <v>1</v>
      </c>
      <c r="I12" s="510">
        <f>고등학교!S151</f>
        <v>15</v>
      </c>
      <c r="J12" s="512">
        <f>고등학교!Z151</f>
        <v>238</v>
      </c>
      <c r="K12" s="513">
        <v>1</v>
      </c>
      <c r="L12" s="510">
        <v>24</v>
      </c>
      <c r="M12" s="512">
        <v>723</v>
      </c>
      <c r="N12" s="507">
        <f t="shared" si="1"/>
        <v>16</v>
      </c>
      <c r="O12" s="507">
        <f t="shared" si="0"/>
        <v>475</v>
      </c>
      <c r="P12" s="684">
        <f t="shared" si="0"/>
        <v>12125</v>
      </c>
    </row>
    <row r="13" spans="1:16" ht="18" customHeight="1">
      <c r="A13" s="508" t="s">
        <v>103</v>
      </c>
      <c r="B13" s="509">
        <f>고등학교!D174+고등학교!D182</f>
        <v>15</v>
      </c>
      <c r="C13" s="510">
        <f>고등학교!S174+고등학교!S182</f>
        <v>505</v>
      </c>
      <c r="D13" s="511">
        <f>고등학교!Z174+고등학교!Z182</f>
        <v>14091</v>
      </c>
      <c r="E13" s="509">
        <f>고등학교!D176+고등학교!D186</f>
        <v>4</v>
      </c>
      <c r="F13" s="510">
        <f>고등학교!S176+고등학교!S186</f>
        <v>98</v>
      </c>
      <c r="G13" s="510">
        <f>고등학교!Z176+고등학교!Z186</f>
        <v>1831</v>
      </c>
      <c r="H13" s="509">
        <f>고등학교!D178</f>
        <v>1</v>
      </c>
      <c r="I13" s="510">
        <f>고등학교!S178</f>
        <v>10</v>
      </c>
      <c r="J13" s="512">
        <f>고등학교!Z178</f>
        <v>283</v>
      </c>
      <c r="K13" s="513"/>
      <c r="L13" s="510"/>
      <c r="M13" s="512"/>
      <c r="N13" s="520">
        <f t="shared" si="1"/>
        <v>20</v>
      </c>
      <c r="O13" s="520">
        <f t="shared" si="0"/>
        <v>613</v>
      </c>
      <c r="P13" s="685">
        <f t="shared" si="0"/>
        <v>16205</v>
      </c>
    </row>
    <row r="14" spans="1:16" ht="18" customHeight="1" thickBot="1">
      <c r="A14" s="676" t="s">
        <v>158</v>
      </c>
      <c r="B14" s="677">
        <f>고등학교!D193+고등학교!D198</f>
        <v>5</v>
      </c>
      <c r="C14" s="678">
        <f>고등학교!S193+고등학교!S198</f>
        <v>57</v>
      </c>
      <c r="D14" s="679">
        <f>고등학교!Z193+고등학교!Z198</f>
        <v>1186</v>
      </c>
      <c r="E14" s="677">
        <f>고등학교!D195+고등학교!D201</f>
        <v>3</v>
      </c>
      <c r="F14" s="678">
        <f>고등학교!S195+고등학교!S201</f>
        <v>26</v>
      </c>
      <c r="G14" s="678">
        <f>고등학교!Z195+고등학교!Z201</f>
        <v>457</v>
      </c>
      <c r="H14" s="677"/>
      <c r="I14" s="678"/>
      <c r="J14" s="680"/>
      <c r="K14" s="681"/>
      <c r="L14" s="678"/>
      <c r="M14" s="680"/>
      <c r="N14" s="682">
        <f t="shared" si="1"/>
        <v>8</v>
      </c>
      <c r="O14" s="682">
        <f t="shared" si="0"/>
        <v>83</v>
      </c>
      <c r="P14" s="686">
        <f t="shared" si="0"/>
        <v>1643</v>
      </c>
    </row>
    <row r="15" spans="1:16" ht="18" customHeight="1" thickTop="1" thickBot="1">
      <c r="A15" s="669" t="s">
        <v>1909</v>
      </c>
      <c r="B15" s="670">
        <f>SUM(B5:B14)</f>
        <v>89</v>
      </c>
      <c r="C15" s="671">
        <f t="shared" ref="C15:M15" si="2">SUM(C5:C14)</f>
        <v>2311</v>
      </c>
      <c r="D15" s="672">
        <f t="shared" si="2"/>
        <v>58609</v>
      </c>
      <c r="E15" s="670">
        <f>SUM(E5:E14)</f>
        <v>28</v>
      </c>
      <c r="F15" s="671">
        <f t="shared" si="2"/>
        <v>672</v>
      </c>
      <c r="G15" s="673">
        <f>SUM(G5:G14)</f>
        <v>11517</v>
      </c>
      <c r="H15" s="674">
        <f t="shared" si="2"/>
        <v>10</v>
      </c>
      <c r="I15" s="671">
        <f t="shared" si="2"/>
        <v>181</v>
      </c>
      <c r="J15" s="673">
        <f t="shared" si="2"/>
        <v>3714</v>
      </c>
      <c r="K15" s="670">
        <f t="shared" si="2"/>
        <v>2</v>
      </c>
      <c r="L15" s="671">
        <f t="shared" si="2"/>
        <v>48</v>
      </c>
      <c r="M15" s="673">
        <f t="shared" si="2"/>
        <v>1389</v>
      </c>
      <c r="N15" s="675">
        <f>SUM(N5:N14)</f>
        <v>129</v>
      </c>
      <c r="O15" s="675">
        <f>SUM(O5:O14)</f>
        <v>3212</v>
      </c>
      <c r="P15" s="687">
        <f>SUM(P5:P14)</f>
        <v>75229</v>
      </c>
    </row>
    <row r="17" spans="1:16">
      <c r="G17" s="793"/>
    </row>
    <row r="19" spans="1:16" ht="26.1" customHeight="1">
      <c r="A19" s="519" t="s">
        <v>4951</v>
      </c>
      <c r="B19" s="519"/>
      <c r="C19" s="519"/>
      <c r="D19" s="519"/>
      <c r="E19" s="519"/>
      <c r="F19" s="519"/>
      <c r="G19" s="519"/>
      <c r="H19" s="519"/>
      <c r="I19" s="519"/>
      <c r="J19" s="519"/>
      <c r="K19" s="519"/>
      <c r="L19" s="519"/>
      <c r="M19" s="519"/>
      <c r="N19" s="519"/>
      <c r="O19" s="519"/>
      <c r="P19" s="519"/>
    </row>
    <row r="20" spans="1:16" ht="20.100000000000001" customHeight="1" thickBot="1">
      <c r="A20" s="489" t="s">
        <v>3243</v>
      </c>
      <c r="B20" s="490"/>
      <c r="C20" s="490"/>
      <c r="D20" s="490"/>
      <c r="E20" s="490"/>
      <c r="F20" s="490"/>
      <c r="G20" s="490"/>
      <c r="H20" s="490"/>
      <c r="I20" s="490"/>
      <c r="J20" s="490"/>
      <c r="K20" s="490"/>
      <c r="L20" s="490"/>
      <c r="M20" s="491"/>
      <c r="N20" s="492"/>
      <c r="O20" s="492"/>
      <c r="P20" s="493"/>
    </row>
    <row r="21" spans="1:16" ht="18" customHeight="1">
      <c r="A21" s="1538" t="s">
        <v>1907</v>
      </c>
      <c r="B21" s="1560" t="s">
        <v>1899</v>
      </c>
      <c r="C21" s="1561"/>
      <c r="D21" s="1562"/>
      <c r="E21" s="1563" t="s">
        <v>1900</v>
      </c>
      <c r="F21" s="1561"/>
      <c r="G21" s="1564"/>
      <c r="H21" s="1560" t="s">
        <v>1901</v>
      </c>
      <c r="I21" s="1561"/>
      <c r="J21" s="1562"/>
      <c r="K21" s="1563" t="s">
        <v>1902</v>
      </c>
      <c r="L21" s="1561"/>
      <c r="M21" s="1564"/>
      <c r="N21" s="1556" t="s">
        <v>402</v>
      </c>
      <c r="O21" s="1557"/>
      <c r="P21" s="1558"/>
    </row>
    <row r="22" spans="1:16" ht="18" customHeight="1">
      <c r="A22" s="1559"/>
      <c r="B22" s="1344" t="s">
        <v>1903</v>
      </c>
      <c r="C22" s="1332" t="s">
        <v>2</v>
      </c>
      <c r="D22" s="1345" t="s">
        <v>3</v>
      </c>
      <c r="E22" s="1342" t="s">
        <v>1903</v>
      </c>
      <c r="F22" s="1332" t="s">
        <v>2</v>
      </c>
      <c r="G22" s="1348" t="s">
        <v>3</v>
      </c>
      <c r="H22" s="1344" t="s">
        <v>1903</v>
      </c>
      <c r="I22" s="1332" t="s">
        <v>2</v>
      </c>
      <c r="J22" s="1345" t="s">
        <v>3</v>
      </c>
      <c r="K22" s="1342" t="s">
        <v>1903</v>
      </c>
      <c r="L22" s="1332" t="s">
        <v>2</v>
      </c>
      <c r="M22" s="1348" t="s">
        <v>3</v>
      </c>
      <c r="N22" s="1350" t="s">
        <v>1903</v>
      </c>
      <c r="O22" s="1333" t="s">
        <v>2</v>
      </c>
      <c r="P22" s="1334" t="s">
        <v>3</v>
      </c>
    </row>
    <row r="23" spans="1:16" ht="18" customHeight="1">
      <c r="A23" s="1340" t="s">
        <v>131</v>
      </c>
      <c r="B23" s="513">
        <f>B5</f>
        <v>8</v>
      </c>
      <c r="C23" s="510">
        <f t="shared" ref="C23:M23" si="3">C5</f>
        <v>225</v>
      </c>
      <c r="D23" s="512">
        <f t="shared" si="3"/>
        <v>4879</v>
      </c>
      <c r="E23" s="1278">
        <f t="shared" si="3"/>
        <v>6</v>
      </c>
      <c r="F23" s="510">
        <f t="shared" si="3"/>
        <v>165</v>
      </c>
      <c r="G23" s="511">
        <f t="shared" si="3"/>
        <v>2876</v>
      </c>
      <c r="H23" s="513">
        <f t="shared" si="3"/>
        <v>1</v>
      </c>
      <c r="I23" s="510">
        <f t="shared" si="3"/>
        <v>24</v>
      </c>
      <c r="J23" s="512">
        <f t="shared" si="3"/>
        <v>349</v>
      </c>
      <c r="K23" s="1278">
        <f t="shared" si="3"/>
        <v>0</v>
      </c>
      <c r="L23" s="510">
        <f t="shared" si="3"/>
        <v>0</v>
      </c>
      <c r="M23" s="511">
        <f t="shared" si="3"/>
        <v>0</v>
      </c>
      <c r="N23" s="1351">
        <f>B23+E23+H23+K23</f>
        <v>15</v>
      </c>
      <c r="O23" s="1335">
        <f>C23+F23+I23+L23</f>
        <v>414</v>
      </c>
      <c r="P23" s="1336">
        <f>D23+G23+J23+M23</f>
        <v>8104</v>
      </c>
    </row>
    <row r="24" spans="1:16" s="339" customFormat="1" ht="18" customHeight="1">
      <c r="A24" s="1280" t="s">
        <v>2821</v>
      </c>
      <c r="B24" s="513">
        <v>5</v>
      </c>
      <c r="C24" s="510">
        <v>112</v>
      </c>
      <c r="D24" s="512">
        <v>2476</v>
      </c>
      <c r="E24" s="1278">
        <v>5</v>
      </c>
      <c r="F24" s="510">
        <v>132</v>
      </c>
      <c r="G24" s="511">
        <v>2279</v>
      </c>
      <c r="H24" s="513">
        <v>1</v>
      </c>
      <c r="I24" s="510">
        <v>18</v>
      </c>
      <c r="J24" s="512">
        <v>310</v>
      </c>
      <c r="K24" s="1278"/>
      <c r="L24" s="510"/>
      <c r="M24" s="511"/>
      <c r="N24" s="526">
        <f>B24+E24+H24+K24</f>
        <v>11</v>
      </c>
      <c r="O24" s="1282">
        <f t="shared" ref="O24:O27" si="4">C24+F24+I24+L24</f>
        <v>262</v>
      </c>
      <c r="P24" s="529">
        <f t="shared" ref="P24:P27" si="5">D24+G24+J24+M24</f>
        <v>5065</v>
      </c>
    </row>
    <row r="25" spans="1:16" s="339" customFormat="1" ht="18" customHeight="1">
      <c r="A25" s="1280" t="s">
        <v>2823</v>
      </c>
      <c r="B25" s="513">
        <v>4</v>
      </c>
      <c r="C25" s="510">
        <v>108</v>
      </c>
      <c r="D25" s="512">
        <v>2841</v>
      </c>
      <c r="E25" s="1278">
        <v>1</v>
      </c>
      <c r="F25" s="510">
        <v>12</v>
      </c>
      <c r="G25" s="511">
        <v>207</v>
      </c>
      <c r="H25" s="513">
        <v>2</v>
      </c>
      <c r="I25" s="510">
        <v>30</v>
      </c>
      <c r="J25" s="512">
        <v>615</v>
      </c>
      <c r="K25" s="1278">
        <v>1</v>
      </c>
      <c r="L25" s="510">
        <v>24</v>
      </c>
      <c r="M25" s="511">
        <v>666</v>
      </c>
      <c r="N25" s="526">
        <f t="shared" ref="N25:N26" si="6">B25+E25+H25+K25</f>
        <v>8</v>
      </c>
      <c r="O25" s="1282">
        <f t="shared" si="4"/>
        <v>174</v>
      </c>
      <c r="P25" s="529">
        <f t="shared" si="5"/>
        <v>4329</v>
      </c>
    </row>
    <row r="26" spans="1:16" s="339" customFormat="1" ht="18" customHeight="1">
      <c r="A26" s="1280" t="s">
        <v>1905</v>
      </c>
      <c r="B26" s="513">
        <f>B7</f>
        <v>5</v>
      </c>
      <c r="C26" s="510">
        <f t="shared" ref="C26:M26" si="7">C7</f>
        <v>24</v>
      </c>
      <c r="D26" s="512">
        <f t="shared" si="7"/>
        <v>216</v>
      </c>
      <c r="E26" s="1278">
        <f t="shared" si="7"/>
        <v>0</v>
      </c>
      <c r="F26" s="510">
        <f t="shared" si="7"/>
        <v>0</v>
      </c>
      <c r="G26" s="511">
        <f t="shared" si="7"/>
        <v>0</v>
      </c>
      <c r="H26" s="513">
        <f t="shared" si="7"/>
        <v>0</v>
      </c>
      <c r="I26" s="510">
        <f t="shared" si="7"/>
        <v>0</v>
      </c>
      <c r="J26" s="512">
        <f t="shared" si="7"/>
        <v>0</v>
      </c>
      <c r="K26" s="1278">
        <f t="shared" si="7"/>
        <v>0</v>
      </c>
      <c r="L26" s="510">
        <f t="shared" si="7"/>
        <v>0</v>
      </c>
      <c r="M26" s="511">
        <f t="shared" si="7"/>
        <v>0</v>
      </c>
      <c r="N26" s="526">
        <f t="shared" si="6"/>
        <v>5</v>
      </c>
      <c r="O26" s="1282">
        <f t="shared" si="4"/>
        <v>24</v>
      </c>
      <c r="P26" s="529">
        <f t="shared" si="5"/>
        <v>216</v>
      </c>
    </row>
    <row r="27" spans="1:16" s="339" customFormat="1" ht="18" customHeight="1">
      <c r="A27" s="1280" t="s">
        <v>7</v>
      </c>
      <c r="B27" s="513">
        <f>B9</f>
        <v>14</v>
      </c>
      <c r="C27" s="510">
        <f t="shared" ref="C27:N27" si="8">C9</f>
        <v>327</v>
      </c>
      <c r="D27" s="512">
        <f t="shared" si="8"/>
        <v>7824</v>
      </c>
      <c r="E27" s="1278">
        <f t="shared" si="8"/>
        <v>3</v>
      </c>
      <c r="F27" s="510">
        <f t="shared" si="8"/>
        <v>76</v>
      </c>
      <c r="G27" s="511">
        <f t="shared" si="8"/>
        <v>1210</v>
      </c>
      <c r="H27" s="513">
        <f t="shared" si="8"/>
        <v>2</v>
      </c>
      <c r="I27" s="510">
        <f t="shared" si="8"/>
        <v>39</v>
      </c>
      <c r="J27" s="512">
        <f t="shared" si="8"/>
        <v>900</v>
      </c>
      <c r="K27" s="1278">
        <f t="shared" si="8"/>
        <v>0</v>
      </c>
      <c r="L27" s="510">
        <f t="shared" si="8"/>
        <v>0</v>
      </c>
      <c r="M27" s="511">
        <f t="shared" si="8"/>
        <v>0</v>
      </c>
      <c r="N27" s="513">
        <f t="shared" si="8"/>
        <v>19</v>
      </c>
      <c r="O27" s="1282">
        <f t="shared" si="4"/>
        <v>442</v>
      </c>
      <c r="P27" s="529">
        <f t="shared" si="5"/>
        <v>9934</v>
      </c>
    </row>
    <row r="28" spans="1:16" s="339" customFormat="1" ht="18" customHeight="1">
      <c r="A28" s="1280" t="s">
        <v>10</v>
      </c>
      <c r="B28" s="513">
        <f t="shared" ref="B28:N28" si="9">B10</f>
        <v>10</v>
      </c>
      <c r="C28" s="510">
        <f t="shared" si="9"/>
        <v>225</v>
      </c>
      <c r="D28" s="512">
        <f t="shared" si="9"/>
        <v>5418</v>
      </c>
      <c r="E28" s="1278">
        <f t="shared" si="9"/>
        <v>1</v>
      </c>
      <c r="F28" s="510">
        <f t="shared" si="9"/>
        <v>31</v>
      </c>
      <c r="G28" s="511">
        <f t="shared" si="9"/>
        <v>432</v>
      </c>
      <c r="H28" s="513">
        <f t="shared" si="9"/>
        <v>0</v>
      </c>
      <c r="I28" s="510">
        <f t="shared" si="9"/>
        <v>0</v>
      </c>
      <c r="J28" s="512">
        <f t="shared" si="9"/>
        <v>0</v>
      </c>
      <c r="K28" s="1278">
        <f t="shared" si="9"/>
        <v>0</v>
      </c>
      <c r="L28" s="510">
        <f t="shared" si="9"/>
        <v>0</v>
      </c>
      <c r="M28" s="511">
        <f t="shared" si="9"/>
        <v>0</v>
      </c>
      <c r="N28" s="513">
        <f t="shared" si="9"/>
        <v>11</v>
      </c>
      <c r="O28" s="1282">
        <f>C28+F28+I28+L28</f>
        <v>256</v>
      </c>
      <c r="P28" s="529">
        <f>D28+G28+J28+M28</f>
        <v>5850</v>
      </c>
    </row>
    <row r="29" spans="1:16" s="339" customFormat="1" ht="18" customHeight="1">
      <c r="A29" s="1280" t="s">
        <v>8</v>
      </c>
      <c r="B29" s="513">
        <f t="shared" ref="B29:N29" si="10">B11</f>
        <v>13</v>
      </c>
      <c r="C29" s="510">
        <f t="shared" si="10"/>
        <v>397</v>
      </c>
      <c r="D29" s="512">
        <f t="shared" si="10"/>
        <v>10234</v>
      </c>
      <c r="E29" s="1278">
        <f t="shared" si="10"/>
        <v>1</v>
      </c>
      <c r="F29" s="510">
        <f t="shared" si="10"/>
        <v>27</v>
      </c>
      <c r="G29" s="511">
        <f t="shared" si="10"/>
        <v>505</v>
      </c>
      <c r="H29" s="513">
        <f t="shared" si="10"/>
        <v>2</v>
      </c>
      <c r="I29" s="510">
        <f t="shared" si="10"/>
        <v>45</v>
      </c>
      <c r="J29" s="512">
        <f t="shared" si="10"/>
        <v>1019</v>
      </c>
      <c r="K29" s="1278">
        <f t="shared" si="10"/>
        <v>0</v>
      </c>
      <c r="L29" s="510">
        <f t="shared" si="10"/>
        <v>0</v>
      </c>
      <c r="M29" s="511">
        <f t="shared" si="10"/>
        <v>0</v>
      </c>
      <c r="N29" s="513">
        <f t="shared" si="10"/>
        <v>16</v>
      </c>
      <c r="O29" s="1282">
        <f t="shared" ref="O29:O33" si="11">C29+F29+I29+L29</f>
        <v>469</v>
      </c>
      <c r="P29" s="529">
        <f t="shared" ref="P29:P33" si="12">D29+G29+J29+M29</f>
        <v>11758</v>
      </c>
    </row>
    <row r="30" spans="1:16" s="339" customFormat="1" ht="18" customHeight="1">
      <c r="A30" s="1280" t="s">
        <v>9</v>
      </c>
      <c r="B30" s="513">
        <f t="shared" ref="B30:N30" si="13">B12</f>
        <v>10</v>
      </c>
      <c r="C30" s="510">
        <f t="shared" si="13"/>
        <v>331</v>
      </c>
      <c r="D30" s="512">
        <f t="shared" si="13"/>
        <v>9444</v>
      </c>
      <c r="E30" s="1278">
        <f t="shared" si="13"/>
        <v>4</v>
      </c>
      <c r="F30" s="510">
        <f t="shared" si="13"/>
        <v>105</v>
      </c>
      <c r="G30" s="511">
        <f t="shared" si="13"/>
        <v>1720</v>
      </c>
      <c r="H30" s="513">
        <f t="shared" si="13"/>
        <v>1</v>
      </c>
      <c r="I30" s="510">
        <f t="shared" si="13"/>
        <v>15</v>
      </c>
      <c r="J30" s="512">
        <f t="shared" si="13"/>
        <v>238</v>
      </c>
      <c r="K30" s="1278">
        <f t="shared" si="13"/>
        <v>1</v>
      </c>
      <c r="L30" s="510">
        <f t="shared" si="13"/>
        <v>24</v>
      </c>
      <c r="M30" s="511">
        <f t="shared" si="13"/>
        <v>723</v>
      </c>
      <c r="N30" s="513">
        <f t="shared" si="13"/>
        <v>16</v>
      </c>
      <c r="O30" s="1282">
        <f t="shared" si="11"/>
        <v>475</v>
      </c>
      <c r="P30" s="529">
        <f t="shared" si="12"/>
        <v>12125</v>
      </c>
    </row>
    <row r="31" spans="1:16" s="339" customFormat="1" ht="18" customHeight="1">
      <c r="A31" s="1280" t="s">
        <v>103</v>
      </c>
      <c r="B31" s="513">
        <v>9</v>
      </c>
      <c r="C31" s="510">
        <v>296</v>
      </c>
      <c r="D31" s="512">
        <v>7999</v>
      </c>
      <c r="E31" s="1278">
        <v>2</v>
      </c>
      <c r="F31" s="510">
        <v>56</v>
      </c>
      <c r="G31" s="511">
        <v>1043</v>
      </c>
      <c r="H31" s="513">
        <v>1</v>
      </c>
      <c r="I31" s="510">
        <v>10</v>
      </c>
      <c r="J31" s="512">
        <v>283</v>
      </c>
      <c r="K31" s="1278"/>
      <c r="L31" s="510"/>
      <c r="M31" s="511"/>
      <c r="N31" s="526">
        <f t="shared" ref="N31:N33" si="14">B31+E31+H31+K31</f>
        <v>12</v>
      </c>
      <c r="O31" s="1282">
        <f t="shared" si="11"/>
        <v>362</v>
      </c>
      <c r="P31" s="529">
        <f t="shared" si="12"/>
        <v>9325</v>
      </c>
    </row>
    <row r="32" spans="1:16" s="339" customFormat="1" ht="18" customHeight="1">
      <c r="A32" s="1280" t="s">
        <v>2825</v>
      </c>
      <c r="B32" s="513">
        <v>6</v>
      </c>
      <c r="C32" s="510">
        <v>209</v>
      </c>
      <c r="D32" s="512">
        <v>6092</v>
      </c>
      <c r="E32" s="1278">
        <v>2</v>
      </c>
      <c r="F32" s="510">
        <v>42</v>
      </c>
      <c r="G32" s="511">
        <v>788</v>
      </c>
      <c r="H32" s="513"/>
      <c r="I32" s="510"/>
      <c r="J32" s="512"/>
      <c r="K32" s="1278"/>
      <c r="L32" s="510"/>
      <c r="M32" s="511"/>
      <c r="N32" s="526">
        <f t="shared" ref="N32" si="15">B32+E32+H32+K32</f>
        <v>8</v>
      </c>
      <c r="O32" s="1282">
        <f t="shared" ref="O32" si="16">C32+F32+I32+L32</f>
        <v>251</v>
      </c>
      <c r="P32" s="529">
        <f t="shared" ref="P32" si="17">D32+G32+J32+M32</f>
        <v>6880</v>
      </c>
    </row>
    <row r="33" spans="1:16" s="339" customFormat="1" ht="18" customHeight="1">
      <c r="A33" s="1280" t="s">
        <v>158</v>
      </c>
      <c r="B33" s="513">
        <v>5</v>
      </c>
      <c r="C33" s="510">
        <v>57</v>
      </c>
      <c r="D33" s="512">
        <v>1186</v>
      </c>
      <c r="E33" s="1278">
        <v>3</v>
      </c>
      <c r="F33" s="510">
        <v>26</v>
      </c>
      <c r="G33" s="511">
        <v>457</v>
      </c>
      <c r="H33" s="513"/>
      <c r="I33" s="510"/>
      <c r="J33" s="512"/>
      <c r="K33" s="1278"/>
      <c r="L33" s="510"/>
      <c r="M33" s="511"/>
      <c r="N33" s="526">
        <f t="shared" si="14"/>
        <v>8</v>
      </c>
      <c r="O33" s="1282">
        <f t="shared" si="11"/>
        <v>83</v>
      </c>
      <c r="P33" s="529">
        <f t="shared" si="12"/>
        <v>1643</v>
      </c>
    </row>
    <row r="34" spans="1:16" ht="18" customHeight="1" thickBot="1">
      <c r="A34" s="1341" t="s">
        <v>402</v>
      </c>
      <c r="B34" s="1346">
        <f>SUM(B23:B33)</f>
        <v>89</v>
      </c>
      <c r="C34" s="1337">
        <f t="shared" ref="C34:D34" si="18">SUM(C23:C33)</f>
        <v>2311</v>
      </c>
      <c r="D34" s="1347">
        <f t="shared" si="18"/>
        <v>58609</v>
      </c>
      <c r="E34" s="1343">
        <f>SUM(E23:E33)</f>
        <v>28</v>
      </c>
      <c r="F34" s="1337">
        <f t="shared" ref="F34" si="19">SUM(F23:F33)</f>
        <v>672</v>
      </c>
      <c r="G34" s="1349">
        <f>SUM(G23:G33)</f>
        <v>11517</v>
      </c>
      <c r="H34" s="1346">
        <f t="shared" ref="H34:M34" si="20">SUM(H23:H33)</f>
        <v>10</v>
      </c>
      <c r="I34" s="1337">
        <f t="shared" si="20"/>
        <v>181</v>
      </c>
      <c r="J34" s="1347">
        <f t="shared" si="20"/>
        <v>3714</v>
      </c>
      <c r="K34" s="1343">
        <f t="shared" si="20"/>
        <v>2</v>
      </c>
      <c r="L34" s="1337">
        <f t="shared" si="20"/>
        <v>48</v>
      </c>
      <c r="M34" s="1349">
        <f t="shared" si="20"/>
        <v>1389</v>
      </c>
      <c r="N34" s="1352">
        <f>SUM(N23:N33)</f>
        <v>129</v>
      </c>
      <c r="O34" s="1338">
        <f>SUM(O23:O33)</f>
        <v>3212</v>
      </c>
      <c r="P34" s="1339">
        <f>SUM(P23:P33)</f>
        <v>75229</v>
      </c>
    </row>
  </sheetData>
  <mergeCells count="12">
    <mergeCell ref="N3:P3"/>
    <mergeCell ref="A3:A4"/>
    <mergeCell ref="B3:D3"/>
    <mergeCell ref="E3:G3"/>
    <mergeCell ref="H3:J3"/>
    <mergeCell ref="K3:M3"/>
    <mergeCell ref="N21:P21"/>
    <mergeCell ref="A21:A22"/>
    <mergeCell ref="B21:D21"/>
    <mergeCell ref="E21:G21"/>
    <mergeCell ref="H21:J21"/>
    <mergeCell ref="K21:M21"/>
  </mergeCells>
  <phoneticPr fontId="16" type="noConversion"/>
  <pageMargins left="0.25" right="0.25" top="0.75" bottom="0.7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O442"/>
  <sheetViews>
    <sheetView zoomScale="89" zoomScaleNormal="89" zoomScaleSheetLayoutView="75" workbookViewId="0">
      <pane xSplit="15" ySplit="7" topLeftCell="BD8" activePane="bottomRight" state="frozen"/>
      <selection pane="topRight" activeCell="O1" sqref="O1"/>
      <selection pane="bottomLeft" activeCell="A8" sqref="A8"/>
      <selection pane="bottomRight" activeCell="C1" sqref="C1"/>
    </sheetView>
  </sheetViews>
  <sheetFormatPr defaultRowHeight="16.5"/>
  <cols>
    <col min="1" max="5" width="9.625" style="6" customWidth="1"/>
    <col min="6" max="6" width="25.625" style="6" customWidth="1"/>
    <col min="7" max="7" width="11" style="8" customWidth="1"/>
    <col min="8" max="8" width="40.625" style="6" customWidth="1"/>
    <col min="9" max="9" width="11.125" style="6" customWidth="1"/>
    <col min="10" max="10" width="8.625" style="6" customWidth="1"/>
    <col min="11" max="12" width="9.125" style="6" customWidth="1"/>
    <col min="13" max="43" width="7.625" style="6" customWidth="1"/>
    <col min="44" max="45" width="7.625" style="7" customWidth="1"/>
    <col min="46" max="63" width="7.625" style="6" customWidth="1"/>
    <col min="64" max="64" width="12.875" style="6" customWidth="1"/>
    <col min="65" max="286" width="9" style="2"/>
    <col min="287" max="287" width="7.625" style="2" customWidth="1"/>
    <col min="288" max="288" width="6.875" style="2" customWidth="1"/>
    <col min="289" max="289" width="7.125" style="2" customWidth="1"/>
    <col min="290" max="290" width="16.125" style="2" customWidth="1"/>
    <col min="291" max="291" width="11.75" style="2" customWidth="1"/>
    <col min="292" max="292" width="13.75" style="2" customWidth="1"/>
    <col min="293" max="293" width="10" style="2" customWidth="1"/>
    <col min="294" max="295" width="9.25" style="2" customWidth="1"/>
    <col min="296" max="309" width="7.625" style="2" customWidth="1"/>
    <col min="310" max="310" width="8" style="2" customWidth="1"/>
    <col min="311" max="319" width="7.625" style="2" customWidth="1"/>
    <col min="320" max="320" width="6.5" style="2" customWidth="1"/>
    <col min="321" max="542" width="9" style="2"/>
    <col min="543" max="543" width="7.625" style="2" customWidth="1"/>
    <col min="544" max="544" width="6.875" style="2" customWidth="1"/>
    <col min="545" max="545" width="7.125" style="2" customWidth="1"/>
    <col min="546" max="546" width="16.125" style="2" customWidth="1"/>
    <col min="547" max="547" width="11.75" style="2" customWidth="1"/>
    <col min="548" max="548" width="13.75" style="2" customWidth="1"/>
    <col min="549" max="549" width="10" style="2" customWidth="1"/>
    <col min="550" max="551" width="9.25" style="2" customWidth="1"/>
    <col min="552" max="565" width="7.625" style="2" customWidth="1"/>
    <col min="566" max="566" width="8" style="2" customWidth="1"/>
    <col min="567" max="575" width="7.625" style="2" customWidth="1"/>
    <col min="576" max="576" width="6.5" style="2" customWidth="1"/>
    <col min="577" max="798" width="9" style="2"/>
    <col min="799" max="799" width="7.625" style="2" customWidth="1"/>
    <col min="800" max="800" width="6.875" style="2" customWidth="1"/>
    <col min="801" max="801" width="7.125" style="2" customWidth="1"/>
    <col min="802" max="802" width="16.125" style="2" customWidth="1"/>
    <col min="803" max="803" width="11.75" style="2" customWidth="1"/>
    <col min="804" max="804" width="13.75" style="2" customWidth="1"/>
    <col min="805" max="805" width="10" style="2" customWidth="1"/>
    <col min="806" max="807" width="9.25" style="2" customWidth="1"/>
    <col min="808" max="821" width="7.625" style="2" customWidth="1"/>
    <col min="822" max="822" width="8" style="2" customWidth="1"/>
    <col min="823" max="831" width="7.625" style="2" customWidth="1"/>
    <col min="832" max="832" width="6.5" style="2" customWidth="1"/>
    <col min="833" max="1054" width="9" style="2"/>
    <col min="1055" max="1055" width="7.625" style="2" customWidth="1"/>
    <col min="1056" max="1056" width="6.875" style="2" customWidth="1"/>
    <col min="1057" max="1057" width="7.125" style="2" customWidth="1"/>
    <col min="1058" max="1058" width="16.125" style="2" customWidth="1"/>
    <col min="1059" max="1059" width="11.75" style="2" customWidth="1"/>
    <col min="1060" max="1060" width="13.75" style="2" customWidth="1"/>
    <col min="1061" max="1061" width="10" style="2" customWidth="1"/>
    <col min="1062" max="1063" width="9.25" style="2" customWidth="1"/>
    <col min="1064" max="1077" width="7.625" style="2" customWidth="1"/>
    <col min="1078" max="1078" width="8" style="2" customWidth="1"/>
    <col min="1079" max="1087" width="7.625" style="2" customWidth="1"/>
    <col min="1088" max="1088" width="6.5" style="2" customWidth="1"/>
    <col min="1089" max="1310" width="9" style="2"/>
    <col min="1311" max="1311" width="7.625" style="2" customWidth="1"/>
    <col min="1312" max="1312" width="6.875" style="2" customWidth="1"/>
    <col min="1313" max="1313" width="7.125" style="2" customWidth="1"/>
    <col min="1314" max="1314" width="16.125" style="2" customWidth="1"/>
    <col min="1315" max="1315" width="11.75" style="2" customWidth="1"/>
    <col min="1316" max="1316" width="13.75" style="2" customWidth="1"/>
    <col min="1317" max="1317" width="10" style="2" customWidth="1"/>
    <col min="1318" max="1319" width="9.25" style="2" customWidth="1"/>
    <col min="1320" max="1333" width="7.625" style="2" customWidth="1"/>
    <col min="1334" max="1334" width="8" style="2" customWidth="1"/>
    <col min="1335" max="1343" width="7.625" style="2" customWidth="1"/>
    <col min="1344" max="1344" width="6.5" style="2" customWidth="1"/>
    <col min="1345" max="1566" width="9" style="2"/>
    <col min="1567" max="1567" width="7.625" style="2" customWidth="1"/>
    <col min="1568" max="1568" width="6.875" style="2" customWidth="1"/>
    <col min="1569" max="1569" width="7.125" style="2" customWidth="1"/>
    <col min="1570" max="1570" width="16.125" style="2" customWidth="1"/>
    <col min="1571" max="1571" width="11.75" style="2" customWidth="1"/>
    <col min="1572" max="1572" width="13.75" style="2" customWidth="1"/>
    <col min="1573" max="1573" width="10" style="2" customWidth="1"/>
    <col min="1574" max="1575" width="9.25" style="2" customWidth="1"/>
    <col min="1576" max="1589" width="7.625" style="2" customWidth="1"/>
    <col min="1590" max="1590" width="8" style="2" customWidth="1"/>
    <col min="1591" max="1599" width="7.625" style="2" customWidth="1"/>
    <col min="1600" max="1600" width="6.5" style="2" customWidth="1"/>
    <col min="1601" max="1822" width="9" style="2"/>
    <col min="1823" max="1823" width="7.625" style="2" customWidth="1"/>
    <col min="1824" max="1824" width="6.875" style="2" customWidth="1"/>
    <col min="1825" max="1825" width="7.125" style="2" customWidth="1"/>
    <col min="1826" max="1826" width="16.125" style="2" customWidth="1"/>
    <col min="1827" max="1827" width="11.75" style="2" customWidth="1"/>
    <col min="1828" max="1828" width="13.75" style="2" customWidth="1"/>
    <col min="1829" max="1829" width="10" style="2" customWidth="1"/>
    <col min="1830" max="1831" width="9.25" style="2" customWidth="1"/>
    <col min="1832" max="1845" width="7.625" style="2" customWidth="1"/>
    <col min="1846" max="1846" width="8" style="2" customWidth="1"/>
    <col min="1847" max="1855" width="7.625" style="2" customWidth="1"/>
    <col min="1856" max="1856" width="6.5" style="2" customWidth="1"/>
    <col min="1857" max="2078" width="9" style="2"/>
    <col min="2079" max="2079" width="7.625" style="2" customWidth="1"/>
    <col min="2080" max="2080" width="6.875" style="2" customWidth="1"/>
    <col min="2081" max="2081" width="7.125" style="2" customWidth="1"/>
    <col min="2082" max="2082" width="16.125" style="2" customWidth="1"/>
    <col min="2083" max="2083" width="11.75" style="2" customWidth="1"/>
    <col min="2084" max="2084" width="13.75" style="2" customWidth="1"/>
    <col min="2085" max="2085" width="10" style="2" customWidth="1"/>
    <col min="2086" max="2087" width="9.25" style="2" customWidth="1"/>
    <col min="2088" max="2101" width="7.625" style="2" customWidth="1"/>
    <col min="2102" max="2102" width="8" style="2" customWidth="1"/>
    <col min="2103" max="2111" width="7.625" style="2" customWidth="1"/>
    <col min="2112" max="2112" width="6.5" style="2" customWidth="1"/>
    <col min="2113" max="2334" width="9" style="2"/>
    <col min="2335" max="2335" width="7.625" style="2" customWidth="1"/>
    <col min="2336" max="2336" width="6.875" style="2" customWidth="1"/>
    <col min="2337" max="2337" width="7.125" style="2" customWidth="1"/>
    <col min="2338" max="2338" width="16.125" style="2" customWidth="1"/>
    <col min="2339" max="2339" width="11.75" style="2" customWidth="1"/>
    <col min="2340" max="2340" width="13.75" style="2" customWidth="1"/>
    <col min="2341" max="2341" width="10" style="2" customWidth="1"/>
    <col min="2342" max="2343" width="9.25" style="2" customWidth="1"/>
    <col min="2344" max="2357" width="7.625" style="2" customWidth="1"/>
    <col min="2358" max="2358" width="8" style="2" customWidth="1"/>
    <col min="2359" max="2367" width="7.625" style="2" customWidth="1"/>
    <col min="2368" max="2368" width="6.5" style="2" customWidth="1"/>
    <col min="2369" max="2590" width="9" style="2"/>
    <col min="2591" max="2591" width="7.625" style="2" customWidth="1"/>
    <col min="2592" max="2592" width="6.875" style="2" customWidth="1"/>
    <col min="2593" max="2593" width="7.125" style="2" customWidth="1"/>
    <col min="2594" max="2594" width="16.125" style="2" customWidth="1"/>
    <col min="2595" max="2595" width="11.75" style="2" customWidth="1"/>
    <col min="2596" max="2596" width="13.75" style="2" customWidth="1"/>
    <col min="2597" max="2597" width="10" style="2" customWidth="1"/>
    <col min="2598" max="2599" width="9.25" style="2" customWidth="1"/>
    <col min="2600" max="2613" width="7.625" style="2" customWidth="1"/>
    <col min="2614" max="2614" width="8" style="2" customWidth="1"/>
    <col min="2615" max="2623" width="7.625" style="2" customWidth="1"/>
    <col min="2624" max="2624" width="6.5" style="2" customWidth="1"/>
    <col min="2625" max="2846" width="9" style="2"/>
    <col min="2847" max="2847" width="7.625" style="2" customWidth="1"/>
    <col min="2848" max="2848" width="6.875" style="2" customWidth="1"/>
    <col min="2849" max="2849" width="7.125" style="2" customWidth="1"/>
    <col min="2850" max="2850" width="16.125" style="2" customWidth="1"/>
    <col min="2851" max="2851" width="11.75" style="2" customWidth="1"/>
    <col min="2852" max="2852" width="13.75" style="2" customWidth="1"/>
    <col min="2853" max="2853" width="10" style="2" customWidth="1"/>
    <col min="2854" max="2855" width="9.25" style="2" customWidth="1"/>
    <col min="2856" max="2869" width="7.625" style="2" customWidth="1"/>
    <col min="2870" max="2870" width="8" style="2" customWidth="1"/>
    <col min="2871" max="2879" width="7.625" style="2" customWidth="1"/>
    <col min="2880" max="2880" width="6.5" style="2" customWidth="1"/>
    <col min="2881" max="3102" width="9" style="2"/>
    <col min="3103" max="3103" width="7.625" style="2" customWidth="1"/>
    <col min="3104" max="3104" width="6.875" style="2" customWidth="1"/>
    <col min="3105" max="3105" width="7.125" style="2" customWidth="1"/>
    <col min="3106" max="3106" width="16.125" style="2" customWidth="1"/>
    <col min="3107" max="3107" width="11.75" style="2" customWidth="1"/>
    <col min="3108" max="3108" width="13.75" style="2" customWidth="1"/>
    <col min="3109" max="3109" width="10" style="2" customWidth="1"/>
    <col min="3110" max="3111" width="9.25" style="2" customWidth="1"/>
    <col min="3112" max="3125" width="7.625" style="2" customWidth="1"/>
    <col min="3126" max="3126" width="8" style="2" customWidth="1"/>
    <col min="3127" max="3135" width="7.625" style="2" customWidth="1"/>
    <col min="3136" max="3136" width="6.5" style="2" customWidth="1"/>
    <col min="3137" max="3358" width="9" style="2"/>
    <col min="3359" max="3359" width="7.625" style="2" customWidth="1"/>
    <col min="3360" max="3360" width="6.875" style="2" customWidth="1"/>
    <col min="3361" max="3361" width="7.125" style="2" customWidth="1"/>
    <col min="3362" max="3362" width="16.125" style="2" customWidth="1"/>
    <col min="3363" max="3363" width="11.75" style="2" customWidth="1"/>
    <col min="3364" max="3364" width="13.75" style="2" customWidth="1"/>
    <col min="3365" max="3365" width="10" style="2" customWidth="1"/>
    <col min="3366" max="3367" width="9.25" style="2" customWidth="1"/>
    <col min="3368" max="3381" width="7.625" style="2" customWidth="1"/>
    <col min="3382" max="3382" width="8" style="2" customWidth="1"/>
    <col min="3383" max="3391" width="7.625" style="2" customWidth="1"/>
    <col min="3392" max="3392" width="6.5" style="2" customWidth="1"/>
    <col min="3393" max="3614" width="9" style="2"/>
    <col min="3615" max="3615" width="7.625" style="2" customWidth="1"/>
    <col min="3616" max="3616" width="6.875" style="2" customWidth="1"/>
    <col min="3617" max="3617" width="7.125" style="2" customWidth="1"/>
    <col min="3618" max="3618" width="16.125" style="2" customWidth="1"/>
    <col min="3619" max="3619" width="11.75" style="2" customWidth="1"/>
    <col min="3620" max="3620" width="13.75" style="2" customWidth="1"/>
    <col min="3621" max="3621" width="10" style="2" customWidth="1"/>
    <col min="3622" max="3623" width="9.25" style="2" customWidth="1"/>
    <col min="3624" max="3637" width="7.625" style="2" customWidth="1"/>
    <col min="3638" max="3638" width="8" style="2" customWidth="1"/>
    <col min="3639" max="3647" width="7.625" style="2" customWidth="1"/>
    <col min="3648" max="3648" width="6.5" style="2" customWidth="1"/>
    <col min="3649" max="3870" width="9" style="2"/>
    <col min="3871" max="3871" width="7.625" style="2" customWidth="1"/>
    <col min="3872" max="3872" width="6.875" style="2" customWidth="1"/>
    <col min="3873" max="3873" width="7.125" style="2" customWidth="1"/>
    <col min="3874" max="3874" width="16.125" style="2" customWidth="1"/>
    <col min="3875" max="3875" width="11.75" style="2" customWidth="1"/>
    <col min="3876" max="3876" width="13.75" style="2" customWidth="1"/>
    <col min="3877" max="3877" width="10" style="2" customWidth="1"/>
    <col min="3878" max="3879" width="9.25" style="2" customWidth="1"/>
    <col min="3880" max="3893" width="7.625" style="2" customWidth="1"/>
    <col min="3894" max="3894" width="8" style="2" customWidth="1"/>
    <col min="3895" max="3903" width="7.625" style="2" customWidth="1"/>
    <col min="3904" max="3904" width="6.5" style="2" customWidth="1"/>
    <col min="3905" max="4126" width="9" style="2"/>
    <col min="4127" max="4127" width="7.625" style="2" customWidth="1"/>
    <col min="4128" max="4128" width="6.875" style="2" customWidth="1"/>
    <col min="4129" max="4129" width="7.125" style="2" customWidth="1"/>
    <col min="4130" max="4130" width="16.125" style="2" customWidth="1"/>
    <col min="4131" max="4131" width="11.75" style="2" customWidth="1"/>
    <col min="4132" max="4132" width="13.75" style="2" customWidth="1"/>
    <col min="4133" max="4133" width="10" style="2" customWidth="1"/>
    <col min="4134" max="4135" width="9.25" style="2" customWidth="1"/>
    <col min="4136" max="4149" width="7.625" style="2" customWidth="1"/>
    <col min="4150" max="4150" width="8" style="2" customWidth="1"/>
    <col min="4151" max="4159" width="7.625" style="2" customWidth="1"/>
    <col min="4160" max="4160" width="6.5" style="2" customWidth="1"/>
    <col min="4161" max="4382" width="9" style="2"/>
    <col min="4383" max="4383" width="7.625" style="2" customWidth="1"/>
    <col min="4384" max="4384" width="6.875" style="2" customWidth="1"/>
    <col min="4385" max="4385" width="7.125" style="2" customWidth="1"/>
    <col min="4386" max="4386" width="16.125" style="2" customWidth="1"/>
    <col min="4387" max="4387" width="11.75" style="2" customWidth="1"/>
    <col min="4388" max="4388" width="13.75" style="2" customWidth="1"/>
    <col min="4389" max="4389" width="10" style="2" customWidth="1"/>
    <col min="4390" max="4391" width="9.25" style="2" customWidth="1"/>
    <col min="4392" max="4405" width="7.625" style="2" customWidth="1"/>
    <col min="4406" max="4406" width="8" style="2" customWidth="1"/>
    <col min="4407" max="4415" width="7.625" style="2" customWidth="1"/>
    <col min="4416" max="4416" width="6.5" style="2" customWidth="1"/>
    <col min="4417" max="4638" width="9" style="2"/>
    <col min="4639" max="4639" width="7.625" style="2" customWidth="1"/>
    <col min="4640" max="4640" width="6.875" style="2" customWidth="1"/>
    <col min="4641" max="4641" width="7.125" style="2" customWidth="1"/>
    <col min="4642" max="4642" width="16.125" style="2" customWidth="1"/>
    <col min="4643" max="4643" width="11.75" style="2" customWidth="1"/>
    <col min="4644" max="4644" width="13.75" style="2" customWidth="1"/>
    <col min="4645" max="4645" width="10" style="2" customWidth="1"/>
    <col min="4646" max="4647" width="9.25" style="2" customWidth="1"/>
    <col min="4648" max="4661" width="7.625" style="2" customWidth="1"/>
    <col min="4662" max="4662" width="8" style="2" customWidth="1"/>
    <col min="4663" max="4671" width="7.625" style="2" customWidth="1"/>
    <col min="4672" max="4672" width="6.5" style="2" customWidth="1"/>
    <col min="4673" max="4894" width="9" style="2"/>
    <col min="4895" max="4895" width="7.625" style="2" customWidth="1"/>
    <col min="4896" max="4896" width="6.875" style="2" customWidth="1"/>
    <col min="4897" max="4897" width="7.125" style="2" customWidth="1"/>
    <col min="4898" max="4898" width="16.125" style="2" customWidth="1"/>
    <col min="4899" max="4899" width="11.75" style="2" customWidth="1"/>
    <col min="4900" max="4900" width="13.75" style="2" customWidth="1"/>
    <col min="4901" max="4901" width="10" style="2" customWidth="1"/>
    <col min="4902" max="4903" width="9.25" style="2" customWidth="1"/>
    <col min="4904" max="4917" width="7.625" style="2" customWidth="1"/>
    <col min="4918" max="4918" width="8" style="2" customWidth="1"/>
    <col min="4919" max="4927" width="7.625" style="2" customWidth="1"/>
    <col min="4928" max="4928" width="6.5" style="2" customWidth="1"/>
    <col min="4929" max="5150" width="9" style="2"/>
    <col min="5151" max="5151" width="7.625" style="2" customWidth="1"/>
    <col min="5152" max="5152" width="6.875" style="2" customWidth="1"/>
    <col min="5153" max="5153" width="7.125" style="2" customWidth="1"/>
    <col min="5154" max="5154" width="16.125" style="2" customWidth="1"/>
    <col min="5155" max="5155" width="11.75" style="2" customWidth="1"/>
    <col min="5156" max="5156" width="13.75" style="2" customWidth="1"/>
    <col min="5157" max="5157" width="10" style="2" customWidth="1"/>
    <col min="5158" max="5159" width="9.25" style="2" customWidth="1"/>
    <col min="5160" max="5173" width="7.625" style="2" customWidth="1"/>
    <col min="5174" max="5174" width="8" style="2" customWidth="1"/>
    <col min="5175" max="5183" width="7.625" style="2" customWidth="1"/>
    <col min="5184" max="5184" width="6.5" style="2" customWidth="1"/>
    <col min="5185" max="5406" width="9" style="2"/>
    <col min="5407" max="5407" width="7.625" style="2" customWidth="1"/>
    <col min="5408" max="5408" width="6.875" style="2" customWidth="1"/>
    <col min="5409" max="5409" width="7.125" style="2" customWidth="1"/>
    <col min="5410" max="5410" width="16.125" style="2" customWidth="1"/>
    <col min="5411" max="5411" width="11.75" style="2" customWidth="1"/>
    <col min="5412" max="5412" width="13.75" style="2" customWidth="1"/>
    <col min="5413" max="5413" width="10" style="2" customWidth="1"/>
    <col min="5414" max="5415" width="9.25" style="2" customWidth="1"/>
    <col min="5416" max="5429" width="7.625" style="2" customWidth="1"/>
    <col min="5430" max="5430" width="8" style="2" customWidth="1"/>
    <col min="5431" max="5439" width="7.625" style="2" customWidth="1"/>
    <col min="5440" max="5440" width="6.5" style="2" customWidth="1"/>
    <col min="5441" max="5662" width="9" style="2"/>
    <col min="5663" max="5663" width="7.625" style="2" customWidth="1"/>
    <col min="5664" max="5664" width="6.875" style="2" customWidth="1"/>
    <col min="5665" max="5665" width="7.125" style="2" customWidth="1"/>
    <col min="5666" max="5666" width="16.125" style="2" customWidth="1"/>
    <col min="5667" max="5667" width="11.75" style="2" customWidth="1"/>
    <col min="5668" max="5668" width="13.75" style="2" customWidth="1"/>
    <col min="5669" max="5669" width="10" style="2" customWidth="1"/>
    <col min="5670" max="5671" width="9.25" style="2" customWidth="1"/>
    <col min="5672" max="5685" width="7.625" style="2" customWidth="1"/>
    <col min="5686" max="5686" width="8" style="2" customWidth="1"/>
    <col min="5687" max="5695" width="7.625" style="2" customWidth="1"/>
    <col min="5696" max="5696" width="6.5" style="2" customWidth="1"/>
    <col min="5697" max="5918" width="9" style="2"/>
    <col min="5919" max="5919" width="7.625" style="2" customWidth="1"/>
    <col min="5920" max="5920" width="6.875" style="2" customWidth="1"/>
    <col min="5921" max="5921" width="7.125" style="2" customWidth="1"/>
    <col min="5922" max="5922" width="16.125" style="2" customWidth="1"/>
    <col min="5923" max="5923" width="11.75" style="2" customWidth="1"/>
    <col min="5924" max="5924" width="13.75" style="2" customWidth="1"/>
    <col min="5925" max="5925" width="10" style="2" customWidth="1"/>
    <col min="5926" max="5927" width="9.25" style="2" customWidth="1"/>
    <col min="5928" max="5941" width="7.625" style="2" customWidth="1"/>
    <col min="5942" max="5942" width="8" style="2" customWidth="1"/>
    <col min="5943" max="5951" width="7.625" style="2" customWidth="1"/>
    <col min="5952" max="5952" width="6.5" style="2" customWidth="1"/>
    <col min="5953" max="6174" width="9" style="2"/>
    <col min="6175" max="6175" width="7.625" style="2" customWidth="1"/>
    <col min="6176" max="6176" width="6.875" style="2" customWidth="1"/>
    <col min="6177" max="6177" width="7.125" style="2" customWidth="1"/>
    <col min="6178" max="6178" width="16.125" style="2" customWidth="1"/>
    <col min="6179" max="6179" width="11.75" style="2" customWidth="1"/>
    <col min="6180" max="6180" width="13.75" style="2" customWidth="1"/>
    <col min="6181" max="6181" width="10" style="2" customWidth="1"/>
    <col min="6182" max="6183" width="9.25" style="2" customWidth="1"/>
    <col min="6184" max="6197" width="7.625" style="2" customWidth="1"/>
    <col min="6198" max="6198" width="8" style="2" customWidth="1"/>
    <col min="6199" max="6207" width="7.625" style="2" customWidth="1"/>
    <col min="6208" max="6208" width="6.5" style="2" customWidth="1"/>
    <col min="6209" max="6430" width="9" style="2"/>
    <col min="6431" max="6431" width="7.625" style="2" customWidth="1"/>
    <col min="6432" max="6432" width="6.875" style="2" customWidth="1"/>
    <col min="6433" max="6433" width="7.125" style="2" customWidth="1"/>
    <col min="6434" max="6434" width="16.125" style="2" customWidth="1"/>
    <col min="6435" max="6435" width="11.75" style="2" customWidth="1"/>
    <col min="6436" max="6436" width="13.75" style="2" customWidth="1"/>
    <col min="6437" max="6437" width="10" style="2" customWidth="1"/>
    <col min="6438" max="6439" width="9.25" style="2" customWidth="1"/>
    <col min="6440" max="6453" width="7.625" style="2" customWidth="1"/>
    <col min="6454" max="6454" width="8" style="2" customWidth="1"/>
    <col min="6455" max="6463" width="7.625" style="2" customWidth="1"/>
    <col min="6464" max="6464" width="6.5" style="2" customWidth="1"/>
    <col min="6465" max="6686" width="9" style="2"/>
    <col min="6687" max="6687" width="7.625" style="2" customWidth="1"/>
    <col min="6688" max="6688" width="6.875" style="2" customWidth="1"/>
    <col min="6689" max="6689" width="7.125" style="2" customWidth="1"/>
    <col min="6690" max="6690" width="16.125" style="2" customWidth="1"/>
    <col min="6691" max="6691" width="11.75" style="2" customWidth="1"/>
    <col min="6692" max="6692" width="13.75" style="2" customWidth="1"/>
    <col min="6693" max="6693" width="10" style="2" customWidth="1"/>
    <col min="6694" max="6695" width="9.25" style="2" customWidth="1"/>
    <col min="6696" max="6709" width="7.625" style="2" customWidth="1"/>
    <col min="6710" max="6710" width="8" style="2" customWidth="1"/>
    <col min="6711" max="6719" width="7.625" style="2" customWidth="1"/>
    <col min="6720" max="6720" width="6.5" style="2" customWidth="1"/>
    <col min="6721" max="6942" width="9" style="2"/>
    <col min="6943" max="6943" width="7.625" style="2" customWidth="1"/>
    <col min="6944" max="6944" width="6.875" style="2" customWidth="1"/>
    <col min="6945" max="6945" width="7.125" style="2" customWidth="1"/>
    <col min="6946" max="6946" width="16.125" style="2" customWidth="1"/>
    <col min="6947" max="6947" width="11.75" style="2" customWidth="1"/>
    <col min="6948" max="6948" width="13.75" style="2" customWidth="1"/>
    <col min="6949" max="6949" width="10" style="2" customWidth="1"/>
    <col min="6950" max="6951" width="9.25" style="2" customWidth="1"/>
    <col min="6952" max="6965" width="7.625" style="2" customWidth="1"/>
    <col min="6966" max="6966" width="8" style="2" customWidth="1"/>
    <col min="6967" max="6975" width="7.625" style="2" customWidth="1"/>
    <col min="6976" max="6976" width="6.5" style="2" customWidth="1"/>
    <col min="6977" max="7198" width="9" style="2"/>
    <col min="7199" max="7199" width="7.625" style="2" customWidth="1"/>
    <col min="7200" max="7200" width="6.875" style="2" customWidth="1"/>
    <col min="7201" max="7201" width="7.125" style="2" customWidth="1"/>
    <col min="7202" max="7202" width="16.125" style="2" customWidth="1"/>
    <col min="7203" max="7203" width="11.75" style="2" customWidth="1"/>
    <col min="7204" max="7204" width="13.75" style="2" customWidth="1"/>
    <col min="7205" max="7205" width="10" style="2" customWidth="1"/>
    <col min="7206" max="7207" width="9.25" style="2" customWidth="1"/>
    <col min="7208" max="7221" width="7.625" style="2" customWidth="1"/>
    <col min="7222" max="7222" width="8" style="2" customWidth="1"/>
    <col min="7223" max="7231" width="7.625" style="2" customWidth="1"/>
    <col min="7232" max="7232" width="6.5" style="2" customWidth="1"/>
    <col min="7233" max="7454" width="9" style="2"/>
    <col min="7455" max="7455" width="7.625" style="2" customWidth="1"/>
    <col min="7456" max="7456" width="6.875" style="2" customWidth="1"/>
    <col min="7457" max="7457" width="7.125" style="2" customWidth="1"/>
    <col min="7458" max="7458" width="16.125" style="2" customWidth="1"/>
    <col min="7459" max="7459" width="11.75" style="2" customWidth="1"/>
    <col min="7460" max="7460" width="13.75" style="2" customWidth="1"/>
    <col min="7461" max="7461" width="10" style="2" customWidth="1"/>
    <col min="7462" max="7463" width="9.25" style="2" customWidth="1"/>
    <col min="7464" max="7477" width="7.625" style="2" customWidth="1"/>
    <col min="7478" max="7478" width="8" style="2" customWidth="1"/>
    <col min="7479" max="7487" width="7.625" style="2" customWidth="1"/>
    <col min="7488" max="7488" width="6.5" style="2" customWidth="1"/>
    <col min="7489" max="7710" width="9" style="2"/>
    <col min="7711" max="7711" width="7.625" style="2" customWidth="1"/>
    <col min="7712" max="7712" width="6.875" style="2" customWidth="1"/>
    <col min="7713" max="7713" width="7.125" style="2" customWidth="1"/>
    <col min="7714" max="7714" width="16.125" style="2" customWidth="1"/>
    <col min="7715" max="7715" width="11.75" style="2" customWidth="1"/>
    <col min="7716" max="7716" width="13.75" style="2" customWidth="1"/>
    <col min="7717" max="7717" width="10" style="2" customWidth="1"/>
    <col min="7718" max="7719" width="9.25" style="2" customWidth="1"/>
    <col min="7720" max="7733" width="7.625" style="2" customWidth="1"/>
    <col min="7734" max="7734" width="8" style="2" customWidth="1"/>
    <col min="7735" max="7743" width="7.625" style="2" customWidth="1"/>
    <col min="7744" max="7744" width="6.5" style="2" customWidth="1"/>
    <col min="7745" max="7966" width="9" style="2"/>
    <col min="7967" max="7967" width="7.625" style="2" customWidth="1"/>
    <col min="7968" max="7968" width="6.875" style="2" customWidth="1"/>
    <col min="7969" max="7969" width="7.125" style="2" customWidth="1"/>
    <col min="7970" max="7970" width="16.125" style="2" customWidth="1"/>
    <col min="7971" max="7971" width="11.75" style="2" customWidth="1"/>
    <col min="7972" max="7972" width="13.75" style="2" customWidth="1"/>
    <col min="7973" max="7973" width="10" style="2" customWidth="1"/>
    <col min="7974" max="7975" width="9.25" style="2" customWidth="1"/>
    <col min="7976" max="7989" width="7.625" style="2" customWidth="1"/>
    <col min="7990" max="7990" width="8" style="2" customWidth="1"/>
    <col min="7991" max="7999" width="7.625" style="2" customWidth="1"/>
    <col min="8000" max="8000" width="6.5" style="2" customWidth="1"/>
    <col min="8001" max="8222" width="9" style="2"/>
    <col min="8223" max="8223" width="7.625" style="2" customWidth="1"/>
    <col min="8224" max="8224" width="6.875" style="2" customWidth="1"/>
    <col min="8225" max="8225" width="7.125" style="2" customWidth="1"/>
    <col min="8226" max="8226" width="16.125" style="2" customWidth="1"/>
    <col min="8227" max="8227" width="11.75" style="2" customWidth="1"/>
    <col min="8228" max="8228" width="13.75" style="2" customWidth="1"/>
    <col min="8229" max="8229" width="10" style="2" customWidth="1"/>
    <col min="8230" max="8231" width="9.25" style="2" customWidth="1"/>
    <col min="8232" max="8245" width="7.625" style="2" customWidth="1"/>
    <col min="8246" max="8246" width="8" style="2" customWidth="1"/>
    <col min="8247" max="8255" width="7.625" style="2" customWidth="1"/>
    <col min="8256" max="8256" width="6.5" style="2" customWidth="1"/>
    <col min="8257" max="8478" width="9" style="2"/>
    <col min="8479" max="8479" width="7.625" style="2" customWidth="1"/>
    <col min="8480" max="8480" width="6.875" style="2" customWidth="1"/>
    <col min="8481" max="8481" width="7.125" style="2" customWidth="1"/>
    <col min="8482" max="8482" width="16.125" style="2" customWidth="1"/>
    <col min="8483" max="8483" width="11.75" style="2" customWidth="1"/>
    <col min="8484" max="8484" width="13.75" style="2" customWidth="1"/>
    <col min="8485" max="8485" width="10" style="2" customWidth="1"/>
    <col min="8486" max="8487" width="9.25" style="2" customWidth="1"/>
    <col min="8488" max="8501" width="7.625" style="2" customWidth="1"/>
    <col min="8502" max="8502" width="8" style="2" customWidth="1"/>
    <col min="8503" max="8511" width="7.625" style="2" customWidth="1"/>
    <col min="8512" max="8512" width="6.5" style="2" customWidth="1"/>
    <col min="8513" max="8734" width="9" style="2"/>
    <col min="8735" max="8735" width="7.625" style="2" customWidth="1"/>
    <col min="8736" max="8736" width="6.875" style="2" customWidth="1"/>
    <col min="8737" max="8737" width="7.125" style="2" customWidth="1"/>
    <col min="8738" max="8738" width="16.125" style="2" customWidth="1"/>
    <col min="8739" max="8739" width="11.75" style="2" customWidth="1"/>
    <col min="8740" max="8740" width="13.75" style="2" customWidth="1"/>
    <col min="8741" max="8741" width="10" style="2" customWidth="1"/>
    <col min="8742" max="8743" width="9.25" style="2" customWidth="1"/>
    <col min="8744" max="8757" width="7.625" style="2" customWidth="1"/>
    <col min="8758" max="8758" width="8" style="2" customWidth="1"/>
    <col min="8759" max="8767" width="7.625" style="2" customWidth="1"/>
    <col min="8768" max="8768" width="6.5" style="2" customWidth="1"/>
    <col min="8769" max="8990" width="9" style="2"/>
    <col min="8991" max="8991" width="7.625" style="2" customWidth="1"/>
    <col min="8992" max="8992" width="6.875" style="2" customWidth="1"/>
    <col min="8993" max="8993" width="7.125" style="2" customWidth="1"/>
    <col min="8994" max="8994" width="16.125" style="2" customWidth="1"/>
    <col min="8995" max="8995" width="11.75" style="2" customWidth="1"/>
    <col min="8996" max="8996" width="13.75" style="2" customWidth="1"/>
    <col min="8997" max="8997" width="10" style="2" customWidth="1"/>
    <col min="8998" max="8999" width="9.25" style="2" customWidth="1"/>
    <col min="9000" max="9013" width="7.625" style="2" customWidth="1"/>
    <col min="9014" max="9014" width="8" style="2" customWidth="1"/>
    <col min="9015" max="9023" width="7.625" style="2" customWidth="1"/>
    <col min="9024" max="9024" width="6.5" style="2" customWidth="1"/>
    <col min="9025" max="9246" width="9" style="2"/>
    <col min="9247" max="9247" width="7.625" style="2" customWidth="1"/>
    <col min="9248" max="9248" width="6.875" style="2" customWidth="1"/>
    <col min="9249" max="9249" width="7.125" style="2" customWidth="1"/>
    <col min="9250" max="9250" width="16.125" style="2" customWidth="1"/>
    <col min="9251" max="9251" width="11.75" style="2" customWidth="1"/>
    <col min="9252" max="9252" width="13.75" style="2" customWidth="1"/>
    <col min="9253" max="9253" width="10" style="2" customWidth="1"/>
    <col min="9254" max="9255" width="9.25" style="2" customWidth="1"/>
    <col min="9256" max="9269" width="7.625" style="2" customWidth="1"/>
    <col min="9270" max="9270" width="8" style="2" customWidth="1"/>
    <col min="9271" max="9279" width="7.625" style="2" customWidth="1"/>
    <col min="9280" max="9280" width="6.5" style="2" customWidth="1"/>
    <col min="9281" max="9502" width="9" style="2"/>
    <col min="9503" max="9503" width="7.625" style="2" customWidth="1"/>
    <col min="9504" max="9504" width="6.875" style="2" customWidth="1"/>
    <col min="9505" max="9505" width="7.125" style="2" customWidth="1"/>
    <col min="9506" max="9506" width="16.125" style="2" customWidth="1"/>
    <col min="9507" max="9507" width="11.75" style="2" customWidth="1"/>
    <col min="9508" max="9508" width="13.75" style="2" customWidth="1"/>
    <col min="9509" max="9509" width="10" style="2" customWidth="1"/>
    <col min="9510" max="9511" width="9.25" style="2" customWidth="1"/>
    <col min="9512" max="9525" width="7.625" style="2" customWidth="1"/>
    <col min="9526" max="9526" width="8" style="2" customWidth="1"/>
    <col min="9527" max="9535" width="7.625" style="2" customWidth="1"/>
    <col min="9536" max="9536" width="6.5" style="2" customWidth="1"/>
    <col min="9537" max="9758" width="9" style="2"/>
    <col min="9759" max="9759" width="7.625" style="2" customWidth="1"/>
    <col min="9760" max="9760" width="6.875" style="2" customWidth="1"/>
    <col min="9761" max="9761" width="7.125" style="2" customWidth="1"/>
    <col min="9762" max="9762" width="16.125" style="2" customWidth="1"/>
    <col min="9763" max="9763" width="11.75" style="2" customWidth="1"/>
    <col min="9764" max="9764" width="13.75" style="2" customWidth="1"/>
    <col min="9765" max="9765" width="10" style="2" customWidth="1"/>
    <col min="9766" max="9767" width="9.25" style="2" customWidth="1"/>
    <col min="9768" max="9781" width="7.625" style="2" customWidth="1"/>
    <col min="9782" max="9782" width="8" style="2" customWidth="1"/>
    <col min="9783" max="9791" width="7.625" style="2" customWidth="1"/>
    <col min="9792" max="9792" width="6.5" style="2" customWidth="1"/>
    <col min="9793" max="10014" width="9" style="2"/>
    <col min="10015" max="10015" width="7.625" style="2" customWidth="1"/>
    <col min="10016" max="10016" width="6.875" style="2" customWidth="1"/>
    <col min="10017" max="10017" width="7.125" style="2" customWidth="1"/>
    <col min="10018" max="10018" width="16.125" style="2" customWidth="1"/>
    <col min="10019" max="10019" width="11.75" style="2" customWidth="1"/>
    <col min="10020" max="10020" width="13.75" style="2" customWidth="1"/>
    <col min="10021" max="10021" width="10" style="2" customWidth="1"/>
    <col min="10022" max="10023" width="9.25" style="2" customWidth="1"/>
    <col min="10024" max="10037" width="7.625" style="2" customWidth="1"/>
    <col min="10038" max="10038" width="8" style="2" customWidth="1"/>
    <col min="10039" max="10047" width="7.625" style="2" customWidth="1"/>
    <col min="10048" max="10048" width="6.5" style="2" customWidth="1"/>
    <col min="10049" max="10270" width="9" style="2"/>
    <col min="10271" max="10271" width="7.625" style="2" customWidth="1"/>
    <col min="10272" max="10272" width="6.875" style="2" customWidth="1"/>
    <col min="10273" max="10273" width="7.125" style="2" customWidth="1"/>
    <col min="10274" max="10274" width="16.125" style="2" customWidth="1"/>
    <col min="10275" max="10275" width="11.75" style="2" customWidth="1"/>
    <col min="10276" max="10276" width="13.75" style="2" customWidth="1"/>
    <col min="10277" max="10277" width="10" style="2" customWidth="1"/>
    <col min="10278" max="10279" width="9.25" style="2" customWidth="1"/>
    <col min="10280" max="10293" width="7.625" style="2" customWidth="1"/>
    <col min="10294" max="10294" width="8" style="2" customWidth="1"/>
    <col min="10295" max="10303" width="7.625" style="2" customWidth="1"/>
    <col min="10304" max="10304" width="6.5" style="2" customWidth="1"/>
    <col min="10305" max="10526" width="9" style="2"/>
    <col min="10527" max="10527" width="7.625" style="2" customWidth="1"/>
    <col min="10528" max="10528" width="6.875" style="2" customWidth="1"/>
    <col min="10529" max="10529" width="7.125" style="2" customWidth="1"/>
    <col min="10530" max="10530" width="16.125" style="2" customWidth="1"/>
    <col min="10531" max="10531" width="11.75" style="2" customWidth="1"/>
    <col min="10532" max="10532" width="13.75" style="2" customWidth="1"/>
    <col min="10533" max="10533" width="10" style="2" customWidth="1"/>
    <col min="10534" max="10535" width="9.25" style="2" customWidth="1"/>
    <col min="10536" max="10549" width="7.625" style="2" customWidth="1"/>
    <col min="10550" max="10550" width="8" style="2" customWidth="1"/>
    <col min="10551" max="10559" width="7.625" style="2" customWidth="1"/>
    <col min="10560" max="10560" width="6.5" style="2" customWidth="1"/>
    <col min="10561" max="10782" width="9" style="2"/>
    <col min="10783" max="10783" width="7.625" style="2" customWidth="1"/>
    <col min="10784" max="10784" width="6.875" style="2" customWidth="1"/>
    <col min="10785" max="10785" width="7.125" style="2" customWidth="1"/>
    <col min="10786" max="10786" width="16.125" style="2" customWidth="1"/>
    <col min="10787" max="10787" width="11.75" style="2" customWidth="1"/>
    <col min="10788" max="10788" width="13.75" style="2" customWidth="1"/>
    <col min="10789" max="10789" width="10" style="2" customWidth="1"/>
    <col min="10790" max="10791" width="9.25" style="2" customWidth="1"/>
    <col min="10792" max="10805" width="7.625" style="2" customWidth="1"/>
    <col min="10806" max="10806" width="8" style="2" customWidth="1"/>
    <col min="10807" max="10815" width="7.625" style="2" customWidth="1"/>
    <col min="10816" max="10816" width="6.5" style="2" customWidth="1"/>
    <col min="10817" max="11038" width="9" style="2"/>
    <col min="11039" max="11039" width="7.625" style="2" customWidth="1"/>
    <col min="11040" max="11040" width="6.875" style="2" customWidth="1"/>
    <col min="11041" max="11041" width="7.125" style="2" customWidth="1"/>
    <col min="11042" max="11042" width="16.125" style="2" customWidth="1"/>
    <col min="11043" max="11043" width="11.75" style="2" customWidth="1"/>
    <col min="11044" max="11044" width="13.75" style="2" customWidth="1"/>
    <col min="11045" max="11045" width="10" style="2" customWidth="1"/>
    <col min="11046" max="11047" width="9.25" style="2" customWidth="1"/>
    <col min="11048" max="11061" width="7.625" style="2" customWidth="1"/>
    <col min="11062" max="11062" width="8" style="2" customWidth="1"/>
    <col min="11063" max="11071" width="7.625" style="2" customWidth="1"/>
    <col min="11072" max="11072" width="6.5" style="2" customWidth="1"/>
    <col min="11073" max="11294" width="9" style="2"/>
    <col min="11295" max="11295" width="7.625" style="2" customWidth="1"/>
    <col min="11296" max="11296" width="6.875" style="2" customWidth="1"/>
    <col min="11297" max="11297" width="7.125" style="2" customWidth="1"/>
    <col min="11298" max="11298" width="16.125" style="2" customWidth="1"/>
    <col min="11299" max="11299" width="11.75" style="2" customWidth="1"/>
    <col min="11300" max="11300" width="13.75" style="2" customWidth="1"/>
    <col min="11301" max="11301" width="10" style="2" customWidth="1"/>
    <col min="11302" max="11303" width="9.25" style="2" customWidth="1"/>
    <col min="11304" max="11317" width="7.625" style="2" customWidth="1"/>
    <col min="11318" max="11318" width="8" style="2" customWidth="1"/>
    <col min="11319" max="11327" width="7.625" style="2" customWidth="1"/>
    <col min="11328" max="11328" width="6.5" style="2" customWidth="1"/>
    <col min="11329" max="11550" width="9" style="2"/>
    <col min="11551" max="11551" width="7.625" style="2" customWidth="1"/>
    <col min="11552" max="11552" width="6.875" style="2" customWidth="1"/>
    <col min="11553" max="11553" width="7.125" style="2" customWidth="1"/>
    <col min="11554" max="11554" width="16.125" style="2" customWidth="1"/>
    <col min="11555" max="11555" width="11.75" style="2" customWidth="1"/>
    <col min="11556" max="11556" width="13.75" style="2" customWidth="1"/>
    <col min="11557" max="11557" width="10" style="2" customWidth="1"/>
    <col min="11558" max="11559" width="9.25" style="2" customWidth="1"/>
    <col min="11560" max="11573" width="7.625" style="2" customWidth="1"/>
    <col min="11574" max="11574" width="8" style="2" customWidth="1"/>
    <col min="11575" max="11583" width="7.625" style="2" customWidth="1"/>
    <col min="11584" max="11584" width="6.5" style="2" customWidth="1"/>
    <col min="11585" max="11806" width="9" style="2"/>
    <col min="11807" max="11807" width="7.625" style="2" customWidth="1"/>
    <col min="11808" max="11808" width="6.875" style="2" customWidth="1"/>
    <col min="11809" max="11809" width="7.125" style="2" customWidth="1"/>
    <col min="11810" max="11810" width="16.125" style="2" customWidth="1"/>
    <col min="11811" max="11811" width="11.75" style="2" customWidth="1"/>
    <col min="11812" max="11812" width="13.75" style="2" customWidth="1"/>
    <col min="11813" max="11813" width="10" style="2" customWidth="1"/>
    <col min="11814" max="11815" width="9.25" style="2" customWidth="1"/>
    <col min="11816" max="11829" width="7.625" style="2" customWidth="1"/>
    <col min="11830" max="11830" width="8" style="2" customWidth="1"/>
    <col min="11831" max="11839" width="7.625" style="2" customWidth="1"/>
    <col min="11840" max="11840" width="6.5" style="2" customWidth="1"/>
    <col min="11841" max="12062" width="9" style="2"/>
    <col min="12063" max="12063" width="7.625" style="2" customWidth="1"/>
    <col min="12064" max="12064" width="6.875" style="2" customWidth="1"/>
    <col min="12065" max="12065" width="7.125" style="2" customWidth="1"/>
    <col min="12066" max="12066" width="16.125" style="2" customWidth="1"/>
    <col min="12067" max="12067" width="11.75" style="2" customWidth="1"/>
    <col min="12068" max="12068" width="13.75" style="2" customWidth="1"/>
    <col min="12069" max="12069" width="10" style="2" customWidth="1"/>
    <col min="12070" max="12071" width="9.25" style="2" customWidth="1"/>
    <col min="12072" max="12085" width="7.625" style="2" customWidth="1"/>
    <col min="12086" max="12086" width="8" style="2" customWidth="1"/>
    <col min="12087" max="12095" width="7.625" style="2" customWidth="1"/>
    <col min="12096" max="12096" width="6.5" style="2" customWidth="1"/>
    <col min="12097" max="12318" width="9" style="2"/>
    <col min="12319" max="12319" width="7.625" style="2" customWidth="1"/>
    <col min="12320" max="12320" width="6.875" style="2" customWidth="1"/>
    <col min="12321" max="12321" width="7.125" style="2" customWidth="1"/>
    <col min="12322" max="12322" width="16.125" style="2" customWidth="1"/>
    <col min="12323" max="12323" width="11.75" style="2" customWidth="1"/>
    <col min="12324" max="12324" width="13.75" style="2" customWidth="1"/>
    <col min="12325" max="12325" width="10" style="2" customWidth="1"/>
    <col min="12326" max="12327" width="9.25" style="2" customWidth="1"/>
    <col min="12328" max="12341" width="7.625" style="2" customWidth="1"/>
    <col min="12342" max="12342" width="8" style="2" customWidth="1"/>
    <col min="12343" max="12351" width="7.625" style="2" customWidth="1"/>
    <col min="12352" max="12352" width="6.5" style="2" customWidth="1"/>
    <col min="12353" max="12574" width="9" style="2"/>
    <col min="12575" max="12575" width="7.625" style="2" customWidth="1"/>
    <col min="12576" max="12576" width="6.875" style="2" customWidth="1"/>
    <col min="12577" max="12577" width="7.125" style="2" customWidth="1"/>
    <col min="12578" max="12578" width="16.125" style="2" customWidth="1"/>
    <col min="12579" max="12579" width="11.75" style="2" customWidth="1"/>
    <col min="12580" max="12580" width="13.75" style="2" customWidth="1"/>
    <col min="12581" max="12581" width="10" style="2" customWidth="1"/>
    <col min="12582" max="12583" width="9.25" style="2" customWidth="1"/>
    <col min="12584" max="12597" width="7.625" style="2" customWidth="1"/>
    <col min="12598" max="12598" width="8" style="2" customWidth="1"/>
    <col min="12599" max="12607" width="7.625" style="2" customWidth="1"/>
    <col min="12608" max="12608" width="6.5" style="2" customWidth="1"/>
    <col min="12609" max="12830" width="9" style="2"/>
    <col min="12831" max="12831" width="7.625" style="2" customWidth="1"/>
    <col min="12832" max="12832" width="6.875" style="2" customWidth="1"/>
    <col min="12833" max="12833" width="7.125" style="2" customWidth="1"/>
    <col min="12834" max="12834" width="16.125" style="2" customWidth="1"/>
    <col min="12835" max="12835" width="11.75" style="2" customWidth="1"/>
    <col min="12836" max="12836" width="13.75" style="2" customWidth="1"/>
    <col min="12837" max="12837" width="10" style="2" customWidth="1"/>
    <col min="12838" max="12839" width="9.25" style="2" customWidth="1"/>
    <col min="12840" max="12853" width="7.625" style="2" customWidth="1"/>
    <col min="12854" max="12854" width="8" style="2" customWidth="1"/>
    <col min="12855" max="12863" width="7.625" style="2" customWidth="1"/>
    <col min="12864" max="12864" width="6.5" style="2" customWidth="1"/>
    <col min="12865" max="13086" width="9" style="2"/>
    <col min="13087" max="13087" width="7.625" style="2" customWidth="1"/>
    <col min="13088" max="13088" width="6.875" style="2" customWidth="1"/>
    <col min="13089" max="13089" width="7.125" style="2" customWidth="1"/>
    <col min="13090" max="13090" width="16.125" style="2" customWidth="1"/>
    <col min="13091" max="13091" width="11.75" style="2" customWidth="1"/>
    <col min="13092" max="13092" width="13.75" style="2" customWidth="1"/>
    <col min="13093" max="13093" width="10" style="2" customWidth="1"/>
    <col min="13094" max="13095" width="9.25" style="2" customWidth="1"/>
    <col min="13096" max="13109" width="7.625" style="2" customWidth="1"/>
    <col min="13110" max="13110" width="8" style="2" customWidth="1"/>
    <col min="13111" max="13119" width="7.625" style="2" customWidth="1"/>
    <col min="13120" max="13120" width="6.5" style="2" customWidth="1"/>
    <col min="13121" max="13342" width="9" style="2"/>
    <col min="13343" max="13343" width="7.625" style="2" customWidth="1"/>
    <col min="13344" max="13344" width="6.875" style="2" customWidth="1"/>
    <col min="13345" max="13345" width="7.125" style="2" customWidth="1"/>
    <col min="13346" max="13346" width="16.125" style="2" customWidth="1"/>
    <col min="13347" max="13347" width="11.75" style="2" customWidth="1"/>
    <col min="13348" max="13348" width="13.75" style="2" customWidth="1"/>
    <col min="13349" max="13349" width="10" style="2" customWidth="1"/>
    <col min="13350" max="13351" width="9.25" style="2" customWidth="1"/>
    <col min="13352" max="13365" width="7.625" style="2" customWidth="1"/>
    <col min="13366" max="13366" width="8" style="2" customWidth="1"/>
    <col min="13367" max="13375" width="7.625" style="2" customWidth="1"/>
    <col min="13376" max="13376" width="6.5" style="2" customWidth="1"/>
    <col min="13377" max="13598" width="9" style="2"/>
    <col min="13599" max="13599" width="7.625" style="2" customWidth="1"/>
    <col min="13600" max="13600" width="6.875" style="2" customWidth="1"/>
    <col min="13601" max="13601" width="7.125" style="2" customWidth="1"/>
    <col min="13602" max="13602" width="16.125" style="2" customWidth="1"/>
    <col min="13603" max="13603" width="11.75" style="2" customWidth="1"/>
    <col min="13604" max="13604" width="13.75" style="2" customWidth="1"/>
    <col min="13605" max="13605" width="10" style="2" customWidth="1"/>
    <col min="13606" max="13607" width="9.25" style="2" customWidth="1"/>
    <col min="13608" max="13621" width="7.625" style="2" customWidth="1"/>
    <col min="13622" max="13622" width="8" style="2" customWidth="1"/>
    <col min="13623" max="13631" width="7.625" style="2" customWidth="1"/>
    <col min="13632" max="13632" width="6.5" style="2" customWidth="1"/>
    <col min="13633" max="13854" width="9" style="2"/>
    <col min="13855" max="13855" width="7.625" style="2" customWidth="1"/>
    <col min="13856" max="13856" width="6.875" style="2" customWidth="1"/>
    <col min="13857" max="13857" width="7.125" style="2" customWidth="1"/>
    <col min="13858" max="13858" width="16.125" style="2" customWidth="1"/>
    <col min="13859" max="13859" width="11.75" style="2" customWidth="1"/>
    <col min="13860" max="13860" width="13.75" style="2" customWidth="1"/>
    <col min="13861" max="13861" width="10" style="2" customWidth="1"/>
    <col min="13862" max="13863" width="9.25" style="2" customWidth="1"/>
    <col min="13864" max="13877" width="7.625" style="2" customWidth="1"/>
    <col min="13878" max="13878" width="8" style="2" customWidth="1"/>
    <col min="13879" max="13887" width="7.625" style="2" customWidth="1"/>
    <col min="13888" max="13888" width="6.5" style="2" customWidth="1"/>
    <col min="13889" max="14110" width="9" style="2"/>
    <col min="14111" max="14111" width="7.625" style="2" customWidth="1"/>
    <col min="14112" max="14112" width="6.875" style="2" customWidth="1"/>
    <col min="14113" max="14113" width="7.125" style="2" customWidth="1"/>
    <col min="14114" max="14114" width="16.125" style="2" customWidth="1"/>
    <col min="14115" max="14115" width="11.75" style="2" customWidth="1"/>
    <col min="14116" max="14116" width="13.75" style="2" customWidth="1"/>
    <col min="14117" max="14117" width="10" style="2" customWidth="1"/>
    <col min="14118" max="14119" width="9.25" style="2" customWidth="1"/>
    <col min="14120" max="14133" width="7.625" style="2" customWidth="1"/>
    <col min="14134" max="14134" width="8" style="2" customWidth="1"/>
    <col min="14135" max="14143" width="7.625" style="2" customWidth="1"/>
    <col min="14144" max="14144" width="6.5" style="2" customWidth="1"/>
    <col min="14145" max="14366" width="9" style="2"/>
    <col min="14367" max="14367" width="7.625" style="2" customWidth="1"/>
    <col min="14368" max="14368" width="6.875" style="2" customWidth="1"/>
    <col min="14369" max="14369" width="7.125" style="2" customWidth="1"/>
    <col min="14370" max="14370" width="16.125" style="2" customWidth="1"/>
    <col min="14371" max="14371" width="11.75" style="2" customWidth="1"/>
    <col min="14372" max="14372" width="13.75" style="2" customWidth="1"/>
    <col min="14373" max="14373" width="10" style="2" customWidth="1"/>
    <col min="14374" max="14375" width="9.25" style="2" customWidth="1"/>
    <col min="14376" max="14389" width="7.625" style="2" customWidth="1"/>
    <col min="14390" max="14390" width="8" style="2" customWidth="1"/>
    <col min="14391" max="14399" width="7.625" style="2" customWidth="1"/>
    <col min="14400" max="14400" width="6.5" style="2" customWidth="1"/>
    <col min="14401" max="14622" width="9" style="2"/>
    <col min="14623" max="14623" width="7.625" style="2" customWidth="1"/>
    <col min="14624" max="14624" width="6.875" style="2" customWidth="1"/>
    <col min="14625" max="14625" width="7.125" style="2" customWidth="1"/>
    <col min="14626" max="14626" width="16.125" style="2" customWidth="1"/>
    <col min="14627" max="14627" width="11.75" style="2" customWidth="1"/>
    <col min="14628" max="14628" width="13.75" style="2" customWidth="1"/>
    <col min="14629" max="14629" width="10" style="2" customWidth="1"/>
    <col min="14630" max="14631" width="9.25" style="2" customWidth="1"/>
    <col min="14632" max="14645" width="7.625" style="2" customWidth="1"/>
    <col min="14646" max="14646" width="8" style="2" customWidth="1"/>
    <col min="14647" max="14655" width="7.625" style="2" customWidth="1"/>
    <col min="14656" max="14656" width="6.5" style="2" customWidth="1"/>
    <col min="14657" max="14878" width="9" style="2"/>
    <col min="14879" max="14879" width="7.625" style="2" customWidth="1"/>
    <col min="14880" max="14880" width="6.875" style="2" customWidth="1"/>
    <col min="14881" max="14881" width="7.125" style="2" customWidth="1"/>
    <col min="14882" max="14882" width="16.125" style="2" customWidth="1"/>
    <col min="14883" max="14883" width="11.75" style="2" customWidth="1"/>
    <col min="14884" max="14884" width="13.75" style="2" customWidth="1"/>
    <col min="14885" max="14885" width="10" style="2" customWidth="1"/>
    <col min="14886" max="14887" width="9.25" style="2" customWidth="1"/>
    <col min="14888" max="14901" width="7.625" style="2" customWidth="1"/>
    <col min="14902" max="14902" width="8" style="2" customWidth="1"/>
    <col min="14903" max="14911" width="7.625" style="2" customWidth="1"/>
    <col min="14912" max="14912" width="6.5" style="2" customWidth="1"/>
    <col min="14913" max="15134" width="9" style="2"/>
    <col min="15135" max="15135" width="7.625" style="2" customWidth="1"/>
    <col min="15136" max="15136" width="6.875" style="2" customWidth="1"/>
    <col min="15137" max="15137" width="7.125" style="2" customWidth="1"/>
    <col min="15138" max="15138" width="16.125" style="2" customWidth="1"/>
    <col min="15139" max="15139" width="11.75" style="2" customWidth="1"/>
    <col min="15140" max="15140" width="13.75" style="2" customWidth="1"/>
    <col min="15141" max="15141" width="10" style="2" customWidth="1"/>
    <col min="15142" max="15143" width="9.25" style="2" customWidth="1"/>
    <col min="15144" max="15157" width="7.625" style="2" customWidth="1"/>
    <col min="15158" max="15158" width="8" style="2" customWidth="1"/>
    <col min="15159" max="15167" width="7.625" style="2" customWidth="1"/>
    <col min="15168" max="15168" width="6.5" style="2" customWidth="1"/>
    <col min="15169" max="15390" width="9" style="2"/>
    <col min="15391" max="15391" width="7.625" style="2" customWidth="1"/>
    <col min="15392" max="15392" width="6.875" style="2" customWidth="1"/>
    <col min="15393" max="15393" width="7.125" style="2" customWidth="1"/>
    <col min="15394" max="15394" width="16.125" style="2" customWidth="1"/>
    <col min="15395" max="15395" width="11.75" style="2" customWidth="1"/>
    <col min="15396" max="15396" width="13.75" style="2" customWidth="1"/>
    <col min="15397" max="15397" width="10" style="2" customWidth="1"/>
    <col min="15398" max="15399" width="9.25" style="2" customWidth="1"/>
    <col min="15400" max="15413" width="7.625" style="2" customWidth="1"/>
    <col min="15414" max="15414" width="8" style="2" customWidth="1"/>
    <col min="15415" max="15423" width="7.625" style="2" customWidth="1"/>
    <col min="15424" max="15424" width="6.5" style="2" customWidth="1"/>
    <col min="15425" max="15646" width="9" style="2"/>
    <col min="15647" max="15647" width="7.625" style="2" customWidth="1"/>
    <col min="15648" max="15648" width="6.875" style="2" customWidth="1"/>
    <col min="15649" max="15649" width="7.125" style="2" customWidth="1"/>
    <col min="15650" max="15650" width="16.125" style="2" customWidth="1"/>
    <col min="15651" max="15651" width="11.75" style="2" customWidth="1"/>
    <col min="15652" max="15652" width="13.75" style="2" customWidth="1"/>
    <col min="15653" max="15653" width="10" style="2" customWidth="1"/>
    <col min="15654" max="15655" width="9.25" style="2" customWidth="1"/>
    <col min="15656" max="15669" width="7.625" style="2" customWidth="1"/>
    <col min="15670" max="15670" width="8" style="2" customWidth="1"/>
    <col min="15671" max="15679" width="7.625" style="2" customWidth="1"/>
    <col min="15680" max="15680" width="6.5" style="2" customWidth="1"/>
    <col min="15681" max="15902" width="9" style="2"/>
    <col min="15903" max="15903" width="7.625" style="2" customWidth="1"/>
    <col min="15904" max="15904" width="6.875" style="2" customWidth="1"/>
    <col min="15905" max="15905" width="7.125" style="2" customWidth="1"/>
    <col min="15906" max="15906" width="16.125" style="2" customWidth="1"/>
    <col min="15907" max="15907" width="11.75" style="2" customWidth="1"/>
    <col min="15908" max="15908" width="13.75" style="2" customWidth="1"/>
    <col min="15909" max="15909" width="10" style="2" customWidth="1"/>
    <col min="15910" max="15911" width="9.25" style="2" customWidth="1"/>
    <col min="15912" max="15925" width="7.625" style="2" customWidth="1"/>
    <col min="15926" max="15926" width="8" style="2" customWidth="1"/>
    <col min="15927" max="15935" width="7.625" style="2" customWidth="1"/>
    <col min="15936" max="15936" width="6.5" style="2" customWidth="1"/>
    <col min="15937" max="16158" width="9" style="2"/>
    <col min="16159" max="16159" width="7.625" style="2" customWidth="1"/>
    <col min="16160" max="16160" width="6.875" style="2" customWidth="1"/>
    <col min="16161" max="16161" width="7.125" style="2" customWidth="1"/>
    <col min="16162" max="16162" width="16.125" style="2" customWidth="1"/>
    <col min="16163" max="16163" width="11.75" style="2" customWidth="1"/>
    <col min="16164" max="16164" width="13.75" style="2" customWidth="1"/>
    <col min="16165" max="16165" width="10" style="2" customWidth="1"/>
    <col min="16166" max="16167" width="9.25" style="2" customWidth="1"/>
    <col min="16168" max="16181" width="7.625" style="2" customWidth="1"/>
    <col min="16182" max="16182" width="8" style="2" customWidth="1"/>
    <col min="16183" max="16191" width="7.625" style="2" customWidth="1"/>
    <col min="16192" max="16192" width="6.5" style="2" customWidth="1"/>
    <col min="16193" max="16384" width="9" style="2"/>
  </cols>
  <sheetData>
    <row r="1" spans="1:64" s="42" customFormat="1" ht="26.25">
      <c r="A1" s="22" t="s">
        <v>173</v>
      </c>
      <c r="B1" s="22"/>
      <c r="C1" s="22"/>
      <c r="D1" s="22"/>
      <c r="E1" s="22"/>
      <c r="F1" s="36"/>
      <c r="G1" s="37"/>
      <c r="H1" s="38"/>
      <c r="I1" s="38"/>
      <c r="J1" s="38"/>
      <c r="K1" s="39"/>
      <c r="L1" s="39"/>
      <c r="M1" s="39"/>
      <c r="N1" s="38"/>
      <c r="O1" s="38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</row>
    <row r="2" spans="1:64" s="3" customFormat="1" ht="20.100000000000001" customHeight="1">
      <c r="A2" s="11" t="s">
        <v>3243</v>
      </c>
      <c r="B2" s="24"/>
      <c r="C2" s="24"/>
      <c r="D2" s="24"/>
      <c r="E2" s="24"/>
      <c r="F2" s="25"/>
      <c r="G2" s="26"/>
      <c r="H2" s="27"/>
      <c r="I2" s="38"/>
      <c r="J2" s="27"/>
      <c r="K2" s="28"/>
      <c r="L2" s="28"/>
      <c r="M2" s="28"/>
      <c r="N2" s="27"/>
      <c r="O2" s="27"/>
      <c r="P2" s="29"/>
      <c r="Q2" s="29"/>
      <c r="R2" s="29"/>
      <c r="S2" s="29"/>
      <c r="T2" s="29"/>
      <c r="U2" s="29"/>
      <c r="V2" s="29"/>
      <c r="W2" s="12"/>
      <c r="X2" s="30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4" s="4" customFormat="1" ht="13.5">
      <c r="A3" s="1577" t="s">
        <v>80</v>
      </c>
      <c r="B3" s="1577" t="s">
        <v>165</v>
      </c>
      <c r="C3" s="1608" t="s">
        <v>3263</v>
      </c>
      <c r="D3" s="1577" t="s">
        <v>49</v>
      </c>
      <c r="E3" s="1577" t="s">
        <v>50</v>
      </c>
      <c r="F3" s="1577" t="s">
        <v>51</v>
      </c>
      <c r="G3" s="1577" t="s">
        <v>187</v>
      </c>
      <c r="H3" s="1577" t="s">
        <v>166</v>
      </c>
      <c r="I3" s="1605" t="s">
        <v>101</v>
      </c>
      <c r="J3" s="1605" t="s">
        <v>98</v>
      </c>
      <c r="K3" s="1577" t="s">
        <v>52</v>
      </c>
      <c r="L3" s="1580" t="s">
        <v>81</v>
      </c>
      <c r="M3" s="1597" t="s">
        <v>53</v>
      </c>
      <c r="N3" s="1597"/>
      <c r="O3" s="1598"/>
      <c r="P3" s="1576" t="s">
        <v>167</v>
      </c>
      <c r="Q3" s="1577"/>
      <c r="R3" s="1577"/>
      <c r="S3" s="1577"/>
      <c r="T3" s="1577"/>
      <c r="U3" s="1577"/>
      <c r="V3" s="1577"/>
      <c r="W3" s="1577"/>
      <c r="X3" s="1577"/>
      <c r="Y3" s="1577"/>
      <c r="Z3" s="1577"/>
      <c r="AA3" s="1577"/>
      <c r="AB3" s="1577"/>
      <c r="AC3" s="1577"/>
      <c r="AD3" s="1577"/>
      <c r="AE3" s="1577"/>
      <c r="AF3" s="1577"/>
      <c r="AG3" s="1577"/>
      <c r="AH3" s="1577"/>
      <c r="AI3" s="1577"/>
      <c r="AJ3" s="1577"/>
      <c r="AK3" s="1577"/>
      <c r="AL3" s="1577"/>
      <c r="AM3" s="1577"/>
      <c r="AN3" s="1577"/>
      <c r="AO3" s="1577"/>
      <c r="AP3" s="1577"/>
      <c r="AQ3" s="1577"/>
      <c r="AR3" s="1577"/>
      <c r="AS3" s="1577"/>
      <c r="AT3" s="1577"/>
      <c r="AU3" s="1577"/>
      <c r="AV3" s="1577"/>
      <c r="AW3" s="1577"/>
      <c r="AX3" s="1577"/>
      <c r="AY3" s="1577"/>
      <c r="AZ3" s="1577"/>
      <c r="BA3" s="1577"/>
      <c r="BB3" s="1577"/>
      <c r="BC3" s="1577"/>
      <c r="BD3" s="1577"/>
      <c r="BE3" s="1577"/>
      <c r="BF3" s="1577"/>
      <c r="BG3" s="1577"/>
      <c r="BH3" s="1577"/>
      <c r="BI3" s="1577"/>
      <c r="BJ3" s="1577"/>
      <c r="BK3" s="1577"/>
      <c r="BL3" s="1577" t="s">
        <v>168</v>
      </c>
    </row>
    <row r="4" spans="1:64" s="4" customFormat="1" ht="13.5">
      <c r="A4" s="1577"/>
      <c r="B4" s="1577"/>
      <c r="C4" s="1606"/>
      <c r="D4" s="1577"/>
      <c r="E4" s="1577"/>
      <c r="F4" s="1577"/>
      <c r="G4" s="1577"/>
      <c r="H4" s="1577"/>
      <c r="I4" s="1606"/>
      <c r="J4" s="1606"/>
      <c r="K4" s="1577"/>
      <c r="L4" s="1580"/>
      <c r="M4" s="1599"/>
      <c r="N4" s="1599"/>
      <c r="O4" s="1600"/>
      <c r="P4" s="1574" t="s">
        <v>88</v>
      </c>
      <c r="Q4" s="1574"/>
      <c r="R4" s="1574"/>
      <c r="S4" s="1574"/>
      <c r="T4" s="1574"/>
      <c r="U4" s="1575"/>
      <c r="V4" s="1588" t="s">
        <v>57</v>
      </c>
      <c r="W4" s="1591"/>
      <c r="X4" s="1591"/>
      <c r="Y4" s="1591"/>
      <c r="Z4" s="1591"/>
      <c r="AA4" s="1592"/>
      <c r="AB4" s="1617" t="s">
        <v>58</v>
      </c>
      <c r="AC4" s="1618"/>
      <c r="AD4" s="1618"/>
      <c r="AE4" s="1618"/>
      <c r="AF4" s="1618"/>
      <c r="AG4" s="1618"/>
      <c r="AH4" s="1618"/>
      <c r="AI4" s="1618"/>
      <c r="AJ4" s="1618"/>
      <c r="AK4" s="1618"/>
      <c r="AL4" s="1618"/>
      <c r="AM4" s="1618"/>
      <c r="AN4" s="1618"/>
      <c r="AO4" s="1618"/>
      <c r="AP4" s="1618"/>
      <c r="AQ4" s="1618"/>
      <c r="AR4" s="1618"/>
      <c r="AS4" s="1618"/>
      <c r="AT4" s="1618"/>
      <c r="AU4" s="1618"/>
      <c r="AV4" s="1618"/>
      <c r="AW4" s="1618"/>
      <c r="AX4" s="1618"/>
      <c r="AY4" s="1618"/>
      <c r="AZ4" s="1618"/>
      <c r="BA4" s="1619"/>
      <c r="BB4" s="1620" t="s">
        <v>59</v>
      </c>
      <c r="BC4" s="1609"/>
      <c r="BD4" s="1609"/>
      <c r="BE4" s="1609"/>
      <c r="BF4" s="1609"/>
      <c r="BG4" s="1578" t="s">
        <v>60</v>
      </c>
      <c r="BH4" s="1578"/>
      <c r="BI4" s="1578"/>
      <c r="BJ4" s="1578"/>
      <c r="BK4" s="1578"/>
      <c r="BL4" s="1577"/>
    </row>
    <row r="5" spans="1:64" s="4" customFormat="1" ht="13.5">
      <c r="A5" s="1577"/>
      <c r="B5" s="1577"/>
      <c r="C5" s="1606"/>
      <c r="D5" s="1577"/>
      <c r="E5" s="1577"/>
      <c r="F5" s="1577"/>
      <c r="G5" s="1577"/>
      <c r="H5" s="1577"/>
      <c r="I5" s="1606"/>
      <c r="J5" s="1606"/>
      <c r="K5" s="1577"/>
      <c r="L5" s="1580"/>
      <c r="M5" s="1601"/>
      <c r="N5" s="1601"/>
      <c r="O5" s="1602"/>
      <c r="P5" s="1574" t="s">
        <v>54</v>
      </c>
      <c r="Q5" s="1582"/>
      <c r="R5" s="1596" t="s">
        <v>55</v>
      </c>
      <c r="S5" s="1582"/>
      <c r="T5" s="1596" t="s">
        <v>56</v>
      </c>
      <c r="U5" s="1575"/>
      <c r="V5" s="1588" t="s">
        <v>61</v>
      </c>
      <c r="W5" s="1591"/>
      <c r="X5" s="1591" t="s">
        <v>62</v>
      </c>
      <c r="Y5" s="1591"/>
      <c r="Z5" s="1591" t="s">
        <v>63</v>
      </c>
      <c r="AA5" s="1592"/>
      <c r="AB5" s="1617" t="s">
        <v>64</v>
      </c>
      <c r="AC5" s="1618"/>
      <c r="AD5" s="1618"/>
      <c r="AE5" s="1618"/>
      <c r="AF5" s="1618"/>
      <c r="AG5" s="1618"/>
      <c r="AH5" s="1618"/>
      <c r="AI5" s="1619"/>
      <c r="AJ5" s="1617" t="s">
        <v>65</v>
      </c>
      <c r="AK5" s="1618"/>
      <c r="AL5" s="1618"/>
      <c r="AM5" s="1618"/>
      <c r="AN5" s="1618"/>
      <c r="AO5" s="1618"/>
      <c r="AP5" s="1618"/>
      <c r="AQ5" s="1619"/>
      <c r="AR5" s="1621" t="s">
        <v>66</v>
      </c>
      <c r="AS5" s="1618"/>
      <c r="AT5" s="1618"/>
      <c r="AU5" s="1618"/>
      <c r="AV5" s="1618"/>
      <c r="AW5" s="1618"/>
      <c r="AX5" s="1618"/>
      <c r="AY5" s="1618"/>
      <c r="AZ5" s="1618"/>
      <c r="BA5" s="1619"/>
      <c r="BB5" s="1620" t="s">
        <v>67</v>
      </c>
      <c r="BC5" s="1609" t="s">
        <v>68</v>
      </c>
      <c r="BD5" s="1609"/>
      <c r="BE5" s="1609"/>
      <c r="BF5" s="1609"/>
      <c r="BG5" s="1578" t="s">
        <v>67</v>
      </c>
      <c r="BH5" s="1578" t="s">
        <v>68</v>
      </c>
      <c r="BI5" s="1578"/>
      <c r="BJ5" s="1578"/>
      <c r="BK5" s="1578"/>
      <c r="BL5" s="1577"/>
    </row>
    <row r="6" spans="1:64" s="4" customFormat="1" ht="13.5">
      <c r="A6" s="1577"/>
      <c r="B6" s="1577"/>
      <c r="C6" s="1606"/>
      <c r="D6" s="1577"/>
      <c r="E6" s="1577"/>
      <c r="F6" s="1577"/>
      <c r="G6" s="1577"/>
      <c r="H6" s="1577"/>
      <c r="I6" s="1606"/>
      <c r="J6" s="1606"/>
      <c r="K6" s="1577"/>
      <c r="L6" s="1580"/>
      <c r="M6" s="1603" t="s">
        <v>88</v>
      </c>
      <c r="N6" s="1577" t="s">
        <v>169</v>
      </c>
      <c r="O6" s="1580" t="s">
        <v>68</v>
      </c>
      <c r="P6" s="1582" t="s">
        <v>67</v>
      </c>
      <c r="Q6" s="1584" t="s">
        <v>68</v>
      </c>
      <c r="R6" s="1584" t="s">
        <v>67</v>
      </c>
      <c r="S6" s="1584" t="s">
        <v>68</v>
      </c>
      <c r="T6" s="1584" t="s">
        <v>67</v>
      </c>
      <c r="U6" s="1586" t="s">
        <v>68</v>
      </c>
      <c r="V6" s="1588" t="s">
        <v>69</v>
      </c>
      <c r="W6" s="1591" t="s">
        <v>70</v>
      </c>
      <c r="X6" s="1591" t="s">
        <v>69</v>
      </c>
      <c r="Y6" s="1591" t="s">
        <v>70</v>
      </c>
      <c r="Z6" s="1591" t="s">
        <v>69</v>
      </c>
      <c r="AA6" s="1592" t="s">
        <v>70</v>
      </c>
      <c r="AB6" s="1594" t="s">
        <v>78</v>
      </c>
      <c r="AC6" s="1591" t="s">
        <v>79</v>
      </c>
      <c r="AD6" s="1584" t="s">
        <v>171</v>
      </c>
      <c r="AE6" s="1584"/>
      <c r="AF6" s="1584"/>
      <c r="AG6" s="1591" t="s">
        <v>71</v>
      </c>
      <c r="AH6" s="1591"/>
      <c r="AI6" s="1592"/>
      <c r="AJ6" s="1594" t="s">
        <v>78</v>
      </c>
      <c r="AK6" s="1591" t="s">
        <v>79</v>
      </c>
      <c r="AL6" s="1584" t="s">
        <v>171</v>
      </c>
      <c r="AM6" s="1584"/>
      <c r="AN6" s="1584"/>
      <c r="AO6" s="1591" t="s">
        <v>71</v>
      </c>
      <c r="AP6" s="1591"/>
      <c r="AQ6" s="1592"/>
      <c r="AR6" s="1582" t="s">
        <v>78</v>
      </c>
      <c r="AS6" s="1591" t="s">
        <v>79</v>
      </c>
      <c r="AT6" s="1584" t="s">
        <v>170</v>
      </c>
      <c r="AU6" s="1584"/>
      <c r="AV6" s="1584"/>
      <c r="AW6" s="1584"/>
      <c r="AX6" s="1591" t="s">
        <v>71</v>
      </c>
      <c r="AY6" s="1591"/>
      <c r="AZ6" s="1591"/>
      <c r="BA6" s="1592"/>
      <c r="BB6" s="1620"/>
      <c r="BC6" s="1609"/>
      <c r="BD6" s="1609"/>
      <c r="BE6" s="1609"/>
      <c r="BF6" s="1609"/>
      <c r="BG6" s="1578"/>
      <c r="BH6" s="1578"/>
      <c r="BI6" s="1578"/>
      <c r="BJ6" s="1578"/>
      <c r="BK6" s="1578"/>
      <c r="BL6" s="1577"/>
    </row>
    <row r="7" spans="1:64" s="4" customFormat="1" ht="14.25" thickBot="1">
      <c r="A7" s="1579"/>
      <c r="B7" s="1579"/>
      <c r="C7" s="1607"/>
      <c r="D7" s="1579"/>
      <c r="E7" s="1579"/>
      <c r="F7" s="1579"/>
      <c r="G7" s="1579"/>
      <c r="H7" s="1579"/>
      <c r="I7" s="1607"/>
      <c r="J7" s="1607"/>
      <c r="K7" s="1579"/>
      <c r="L7" s="1581"/>
      <c r="M7" s="1604"/>
      <c r="N7" s="1579"/>
      <c r="O7" s="1581"/>
      <c r="P7" s="1583"/>
      <c r="Q7" s="1585"/>
      <c r="R7" s="1585"/>
      <c r="S7" s="1585"/>
      <c r="T7" s="1585"/>
      <c r="U7" s="1587"/>
      <c r="V7" s="1589"/>
      <c r="W7" s="1593"/>
      <c r="X7" s="1593"/>
      <c r="Y7" s="1593"/>
      <c r="Z7" s="1593"/>
      <c r="AA7" s="1610"/>
      <c r="AB7" s="1595"/>
      <c r="AC7" s="1593"/>
      <c r="AD7" s="809" t="s">
        <v>72</v>
      </c>
      <c r="AE7" s="809" t="s">
        <v>73</v>
      </c>
      <c r="AF7" s="809" t="s">
        <v>74</v>
      </c>
      <c r="AG7" s="811" t="s">
        <v>72</v>
      </c>
      <c r="AH7" s="811" t="s">
        <v>73</v>
      </c>
      <c r="AI7" s="812" t="s">
        <v>74</v>
      </c>
      <c r="AJ7" s="1595"/>
      <c r="AK7" s="1593"/>
      <c r="AL7" s="809" t="s">
        <v>73</v>
      </c>
      <c r="AM7" s="809" t="s">
        <v>75</v>
      </c>
      <c r="AN7" s="809" t="s">
        <v>74</v>
      </c>
      <c r="AO7" s="811" t="s">
        <v>73</v>
      </c>
      <c r="AP7" s="811" t="s">
        <v>75</v>
      </c>
      <c r="AQ7" s="812" t="s">
        <v>74</v>
      </c>
      <c r="AR7" s="1583"/>
      <c r="AS7" s="1593"/>
      <c r="AT7" s="809" t="s">
        <v>72</v>
      </c>
      <c r="AU7" s="809" t="s">
        <v>73</v>
      </c>
      <c r="AV7" s="809" t="s">
        <v>75</v>
      </c>
      <c r="AW7" s="809" t="s">
        <v>76</v>
      </c>
      <c r="AX7" s="811" t="s">
        <v>72</v>
      </c>
      <c r="AY7" s="811" t="s">
        <v>73</v>
      </c>
      <c r="AZ7" s="811" t="s">
        <v>75</v>
      </c>
      <c r="BA7" s="812" t="s">
        <v>76</v>
      </c>
      <c r="BB7" s="1622"/>
      <c r="BC7" s="141" t="s">
        <v>72</v>
      </c>
      <c r="BD7" s="141" t="s">
        <v>73</v>
      </c>
      <c r="BE7" s="141" t="s">
        <v>75</v>
      </c>
      <c r="BF7" s="141" t="s">
        <v>76</v>
      </c>
      <c r="BG7" s="1590"/>
      <c r="BH7" s="810" t="s">
        <v>72</v>
      </c>
      <c r="BI7" s="810" t="s">
        <v>73</v>
      </c>
      <c r="BJ7" s="810" t="s">
        <v>75</v>
      </c>
      <c r="BK7" s="810" t="s">
        <v>76</v>
      </c>
      <c r="BL7" s="1579"/>
    </row>
    <row r="8" spans="1:64" s="400" customFormat="1" ht="17.100000000000001" customHeight="1" thickTop="1">
      <c r="A8" s="457" t="s">
        <v>1390</v>
      </c>
      <c r="B8" s="53" t="s">
        <v>130</v>
      </c>
      <c r="C8" s="53" t="s">
        <v>130</v>
      </c>
      <c r="D8" s="53" t="s">
        <v>2423</v>
      </c>
      <c r="E8" s="53" t="s">
        <v>2424</v>
      </c>
      <c r="F8" s="53" t="s">
        <v>3247</v>
      </c>
      <c r="G8" s="71">
        <v>41334</v>
      </c>
      <c r="H8" s="50" t="s">
        <v>3248</v>
      </c>
      <c r="I8" s="51">
        <v>11867</v>
      </c>
      <c r="J8" s="52">
        <v>22116</v>
      </c>
      <c r="K8" s="53" t="s">
        <v>3249</v>
      </c>
      <c r="L8" s="54" t="s">
        <v>2207</v>
      </c>
      <c r="M8" s="773">
        <v>2</v>
      </c>
      <c r="N8" s="718">
        <v>0</v>
      </c>
      <c r="O8" s="774">
        <v>36</v>
      </c>
      <c r="P8" s="780">
        <v>0</v>
      </c>
      <c r="Q8" s="781">
        <v>0</v>
      </c>
      <c r="R8" s="781">
        <v>0</v>
      </c>
      <c r="S8" s="781">
        <v>0</v>
      </c>
      <c r="T8" s="781">
        <v>1</v>
      </c>
      <c r="U8" s="782">
        <v>4</v>
      </c>
      <c r="V8" s="780">
        <v>0</v>
      </c>
      <c r="W8" s="781">
        <v>0</v>
      </c>
      <c r="X8" s="781">
        <v>0</v>
      </c>
      <c r="Y8" s="781">
        <v>0</v>
      </c>
      <c r="Z8" s="781">
        <v>0</v>
      </c>
      <c r="AA8" s="782">
        <v>0</v>
      </c>
      <c r="AB8" s="788">
        <v>1</v>
      </c>
      <c r="AC8" s="781">
        <v>0</v>
      </c>
      <c r="AD8" s="781">
        <v>1</v>
      </c>
      <c r="AE8" s="781">
        <v>3</v>
      </c>
      <c r="AF8" s="781">
        <f>SUM(AD8:AE8)</f>
        <v>4</v>
      </c>
      <c r="AG8" s="781">
        <v>0</v>
      </c>
      <c r="AH8" s="781">
        <v>0</v>
      </c>
      <c r="AI8" s="782">
        <f>SUM(AG8:AH8)</f>
        <v>0</v>
      </c>
      <c r="AJ8" s="788">
        <v>0</v>
      </c>
      <c r="AK8" s="781">
        <v>0</v>
      </c>
      <c r="AL8" s="781">
        <v>0</v>
      </c>
      <c r="AM8" s="781">
        <v>0</v>
      </c>
      <c r="AN8" s="781">
        <f>SUM(AL8:AM8)</f>
        <v>0</v>
      </c>
      <c r="AO8" s="781">
        <v>0</v>
      </c>
      <c r="AP8" s="781">
        <v>0</v>
      </c>
      <c r="AQ8" s="782">
        <v>0</v>
      </c>
      <c r="AR8" s="924">
        <v>0</v>
      </c>
      <c r="AS8" s="925">
        <v>0</v>
      </c>
      <c r="AT8" s="781">
        <v>0</v>
      </c>
      <c r="AU8" s="781">
        <v>0</v>
      </c>
      <c r="AV8" s="781">
        <v>0</v>
      </c>
      <c r="AW8" s="925">
        <v>0</v>
      </c>
      <c r="AX8" s="925">
        <v>0</v>
      </c>
      <c r="AY8" s="925">
        <v>0</v>
      </c>
      <c r="AZ8" s="925">
        <v>0</v>
      </c>
      <c r="BA8" s="926">
        <v>0</v>
      </c>
      <c r="BB8" s="927">
        <f>SUM(P8,R8,T8,AB8,AJ8,AR8)</f>
        <v>2</v>
      </c>
      <c r="BC8" s="928">
        <f>SUM(Q8,AD8,AT8)</f>
        <v>1</v>
      </c>
      <c r="BD8" s="928">
        <f>SUM(S8,AE8,AL8,AU8)</f>
        <v>3</v>
      </c>
      <c r="BE8" s="928">
        <f>SUM(U8,AM8,AV8)</f>
        <v>4</v>
      </c>
      <c r="BF8" s="928">
        <f>SUM(BC8:BE8)</f>
        <v>8</v>
      </c>
      <c r="BG8" s="928">
        <f>SUM(V8,X8,Z8,AC8,AK8,AS8)</f>
        <v>0</v>
      </c>
      <c r="BH8" s="928">
        <f>SUM(W8,AG8,AX8)</f>
        <v>0</v>
      </c>
      <c r="BI8" s="928">
        <f>SUM(Y8,AH8,AO8,AY8)</f>
        <v>0</v>
      </c>
      <c r="BJ8" s="928">
        <f>SUM(AA8,AP8,AZ8)</f>
        <v>0</v>
      </c>
      <c r="BK8" s="928">
        <f>SUM(BH8:BJ8)</f>
        <v>0</v>
      </c>
      <c r="BL8" s="53"/>
    </row>
    <row r="9" spans="1:64" s="43" customFormat="1" ht="17.100000000000001" customHeight="1">
      <c r="A9" s="457" t="s">
        <v>2422</v>
      </c>
      <c r="B9" s="53" t="s">
        <v>130</v>
      </c>
      <c r="C9" s="53" t="s">
        <v>130</v>
      </c>
      <c r="D9" s="53" t="s">
        <v>2423</v>
      </c>
      <c r="E9" s="53" t="s">
        <v>2424</v>
      </c>
      <c r="F9" s="53" t="s">
        <v>2425</v>
      </c>
      <c r="G9" s="71">
        <v>41334</v>
      </c>
      <c r="H9" s="50" t="s">
        <v>2208</v>
      </c>
      <c r="I9" s="51">
        <v>12366</v>
      </c>
      <c r="J9" s="52">
        <v>22165</v>
      </c>
      <c r="K9" s="53" t="s">
        <v>2426</v>
      </c>
      <c r="L9" s="54" t="s">
        <v>2427</v>
      </c>
      <c r="M9" s="773">
        <v>2</v>
      </c>
      <c r="N9" s="718">
        <v>1</v>
      </c>
      <c r="O9" s="774">
        <v>36</v>
      </c>
      <c r="P9" s="780"/>
      <c r="Q9" s="781"/>
      <c r="R9" s="781"/>
      <c r="S9" s="781"/>
      <c r="T9" s="781">
        <v>1</v>
      </c>
      <c r="U9" s="782">
        <v>7</v>
      </c>
      <c r="V9" s="780"/>
      <c r="W9" s="781"/>
      <c r="X9" s="781"/>
      <c r="Y9" s="781"/>
      <c r="Z9" s="781"/>
      <c r="AA9" s="782"/>
      <c r="AB9" s="788">
        <v>1</v>
      </c>
      <c r="AC9" s="781"/>
      <c r="AD9" s="781">
        <v>6</v>
      </c>
      <c r="AE9" s="781">
        <v>7</v>
      </c>
      <c r="AF9" s="781">
        <f>SUM(AD9:AE9)</f>
        <v>13</v>
      </c>
      <c r="AG9" s="781"/>
      <c r="AH9" s="781"/>
      <c r="AI9" s="782">
        <f>SUM(AG9:AH9)</f>
        <v>0</v>
      </c>
      <c r="AJ9" s="788"/>
      <c r="AK9" s="781"/>
      <c r="AL9" s="781"/>
      <c r="AM9" s="781"/>
      <c r="AN9" s="781">
        <f>SUM(AL9:AM9)</f>
        <v>0</v>
      </c>
      <c r="AO9" s="781"/>
      <c r="AP9" s="781"/>
      <c r="AQ9" s="782">
        <f>SUM(AO9:AP9)</f>
        <v>0</v>
      </c>
      <c r="AR9" s="924"/>
      <c r="AS9" s="925">
        <v>1</v>
      </c>
      <c r="AT9" s="781"/>
      <c r="AU9" s="781"/>
      <c r="AV9" s="781"/>
      <c r="AW9" s="925">
        <f>SUM(AT9:AV9)</f>
        <v>0</v>
      </c>
      <c r="AX9" s="925"/>
      <c r="AY9" s="925"/>
      <c r="AZ9" s="925">
        <v>1</v>
      </c>
      <c r="BA9" s="926">
        <f>SUM(AX9:AZ9)</f>
        <v>1</v>
      </c>
      <c r="BB9" s="927">
        <f>SUM(P9,R9,T9,AB9,AJ9,AR9)</f>
        <v>2</v>
      </c>
      <c r="BC9" s="928">
        <f>SUM(Q9,AD9,AT9)</f>
        <v>6</v>
      </c>
      <c r="BD9" s="928">
        <f>SUM(S9,AE9,AL9,AU9)</f>
        <v>7</v>
      </c>
      <c r="BE9" s="928">
        <f>SUM(U9,AM9,AV9)</f>
        <v>7</v>
      </c>
      <c r="BF9" s="928">
        <f>SUM(BC9:BE9)</f>
        <v>20</v>
      </c>
      <c r="BG9" s="928">
        <f>SUM(V9,X9,Z9,AC9,AK9,AS9)</f>
        <v>1</v>
      </c>
      <c r="BH9" s="928">
        <f>SUM(W9,AG9,AX9)</f>
        <v>0</v>
      </c>
      <c r="BI9" s="928">
        <f>SUM(Y9,AH9,AO9,AY9)</f>
        <v>0</v>
      </c>
      <c r="BJ9" s="928">
        <f>SUM(AA9,AP9,AZ9)</f>
        <v>1</v>
      </c>
      <c r="BK9" s="928">
        <f>SUM(BH9:BJ9)</f>
        <v>1</v>
      </c>
      <c r="BL9" s="53"/>
    </row>
    <row r="10" spans="1:64" s="43" customFormat="1" ht="17.100000000000001" customHeight="1">
      <c r="A10" s="457" t="s">
        <v>2422</v>
      </c>
      <c r="B10" s="53" t="s">
        <v>130</v>
      </c>
      <c r="C10" s="53" t="s">
        <v>130</v>
      </c>
      <c r="D10" s="53" t="s">
        <v>2511</v>
      </c>
      <c r="E10" s="53" t="s">
        <v>2424</v>
      </c>
      <c r="F10" s="53" t="s">
        <v>2428</v>
      </c>
      <c r="G10" s="71">
        <v>31837</v>
      </c>
      <c r="H10" s="50" t="s">
        <v>3250</v>
      </c>
      <c r="I10" s="51">
        <v>19126</v>
      </c>
      <c r="J10" s="52">
        <v>22114</v>
      </c>
      <c r="K10" s="53" t="s">
        <v>3251</v>
      </c>
      <c r="L10" s="54" t="s">
        <v>2429</v>
      </c>
      <c r="M10" s="773">
        <v>3</v>
      </c>
      <c r="N10" s="718"/>
      <c r="O10" s="774">
        <v>48</v>
      </c>
      <c r="P10" s="780">
        <v>1</v>
      </c>
      <c r="Q10" s="781">
        <v>6</v>
      </c>
      <c r="R10" s="781">
        <v>1</v>
      </c>
      <c r="S10" s="781">
        <v>6</v>
      </c>
      <c r="T10" s="781">
        <v>1</v>
      </c>
      <c r="U10" s="782">
        <v>7</v>
      </c>
      <c r="V10" s="780"/>
      <c r="W10" s="781"/>
      <c r="X10" s="781"/>
      <c r="Y10" s="781"/>
      <c r="Z10" s="781"/>
      <c r="AA10" s="782"/>
      <c r="AB10" s="788"/>
      <c r="AC10" s="781"/>
      <c r="AD10" s="781"/>
      <c r="AE10" s="781"/>
      <c r="AF10" s="781">
        <f>SUM(AD10:AE10)</f>
        <v>0</v>
      </c>
      <c r="AG10" s="781"/>
      <c r="AH10" s="781"/>
      <c r="AI10" s="782">
        <f>SUM(AG10:AH10)</f>
        <v>0</v>
      </c>
      <c r="AJ10" s="788"/>
      <c r="AK10" s="781"/>
      <c r="AL10" s="781"/>
      <c r="AM10" s="781"/>
      <c r="AN10" s="781">
        <f>SUM(AL10:AM10)</f>
        <v>0</v>
      </c>
      <c r="AO10" s="781"/>
      <c r="AP10" s="781"/>
      <c r="AQ10" s="782">
        <f>SUM(AO10:AP10)</f>
        <v>0</v>
      </c>
      <c r="AR10" s="924"/>
      <c r="AS10" s="925"/>
      <c r="AT10" s="781"/>
      <c r="AU10" s="781"/>
      <c r="AV10" s="781"/>
      <c r="AW10" s="925">
        <f>SUM(AT10:AV10)</f>
        <v>0</v>
      </c>
      <c r="AX10" s="925"/>
      <c r="AY10" s="925"/>
      <c r="AZ10" s="925"/>
      <c r="BA10" s="926">
        <f>SUM(AX10:AZ10)</f>
        <v>0</v>
      </c>
      <c r="BB10" s="927">
        <f>SUM(P10,R10,T10,AB10,AJ10,AR10)</f>
        <v>3</v>
      </c>
      <c r="BC10" s="928">
        <f>SUM(Q10,AD10,AT10)</f>
        <v>6</v>
      </c>
      <c r="BD10" s="928">
        <f>SUM(S10,AE10,AL10,AU10)</f>
        <v>6</v>
      </c>
      <c r="BE10" s="928">
        <f>SUM(U10,AM10,AV10)</f>
        <v>7</v>
      </c>
      <c r="BF10" s="928">
        <f>SUM(BC10:BE10)</f>
        <v>19</v>
      </c>
      <c r="BG10" s="928">
        <f>SUM(V10,X10,Z10,AC10,AK10,AS10)</f>
        <v>0</v>
      </c>
      <c r="BH10" s="928">
        <f>SUM(W10,AG10,AX10)</f>
        <v>0</v>
      </c>
      <c r="BI10" s="928">
        <f>SUM(Y10,AH10,AO10,AY10)</f>
        <v>0</v>
      </c>
      <c r="BJ10" s="928">
        <f>SUM(AA10,AP10,AZ10)</f>
        <v>0</v>
      </c>
      <c r="BK10" s="928">
        <f>SUM(BH10:BJ10)</f>
        <v>0</v>
      </c>
      <c r="BL10" s="53"/>
    </row>
    <row r="11" spans="1:64" s="43" customFormat="1" ht="17.100000000000001" customHeight="1">
      <c r="A11" s="457" t="s">
        <v>1361</v>
      </c>
      <c r="B11" s="53" t="s">
        <v>130</v>
      </c>
      <c r="C11" s="53" t="s">
        <v>130</v>
      </c>
      <c r="D11" s="53" t="s">
        <v>3245</v>
      </c>
      <c r="E11" s="53" t="s">
        <v>4</v>
      </c>
      <c r="F11" s="53" t="s">
        <v>1362</v>
      </c>
      <c r="G11" s="71">
        <v>34759</v>
      </c>
      <c r="H11" s="50" t="s">
        <v>3246</v>
      </c>
      <c r="I11" s="72">
        <v>11060</v>
      </c>
      <c r="J11" s="52">
        <v>22163</v>
      </c>
      <c r="K11" s="53" t="s">
        <v>1363</v>
      </c>
      <c r="L11" s="54" t="s">
        <v>3252</v>
      </c>
      <c r="M11" s="773">
        <v>1</v>
      </c>
      <c r="N11" s="718"/>
      <c r="O11" s="774">
        <v>19</v>
      </c>
      <c r="P11" s="780"/>
      <c r="Q11" s="781"/>
      <c r="R11" s="781"/>
      <c r="S11" s="781"/>
      <c r="T11" s="781">
        <v>1</v>
      </c>
      <c r="U11" s="782">
        <v>17</v>
      </c>
      <c r="V11" s="780"/>
      <c r="W11" s="781"/>
      <c r="X11" s="781"/>
      <c r="Y11" s="781"/>
      <c r="Z11" s="781"/>
      <c r="AA11" s="782"/>
      <c r="AB11" s="788"/>
      <c r="AC11" s="781"/>
      <c r="AD11" s="781"/>
      <c r="AE11" s="781"/>
      <c r="AF11" s="781" t="s">
        <v>2668</v>
      </c>
      <c r="AG11" s="781"/>
      <c r="AH11" s="781"/>
      <c r="AI11" s="782" t="s">
        <v>2668</v>
      </c>
      <c r="AJ11" s="788"/>
      <c r="AK11" s="781"/>
      <c r="AL11" s="781"/>
      <c r="AM11" s="781"/>
      <c r="AN11" s="781" t="s">
        <v>2668</v>
      </c>
      <c r="AO11" s="781"/>
      <c r="AP11" s="781"/>
      <c r="AQ11" s="782" t="s">
        <v>2668</v>
      </c>
      <c r="AR11" s="924"/>
      <c r="AS11" s="925"/>
      <c r="AT11" s="781"/>
      <c r="AU11" s="781"/>
      <c r="AV11" s="781"/>
      <c r="AW11" s="925" t="s">
        <v>2668</v>
      </c>
      <c r="AX11" s="925"/>
      <c r="AY11" s="925"/>
      <c r="AZ11" s="925"/>
      <c r="BA11" s="926" t="s">
        <v>2668</v>
      </c>
      <c r="BB11" s="927">
        <v>1</v>
      </c>
      <c r="BC11" s="928" t="s">
        <v>2668</v>
      </c>
      <c r="BD11" s="928" t="s">
        <v>2668</v>
      </c>
      <c r="BE11" s="928">
        <v>17</v>
      </c>
      <c r="BF11" s="928">
        <v>17</v>
      </c>
      <c r="BG11" s="928" t="s">
        <v>2668</v>
      </c>
      <c r="BH11" s="928" t="s">
        <v>2668</v>
      </c>
      <c r="BI11" s="928" t="s">
        <v>2668</v>
      </c>
      <c r="BJ11" s="928" t="s">
        <v>2668</v>
      </c>
      <c r="BK11" s="928" t="s">
        <v>2668</v>
      </c>
      <c r="BL11" s="53"/>
    </row>
    <row r="12" spans="1:64" s="400" customFormat="1" ht="17.100000000000001" customHeight="1">
      <c r="A12" s="457" t="s">
        <v>2422</v>
      </c>
      <c r="B12" s="53" t="s">
        <v>130</v>
      </c>
      <c r="C12" s="53" t="s">
        <v>130</v>
      </c>
      <c r="D12" s="53" t="s">
        <v>3253</v>
      </c>
      <c r="E12" s="53" t="s">
        <v>2424</v>
      </c>
      <c r="F12" s="53" t="s">
        <v>2438</v>
      </c>
      <c r="G12" s="71">
        <v>43770</v>
      </c>
      <c r="H12" s="50" t="s">
        <v>2439</v>
      </c>
      <c r="I12" s="51">
        <v>12588</v>
      </c>
      <c r="J12" s="52">
        <v>22222</v>
      </c>
      <c r="K12" s="53" t="s">
        <v>1366</v>
      </c>
      <c r="L12" s="54" t="s">
        <v>1367</v>
      </c>
      <c r="M12" s="773">
        <v>3</v>
      </c>
      <c r="N12" s="718">
        <v>0</v>
      </c>
      <c r="O12" s="774">
        <v>48</v>
      </c>
      <c r="P12" s="780">
        <v>1</v>
      </c>
      <c r="Q12" s="781">
        <v>8</v>
      </c>
      <c r="R12" s="781">
        <v>1</v>
      </c>
      <c r="S12" s="781">
        <v>11</v>
      </c>
      <c r="T12" s="781">
        <v>1</v>
      </c>
      <c r="U12" s="782">
        <v>14</v>
      </c>
      <c r="V12" s="780">
        <v>0</v>
      </c>
      <c r="W12" s="781">
        <v>0</v>
      </c>
      <c r="X12" s="781">
        <v>0</v>
      </c>
      <c r="Y12" s="781">
        <v>0</v>
      </c>
      <c r="Z12" s="781">
        <v>0</v>
      </c>
      <c r="AA12" s="782">
        <v>0</v>
      </c>
      <c r="AB12" s="788">
        <v>0</v>
      </c>
      <c r="AC12" s="781">
        <v>0</v>
      </c>
      <c r="AD12" s="781">
        <v>0</v>
      </c>
      <c r="AE12" s="781">
        <v>0</v>
      </c>
      <c r="AF12" s="781">
        <f>SUM(AD12:AE12)</f>
        <v>0</v>
      </c>
      <c r="AG12" s="781">
        <v>0</v>
      </c>
      <c r="AH12" s="781">
        <v>0</v>
      </c>
      <c r="AI12" s="782">
        <f>SUM(AG12:AH12)</f>
        <v>0</v>
      </c>
      <c r="AJ12" s="788">
        <v>0</v>
      </c>
      <c r="AK12" s="781">
        <v>0</v>
      </c>
      <c r="AL12" s="781">
        <v>0</v>
      </c>
      <c r="AM12" s="781">
        <v>0</v>
      </c>
      <c r="AN12" s="781">
        <f>SUM(AL12:AM12)</f>
        <v>0</v>
      </c>
      <c r="AO12" s="781">
        <v>0</v>
      </c>
      <c r="AP12" s="781">
        <v>0</v>
      </c>
      <c r="AQ12" s="782">
        <f>SUM(AO12:AP12)</f>
        <v>0</v>
      </c>
      <c r="AR12" s="924">
        <v>0</v>
      </c>
      <c r="AS12" s="925">
        <v>0</v>
      </c>
      <c r="AT12" s="781">
        <v>0</v>
      </c>
      <c r="AU12" s="781">
        <v>0</v>
      </c>
      <c r="AV12" s="781">
        <v>0</v>
      </c>
      <c r="AW12" s="925">
        <f>SUM(AT12:AV12)</f>
        <v>0</v>
      </c>
      <c r="AX12" s="925">
        <v>0</v>
      </c>
      <c r="AY12" s="925">
        <v>0</v>
      </c>
      <c r="AZ12" s="925">
        <v>0</v>
      </c>
      <c r="BA12" s="926">
        <f t="shared" ref="BA12:BA20" si="0">SUM(AX12:AZ12)</f>
        <v>0</v>
      </c>
      <c r="BB12" s="927">
        <f t="shared" ref="BB12:BB20" si="1">SUM(P12,R12,T12,AB12,AJ12,AR12)</f>
        <v>3</v>
      </c>
      <c r="BC12" s="928">
        <f t="shared" ref="BC12:BC20" si="2">SUM(Q12,AD12,AT12)</f>
        <v>8</v>
      </c>
      <c r="BD12" s="928">
        <f t="shared" ref="BD12:BD20" si="3">SUM(S12,AE12,AL12,AU12)</f>
        <v>11</v>
      </c>
      <c r="BE12" s="928">
        <f t="shared" ref="BE12:BE20" si="4">SUM(U12,AM12,AV12)</f>
        <v>14</v>
      </c>
      <c r="BF12" s="928">
        <f t="shared" ref="BF12:BF20" si="5">SUM(BC12:BE12)</f>
        <v>33</v>
      </c>
      <c r="BG12" s="928">
        <f t="shared" ref="BG12:BG20" si="6">SUM(V12,X12,Z12,AC12,AK12,AS12)</f>
        <v>0</v>
      </c>
      <c r="BH12" s="928">
        <f t="shared" ref="BH12:BH20" si="7">SUM(W12,AG12,AX12)</f>
        <v>0</v>
      </c>
      <c r="BI12" s="928">
        <f t="shared" ref="BI12:BI19" si="8">SUM(Y12,AH12,AO12,AY12)</f>
        <v>0</v>
      </c>
      <c r="BJ12" s="928">
        <f t="shared" ref="BJ12:BJ19" si="9">SUM(AA12,AP12,AZ12)</f>
        <v>0</v>
      </c>
      <c r="BK12" s="928">
        <f t="shared" ref="BK12:BK20" si="10">SUM(BH12:BJ12)</f>
        <v>0</v>
      </c>
      <c r="BL12" s="53"/>
    </row>
    <row r="13" spans="1:64" s="400" customFormat="1" ht="17.100000000000001" customHeight="1">
      <c r="A13" s="53" t="s">
        <v>1390</v>
      </c>
      <c r="B13" s="53" t="s">
        <v>131</v>
      </c>
      <c r="C13" s="53" t="s">
        <v>130</v>
      </c>
      <c r="D13" s="53" t="s">
        <v>3254</v>
      </c>
      <c r="E13" s="53" t="s">
        <v>2424</v>
      </c>
      <c r="F13" s="53" t="s">
        <v>2430</v>
      </c>
      <c r="G13" s="392">
        <v>34759</v>
      </c>
      <c r="H13" s="50" t="s">
        <v>2431</v>
      </c>
      <c r="I13" s="72">
        <v>15883</v>
      </c>
      <c r="J13" s="52">
        <v>22208</v>
      </c>
      <c r="K13" s="53" t="s">
        <v>2432</v>
      </c>
      <c r="L13" s="54" t="s">
        <v>2433</v>
      </c>
      <c r="M13" s="773">
        <v>2</v>
      </c>
      <c r="N13" s="718">
        <v>1</v>
      </c>
      <c r="O13" s="774">
        <v>36</v>
      </c>
      <c r="P13" s="780"/>
      <c r="Q13" s="781"/>
      <c r="R13" s="781">
        <v>1</v>
      </c>
      <c r="S13" s="781">
        <v>3</v>
      </c>
      <c r="T13" s="781">
        <v>1</v>
      </c>
      <c r="U13" s="782">
        <v>7</v>
      </c>
      <c r="V13" s="780"/>
      <c r="W13" s="781"/>
      <c r="X13" s="781"/>
      <c r="Y13" s="781"/>
      <c r="Z13" s="781"/>
      <c r="AA13" s="782"/>
      <c r="AB13" s="788"/>
      <c r="AC13" s="781"/>
      <c r="AD13" s="781"/>
      <c r="AE13" s="781"/>
      <c r="AF13" s="781">
        <f>SUM(AD13:AE13)</f>
        <v>0</v>
      </c>
      <c r="AG13" s="781"/>
      <c r="AH13" s="781"/>
      <c r="AI13" s="782">
        <f>SUM(AG13:AH13)</f>
        <v>0</v>
      </c>
      <c r="AJ13" s="788"/>
      <c r="AK13" s="781"/>
      <c r="AL13" s="781"/>
      <c r="AM13" s="781"/>
      <c r="AN13" s="781">
        <f>SUM(AL13:AM13)</f>
        <v>0</v>
      </c>
      <c r="AO13" s="781">
        <v>2</v>
      </c>
      <c r="AP13" s="781">
        <v>2</v>
      </c>
      <c r="AQ13" s="782">
        <f>SUM(AO13:AP13)</f>
        <v>4</v>
      </c>
      <c r="AR13" s="924"/>
      <c r="AS13" s="925"/>
      <c r="AT13" s="781"/>
      <c r="AU13" s="781"/>
      <c r="AV13" s="781"/>
      <c r="AW13" s="925">
        <f>SUM(AT13:AV13)</f>
        <v>0</v>
      </c>
      <c r="AX13" s="925"/>
      <c r="AY13" s="925"/>
      <c r="AZ13" s="925"/>
      <c r="BA13" s="926">
        <f t="shared" si="0"/>
        <v>0</v>
      </c>
      <c r="BB13" s="927">
        <f t="shared" si="1"/>
        <v>2</v>
      </c>
      <c r="BC13" s="928">
        <f t="shared" si="2"/>
        <v>0</v>
      </c>
      <c r="BD13" s="928">
        <f t="shared" si="3"/>
        <v>3</v>
      </c>
      <c r="BE13" s="928">
        <f t="shared" si="4"/>
        <v>7</v>
      </c>
      <c r="BF13" s="928">
        <f t="shared" si="5"/>
        <v>10</v>
      </c>
      <c r="BG13" s="928">
        <v>1</v>
      </c>
      <c r="BH13" s="928">
        <f t="shared" si="7"/>
        <v>0</v>
      </c>
      <c r="BI13" s="928">
        <f t="shared" si="8"/>
        <v>2</v>
      </c>
      <c r="BJ13" s="928">
        <f t="shared" si="9"/>
        <v>2</v>
      </c>
      <c r="BK13" s="928">
        <f t="shared" si="10"/>
        <v>4</v>
      </c>
      <c r="BL13" s="53"/>
    </row>
    <row r="14" spans="1:64" s="400" customFormat="1" ht="17.100000000000001" customHeight="1">
      <c r="A14" s="457" t="s">
        <v>1361</v>
      </c>
      <c r="B14" s="53" t="s">
        <v>130</v>
      </c>
      <c r="C14" s="53" t="s">
        <v>130</v>
      </c>
      <c r="D14" s="53" t="s">
        <v>3245</v>
      </c>
      <c r="E14" s="53" t="s">
        <v>4</v>
      </c>
      <c r="F14" s="53" t="s">
        <v>3255</v>
      </c>
      <c r="G14" s="71">
        <v>31826</v>
      </c>
      <c r="H14" s="50" t="s">
        <v>711</v>
      </c>
      <c r="I14" s="51">
        <v>12538</v>
      </c>
      <c r="J14" s="452">
        <v>22168</v>
      </c>
      <c r="K14" s="53" t="s">
        <v>1364</v>
      </c>
      <c r="L14" s="54" t="s">
        <v>1365</v>
      </c>
      <c r="M14" s="1225">
        <v>1</v>
      </c>
      <c r="N14" s="1226">
        <v>0</v>
      </c>
      <c r="O14" s="1232">
        <v>19</v>
      </c>
      <c r="P14" s="780"/>
      <c r="Q14" s="781"/>
      <c r="R14" s="781"/>
      <c r="S14" s="781"/>
      <c r="T14" s="781"/>
      <c r="U14" s="782"/>
      <c r="V14" s="780"/>
      <c r="W14" s="781"/>
      <c r="X14" s="781"/>
      <c r="Y14" s="781"/>
      <c r="Z14" s="781"/>
      <c r="AA14" s="782"/>
      <c r="AB14" s="788"/>
      <c r="AC14" s="781"/>
      <c r="AD14" s="781"/>
      <c r="AE14" s="781"/>
      <c r="AF14" s="781">
        <f>SUM(AD14:AE14)</f>
        <v>0</v>
      </c>
      <c r="AG14" s="781"/>
      <c r="AH14" s="781"/>
      <c r="AI14" s="782">
        <f>SUM(AG14:AH14)</f>
        <v>0</v>
      </c>
      <c r="AJ14" s="788">
        <v>1</v>
      </c>
      <c r="AK14" s="781">
        <v>0</v>
      </c>
      <c r="AL14" s="781">
        <v>4</v>
      </c>
      <c r="AM14" s="781">
        <v>7</v>
      </c>
      <c r="AN14" s="781">
        <f>SUM(AL14:AM14)</f>
        <v>11</v>
      </c>
      <c r="AO14" s="781">
        <v>0</v>
      </c>
      <c r="AP14" s="781"/>
      <c r="AQ14" s="782">
        <f>SUM(AO14:AP14)</f>
        <v>0</v>
      </c>
      <c r="AR14" s="924"/>
      <c r="AS14" s="925"/>
      <c r="AT14" s="781"/>
      <c r="AU14" s="781"/>
      <c r="AV14" s="781"/>
      <c r="AW14" s="925">
        <f>SUM(AT14:AV14)</f>
        <v>0</v>
      </c>
      <c r="AX14" s="925"/>
      <c r="AY14" s="925"/>
      <c r="AZ14" s="925"/>
      <c r="BA14" s="926">
        <f t="shared" si="0"/>
        <v>0</v>
      </c>
      <c r="BB14" s="927">
        <f t="shared" si="1"/>
        <v>1</v>
      </c>
      <c r="BC14" s="928">
        <f t="shared" si="2"/>
        <v>0</v>
      </c>
      <c r="BD14" s="928">
        <f t="shared" si="3"/>
        <v>4</v>
      </c>
      <c r="BE14" s="928">
        <f t="shared" si="4"/>
        <v>7</v>
      </c>
      <c r="BF14" s="928">
        <f t="shared" si="5"/>
        <v>11</v>
      </c>
      <c r="BG14" s="928">
        <f t="shared" si="6"/>
        <v>0</v>
      </c>
      <c r="BH14" s="928">
        <f t="shared" si="7"/>
        <v>0</v>
      </c>
      <c r="BI14" s="928">
        <f t="shared" si="8"/>
        <v>0</v>
      </c>
      <c r="BJ14" s="928">
        <f t="shared" si="9"/>
        <v>0</v>
      </c>
      <c r="BK14" s="928">
        <f t="shared" si="10"/>
        <v>0</v>
      </c>
      <c r="BL14" s="53"/>
    </row>
    <row r="15" spans="1:64" s="400" customFormat="1" ht="17.100000000000001" customHeight="1">
      <c r="A15" s="457" t="s">
        <v>2422</v>
      </c>
      <c r="B15" s="53" t="s">
        <v>130</v>
      </c>
      <c r="C15" s="53" t="s">
        <v>130</v>
      </c>
      <c r="D15" s="53" t="s">
        <v>3254</v>
      </c>
      <c r="E15" s="53" t="s">
        <v>2424</v>
      </c>
      <c r="F15" s="53" t="s">
        <v>2434</v>
      </c>
      <c r="G15" s="71">
        <v>42614</v>
      </c>
      <c r="H15" s="50" t="s">
        <v>2435</v>
      </c>
      <c r="I15" s="51">
        <v>11000</v>
      </c>
      <c r="J15" s="52">
        <v>22188</v>
      </c>
      <c r="K15" s="53" t="s">
        <v>2236</v>
      </c>
      <c r="L15" s="54" t="s">
        <v>3256</v>
      </c>
      <c r="M15" s="773">
        <v>5</v>
      </c>
      <c r="N15" s="718">
        <v>0</v>
      </c>
      <c r="O15" s="774">
        <v>84</v>
      </c>
      <c r="P15" s="780">
        <v>1</v>
      </c>
      <c r="Q15" s="781">
        <v>12</v>
      </c>
      <c r="R15" s="781">
        <v>2</v>
      </c>
      <c r="S15" s="781">
        <v>21</v>
      </c>
      <c r="T15" s="781">
        <v>2</v>
      </c>
      <c r="U15" s="782">
        <v>31</v>
      </c>
      <c r="V15" s="780">
        <v>0</v>
      </c>
      <c r="W15" s="781">
        <v>0</v>
      </c>
      <c r="X15" s="781">
        <v>0</v>
      </c>
      <c r="Y15" s="781">
        <v>0</v>
      </c>
      <c r="Z15" s="781">
        <v>0</v>
      </c>
      <c r="AA15" s="782">
        <v>0</v>
      </c>
      <c r="AB15" s="788">
        <v>0</v>
      </c>
      <c r="AC15" s="781">
        <v>0</v>
      </c>
      <c r="AD15" s="781">
        <v>0</v>
      </c>
      <c r="AE15" s="781">
        <v>0</v>
      </c>
      <c r="AF15" s="781">
        <v>0</v>
      </c>
      <c r="AG15" s="781">
        <v>0</v>
      </c>
      <c r="AH15" s="781">
        <v>0</v>
      </c>
      <c r="AI15" s="782">
        <v>0</v>
      </c>
      <c r="AJ15" s="788">
        <v>0</v>
      </c>
      <c r="AK15" s="781">
        <v>0</v>
      </c>
      <c r="AL15" s="781">
        <v>0</v>
      </c>
      <c r="AM15" s="781">
        <v>0</v>
      </c>
      <c r="AN15" s="781">
        <v>0</v>
      </c>
      <c r="AO15" s="781">
        <v>0</v>
      </c>
      <c r="AP15" s="781">
        <v>0</v>
      </c>
      <c r="AQ15" s="782">
        <f>SUM(AO15:AP15)</f>
        <v>0</v>
      </c>
      <c r="AR15" s="924">
        <v>0</v>
      </c>
      <c r="AS15" s="925">
        <v>0</v>
      </c>
      <c r="AT15" s="781">
        <v>0</v>
      </c>
      <c r="AU15" s="781">
        <v>0</v>
      </c>
      <c r="AV15" s="781">
        <v>0</v>
      </c>
      <c r="AW15" s="925">
        <f>SUM(AT15:AV15)</f>
        <v>0</v>
      </c>
      <c r="AX15" s="925">
        <v>0</v>
      </c>
      <c r="AY15" s="925">
        <v>0</v>
      </c>
      <c r="AZ15" s="925">
        <v>0</v>
      </c>
      <c r="BA15" s="926">
        <f t="shared" si="0"/>
        <v>0</v>
      </c>
      <c r="BB15" s="927">
        <f t="shared" si="1"/>
        <v>5</v>
      </c>
      <c r="BC15" s="928">
        <f t="shared" si="2"/>
        <v>12</v>
      </c>
      <c r="BD15" s="928">
        <f t="shared" si="3"/>
        <v>21</v>
      </c>
      <c r="BE15" s="928">
        <f t="shared" si="4"/>
        <v>31</v>
      </c>
      <c r="BF15" s="928">
        <f t="shared" si="5"/>
        <v>64</v>
      </c>
      <c r="BG15" s="928">
        <f t="shared" si="6"/>
        <v>0</v>
      </c>
      <c r="BH15" s="928">
        <f t="shared" si="7"/>
        <v>0</v>
      </c>
      <c r="BI15" s="928">
        <f t="shared" si="8"/>
        <v>0</v>
      </c>
      <c r="BJ15" s="928">
        <f t="shared" si="9"/>
        <v>0</v>
      </c>
      <c r="BK15" s="928">
        <f t="shared" si="10"/>
        <v>0</v>
      </c>
      <c r="BL15" s="53"/>
    </row>
    <row r="16" spans="1:64" s="400" customFormat="1" ht="17.100000000000001" customHeight="1">
      <c r="A16" s="457" t="s">
        <v>2422</v>
      </c>
      <c r="B16" s="53" t="s">
        <v>130</v>
      </c>
      <c r="C16" s="53" t="s">
        <v>130</v>
      </c>
      <c r="D16" s="53" t="s">
        <v>2543</v>
      </c>
      <c r="E16" s="53" t="s">
        <v>2424</v>
      </c>
      <c r="F16" s="53" t="s">
        <v>3257</v>
      </c>
      <c r="G16" s="392">
        <v>36586</v>
      </c>
      <c r="H16" s="50" t="s">
        <v>1824</v>
      </c>
      <c r="I16" s="51">
        <v>12756</v>
      </c>
      <c r="J16" s="452">
        <v>22222</v>
      </c>
      <c r="K16" s="53" t="s">
        <v>3258</v>
      </c>
      <c r="L16" s="54" t="s">
        <v>2243</v>
      </c>
      <c r="M16" s="1225">
        <v>1</v>
      </c>
      <c r="N16" s="1226"/>
      <c r="O16" s="1232">
        <v>19</v>
      </c>
      <c r="P16" s="780"/>
      <c r="Q16" s="781"/>
      <c r="R16" s="781"/>
      <c r="S16" s="781"/>
      <c r="T16" s="781"/>
      <c r="U16" s="782"/>
      <c r="V16" s="780"/>
      <c r="W16" s="781"/>
      <c r="X16" s="781"/>
      <c r="Y16" s="781"/>
      <c r="Z16" s="781"/>
      <c r="AA16" s="782"/>
      <c r="AB16" s="788"/>
      <c r="AC16" s="781"/>
      <c r="AD16" s="781"/>
      <c r="AE16" s="781"/>
      <c r="AF16" s="781">
        <f>SUM(AD16:AE16)</f>
        <v>0</v>
      </c>
      <c r="AG16" s="781"/>
      <c r="AH16" s="781"/>
      <c r="AI16" s="782">
        <f>SUM(AG16:AH16)</f>
        <v>0</v>
      </c>
      <c r="AJ16" s="788"/>
      <c r="AK16" s="781"/>
      <c r="AL16" s="781"/>
      <c r="AM16" s="781"/>
      <c r="AN16" s="781">
        <f>SUM(AL16:AM16)</f>
        <v>0</v>
      </c>
      <c r="AO16" s="781"/>
      <c r="AP16" s="781"/>
      <c r="AQ16" s="782">
        <f>SUM(AO16:AP16)</f>
        <v>0</v>
      </c>
      <c r="AR16" s="924"/>
      <c r="AS16" s="925"/>
      <c r="AT16" s="781"/>
      <c r="AU16" s="781"/>
      <c r="AV16" s="781"/>
      <c r="AW16" s="925">
        <f>SUM(AT16:AV16)</f>
        <v>0</v>
      </c>
      <c r="AX16" s="925"/>
      <c r="AY16" s="925"/>
      <c r="AZ16" s="925"/>
      <c r="BA16" s="926">
        <f t="shared" si="0"/>
        <v>0</v>
      </c>
      <c r="BB16" s="927">
        <f t="shared" si="1"/>
        <v>0</v>
      </c>
      <c r="BC16" s="928">
        <f t="shared" si="2"/>
        <v>0</v>
      </c>
      <c r="BD16" s="928">
        <f t="shared" si="3"/>
        <v>0</v>
      </c>
      <c r="BE16" s="928">
        <f t="shared" si="4"/>
        <v>0</v>
      </c>
      <c r="BF16" s="928">
        <f t="shared" si="5"/>
        <v>0</v>
      </c>
      <c r="BG16" s="928">
        <f t="shared" si="6"/>
        <v>0</v>
      </c>
      <c r="BH16" s="928">
        <f t="shared" si="7"/>
        <v>0</v>
      </c>
      <c r="BI16" s="928">
        <f t="shared" si="8"/>
        <v>0</v>
      </c>
      <c r="BJ16" s="928">
        <f t="shared" si="9"/>
        <v>0</v>
      </c>
      <c r="BK16" s="928">
        <f t="shared" si="10"/>
        <v>0</v>
      </c>
      <c r="BL16" s="53" t="s">
        <v>1748</v>
      </c>
    </row>
    <row r="17" spans="1:64" s="400" customFormat="1" ht="17.100000000000001" customHeight="1">
      <c r="A17" s="457" t="s">
        <v>2422</v>
      </c>
      <c r="B17" s="53" t="s">
        <v>130</v>
      </c>
      <c r="C17" s="53" t="s">
        <v>130</v>
      </c>
      <c r="D17" s="53" t="s">
        <v>3253</v>
      </c>
      <c r="E17" s="53" t="s">
        <v>2424</v>
      </c>
      <c r="F17" s="53" t="s">
        <v>2436</v>
      </c>
      <c r="G17" s="71">
        <v>31853</v>
      </c>
      <c r="H17" s="50" t="s">
        <v>3259</v>
      </c>
      <c r="I17" s="51">
        <v>13126</v>
      </c>
      <c r="J17" s="52">
        <v>22211</v>
      </c>
      <c r="K17" s="53" t="s">
        <v>2437</v>
      </c>
      <c r="L17" s="54" t="s">
        <v>2260</v>
      </c>
      <c r="M17" s="773">
        <v>2</v>
      </c>
      <c r="N17" s="718">
        <v>1</v>
      </c>
      <c r="O17" s="774">
        <v>36</v>
      </c>
      <c r="P17" s="780"/>
      <c r="Q17" s="781"/>
      <c r="R17" s="781"/>
      <c r="S17" s="781"/>
      <c r="T17" s="781">
        <v>1</v>
      </c>
      <c r="U17" s="782">
        <v>3</v>
      </c>
      <c r="V17" s="780"/>
      <c r="W17" s="781"/>
      <c r="X17" s="781"/>
      <c r="Y17" s="781"/>
      <c r="Z17" s="781"/>
      <c r="AA17" s="782"/>
      <c r="AB17" s="788">
        <v>1</v>
      </c>
      <c r="AC17" s="781"/>
      <c r="AD17" s="781"/>
      <c r="AE17" s="781">
        <v>6</v>
      </c>
      <c r="AF17" s="781">
        <f>SUM(AD17:AE17)</f>
        <v>6</v>
      </c>
      <c r="AG17" s="781"/>
      <c r="AH17" s="781"/>
      <c r="AI17" s="782"/>
      <c r="AJ17" s="788"/>
      <c r="AK17" s="781"/>
      <c r="AL17" s="781"/>
      <c r="AM17" s="781"/>
      <c r="AN17" s="781"/>
      <c r="AO17" s="781"/>
      <c r="AP17" s="781"/>
      <c r="AQ17" s="782"/>
      <c r="AR17" s="924"/>
      <c r="AS17" s="925">
        <v>1</v>
      </c>
      <c r="AT17" s="781"/>
      <c r="AU17" s="781"/>
      <c r="AV17" s="781"/>
      <c r="AW17" s="925"/>
      <c r="AX17" s="925"/>
      <c r="AY17" s="925">
        <v>1</v>
      </c>
      <c r="AZ17" s="925">
        <v>3</v>
      </c>
      <c r="BA17" s="926">
        <f t="shared" si="0"/>
        <v>4</v>
      </c>
      <c r="BB17" s="927">
        <f t="shared" si="1"/>
        <v>2</v>
      </c>
      <c r="BC17" s="928">
        <f t="shared" si="2"/>
        <v>0</v>
      </c>
      <c r="BD17" s="928">
        <f t="shared" si="3"/>
        <v>6</v>
      </c>
      <c r="BE17" s="928">
        <f t="shared" si="4"/>
        <v>3</v>
      </c>
      <c r="BF17" s="928">
        <f t="shared" si="5"/>
        <v>9</v>
      </c>
      <c r="BG17" s="928">
        <f t="shared" si="6"/>
        <v>1</v>
      </c>
      <c r="BH17" s="928">
        <f t="shared" si="7"/>
        <v>0</v>
      </c>
      <c r="BI17" s="928">
        <f t="shared" si="8"/>
        <v>1</v>
      </c>
      <c r="BJ17" s="928">
        <f t="shared" si="9"/>
        <v>3</v>
      </c>
      <c r="BK17" s="928">
        <f t="shared" si="10"/>
        <v>4</v>
      </c>
      <c r="BL17" s="53"/>
    </row>
    <row r="18" spans="1:64" s="400" customFormat="1" ht="17.100000000000001" customHeight="1">
      <c r="A18" s="457" t="s">
        <v>2440</v>
      </c>
      <c r="B18" s="53" t="s">
        <v>130</v>
      </c>
      <c r="C18" s="53" t="s">
        <v>130</v>
      </c>
      <c r="D18" s="53" t="s">
        <v>3260</v>
      </c>
      <c r="E18" s="53" t="s">
        <v>2424</v>
      </c>
      <c r="F18" s="53" t="s">
        <v>2447</v>
      </c>
      <c r="G18" s="71">
        <v>39508</v>
      </c>
      <c r="H18" s="50" t="s">
        <v>3261</v>
      </c>
      <c r="I18" s="51">
        <v>5786</v>
      </c>
      <c r="J18" s="52">
        <v>22144</v>
      </c>
      <c r="K18" s="53" t="s">
        <v>2448</v>
      </c>
      <c r="L18" s="54" t="s">
        <v>2449</v>
      </c>
      <c r="M18" s="773">
        <v>2</v>
      </c>
      <c r="N18" s="718"/>
      <c r="O18" s="774">
        <v>36</v>
      </c>
      <c r="P18" s="780"/>
      <c r="Q18" s="781"/>
      <c r="R18" s="781"/>
      <c r="S18" s="781"/>
      <c r="T18" s="781">
        <v>1</v>
      </c>
      <c r="U18" s="782">
        <v>4</v>
      </c>
      <c r="V18" s="780"/>
      <c r="W18" s="781"/>
      <c r="X18" s="781"/>
      <c r="Y18" s="781"/>
      <c r="Z18" s="781"/>
      <c r="AA18" s="782"/>
      <c r="AB18" s="788">
        <v>1</v>
      </c>
      <c r="AC18" s="781"/>
      <c r="AD18" s="781">
        <v>3</v>
      </c>
      <c r="AE18" s="781">
        <v>1</v>
      </c>
      <c r="AF18" s="781">
        <f>SUM(AD18:AE18)</f>
        <v>4</v>
      </c>
      <c r="AG18" s="781"/>
      <c r="AH18" s="781"/>
      <c r="AI18" s="782">
        <f>SUM(AG18:AH18)</f>
        <v>0</v>
      </c>
      <c r="AJ18" s="788"/>
      <c r="AK18" s="781"/>
      <c r="AL18" s="781"/>
      <c r="AM18" s="781"/>
      <c r="AN18" s="781">
        <f>SUM(AL18:AM18)</f>
        <v>0</v>
      </c>
      <c r="AO18" s="781"/>
      <c r="AP18" s="781"/>
      <c r="AQ18" s="782">
        <f>SUM(AO18:AP18)</f>
        <v>0</v>
      </c>
      <c r="AR18" s="924"/>
      <c r="AS18" s="925"/>
      <c r="AT18" s="781"/>
      <c r="AU18" s="781"/>
      <c r="AV18" s="781"/>
      <c r="AW18" s="925">
        <f>SUM(AT18:AV18)</f>
        <v>0</v>
      </c>
      <c r="AX18" s="925"/>
      <c r="AY18" s="925"/>
      <c r="AZ18" s="925"/>
      <c r="BA18" s="926">
        <f t="shared" si="0"/>
        <v>0</v>
      </c>
      <c r="BB18" s="927">
        <f t="shared" si="1"/>
        <v>2</v>
      </c>
      <c r="BC18" s="928">
        <f t="shared" si="2"/>
        <v>3</v>
      </c>
      <c r="BD18" s="928">
        <f t="shared" si="3"/>
        <v>1</v>
      </c>
      <c r="BE18" s="928">
        <f t="shared" si="4"/>
        <v>4</v>
      </c>
      <c r="BF18" s="928">
        <f t="shared" si="5"/>
        <v>8</v>
      </c>
      <c r="BG18" s="928">
        <f t="shared" si="6"/>
        <v>0</v>
      </c>
      <c r="BH18" s="928">
        <f t="shared" si="7"/>
        <v>0</v>
      </c>
      <c r="BI18" s="928">
        <f t="shared" si="8"/>
        <v>0</v>
      </c>
      <c r="BJ18" s="928">
        <f t="shared" si="9"/>
        <v>0</v>
      </c>
      <c r="BK18" s="928">
        <f t="shared" si="10"/>
        <v>0</v>
      </c>
      <c r="BL18" s="53"/>
    </row>
    <row r="19" spans="1:64" s="400" customFormat="1" ht="17.100000000000001" customHeight="1">
      <c r="A19" s="457" t="s">
        <v>2440</v>
      </c>
      <c r="B19" s="53" t="s">
        <v>131</v>
      </c>
      <c r="C19" s="53" t="s">
        <v>131</v>
      </c>
      <c r="D19" s="53" t="s">
        <v>2441</v>
      </c>
      <c r="E19" s="53" t="s">
        <v>2424</v>
      </c>
      <c r="F19" s="53" t="s">
        <v>2442</v>
      </c>
      <c r="G19" s="130">
        <v>35490</v>
      </c>
      <c r="H19" s="50" t="s">
        <v>2210</v>
      </c>
      <c r="I19" s="51">
        <v>875</v>
      </c>
      <c r="J19" s="52">
        <v>22233</v>
      </c>
      <c r="K19" s="53" t="s">
        <v>2443</v>
      </c>
      <c r="L19" s="54" t="s">
        <v>3262</v>
      </c>
      <c r="M19" s="1225">
        <v>2</v>
      </c>
      <c r="N19" s="1226"/>
      <c r="O19" s="1232">
        <v>36</v>
      </c>
      <c r="P19" s="780"/>
      <c r="Q19" s="781"/>
      <c r="R19" s="781"/>
      <c r="S19" s="781"/>
      <c r="T19" s="781"/>
      <c r="U19" s="782"/>
      <c r="V19" s="780"/>
      <c r="W19" s="781"/>
      <c r="X19" s="781"/>
      <c r="Y19" s="781"/>
      <c r="Z19" s="781"/>
      <c r="AA19" s="782"/>
      <c r="AB19" s="788"/>
      <c r="AC19" s="781"/>
      <c r="AD19" s="781"/>
      <c r="AE19" s="781"/>
      <c r="AF19" s="781">
        <f>SUM(AD19:AE19)</f>
        <v>0</v>
      </c>
      <c r="AG19" s="781"/>
      <c r="AH19" s="781"/>
      <c r="AI19" s="782">
        <f>SUM(AG19:AH19)</f>
        <v>0</v>
      </c>
      <c r="AJ19" s="788"/>
      <c r="AK19" s="781"/>
      <c r="AL19" s="781"/>
      <c r="AM19" s="781"/>
      <c r="AN19" s="781">
        <f>SUM(AL19:AM19)</f>
        <v>0</v>
      </c>
      <c r="AO19" s="781"/>
      <c r="AP19" s="781"/>
      <c r="AQ19" s="782">
        <f>SUM(AO19:AP19)</f>
        <v>0</v>
      </c>
      <c r="AR19" s="924">
        <v>1</v>
      </c>
      <c r="AS19" s="925"/>
      <c r="AT19" s="781">
        <v>0</v>
      </c>
      <c r="AU19" s="781">
        <v>1</v>
      </c>
      <c r="AV19" s="781">
        <v>5</v>
      </c>
      <c r="AW19" s="925">
        <f>SUM(AT19:AV19)</f>
        <v>6</v>
      </c>
      <c r="AX19" s="925"/>
      <c r="AY19" s="925"/>
      <c r="AZ19" s="925"/>
      <c r="BA19" s="926">
        <f t="shared" si="0"/>
        <v>0</v>
      </c>
      <c r="BB19" s="927">
        <f t="shared" si="1"/>
        <v>1</v>
      </c>
      <c r="BC19" s="928">
        <f t="shared" si="2"/>
        <v>0</v>
      </c>
      <c r="BD19" s="928">
        <f t="shared" si="3"/>
        <v>1</v>
      </c>
      <c r="BE19" s="928">
        <f t="shared" si="4"/>
        <v>5</v>
      </c>
      <c r="BF19" s="928">
        <f t="shared" si="5"/>
        <v>6</v>
      </c>
      <c r="BG19" s="928">
        <f t="shared" si="6"/>
        <v>0</v>
      </c>
      <c r="BH19" s="928">
        <f t="shared" si="7"/>
        <v>0</v>
      </c>
      <c r="BI19" s="928">
        <f t="shared" si="8"/>
        <v>0</v>
      </c>
      <c r="BJ19" s="928">
        <f t="shared" si="9"/>
        <v>0</v>
      </c>
      <c r="BK19" s="928">
        <f t="shared" si="10"/>
        <v>0</v>
      </c>
      <c r="BL19" s="53"/>
    </row>
    <row r="20" spans="1:64" s="400" customFormat="1" ht="17.100000000000001" customHeight="1">
      <c r="A20" s="457" t="s">
        <v>2440</v>
      </c>
      <c r="B20" s="53" t="s">
        <v>130</v>
      </c>
      <c r="C20" s="53" t="s">
        <v>130</v>
      </c>
      <c r="D20" s="53" t="s">
        <v>2564</v>
      </c>
      <c r="E20" s="53" t="s">
        <v>2424</v>
      </c>
      <c r="F20" s="53" t="s">
        <v>2444</v>
      </c>
      <c r="G20" s="929">
        <v>43160</v>
      </c>
      <c r="H20" s="96" t="s">
        <v>710</v>
      </c>
      <c r="I20" s="72">
        <v>16925</v>
      </c>
      <c r="J20" s="930">
        <v>22156</v>
      </c>
      <c r="K20" s="931" t="s">
        <v>2445</v>
      </c>
      <c r="L20" s="748" t="s">
        <v>2446</v>
      </c>
      <c r="M20" s="773">
        <v>3</v>
      </c>
      <c r="N20" s="718">
        <v>1</v>
      </c>
      <c r="O20" s="774">
        <v>48</v>
      </c>
      <c r="P20" s="780">
        <v>1</v>
      </c>
      <c r="Q20" s="781">
        <v>3</v>
      </c>
      <c r="R20" s="781">
        <v>1</v>
      </c>
      <c r="S20" s="781">
        <v>9</v>
      </c>
      <c r="T20" s="781">
        <v>1</v>
      </c>
      <c r="U20" s="782">
        <v>17</v>
      </c>
      <c r="V20" s="780"/>
      <c r="W20" s="781"/>
      <c r="X20" s="781"/>
      <c r="Y20" s="781"/>
      <c r="Z20" s="781"/>
      <c r="AA20" s="782"/>
      <c r="AB20" s="788"/>
      <c r="AC20" s="781"/>
      <c r="AD20" s="781"/>
      <c r="AE20" s="781"/>
      <c r="AF20" s="781">
        <f>SUM(AD20:AE20)</f>
        <v>0</v>
      </c>
      <c r="AG20" s="781"/>
      <c r="AH20" s="781"/>
      <c r="AI20" s="782">
        <f>SUM(AG20:AH20)</f>
        <v>0</v>
      </c>
      <c r="AJ20" s="788"/>
      <c r="AK20" s="781"/>
      <c r="AL20" s="781"/>
      <c r="AM20" s="781"/>
      <c r="AN20" s="781">
        <f>SUM(AL20:AM20)</f>
        <v>0</v>
      </c>
      <c r="AO20" s="781"/>
      <c r="AP20" s="781"/>
      <c r="AQ20" s="782"/>
      <c r="AR20" s="924"/>
      <c r="AS20" s="925">
        <v>1</v>
      </c>
      <c r="AT20" s="781"/>
      <c r="AU20" s="781"/>
      <c r="AV20" s="781"/>
      <c r="AW20" s="925">
        <f>SUM(AT20:AV20)</f>
        <v>0</v>
      </c>
      <c r="AX20" s="925"/>
      <c r="AY20" s="925">
        <v>2</v>
      </c>
      <c r="AZ20" s="925">
        <v>2</v>
      </c>
      <c r="BA20" s="926">
        <f t="shared" si="0"/>
        <v>4</v>
      </c>
      <c r="BB20" s="927">
        <f t="shared" si="1"/>
        <v>3</v>
      </c>
      <c r="BC20" s="928">
        <f t="shared" si="2"/>
        <v>3</v>
      </c>
      <c r="BD20" s="928">
        <f t="shared" si="3"/>
        <v>9</v>
      </c>
      <c r="BE20" s="928">
        <f t="shared" si="4"/>
        <v>17</v>
      </c>
      <c r="BF20" s="928">
        <f t="shared" si="5"/>
        <v>29</v>
      </c>
      <c r="BG20" s="928">
        <f t="shared" si="6"/>
        <v>1</v>
      </c>
      <c r="BH20" s="928">
        <f t="shared" si="7"/>
        <v>0</v>
      </c>
      <c r="BI20" s="928">
        <v>2</v>
      </c>
      <c r="BJ20" s="928">
        <v>2</v>
      </c>
      <c r="BK20" s="928">
        <f t="shared" si="10"/>
        <v>4</v>
      </c>
      <c r="BL20" s="53"/>
    </row>
    <row r="21" spans="1:64" s="43" customFormat="1" ht="17.100000000000001" customHeight="1">
      <c r="A21" s="1611" t="s">
        <v>1369</v>
      </c>
      <c r="B21" s="1612"/>
      <c r="C21" s="1612"/>
      <c r="D21" s="1613"/>
      <c r="E21" s="401">
        <f>COUNTA(E8:E20)</f>
        <v>13</v>
      </c>
      <c r="F21" s="285"/>
      <c r="G21" s="402"/>
      <c r="H21" s="181"/>
      <c r="I21" s="403"/>
      <c r="J21" s="287"/>
      <c r="K21" s="285"/>
      <c r="L21" s="288"/>
      <c r="M21" s="404">
        <f t="shared" ref="M21:AR21" si="11">SUM(M8:M20)</f>
        <v>29</v>
      </c>
      <c r="N21" s="405">
        <f t="shared" si="11"/>
        <v>4</v>
      </c>
      <c r="O21" s="406">
        <f t="shared" si="11"/>
        <v>501</v>
      </c>
      <c r="P21" s="407">
        <f t="shared" si="11"/>
        <v>4</v>
      </c>
      <c r="Q21" s="408">
        <f t="shared" si="11"/>
        <v>29</v>
      </c>
      <c r="R21" s="408">
        <f t="shared" si="11"/>
        <v>6</v>
      </c>
      <c r="S21" s="408">
        <f t="shared" si="11"/>
        <v>50</v>
      </c>
      <c r="T21" s="408">
        <f t="shared" si="11"/>
        <v>11</v>
      </c>
      <c r="U21" s="409">
        <f t="shared" si="11"/>
        <v>111</v>
      </c>
      <c r="V21" s="410">
        <f t="shared" si="11"/>
        <v>0</v>
      </c>
      <c r="W21" s="408">
        <f t="shared" si="11"/>
        <v>0</v>
      </c>
      <c r="X21" s="408">
        <f t="shared" si="11"/>
        <v>0</v>
      </c>
      <c r="Y21" s="408">
        <f t="shared" si="11"/>
        <v>0</v>
      </c>
      <c r="Z21" s="408">
        <f t="shared" si="11"/>
        <v>0</v>
      </c>
      <c r="AA21" s="409">
        <f t="shared" si="11"/>
        <v>0</v>
      </c>
      <c r="AB21" s="407">
        <f t="shared" si="11"/>
        <v>4</v>
      </c>
      <c r="AC21" s="408">
        <f t="shared" si="11"/>
        <v>0</v>
      </c>
      <c r="AD21" s="408">
        <f t="shared" si="11"/>
        <v>10</v>
      </c>
      <c r="AE21" s="408">
        <f t="shared" si="11"/>
        <v>17</v>
      </c>
      <c r="AF21" s="408">
        <f t="shared" si="11"/>
        <v>27</v>
      </c>
      <c r="AG21" s="408">
        <f t="shared" si="11"/>
        <v>0</v>
      </c>
      <c r="AH21" s="408">
        <f t="shared" si="11"/>
        <v>0</v>
      </c>
      <c r="AI21" s="409">
        <f t="shared" si="11"/>
        <v>0</v>
      </c>
      <c r="AJ21" s="407">
        <f t="shared" si="11"/>
        <v>1</v>
      </c>
      <c r="AK21" s="408">
        <f t="shared" si="11"/>
        <v>0</v>
      </c>
      <c r="AL21" s="408">
        <f t="shared" si="11"/>
        <v>4</v>
      </c>
      <c r="AM21" s="408">
        <f t="shared" si="11"/>
        <v>7</v>
      </c>
      <c r="AN21" s="408">
        <f t="shared" si="11"/>
        <v>11</v>
      </c>
      <c r="AO21" s="408">
        <f t="shared" si="11"/>
        <v>2</v>
      </c>
      <c r="AP21" s="408">
        <f t="shared" si="11"/>
        <v>2</v>
      </c>
      <c r="AQ21" s="409">
        <f t="shared" si="11"/>
        <v>4</v>
      </c>
      <c r="AR21" s="411">
        <f t="shared" si="11"/>
        <v>1</v>
      </c>
      <c r="AS21" s="412">
        <f t="shared" ref="AS21:BK21" si="12">SUM(AS8:AS20)</f>
        <v>3</v>
      </c>
      <c r="AT21" s="412">
        <f t="shared" si="12"/>
        <v>0</v>
      </c>
      <c r="AU21" s="412">
        <f t="shared" si="12"/>
        <v>1</v>
      </c>
      <c r="AV21" s="412">
        <f t="shared" si="12"/>
        <v>5</v>
      </c>
      <c r="AW21" s="412">
        <f t="shared" si="12"/>
        <v>6</v>
      </c>
      <c r="AX21" s="412">
        <f t="shared" si="12"/>
        <v>0</v>
      </c>
      <c r="AY21" s="412">
        <f t="shared" si="12"/>
        <v>3</v>
      </c>
      <c r="AZ21" s="412">
        <f t="shared" si="12"/>
        <v>6</v>
      </c>
      <c r="BA21" s="413">
        <f t="shared" si="12"/>
        <v>9</v>
      </c>
      <c r="BB21" s="414">
        <f t="shared" si="12"/>
        <v>27</v>
      </c>
      <c r="BC21" s="415">
        <f t="shared" si="12"/>
        <v>39</v>
      </c>
      <c r="BD21" s="415">
        <f t="shared" si="12"/>
        <v>72</v>
      </c>
      <c r="BE21" s="415">
        <f t="shared" si="12"/>
        <v>123</v>
      </c>
      <c r="BF21" s="415">
        <f t="shared" si="12"/>
        <v>234</v>
      </c>
      <c r="BG21" s="415">
        <f t="shared" si="12"/>
        <v>4</v>
      </c>
      <c r="BH21" s="415">
        <f t="shared" si="12"/>
        <v>0</v>
      </c>
      <c r="BI21" s="415">
        <f t="shared" si="12"/>
        <v>5</v>
      </c>
      <c r="BJ21" s="415">
        <f t="shared" si="12"/>
        <v>8</v>
      </c>
      <c r="BK21" s="416">
        <f t="shared" si="12"/>
        <v>13</v>
      </c>
      <c r="BL21" s="417"/>
    </row>
    <row r="22" spans="1:64" s="43" customFormat="1" ht="17.100000000000001" customHeight="1">
      <c r="A22" s="457" t="s">
        <v>2422</v>
      </c>
      <c r="B22" s="53" t="s">
        <v>130</v>
      </c>
      <c r="C22" s="53" t="s">
        <v>130</v>
      </c>
      <c r="D22" s="53" t="s">
        <v>2506</v>
      </c>
      <c r="E22" s="53" t="s">
        <v>5</v>
      </c>
      <c r="F22" s="53" t="s">
        <v>2507</v>
      </c>
      <c r="G22" s="71">
        <v>42552</v>
      </c>
      <c r="H22" s="50" t="s">
        <v>2508</v>
      </c>
      <c r="I22" s="51">
        <v>695</v>
      </c>
      <c r="J22" s="52">
        <v>22153</v>
      </c>
      <c r="K22" s="53" t="s">
        <v>2509</v>
      </c>
      <c r="L22" s="54" t="s">
        <v>2510</v>
      </c>
      <c r="M22" s="57">
        <v>7</v>
      </c>
      <c r="N22" s="58"/>
      <c r="O22" s="59">
        <v>122</v>
      </c>
      <c r="P22" s="60">
        <v>2</v>
      </c>
      <c r="Q22" s="61">
        <v>25</v>
      </c>
      <c r="R22" s="61">
        <v>1</v>
      </c>
      <c r="S22" s="61">
        <v>22</v>
      </c>
      <c r="T22" s="61">
        <v>2</v>
      </c>
      <c r="U22" s="62">
        <v>34</v>
      </c>
      <c r="V22" s="60"/>
      <c r="W22" s="61"/>
      <c r="X22" s="61"/>
      <c r="Y22" s="61"/>
      <c r="Z22" s="61"/>
      <c r="AA22" s="62"/>
      <c r="AB22" s="63"/>
      <c r="AC22" s="61"/>
      <c r="AD22" s="61"/>
      <c r="AE22" s="61"/>
      <c r="AF22" s="61">
        <f>SUM(AD22:AE22)</f>
        <v>0</v>
      </c>
      <c r="AG22" s="61"/>
      <c r="AH22" s="61"/>
      <c r="AI22" s="62">
        <f>SUM(AG22:AH22)</f>
        <v>0</v>
      </c>
      <c r="AJ22" s="63"/>
      <c r="AK22" s="61"/>
      <c r="AL22" s="61"/>
      <c r="AM22" s="61"/>
      <c r="AN22" s="61">
        <f>SUM(AL22:AM22)</f>
        <v>0</v>
      </c>
      <c r="AO22" s="61"/>
      <c r="AP22" s="61"/>
      <c r="AQ22" s="62">
        <f>SUM(AO22:AP22)</f>
        <v>0</v>
      </c>
      <c r="AR22" s="955"/>
      <c r="AS22" s="956"/>
      <c r="AT22" s="61"/>
      <c r="AU22" s="61"/>
      <c r="AV22" s="61"/>
      <c r="AW22" s="956">
        <f>SUM(AT22:AV22)</f>
        <v>0</v>
      </c>
      <c r="AX22" s="956"/>
      <c r="AY22" s="956"/>
      <c r="AZ22" s="956"/>
      <c r="BA22" s="957">
        <f>SUM(AX22:AZ22)</f>
        <v>0</v>
      </c>
      <c r="BB22" s="958">
        <f>SUM(P22,R22,T22,AB22,AJ22,AR22)</f>
        <v>5</v>
      </c>
      <c r="BC22" s="959">
        <f>SUM(Q22,AD22,AT22)</f>
        <v>25</v>
      </c>
      <c r="BD22" s="959">
        <f>SUM(S22,AE22,AL22,AU22)</f>
        <v>22</v>
      </c>
      <c r="BE22" s="959">
        <f>SUM(U22,AM22,AV22)</f>
        <v>34</v>
      </c>
      <c r="BF22" s="959">
        <f>SUM(BC22:BE22)</f>
        <v>81</v>
      </c>
      <c r="BG22" s="959">
        <f t="shared" ref="BG22:BG48" si="13">SUM(V22,X22,Z22,AC22,AK22,AS22)</f>
        <v>0</v>
      </c>
      <c r="BH22" s="959">
        <f t="shared" ref="BH22:BH48" si="14">SUM(W22,AG22,AX22)</f>
        <v>0</v>
      </c>
      <c r="BI22" s="959">
        <f t="shared" ref="BI22:BI48" si="15">SUM(Y22,AH22,AO22,AY22)</f>
        <v>0</v>
      </c>
      <c r="BJ22" s="959">
        <f t="shared" ref="BJ22:BJ48" si="16">SUM(AA22,AP22,AZ22)</f>
        <v>0</v>
      </c>
      <c r="BK22" s="959">
        <f t="shared" ref="BK22:BK48" si="17">SUM(BH22:BJ22)</f>
        <v>0</v>
      </c>
      <c r="BL22" s="53"/>
    </row>
    <row r="23" spans="1:64" s="43" customFormat="1" ht="17.100000000000001" customHeight="1">
      <c r="A23" s="960" t="s">
        <v>1390</v>
      </c>
      <c r="B23" s="960" t="s">
        <v>130</v>
      </c>
      <c r="C23" s="762" t="s">
        <v>130</v>
      </c>
      <c r="D23" s="751" t="s">
        <v>3326</v>
      </c>
      <c r="E23" s="960" t="s">
        <v>5</v>
      </c>
      <c r="F23" s="961" t="s">
        <v>3327</v>
      </c>
      <c r="G23" s="750">
        <v>46082</v>
      </c>
      <c r="H23" s="154" t="s">
        <v>2512</v>
      </c>
      <c r="I23" s="962">
        <v>1625</v>
      </c>
      <c r="J23" s="752">
        <v>22116</v>
      </c>
      <c r="K23" s="961" t="s">
        <v>3328</v>
      </c>
      <c r="L23" s="963" t="s">
        <v>3329</v>
      </c>
      <c r="M23" s="57">
        <v>9</v>
      </c>
      <c r="N23" s="1233"/>
      <c r="O23" s="59">
        <v>221</v>
      </c>
      <c r="P23" s="775">
        <v>3</v>
      </c>
      <c r="Q23" s="776">
        <v>47</v>
      </c>
      <c r="R23" s="776">
        <v>3</v>
      </c>
      <c r="S23" s="776">
        <v>73</v>
      </c>
      <c r="T23" s="776">
        <v>3</v>
      </c>
      <c r="U23" s="777">
        <v>77</v>
      </c>
      <c r="V23" s="775"/>
      <c r="W23" s="776"/>
      <c r="X23" s="776"/>
      <c r="Y23" s="776"/>
      <c r="Z23" s="776"/>
      <c r="AA23" s="777"/>
      <c r="AB23" s="778"/>
      <c r="AC23" s="776"/>
      <c r="AD23" s="776"/>
      <c r="AE23" s="776"/>
      <c r="AF23" s="61">
        <f t="shared" ref="AF23:AF48" si="18">SUM(AD23:AE23)</f>
        <v>0</v>
      </c>
      <c r="AG23" s="776"/>
      <c r="AH23" s="776"/>
      <c r="AI23" s="62">
        <f t="shared" ref="AI23:AI48" si="19">SUM(AG23:AH23)</f>
        <v>0</v>
      </c>
      <c r="AJ23" s="778"/>
      <c r="AK23" s="776"/>
      <c r="AL23" s="776"/>
      <c r="AM23" s="776"/>
      <c r="AN23" s="61">
        <f t="shared" ref="AN23:AN48" si="20">SUM(AL23:AM23)</f>
        <v>0</v>
      </c>
      <c r="AO23" s="776"/>
      <c r="AP23" s="776"/>
      <c r="AQ23" s="62">
        <f t="shared" ref="AQ23:AQ48" si="21">SUM(AO23:AP23)</f>
        <v>0</v>
      </c>
      <c r="AR23" s="964"/>
      <c r="AS23" s="965"/>
      <c r="AT23" s="776"/>
      <c r="AU23" s="776"/>
      <c r="AV23" s="776"/>
      <c r="AW23" s="956">
        <f t="shared" ref="AW23:AW48" si="22">SUM(AT23:AV23)</f>
        <v>0</v>
      </c>
      <c r="AX23" s="965"/>
      <c r="AY23" s="965"/>
      <c r="AZ23" s="965"/>
      <c r="BA23" s="957">
        <f t="shared" ref="BA23:BA48" si="23">SUM(AX23:AZ23)</f>
        <v>0</v>
      </c>
      <c r="BB23" s="958">
        <f t="shared" ref="BB23:BB48" si="24">SUM(P23,R23,T23,AB23,AJ23,AR23)</f>
        <v>9</v>
      </c>
      <c r="BC23" s="959">
        <f t="shared" ref="BC23:BC48" si="25">SUM(Q23,AD23,AT23)</f>
        <v>47</v>
      </c>
      <c r="BD23" s="959">
        <f t="shared" ref="BD23:BD48" si="26">SUM(S23,AE23,AL23,AU23)</f>
        <v>73</v>
      </c>
      <c r="BE23" s="959">
        <f t="shared" ref="BE23:BE48" si="27">SUM(U23,AM23,AV23)</f>
        <v>77</v>
      </c>
      <c r="BF23" s="959">
        <f t="shared" ref="BF23:BF48" si="28">SUM(BC23:BE23)</f>
        <v>197</v>
      </c>
      <c r="BG23" s="966">
        <f t="shared" si="13"/>
        <v>0</v>
      </c>
      <c r="BH23" s="966">
        <f t="shared" si="14"/>
        <v>0</v>
      </c>
      <c r="BI23" s="966">
        <f t="shared" si="15"/>
        <v>0</v>
      </c>
      <c r="BJ23" s="966">
        <f t="shared" si="16"/>
        <v>0</v>
      </c>
      <c r="BK23" s="966">
        <f t="shared" si="17"/>
        <v>0</v>
      </c>
      <c r="BL23" s="961"/>
    </row>
    <row r="24" spans="1:64" s="43" customFormat="1" ht="17.100000000000001" customHeight="1">
      <c r="A24" s="457" t="s">
        <v>2422</v>
      </c>
      <c r="B24" s="53" t="s">
        <v>130</v>
      </c>
      <c r="C24" s="53" t="s">
        <v>130</v>
      </c>
      <c r="D24" s="53" t="s">
        <v>2513</v>
      </c>
      <c r="E24" s="53" t="s">
        <v>5</v>
      </c>
      <c r="F24" s="53" t="s">
        <v>2514</v>
      </c>
      <c r="G24" s="71">
        <v>24152</v>
      </c>
      <c r="H24" s="50" t="s">
        <v>2515</v>
      </c>
      <c r="I24" s="51">
        <v>415</v>
      </c>
      <c r="J24" s="52">
        <v>22173</v>
      </c>
      <c r="K24" s="53" t="s">
        <v>2516</v>
      </c>
      <c r="L24" s="54" t="s">
        <v>2517</v>
      </c>
      <c r="M24" s="57">
        <v>4</v>
      </c>
      <c r="N24" s="58"/>
      <c r="O24" s="59">
        <v>88</v>
      </c>
      <c r="P24" s="60">
        <v>1</v>
      </c>
      <c r="Q24" s="61">
        <v>18</v>
      </c>
      <c r="R24" s="61">
        <v>2</v>
      </c>
      <c r="S24" s="61">
        <v>44</v>
      </c>
      <c r="T24" s="61">
        <v>1</v>
      </c>
      <c r="U24" s="62">
        <v>26</v>
      </c>
      <c r="V24" s="60"/>
      <c r="W24" s="61"/>
      <c r="X24" s="61"/>
      <c r="Y24" s="61"/>
      <c r="Z24" s="61"/>
      <c r="AA24" s="62"/>
      <c r="AB24" s="63"/>
      <c r="AC24" s="61"/>
      <c r="AD24" s="61"/>
      <c r="AE24" s="61"/>
      <c r="AF24" s="61">
        <f t="shared" si="18"/>
        <v>0</v>
      </c>
      <c r="AG24" s="61"/>
      <c r="AH24" s="61"/>
      <c r="AI24" s="62">
        <f t="shared" si="19"/>
        <v>0</v>
      </c>
      <c r="AJ24" s="63"/>
      <c r="AK24" s="61"/>
      <c r="AL24" s="61"/>
      <c r="AM24" s="61"/>
      <c r="AN24" s="61">
        <f t="shared" si="20"/>
        <v>0</v>
      </c>
      <c r="AO24" s="61"/>
      <c r="AP24" s="61"/>
      <c r="AQ24" s="62">
        <f t="shared" si="21"/>
        <v>0</v>
      </c>
      <c r="AR24" s="955"/>
      <c r="AS24" s="956"/>
      <c r="AT24" s="61"/>
      <c r="AU24" s="61"/>
      <c r="AV24" s="61"/>
      <c r="AW24" s="956">
        <f t="shared" si="22"/>
        <v>0</v>
      </c>
      <c r="AX24" s="956"/>
      <c r="AY24" s="956"/>
      <c r="AZ24" s="956"/>
      <c r="BA24" s="957">
        <f t="shared" si="23"/>
        <v>0</v>
      </c>
      <c r="BB24" s="958">
        <f t="shared" si="24"/>
        <v>4</v>
      </c>
      <c r="BC24" s="959">
        <f t="shared" si="25"/>
        <v>18</v>
      </c>
      <c r="BD24" s="959">
        <f t="shared" si="26"/>
        <v>44</v>
      </c>
      <c r="BE24" s="959">
        <f t="shared" si="27"/>
        <v>26</v>
      </c>
      <c r="BF24" s="959">
        <f t="shared" si="28"/>
        <v>88</v>
      </c>
      <c r="BG24" s="959">
        <f t="shared" si="13"/>
        <v>0</v>
      </c>
      <c r="BH24" s="959">
        <f t="shared" si="14"/>
        <v>0</v>
      </c>
      <c r="BI24" s="959">
        <f t="shared" si="15"/>
        <v>0</v>
      </c>
      <c r="BJ24" s="959">
        <f t="shared" si="16"/>
        <v>0</v>
      </c>
      <c r="BK24" s="959">
        <f t="shared" si="17"/>
        <v>0</v>
      </c>
      <c r="BL24" s="53"/>
    </row>
    <row r="25" spans="1:64" s="43" customFormat="1" ht="17.100000000000001" customHeight="1">
      <c r="A25" s="457" t="s">
        <v>1390</v>
      </c>
      <c r="B25" s="53" t="s">
        <v>130</v>
      </c>
      <c r="C25" s="53" t="s">
        <v>130</v>
      </c>
      <c r="D25" s="53" t="s">
        <v>2518</v>
      </c>
      <c r="E25" s="53" t="s">
        <v>5</v>
      </c>
      <c r="F25" s="53" t="s">
        <v>2519</v>
      </c>
      <c r="G25" s="71">
        <v>33304</v>
      </c>
      <c r="H25" s="50" t="s">
        <v>2520</v>
      </c>
      <c r="I25" s="51">
        <v>1491</v>
      </c>
      <c r="J25" s="52">
        <v>22207</v>
      </c>
      <c r="K25" s="53" t="s">
        <v>2521</v>
      </c>
      <c r="L25" s="54" t="s">
        <v>2522</v>
      </c>
      <c r="M25" s="64">
        <v>6</v>
      </c>
      <c r="N25" s="58"/>
      <c r="O25" s="66">
        <v>210</v>
      </c>
      <c r="P25" s="60"/>
      <c r="Q25" s="61"/>
      <c r="R25" s="61"/>
      <c r="S25" s="61"/>
      <c r="T25" s="61"/>
      <c r="U25" s="62"/>
      <c r="V25" s="60"/>
      <c r="W25" s="61"/>
      <c r="X25" s="61"/>
      <c r="Y25" s="61"/>
      <c r="Z25" s="61"/>
      <c r="AA25" s="62"/>
      <c r="AB25" s="63"/>
      <c r="AC25" s="61"/>
      <c r="AD25" s="61"/>
      <c r="AE25" s="61"/>
      <c r="AF25" s="61">
        <f t="shared" si="18"/>
        <v>0</v>
      </c>
      <c r="AG25" s="61"/>
      <c r="AH25" s="61"/>
      <c r="AI25" s="62">
        <f t="shared" si="19"/>
        <v>0</v>
      </c>
      <c r="AJ25" s="63"/>
      <c r="AK25" s="61"/>
      <c r="AL25" s="61"/>
      <c r="AM25" s="61"/>
      <c r="AN25" s="61">
        <f t="shared" si="20"/>
        <v>0</v>
      </c>
      <c r="AO25" s="61"/>
      <c r="AP25" s="61"/>
      <c r="AQ25" s="62">
        <f t="shared" si="21"/>
        <v>0</v>
      </c>
      <c r="AR25" s="955">
        <v>6</v>
      </c>
      <c r="AS25" s="956"/>
      <c r="AT25" s="61">
        <v>37</v>
      </c>
      <c r="AU25" s="61">
        <v>41</v>
      </c>
      <c r="AV25" s="61">
        <v>45</v>
      </c>
      <c r="AW25" s="956">
        <f t="shared" si="22"/>
        <v>123</v>
      </c>
      <c r="AX25" s="956"/>
      <c r="AY25" s="956"/>
      <c r="AZ25" s="956"/>
      <c r="BA25" s="957">
        <f t="shared" si="23"/>
        <v>0</v>
      </c>
      <c r="BB25" s="958">
        <f t="shared" si="24"/>
        <v>6</v>
      </c>
      <c r="BC25" s="959">
        <f t="shared" si="25"/>
        <v>37</v>
      </c>
      <c r="BD25" s="959">
        <f t="shared" si="26"/>
        <v>41</v>
      </c>
      <c r="BE25" s="959">
        <f t="shared" si="27"/>
        <v>45</v>
      </c>
      <c r="BF25" s="959">
        <f t="shared" si="28"/>
        <v>123</v>
      </c>
      <c r="BG25" s="959">
        <f t="shared" si="13"/>
        <v>0</v>
      </c>
      <c r="BH25" s="959">
        <f t="shared" si="14"/>
        <v>0</v>
      </c>
      <c r="BI25" s="959">
        <f t="shared" si="15"/>
        <v>0</v>
      </c>
      <c r="BJ25" s="959">
        <f t="shared" si="16"/>
        <v>0</v>
      </c>
      <c r="BK25" s="959">
        <f t="shared" si="17"/>
        <v>0</v>
      </c>
      <c r="BL25" s="53"/>
    </row>
    <row r="26" spans="1:64" s="43" customFormat="1" ht="17.100000000000001" customHeight="1">
      <c r="A26" s="457" t="s">
        <v>2422</v>
      </c>
      <c r="B26" s="53" t="s">
        <v>130</v>
      </c>
      <c r="C26" s="53" t="s">
        <v>130</v>
      </c>
      <c r="D26" s="53" t="s">
        <v>1385</v>
      </c>
      <c r="E26" s="53" t="s">
        <v>5</v>
      </c>
      <c r="F26" s="53" t="s">
        <v>2523</v>
      </c>
      <c r="G26" s="71">
        <v>33264</v>
      </c>
      <c r="H26" s="50" t="s">
        <v>1835</v>
      </c>
      <c r="I26" s="51">
        <v>468</v>
      </c>
      <c r="J26" s="52">
        <v>22185</v>
      </c>
      <c r="K26" s="53" t="s">
        <v>3330</v>
      </c>
      <c r="L26" s="54" t="s">
        <v>3331</v>
      </c>
      <c r="M26" s="57">
        <v>4</v>
      </c>
      <c r="N26" s="58"/>
      <c r="O26" s="59">
        <v>95</v>
      </c>
      <c r="P26" s="60">
        <v>1</v>
      </c>
      <c r="Q26" s="61">
        <v>14</v>
      </c>
      <c r="R26" s="61">
        <v>1</v>
      </c>
      <c r="S26" s="61">
        <v>24</v>
      </c>
      <c r="T26" s="61">
        <v>2</v>
      </c>
      <c r="U26" s="62">
        <v>45</v>
      </c>
      <c r="V26" s="60"/>
      <c r="W26" s="61"/>
      <c r="X26" s="61"/>
      <c r="Y26" s="61"/>
      <c r="Z26" s="61"/>
      <c r="AA26" s="62"/>
      <c r="AB26" s="63"/>
      <c r="AC26" s="61"/>
      <c r="AD26" s="61"/>
      <c r="AE26" s="61"/>
      <c r="AF26" s="61">
        <f t="shared" si="18"/>
        <v>0</v>
      </c>
      <c r="AG26" s="61"/>
      <c r="AH26" s="61"/>
      <c r="AI26" s="62">
        <f t="shared" si="19"/>
        <v>0</v>
      </c>
      <c r="AJ26" s="63"/>
      <c r="AK26" s="61"/>
      <c r="AL26" s="61"/>
      <c r="AM26" s="61"/>
      <c r="AN26" s="61">
        <f t="shared" si="20"/>
        <v>0</v>
      </c>
      <c r="AO26" s="61"/>
      <c r="AP26" s="61"/>
      <c r="AQ26" s="62">
        <f t="shared" si="21"/>
        <v>0</v>
      </c>
      <c r="AR26" s="955"/>
      <c r="AS26" s="956"/>
      <c r="AT26" s="61"/>
      <c r="AU26" s="61"/>
      <c r="AV26" s="61"/>
      <c r="AW26" s="956">
        <f t="shared" si="22"/>
        <v>0</v>
      </c>
      <c r="AX26" s="956"/>
      <c r="AY26" s="956"/>
      <c r="AZ26" s="956"/>
      <c r="BA26" s="957">
        <f t="shared" si="23"/>
        <v>0</v>
      </c>
      <c r="BB26" s="958">
        <f t="shared" si="24"/>
        <v>4</v>
      </c>
      <c r="BC26" s="959">
        <f t="shared" si="25"/>
        <v>14</v>
      </c>
      <c r="BD26" s="959">
        <f t="shared" si="26"/>
        <v>24</v>
      </c>
      <c r="BE26" s="959">
        <f t="shared" si="27"/>
        <v>45</v>
      </c>
      <c r="BF26" s="959">
        <f t="shared" si="28"/>
        <v>83</v>
      </c>
      <c r="BG26" s="959">
        <f t="shared" si="13"/>
        <v>0</v>
      </c>
      <c r="BH26" s="959">
        <f t="shared" si="14"/>
        <v>0</v>
      </c>
      <c r="BI26" s="959">
        <f t="shared" si="15"/>
        <v>0</v>
      </c>
      <c r="BJ26" s="959">
        <f t="shared" si="16"/>
        <v>0</v>
      </c>
      <c r="BK26" s="959">
        <f t="shared" si="17"/>
        <v>0</v>
      </c>
      <c r="BL26" s="53"/>
    </row>
    <row r="27" spans="1:64" s="43" customFormat="1" ht="17.100000000000001" customHeight="1">
      <c r="A27" s="457" t="s">
        <v>2422</v>
      </c>
      <c r="B27" s="53" t="s">
        <v>130</v>
      </c>
      <c r="C27" s="53" t="s">
        <v>130</v>
      </c>
      <c r="D27" s="53" t="s">
        <v>2524</v>
      </c>
      <c r="E27" s="53" t="s">
        <v>5</v>
      </c>
      <c r="F27" s="53" t="s">
        <v>2525</v>
      </c>
      <c r="G27" s="71">
        <v>36951</v>
      </c>
      <c r="H27" s="50" t="s">
        <v>2526</v>
      </c>
      <c r="I27" s="51">
        <v>666</v>
      </c>
      <c r="J27" s="52">
        <v>22192</v>
      </c>
      <c r="K27" s="53" t="s">
        <v>2527</v>
      </c>
      <c r="L27" s="54" t="s">
        <v>2528</v>
      </c>
      <c r="M27" s="57">
        <v>7</v>
      </c>
      <c r="N27" s="58"/>
      <c r="O27" s="59">
        <v>142</v>
      </c>
      <c r="P27" s="60">
        <v>3</v>
      </c>
      <c r="Q27" s="61">
        <v>49</v>
      </c>
      <c r="R27" s="61">
        <v>2</v>
      </c>
      <c r="S27" s="61">
        <v>47</v>
      </c>
      <c r="T27" s="61">
        <v>2</v>
      </c>
      <c r="U27" s="62">
        <v>46</v>
      </c>
      <c r="V27" s="60"/>
      <c r="W27" s="61"/>
      <c r="X27" s="61"/>
      <c r="Y27" s="61"/>
      <c r="Z27" s="61"/>
      <c r="AA27" s="62"/>
      <c r="AB27" s="63"/>
      <c r="AC27" s="61"/>
      <c r="AD27" s="61"/>
      <c r="AE27" s="61"/>
      <c r="AF27" s="61">
        <f t="shared" si="18"/>
        <v>0</v>
      </c>
      <c r="AG27" s="61"/>
      <c r="AH27" s="61"/>
      <c r="AI27" s="62">
        <f t="shared" si="19"/>
        <v>0</v>
      </c>
      <c r="AJ27" s="63"/>
      <c r="AK27" s="61"/>
      <c r="AL27" s="61"/>
      <c r="AM27" s="61"/>
      <c r="AN27" s="61">
        <f t="shared" si="20"/>
        <v>0</v>
      </c>
      <c r="AO27" s="61"/>
      <c r="AP27" s="61"/>
      <c r="AQ27" s="62">
        <f t="shared" si="21"/>
        <v>0</v>
      </c>
      <c r="AR27" s="955"/>
      <c r="AS27" s="956"/>
      <c r="AT27" s="61"/>
      <c r="AU27" s="61"/>
      <c r="AV27" s="61"/>
      <c r="AW27" s="956">
        <f t="shared" si="22"/>
        <v>0</v>
      </c>
      <c r="AX27" s="956"/>
      <c r="AY27" s="956"/>
      <c r="AZ27" s="956"/>
      <c r="BA27" s="957">
        <f t="shared" si="23"/>
        <v>0</v>
      </c>
      <c r="BB27" s="958">
        <f t="shared" si="24"/>
        <v>7</v>
      </c>
      <c r="BC27" s="959">
        <f t="shared" si="25"/>
        <v>49</v>
      </c>
      <c r="BD27" s="959">
        <f t="shared" si="26"/>
        <v>47</v>
      </c>
      <c r="BE27" s="959">
        <f t="shared" si="27"/>
        <v>46</v>
      </c>
      <c r="BF27" s="959">
        <f t="shared" si="28"/>
        <v>142</v>
      </c>
      <c r="BG27" s="959">
        <f t="shared" si="13"/>
        <v>0</v>
      </c>
      <c r="BH27" s="959">
        <f t="shared" si="14"/>
        <v>0</v>
      </c>
      <c r="BI27" s="959">
        <f t="shared" si="15"/>
        <v>0</v>
      </c>
      <c r="BJ27" s="959">
        <f t="shared" si="16"/>
        <v>0</v>
      </c>
      <c r="BK27" s="959">
        <f t="shared" si="17"/>
        <v>0</v>
      </c>
      <c r="BL27" s="53"/>
    </row>
    <row r="28" spans="1:64" s="400" customFormat="1" ht="17.100000000000001" customHeight="1">
      <c r="A28" s="457" t="s">
        <v>2422</v>
      </c>
      <c r="B28" s="53" t="s">
        <v>130</v>
      </c>
      <c r="C28" s="53" t="s">
        <v>130</v>
      </c>
      <c r="D28" s="53" t="s">
        <v>2524</v>
      </c>
      <c r="E28" s="53" t="s">
        <v>2529</v>
      </c>
      <c r="F28" s="55" t="s">
        <v>2530</v>
      </c>
      <c r="G28" s="71">
        <v>32520</v>
      </c>
      <c r="H28" s="50" t="s">
        <v>2531</v>
      </c>
      <c r="I28" s="51">
        <v>206</v>
      </c>
      <c r="J28" s="52">
        <v>22187</v>
      </c>
      <c r="K28" s="53" t="s">
        <v>2532</v>
      </c>
      <c r="L28" s="54" t="s">
        <v>2533</v>
      </c>
      <c r="M28" s="64">
        <v>3</v>
      </c>
      <c r="N28" s="65"/>
      <c r="O28" s="66">
        <v>105</v>
      </c>
      <c r="P28" s="60">
        <v>1</v>
      </c>
      <c r="Q28" s="61">
        <v>19</v>
      </c>
      <c r="R28" s="61">
        <v>1</v>
      </c>
      <c r="S28" s="61">
        <v>20</v>
      </c>
      <c r="T28" s="61">
        <v>1</v>
      </c>
      <c r="U28" s="62">
        <v>25</v>
      </c>
      <c r="V28" s="60"/>
      <c r="W28" s="61"/>
      <c r="X28" s="61"/>
      <c r="Y28" s="61"/>
      <c r="Z28" s="61"/>
      <c r="AA28" s="62"/>
      <c r="AB28" s="63"/>
      <c r="AC28" s="61"/>
      <c r="AD28" s="61"/>
      <c r="AE28" s="61"/>
      <c r="AF28" s="61">
        <f t="shared" si="18"/>
        <v>0</v>
      </c>
      <c r="AG28" s="61"/>
      <c r="AH28" s="61"/>
      <c r="AI28" s="62">
        <f t="shared" si="19"/>
        <v>0</v>
      </c>
      <c r="AJ28" s="63"/>
      <c r="AK28" s="61"/>
      <c r="AL28" s="61"/>
      <c r="AM28" s="61"/>
      <c r="AN28" s="61">
        <f t="shared" si="20"/>
        <v>0</v>
      </c>
      <c r="AO28" s="61"/>
      <c r="AP28" s="61"/>
      <c r="AQ28" s="62">
        <f t="shared" si="21"/>
        <v>0</v>
      </c>
      <c r="AR28" s="955"/>
      <c r="AS28" s="956"/>
      <c r="AT28" s="61"/>
      <c r="AU28" s="61"/>
      <c r="AV28" s="61"/>
      <c r="AW28" s="956">
        <f t="shared" si="22"/>
        <v>0</v>
      </c>
      <c r="AX28" s="956"/>
      <c r="AY28" s="956"/>
      <c r="AZ28" s="956"/>
      <c r="BA28" s="957">
        <f t="shared" si="23"/>
        <v>0</v>
      </c>
      <c r="BB28" s="958">
        <f t="shared" si="24"/>
        <v>3</v>
      </c>
      <c r="BC28" s="959">
        <f t="shared" si="25"/>
        <v>19</v>
      </c>
      <c r="BD28" s="959">
        <f t="shared" si="26"/>
        <v>20</v>
      </c>
      <c r="BE28" s="959">
        <f t="shared" si="27"/>
        <v>25</v>
      </c>
      <c r="BF28" s="959">
        <f t="shared" si="28"/>
        <v>64</v>
      </c>
      <c r="BG28" s="959">
        <f t="shared" si="13"/>
        <v>0</v>
      </c>
      <c r="BH28" s="959">
        <f t="shared" si="14"/>
        <v>0</v>
      </c>
      <c r="BI28" s="959">
        <f t="shared" si="15"/>
        <v>0</v>
      </c>
      <c r="BJ28" s="959">
        <f t="shared" si="16"/>
        <v>0</v>
      </c>
      <c r="BK28" s="959">
        <f t="shared" si="17"/>
        <v>0</v>
      </c>
      <c r="BL28" s="53"/>
    </row>
    <row r="29" spans="1:64" s="43" customFormat="1" ht="17.100000000000001" customHeight="1">
      <c r="A29" s="457" t="s">
        <v>2422</v>
      </c>
      <c r="B29" s="53" t="s">
        <v>130</v>
      </c>
      <c r="C29" s="53" t="s">
        <v>130</v>
      </c>
      <c r="D29" s="53" t="s">
        <v>1370</v>
      </c>
      <c r="E29" s="53" t="s">
        <v>5</v>
      </c>
      <c r="F29" s="53" t="s">
        <v>3332</v>
      </c>
      <c r="G29" s="392">
        <v>32568</v>
      </c>
      <c r="H29" s="50" t="s">
        <v>1832</v>
      </c>
      <c r="I29" s="51">
        <v>274.10000000000002</v>
      </c>
      <c r="J29" s="452">
        <v>22186</v>
      </c>
      <c r="K29" s="53" t="s">
        <v>1372</v>
      </c>
      <c r="L29" s="54" t="s">
        <v>1373</v>
      </c>
      <c r="M29" s="57">
        <v>4</v>
      </c>
      <c r="N29" s="58"/>
      <c r="O29" s="59">
        <v>107</v>
      </c>
      <c r="P29" s="60">
        <v>1</v>
      </c>
      <c r="Q29" s="61">
        <v>23</v>
      </c>
      <c r="R29" s="61">
        <v>1</v>
      </c>
      <c r="S29" s="61">
        <v>28</v>
      </c>
      <c r="T29" s="61">
        <v>2</v>
      </c>
      <c r="U29" s="62">
        <v>55</v>
      </c>
      <c r="V29" s="60"/>
      <c r="W29" s="61"/>
      <c r="X29" s="61"/>
      <c r="Y29" s="61"/>
      <c r="Z29" s="61"/>
      <c r="AA29" s="62"/>
      <c r="AB29" s="63"/>
      <c r="AC29" s="61"/>
      <c r="AD29" s="61"/>
      <c r="AE29" s="61"/>
      <c r="AF29" s="61">
        <f t="shared" si="18"/>
        <v>0</v>
      </c>
      <c r="AG29" s="61"/>
      <c r="AH29" s="61"/>
      <c r="AI29" s="62">
        <f t="shared" si="19"/>
        <v>0</v>
      </c>
      <c r="AJ29" s="63"/>
      <c r="AK29" s="61"/>
      <c r="AL29" s="61"/>
      <c r="AM29" s="61"/>
      <c r="AN29" s="61">
        <f t="shared" si="20"/>
        <v>0</v>
      </c>
      <c r="AO29" s="61"/>
      <c r="AP29" s="61"/>
      <c r="AQ29" s="62">
        <f t="shared" si="21"/>
        <v>0</v>
      </c>
      <c r="AR29" s="955"/>
      <c r="AS29" s="956"/>
      <c r="AT29" s="61"/>
      <c r="AU29" s="61"/>
      <c r="AV29" s="61"/>
      <c r="AW29" s="956">
        <f t="shared" si="22"/>
        <v>0</v>
      </c>
      <c r="AX29" s="956"/>
      <c r="AY29" s="956"/>
      <c r="AZ29" s="956"/>
      <c r="BA29" s="957">
        <f t="shared" si="23"/>
        <v>0</v>
      </c>
      <c r="BB29" s="958">
        <f t="shared" si="24"/>
        <v>4</v>
      </c>
      <c r="BC29" s="959">
        <f t="shared" si="25"/>
        <v>23</v>
      </c>
      <c r="BD29" s="959">
        <f t="shared" si="26"/>
        <v>28</v>
      </c>
      <c r="BE29" s="959">
        <f t="shared" si="27"/>
        <v>55</v>
      </c>
      <c r="BF29" s="959">
        <f t="shared" si="28"/>
        <v>106</v>
      </c>
      <c r="BG29" s="959">
        <f t="shared" si="13"/>
        <v>0</v>
      </c>
      <c r="BH29" s="959">
        <f t="shared" si="14"/>
        <v>0</v>
      </c>
      <c r="BI29" s="959">
        <f t="shared" si="15"/>
        <v>0</v>
      </c>
      <c r="BJ29" s="959">
        <f t="shared" si="16"/>
        <v>0</v>
      </c>
      <c r="BK29" s="959">
        <f t="shared" si="17"/>
        <v>0</v>
      </c>
      <c r="BL29" s="53"/>
    </row>
    <row r="30" spans="1:64" s="43" customFormat="1" ht="17.100000000000001" customHeight="1">
      <c r="A30" s="761" t="s">
        <v>2422</v>
      </c>
      <c r="B30" s="55" t="s">
        <v>130</v>
      </c>
      <c r="C30" s="53" t="s">
        <v>130</v>
      </c>
      <c r="D30" s="53" t="s">
        <v>2524</v>
      </c>
      <c r="E30" s="55" t="s">
        <v>2529</v>
      </c>
      <c r="F30" s="55" t="s">
        <v>2534</v>
      </c>
      <c r="G30" s="71">
        <v>32507</v>
      </c>
      <c r="H30" s="50" t="s">
        <v>2535</v>
      </c>
      <c r="I30" s="51">
        <v>916</v>
      </c>
      <c r="J30" s="52">
        <v>22187</v>
      </c>
      <c r="K30" s="53" t="s">
        <v>1374</v>
      </c>
      <c r="L30" s="54" t="s">
        <v>1375</v>
      </c>
      <c r="M30" s="57">
        <v>7</v>
      </c>
      <c r="N30" s="58"/>
      <c r="O30" s="59">
        <v>180</v>
      </c>
      <c r="P30" s="67">
        <v>3</v>
      </c>
      <c r="Q30" s="68">
        <v>61</v>
      </c>
      <c r="R30" s="68">
        <v>2</v>
      </c>
      <c r="S30" s="68">
        <v>47</v>
      </c>
      <c r="T30" s="68">
        <v>2</v>
      </c>
      <c r="U30" s="69">
        <v>55</v>
      </c>
      <c r="V30" s="60"/>
      <c r="W30" s="61"/>
      <c r="X30" s="61"/>
      <c r="Y30" s="61"/>
      <c r="Z30" s="61"/>
      <c r="AA30" s="62"/>
      <c r="AB30" s="63"/>
      <c r="AC30" s="61"/>
      <c r="AD30" s="61"/>
      <c r="AE30" s="61"/>
      <c r="AF30" s="61">
        <f t="shared" si="18"/>
        <v>0</v>
      </c>
      <c r="AG30" s="61"/>
      <c r="AH30" s="61"/>
      <c r="AI30" s="62">
        <f t="shared" si="19"/>
        <v>0</v>
      </c>
      <c r="AJ30" s="63"/>
      <c r="AK30" s="61"/>
      <c r="AL30" s="61"/>
      <c r="AM30" s="61"/>
      <c r="AN30" s="61">
        <f t="shared" si="20"/>
        <v>0</v>
      </c>
      <c r="AO30" s="61"/>
      <c r="AP30" s="61"/>
      <c r="AQ30" s="62">
        <f t="shared" si="21"/>
        <v>0</v>
      </c>
      <c r="AR30" s="955"/>
      <c r="AS30" s="956"/>
      <c r="AT30" s="61"/>
      <c r="AU30" s="61"/>
      <c r="AV30" s="61"/>
      <c r="AW30" s="956">
        <f t="shared" si="22"/>
        <v>0</v>
      </c>
      <c r="AX30" s="956"/>
      <c r="AY30" s="956"/>
      <c r="AZ30" s="956"/>
      <c r="BA30" s="957">
        <f t="shared" si="23"/>
        <v>0</v>
      </c>
      <c r="BB30" s="958">
        <f t="shared" si="24"/>
        <v>7</v>
      </c>
      <c r="BC30" s="959">
        <f t="shared" si="25"/>
        <v>61</v>
      </c>
      <c r="BD30" s="959">
        <f t="shared" si="26"/>
        <v>47</v>
      </c>
      <c r="BE30" s="959">
        <f t="shared" si="27"/>
        <v>55</v>
      </c>
      <c r="BF30" s="959">
        <f t="shared" si="28"/>
        <v>163</v>
      </c>
      <c r="BG30" s="959">
        <f t="shared" si="13"/>
        <v>0</v>
      </c>
      <c r="BH30" s="959">
        <f t="shared" si="14"/>
        <v>0</v>
      </c>
      <c r="BI30" s="959">
        <f t="shared" si="15"/>
        <v>0</v>
      </c>
      <c r="BJ30" s="959">
        <f t="shared" si="16"/>
        <v>0</v>
      </c>
      <c r="BK30" s="959">
        <f t="shared" si="17"/>
        <v>0</v>
      </c>
      <c r="BL30" s="53"/>
    </row>
    <row r="31" spans="1:64" s="43" customFormat="1" ht="17.100000000000001" customHeight="1">
      <c r="A31" s="457" t="s">
        <v>3333</v>
      </c>
      <c r="B31" s="53" t="s">
        <v>130</v>
      </c>
      <c r="C31" s="53" t="s">
        <v>130</v>
      </c>
      <c r="D31" s="53" t="s">
        <v>1386</v>
      </c>
      <c r="E31" s="53" t="s">
        <v>5</v>
      </c>
      <c r="F31" s="53" t="s">
        <v>3334</v>
      </c>
      <c r="G31" s="392">
        <v>39508</v>
      </c>
      <c r="H31" s="50" t="s">
        <v>1387</v>
      </c>
      <c r="I31" s="51">
        <v>510</v>
      </c>
      <c r="J31" s="452">
        <v>22203</v>
      </c>
      <c r="K31" s="53" t="s">
        <v>1377</v>
      </c>
      <c r="L31" s="54" t="s">
        <v>1378</v>
      </c>
      <c r="M31" s="57">
        <v>6</v>
      </c>
      <c r="N31" s="58"/>
      <c r="O31" s="59">
        <v>171</v>
      </c>
      <c r="P31" s="60">
        <v>2</v>
      </c>
      <c r="Q31" s="61">
        <v>41</v>
      </c>
      <c r="R31" s="61">
        <v>2</v>
      </c>
      <c r="S31" s="61">
        <v>52</v>
      </c>
      <c r="T31" s="61">
        <v>2</v>
      </c>
      <c r="U31" s="62">
        <v>56</v>
      </c>
      <c r="V31" s="60"/>
      <c r="W31" s="61"/>
      <c r="X31" s="61"/>
      <c r="Y31" s="61"/>
      <c r="Z31" s="61"/>
      <c r="AA31" s="62"/>
      <c r="AB31" s="63"/>
      <c r="AC31" s="61"/>
      <c r="AD31" s="61"/>
      <c r="AE31" s="61"/>
      <c r="AF31" s="61">
        <f t="shared" si="18"/>
        <v>0</v>
      </c>
      <c r="AG31" s="61"/>
      <c r="AH31" s="61"/>
      <c r="AI31" s="62">
        <f t="shared" si="19"/>
        <v>0</v>
      </c>
      <c r="AJ31" s="63"/>
      <c r="AK31" s="61"/>
      <c r="AL31" s="61"/>
      <c r="AM31" s="61"/>
      <c r="AN31" s="61">
        <f t="shared" si="20"/>
        <v>0</v>
      </c>
      <c r="AO31" s="61"/>
      <c r="AP31" s="61"/>
      <c r="AQ31" s="62">
        <f t="shared" si="21"/>
        <v>0</v>
      </c>
      <c r="AR31" s="955"/>
      <c r="AS31" s="956"/>
      <c r="AT31" s="61"/>
      <c r="AU31" s="61"/>
      <c r="AV31" s="61"/>
      <c r="AW31" s="956">
        <f t="shared" si="22"/>
        <v>0</v>
      </c>
      <c r="AX31" s="956"/>
      <c r="AY31" s="956"/>
      <c r="AZ31" s="956"/>
      <c r="BA31" s="957">
        <f t="shared" si="23"/>
        <v>0</v>
      </c>
      <c r="BB31" s="958">
        <f t="shared" si="24"/>
        <v>6</v>
      </c>
      <c r="BC31" s="959">
        <f t="shared" si="25"/>
        <v>41</v>
      </c>
      <c r="BD31" s="959">
        <f t="shared" si="26"/>
        <v>52</v>
      </c>
      <c r="BE31" s="959">
        <f t="shared" si="27"/>
        <v>56</v>
      </c>
      <c r="BF31" s="959">
        <f t="shared" si="28"/>
        <v>149</v>
      </c>
      <c r="BG31" s="959">
        <f t="shared" si="13"/>
        <v>0</v>
      </c>
      <c r="BH31" s="959">
        <f t="shared" si="14"/>
        <v>0</v>
      </c>
      <c r="BI31" s="959">
        <f t="shared" si="15"/>
        <v>0</v>
      </c>
      <c r="BJ31" s="959">
        <f t="shared" si="16"/>
        <v>0</v>
      </c>
      <c r="BK31" s="959">
        <f t="shared" si="17"/>
        <v>0</v>
      </c>
      <c r="BL31" s="53"/>
    </row>
    <row r="32" spans="1:64" s="43" customFormat="1" ht="17.100000000000001" customHeight="1">
      <c r="A32" s="457" t="s">
        <v>1390</v>
      </c>
      <c r="B32" s="53" t="s">
        <v>130</v>
      </c>
      <c r="C32" s="53" t="s">
        <v>130</v>
      </c>
      <c r="D32" s="53" t="s">
        <v>2536</v>
      </c>
      <c r="E32" s="53" t="s">
        <v>5</v>
      </c>
      <c r="F32" s="53" t="s">
        <v>2537</v>
      </c>
      <c r="G32" s="71">
        <v>40997</v>
      </c>
      <c r="H32" s="50" t="s">
        <v>2538</v>
      </c>
      <c r="I32" s="51">
        <v>759</v>
      </c>
      <c r="J32" s="52">
        <v>22202</v>
      </c>
      <c r="K32" s="53" t="s">
        <v>3335</v>
      </c>
      <c r="L32" s="54" t="s">
        <v>3336</v>
      </c>
      <c r="M32" s="64">
        <v>6</v>
      </c>
      <c r="N32" s="58"/>
      <c r="O32" s="66">
        <v>134</v>
      </c>
      <c r="P32" s="60">
        <v>2</v>
      </c>
      <c r="Q32" s="61">
        <v>39</v>
      </c>
      <c r="R32" s="61">
        <v>2</v>
      </c>
      <c r="S32" s="61">
        <v>46</v>
      </c>
      <c r="T32" s="61">
        <v>2</v>
      </c>
      <c r="U32" s="62">
        <v>48</v>
      </c>
      <c r="V32" s="60"/>
      <c r="W32" s="61"/>
      <c r="X32" s="61"/>
      <c r="Y32" s="61"/>
      <c r="Z32" s="61"/>
      <c r="AA32" s="62"/>
      <c r="AB32" s="63"/>
      <c r="AC32" s="61"/>
      <c r="AD32" s="61"/>
      <c r="AE32" s="61"/>
      <c r="AF32" s="61">
        <f t="shared" si="18"/>
        <v>0</v>
      </c>
      <c r="AG32" s="61"/>
      <c r="AH32" s="61"/>
      <c r="AI32" s="62">
        <f t="shared" si="19"/>
        <v>0</v>
      </c>
      <c r="AJ32" s="63"/>
      <c r="AK32" s="61"/>
      <c r="AL32" s="61"/>
      <c r="AM32" s="61"/>
      <c r="AN32" s="61">
        <f t="shared" si="20"/>
        <v>0</v>
      </c>
      <c r="AO32" s="61"/>
      <c r="AP32" s="61"/>
      <c r="AQ32" s="62">
        <f t="shared" si="21"/>
        <v>0</v>
      </c>
      <c r="AR32" s="955"/>
      <c r="AS32" s="956"/>
      <c r="AT32" s="61"/>
      <c r="AU32" s="61"/>
      <c r="AV32" s="61"/>
      <c r="AW32" s="956">
        <f t="shared" si="22"/>
        <v>0</v>
      </c>
      <c r="AX32" s="956"/>
      <c r="AY32" s="956"/>
      <c r="AZ32" s="956"/>
      <c r="BA32" s="957">
        <f t="shared" si="23"/>
        <v>0</v>
      </c>
      <c r="BB32" s="958">
        <f t="shared" si="24"/>
        <v>6</v>
      </c>
      <c r="BC32" s="959">
        <f t="shared" si="25"/>
        <v>39</v>
      </c>
      <c r="BD32" s="959">
        <f t="shared" si="26"/>
        <v>46</v>
      </c>
      <c r="BE32" s="959">
        <f t="shared" si="27"/>
        <v>48</v>
      </c>
      <c r="BF32" s="959">
        <f t="shared" si="28"/>
        <v>133</v>
      </c>
      <c r="BG32" s="959">
        <f t="shared" si="13"/>
        <v>0</v>
      </c>
      <c r="BH32" s="959">
        <f t="shared" si="14"/>
        <v>0</v>
      </c>
      <c r="BI32" s="959">
        <f t="shared" si="15"/>
        <v>0</v>
      </c>
      <c r="BJ32" s="959">
        <f t="shared" si="16"/>
        <v>0</v>
      </c>
      <c r="BK32" s="959">
        <f t="shared" si="17"/>
        <v>0</v>
      </c>
      <c r="BL32" s="53"/>
    </row>
    <row r="33" spans="1:64" s="43" customFormat="1" ht="17.100000000000001" customHeight="1">
      <c r="A33" s="457" t="s">
        <v>2422</v>
      </c>
      <c r="B33" s="53" t="s">
        <v>130</v>
      </c>
      <c r="C33" s="53" t="s">
        <v>130</v>
      </c>
      <c r="D33" s="53" t="s">
        <v>1884</v>
      </c>
      <c r="E33" s="53" t="s">
        <v>5</v>
      </c>
      <c r="F33" s="53" t="s">
        <v>2539</v>
      </c>
      <c r="G33" s="71">
        <v>32568</v>
      </c>
      <c r="H33" s="50" t="s">
        <v>2540</v>
      </c>
      <c r="I33" s="51">
        <v>508</v>
      </c>
      <c r="J33" s="52">
        <v>22218</v>
      </c>
      <c r="K33" s="53" t="s">
        <v>2541</v>
      </c>
      <c r="L33" s="54" t="s">
        <v>2542</v>
      </c>
      <c r="M33" s="57">
        <v>7</v>
      </c>
      <c r="N33" s="58"/>
      <c r="O33" s="59">
        <v>280</v>
      </c>
      <c r="P33" s="60">
        <v>1</v>
      </c>
      <c r="Q33" s="61">
        <v>14</v>
      </c>
      <c r="R33" s="61">
        <v>1</v>
      </c>
      <c r="S33" s="61">
        <v>16</v>
      </c>
      <c r="T33" s="61">
        <v>1</v>
      </c>
      <c r="U33" s="62">
        <v>16</v>
      </c>
      <c r="V33" s="60"/>
      <c r="W33" s="61"/>
      <c r="X33" s="61"/>
      <c r="Y33" s="61"/>
      <c r="Z33" s="61"/>
      <c r="AA33" s="62"/>
      <c r="AB33" s="63"/>
      <c r="AC33" s="61"/>
      <c r="AD33" s="61"/>
      <c r="AE33" s="61"/>
      <c r="AF33" s="61">
        <f t="shared" si="18"/>
        <v>0</v>
      </c>
      <c r="AG33" s="61"/>
      <c r="AH33" s="61"/>
      <c r="AI33" s="62">
        <f t="shared" si="19"/>
        <v>0</v>
      </c>
      <c r="AJ33" s="63"/>
      <c r="AK33" s="61"/>
      <c r="AL33" s="61"/>
      <c r="AM33" s="61"/>
      <c r="AN33" s="61">
        <f t="shared" si="20"/>
        <v>0</v>
      </c>
      <c r="AO33" s="61"/>
      <c r="AP33" s="61"/>
      <c r="AQ33" s="62">
        <f t="shared" si="21"/>
        <v>0</v>
      </c>
      <c r="AR33" s="955"/>
      <c r="AS33" s="956"/>
      <c r="AT33" s="61"/>
      <c r="AU33" s="61"/>
      <c r="AV33" s="61"/>
      <c r="AW33" s="956">
        <f t="shared" si="22"/>
        <v>0</v>
      </c>
      <c r="AX33" s="956"/>
      <c r="AY33" s="956"/>
      <c r="AZ33" s="956"/>
      <c r="BA33" s="957">
        <f t="shared" si="23"/>
        <v>0</v>
      </c>
      <c r="BB33" s="958">
        <f t="shared" si="24"/>
        <v>3</v>
      </c>
      <c r="BC33" s="959">
        <f t="shared" si="25"/>
        <v>14</v>
      </c>
      <c r="BD33" s="959">
        <f t="shared" si="26"/>
        <v>16</v>
      </c>
      <c r="BE33" s="959">
        <f t="shared" si="27"/>
        <v>16</v>
      </c>
      <c r="BF33" s="959">
        <f t="shared" si="28"/>
        <v>46</v>
      </c>
      <c r="BG33" s="959">
        <f t="shared" si="13"/>
        <v>0</v>
      </c>
      <c r="BH33" s="959">
        <f t="shared" si="14"/>
        <v>0</v>
      </c>
      <c r="BI33" s="959">
        <f t="shared" si="15"/>
        <v>0</v>
      </c>
      <c r="BJ33" s="959">
        <f t="shared" si="16"/>
        <v>0</v>
      </c>
      <c r="BK33" s="959">
        <f t="shared" si="17"/>
        <v>0</v>
      </c>
      <c r="BL33" s="53"/>
    </row>
    <row r="34" spans="1:64" s="43" customFormat="1" ht="17.100000000000001" customHeight="1">
      <c r="A34" s="457" t="s">
        <v>2422</v>
      </c>
      <c r="B34" s="53" t="s">
        <v>130</v>
      </c>
      <c r="C34" s="53" t="s">
        <v>130</v>
      </c>
      <c r="D34" s="751" t="s">
        <v>1884</v>
      </c>
      <c r="E34" s="53" t="s">
        <v>5</v>
      </c>
      <c r="F34" s="53" t="s">
        <v>3337</v>
      </c>
      <c r="G34" s="71">
        <v>34029</v>
      </c>
      <c r="H34" s="751" t="s">
        <v>1836</v>
      </c>
      <c r="I34" s="51">
        <v>508</v>
      </c>
      <c r="J34" s="52">
        <v>22222</v>
      </c>
      <c r="K34" s="53" t="s">
        <v>3338</v>
      </c>
      <c r="L34" s="54" t="s">
        <v>3339</v>
      </c>
      <c r="M34" s="1234">
        <v>4</v>
      </c>
      <c r="N34" s="58"/>
      <c r="O34" s="1235">
        <v>150</v>
      </c>
      <c r="P34" s="60"/>
      <c r="Q34" s="61"/>
      <c r="R34" s="61"/>
      <c r="S34" s="61"/>
      <c r="T34" s="61"/>
      <c r="U34" s="62"/>
      <c r="V34" s="60"/>
      <c r="W34" s="61"/>
      <c r="X34" s="61"/>
      <c r="Y34" s="61"/>
      <c r="Z34" s="61"/>
      <c r="AA34" s="62"/>
      <c r="AB34" s="63"/>
      <c r="AC34" s="61"/>
      <c r="AD34" s="61"/>
      <c r="AE34" s="61"/>
      <c r="AF34" s="61">
        <f t="shared" si="18"/>
        <v>0</v>
      </c>
      <c r="AG34" s="61"/>
      <c r="AH34" s="61"/>
      <c r="AI34" s="62">
        <f t="shared" si="19"/>
        <v>0</v>
      </c>
      <c r="AJ34" s="63"/>
      <c r="AK34" s="61"/>
      <c r="AL34" s="61"/>
      <c r="AM34" s="61"/>
      <c r="AN34" s="61">
        <f t="shared" si="20"/>
        <v>0</v>
      </c>
      <c r="AO34" s="61"/>
      <c r="AP34" s="61"/>
      <c r="AQ34" s="62">
        <f t="shared" si="21"/>
        <v>0</v>
      </c>
      <c r="AR34" s="955"/>
      <c r="AS34" s="956"/>
      <c r="AT34" s="61"/>
      <c r="AU34" s="61"/>
      <c r="AV34" s="61"/>
      <c r="AW34" s="956">
        <f t="shared" si="22"/>
        <v>0</v>
      </c>
      <c r="AX34" s="956"/>
      <c r="AY34" s="956"/>
      <c r="AZ34" s="956"/>
      <c r="BA34" s="957">
        <f t="shared" si="23"/>
        <v>0</v>
      </c>
      <c r="BB34" s="958">
        <f t="shared" si="24"/>
        <v>0</v>
      </c>
      <c r="BC34" s="959">
        <f t="shared" si="25"/>
        <v>0</v>
      </c>
      <c r="BD34" s="959">
        <f t="shared" si="26"/>
        <v>0</v>
      </c>
      <c r="BE34" s="959">
        <f t="shared" si="27"/>
        <v>0</v>
      </c>
      <c r="BF34" s="959">
        <f t="shared" si="28"/>
        <v>0</v>
      </c>
      <c r="BG34" s="959">
        <f t="shared" si="13"/>
        <v>0</v>
      </c>
      <c r="BH34" s="959">
        <f t="shared" si="14"/>
        <v>0</v>
      </c>
      <c r="BI34" s="959">
        <f t="shared" si="15"/>
        <v>0</v>
      </c>
      <c r="BJ34" s="959">
        <f t="shared" si="16"/>
        <v>0</v>
      </c>
      <c r="BK34" s="959">
        <f t="shared" si="17"/>
        <v>0</v>
      </c>
      <c r="BL34" s="53" t="s">
        <v>1748</v>
      </c>
    </row>
    <row r="35" spans="1:64" s="43" customFormat="1" ht="17.100000000000001" customHeight="1">
      <c r="A35" s="457" t="s">
        <v>1390</v>
      </c>
      <c r="B35" s="53" t="s">
        <v>130</v>
      </c>
      <c r="C35" s="53" t="s">
        <v>130</v>
      </c>
      <c r="D35" s="53" t="s">
        <v>2543</v>
      </c>
      <c r="E35" s="53" t="s">
        <v>5</v>
      </c>
      <c r="F35" s="53" t="s">
        <v>3340</v>
      </c>
      <c r="G35" s="71">
        <v>34821</v>
      </c>
      <c r="H35" s="50" t="s">
        <v>2544</v>
      </c>
      <c r="I35" s="51">
        <v>388</v>
      </c>
      <c r="J35" s="52">
        <v>22222</v>
      </c>
      <c r="K35" s="53" t="s">
        <v>1380</v>
      </c>
      <c r="L35" s="54" t="s">
        <v>1381</v>
      </c>
      <c r="M35" s="768">
        <v>4</v>
      </c>
      <c r="N35" s="58"/>
      <c r="O35" s="769">
        <v>120</v>
      </c>
      <c r="P35" s="60">
        <v>1</v>
      </c>
      <c r="Q35" s="61">
        <v>22</v>
      </c>
      <c r="R35" s="61">
        <v>1</v>
      </c>
      <c r="S35" s="61">
        <v>25</v>
      </c>
      <c r="T35" s="61">
        <v>2</v>
      </c>
      <c r="U35" s="62">
        <v>50</v>
      </c>
      <c r="V35" s="60"/>
      <c r="W35" s="61"/>
      <c r="X35" s="61"/>
      <c r="Y35" s="61"/>
      <c r="Z35" s="61"/>
      <c r="AA35" s="62"/>
      <c r="AB35" s="63"/>
      <c r="AC35" s="61"/>
      <c r="AD35" s="61"/>
      <c r="AE35" s="61"/>
      <c r="AF35" s="61">
        <f t="shared" si="18"/>
        <v>0</v>
      </c>
      <c r="AG35" s="61"/>
      <c r="AH35" s="61"/>
      <c r="AI35" s="62">
        <f t="shared" si="19"/>
        <v>0</v>
      </c>
      <c r="AJ35" s="63"/>
      <c r="AK35" s="61"/>
      <c r="AL35" s="61"/>
      <c r="AM35" s="61"/>
      <c r="AN35" s="61">
        <f t="shared" si="20"/>
        <v>0</v>
      </c>
      <c r="AO35" s="61"/>
      <c r="AP35" s="61"/>
      <c r="AQ35" s="62">
        <f t="shared" si="21"/>
        <v>0</v>
      </c>
      <c r="AR35" s="955"/>
      <c r="AS35" s="956"/>
      <c r="AT35" s="61"/>
      <c r="AU35" s="61"/>
      <c r="AV35" s="61"/>
      <c r="AW35" s="956">
        <f t="shared" si="22"/>
        <v>0</v>
      </c>
      <c r="AX35" s="956"/>
      <c r="AY35" s="956"/>
      <c r="AZ35" s="956"/>
      <c r="BA35" s="957">
        <f t="shared" si="23"/>
        <v>0</v>
      </c>
      <c r="BB35" s="958">
        <f t="shared" si="24"/>
        <v>4</v>
      </c>
      <c r="BC35" s="959">
        <f t="shared" si="25"/>
        <v>22</v>
      </c>
      <c r="BD35" s="959">
        <f t="shared" si="26"/>
        <v>25</v>
      </c>
      <c r="BE35" s="959">
        <f t="shared" si="27"/>
        <v>50</v>
      </c>
      <c r="BF35" s="959">
        <f t="shared" si="28"/>
        <v>97</v>
      </c>
      <c r="BG35" s="959">
        <f t="shared" si="13"/>
        <v>0</v>
      </c>
      <c r="BH35" s="959">
        <f t="shared" si="14"/>
        <v>0</v>
      </c>
      <c r="BI35" s="959">
        <f t="shared" si="15"/>
        <v>0</v>
      </c>
      <c r="BJ35" s="959">
        <f t="shared" si="16"/>
        <v>0</v>
      </c>
      <c r="BK35" s="959">
        <f t="shared" si="17"/>
        <v>0</v>
      </c>
      <c r="BL35" s="53"/>
    </row>
    <row r="36" spans="1:64" s="43" customFormat="1" ht="17.100000000000001" customHeight="1">
      <c r="A36" s="457" t="s">
        <v>2440</v>
      </c>
      <c r="B36" s="53" t="s">
        <v>130</v>
      </c>
      <c r="C36" s="53" t="s">
        <v>130</v>
      </c>
      <c r="D36" s="53" t="s">
        <v>2441</v>
      </c>
      <c r="E36" s="53" t="s">
        <v>2529</v>
      </c>
      <c r="F36" s="53" t="s">
        <v>2545</v>
      </c>
      <c r="G36" s="71">
        <v>39143</v>
      </c>
      <c r="H36" s="50" t="s">
        <v>2546</v>
      </c>
      <c r="I36" s="51">
        <v>461</v>
      </c>
      <c r="J36" s="52">
        <v>22238</v>
      </c>
      <c r="K36" s="53" t="s">
        <v>2547</v>
      </c>
      <c r="L36" s="54" t="s">
        <v>2548</v>
      </c>
      <c r="M36" s="64">
        <v>6</v>
      </c>
      <c r="N36" s="58"/>
      <c r="O36" s="66">
        <v>160</v>
      </c>
      <c r="P36" s="60">
        <v>2</v>
      </c>
      <c r="Q36" s="61">
        <v>16</v>
      </c>
      <c r="R36" s="61">
        <v>2</v>
      </c>
      <c r="S36" s="61">
        <v>39</v>
      </c>
      <c r="T36" s="61">
        <v>2</v>
      </c>
      <c r="U36" s="62">
        <v>34</v>
      </c>
      <c r="V36" s="60"/>
      <c r="W36" s="61"/>
      <c r="X36" s="61"/>
      <c r="Y36" s="61"/>
      <c r="Z36" s="61"/>
      <c r="AA36" s="62"/>
      <c r="AB36" s="63"/>
      <c r="AC36" s="61"/>
      <c r="AD36" s="61"/>
      <c r="AE36" s="61"/>
      <c r="AF36" s="61">
        <f t="shared" si="18"/>
        <v>0</v>
      </c>
      <c r="AG36" s="61"/>
      <c r="AH36" s="61"/>
      <c r="AI36" s="62">
        <f t="shared" si="19"/>
        <v>0</v>
      </c>
      <c r="AJ36" s="63"/>
      <c r="AK36" s="61"/>
      <c r="AL36" s="61"/>
      <c r="AM36" s="61"/>
      <c r="AN36" s="61">
        <f t="shared" si="20"/>
        <v>0</v>
      </c>
      <c r="AO36" s="61"/>
      <c r="AP36" s="61"/>
      <c r="AQ36" s="62">
        <f t="shared" si="21"/>
        <v>0</v>
      </c>
      <c r="AR36" s="955"/>
      <c r="AS36" s="956"/>
      <c r="AT36" s="61"/>
      <c r="AU36" s="61"/>
      <c r="AV36" s="61"/>
      <c r="AW36" s="956">
        <f t="shared" si="22"/>
        <v>0</v>
      </c>
      <c r="AX36" s="956"/>
      <c r="AY36" s="956"/>
      <c r="AZ36" s="956"/>
      <c r="BA36" s="957">
        <f t="shared" si="23"/>
        <v>0</v>
      </c>
      <c r="BB36" s="958">
        <f t="shared" si="24"/>
        <v>6</v>
      </c>
      <c r="BC36" s="959">
        <f t="shared" si="25"/>
        <v>16</v>
      </c>
      <c r="BD36" s="959">
        <f t="shared" si="26"/>
        <v>39</v>
      </c>
      <c r="BE36" s="959">
        <f t="shared" si="27"/>
        <v>34</v>
      </c>
      <c r="BF36" s="959">
        <f t="shared" si="28"/>
        <v>89</v>
      </c>
      <c r="BG36" s="959">
        <f t="shared" si="13"/>
        <v>0</v>
      </c>
      <c r="BH36" s="959">
        <f t="shared" si="14"/>
        <v>0</v>
      </c>
      <c r="BI36" s="959">
        <f t="shared" si="15"/>
        <v>0</v>
      </c>
      <c r="BJ36" s="959">
        <f t="shared" si="16"/>
        <v>0</v>
      </c>
      <c r="BK36" s="959">
        <f t="shared" si="17"/>
        <v>0</v>
      </c>
      <c r="BL36" s="53"/>
    </row>
    <row r="37" spans="1:64" s="43" customFormat="1" ht="17.100000000000001" customHeight="1">
      <c r="A37" s="457" t="s">
        <v>2440</v>
      </c>
      <c r="B37" s="53" t="s">
        <v>130</v>
      </c>
      <c r="C37" s="53" t="s">
        <v>130</v>
      </c>
      <c r="D37" s="53" t="s">
        <v>2549</v>
      </c>
      <c r="E37" s="53" t="s">
        <v>5</v>
      </c>
      <c r="F37" s="53" t="s">
        <v>2550</v>
      </c>
      <c r="G37" s="71">
        <v>39508</v>
      </c>
      <c r="H37" s="50" t="s">
        <v>2551</v>
      </c>
      <c r="I37" s="51">
        <v>782</v>
      </c>
      <c r="J37" s="52">
        <v>22166</v>
      </c>
      <c r="K37" s="53" t="s">
        <v>2552</v>
      </c>
      <c r="L37" s="54" t="s">
        <v>2553</v>
      </c>
      <c r="M37" s="57">
        <v>6</v>
      </c>
      <c r="N37" s="58"/>
      <c r="O37" s="59">
        <v>144</v>
      </c>
      <c r="P37" s="60">
        <v>1</v>
      </c>
      <c r="Q37" s="61">
        <v>11</v>
      </c>
      <c r="R37" s="61">
        <v>2</v>
      </c>
      <c r="S37" s="61">
        <v>28</v>
      </c>
      <c r="T37" s="61">
        <v>2</v>
      </c>
      <c r="U37" s="62">
        <v>26</v>
      </c>
      <c r="V37" s="60"/>
      <c r="W37" s="61"/>
      <c r="X37" s="61"/>
      <c r="Y37" s="61"/>
      <c r="Z37" s="61"/>
      <c r="AA37" s="62"/>
      <c r="AB37" s="63"/>
      <c r="AC37" s="61"/>
      <c r="AD37" s="61"/>
      <c r="AE37" s="61"/>
      <c r="AF37" s="61">
        <f t="shared" si="18"/>
        <v>0</v>
      </c>
      <c r="AG37" s="61"/>
      <c r="AH37" s="61"/>
      <c r="AI37" s="62">
        <f t="shared" si="19"/>
        <v>0</v>
      </c>
      <c r="AJ37" s="63"/>
      <c r="AK37" s="61"/>
      <c r="AL37" s="61"/>
      <c r="AM37" s="61"/>
      <c r="AN37" s="61">
        <f t="shared" si="20"/>
        <v>0</v>
      </c>
      <c r="AO37" s="61"/>
      <c r="AP37" s="61"/>
      <c r="AQ37" s="62">
        <f t="shared" si="21"/>
        <v>0</v>
      </c>
      <c r="AR37" s="955"/>
      <c r="AS37" s="956"/>
      <c r="AT37" s="61"/>
      <c r="AU37" s="61"/>
      <c r="AV37" s="61"/>
      <c r="AW37" s="956">
        <f t="shared" si="22"/>
        <v>0</v>
      </c>
      <c r="AX37" s="956"/>
      <c r="AY37" s="956"/>
      <c r="AZ37" s="956"/>
      <c r="BA37" s="957">
        <f t="shared" si="23"/>
        <v>0</v>
      </c>
      <c r="BB37" s="958">
        <f t="shared" si="24"/>
        <v>5</v>
      </c>
      <c r="BC37" s="959">
        <f t="shared" si="25"/>
        <v>11</v>
      </c>
      <c r="BD37" s="959">
        <f t="shared" si="26"/>
        <v>28</v>
      </c>
      <c r="BE37" s="959">
        <f t="shared" si="27"/>
        <v>26</v>
      </c>
      <c r="BF37" s="959">
        <f t="shared" si="28"/>
        <v>65</v>
      </c>
      <c r="BG37" s="959">
        <f t="shared" si="13"/>
        <v>0</v>
      </c>
      <c r="BH37" s="959">
        <f t="shared" si="14"/>
        <v>0</v>
      </c>
      <c r="BI37" s="959">
        <f t="shared" si="15"/>
        <v>0</v>
      </c>
      <c r="BJ37" s="959">
        <f t="shared" si="16"/>
        <v>0</v>
      </c>
      <c r="BK37" s="959">
        <f t="shared" si="17"/>
        <v>0</v>
      </c>
      <c r="BL37" s="53"/>
    </row>
    <row r="38" spans="1:64" s="43" customFormat="1" ht="17.100000000000001" customHeight="1">
      <c r="A38" s="457" t="s">
        <v>2440</v>
      </c>
      <c r="B38" s="53" t="s">
        <v>131</v>
      </c>
      <c r="C38" s="53" t="s">
        <v>130</v>
      </c>
      <c r="D38" s="53" t="s">
        <v>2554</v>
      </c>
      <c r="E38" s="53" t="s">
        <v>5</v>
      </c>
      <c r="F38" s="53" t="s">
        <v>2555</v>
      </c>
      <c r="G38" s="71">
        <v>40974</v>
      </c>
      <c r="H38" s="50" t="s">
        <v>2556</v>
      </c>
      <c r="I38" s="51">
        <v>716</v>
      </c>
      <c r="J38" s="52">
        <v>22213</v>
      </c>
      <c r="K38" s="53" t="s">
        <v>2557</v>
      </c>
      <c r="L38" s="54" t="s">
        <v>2558</v>
      </c>
      <c r="M38" s="57">
        <v>10</v>
      </c>
      <c r="N38" s="58"/>
      <c r="O38" s="59">
        <v>215</v>
      </c>
      <c r="P38" s="60">
        <v>4</v>
      </c>
      <c r="Q38" s="61">
        <v>57</v>
      </c>
      <c r="R38" s="61">
        <v>3</v>
      </c>
      <c r="S38" s="61">
        <v>49</v>
      </c>
      <c r="T38" s="61">
        <v>3</v>
      </c>
      <c r="U38" s="62">
        <v>63</v>
      </c>
      <c r="V38" s="60"/>
      <c r="W38" s="61"/>
      <c r="X38" s="61"/>
      <c r="Y38" s="61"/>
      <c r="Z38" s="61"/>
      <c r="AA38" s="62"/>
      <c r="AB38" s="63"/>
      <c r="AC38" s="61"/>
      <c r="AD38" s="61"/>
      <c r="AE38" s="61"/>
      <c r="AF38" s="61">
        <f t="shared" si="18"/>
        <v>0</v>
      </c>
      <c r="AG38" s="61"/>
      <c r="AH38" s="61"/>
      <c r="AI38" s="62">
        <f t="shared" si="19"/>
        <v>0</v>
      </c>
      <c r="AJ38" s="63"/>
      <c r="AK38" s="61"/>
      <c r="AL38" s="61"/>
      <c r="AM38" s="61"/>
      <c r="AN38" s="61">
        <f t="shared" si="20"/>
        <v>0</v>
      </c>
      <c r="AO38" s="61"/>
      <c r="AP38" s="61"/>
      <c r="AQ38" s="62">
        <f t="shared" si="21"/>
        <v>0</v>
      </c>
      <c r="AR38" s="955"/>
      <c r="AS38" s="956"/>
      <c r="AT38" s="61"/>
      <c r="AU38" s="61"/>
      <c r="AV38" s="61"/>
      <c r="AW38" s="956">
        <f t="shared" si="22"/>
        <v>0</v>
      </c>
      <c r="AX38" s="956"/>
      <c r="AY38" s="956"/>
      <c r="AZ38" s="956"/>
      <c r="BA38" s="957">
        <f t="shared" si="23"/>
        <v>0</v>
      </c>
      <c r="BB38" s="958">
        <f t="shared" si="24"/>
        <v>10</v>
      </c>
      <c r="BC38" s="959">
        <f t="shared" si="25"/>
        <v>57</v>
      </c>
      <c r="BD38" s="959">
        <f t="shared" si="26"/>
        <v>49</v>
      </c>
      <c r="BE38" s="959">
        <f t="shared" si="27"/>
        <v>63</v>
      </c>
      <c r="BF38" s="959">
        <f t="shared" si="28"/>
        <v>169</v>
      </c>
      <c r="BG38" s="959">
        <f t="shared" si="13"/>
        <v>0</v>
      </c>
      <c r="BH38" s="959">
        <f t="shared" si="14"/>
        <v>0</v>
      </c>
      <c r="BI38" s="959">
        <f t="shared" si="15"/>
        <v>0</v>
      </c>
      <c r="BJ38" s="959">
        <f t="shared" si="16"/>
        <v>0</v>
      </c>
      <c r="BK38" s="959">
        <f t="shared" si="17"/>
        <v>0</v>
      </c>
      <c r="BL38" s="55"/>
    </row>
    <row r="39" spans="1:64" s="43" customFormat="1" ht="17.100000000000001" customHeight="1">
      <c r="A39" s="457" t="s">
        <v>3341</v>
      </c>
      <c r="B39" s="53" t="s">
        <v>130</v>
      </c>
      <c r="C39" s="53" t="s">
        <v>130</v>
      </c>
      <c r="D39" s="53" t="s">
        <v>2554</v>
      </c>
      <c r="E39" s="53" t="s">
        <v>445</v>
      </c>
      <c r="F39" s="53" t="s">
        <v>3342</v>
      </c>
      <c r="G39" s="71">
        <v>29646</v>
      </c>
      <c r="H39" s="50" t="s">
        <v>2559</v>
      </c>
      <c r="I39" s="51">
        <v>864</v>
      </c>
      <c r="J39" s="52">
        <v>22214</v>
      </c>
      <c r="K39" s="53" t="s">
        <v>3343</v>
      </c>
      <c r="L39" s="54" t="s">
        <v>3344</v>
      </c>
      <c r="M39" s="57">
        <v>7</v>
      </c>
      <c r="N39" s="58"/>
      <c r="O39" s="59">
        <v>270</v>
      </c>
      <c r="P39" s="60">
        <v>2</v>
      </c>
      <c r="Q39" s="61">
        <v>48</v>
      </c>
      <c r="R39" s="61">
        <v>3</v>
      </c>
      <c r="S39" s="61">
        <v>61</v>
      </c>
      <c r="T39" s="61">
        <v>2</v>
      </c>
      <c r="U39" s="62">
        <v>57</v>
      </c>
      <c r="V39" s="60"/>
      <c r="W39" s="61"/>
      <c r="X39" s="61"/>
      <c r="Y39" s="61"/>
      <c r="Z39" s="61"/>
      <c r="AA39" s="62"/>
      <c r="AB39" s="63"/>
      <c r="AC39" s="61"/>
      <c r="AD39" s="61"/>
      <c r="AE39" s="61"/>
      <c r="AF39" s="61">
        <f t="shared" si="18"/>
        <v>0</v>
      </c>
      <c r="AG39" s="61"/>
      <c r="AH39" s="61"/>
      <c r="AI39" s="62">
        <f t="shared" si="19"/>
        <v>0</v>
      </c>
      <c r="AJ39" s="63"/>
      <c r="AK39" s="61"/>
      <c r="AL39" s="61"/>
      <c r="AM39" s="61"/>
      <c r="AN39" s="61">
        <f t="shared" si="20"/>
        <v>0</v>
      </c>
      <c r="AO39" s="61"/>
      <c r="AP39" s="61"/>
      <c r="AQ39" s="62">
        <f t="shared" si="21"/>
        <v>0</v>
      </c>
      <c r="AR39" s="955"/>
      <c r="AS39" s="956"/>
      <c r="AT39" s="61"/>
      <c r="AU39" s="61"/>
      <c r="AV39" s="61"/>
      <c r="AW39" s="956">
        <f t="shared" si="22"/>
        <v>0</v>
      </c>
      <c r="AX39" s="956"/>
      <c r="AY39" s="956"/>
      <c r="AZ39" s="956"/>
      <c r="BA39" s="957">
        <f t="shared" si="23"/>
        <v>0</v>
      </c>
      <c r="BB39" s="958">
        <f t="shared" si="24"/>
        <v>7</v>
      </c>
      <c r="BC39" s="959">
        <f t="shared" si="25"/>
        <v>48</v>
      </c>
      <c r="BD39" s="959">
        <f t="shared" si="26"/>
        <v>61</v>
      </c>
      <c r="BE39" s="959">
        <f t="shared" si="27"/>
        <v>57</v>
      </c>
      <c r="BF39" s="959">
        <f t="shared" si="28"/>
        <v>166</v>
      </c>
      <c r="BG39" s="959">
        <f t="shared" si="13"/>
        <v>0</v>
      </c>
      <c r="BH39" s="959">
        <f t="shared" si="14"/>
        <v>0</v>
      </c>
      <c r="BI39" s="959">
        <f t="shared" si="15"/>
        <v>0</v>
      </c>
      <c r="BJ39" s="959">
        <f t="shared" si="16"/>
        <v>0</v>
      </c>
      <c r="BK39" s="959">
        <f t="shared" si="17"/>
        <v>0</v>
      </c>
      <c r="BL39" s="53"/>
    </row>
    <row r="40" spans="1:64" s="43" customFormat="1" ht="17.100000000000001" customHeight="1">
      <c r="A40" s="457" t="s">
        <v>3341</v>
      </c>
      <c r="B40" s="53" t="s">
        <v>130</v>
      </c>
      <c r="C40" s="53" t="s">
        <v>130</v>
      </c>
      <c r="D40" s="53" t="s">
        <v>2560</v>
      </c>
      <c r="E40" s="53" t="s">
        <v>445</v>
      </c>
      <c r="F40" s="53" t="s">
        <v>3345</v>
      </c>
      <c r="G40" s="71">
        <v>29646</v>
      </c>
      <c r="H40" s="50" t="s">
        <v>2561</v>
      </c>
      <c r="I40" s="51">
        <v>943</v>
      </c>
      <c r="J40" s="52">
        <v>22150</v>
      </c>
      <c r="K40" s="53" t="s">
        <v>2562</v>
      </c>
      <c r="L40" s="54" t="s">
        <v>2563</v>
      </c>
      <c r="M40" s="57">
        <v>8</v>
      </c>
      <c r="N40" s="58"/>
      <c r="O40" s="59">
        <v>300</v>
      </c>
      <c r="P40" s="60"/>
      <c r="Q40" s="61"/>
      <c r="R40" s="61"/>
      <c r="S40" s="61"/>
      <c r="T40" s="61"/>
      <c r="U40" s="62"/>
      <c r="V40" s="60"/>
      <c r="W40" s="61"/>
      <c r="X40" s="61"/>
      <c r="Y40" s="61"/>
      <c r="Z40" s="61"/>
      <c r="AA40" s="62"/>
      <c r="AB40" s="63"/>
      <c r="AC40" s="61"/>
      <c r="AD40" s="61"/>
      <c r="AE40" s="61"/>
      <c r="AF40" s="61">
        <f t="shared" si="18"/>
        <v>0</v>
      </c>
      <c r="AG40" s="61"/>
      <c r="AH40" s="61"/>
      <c r="AI40" s="62">
        <f t="shared" si="19"/>
        <v>0</v>
      </c>
      <c r="AJ40" s="63"/>
      <c r="AK40" s="61"/>
      <c r="AL40" s="61"/>
      <c r="AM40" s="61"/>
      <c r="AN40" s="61">
        <f t="shared" si="20"/>
        <v>0</v>
      </c>
      <c r="AO40" s="61"/>
      <c r="AP40" s="61"/>
      <c r="AQ40" s="62">
        <f t="shared" si="21"/>
        <v>0</v>
      </c>
      <c r="AR40" s="955"/>
      <c r="AS40" s="956"/>
      <c r="AT40" s="61"/>
      <c r="AU40" s="61"/>
      <c r="AV40" s="61"/>
      <c r="AW40" s="956">
        <f t="shared" si="22"/>
        <v>0</v>
      </c>
      <c r="AX40" s="956"/>
      <c r="AY40" s="956"/>
      <c r="AZ40" s="956"/>
      <c r="BA40" s="957">
        <f t="shared" si="23"/>
        <v>0</v>
      </c>
      <c r="BB40" s="958">
        <f t="shared" si="24"/>
        <v>0</v>
      </c>
      <c r="BC40" s="959">
        <f t="shared" si="25"/>
        <v>0</v>
      </c>
      <c r="BD40" s="959">
        <f t="shared" si="26"/>
        <v>0</v>
      </c>
      <c r="BE40" s="959">
        <f t="shared" si="27"/>
        <v>0</v>
      </c>
      <c r="BF40" s="959">
        <f t="shared" si="28"/>
        <v>0</v>
      </c>
      <c r="BG40" s="959">
        <f t="shared" si="13"/>
        <v>0</v>
      </c>
      <c r="BH40" s="959">
        <f t="shared" si="14"/>
        <v>0</v>
      </c>
      <c r="BI40" s="959">
        <f t="shared" si="15"/>
        <v>0</v>
      </c>
      <c r="BJ40" s="959">
        <f t="shared" si="16"/>
        <v>0</v>
      </c>
      <c r="BK40" s="959">
        <f t="shared" si="17"/>
        <v>0</v>
      </c>
      <c r="BL40" s="53" t="s">
        <v>1748</v>
      </c>
    </row>
    <row r="41" spans="1:64" s="43" customFormat="1" ht="17.100000000000001" customHeight="1">
      <c r="A41" s="457" t="s">
        <v>2440</v>
      </c>
      <c r="B41" s="53" t="s">
        <v>130</v>
      </c>
      <c r="C41" s="53" t="s">
        <v>130</v>
      </c>
      <c r="D41" s="53" t="s">
        <v>2564</v>
      </c>
      <c r="E41" s="53" t="s">
        <v>5</v>
      </c>
      <c r="F41" s="53" t="s">
        <v>2565</v>
      </c>
      <c r="G41" s="71">
        <v>37694</v>
      </c>
      <c r="H41" s="50" t="s">
        <v>2566</v>
      </c>
      <c r="I41" s="760">
        <v>291</v>
      </c>
      <c r="J41" s="52">
        <v>22151</v>
      </c>
      <c r="K41" s="55" t="s">
        <v>2567</v>
      </c>
      <c r="L41" s="56" t="s">
        <v>2568</v>
      </c>
      <c r="M41" s="64">
        <v>3</v>
      </c>
      <c r="N41" s="65"/>
      <c r="O41" s="66">
        <v>68</v>
      </c>
      <c r="P41" s="60">
        <v>1</v>
      </c>
      <c r="Q41" s="61">
        <v>20</v>
      </c>
      <c r="R41" s="61">
        <v>1</v>
      </c>
      <c r="S41" s="61">
        <v>21</v>
      </c>
      <c r="T41" s="61">
        <v>1</v>
      </c>
      <c r="U41" s="62">
        <v>26</v>
      </c>
      <c r="V41" s="60"/>
      <c r="W41" s="61"/>
      <c r="X41" s="61"/>
      <c r="Y41" s="61"/>
      <c r="Z41" s="61"/>
      <c r="AA41" s="62"/>
      <c r="AB41" s="63"/>
      <c r="AC41" s="61"/>
      <c r="AD41" s="61"/>
      <c r="AE41" s="61"/>
      <c r="AF41" s="61">
        <f t="shared" si="18"/>
        <v>0</v>
      </c>
      <c r="AG41" s="61"/>
      <c r="AH41" s="61"/>
      <c r="AI41" s="62">
        <f t="shared" si="19"/>
        <v>0</v>
      </c>
      <c r="AJ41" s="63"/>
      <c r="AK41" s="61"/>
      <c r="AL41" s="61"/>
      <c r="AM41" s="61"/>
      <c r="AN41" s="61">
        <f t="shared" si="20"/>
        <v>0</v>
      </c>
      <c r="AO41" s="61"/>
      <c r="AP41" s="61"/>
      <c r="AQ41" s="62">
        <f t="shared" si="21"/>
        <v>0</v>
      </c>
      <c r="AR41" s="955"/>
      <c r="AS41" s="956"/>
      <c r="AT41" s="61"/>
      <c r="AU41" s="61"/>
      <c r="AV41" s="61"/>
      <c r="AW41" s="956">
        <f t="shared" si="22"/>
        <v>0</v>
      </c>
      <c r="AX41" s="956"/>
      <c r="AY41" s="956"/>
      <c r="AZ41" s="956"/>
      <c r="BA41" s="957">
        <f t="shared" si="23"/>
        <v>0</v>
      </c>
      <c r="BB41" s="958">
        <f t="shared" si="24"/>
        <v>3</v>
      </c>
      <c r="BC41" s="959">
        <f t="shared" si="25"/>
        <v>20</v>
      </c>
      <c r="BD41" s="959">
        <f t="shared" si="26"/>
        <v>21</v>
      </c>
      <c r="BE41" s="959">
        <f t="shared" si="27"/>
        <v>26</v>
      </c>
      <c r="BF41" s="959">
        <f t="shared" si="28"/>
        <v>67</v>
      </c>
      <c r="BG41" s="959">
        <f t="shared" si="13"/>
        <v>0</v>
      </c>
      <c r="BH41" s="959">
        <f t="shared" si="14"/>
        <v>0</v>
      </c>
      <c r="BI41" s="959">
        <f t="shared" si="15"/>
        <v>0</v>
      </c>
      <c r="BJ41" s="959">
        <f t="shared" si="16"/>
        <v>0</v>
      </c>
      <c r="BK41" s="959">
        <f t="shared" si="17"/>
        <v>0</v>
      </c>
      <c r="BL41" s="53"/>
    </row>
    <row r="42" spans="1:64" s="43" customFormat="1" ht="17.100000000000001" customHeight="1">
      <c r="A42" s="457" t="s">
        <v>2440</v>
      </c>
      <c r="B42" s="53" t="s">
        <v>130</v>
      </c>
      <c r="C42" s="53" t="s">
        <v>130</v>
      </c>
      <c r="D42" s="53" t="s">
        <v>2569</v>
      </c>
      <c r="E42" s="53" t="s">
        <v>5</v>
      </c>
      <c r="F42" s="53" t="s">
        <v>2570</v>
      </c>
      <c r="G42" s="71">
        <v>33298</v>
      </c>
      <c r="H42" s="50" t="s">
        <v>2571</v>
      </c>
      <c r="I42" s="967">
        <v>835</v>
      </c>
      <c r="J42" s="52">
        <v>22124</v>
      </c>
      <c r="K42" s="53" t="s">
        <v>3346</v>
      </c>
      <c r="L42" s="54" t="s">
        <v>2572</v>
      </c>
      <c r="M42" s="57">
        <v>8</v>
      </c>
      <c r="N42" s="58"/>
      <c r="O42" s="59">
        <v>200</v>
      </c>
      <c r="P42" s="60">
        <v>3</v>
      </c>
      <c r="Q42" s="61">
        <v>73</v>
      </c>
      <c r="R42" s="61">
        <v>3</v>
      </c>
      <c r="S42" s="61">
        <v>58</v>
      </c>
      <c r="T42" s="61">
        <v>2</v>
      </c>
      <c r="U42" s="62">
        <v>56</v>
      </c>
      <c r="V42" s="60"/>
      <c r="W42" s="61"/>
      <c r="X42" s="61"/>
      <c r="Y42" s="61"/>
      <c r="Z42" s="61"/>
      <c r="AA42" s="62"/>
      <c r="AB42" s="63"/>
      <c r="AC42" s="61"/>
      <c r="AD42" s="61"/>
      <c r="AE42" s="61"/>
      <c r="AF42" s="61">
        <f t="shared" si="18"/>
        <v>0</v>
      </c>
      <c r="AG42" s="61"/>
      <c r="AH42" s="61"/>
      <c r="AI42" s="62">
        <f t="shared" si="19"/>
        <v>0</v>
      </c>
      <c r="AJ42" s="63"/>
      <c r="AK42" s="61"/>
      <c r="AL42" s="61"/>
      <c r="AM42" s="61"/>
      <c r="AN42" s="61">
        <f t="shared" si="20"/>
        <v>0</v>
      </c>
      <c r="AO42" s="61"/>
      <c r="AP42" s="61"/>
      <c r="AQ42" s="62">
        <f t="shared" si="21"/>
        <v>0</v>
      </c>
      <c r="AR42" s="955"/>
      <c r="AS42" s="956"/>
      <c r="AT42" s="61"/>
      <c r="AU42" s="61"/>
      <c r="AV42" s="61"/>
      <c r="AW42" s="956">
        <f t="shared" si="22"/>
        <v>0</v>
      </c>
      <c r="AX42" s="956"/>
      <c r="AY42" s="956"/>
      <c r="AZ42" s="956"/>
      <c r="BA42" s="957">
        <f t="shared" si="23"/>
        <v>0</v>
      </c>
      <c r="BB42" s="958">
        <f t="shared" si="24"/>
        <v>8</v>
      </c>
      <c r="BC42" s="959">
        <f t="shared" si="25"/>
        <v>73</v>
      </c>
      <c r="BD42" s="959">
        <f t="shared" si="26"/>
        <v>58</v>
      </c>
      <c r="BE42" s="959">
        <f t="shared" si="27"/>
        <v>56</v>
      </c>
      <c r="BF42" s="959">
        <f t="shared" si="28"/>
        <v>187</v>
      </c>
      <c r="BG42" s="959">
        <f t="shared" si="13"/>
        <v>0</v>
      </c>
      <c r="BH42" s="959">
        <f t="shared" si="14"/>
        <v>0</v>
      </c>
      <c r="BI42" s="959">
        <f t="shared" si="15"/>
        <v>0</v>
      </c>
      <c r="BJ42" s="959">
        <f t="shared" si="16"/>
        <v>0</v>
      </c>
      <c r="BK42" s="959">
        <f t="shared" si="17"/>
        <v>0</v>
      </c>
      <c r="BL42" s="53"/>
    </row>
    <row r="43" spans="1:64" s="43" customFormat="1" ht="17.100000000000001" customHeight="1">
      <c r="A43" s="457" t="s">
        <v>2440</v>
      </c>
      <c r="B43" s="53" t="s">
        <v>130</v>
      </c>
      <c r="C43" s="53" t="s">
        <v>130</v>
      </c>
      <c r="D43" s="53" t="s">
        <v>2569</v>
      </c>
      <c r="E43" s="53" t="s">
        <v>5</v>
      </c>
      <c r="F43" s="53" t="s">
        <v>2573</v>
      </c>
      <c r="G43" s="71">
        <v>29281</v>
      </c>
      <c r="H43" s="50" t="s">
        <v>1897</v>
      </c>
      <c r="I43" s="51">
        <v>1274</v>
      </c>
      <c r="J43" s="52">
        <v>22129</v>
      </c>
      <c r="K43" s="53" t="s">
        <v>3347</v>
      </c>
      <c r="L43" s="54" t="s">
        <v>3348</v>
      </c>
      <c r="M43" s="57">
        <v>6</v>
      </c>
      <c r="N43" s="58"/>
      <c r="O43" s="59">
        <v>146</v>
      </c>
      <c r="P43" s="60">
        <v>2</v>
      </c>
      <c r="Q43" s="61">
        <v>22</v>
      </c>
      <c r="R43" s="61">
        <v>1</v>
      </c>
      <c r="S43" s="61">
        <v>25</v>
      </c>
      <c r="T43" s="61">
        <v>2</v>
      </c>
      <c r="U43" s="62">
        <v>36</v>
      </c>
      <c r="V43" s="60"/>
      <c r="W43" s="61"/>
      <c r="X43" s="61"/>
      <c r="Y43" s="61"/>
      <c r="Z43" s="61"/>
      <c r="AA43" s="62"/>
      <c r="AB43" s="63"/>
      <c r="AC43" s="61"/>
      <c r="AD43" s="61"/>
      <c r="AE43" s="61"/>
      <c r="AF43" s="61">
        <f t="shared" si="18"/>
        <v>0</v>
      </c>
      <c r="AG43" s="61"/>
      <c r="AH43" s="61"/>
      <c r="AI43" s="62">
        <f t="shared" si="19"/>
        <v>0</v>
      </c>
      <c r="AJ43" s="63"/>
      <c r="AK43" s="61"/>
      <c r="AL43" s="61"/>
      <c r="AM43" s="61"/>
      <c r="AN43" s="61">
        <f t="shared" si="20"/>
        <v>0</v>
      </c>
      <c r="AO43" s="61"/>
      <c r="AP43" s="61"/>
      <c r="AQ43" s="62">
        <f t="shared" si="21"/>
        <v>0</v>
      </c>
      <c r="AR43" s="955"/>
      <c r="AS43" s="956"/>
      <c r="AT43" s="61"/>
      <c r="AU43" s="61"/>
      <c r="AV43" s="61"/>
      <c r="AW43" s="956">
        <f t="shared" si="22"/>
        <v>0</v>
      </c>
      <c r="AX43" s="956"/>
      <c r="AY43" s="956"/>
      <c r="AZ43" s="956"/>
      <c r="BA43" s="957">
        <f t="shared" si="23"/>
        <v>0</v>
      </c>
      <c r="BB43" s="958">
        <f t="shared" si="24"/>
        <v>5</v>
      </c>
      <c r="BC43" s="959">
        <f t="shared" si="25"/>
        <v>22</v>
      </c>
      <c r="BD43" s="959">
        <f t="shared" si="26"/>
        <v>25</v>
      </c>
      <c r="BE43" s="959">
        <f t="shared" si="27"/>
        <v>36</v>
      </c>
      <c r="BF43" s="959">
        <f t="shared" si="28"/>
        <v>83</v>
      </c>
      <c r="BG43" s="959">
        <f t="shared" si="13"/>
        <v>0</v>
      </c>
      <c r="BH43" s="959">
        <f t="shared" si="14"/>
        <v>0</v>
      </c>
      <c r="BI43" s="959">
        <f t="shared" si="15"/>
        <v>0</v>
      </c>
      <c r="BJ43" s="959">
        <f t="shared" si="16"/>
        <v>0</v>
      </c>
      <c r="BK43" s="959">
        <f t="shared" si="17"/>
        <v>0</v>
      </c>
      <c r="BL43" s="53"/>
    </row>
    <row r="44" spans="1:64" s="43" customFormat="1" ht="17.100000000000001" customHeight="1">
      <c r="A44" s="457" t="s">
        <v>2440</v>
      </c>
      <c r="B44" s="53" t="s">
        <v>130</v>
      </c>
      <c r="C44" s="53" t="s">
        <v>130</v>
      </c>
      <c r="D44" s="53" t="s">
        <v>2569</v>
      </c>
      <c r="E44" s="53" t="s">
        <v>5</v>
      </c>
      <c r="F44" s="53" t="s">
        <v>2574</v>
      </c>
      <c r="G44" s="71">
        <v>36951</v>
      </c>
      <c r="H44" s="50" t="s">
        <v>2575</v>
      </c>
      <c r="I44" s="51">
        <v>2892</v>
      </c>
      <c r="J44" s="52">
        <v>22125</v>
      </c>
      <c r="K44" s="53" t="s">
        <v>2576</v>
      </c>
      <c r="L44" s="54" t="s">
        <v>2577</v>
      </c>
      <c r="M44" s="57">
        <v>6</v>
      </c>
      <c r="N44" s="58"/>
      <c r="O44" s="59">
        <v>192</v>
      </c>
      <c r="P44" s="60"/>
      <c r="Q44" s="61"/>
      <c r="R44" s="61">
        <v>3</v>
      </c>
      <c r="S44" s="61">
        <v>45</v>
      </c>
      <c r="T44" s="61">
        <v>2</v>
      </c>
      <c r="U44" s="62">
        <v>39</v>
      </c>
      <c r="V44" s="60"/>
      <c r="W44" s="61"/>
      <c r="X44" s="61"/>
      <c r="Y44" s="61"/>
      <c r="Z44" s="61"/>
      <c r="AA44" s="62"/>
      <c r="AB44" s="63"/>
      <c r="AC44" s="61"/>
      <c r="AD44" s="61"/>
      <c r="AE44" s="61"/>
      <c r="AF44" s="61">
        <f t="shared" si="18"/>
        <v>0</v>
      </c>
      <c r="AG44" s="61"/>
      <c r="AH44" s="61"/>
      <c r="AI44" s="62">
        <f t="shared" si="19"/>
        <v>0</v>
      </c>
      <c r="AJ44" s="63"/>
      <c r="AK44" s="61"/>
      <c r="AL44" s="61"/>
      <c r="AM44" s="61"/>
      <c r="AN44" s="61">
        <f t="shared" si="20"/>
        <v>0</v>
      </c>
      <c r="AO44" s="61"/>
      <c r="AP44" s="61"/>
      <c r="AQ44" s="62">
        <f t="shared" si="21"/>
        <v>0</v>
      </c>
      <c r="AR44" s="955"/>
      <c r="AS44" s="956"/>
      <c r="AT44" s="61"/>
      <c r="AU44" s="61"/>
      <c r="AV44" s="61"/>
      <c r="AW44" s="956">
        <f t="shared" si="22"/>
        <v>0</v>
      </c>
      <c r="AX44" s="956"/>
      <c r="AY44" s="956"/>
      <c r="AZ44" s="956"/>
      <c r="BA44" s="957">
        <f t="shared" si="23"/>
        <v>0</v>
      </c>
      <c r="BB44" s="958">
        <f t="shared" si="24"/>
        <v>5</v>
      </c>
      <c r="BC44" s="959">
        <f t="shared" si="25"/>
        <v>0</v>
      </c>
      <c r="BD44" s="959">
        <f t="shared" si="26"/>
        <v>45</v>
      </c>
      <c r="BE44" s="959">
        <f t="shared" si="27"/>
        <v>39</v>
      </c>
      <c r="BF44" s="959">
        <f t="shared" si="28"/>
        <v>84</v>
      </c>
      <c r="BG44" s="959">
        <f t="shared" si="13"/>
        <v>0</v>
      </c>
      <c r="BH44" s="959">
        <f t="shared" si="14"/>
        <v>0</v>
      </c>
      <c r="BI44" s="959">
        <f t="shared" si="15"/>
        <v>0</v>
      </c>
      <c r="BJ44" s="959">
        <f t="shared" si="16"/>
        <v>0</v>
      </c>
      <c r="BK44" s="959">
        <f t="shared" si="17"/>
        <v>0</v>
      </c>
      <c r="BL44" s="53"/>
    </row>
    <row r="45" spans="1:64" s="43" customFormat="1" ht="17.100000000000001" customHeight="1">
      <c r="A45" s="457" t="s">
        <v>2440</v>
      </c>
      <c r="B45" s="53" t="s">
        <v>130</v>
      </c>
      <c r="C45" s="53" t="s">
        <v>130</v>
      </c>
      <c r="D45" s="53" t="s">
        <v>1371</v>
      </c>
      <c r="E45" s="53" t="s">
        <v>5</v>
      </c>
      <c r="F45" s="53" t="s">
        <v>2578</v>
      </c>
      <c r="G45" s="392">
        <v>39603</v>
      </c>
      <c r="H45" s="50" t="s">
        <v>1833</v>
      </c>
      <c r="I45" s="51">
        <v>750</v>
      </c>
      <c r="J45" s="52">
        <v>22144</v>
      </c>
      <c r="K45" s="53" t="s">
        <v>3349</v>
      </c>
      <c r="L45" s="54" t="s">
        <v>3350</v>
      </c>
      <c r="M45" s="64">
        <v>8</v>
      </c>
      <c r="N45" s="58"/>
      <c r="O45" s="66">
        <v>156</v>
      </c>
      <c r="P45" s="60">
        <v>2</v>
      </c>
      <c r="Q45" s="61">
        <v>29</v>
      </c>
      <c r="R45" s="61">
        <v>3</v>
      </c>
      <c r="S45" s="61">
        <v>51</v>
      </c>
      <c r="T45" s="61">
        <v>3</v>
      </c>
      <c r="U45" s="62">
        <v>62</v>
      </c>
      <c r="V45" s="60"/>
      <c r="W45" s="61"/>
      <c r="X45" s="61"/>
      <c r="Y45" s="61"/>
      <c r="Z45" s="61"/>
      <c r="AA45" s="62"/>
      <c r="AB45" s="63"/>
      <c r="AC45" s="61"/>
      <c r="AD45" s="61"/>
      <c r="AE45" s="61"/>
      <c r="AF45" s="61">
        <f t="shared" si="18"/>
        <v>0</v>
      </c>
      <c r="AG45" s="61"/>
      <c r="AH45" s="61"/>
      <c r="AI45" s="62">
        <f t="shared" si="19"/>
        <v>0</v>
      </c>
      <c r="AJ45" s="63"/>
      <c r="AK45" s="61"/>
      <c r="AL45" s="61"/>
      <c r="AM45" s="61"/>
      <c r="AN45" s="61">
        <f t="shared" si="20"/>
        <v>0</v>
      </c>
      <c r="AO45" s="61"/>
      <c r="AP45" s="61"/>
      <c r="AQ45" s="62">
        <f t="shared" si="21"/>
        <v>0</v>
      </c>
      <c r="AR45" s="955"/>
      <c r="AS45" s="956"/>
      <c r="AT45" s="61"/>
      <c r="AU45" s="61"/>
      <c r="AV45" s="61"/>
      <c r="AW45" s="956">
        <f t="shared" si="22"/>
        <v>0</v>
      </c>
      <c r="AX45" s="956"/>
      <c r="AY45" s="956"/>
      <c r="AZ45" s="956"/>
      <c r="BA45" s="957">
        <f t="shared" si="23"/>
        <v>0</v>
      </c>
      <c r="BB45" s="958">
        <f t="shared" si="24"/>
        <v>8</v>
      </c>
      <c r="BC45" s="959">
        <f t="shared" si="25"/>
        <v>29</v>
      </c>
      <c r="BD45" s="959">
        <f t="shared" si="26"/>
        <v>51</v>
      </c>
      <c r="BE45" s="959">
        <f t="shared" si="27"/>
        <v>62</v>
      </c>
      <c r="BF45" s="959">
        <f t="shared" si="28"/>
        <v>142</v>
      </c>
      <c r="BG45" s="959">
        <f t="shared" si="13"/>
        <v>0</v>
      </c>
      <c r="BH45" s="959">
        <f t="shared" si="14"/>
        <v>0</v>
      </c>
      <c r="BI45" s="959">
        <f t="shared" si="15"/>
        <v>0</v>
      </c>
      <c r="BJ45" s="959">
        <f t="shared" si="16"/>
        <v>0</v>
      </c>
      <c r="BK45" s="959">
        <f t="shared" si="17"/>
        <v>0</v>
      </c>
      <c r="BL45" s="53"/>
    </row>
    <row r="46" spans="1:64" s="43" customFormat="1" ht="17.100000000000001" customHeight="1">
      <c r="A46" s="457" t="s">
        <v>2440</v>
      </c>
      <c r="B46" s="53" t="s">
        <v>130</v>
      </c>
      <c r="C46" s="53" t="s">
        <v>130</v>
      </c>
      <c r="D46" s="53" t="s">
        <v>2579</v>
      </c>
      <c r="E46" s="53" t="s">
        <v>5</v>
      </c>
      <c r="F46" s="53" t="s">
        <v>3351</v>
      </c>
      <c r="G46" s="71">
        <v>40975</v>
      </c>
      <c r="H46" s="50" t="s">
        <v>1489</v>
      </c>
      <c r="I46" s="51">
        <v>403</v>
      </c>
      <c r="J46" s="456">
        <v>22215</v>
      </c>
      <c r="K46" s="53" t="s">
        <v>1382</v>
      </c>
      <c r="L46" s="54" t="s">
        <v>1383</v>
      </c>
      <c r="M46" s="57">
        <v>10</v>
      </c>
      <c r="N46" s="58"/>
      <c r="O46" s="59">
        <v>229</v>
      </c>
      <c r="P46" s="60">
        <v>3</v>
      </c>
      <c r="Q46" s="61">
        <v>41</v>
      </c>
      <c r="R46" s="61">
        <v>3</v>
      </c>
      <c r="S46" s="61">
        <v>63</v>
      </c>
      <c r="T46" s="61">
        <v>3</v>
      </c>
      <c r="U46" s="62">
        <v>56</v>
      </c>
      <c r="V46" s="60"/>
      <c r="W46" s="61"/>
      <c r="X46" s="61"/>
      <c r="Y46" s="61"/>
      <c r="Z46" s="61"/>
      <c r="AA46" s="62"/>
      <c r="AB46" s="63"/>
      <c r="AC46" s="61"/>
      <c r="AD46" s="61"/>
      <c r="AE46" s="61"/>
      <c r="AF46" s="61">
        <f t="shared" si="18"/>
        <v>0</v>
      </c>
      <c r="AG46" s="61"/>
      <c r="AH46" s="61"/>
      <c r="AI46" s="62">
        <f t="shared" si="19"/>
        <v>0</v>
      </c>
      <c r="AJ46" s="63"/>
      <c r="AK46" s="61"/>
      <c r="AL46" s="61"/>
      <c r="AM46" s="61"/>
      <c r="AN46" s="61">
        <f t="shared" si="20"/>
        <v>0</v>
      </c>
      <c r="AO46" s="61"/>
      <c r="AP46" s="61"/>
      <c r="AQ46" s="62">
        <f t="shared" si="21"/>
        <v>0</v>
      </c>
      <c r="AR46" s="955"/>
      <c r="AS46" s="956"/>
      <c r="AT46" s="61"/>
      <c r="AU46" s="61"/>
      <c r="AV46" s="61"/>
      <c r="AW46" s="956">
        <f t="shared" si="22"/>
        <v>0</v>
      </c>
      <c r="AX46" s="956"/>
      <c r="AY46" s="956"/>
      <c r="AZ46" s="956"/>
      <c r="BA46" s="957">
        <f t="shared" si="23"/>
        <v>0</v>
      </c>
      <c r="BB46" s="958">
        <f t="shared" si="24"/>
        <v>9</v>
      </c>
      <c r="BC46" s="959">
        <f t="shared" si="25"/>
        <v>41</v>
      </c>
      <c r="BD46" s="959">
        <f t="shared" si="26"/>
        <v>63</v>
      </c>
      <c r="BE46" s="959">
        <f t="shared" si="27"/>
        <v>56</v>
      </c>
      <c r="BF46" s="959">
        <f t="shared" si="28"/>
        <v>160</v>
      </c>
      <c r="BG46" s="959">
        <f t="shared" si="13"/>
        <v>0</v>
      </c>
      <c r="BH46" s="959">
        <f t="shared" si="14"/>
        <v>0</v>
      </c>
      <c r="BI46" s="959">
        <f t="shared" si="15"/>
        <v>0</v>
      </c>
      <c r="BJ46" s="959">
        <f t="shared" si="16"/>
        <v>0</v>
      </c>
      <c r="BK46" s="959">
        <f t="shared" si="17"/>
        <v>0</v>
      </c>
      <c r="BL46" s="53"/>
    </row>
    <row r="47" spans="1:64" s="43" customFormat="1" ht="17.100000000000001" customHeight="1">
      <c r="A47" s="457" t="s">
        <v>3341</v>
      </c>
      <c r="B47" s="53" t="s">
        <v>130</v>
      </c>
      <c r="C47" s="53" t="s">
        <v>130</v>
      </c>
      <c r="D47" s="53" t="s">
        <v>1388</v>
      </c>
      <c r="E47" s="53" t="s">
        <v>5</v>
      </c>
      <c r="F47" s="53" t="s">
        <v>3352</v>
      </c>
      <c r="G47" s="71" t="s">
        <v>3353</v>
      </c>
      <c r="H47" s="50" t="s">
        <v>1389</v>
      </c>
      <c r="I47" s="51">
        <v>334.7</v>
      </c>
      <c r="J47" s="52">
        <v>22227</v>
      </c>
      <c r="K47" s="53" t="s">
        <v>3354</v>
      </c>
      <c r="L47" s="54"/>
      <c r="M47" s="57">
        <v>5</v>
      </c>
      <c r="N47" s="58"/>
      <c r="O47" s="59">
        <v>140</v>
      </c>
      <c r="P47" s="60">
        <v>1</v>
      </c>
      <c r="Q47" s="61">
        <v>8</v>
      </c>
      <c r="R47" s="61">
        <v>1</v>
      </c>
      <c r="S47" s="61">
        <v>11</v>
      </c>
      <c r="T47" s="61">
        <v>1</v>
      </c>
      <c r="U47" s="62">
        <v>11</v>
      </c>
      <c r="V47" s="60"/>
      <c r="W47" s="61"/>
      <c r="X47" s="61"/>
      <c r="Y47" s="61"/>
      <c r="Z47" s="61"/>
      <c r="AA47" s="62"/>
      <c r="AB47" s="63"/>
      <c r="AC47" s="61"/>
      <c r="AD47" s="61"/>
      <c r="AE47" s="61"/>
      <c r="AF47" s="61">
        <f t="shared" si="18"/>
        <v>0</v>
      </c>
      <c r="AG47" s="61"/>
      <c r="AH47" s="61"/>
      <c r="AI47" s="62">
        <f t="shared" si="19"/>
        <v>0</v>
      </c>
      <c r="AJ47" s="63"/>
      <c r="AK47" s="61"/>
      <c r="AL47" s="61"/>
      <c r="AM47" s="61"/>
      <c r="AN47" s="61">
        <f t="shared" si="20"/>
        <v>0</v>
      </c>
      <c r="AO47" s="61"/>
      <c r="AP47" s="61"/>
      <c r="AQ47" s="62">
        <f t="shared" si="21"/>
        <v>0</v>
      </c>
      <c r="AR47" s="955"/>
      <c r="AS47" s="956"/>
      <c r="AT47" s="61"/>
      <c r="AU47" s="61"/>
      <c r="AV47" s="61"/>
      <c r="AW47" s="956">
        <f t="shared" si="22"/>
        <v>0</v>
      </c>
      <c r="AX47" s="956"/>
      <c r="AY47" s="956"/>
      <c r="AZ47" s="956"/>
      <c r="BA47" s="957">
        <f t="shared" si="23"/>
        <v>0</v>
      </c>
      <c r="BB47" s="958">
        <f t="shared" si="24"/>
        <v>3</v>
      </c>
      <c r="BC47" s="959">
        <f t="shared" si="25"/>
        <v>8</v>
      </c>
      <c r="BD47" s="959">
        <f t="shared" si="26"/>
        <v>11</v>
      </c>
      <c r="BE47" s="959">
        <f t="shared" si="27"/>
        <v>11</v>
      </c>
      <c r="BF47" s="959">
        <f t="shared" si="28"/>
        <v>30</v>
      </c>
      <c r="BG47" s="959">
        <f t="shared" si="13"/>
        <v>0</v>
      </c>
      <c r="BH47" s="959">
        <f t="shared" si="14"/>
        <v>0</v>
      </c>
      <c r="BI47" s="959">
        <f t="shared" si="15"/>
        <v>0</v>
      </c>
      <c r="BJ47" s="959">
        <f t="shared" si="16"/>
        <v>0</v>
      </c>
      <c r="BK47" s="959">
        <f t="shared" si="17"/>
        <v>0</v>
      </c>
      <c r="BL47" s="53"/>
    </row>
    <row r="48" spans="1:64" s="43" customFormat="1" ht="17.100000000000001" customHeight="1">
      <c r="A48" s="960" t="s">
        <v>1368</v>
      </c>
      <c r="B48" s="961" t="s">
        <v>130</v>
      </c>
      <c r="C48" s="751" t="s">
        <v>130</v>
      </c>
      <c r="D48" s="53" t="s">
        <v>2580</v>
      </c>
      <c r="E48" s="961" t="s">
        <v>5</v>
      </c>
      <c r="F48" s="961" t="s">
        <v>3355</v>
      </c>
      <c r="G48" s="750">
        <v>35128</v>
      </c>
      <c r="H48" s="50" t="s">
        <v>1834</v>
      </c>
      <c r="I48" s="962">
        <v>1576</v>
      </c>
      <c r="J48" s="752">
        <v>22230</v>
      </c>
      <c r="K48" s="961" t="s">
        <v>3356</v>
      </c>
      <c r="L48" s="963" t="s">
        <v>3357</v>
      </c>
      <c r="M48" s="64">
        <v>5</v>
      </c>
      <c r="N48" s="1233"/>
      <c r="O48" s="66">
        <v>127</v>
      </c>
      <c r="P48" s="775">
        <v>2</v>
      </c>
      <c r="Q48" s="776">
        <v>35</v>
      </c>
      <c r="R48" s="776">
        <v>1</v>
      </c>
      <c r="S48" s="776">
        <v>20</v>
      </c>
      <c r="T48" s="776">
        <v>2</v>
      </c>
      <c r="U48" s="777">
        <v>41</v>
      </c>
      <c r="V48" s="775"/>
      <c r="W48" s="776"/>
      <c r="X48" s="776"/>
      <c r="Y48" s="776"/>
      <c r="Z48" s="776"/>
      <c r="AA48" s="777"/>
      <c r="AB48" s="778"/>
      <c r="AC48" s="776"/>
      <c r="AD48" s="776"/>
      <c r="AE48" s="776"/>
      <c r="AF48" s="61">
        <f t="shared" si="18"/>
        <v>0</v>
      </c>
      <c r="AG48" s="776"/>
      <c r="AH48" s="776"/>
      <c r="AI48" s="62">
        <f t="shared" si="19"/>
        <v>0</v>
      </c>
      <c r="AJ48" s="778"/>
      <c r="AK48" s="776"/>
      <c r="AL48" s="776"/>
      <c r="AM48" s="776"/>
      <c r="AN48" s="61">
        <f t="shared" si="20"/>
        <v>0</v>
      </c>
      <c r="AO48" s="776"/>
      <c r="AP48" s="776"/>
      <c r="AQ48" s="62">
        <f t="shared" si="21"/>
        <v>0</v>
      </c>
      <c r="AR48" s="964"/>
      <c r="AS48" s="965"/>
      <c r="AT48" s="776"/>
      <c r="AU48" s="776"/>
      <c r="AV48" s="776"/>
      <c r="AW48" s="956">
        <f t="shared" si="22"/>
        <v>0</v>
      </c>
      <c r="AX48" s="965"/>
      <c r="AY48" s="965"/>
      <c r="AZ48" s="965"/>
      <c r="BA48" s="957">
        <f t="shared" si="23"/>
        <v>0</v>
      </c>
      <c r="BB48" s="958">
        <f t="shared" si="24"/>
        <v>5</v>
      </c>
      <c r="BC48" s="959">
        <f t="shared" si="25"/>
        <v>35</v>
      </c>
      <c r="BD48" s="959">
        <f t="shared" si="26"/>
        <v>20</v>
      </c>
      <c r="BE48" s="959">
        <f t="shared" si="27"/>
        <v>41</v>
      </c>
      <c r="BF48" s="959">
        <f t="shared" si="28"/>
        <v>96</v>
      </c>
      <c r="BG48" s="966">
        <f t="shared" si="13"/>
        <v>0</v>
      </c>
      <c r="BH48" s="966">
        <f t="shared" si="14"/>
        <v>0</v>
      </c>
      <c r="BI48" s="966">
        <f t="shared" si="15"/>
        <v>0</v>
      </c>
      <c r="BJ48" s="966">
        <f t="shared" si="16"/>
        <v>0</v>
      </c>
      <c r="BK48" s="966">
        <f t="shared" si="17"/>
        <v>0</v>
      </c>
      <c r="BL48" s="961"/>
    </row>
    <row r="49" spans="1:64" s="43" customFormat="1" ht="17.100000000000001" customHeight="1">
      <c r="A49" s="1614" t="s">
        <v>1384</v>
      </c>
      <c r="B49" s="1615"/>
      <c r="C49" s="1615"/>
      <c r="D49" s="1616"/>
      <c r="E49" s="418">
        <f>COUNTA(E22:E48)</f>
        <v>27</v>
      </c>
      <c r="F49" s="294"/>
      <c r="G49" s="419"/>
      <c r="H49" s="190"/>
      <c r="I49" s="420"/>
      <c r="J49" s="296"/>
      <c r="K49" s="294"/>
      <c r="L49" s="297"/>
      <c r="M49" s="421">
        <f t="shared" ref="M49:AR49" si="29">SUM(M22:M48)</f>
        <v>166</v>
      </c>
      <c r="N49" s="422">
        <f t="shared" si="29"/>
        <v>0</v>
      </c>
      <c r="O49" s="423">
        <f t="shared" si="29"/>
        <v>4472</v>
      </c>
      <c r="P49" s="424">
        <f t="shared" si="29"/>
        <v>44</v>
      </c>
      <c r="Q49" s="425">
        <f t="shared" si="29"/>
        <v>732</v>
      </c>
      <c r="R49" s="425">
        <f t="shared" si="29"/>
        <v>45</v>
      </c>
      <c r="S49" s="425">
        <f t="shared" si="29"/>
        <v>915</v>
      </c>
      <c r="T49" s="425">
        <f t="shared" si="29"/>
        <v>47</v>
      </c>
      <c r="U49" s="426">
        <f t="shared" si="29"/>
        <v>1040</v>
      </c>
      <c r="V49" s="427">
        <f t="shared" si="29"/>
        <v>0</v>
      </c>
      <c r="W49" s="425">
        <f t="shared" si="29"/>
        <v>0</v>
      </c>
      <c r="X49" s="425">
        <f t="shared" si="29"/>
        <v>0</v>
      </c>
      <c r="Y49" s="425">
        <f t="shared" si="29"/>
        <v>0</v>
      </c>
      <c r="Z49" s="425">
        <f t="shared" si="29"/>
        <v>0</v>
      </c>
      <c r="AA49" s="426">
        <f t="shared" si="29"/>
        <v>0</v>
      </c>
      <c r="AB49" s="424">
        <f t="shared" si="29"/>
        <v>0</v>
      </c>
      <c r="AC49" s="425">
        <f t="shared" si="29"/>
        <v>0</v>
      </c>
      <c r="AD49" s="425">
        <f t="shared" si="29"/>
        <v>0</v>
      </c>
      <c r="AE49" s="425">
        <f t="shared" si="29"/>
        <v>0</v>
      </c>
      <c r="AF49" s="425">
        <f t="shared" si="29"/>
        <v>0</v>
      </c>
      <c r="AG49" s="425">
        <f t="shared" si="29"/>
        <v>0</v>
      </c>
      <c r="AH49" s="425">
        <f t="shared" si="29"/>
        <v>0</v>
      </c>
      <c r="AI49" s="426">
        <f t="shared" si="29"/>
        <v>0</v>
      </c>
      <c r="AJ49" s="424">
        <f t="shared" si="29"/>
        <v>0</v>
      </c>
      <c r="AK49" s="425">
        <f t="shared" si="29"/>
        <v>0</v>
      </c>
      <c r="AL49" s="425">
        <f t="shared" si="29"/>
        <v>0</v>
      </c>
      <c r="AM49" s="425">
        <f t="shared" si="29"/>
        <v>0</v>
      </c>
      <c r="AN49" s="425">
        <f t="shared" si="29"/>
        <v>0</v>
      </c>
      <c r="AO49" s="425">
        <f t="shared" si="29"/>
        <v>0</v>
      </c>
      <c r="AP49" s="425">
        <f t="shared" si="29"/>
        <v>0</v>
      </c>
      <c r="AQ49" s="426">
        <f t="shared" si="29"/>
        <v>0</v>
      </c>
      <c r="AR49" s="428">
        <f t="shared" si="29"/>
        <v>6</v>
      </c>
      <c r="AS49" s="429">
        <f t="shared" ref="AS49:BK49" si="30">SUM(AS22:AS48)</f>
        <v>0</v>
      </c>
      <c r="AT49" s="429">
        <f t="shared" si="30"/>
        <v>37</v>
      </c>
      <c r="AU49" s="429">
        <f t="shared" si="30"/>
        <v>41</v>
      </c>
      <c r="AV49" s="429">
        <f t="shared" si="30"/>
        <v>45</v>
      </c>
      <c r="AW49" s="429">
        <f t="shared" si="30"/>
        <v>123</v>
      </c>
      <c r="AX49" s="429">
        <f t="shared" si="30"/>
        <v>0</v>
      </c>
      <c r="AY49" s="429">
        <f t="shared" si="30"/>
        <v>0</v>
      </c>
      <c r="AZ49" s="429">
        <f t="shared" si="30"/>
        <v>0</v>
      </c>
      <c r="BA49" s="430">
        <f t="shared" si="30"/>
        <v>0</v>
      </c>
      <c r="BB49" s="431">
        <f t="shared" si="30"/>
        <v>142</v>
      </c>
      <c r="BC49" s="432">
        <f t="shared" si="30"/>
        <v>769</v>
      </c>
      <c r="BD49" s="432">
        <f t="shared" si="30"/>
        <v>956</v>
      </c>
      <c r="BE49" s="432">
        <f t="shared" si="30"/>
        <v>1085</v>
      </c>
      <c r="BF49" s="432">
        <f t="shared" si="30"/>
        <v>2810</v>
      </c>
      <c r="BG49" s="432">
        <f t="shared" si="30"/>
        <v>0</v>
      </c>
      <c r="BH49" s="432">
        <f t="shared" si="30"/>
        <v>0</v>
      </c>
      <c r="BI49" s="432">
        <f t="shared" si="30"/>
        <v>0</v>
      </c>
      <c r="BJ49" s="432">
        <f t="shared" si="30"/>
        <v>0</v>
      </c>
      <c r="BK49" s="433">
        <f t="shared" si="30"/>
        <v>0</v>
      </c>
      <c r="BL49" s="434"/>
    </row>
    <row r="50" spans="1:64" s="43" customFormat="1" ht="17.100000000000001" customHeight="1">
      <c r="A50" s="1568" t="s">
        <v>460</v>
      </c>
      <c r="B50" s="1569"/>
      <c r="C50" s="1569"/>
      <c r="D50" s="1569"/>
      <c r="E50" s="1570"/>
      <c r="F50" s="435">
        <f>E21+E49</f>
        <v>40</v>
      </c>
      <c r="G50" s="436"/>
      <c r="H50" s="222"/>
      <c r="I50" s="437"/>
      <c r="J50" s="305"/>
      <c r="K50" s="303"/>
      <c r="L50" s="306"/>
      <c r="M50" s="438">
        <f t="shared" ref="M50:AR50" si="31">M21+M49</f>
        <v>195</v>
      </c>
      <c r="N50" s="439">
        <f t="shared" si="31"/>
        <v>4</v>
      </c>
      <c r="O50" s="440">
        <f t="shared" si="31"/>
        <v>4973</v>
      </c>
      <c r="P50" s="441">
        <f t="shared" si="31"/>
        <v>48</v>
      </c>
      <c r="Q50" s="442">
        <f t="shared" si="31"/>
        <v>761</v>
      </c>
      <c r="R50" s="442">
        <f t="shared" si="31"/>
        <v>51</v>
      </c>
      <c r="S50" s="442">
        <f t="shared" si="31"/>
        <v>965</v>
      </c>
      <c r="T50" s="442">
        <f t="shared" si="31"/>
        <v>58</v>
      </c>
      <c r="U50" s="443">
        <f t="shared" si="31"/>
        <v>1151</v>
      </c>
      <c r="V50" s="444">
        <f t="shared" si="31"/>
        <v>0</v>
      </c>
      <c r="W50" s="442">
        <f t="shared" si="31"/>
        <v>0</v>
      </c>
      <c r="X50" s="442">
        <f t="shared" si="31"/>
        <v>0</v>
      </c>
      <c r="Y50" s="442">
        <f t="shared" si="31"/>
        <v>0</v>
      </c>
      <c r="Z50" s="442">
        <f t="shared" si="31"/>
        <v>0</v>
      </c>
      <c r="AA50" s="443">
        <f t="shared" si="31"/>
        <v>0</v>
      </c>
      <c r="AB50" s="441">
        <f t="shared" si="31"/>
        <v>4</v>
      </c>
      <c r="AC50" s="442">
        <f t="shared" si="31"/>
        <v>0</v>
      </c>
      <c r="AD50" s="442">
        <f t="shared" si="31"/>
        <v>10</v>
      </c>
      <c r="AE50" s="442">
        <f t="shared" si="31"/>
        <v>17</v>
      </c>
      <c r="AF50" s="442">
        <f t="shared" si="31"/>
        <v>27</v>
      </c>
      <c r="AG50" s="442">
        <f t="shared" si="31"/>
        <v>0</v>
      </c>
      <c r="AH50" s="442">
        <f t="shared" si="31"/>
        <v>0</v>
      </c>
      <c r="AI50" s="443">
        <f t="shared" si="31"/>
        <v>0</v>
      </c>
      <c r="AJ50" s="441">
        <f t="shared" si="31"/>
        <v>1</v>
      </c>
      <c r="AK50" s="442">
        <f t="shared" si="31"/>
        <v>0</v>
      </c>
      <c r="AL50" s="442">
        <f t="shared" si="31"/>
        <v>4</v>
      </c>
      <c r="AM50" s="442">
        <f t="shared" si="31"/>
        <v>7</v>
      </c>
      <c r="AN50" s="442">
        <f t="shared" si="31"/>
        <v>11</v>
      </c>
      <c r="AO50" s="442">
        <f t="shared" si="31"/>
        <v>2</v>
      </c>
      <c r="AP50" s="442">
        <f t="shared" si="31"/>
        <v>2</v>
      </c>
      <c r="AQ50" s="443">
        <f t="shared" si="31"/>
        <v>4</v>
      </c>
      <c r="AR50" s="445">
        <f t="shared" si="31"/>
        <v>7</v>
      </c>
      <c r="AS50" s="446">
        <f t="shared" ref="AS50:BK50" si="32">AS21+AS49</f>
        <v>3</v>
      </c>
      <c r="AT50" s="446">
        <f t="shared" si="32"/>
        <v>37</v>
      </c>
      <c r="AU50" s="446">
        <f t="shared" si="32"/>
        <v>42</v>
      </c>
      <c r="AV50" s="446">
        <f t="shared" si="32"/>
        <v>50</v>
      </c>
      <c r="AW50" s="446">
        <f t="shared" si="32"/>
        <v>129</v>
      </c>
      <c r="AX50" s="446">
        <f t="shared" si="32"/>
        <v>0</v>
      </c>
      <c r="AY50" s="446">
        <f t="shared" si="32"/>
        <v>3</v>
      </c>
      <c r="AZ50" s="446">
        <f t="shared" si="32"/>
        <v>6</v>
      </c>
      <c r="BA50" s="447">
        <f t="shared" si="32"/>
        <v>9</v>
      </c>
      <c r="BB50" s="448">
        <f t="shared" si="32"/>
        <v>169</v>
      </c>
      <c r="BC50" s="449">
        <f t="shared" si="32"/>
        <v>808</v>
      </c>
      <c r="BD50" s="449">
        <f t="shared" si="32"/>
        <v>1028</v>
      </c>
      <c r="BE50" s="449">
        <f t="shared" si="32"/>
        <v>1208</v>
      </c>
      <c r="BF50" s="449">
        <f t="shared" si="32"/>
        <v>3044</v>
      </c>
      <c r="BG50" s="449">
        <f t="shared" si="32"/>
        <v>4</v>
      </c>
      <c r="BH50" s="449">
        <f t="shared" si="32"/>
        <v>0</v>
      </c>
      <c r="BI50" s="449">
        <f t="shared" si="32"/>
        <v>5</v>
      </c>
      <c r="BJ50" s="449">
        <f t="shared" si="32"/>
        <v>8</v>
      </c>
      <c r="BK50" s="450">
        <f t="shared" si="32"/>
        <v>13</v>
      </c>
      <c r="BL50" s="451"/>
    </row>
    <row r="51" spans="1:64" s="400" customFormat="1" ht="17.100000000000001" customHeight="1">
      <c r="A51" s="457" t="s">
        <v>2481</v>
      </c>
      <c r="B51" s="53" t="s">
        <v>262</v>
      </c>
      <c r="C51" s="53" t="s">
        <v>2820</v>
      </c>
      <c r="D51" s="53" t="s">
        <v>2451</v>
      </c>
      <c r="E51" s="53" t="s">
        <v>2424</v>
      </c>
      <c r="F51" s="53" t="s">
        <v>2452</v>
      </c>
      <c r="G51" s="71">
        <v>34759</v>
      </c>
      <c r="H51" s="50" t="s">
        <v>2453</v>
      </c>
      <c r="I51" s="51">
        <v>14007</v>
      </c>
      <c r="J51" s="52">
        <v>22564</v>
      </c>
      <c r="K51" s="53" t="s">
        <v>3264</v>
      </c>
      <c r="L51" s="54" t="s">
        <v>3265</v>
      </c>
      <c r="M51" s="773">
        <v>1</v>
      </c>
      <c r="N51" s="718">
        <v>0</v>
      </c>
      <c r="O51" s="774">
        <v>19</v>
      </c>
      <c r="P51" s="780"/>
      <c r="Q51" s="781"/>
      <c r="R51" s="781"/>
      <c r="S51" s="781"/>
      <c r="T51" s="781"/>
      <c r="U51" s="782"/>
      <c r="V51" s="780"/>
      <c r="W51" s="781"/>
      <c r="X51" s="781"/>
      <c r="Y51" s="781"/>
      <c r="Z51" s="781"/>
      <c r="AA51" s="782"/>
      <c r="AB51" s="788"/>
      <c r="AC51" s="781"/>
      <c r="AD51" s="781"/>
      <c r="AE51" s="781"/>
      <c r="AF51" s="781">
        <f>SUM(AD51:AE51)</f>
        <v>0</v>
      </c>
      <c r="AG51" s="781"/>
      <c r="AH51" s="781"/>
      <c r="AI51" s="782">
        <f>SUM(AG51:AH51)</f>
        <v>0</v>
      </c>
      <c r="AJ51" s="788">
        <v>1</v>
      </c>
      <c r="AK51" s="781"/>
      <c r="AL51" s="781"/>
      <c r="AM51" s="781">
        <v>4</v>
      </c>
      <c r="AN51" s="781">
        <f>SUM(AL51:AM51)</f>
        <v>4</v>
      </c>
      <c r="AO51" s="781"/>
      <c r="AP51" s="781"/>
      <c r="AQ51" s="782">
        <f>SUM(AO51:AP51)</f>
        <v>0</v>
      </c>
      <c r="AR51" s="924"/>
      <c r="AS51" s="925"/>
      <c r="AT51" s="781"/>
      <c r="AU51" s="781"/>
      <c r="AV51" s="781"/>
      <c r="AW51" s="925">
        <f>SUM(AT51:AV51)</f>
        <v>0</v>
      </c>
      <c r="AX51" s="925"/>
      <c r="AY51" s="925"/>
      <c r="AZ51" s="925"/>
      <c r="BA51" s="926">
        <f>SUM(AX51:AZ51)</f>
        <v>0</v>
      </c>
      <c r="BB51" s="927">
        <f>SUM(P51,R51,T51,AB51,AJ51,AR51)</f>
        <v>1</v>
      </c>
      <c r="BC51" s="928">
        <f>SUM(Q51,AD51,AT51)</f>
        <v>0</v>
      </c>
      <c r="BD51" s="928">
        <f>SUM(S51,AE51,AL51,AU51)</f>
        <v>0</v>
      </c>
      <c r="BE51" s="928">
        <f>SUM(U51,AM51,AV51)</f>
        <v>4</v>
      </c>
      <c r="BF51" s="928">
        <f>SUM(BC51:BE51)</f>
        <v>4</v>
      </c>
      <c r="BG51" s="928">
        <f>SUM(V51,X51,Z51,AC51,AK51,AS51)</f>
        <v>0</v>
      </c>
      <c r="BH51" s="928">
        <f>SUM(W51,AG51,AX51)</f>
        <v>0</v>
      </c>
      <c r="BI51" s="928">
        <f>SUM(Y51,AH51,AO51,AY51)</f>
        <v>0</v>
      </c>
      <c r="BJ51" s="928">
        <f>SUM(AA51,AP51,AZ51)</f>
        <v>0</v>
      </c>
      <c r="BK51" s="928">
        <f>SUM(BH51:BJ51)</f>
        <v>0</v>
      </c>
      <c r="BL51" s="53"/>
    </row>
    <row r="52" spans="1:64" s="400" customFormat="1" ht="17.100000000000001" customHeight="1">
      <c r="A52" s="457" t="s">
        <v>2450</v>
      </c>
      <c r="B52" s="53" t="s">
        <v>262</v>
      </c>
      <c r="C52" s="53" t="s">
        <v>2820</v>
      </c>
      <c r="D52" s="53" t="s">
        <v>2461</v>
      </c>
      <c r="E52" s="53" t="s">
        <v>2424</v>
      </c>
      <c r="F52" s="53" t="s">
        <v>3266</v>
      </c>
      <c r="G52" s="71">
        <v>31088</v>
      </c>
      <c r="H52" s="50" t="s">
        <v>3267</v>
      </c>
      <c r="I52" s="51">
        <v>8764</v>
      </c>
      <c r="J52" s="52">
        <v>22511</v>
      </c>
      <c r="K52" s="53" t="s">
        <v>3268</v>
      </c>
      <c r="L52" s="54" t="s">
        <v>3269</v>
      </c>
      <c r="M52" s="773">
        <v>3</v>
      </c>
      <c r="N52" s="718">
        <v>0</v>
      </c>
      <c r="O52" s="774">
        <v>48</v>
      </c>
      <c r="P52" s="780"/>
      <c r="Q52" s="781"/>
      <c r="R52" s="781"/>
      <c r="S52" s="781"/>
      <c r="T52" s="781"/>
      <c r="U52" s="782"/>
      <c r="V52" s="780"/>
      <c r="W52" s="781"/>
      <c r="X52" s="781"/>
      <c r="Y52" s="781"/>
      <c r="Z52" s="781"/>
      <c r="AA52" s="782"/>
      <c r="AB52" s="788"/>
      <c r="AC52" s="781"/>
      <c r="AD52" s="781"/>
      <c r="AE52" s="781"/>
      <c r="AF52" s="781"/>
      <c r="AG52" s="781"/>
      <c r="AH52" s="781"/>
      <c r="AI52" s="782"/>
      <c r="AJ52" s="788"/>
      <c r="AK52" s="781"/>
      <c r="AL52" s="781"/>
      <c r="AM52" s="781"/>
      <c r="AN52" s="781"/>
      <c r="AO52" s="781"/>
      <c r="AP52" s="781"/>
      <c r="AQ52" s="782"/>
      <c r="AR52" s="924"/>
      <c r="AS52" s="925"/>
      <c r="AT52" s="781"/>
      <c r="AU52" s="781"/>
      <c r="AV52" s="781"/>
      <c r="AW52" s="925"/>
      <c r="AX52" s="925"/>
      <c r="AY52" s="925"/>
      <c r="AZ52" s="925"/>
      <c r="BA52" s="926"/>
      <c r="BB52" s="927"/>
      <c r="BC52" s="928"/>
      <c r="BD52" s="928"/>
      <c r="BE52" s="928"/>
      <c r="BF52" s="928"/>
      <c r="BG52" s="928"/>
      <c r="BH52" s="928"/>
      <c r="BI52" s="928"/>
      <c r="BJ52" s="928"/>
      <c r="BK52" s="928"/>
      <c r="BL52" s="53" t="s">
        <v>1748</v>
      </c>
    </row>
    <row r="53" spans="1:64" s="400" customFormat="1" ht="17.100000000000001" customHeight="1">
      <c r="A53" s="457" t="s">
        <v>2450</v>
      </c>
      <c r="B53" s="53" t="s">
        <v>262</v>
      </c>
      <c r="C53" s="53" t="s">
        <v>2820</v>
      </c>
      <c r="D53" s="53" t="s">
        <v>2454</v>
      </c>
      <c r="E53" s="53" t="s">
        <v>2424</v>
      </c>
      <c r="F53" s="53" t="s">
        <v>2458</v>
      </c>
      <c r="G53" s="71">
        <v>34759</v>
      </c>
      <c r="H53" s="50" t="s">
        <v>2264</v>
      </c>
      <c r="I53" s="51">
        <v>17092</v>
      </c>
      <c r="J53" s="52">
        <v>22558</v>
      </c>
      <c r="K53" s="53" t="s">
        <v>2459</v>
      </c>
      <c r="L53" s="54" t="s">
        <v>2460</v>
      </c>
      <c r="M53" s="773">
        <v>2</v>
      </c>
      <c r="N53" s="718">
        <v>0</v>
      </c>
      <c r="O53" s="774">
        <v>36</v>
      </c>
      <c r="P53" s="780">
        <v>0</v>
      </c>
      <c r="Q53" s="781">
        <v>0</v>
      </c>
      <c r="R53" s="781">
        <v>0</v>
      </c>
      <c r="S53" s="781">
        <v>0</v>
      </c>
      <c r="T53" s="781">
        <v>1</v>
      </c>
      <c r="U53" s="782">
        <v>7</v>
      </c>
      <c r="V53" s="780">
        <v>0</v>
      </c>
      <c r="W53" s="781">
        <v>0</v>
      </c>
      <c r="X53" s="781">
        <v>0</v>
      </c>
      <c r="Y53" s="781">
        <v>0</v>
      </c>
      <c r="Z53" s="781">
        <v>0</v>
      </c>
      <c r="AA53" s="782">
        <v>0</v>
      </c>
      <c r="AB53" s="788">
        <v>1</v>
      </c>
      <c r="AC53" s="781">
        <v>0</v>
      </c>
      <c r="AD53" s="781">
        <v>8</v>
      </c>
      <c r="AE53" s="781">
        <v>4</v>
      </c>
      <c r="AF53" s="781">
        <f>SUM(AD53:AE53)</f>
        <v>12</v>
      </c>
      <c r="AG53" s="781">
        <v>0</v>
      </c>
      <c r="AH53" s="781">
        <v>0</v>
      </c>
      <c r="AI53" s="782">
        <f>SUM(AG53:AH53)</f>
        <v>0</v>
      </c>
      <c r="AJ53" s="788">
        <v>0</v>
      </c>
      <c r="AK53" s="781">
        <v>0</v>
      </c>
      <c r="AL53" s="781">
        <v>0</v>
      </c>
      <c r="AM53" s="781">
        <v>0</v>
      </c>
      <c r="AN53" s="781">
        <f>SUM(AL53:AM53)</f>
        <v>0</v>
      </c>
      <c r="AO53" s="781">
        <v>0</v>
      </c>
      <c r="AP53" s="781">
        <v>0</v>
      </c>
      <c r="AQ53" s="782">
        <f>SUM(AO53:AP53)</f>
        <v>0</v>
      </c>
      <c r="AR53" s="924">
        <v>0</v>
      </c>
      <c r="AS53" s="925">
        <v>0</v>
      </c>
      <c r="AT53" s="781">
        <v>0</v>
      </c>
      <c r="AU53" s="781">
        <v>0</v>
      </c>
      <c r="AV53" s="781">
        <v>0</v>
      </c>
      <c r="AW53" s="925">
        <f>SUM(AT53:AV53)</f>
        <v>0</v>
      </c>
      <c r="AX53" s="925">
        <v>0</v>
      </c>
      <c r="AY53" s="925">
        <v>0</v>
      </c>
      <c r="AZ53" s="925">
        <v>0</v>
      </c>
      <c r="BA53" s="926">
        <f>SUM(AX53:AZ53)</f>
        <v>0</v>
      </c>
      <c r="BB53" s="927">
        <f>SUM(P53,R53,T53,AB53,AJ53,AR53)</f>
        <v>2</v>
      </c>
      <c r="BC53" s="928">
        <f>SUM(Q53,AD53,AT53)</f>
        <v>8</v>
      </c>
      <c r="BD53" s="928">
        <f>SUM(S53,AE53,AL53,AU53)</f>
        <v>4</v>
      </c>
      <c r="BE53" s="928">
        <f>SUM(U53,AM53,AV53)</f>
        <v>7</v>
      </c>
      <c r="BF53" s="928">
        <f>SUM(BC53:BE53)</f>
        <v>19</v>
      </c>
      <c r="BG53" s="928">
        <f>SUM(V53,X53,Z53,AC53,AK53,AS53)</f>
        <v>0</v>
      </c>
      <c r="BH53" s="928">
        <f>SUM(W53,AG53,AX53)</f>
        <v>0</v>
      </c>
      <c r="BI53" s="928">
        <f>SUM(Y53,AH53,AO53,AY53)</f>
        <v>0</v>
      </c>
      <c r="BJ53" s="928">
        <f>SUM(AA53,AP53,AZ53)</f>
        <v>0</v>
      </c>
      <c r="BK53" s="928">
        <f>SUM(BH53:BJ53)</f>
        <v>0</v>
      </c>
      <c r="BL53" s="53"/>
    </row>
    <row r="54" spans="1:64" s="400" customFormat="1" ht="17.100000000000001" customHeight="1">
      <c r="A54" s="457" t="s">
        <v>2450</v>
      </c>
      <c r="B54" s="53" t="s">
        <v>262</v>
      </c>
      <c r="C54" s="53" t="s">
        <v>2820</v>
      </c>
      <c r="D54" s="932" t="s">
        <v>3270</v>
      </c>
      <c r="E54" s="932" t="s">
        <v>4</v>
      </c>
      <c r="F54" s="932" t="s">
        <v>3271</v>
      </c>
      <c r="G54" s="933">
        <v>35755</v>
      </c>
      <c r="H54" s="932" t="s">
        <v>3272</v>
      </c>
      <c r="I54" s="934">
        <v>7162</v>
      </c>
      <c r="J54" s="935">
        <v>22540</v>
      </c>
      <c r="K54" s="932" t="s">
        <v>3273</v>
      </c>
      <c r="L54" s="936" t="s">
        <v>3274</v>
      </c>
      <c r="M54" s="937">
        <v>2</v>
      </c>
      <c r="N54" s="938">
        <v>0</v>
      </c>
      <c r="O54" s="939">
        <v>36</v>
      </c>
      <c r="P54" s="940">
        <v>0</v>
      </c>
      <c r="Q54" s="941">
        <v>0</v>
      </c>
      <c r="R54" s="941">
        <v>0</v>
      </c>
      <c r="S54" s="941">
        <v>0</v>
      </c>
      <c r="T54" s="941">
        <v>0</v>
      </c>
      <c r="U54" s="942">
        <v>0</v>
      </c>
      <c r="V54" s="940">
        <v>0</v>
      </c>
      <c r="W54" s="941">
        <v>0</v>
      </c>
      <c r="X54" s="941">
        <v>0</v>
      </c>
      <c r="Y54" s="941">
        <v>0</v>
      </c>
      <c r="Z54" s="941">
        <v>0</v>
      </c>
      <c r="AA54" s="942">
        <v>0</v>
      </c>
      <c r="AB54" s="943">
        <v>0</v>
      </c>
      <c r="AC54" s="941">
        <v>0</v>
      </c>
      <c r="AD54" s="941">
        <v>0</v>
      </c>
      <c r="AE54" s="941">
        <v>0</v>
      </c>
      <c r="AF54" s="941">
        <v>0</v>
      </c>
      <c r="AG54" s="941">
        <v>0</v>
      </c>
      <c r="AH54" s="941">
        <v>0</v>
      </c>
      <c r="AI54" s="942">
        <v>0</v>
      </c>
      <c r="AJ54" s="943">
        <v>0</v>
      </c>
      <c r="AK54" s="941">
        <v>0</v>
      </c>
      <c r="AL54" s="941">
        <v>0</v>
      </c>
      <c r="AM54" s="941">
        <v>0</v>
      </c>
      <c r="AN54" s="941">
        <v>0</v>
      </c>
      <c r="AO54" s="941">
        <v>0</v>
      </c>
      <c r="AP54" s="941">
        <v>0</v>
      </c>
      <c r="AQ54" s="942">
        <v>0</v>
      </c>
      <c r="AR54" s="944">
        <v>1</v>
      </c>
      <c r="AS54" s="945">
        <v>0</v>
      </c>
      <c r="AT54" s="941">
        <v>3</v>
      </c>
      <c r="AU54" s="941">
        <v>0</v>
      </c>
      <c r="AV54" s="941">
        <v>4</v>
      </c>
      <c r="AW54" s="945">
        <v>7</v>
      </c>
      <c r="AX54" s="945">
        <v>0</v>
      </c>
      <c r="AY54" s="945">
        <v>0</v>
      </c>
      <c r="AZ54" s="945">
        <v>0</v>
      </c>
      <c r="BA54" s="946">
        <v>0</v>
      </c>
      <c r="BB54" s="947">
        <v>1</v>
      </c>
      <c r="BC54" s="948">
        <v>3</v>
      </c>
      <c r="BD54" s="948">
        <v>0</v>
      </c>
      <c r="BE54" s="948">
        <v>4</v>
      </c>
      <c r="BF54" s="948">
        <v>7</v>
      </c>
      <c r="BG54" s="948">
        <v>0</v>
      </c>
      <c r="BH54" s="948">
        <v>0</v>
      </c>
      <c r="BI54" s="948">
        <v>0</v>
      </c>
      <c r="BJ54" s="948">
        <v>0</v>
      </c>
      <c r="BK54" s="948">
        <v>0</v>
      </c>
      <c r="BL54" s="932"/>
    </row>
    <row r="55" spans="1:64" s="400" customFormat="1" ht="17.100000000000001" customHeight="1">
      <c r="A55" s="457" t="s">
        <v>2450</v>
      </c>
      <c r="B55" s="53" t="s">
        <v>262</v>
      </c>
      <c r="C55" s="53" t="s">
        <v>2820</v>
      </c>
      <c r="D55" s="53" t="s">
        <v>2454</v>
      </c>
      <c r="E55" s="53" t="s">
        <v>2424</v>
      </c>
      <c r="F55" s="53" t="s">
        <v>2455</v>
      </c>
      <c r="G55" s="71">
        <v>32200</v>
      </c>
      <c r="H55" s="50" t="s">
        <v>2456</v>
      </c>
      <c r="I55" s="51">
        <v>13224</v>
      </c>
      <c r="J55" s="52">
        <v>22552</v>
      </c>
      <c r="K55" s="53" t="s">
        <v>2457</v>
      </c>
      <c r="L55" s="54" t="s">
        <v>2270</v>
      </c>
      <c r="M55" s="773">
        <v>2</v>
      </c>
      <c r="N55" s="718">
        <v>1</v>
      </c>
      <c r="O55" s="774">
        <v>36</v>
      </c>
      <c r="P55" s="780"/>
      <c r="Q55" s="781"/>
      <c r="R55" s="781"/>
      <c r="S55" s="781"/>
      <c r="T55" s="781">
        <v>1</v>
      </c>
      <c r="U55" s="782">
        <v>2</v>
      </c>
      <c r="V55" s="780"/>
      <c r="W55" s="781"/>
      <c r="X55" s="781"/>
      <c r="Y55" s="781"/>
      <c r="Z55" s="781"/>
      <c r="AA55" s="782"/>
      <c r="AB55" s="788">
        <v>1</v>
      </c>
      <c r="AC55" s="781"/>
      <c r="AD55" s="781">
        <v>1</v>
      </c>
      <c r="AE55" s="781">
        <v>2</v>
      </c>
      <c r="AF55" s="781">
        <f>SUM(AD55:AE55)</f>
        <v>3</v>
      </c>
      <c r="AG55" s="781"/>
      <c r="AH55" s="781"/>
      <c r="AI55" s="782">
        <f>SUM(AG55:AH55)</f>
        <v>0</v>
      </c>
      <c r="AJ55" s="788"/>
      <c r="AK55" s="781"/>
      <c r="AL55" s="781"/>
      <c r="AM55" s="781"/>
      <c r="AN55" s="781">
        <f>SUM(AL55:AM55)</f>
        <v>0</v>
      </c>
      <c r="AO55" s="781"/>
      <c r="AP55" s="781"/>
      <c r="AQ55" s="782">
        <f>SUM(AO55:AP55)</f>
        <v>0</v>
      </c>
      <c r="AR55" s="924"/>
      <c r="AS55" s="925">
        <v>1</v>
      </c>
      <c r="AT55" s="781"/>
      <c r="AU55" s="781"/>
      <c r="AV55" s="781"/>
      <c r="AW55" s="925">
        <f>SUM(AT55:AV55)</f>
        <v>0</v>
      </c>
      <c r="AX55" s="925"/>
      <c r="AY55" s="925"/>
      <c r="AZ55" s="925">
        <v>2</v>
      </c>
      <c r="BA55" s="926">
        <f>SUM(AX55:AZ55)</f>
        <v>2</v>
      </c>
      <c r="BB55" s="927">
        <f>SUM(P55,R55,T55,AB55,AJ55,AR55)</f>
        <v>2</v>
      </c>
      <c r="BC55" s="928">
        <f>SUM(Q55,AD55,AT55)</f>
        <v>1</v>
      </c>
      <c r="BD55" s="928">
        <f>SUM(S55,AE55,AL55,AU55)</f>
        <v>2</v>
      </c>
      <c r="BE55" s="928">
        <f>SUM(U55,AM55,AV55)</f>
        <v>2</v>
      </c>
      <c r="BF55" s="928">
        <f>SUM(BC55:BE55)</f>
        <v>5</v>
      </c>
      <c r="BG55" s="928">
        <f>SUM(V55,X55,Z55,AC55,AK55,AS55)</f>
        <v>1</v>
      </c>
      <c r="BH55" s="928">
        <f>SUM(W55,AG55,AX55)</f>
        <v>0</v>
      </c>
      <c r="BI55" s="928">
        <f>SUM(Y55,AH55,AO55,AY55)</f>
        <v>0</v>
      </c>
      <c r="BJ55" s="928">
        <f>SUM(AA55,AP55,AZ55)</f>
        <v>2</v>
      </c>
      <c r="BK55" s="928">
        <f>SUM(BH55:BJ55)</f>
        <v>2</v>
      </c>
      <c r="BL55" s="53"/>
    </row>
    <row r="56" spans="1:64" s="400" customFormat="1" ht="17.100000000000001" customHeight="1">
      <c r="A56" s="457" t="s">
        <v>3275</v>
      </c>
      <c r="B56" s="53" t="s">
        <v>262</v>
      </c>
      <c r="C56" s="53" t="s">
        <v>2820</v>
      </c>
      <c r="D56" s="53" t="s">
        <v>3276</v>
      </c>
      <c r="E56" s="53" t="s">
        <v>4</v>
      </c>
      <c r="F56" s="53" t="s">
        <v>3277</v>
      </c>
      <c r="G56" s="71">
        <v>35499</v>
      </c>
      <c r="H56" s="50" t="s">
        <v>3278</v>
      </c>
      <c r="I56" s="51">
        <v>17000</v>
      </c>
      <c r="J56" s="52">
        <v>22521</v>
      </c>
      <c r="K56" s="53" t="s">
        <v>3279</v>
      </c>
      <c r="L56" s="54" t="s">
        <v>3280</v>
      </c>
      <c r="M56" s="773">
        <v>2</v>
      </c>
      <c r="N56" s="718">
        <v>0</v>
      </c>
      <c r="O56" s="774">
        <v>36</v>
      </c>
      <c r="P56" s="780">
        <v>1</v>
      </c>
      <c r="Q56" s="781">
        <v>2</v>
      </c>
      <c r="R56" s="781">
        <v>0</v>
      </c>
      <c r="S56" s="781">
        <v>0</v>
      </c>
      <c r="T56" s="781">
        <v>0</v>
      </c>
      <c r="U56" s="782">
        <v>0</v>
      </c>
      <c r="V56" s="780">
        <v>0</v>
      </c>
      <c r="W56" s="781">
        <v>0</v>
      </c>
      <c r="X56" s="781">
        <v>0</v>
      </c>
      <c r="Y56" s="781">
        <v>0</v>
      </c>
      <c r="Z56" s="781">
        <v>0</v>
      </c>
      <c r="AA56" s="782">
        <v>0</v>
      </c>
      <c r="AB56" s="788">
        <v>0</v>
      </c>
      <c r="AC56" s="781">
        <v>0</v>
      </c>
      <c r="AD56" s="781">
        <v>0</v>
      </c>
      <c r="AE56" s="781">
        <v>0</v>
      </c>
      <c r="AF56" s="781">
        <v>0</v>
      </c>
      <c r="AG56" s="781">
        <v>0</v>
      </c>
      <c r="AH56" s="781">
        <v>0</v>
      </c>
      <c r="AI56" s="782">
        <v>0</v>
      </c>
      <c r="AJ56" s="788">
        <v>0</v>
      </c>
      <c r="AK56" s="781">
        <v>0</v>
      </c>
      <c r="AL56" s="781">
        <v>0</v>
      </c>
      <c r="AM56" s="781">
        <v>0</v>
      </c>
      <c r="AN56" s="781">
        <v>0</v>
      </c>
      <c r="AO56" s="781">
        <v>0</v>
      </c>
      <c r="AP56" s="781">
        <v>0</v>
      </c>
      <c r="AQ56" s="782">
        <v>0</v>
      </c>
      <c r="AR56" s="924">
        <v>0</v>
      </c>
      <c r="AS56" s="925">
        <v>0</v>
      </c>
      <c r="AT56" s="781">
        <v>0</v>
      </c>
      <c r="AU56" s="781">
        <v>0</v>
      </c>
      <c r="AV56" s="781">
        <v>0</v>
      </c>
      <c r="AW56" s="925">
        <v>0</v>
      </c>
      <c r="AX56" s="925">
        <v>0</v>
      </c>
      <c r="AY56" s="925">
        <v>0</v>
      </c>
      <c r="AZ56" s="925">
        <v>0</v>
      </c>
      <c r="BA56" s="926">
        <v>0</v>
      </c>
      <c r="BB56" s="927">
        <v>1</v>
      </c>
      <c r="BC56" s="928">
        <v>2</v>
      </c>
      <c r="BD56" s="928">
        <v>0</v>
      </c>
      <c r="BE56" s="928">
        <v>0</v>
      </c>
      <c r="BF56" s="928">
        <v>0</v>
      </c>
      <c r="BG56" s="928">
        <v>0</v>
      </c>
      <c r="BH56" s="928">
        <v>0</v>
      </c>
      <c r="BI56" s="928">
        <v>0</v>
      </c>
      <c r="BJ56" s="928">
        <v>0</v>
      </c>
      <c r="BK56" s="928">
        <v>0</v>
      </c>
      <c r="BL56" s="53"/>
    </row>
    <row r="57" spans="1:64" s="43" customFormat="1" ht="17.100000000000001" customHeight="1">
      <c r="A57" s="1611" t="s">
        <v>1460</v>
      </c>
      <c r="B57" s="1612"/>
      <c r="C57" s="1612"/>
      <c r="D57" s="1613"/>
      <c r="E57" s="401">
        <f>COUNTA(E51:E56)</f>
        <v>6</v>
      </c>
      <c r="F57" s="285"/>
      <c r="G57" s="402"/>
      <c r="H57" s="181"/>
      <c r="I57" s="403"/>
      <c r="J57" s="287"/>
      <c r="K57" s="285"/>
      <c r="L57" s="288"/>
      <c r="M57" s="404">
        <f t="shared" ref="M57:AR57" si="33">SUM(M51:M56)</f>
        <v>12</v>
      </c>
      <c r="N57" s="405">
        <f t="shared" si="33"/>
        <v>1</v>
      </c>
      <c r="O57" s="406">
        <f t="shared" si="33"/>
        <v>211</v>
      </c>
      <c r="P57" s="407">
        <f t="shared" si="33"/>
        <v>1</v>
      </c>
      <c r="Q57" s="408">
        <f t="shared" si="33"/>
        <v>2</v>
      </c>
      <c r="R57" s="408">
        <f t="shared" si="33"/>
        <v>0</v>
      </c>
      <c r="S57" s="408">
        <f t="shared" si="33"/>
        <v>0</v>
      </c>
      <c r="T57" s="408">
        <f t="shared" si="33"/>
        <v>2</v>
      </c>
      <c r="U57" s="409">
        <f t="shared" si="33"/>
        <v>9</v>
      </c>
      <c r="V57" s="410">
        <f t="shared" si="33"/>
        <v>0</v>
      </c>
      <c r="W57" s="408">
        <f t="shared" si="33"/>
        <v>0</v>
      </c>
      <c r="X57" s="408">
        <f t="shared" si="33"/>
        <v>0</v>
      </c>
      <c r="Y57" s="408">
        <f t="shared" si="33"/>
        <v>0</v>
      </c>
      <c r="Z57" s="408">
        <f t="shared" si="33"/>
        <v>0</v>
      </c>
      <c r="AA57" s="409">
        <f t="shared" si="33"/>
        <v>0</v>
      </c>
      <c r="AB57" s="407">
        <f t="shared" si="33"/>
        <v>2</v>
      </c>
      <c r="AC57" s="408">
        <f t="shared" si="33"/>
        <v>0</v>
      </c>
      <c r="AD57" s="408">
        <f t="shared" si="33"/>
        <v>9</v>
      </c>
      <c r="AE57" s="408">
        <f t="shared" si="33"/>
        <v>6</v>
      </c>
      <c r="AF57" s="408">
        <f t="shared" si="33"/>
        <v>15</v>
      </c>
      <c r="AG57" s="408">
        <f t="shared" si="33"/>
        <v>0</v>
      </c>
      <c r="AH57" s="408">
        <f t="shared" si="33"/>
        <v>0</v>
      </c>
      <c r="AI57" s="409">
        <f t="shared" si="33"/>
        <v>0</v>
      </c>
      <c r="AJ57" s="407">
        <f t="shared" si="33"/>
        <v>1</v>
      </c>
      <c r="AK57" s="408">
        <f t="shared" si="33"/>
        <v>0</v>
      </c>
      <c r="AL57" s="408">
        <f t="shared" si="33"/>
        <v>0</v>
      </c>
      <c r="AM57" s="408">
        <f t="shared" si="33"/>
        <v>4</v>
      </c>
      <c r="AN57" s="408">
        <f t="shared" si="33"/>
        <v>4</v>
      </c>
      <c r="AO57" s="408">
        <f t="shared" si="33"/>
        <v>0</v>
      </c>
      <c r="AP57" s="408">
        <f t="shared" si="33"/>
        <v>0</v>
      </c>
      <c r="AQ57" s="409">
        <f t="shared" si="33"/>
        <v>0</v>
      </c>
      <c r="AR57" s="411">
        <f t="shared" si="33"/>
        <v>1</v>
      </c>
      <c r="AS57" s="412">
        <f t="shared" ref="AS57:BK57" si="34">SUM(AS51:AS56)</f>
        <v>1</v>
      </c>
      <c r="AT57" s="412">
        <f t="shared" si="34"/>
        <v>3</v>
      </c>
      <c r="AU57" s="412">
        <f t="shared" si="34"/>
        <v>0</v>
      </c>
      <c r="AV57" s="412">
        <f t="shared" si="34"/>
        <v>4</v>
      </c>
      <c r="AW57" s="412">
        <f t="shared" si="34"/>
        <v>7</v>
      </c>
      <c r="AX57" s="412">
        <f t="shared" si="34"/>
        <v>0</v>
      </c>
      <c r="AY57" s="412">
        <f t="shared" si="34"/>
        <v>0</v>
      </c>
      <c r="AZ57" s="412">
        <f t="shared" si="34"/>
        <v>2</v>
      </c>
      <c r="BA57" s="413">
        <f t="shared" si="34"/>
        <v>2</v>
      </c>
      <c r="BB57" s="414">
        <f t="shared" si="34"/>
        <v>7</v>
      </c>
      <c r="BC57" s="415">
        <f t="shared" si="34"/>
        <v>14</v>
      </c>
      <c r="BD57" s="415">
        <f t="shared" si="34"/>
        <v>6</v>
      </c>
      <c r="BE57" s="415">
        <f t="shared" si="34"/>
        <v>17</v>
      </c>
      <c r="BF57" s="415">
        <f t="shared" si="34"/>
        <v>35</v>
      </c>
      <c r="BG57" s="415">
        <f t="shared" si="34"/>
        <v>1</v>
      </c>
      <c r="BH57" s="415">
        <f t="shared" si="34"/>
        <v>0</v>
      </c>
      <c r="BI57" s="415">
        <f t="shared" si="34"/>
        <v>0</v>
      </c>
      <c r="BJ57" s="415">
        <f t="shared" si="34"/>
        <v>2</v>
      </c>
      <c r="BK57" s="416">
        <f t="shared" si="34"/>
        <v>2</v>
      </c>
      <c r="BL57" s="417"/>
    </row>
    <row r="58" spans="1:64" s="43" customFormat="1" ht="17.100000000000001" customHeight="1">
      <c r="A58" s="457" t="s">
        <v>2450</v>
      </c>
      <c r="B58" s="53" t="s">
        <v>262</v>
      </c>
      <c r="C58" s="53" t="s">
        <v>2820</v>
      </c>
      <c r="D58" s="53" t="s">
        <v>1469</v>
      </c>
      <c r="E58" s="53" t="s">
        <v>2529</v>
      </c>
      <c r="F58" s="53" t="s">
        <v>2581</v>
      </c>
      <c r="G58" s="392">
        <v>30376</v>
      </c>
      <c r="H58" s="50" t="s">
        <v>1470</v>
      </c>
      <c r="I58" s="51">
        <v>2796</v>
      </c>
      <c r="J58" s="456">
        <v>22573</v>
      </c>
      <c r="K58" s="53" t="s">
        <v>1461</v>
      </c>
      <c r="L58" s="54" t="s">
        <v>1462</v>
      </c>
      <c r="M58" s="57">
        <v>9</v>
      </c>
      <c r="N58" s="58"/>
      <c r="O58" s="59">
        <v>210</v>
      </c>
      <c r="P58" s="60">
        <v>3</v>
      </c>
      <c r="Q58" s="61">
        <v>48</v>
      </c>
      <c r="R58" s="61">
        <v>2</v>
      </c>
      <c r="S58" s="61">
        <v>61</v>
      </c>
      <c r="T58" s="61">
        <v>2</v>
      </c>
      <c r="U58" s="62">
        <v>54</v>
      </c>
      <c r="V58" s="60"/>
      <c r="W58" s="61"/>
      <c r="X58" s="61"/>
      <c r="Y58" s="61"/>
      <c r="Z58" s="61"/>
      <c r="AA58" s="62"/>
      <c r="AB58" s="63"/>
      <c r="AC58" s="61"/>
      <c r="AD58" s="61"/>
      <c r="AE58" s="61"/>
      <c r="AF58" s="61">
        <f t="shared" ref="AF58:AF63" si="35">SUM(AD58:AE58)</f>
        <v>0</v>
      </c>
      <c r="AG58" s="61"/>
      <c r="AH58" s="61"/>
      <c r="AI58" s="62">
        <f t="shared" ref="AI58:AI63" si="36">SUM(AG58:AH58)</f>
        <v>0</v>
      </c>
      <c r="AJ58" s="63"/>
      <c r="AK58" s="61"/>
      <c r="AL58" s="61"/>
      <c r="AM58" s="61"/>
      <c r="AN58" s="61">
        <f t="shared" ref="AN58:AN63" si="37">SUM(AL58:AM58)</f>
        <v>0</v>
      </c>
      <c r="AO58" s="61"/>
      <c r="AP58" s="61"/>
      <c r="AQ58" s="62">
        <f t="shared" ref="AQ58:AQ63" si="38">SUM(AO58:AP58)</f>
        <v>0</v>
      </c>
      <c r="AR58" s="955"/>
      <c r="AS58" s="956"/>
      <c r="AT58" s="61"/>
      <c r="AU58" s="61"/>
      <c r="AV58" s="61"/>
      <c r="AW58" s="956">
        <f t="shared" ref="AW58:AW63" si="39">SUM(AT58:AV58)</f>
        <v>0</v>
      </c>
      <c r="AX58" s="956"/>
      <c r="AY58" s="956"/>
      <c r="AZ58" s="956"/>
      <c r="BA58" s="957">
        <f t="shared" ref="BA58:BA63" si="40">SUM(AX58:AZ58)</f>
        <v>0</v>
      </c>
      <c r="BB58" s="958">
        <f t="shared" ref="BB58:BB63" si="41">SUM(P58,R58,T58,AB58,AJ58,AR58)</f>
        <v>7</v>
      </c>
      <c r="BC58" s="959">
        <f t="shared" ref="BC58:BC63" si="42">SUM(Q58,AD58,AT58)</f>
        <v>48</v>
      </c>
      <c r="BD58" s="959">
        <f t="shared" ref="BD58:BD63" si="43">SUM(S58,AE58,AL58,AU58)</f>
        <v>61</v>
      </c>
      <c r="BE58" s="959">
        <f t="shared" ref="BE58:BE63" si="44">SUM(U58,AM58,AV58)</f>
        <v>54</v>
      </c>
      <c r="BF58" s="959">
        <f t="shared" ref="BF58:BF63" si="45">SUM(BC58:BE58)</f>
        <v>163</v>
      </c>
      <c r="BG58" s="959">
        <f t="shared" ref="BG58:BG63" si="46">SUM(V58,X58,Z58,AC58,AK58,AS58)</f>
        <v>0</v>
      </c>
      <c r="BH58" s="959">
        <f t="shared" ref="BH58:BH63" si="47">SUM(W58,AG58,AX58)</f>
        <v>0</v>
      </c>
      <c r="BI58" s="959">
        <f t="shared" ref="BI58:BI63" si="48">SUM(Y58,AH58,AO58,AY58)</f>
        <v>0</v>
      </c>
      <c r="BJ58" s="959">
        <f t="shared" ref="BJ58:BJ63" si="49">SUM(AA58,AP58,AZ58)</f>
        <v>0</v>
      </c>
      <c r="BK58" s="959">
        <f t="shared" ref="BK58:BK63" si="50">SUM(BH58:BJ58)</f>
        <v>0</v>
      </c>
      <c r="BL58" s="53"/>
    </row>
    <row r="59" spans="1:64" s="43" customFormat="1" ht="17.100000000000001" customHeight="1">
      <c r="A59" s="457" t="s">
        <v>2450</v>
      </c>
      <c r="B59" s="53" t="s">
        <v>262</v>
      </c>
      <c r="C59" s="53" t="s">
        <v>2820</v>
      </c>
      <c r="D59" s="53" t="s">
        <v>2582</v>
      </c>
      <c r="E59" s="53" t="s">
        <v>5</v>
      </c>
      <c r="F59" s="53" t="s">
        <v>2583</v>
      </c>
      <c r="G59" s="71">
        <v>40617</v>
      </c>
      <c r="H59" s="727" t="s">
        <v>2584</v>
      </c>
      <c r="I59" s="968">
        <v>534</v>
      </c>
      <c r="J59" s="744">
        <v>22545</v>
      </c>
      <c r="K59" s="744" t="s">
        <v>2585</v>
      </c>
      <c r="L59" s="969"/>
      <c r="M59" s="57">
        <v>8</v>
      </c>
      <c r="N59" s="58"/>
      <c r="O59" s="59">
        <v>217</v>
      </c>
      <c r="P59" s="60"/>
      <c r="Q59" s="61"/>
      <c r="R59" s="61"/>
      <c r="S59" s="61"/>
      <c r="T59" s="61">
        <v>1</v>
      </c>
      <c r="U59" s="62">
        <v>4</v>
      </c>
      <c r="V59" s="60"/>
      <c r="W59" s="61"/>
      <c r="X59" s="61"/>
      <c r="Y59" s="61"/>
      <c r="Z59" s="61"/>
      <c r="AA59" s="62"/>
      <c r="AB59" s="63"/>
      <c r="AC59" s="61"/>
      <c r="AD59" s="61">
        <v>2</v>
      </c>
      <c r="AE59" s="61">
        <v>1</v>
      </c>
      <c r="AF59" s="61">
        <f t="shared" si="35"/>
        <v>3</v>
      </c>
      <c r="AG59" s="61"/>
      <c r="AH59" s="61"/>
      <c r="AI59" s="62">
        <f t="shared" si="36"/>
        <v>0</v>
      </c>
      <c r="AJ59" s="63"/>
      <c r="AK59" s="61"/>
      <c r="AL59" s="61"/>
      <c r="AM59" s="61"/>
      <c r="AN59" s="61">
        <f t="shared" si="37"/>
        <v>0</v>
      </c>
      <c r="AO59" s="61"/>
      <c r="AP59" s="61"/>
      <c r="AQ59" s="62">
        <f t="shared" si="38"/>
        <v>0</v>
      </c>
      <c r="AR59" s="955"/>
      <c r="AS59" s="956"/>
      <c r="AT59" s="61"/>
      <c r="AU59" s="61"/>
      <c r="AV59" s="61"/>
      <c r="AW59" s="956">
        <f t="shared" si="39"/>
        <v>0</v>
      </c>
      <c r="AX59" s="956"/>
      <c r="AY59" s="956"/>
      <c r="AZ59" s="956"/>
      <c r="BA59" s="957">
        <f t="shared" si="40"/>
        <v>0</v>
      </c>
      <c r="BB59" s="958">
        <f t="shared" si="41"/>
        <v>1</v>
      </c>
      <c r="BC59" s="959">
        <f t="shared" si="42"/>
        <v>2</v>
      </c>
      <c r="BD59" s="959">
        <f t="shared" si="43"/>
        <v>1</v>
      </c>
      <c r="BE59" s="959">
        <f t="shared" si="44"/>
        <v>4</v>
      </c>
      <c r="BF59" s="959">
        <f t="shared" si="45"/>
        <v>7</v>
      </c>
      <c r="BG59" s="959">
        <f t="shared" si="46"/>
        <v>0</v>
      </c>
      <c r="BH59" s="959">
        <f t="shared" si="47"/>
        <v>0</v>
      </c>
      <c r="BI59" s="959">
        <f t="shared" si="48"/>
        <v>0</v>
      </c>
      <c r="BJ59" s="959">
        <f t="shared" si="49"/>
        <v>0</v>
      </c>
      <c r="BK59" s="959">
        <f t="shared" si="50"/>
        <v>0</v>
      </c>
      <c r="BL59" s="53"/>
    </row>
    <row r="60" spans="1:64" s="43" customFormat="1" ht="17.100000000000001" customHeight="1">
      <c r="A60" s="457" t="s">
        <v>2450</v>
      </c>
      <c r="B60" s="53" t="s">
        <v>262</v>
      </c>
      <c r="C60" s="53" t="s">
        <v>2820</v>
      </c>
      <c r="D60" s="53" t="s">
        <v>2586</v>
      </c>
      <c r="E60" s="53" t="s">
        <v>5</v>
      </c>
      <c r="F60" s="53" t="s">
        <v>2587</v>
      </c>
      <c r="G60" s="71">
        <v>40603</v>
      </c>
      <c r="H60" s="50" t="s">
        <v>2588</v>
      </c>
      <c r="I60" s="51">
        <v>520</v>
      </c>
      <c r="J60" s="52">
        <v>22546</v>
      </c>
      <c r="K60" s="53" t="s">
        <v>2589</v>
      </c>
      <c r="L60" s="54" t="s">
        <v>2590</v>
      </c>
      <c r="M60" s="57">
        <v>7</v>
      </c>
      <c r="N60" s="58"/>
      <c r="O60" s="59">
        <v>168</v>
      </c>
      <c r="P60" s="60">
        <v>2</v>
      </c>
      <c r="Q60" s="61">
        <v>32</v>
      </c>
      <c r="R60" s="61">
        <v>2</v>
      </c>
      <c r="S60" s="61">
        <v>44</v>
      </c>
      <c r="T60" s="61">
        <v>1</v>
      </c>
      <c r="U60" s="62">
        <v>28</v>
      </c>
      <c r="V60" s="60"/>
      <c r="W60" s="61"/>
      <c r="X60" s="61"/>
      <c r="Y60" s="61"/>
      <c r="Z60" s="61"/>
      <c r="AA60" s="62"/>
      <c r="AB60" s="63"/>
      <c r="AC60" s="61"/>
      <c r="AD60" s="61"/>
      <c r="AE60" s="61"/>
      <c r="AF60" s="61">
        <f t="shared" si="35"/>
        <v>0</v>
      </c>
      <c r="AG60" s="61"/>
      <c r="AH60" s="61"/>
      <c r="AI60" s="62">
        <f t="shared" si="36"/>
        <v>0</v>
      </c>
      <c r="AJ60" s="63"/>
      <c r="AK60" s="61"/>
      <c r="AL60" s="61"/>
      <c r="AM60" s="61"/>
      <c r="AN60" s="61">
        <f t="shared" si="37"/>
        <v>0</v>
      </c>
      <c r="AO60" s="61"/>
      <c r="AP60" s="61"/>
      <c r="AQ60" s="62">
        <f t="shared" si="38"/>
        <v>0</v>
      </c>
      <c r="AR60" s="955"/>
      <c r="AS60" s="956"/>
      <c r="AT60" s="61"/>
      <c r="AU60" s="61"/>
      <c r="AV60" s="61"/>
      <c r="AW60" s="956">
        <f t="shared" si="39"/>
        <v>0</v>
      </c>
      <c r="AX60" s="956"/>
      <c r="AY60" s="956"/>
      <c r="AZ60" s="956"/>
      <c r="BA60" s="957">
        <f t="shared" si="40"/>
        <v>0</v>
      </c>
      <c r="BB60" s="958">
        <f t="shared" si="41"/>
        <v>5</v>
      </c>
      <c r="BC60" s="959">
        <f t="shared" si="42"/>
        <v>32</v>
      </c>
      <c r="BD60" s="959">
        <f t="shared" si="43"/>
        <v>44</v>
      </c>
      <c r="BE60" s="959">
        <f t="shared" si="44"/>
        <v>28</v>
      </c>
      <c r="BF60" s="959">
        <f t="shared" si="45"/>
        <v>104</v>
      </c>
      <c r="BG60" s="959">
        <f t="shared" si="46"/>
        <v>0</v>
      </c>
      <c r="BH60" s="959">
        <f t="shared" si="47"/>
        <v>0</v>
      </c>
      <c r="BI60" s="959">
        <f t="shared" si="48"/>
        <v>0</v>
      </c>
      <c r="BJ60" s="959">
        <f t="shared" si="49"/>
        <v>0</v>
      </c>
      <c r="BK60" s="959">
        <f t="shared" si="50"/>
        <v>0</v>
      </c>
      <c r="BL60" s="53"/>
    </row>
    <row r="61" spans="1:64" s="43" customFormat="1" ht="17.100000000000001" customHeight="1">
      <c r="A61" s="457" t="s">
        <v>2450</v>
      </c>
      <c r="B61" s="53" t="s">
        <v>262</v>
      </c>
      <c r="C61" s="53" t="s">
        <v>2820</v>
      </c>
      <c r="D61" s="53" t="s">
        <v>2586</v>
      </c>
      <c r="E61" s="53" t="s">
        <v>2529</v>
      </c>
      <c r="F61" s="53" t="s">
        <v>2591</v>
      </c>
      <c r="G61" s="71">
        <v>42248</v>
      </c>
      <c r="H61" s="50" t="s">
        <v>2592</v>
      </c>
      <c r="I61" s="51">
        <v>484</v>
      </c>
      <c r="J61" s="52">
        <v>22546</v>
      </c>
      <c r="K61" s="53" t="s">
        <v>2593</v>
      </c>
      <c r="L61" s="54" t="s">
        <v>3358</v>
      </c>
      <c r="M61" s="64">
        <v>3</v>
      </c>
      <c r="N61" s="58"/>
      <c r="O61" s="66">
        <v>74</v>
      </c>
      <c r="P61" s="60">
        <v>1</v>
      </c>
      <c r="Q61" s="61">
        <v>16</v>
      </c>
      <c r="R61" s="61">
        <v>1</v>
      </c>
      <c r="S61" s="61">
        <v>12</v>
      </c>
      <c r="T61" s="61">
        <v>1</v>
      </c>
      <c r="U61" s="62">
        <v>13</v>
      </c>
      <c r="V61" s="60"/>
      <c r="W61" s="61"/>
      <c r="X61" s="61"/>
      <c r="Y61" s="61"/>
      <c r="Z61" s="61"/>
      <c r="AA61" s="62"/>
      <c r="AB61" s="63"/>
      <c r="AC61" s="61"/>
      <c r="AD61" s="61"/>
      <c r="AE61" s="61"/>
      <c r="AF61" s="61">
        <f t="shared" si="35"/>
        <v>0</v>
      </c>
      <c r="AG61" s="61"/>
      <c r="AH61" s="61"/>
      <c r="AI61" s="62">
        <f t="shared" si="36"/>
        <v>0</v>
      </c>
      <c r="AJ61" s="63"/>
      <c r="AK61" s="61"/>
      <c r="AL61" s="61"/>
      <c r="AM61" s="61"/>
      <c r="AN61" s="61">
        <f t="shared" si="37"/>
        <v>0</v>
      </c>
      <c r="AO61" s="61"/>
      <c r="AP61" s="61"/>
      <c r="AQ61" s="62">
        <f t="shared" si="38"/>
        <v>0</v>
      </c>
      <c r="AR61" s="955"/>
      <c r="AS61" s="956"/>
      <c r="AT61" s="61"/>
      <c r="AU61" s="61"/>
      <c r="AV61" s="61"/>
      <c r="AW61" s="956">
        <f t="shared" si="39"/>
        <v>0</v>
      </c>
      <c r="AX61" s="956"/>
      <c r="AY61" s="956"/>
      <c r="AZ61" s="956"/>
      <c r="BA61" s="957">
        <f t="shared" si="40"/>
        <v>0</v>
      </c>
      <c r="BB61" s="958">
        <f t="shared" si="41"/>
        <v>3</v>
      </c>
      <c r="BC61" s="959">
        <f t="shared" si="42"/>
        <v>16</v>
      </c>
      <c r="BD61" s="959">
        <f t="shared" si="43"/>
        <v>12</v>
      </c>
      <c r="BE61" s="959">
        <f t="shared" si="44"/>
        <v>13</v>
      </c>
      <c r="BF61" s="959">
        <f t="shared" si="45"/>
        <v>41</v>
      </c>
      <c r="BG61" s="959">
        <f t="shared" si="46"/>
        <v>0</v>
      </c>
      <c r="BH61" s="959">
        <f t="shared" si="47"/>
        <v>0</v>
      </c>
      <c r="BI61" s="959">
        <f t="shared" si="48"/>
        <v>0</v>
      </c>
      <c r="BJ61" s="959">
        <f t="shared" si="49"/>
        <v>0</v>
      </c>
      <c r="BK61" s="959">
        <f t="shared" si="50"/>
        <v>0</v>
      </c>
      <c r="BL61" s="53"/>
    </row>
    <row r="62" spans="1:64" s="43" customFormat="1" ht="17.100000000000001" customHeight="1">
      <c r="A62" s="457" t="s">
        <v>3275</v>
      </c>
      <c r="B62" s="53" t="s">
        <v>262</v>
      </c>
      <c r="C62" s="53" t="s">
        <v>2820</v>
      </c>
      <c r="D62" s="751" t="s">
        <v>2594</v>
      </c>
      <c r="E62" s="53" t="s">
        <v>5</v>
      </c>
      <c r="F62" s="53" t="s">
        <v>2808</v>
      </c>
      <c r="G62" s="71">
        <v>38412</v>
      </c>
      <c r="H62" s="751" t="s">
        <v>1837</v>
      </c>
      <c r="I62" s="51">
        <v>634</v>
      </c>
      <c r="J62" s="52">
        <v>22548</v>
      </c>
      <c r="K62" s="53" t="s">
        <v>3359</v>
      </c>
      <c r="L62" s="54" t="s">
        <v>3360</v>
      </c>
      <c r="M62" s="1234">
        <v>8</v>
      </c>
      <c r="N62" s="58"/>
      <c r="O62" s="1235">
        <v>184</v>
      </c>
      <c r="P62" s="60">
        <v>3</v>
      </c>
      <c r="Q62" s="61">
        <v>28</v>
      </c>
      <c r="R62" s="61">
        <v>3</v>
      </c>
      <c r="S62" s="61">
        <v>39</v>
      </c>
      <c r="T62" s="61">
        <v>2</v>
      </c>
      <c r="U62" s="62">
        <v>31</v>
      </c>
      <c r="V62" s="60"/>
      <c r="W62" s="61"/>
      <c r="X62" s="61"/>
      <c r="Y62" s="61"/>
      <c r="Z62" s="61"/>
      <c r="AA62" s="62"/>
      <c r="AB62" s="63"/>
      <c r="AC62" s="61"/>
      <c r="AD62" s="61"/>
      <c r="AE62" s="61"/>
      <c r="AF62" s="61">
        <f t="shared" si="35"/>
        <v>0</v>
      </c>
      <c r="AG62" s="61"/>
      <c r="AH62" s="61"/>
      <c r="AI62" s="62">
        <f t="shared" si="36"/>
        <v>0</v>
      </c>
      <c r="AJ62" s="63"/>
      <c r="AK62" s="61"/>
      <c r="AL62" s="61"/>
      <c r="AM62" s="61"/>
      <c r="AN62" s="61">
        <f t="shared" si="37"/>
        <v>0</v>
      </c>
      <c r="AO62" s="61"/>
      <c r="AP62" s="61"/>
      <c r="AQ62" s="62">
        <f t="shared" si="38"/>
        <v>0</v>
      </c>
      <c r="AR62" s="955"/>
      <c r="AS62" s="956"/>
      <c r="AT62" s="61"/>
      <c r="AU62" s="61"/>
      <c r="AV62" s="61"/>
      <c r="AW62" s="956">
        <f t="shared" si="39"/>
        <v>0</v>
      </c>
      <c r="AX62" s="956"/>
      <c r="AY62" s="956"/>
      <c r="AZ62" s="956"/>
      <c r="BA62" s="957">
        <f t="shared" si="40"/>
        <v>0</v>
      </c>
      <c r="BB62" s="958">
        <f t="shared" si="41"/>
        <v>8</v>
      </c>
      <c r="BC62" s="959">
        <f t="shared" si="42"/>
        <v>28</v>
      </c>
      <c r="BD62" s="959">
        <f t="shared" si="43"/>
        <v>39</v>
      </c>
      <c r="BE62" s="959">
        <f t="shared" si="44"/>
        <v>31</v>
      </c>
      <c r="BF62" s="959">
        <f t="shared" si="45"/>
        <v>98</v>
      </c>
      <c r="BG62" s="959">
        <f t="shared" si="46"/>
        <v>0</v>
      </c>
      <c r="BH62" s="959">
        <f t="shared" si="47"/>
        <v>0</v>
      </c>
      <c r="BI62" s="959">
        <f t="shared" si="48"/>
        <v>0</v>
      </c>
      <c r="BJ62" s="959">
        <f t="shared" si="49"/>
        <v>0</v>
      </c>
      <c r="BK62" s="959">
        <f t="shared" si="50"/>
        <v>0</v>
      </c>
      <c r="BL62" s="53"/>
    </row>
    <row r="63" spans="1:64" s="43" customFormat="1" ht="17.100000000000001" customHeight="1">
      <c r="A63" s="457" t="s">
        <v>2450</v>
      </c>
      <c r="B63" s="53" t="s">
        <v>262</v>
      </c>
      <c r="C63" s="53" t="s">
        <v>2820</v>
      </c>
      <c r="D63" s="53" t="s">
        <v>2595</v>
      </c>
      <c r="E63" s="53" t="s">
        <v>5</v>
      </c>
      <c r="F63" s="53" t="s">
        <v>2596</v>
      </c>
      <c r="G63" s="71">
        <v>33298</v>
      </c>
      <c r="H63" s="50" t="s">
        <v>1468</v>
      </c>
      <c r="I63" s="51">
        <v>389</v>
      </c>
      <c r="J63" s="52">
        <v>22522</v>
      </c>
      <c r="K63" s="53" t="s">
        <v>1463</v>
      </c>
      <c r="L63" s="54" t="s">
        <v>1464</v>
      </c>
      <c r="M63" s="64">
        <v>9</v>
      </c>
      <c r="N63" s="58"/>
      <c r="O63" s="66">
        <v>234</v>
      </c>
      <c r="P63" s="60">
        <v>2</v>
      </c>
      <c r="Q63" s="61">
        <v>16</v>
      </c>
      <c r="R63" s="61">
        <v>2</v>
      </c>
      <c r="S63" s="61">
        <v>28</v>
      </c>
      <c r="T63" s="61">
        <v>2</v>
      </c>
      <c r="U63" s="62">
        <v>34</v>
      </c>
      <c r="V63" s="60"/>
      <c r="W63" s="61"/>
      <c r="X63" s="61"/>
      <c r="Y63" s="61"/>
      <c r="Z63" s="61"/>
      <c r="AA63" s="62"/>
      <c r="AB63" s="63"/>
      <c r="AC63" s="61"/>
      <c r="AD63" s="61"/>
      <c r="AE63" s="61"/>
      <c r="AF63" s="61">
        <f t="shared" si="35"/>
        <v>0</v>
      </c>
      <c r="AG63" s="61"/>
      <c r="AH63" s="61"/>
      <c r="AI63" s="62">
        <f t="shared" si="36"/>
        <v>0</v>
      </c>
      <c r="AJ63" s="63"/>
      <c r="AK63" s="61"/>
      <c r="AL63" s="61"/>
      <c r="AM63" s="61"/>
      <c r="AN63" s="61">
        <f t="shared" si="37"/>
        <v>0</v>
      </c>
      <c r="AO63" s="61"/>
      <c r="AP63" s="61"/>
      <c r="AQ63" s="62">
        <f t="shared" si="38"/>
        <v>0</v>
      </c>
      <c r="AR63" s="955"/>
      <c r="AS63" s="956"/>
      <c r="AT63" s="61"/>
      <c r="AU63" s="61"/>
      <c r="AV63" s="61"/>
      <c r="AW63" s="956">
        <f t="shared" si="39"/>
        <v>0</v>
      </c>
      <c r="AX63" s="956"/>
      <c r="AY63" s="956"/>
      <c r="AZ63" s="956"/>
      <c r="BA63" s="957">
        <f t="shared" si="40"/>
        <v>0</v>
      </c>
      <c r="BB63" s="958">
        <f t="shared" si="41"/>
        <v>6</v>
      </c>
      <c r="BC63" s="959">
        <f t="shared" si="42"/>
        <v>16</v>
      </c>
      <c r="BD63" s="959">
        <f t="shared" si="43"/>
        <v>28</v>
      </c>
      <c r="BE63" s="959">
        <f t="shared" si="44"/>
        <v>34</v>
      </c>
      <c r="BF63" s="959">
        <f t="shared" si="45"/>
        <v>78</v>
      </c>
      <c r="BG63" s="959">
        <f t="shared" si="46"/>
        <v>0</v>
      </c>
      <c r="BH63" s="959">
        <f t="shared" si="47"/>
        <v>0</v>
      </c>
      <c r="BI63" s="959">
        <f t="shared" si="48"/>
        <v>0</v>
      </c>
      <c r="BJ63" s="959">
        <f t="shared" si="49"/>
        <v>0</v>
      </c>
      <c r="BK63" s="959">
        <f t="shared" si="50"/>
        <v>0</v>
      </c>
      <c r="BL63" s="53"/>
    </row>
    <row r="64" spans="1:64" s="43" customFormat="1" ht="17.100000000000001" customHeight="1">
      <c r="A64" s="1614" t="s">
        <v>1466</v>
      </c>
      <c r="B64" s="1615"/>
      <c r="C64" s="1615"/>
      <c r="D64" s="1616"/>
      <c r="E64" s="418">
        <f>COUNTA(E58:E63)</f>
        <v>6</v>
      </c>
      <c r="F64" s="294"/>
      <c r="G64" s="419"/>
      <c r="H64" s="190"/>
      <c r="I64" s="420"/>
      <c r="J64" s="296"/>
      <c r="K64" s="294"/>
      <c r="L64" s="297"/>
      <c r="M64" s="421">
        <f t="shared" ref="M64:AR64" si="51">SUM(M58:M63)</f>
        <v>44</v>
      </c>
      <c r="N64" s="422">
        <f t="shared" si="51"/>
        <v>0</v>
      </c>
      <c r="O64" s="423">
        <f t="shared" si="51"/>
        <v>1087</v>
      </c>
      <c r="P64" s="424">
        <f t="shared" si="51"/>
        <v>11</v>
      </c>
      <c r="Q64" s="425">
        <f t="shared" si="51"/>
        <v>140</v>
      </c>
      <c r="R64" s="425">
        <f t="shared" si="51"/>
        <v>10</v>
      </c>
      <c r="S64" s="425">
        <f t="shared" si="51"/>
        <v>184</v>
      </c>
      <c r="T64" s="425">
        <f t="shared" si="51"/>
        <v>9</v>
      </c>
      <c r="U64" s="426">
        <f t="shared" si="51"/>
        <v>164</v>
      </c>
      <c r="V64" s="427">
        <f t="shared" si="51"/>
        <v>0</v>
      </c>
      <c r="W64" s="425">
        <f t="shared" si="51"/>
        <v>0</v>
      </c>
      <c r="X64" s="425">
        <f t="shared" si="51"/>
        <v>0</v>
      </c>
      <c r="Y64" s="425">
        <f t="shared" si="51"/>
        <v>0</v>
      </c>
      <c r="Z64" s="425">
        <f t="shared" si="51"/>
        <v>0</v>
      </c>
      <c r="AA64" s="426">
        <f t="shared" si="51"/>
        <v>0</v>
      </c>
      <c r="AB64" s="424">
        <f t="shared" si="51"/>
        <v>0</v>
      </c>
      <c r="AC64" s="425">
        <f t="shared" si="51"/>
        <v>0</v>
      </c>
      <c r="AD64" s="425">
        <f t="shared" si="51"/>
        <v>2</v>
      </c>
      <c r="AE64" s="425">
        <f t="shared" si="51"/>
        <v>1</v>
      </c>
      <c r="AF64" s="425">
        <f t="shared" si="51"/>
        <v>3</v>
      </c>
      <c r="AG64" s="425">
        <f t="shared" si="51"/>
        <v>0</v>
      </c>
      <c r="AH64" s="425">
        <f t="shared" si="51"/>
        <v>0</v>
      </c>
      <c r="AI64" s="426">
        <f t="shared" si="51"/>
        <v>0</v>
      </c>
      <c r="AJ64" s="424">
        <f t="shared" si="51"/>
        <v>0</v>
      </c>
      <c r="AK64" s="425">
        <f t="shared" si="51"/>
        <v>0</v>
      </c>
      <c r="AL64" s="425">
        <f t="shared" si="51"/>
        <v>0</v>
      </c>
      <c r="AM64" s="425">
        <f t="shared" si="51"/>
        <v>0</v>
      </c>
      <c r="AN64" s="425">
        <f t="shared" si="51"/>
        <v>0</v>
      </c>
      <c r="AO64" s="425">
        <f t="shared" si="51"/>
        <v>0</v>
      </c>
      <c r="AP64" s="425">
        <f t="shared" si="51"/>
        <v>0</v>
      </c>
      <c r="AQ64" s="426">
        <f t="shared" si="51"/>
        <v>0</v>
      </c>
      <c r="AR64" s="428">
        <f t="shared" si="51"/>
        <v>0</v>
      </c>
      <c r="AS64" s="429">
        <f t="shared" ref="AS64:BK64" si="52">SUM(AS58:AS63)</f>
        <v>0</v>
      </c>
      <c r="AT64" s="429">
        <f t="shared" si="52"/>
        <v>0</v>
      </c>
      <c r="AU64" s="429">
        <f t="shared" si="52"/>
        <v>0</v>
      </c>
      <c r="AV64" s="429">
        <f t="shared" si="52"/>
        <v>0</v>
      </c>
      <c r="AW64" s="429">
        <f t="shared" si="52"/>
        <v>0</v>
      </c>
      <c r="AX64" s="429">
        <f t="shared" si="52"/>
        <v>0</v>
      </c>
      <c r="AY64" s="429">
        <f t="shared" si="52"/>
        <v>0</v>
      </c>
      <c r="AZ64" s="429">
        <f t="shared" si="52"/>
        <v>0</v>
      </c>
      <c r="BA64" s="430">
        <f t="shared" si="52"/>
        <v>0</v>
      </c>
      <c r="BB64" s="431">
        <f t="shared" si="52"/>
        <v>30</v>
      </c>
      <c r="BC64" s="432">
        <f t="shared" si="52"/>
        <v>142</v>
      </c>
      <c r="BD64" s="432">
        <f t="shared" si="52"/>
        <v>185</v>
      </c>
      <c r="BE64" s="432">
        <f t="shared" si="52"/>
        <v>164</v>
      </c>
      <c r="BF64" s="432">
        <f t="shared" si="52"/>
        <v>491</v>
      </c>
      <c r="BG64" s="432">
        <f t="shared" si="52"/>
        <v>0</v>
      </c>
      <c r="BH64" s="432">
        <f t="shared" si="52"/>
        <v>0</v>
      </c>
      <c r="BI64" s="432">
        <f t="shared" si="52"/>
        <v>0</v>
      </c>
      <c r="BJ64" s="432">
        <f t="shared" si="52"/>
        <v>0</v>
      </c>
      <c r="BK64" s="433">
        <f t="shared" si="52"/>
        <v>0</v>
      </c>
      <c r="BL64" s="434"/>
    </row>
    <row r="65" spans="1:67" s="43" customFormat="1" ht="17.100000000000001" customHeight="1">
      <c r="A65" s="1568" t="s">
        <v>1467</v>
      </c>
      <c r="B65" s="1569"/>
      <c r="C65" s="1569"/>
      <c r="D65" s="1569"/>
      <c r="E65" s="1570"/>
      <c r="F65" s="435">
        <f>E57+E64</f>
        <v>12</v>
      </c>
      <c r="G65" s="436"/>
      <c r="H65" s="222"/>
      <c r="I65" s="437"/>
      <c r="J65" s="305"/>
      <c r="K65" s="303"/>
      <c r="L65" s="306"/>
      <c r="M65" s="438">
        <f t="shared" ref="M65:AR65" si="53">M57+M64</f>
        <v>56</v>
      </c>
      <c r="N65" s="439">
        <f t="shared" si="53"/>
        <v>1</v>
      </c>
      <c r="O65" s="440">
        <f t="shared" si="53"/>
        <v>1298</v>
      </c>
      <c r="P65" s="441">
        <f t="shared" si="53"/>
        <v>12</v>
      </c>
      <c r="Q65" s="442">
        <f t="shared" si="53"/>
        <v>142</v>
      </c>
      <c r="R65" s="442">
        <f t="shared" si="53"/>
        <v>10</v>
      </c>
      <c r="S65" s="442">
        <f t="shared" si="53"/>
        <v>184</v>
      </c>
      <c r="T65" s="442">
        <f t="shared" si="53"/>
        <v>11</v>
      </c>
      <c r="U65" s="443">
        <f t="shared" si="53"/>
        <v>173</v>
      </c>
      <c r="V65" s="444">
        <f t="shared" si="53"/>
        <v>0</v>
      </c>
      <c r="W65" s="442">
        <f t="shared" si="53"/>
        <v>0</v>
      </c>
      <c r="X65" s="442">
        <f t="shared" si="53"/>
        <v>0</v>
      </c>
      <c r="Y65" s="442">
        <f t="shared" si="53"/>
        <v>0</v>
      </c>
      <c r="Z65" s="442">
        <f t="shared" si="53"/>
        <v>0</v>
      </c>
      <c r="AA65" s="443">
        <f t="shared" si="53"/>
        <v>0</v>
      </c>
      <c r="AB65" s="441">
        <f t="shared" si="53"/>
        <v>2</v>
      </c>
      <c r="AC65" s="442">
        <f t="shared" si="53"/>
        <v>0</v>
      </c>
      <c r="AD65" s="442">
        <f t="shared" si="53"/>
        <v>11</v>
      </c>
      <c r="AE65" s="442">
        <f t="shared" si="53"/>
        <v>7</v>
      </c>
      <c r="AF65" s="442">
        <f t="shared" si="53"/>
        <v>18</v>
      </c>
      <c r="AG65" s="442">
        <f t="shared" si="53"/>
        <v>0</v>
      </c>
      <c r="AH65" s="442">
        <f t="shared" si="53"/>
        <v>0</v>
      </c>
      <c r="AI65" s="443">
        <f t="shared" si="53"/>
        <v>0</v>
      </c>
      <c r="AJ65" s="441">
        <f t="shared" si="53"/>
        <v>1</v>
      </c>
      <c r="AK65" s="442">
        <f t="shared" si="53"/>
        <v>0</v>
      </c>
      <c r="AL65" s="442">
        <f t="shared" si="53"/>
        <v>0</v>
      </c>
      <c r="AM65" s="442">
        <f t="shared" si="53"/>
        <v>4</v>
      </c>
      <c r="AN65" s="442">
        <f t="shared" si="53"/>
        <v>4</v>
      </c>
      <c r="AO65" s="442">
        <f t="shared" si="53"/>
        <v>0</v>
      </c>
      <c r="AP65" s="442">
        <f t="shared" si="53"/>
        <v>0</v>
      </c>
      <c r="AQ65" s="443">
        <f t="shared" si="53"/>
        <v>0</v>
      </c>
      <c r="AR65" s="445">
        <f t="shared" si="53"/>
        <v>1</v>
      </c>
      <c r="AS65" s="446">
        <f t="shared" ref="AS65:BK65" si="54">AS57+AS64</f>
        <v>1</v>
      </c>
      <c r="AT65" s="446">
        <f t="shared" si="54"/>
        <v>3</v>
      </c>
      <c r="AU65" s="446">
        <f t="shared" si="54"/>
        <v>0</v>
      </c>
      <c r="AV65" s="446">
        <f t="shared" si="54"/>
        <v>4</v>
      </c>
      <c r="AW65" s="446">
        <f t="shared" si="54"/>
        <v>7</v>
      </c>
      <c r="AX65" s="446">
        <f t="shared" si="54"/>
        <v>0</v>
      </c>
      <c r="AY65" s="446">
        <f t="shared" si="54"/>
        <v>0</v>
      </c>
      <c r="AZ65" s="446">
        <f t="shared" si="54"/>
        <v>2</v>
      </c>
      <c r="BA65" s="447">
        <f t="shared" si="54"/>
        <v>2</v>
      </c>
      <c r="BB65" s="448">
        <f t="shared" si="54"/>
        <v>37</v>
      </c>
      <c r="BC65" s="449">
        <f t="shared" si="54"/>
        <v>156</v>
      </c>
      <c r="BD65" s="449">
        <f t="shared" si="54"/>
        <v>191</v>
      </c>
      <c r="BE65" s="449">
        <f t="shared" si="54"/>
        <v>181</v>
      </c>
      <c r="BF65" s="449">
        <f t="shared" si="54"/>
        <v>526</v>
      </c>
      <c r="BG65" s="449">
        <f t="shared" si="54"/>
        <v>1</v>
      </c>
      <c r="BH65" s="449">
        <f t="shared" si="54"/>
        <v>0</v>
      </c>
      <c r="BI65" s="449">
        <f t="shared" si="54"/>
        <v>0</v>
      </c>
      <c r="BJ65" s="449">
        <f t="shared" si="54"/>
        <v>2</v>
      </c>
      <c r="BK65" s="450">
        <f t="shared" si="54"/>
        <v>2</v>
      </c>
      <c r="BL65" s="451"/>
    </row>
    <row r="66" spans="1:67" s="400" customFormat="1" ht="17.100000000000001" customHeight="1">
      <c r="A66" s="457" t="s">
        <v>2462</v>
      </c>
      <c r="B66" s="53" t="s">
        <v>296</v>
      </c>
      <c r="C66" s="53" t="s">
        <v>296</v>
      </c>
      <c r="D66" s="53" t="s">
        <v>2463</v>
      </c>
      <c r="E66" s="53" t="s">
        <v>2424</v>
      </c>
      <c r="F66" s="53" t="s">
        <v>1471</v>
      </c>
      <c r="G66" s="71">
        <v>38443</v>
      </c>
      <c r="H66" s="50" t="s">
        <v>1826</v>
      </c>
      <c r="I66" s="51">
        <v>7127</v>
      </c>
      <c r="J66" s="52">
        <v>23115</v>
      </c>
      <c r="K66" s="53" t="s">
        <v>3281</v>
      </c>
      <c r="L66" s="54" t="s">
        <v>3282</v>
      </c>
      <c r="M66" s="773">
        <v>1</v>
      </c>
      <c r="N66" s="718">
        <v>0</v>
      </c>
      <c r="O66" s="774">
        <v>18</v>
      </c>
      <c r="P66" s="780">
        <v>0</v>
      </c>
      <c r="Q66" s="781">
        <v>0</v>
      </c>
      <c r="R66" s="781">
        <v>0</v>
      </c>
      <c r="S66" s="781">
        <v>0</v>
      </c>
      <c r="T66" s="781">
        <v>0</v>
      </c>
      <c r="U66" s="782">
        <v>0</v>
      </c>
      <c r="V66" s="780">
        <v>0</v>
      </c>
      <c r="W66" s="781">
        <v>0</v>
      </c>
      <c r="X66" s="781">
        <v>0</v>
      </c>
      <c r="Y66" s="781">
        <v>0</v>
      </c>
      <c r="Z66" s="781">
        <v>0</v>
      </c>
      <c r="AA66" s="782">
        <v>0</v>
      </c>
      <c r="AB66" s="788">
        <v>0</v>
      </c>
      <c r="AC66" s="781">
        <v>0</v>
      </c>
      <c r="AD66" s="781">
        <v>0</v>
      </c>
      <c r="AE66" s="781">
        <v>0</v>
      </c>
      <c r="AF66" s="781">
        <v>0</v>
      </c>
      <c r="AG66" s="781">
        <v>0</v>
      </c>
      <c r="AH66" s="781">
        <v>0</v>
      </c>
      <c r="AI66" s="782">
        <f>SUM(AG66:AH66)</f>
        <v>0</v>
      </c>
      <c r="AJ66" s="788">
        <v>0</v>
      </c>
      <c r="AK66" s="781">
        <v>0</v>
      </c>
      <c r="AL66" s="781">
        <v>0</v>
      </c>
      <c r="AM66" s="781">
        <v>0</v>
      </c>
      <c r="AN66" s="781">
        <v>0</v>
      </c>
      <c r="AO66" s="781">
        <v>0</v>
      </c>
      <c r="AP66" s="781">
        <v>0</v>
      </c>
      <c r="AQ66" s="782">
        <f>SUM(AO66:AP66)</f>
        <v>0</v>
      </c>
      <c r="AR66" s="924">
        <v>1</v>
      </c>
      <c r="AS66" s="925">
        <v>0</v>
      </c>
      <c r="AT66" s="781">
        <v>0</v>
      </c>
      <c r="AU66" s="781">
        <v>0</v>
      </c>
      <c r="AV66" s="781">
        <v>1</v>
      </c>
      <c r="AW66" s="925">
        <f>SUM(AT66:AV66)</f>
        <v>1</v>
      </c>
      <c r="AX66" s="925">
        <v>0</v>
      </c>
      <c r="AY66" s="925">
        <v>0</v>
      </c>
      <c r="AZ66" s="925">
        <v>0</v>
      </c>
      <c r="BA66" s="926">
        <f>SUM(AX66:AZ66)</f>
        <v>0</v>
      </c>
      <c r="BB66" s="927">
        <f>SUM(P66,R66,T66,AB66,AJ66,AR66)</f>
        <v>1</v>
      </c>
      <c r="BC66" s="928">
        <f>SUM(Q66,AD66,AT66)</f>
        <v>0</v>
      </c>
      <c r="BD66" s="928">
        <f>SUM(S66,AE66,AL66,AU66)</f>
        <v>0</v>
      </c>
      <c r="BE66" s="928">
        <f>SUM(U66,AM66,AV66)</f>
        <v>1</v>
      </c>
      <c r="BF66" s="928">
        <f>SUM(BC66:BE66)</f>
        <v>1</v>
      </c>
      <c r="BG66" s="928">
        <f>SUM(V66,X66,Z66,AC66,AK66,AS66)</f>
        <v>0</v>
      </c>
      <c r="BH66" s="928">
        <f>SUM(W66,AG66,AX66)</f>
        <v>0</v>
      </c>
      <c r="BI66" s="928">
        <f>SUM(Y66,AH66,AO66,AY66)</f>
        <v>0</v>
      </c>
      <c r="BJ66" s="928">
        <f>SUM(AA66,AP66,AZ66)</f>
        <v>0</v>
      </c>
      <c r="BK66" s="928">
        <f>SUM(BH66:BJ66)</f>
        <v>0</v>
      </c>
      <c r="BL66" s="53"/>
    </row>
    <row r="67" spans="1:67" s="400" customFormat="1" ht="17.100000000000001" customHeight="1">
      <c r="A67" s="949" t="s">
        <v>2462</v>
      </c>
      <c r="B67" s="726" t="s">
        <v>296</v>
      </c>
      <c r="C67" s="726" t="s">
        <v>296</v>
      </c>
      <c r="D67" s="726" t="s">
        <v>2463</v>
      </c>
      <c r="E67" s="726" t="s">
        <v>2424</v>
      </c>
      <c r="F67" s="726" t="s">
        <v>3283</v>
      </c>
      <c r="G67" s="725">
        <v>29646</v>
      </c>
      <c r="H67" s="727" t="s">
        <v>717</v>
      </c>
      <c r="I67" s="770">
        <v>12874</v>
      </c>
      <c r="J67" s="740">
        <v>23111</v>
      </c>
      <c r="K67" s="726" t="s">
        <v>3284</v>
      </c>
      <c r="L67" s="741" t="s">
        <v>3285</v>
      </c>
      <c r="M67" s="773">
        <v>1</v>
      </c>
      <c r="N67" s="718"/>
      <c r="O67" s="774">
        <v>18</v>
      </c>
      <c r="P67" s="780"/>
      <c r="Q67" s="781"/>
      <c r="R67" s="781"/>
      <c r="S67" s="781"/>
      <c r="T67" s="781"/>
      <c r="U67" s="782"/>
      <c r="V67" s="780"/>
      <c r="W67" s="781"/>
      <c r="X67" s="781"/>
      <c r="Y67" s="781"/>
      <c r="Z67" s="781"/>
      <c r="AA67" s="782"/>
      <c r="AB67" s="788"/>
      <c r="AC67" s="781"/>
      <c r="AD67" s="781"/>
      <c r="AE67" s="781"/>
      <c r="AF67" s="781"/>
      <c r="AG67" s="781"/>
      <c r="AH67" s="781"/>
      <c r="AI67" s="782"/>
      <c r="AJ67" s="788"/>
      <c r="AK67" s="781"/>
      <c r="AL67" s="781"/>
      <c r="AM67" s="781"/>
      <c r="AN67" s="781"/>
      <c r="AO67" s="781"/>
      <c r="AP67" s="781"/>
      <c r="AQ67" s="782"/>
      <c r="AR67" s="924"/>
      <c r="AS67" s="925"/>
      <c r="AT67" s="781"/>
      <c r="AU67" s="781"/>
      <c r="AV67" s="781"/>
      <c r="AW67" s="925"/>
      <c r="AX67" s="925"/>
      <c r="AY67" s="925"/>
      <c r="AZ67" s="925"/>
      <c r="BA67" s="926"/>
      <c r="BB67" s="927"/>
      <c r="BC67" s="928"/>
      <c r="BD67" s="928"/>
      <c r="BE67" s="928"/>
      <c r="BF67" s="928"/>
      <c r="BG67" s="928"/>
      <c r="BH67" s="928"/>
      <c r="BI67" s="928"/>
      <c r="BJ67" s="928"/>
      <c r="BK67" s="928"/>
      <c r="BL67" s="53" t="s">
        <v>1748</v>
      </c>
    </row>
    <row r="68" spans="1:67" s="400" customFormat="1" ht="17.100000000000001" customHeight="1">
      <c r="A68" s="457" t="s">
        <v>2464</v>
      </c>
      <c r="B68" s="53" t="s">
        <v>296</v>
      </c>
      <c r="C68" s="53" t="s">
        <v>296</v>
      </c>
      <c r="D68" s="53" t="s">
        <v>2465</v>
      </c>
      <c r="E68" s="53" t="s">
        <v>2424</v>
      </c>
      <c r="F68" s="53" t="s">
        <v>2466</v>
      </c>
      <c r="G68" s="71">
        <v>29281</v>
      </c>
      <c r="H68" s="50" t="s">
        <v>3286</v>
      </c>
      <c r="I68" s="51">
        <v>20121</v>
      </c>
      <c r="J68" s="52">
        <v>23108</v>
      </c>
      <c r="K68" s="53" t="s">
        <v>2467</v>
      </c>
      <c r="L68" s="54" t="s">
        <v>2300</v>
      </c>
      <c r="M68" s="773">
        <v>1</v>
      </c>
      <c r="N68" s="718">
        <v>0</v>
      </c>
      <c r="O68" s="774">
        <v>18</v>
      </c>
      <c r="P68" s="780">
        <v>0</v>
      </c>
      <c r="Q68" s="781">
        <v>0</v>
      </c>
      <c r="R68" s="781">
        <v>0</v>
      </c>
      <c r="S68" s="781">
        <v>0</v>
      </c>
      <c r="T68" s="781">
        <v>0</v>
      </c>
      <c r="U68" s="782">
        <v>0</v>
      </c>
      <c r="V68" s="780">
        <v>0</v>
      </c>
      <c r="W68" s="781">
        <v>0</v>
      </c>
      <c r="X68" s="781">
        <v>0</v>
      </c>
      <c r="Y68" s="781">
        <v>0</v>
      </c>
      <c r="Z68" s="781">
        <v>0</v>
      </c>
      <c r="AA68" s="782">
        <v>0</v>
      </c>
      <c r="AB68" s="788">
        <v>0</v>
      </c>
      <c r="AC68" s="781">
        <v>0</v>
      </c>
      <c r="AD68" s="781">
        <v>0</v>
      </c>
      <c r="AE68" s="781">
        <v>0</v>
      </c>
      <c r="AF68" s="781">
        <f t="shared" ref="AF68:AF72" si="55">SUM(AD68:AE68)</f>
        <v>0</v>
      </c>
      <c r="AG68" s="781">
        <v>0</v>
      </c>
      <c r="AH68" s="781">
        <v>0</v>
      </c>
      <c r="AI68" s="782">
        <f t="shared" ref="AI68:AI72" si="56">SUM(AG68:AH68)</f>
        <v>0</v>
      </c>
      <c r="AJ68" s="788">
        <v>1</v>
      </c>
      <c r="AK68" s="781">
        <v>0</v>
      </c>
      <c r="AL68" s="781">
        <v>0</v>
      </c>
      <c r="AM68" s="781">
        <v>7</v>
      </c>
      <c r="AN68" s="781">
        <f t="shared" ref="AN68:AN72" si="57">SUM(AL68:AM68)</f>
        <v>7</v>
      </c>
      <c r="AO68" s="781">
        <v>0</v>
      </c>
      <c r="AP68" s="781">
        <v>0</v>
      </c>
      <c r="AQ68" s="782">
        <f t="shared" ref="AQ68:AQ72" si="58">SUM(AO68:AP68)</f>
        <v>0</v>
      </c>
      <c r="AR68" s="924">
        <v>0</v>
      </c>
      <c r="AS68" s="925">
        <v>0</v>
      </c>
      <c r="AT68" s="781">
        <v>0</v>
      </c>
      <c r="AU68" s="781">
        <v>0</v>
      </c>
      <c r="AV68" s="781">
        <v>0</v>
      </c>
      <c r="AW68" s="925">
        <f t="shared" ref="AW68:AW72" si="59">SUM(AT68:AV68)</f>
        <v>0</v>
      </c>
      <c r="AX68" s="925">
        <v>0</v>
      </c>
      <c r="AY68" s="925">
        <v>0</v>
      </c>
      <c r="AZ68" s="925">
        <v>0</v>
      </c>
      <c r="BA68" s="926">
        <f t="shared" ref="BA68:BA72" si="60">SUM(AX68:AZ68)</f>
        <v>0</v>
      </c>
      <c r="BB68" s="927">
        <f t="shared" ref="BB68:BB72" si="61">SUM(P68,R68,T68,AB68,AJ68,AR68)</f>
        <v>1</v>
      </c>
      <c r="BC68" s="928">
        <f t="shared" ref="BC68:BC72" si="62">SUM(Q68,AD68,AT68)</f>
        <v>0</v>
      </c>
      <c r="BD68" s="928">
        <f t="shared" ref="BD68:BD72" si="63">SUM(S68,AE68,AL68,AU68)</f>
        <v>0</v>
      </c>
      <c r="BE68" s="928">
        <f t="shared" ref="BE68:BE72" si="64">SUM(U68,AM68,AV68)</f>
        <v>7</v>
      </c>
      <c r="BF68" s="928">
        <f t="shared" ref="BF68:BF72" si="65">SUM(BC68:BE68)</f>
        <v>7</v>
      </c>
      <c r="BG68" s="928">
        <f t="shared" ref="BG68:BG72" si="66">SUM(V68,X68,Z68,AC68,AK68,AS68)</f>
        <v>0</v>
      </c>
      <c r="BH68" s="928">
        <f t="shared" ref="BH68:BH72" si="67">SUM(W68,AG68,AX68)</f>
        <v>0</v>
      </c>
      <c r="BI68" s="928">
        <f t="shared" ref="BI68:BI72" si="68">SUM(Y68,AH68,AO68,AY68)</f>
        <v>0</v>
      </c>
      <c r="BJ68" s="928">
        <f t="shared" ref="BJ68:BJ72" si="69">SUM(AA68,AP68,AZ68)</f>
        <v>0</v>
      </c>
      <c r="BK68" s="928">
        <f t="shared" ref="BK68:BK72" si="70">SUM(BH68:BJ68)</f>
        <v>0</v>
      </c>
      <c r="BL68" s="53"/>
    </row>
    <row r="69" spans="1:67" s="400" customFormat="1" ht="17.100000000000001" customHeight="1">
      <c r="A69" s="457" t="s">
        <v>2468</v>
      </c>
      <c r="B69" s="53" t="s">
        <v>296</v>
      </c>
      <c r="C69" s="53" t="s">
        <v>296</v>
      </c>
      <c r="D69" s="53" t="s">
        <v>2469</v>
      </c>
      <c r="E69" s="53" t="s">
        <v>2424</v>
      </c>
      <c r="F69" s="53" t="s">
        <v>2470</v>
      </c>
      <c r="G69" s="71">
        <v>30011</v>
      </c>
      <c r="H69" s="50" t="s">
        <v>3287</v>
      </c>
      <c r="I69" s="51">
        <v>26859</v>
      </c>
      <c r="J69" s="52">
        <v>23103</v>
      </c>
      <c r="K69" s="53" t="s">
        <v>3288</v>
      </c>
      <c r="L69" s="54" t="s">
        <v>2297</v>
      </c>
      <c r="M69" s="773">
        <v>1</v>
      </c>
      <c r="N69" s="718"/>
      <c r="O69" s="774">
        <v>18</v>
      </c>
      <c r="P69" s="780"/>
      <c r="Q69" s="781"/>
      <c r="R69" s="781"/>
      <c r="S69" s="781"/>
      <c r="T69" s="781">
        <v>1</v>
      </c>
      <c r="U69" s="782">
        <v>5</v>
      </c>
      <c r="V69" s="780"/>
      <c r="W69" s="781"/>
      <c r="X69" s="781"/>
      <c r="Y69" s="781"/>
      <c r="Z69" s="781"/>
      <c r="AA69" s="782"/>
      <c r="AB69" s="788"/>
      <c r="AC69" s="781"/>
      <c r="AD69" s="781"/>
      <c r="AE69" s="781"/>
      <c r="AF69" s="781">
        <f t="shared" si="55"/>
        <v>0</v>
      </c>
      <c r="AG69" s="781"/>
      <c r="AH69" s="781"/>
      <c r="AI69" s="782">
        <f t="shared" si="56"/>
        <v>0</v>
      </c>
      <c r="AJ69" s="788"/>
      <c r="AK69" s="781"/>
      <c r="AL69" s="781"/>
      <c r="AM69" s="781"/>
      <c r="AN69" s="781">
        <f t="shared" si="57"/>
        <v>0</v>
      </c>
      <c r="AO69" s="781"/>
      <c r="AP69" s="781"/>
      <c r="AQ69" s="782">
        <f t="shared" si="58"/>
        <v>0</v>
      </c>
      <c r="AR69" s="924"/>
      <c r="AS69" s="925"/>
      <c r="AT69" s="781"/>
      <c r="AU69" s="781"/>
      <c r="AV69" s="781"/>
      <c r="AW69" s="925">
        <f t="shared" si="59"/>
        <v>0</v>
      </c>
      <c r="AX69" s="925"/>
      <c r="AY69" s="925"/>
      <c r="AZ69" s="925"/>
      <c r="BA69" s="926">
        <f t="shared" si="60"/>
        <v>0</v>
      </c>
      <c r="BB69" s="927">
        <f t="shared" si="61"/>
        <v>1</v>
      </c>
      <c r="BC69" s="928">
        <f t="shared" si="62"/>
        <v>0</v>
      </c>
      <c r="BD69" s="928">
        <f t="shared" si="63"/>
        <v>0</v>
      </c>
      <c r="BE69" s="928">
        <f t="shared" si="64"/>
        <v>5</v>
      </c>
      <c r="BF69" s="928">
        <f t="shared" si="65"/>
        <v>5</v>
      </c>
      <c r="BG69" s="928">
        <f t="shared" si="66"/>
        <v>0</v>
      </c>
      <c r="BH69" s="928">
        <f t="shared" si="67"/>
        <v>0</v>
      </c>
      <c r="BI69" s="928">
        <f t="shared" si="68"/>
        <v>0</v>
      </c>
      <c r="BJ69" s="928">
        <f t="shared" si="69"/>
        <v>0</v>
      </c>
      <c r="BK69" s="928">
        <f t="shared" si="70"/>
        <v>0</v>
      </c>
      <c r="BL69" s="53"/>
    </row>
    <row r="70" spans="1:67" s="400" customFormat="1" ht="17.100000000000001" customHeight="1">
      <c r="A70" s="457" t="s">
        <v>2471</v>
      </c>
      <c r="B70" s="53" t="s">
        <v>296</v>
      </c>
      <c r="C70" s="53" t="s">
        <v>296</v>
      </c>
      <c r="D70" s="53" t="s">
        <v>2472</v>
      </c>
      <c r="E70" s="53" t="s">
        <v>2424</v>
      </c>
      <c r="F70" s="53" t="s">
        <v>3289</v>
      </c>
      <c r="G70" s="392">
        <v>29655</v>
      </c>
      <c r="H70" s="50" t="s">
        <v>1885</v>
      </c>
      <c r="I70" s="51">
        <v>13313</v>
      </c>
      <c r="J70" s="52">
        <v>23105</v>
      </c>
      <c r="K70" s="53" t="s">
        <v>1472</v>
      </c>
      <c r="L70" s="54" t="s">
        <v>714</v>
      </c>
      <c r="M70" s="773">
        <v>1</v>
      </c>
      <c r="N70" s="718">
        <v>0</v>
      </c>
      <c r="O70" s="774">
        <v>18</v>
      </c>
      <c r="P70" s="780">
        <v>0</v>
      </c>
      <c r="Q70" s="781">
        <v>0</v>
      </c>
      <c r="R70" s="781">
        <v>0</v>
      </c>
      <c r="S70" s="781">
        <v>0</v>
      </c>
      <c r="T70" s="781">
        <v>0</v>
      </c>
      <c r="U70" s="782">
        <v>0</v>
      </c>
      <c r="V70" s="780">
        <v>0</v>
      </c>
      <c r="W70" s="781">
        <v>0</v>
      </c>
      <c r="X70" s="781">
        <v>0</v>
      </c>
      <c r="Y70" s="781">
        <v>0</v>
      </c>
      <c r="Z70" s="781">
        <v>0</v>
      </c>
      <c r="AA70" s="782">
        <v>0</v>
      </c>
      <c r="AB70" s="788">
        <v>0</v>
      </c>
      <c r="AC70" s="781">
        <v>0</v>
      </c>
      <c r="AD70" s="781">
        <v>0</v>
      </c>
      <c r="AE70" s="781">
        <v>0</v>
      </c>
      <c r="AF70" s="781">
        <f t="shared" si="55"/>
        <v>0</v>
      </c>
      <c r="AG70" s="781">
        <v>0</v>
      </c>
      <c r="AH70" s="781">
        <v>0</v>
      </c>
      <c r="AI70" s="782">
        <f t="shared" si="56"/>
        <v>0</v>
      </c>
      <c r="AJ70" s="788">
        <v>0</v>
      </c>
      <c r="AK70" s="781">
        <v>0</v>
      </c>
      <c r="AL70" s="781">
        <v>0</v>
      </c>
      <c r="AM70" s="781">
        <v>0</v>
      </c>
      <c r="AN70" s="781">
        <f t="shared" si="57"/>
        <v>0</v>
      </c>
      <c r="AO70" s="781">
        <v>0</v>
      </c>
      <c r="AP70" s="781">
        <v>0</v>
      </c>
      <c r="AQ70" s="782">
        <f t="shared" si="58"/>
        <v>0</v>
      </c>
      <c r="AR70" s="924">
        <v>1</v>
      </c>
      <c r="AS70" s="925">
        <v>0</v>
      </c>
      <c r="AT70" s="781">
        <v>0</v>
      </c>
      <c r="AU70" s="781">
        <v>0</v>
      </c>
      <c r="AV70" s="781">
        <v>3</v>
      </c>
      <c r="AW70" s="925">
        <f t="shared" si="59"/>
        <v>3</v>
      </c>
      <c r="AX70" s="925">
        <v>0</v>
      </c>
      <c r="AY70" s="925">
        <v>0</v>
      </c>
      <c r="AZ70" s="925">
        <v>0</v>
      </c>
      <c r="BA70" s="926">
        <f t="shared" si="60"/>
        <v>0</v>
      </c>
      <c r="BB70" s="927">
        <f t="shared" si="61"/>
        <v>1</v>
      </c>
      <c r="BC70" s="928">
        <f t="shared" si="62"/>
        <v>0</v>
      </c>
      <c r="BD70" s="928">
        <f t="shared" si="63"/>
        <v>0</v>
      </c>
      <c r="BE70" s="928">
        <f t="shared" si="64"/>
        <v>3</v>
      </c>
      <c r="BF70" s="928">
        <f t="shared" si="65"/>
        <v>3</v>
      </c>
      <c r="BG70" s="928">
        <f t="shared" si="66"/>
        <v>0</v>
      </c>
      <c r="BH70" s="928">
        <f t="shared" si="67"/>
        <v>0</v>
      </c>
      <c r="BI70" s="928">
        <f t="shared" si="68"/>
        <v>0</v>
      </c>
      <c r="BJ70" s="928">
        <f t="shared" si="69"/>
        <v>0</v>
      </c>
      <c r="BK70" s="928">
        <f t="shared" si="70"/>
        <v>0</v>
      </c>
      <c r="BL70" s="53"/>
    </row>
    <row r="71" spans="1:67" s="400" customFormat="1" ht="17.100000000000001" customHeight="1">
      <c r="A71" s="457" t="s">
        <v>2473</v>
      </c>
      <c r="B71" s="53" t="s">
        <v>296</v>
      </c>
      <c r="C71" s="53" t="s">
        <v>296</v>
      </c>
      <c r="D71" s="53" t="s">
        <v>2474</v>
      </c>
      <c r="E71" s="53" t="s">
        <v>2424</v>
      </c>
      <c r="F71" s="53" t="s">
        <v>2475</v>
      </c>
      <c r="G71" s="71">
        <v>29655</v>
      </c>
      <c r="H71" s="50" t="s">
        <v>3290</v>
      </c>
      <c r="I71" s="51">
        <v>23463</v>
      </c>
      <c r="J71" s="52">
        <v>23130</v>
      </c>
      <c r="K71" s="53" t="s">
        <v>2476</v>
      </c>
      <c r="L71" s="54" t="s">
        <v>2288</v>
      </c>
      <c r="M71" s="773">
        <v>1</v>
      </c>
      <c r="N71" s="718">
        <v>0</v>
      </c>
      <c r="O71" s="774">
        <v>18</v>
      </c>
      <c r="P71" s="780"/>
      <c r="Q71" s="781"/>
      <c r="R71" s="781"/>
      <c r="S71" s="781"/>
      <c r="T71" s="781"/>
      <c r="U71" s="782"/>
      <c r="V71" s="780"/>
      <c r="W71" s="781"/>
      <c r="X71" s="781"/>
      <c r="Y71" s="781"/>
      <c r="Z71" s="781"/>
      <c r="AA71" s="782"/>
      <c r="AB71" s="788"/>
      <c r="AC71" s="781"/>
      <c r="AD71" s="781"/>
      <c r="AE71" s="781"/>
      <c r="AF71" s="781">
        <f t="shared" si="55"/>
        <v>0</v>
      </c>
      <c r="AG71" s="781"/>
      <c r="AH71" s="781"/>
      <c r="AI71" s="782">
        <f t="shared" si="56"/>
        <v>0</v>
      </c>
      <c r="AJ71" s="788"/>
      <c r="AK71" s="781"/>
      <c r="AL71" s="781"/>
      <c r="AM71" s="781"/>
      <c r="AN71" s="781">
        <f t="shared" si="57"/>
        <v>0</v>
      </c>
      <c r="AO71" s="781"/>
      <c r="AP71" s="781"/>
      <c r="AQ71" s="782">
        <f t="shared" si="58"/>
        <v>0</v>
      </c>
      <c r="AR71" s="924">
        <v>1</v>
      </c>
      <c r="AS71" s="925">
        <v>0</v>
      </c>
      <c r="AT71" s="781"/>
      <c r="AU71" s="781">
        <v>1</v>
      </c>
      <c r="AV71" s="781">
        <v>1</v>
      </c>
      <c r="AW71" s="925">
        <f t="shared" si="59"/>
        <v>2</v>
      </c>
      <c r="AX71" s="925"/>
      <c r="AY71" s="925"/>
      <c r="AZ71" s="925"/>
      <c r="BA71" s="926">
        <f t="shared" si="60"/>
        <v>0</v>
      </c>
      <c r="BB71" s="927">
        <f t="shared" si="61"/>
        <v>1</v>
      </c>
      <c r="BC71" s="928">
        <f t="shared" si="62"/>
        <v>0</v>
      </c>
      <c r="BD71" s="928">
        <f t="shared" si="63"/>
        <v>1</v>
      </c>
      <c r="BE71" s="928">
        <f t="shared" si="64"/>
        <v>1</v>
      </c>
      <c r="BF71" s="928">
        <f t="shared" si="65"/>
        <v>2</v>
      </c>
      <c r="BG71" s="928">
        <f t="shared" si="66"/>
        <v>0</v>
      </c>
      <c r="BH71" s="928">
        <f t="shared" si="67"/>
        <v>0</v>
      </c>
      <c r="BI71" s="928">
        <f t="shared" si="68"/>
        <v>0</v>
      </c>
      <c r="BJ71" s="928">
        <f t="shared" si="69"/>
        <v>0</v>
      </c>
      <c r="BK71" s="928">
        <f t="shared" si="70"/>
        <v>0</v>
      </c>
      <c r="BL71" s="53"/>
    </row>
    <row r="72" spans="1:67" s="400" customFormat="1" ht="17.100000000000001" customHeight="1">
      <c r="A72" s="457" t="s">
        <v>2477</v>
      </c>
      <c r="B72" s="53" t="s">
        <v>296</v>
      </c>
      <c r="C72" s="53" t="s">
        <v>296</v>
      </c>
      <c r="D72" s="53" t="s">
        <v>2478</v>
      </c>
      <c r="E72" s="53" t="s">
        <v>4</v>
      </c>
      <c r="F72" s="53" t="s">
        <v>3291</v>
      </c>
      <c r="G72" s="71">
        <v>31121</v>
      </c>
      <c r="H72" s="50" t="s">
        <v>3292</v>
      </c>
      <c r="I72" s="51">
        <v>12758</v>
      </c>
      <c r="J72" s="52">
        <v>23125</v>
      </c>
      <c r="K72" s="53" t="s">
        <v>2309</v>
      </c>
      <c r="L72" s="54" t="s">
        <v>2311</v>
      </c>
      <c r="M72" s="773">
        <v>1</v>
      </c>
      <c r="N72" s="718">
        <v>0</v>
      </c>
      <c r="O72" s="774">
        <v>18</v>
      </c>
      <c r="P72" s="780">
        <v>0</v>
      </c>
      <c r="Q72" s="781">
        <v>0</v>
      </c>
      <c r="R72" s="781">
        <v>0</v>
      </c>
      <c r="S72" s="781">
        <v>0</v>
      </c>
      <c r="T72" s="781">
        <v>0</v>
      </c>
      <c r="U72" s="782">
        <v>0</v>
      </c>
      <c r="V72" s="780">
        <v>0</v>
      </c>
      <c r="W72" s="781">
        <v>0</v>
      </c>
      <c r="X72" s="781">
        <v>0</v>
      </c>
      <c r="Y72" s="781">
        <v>0</v>
      </c>
      <c r="Z72" s="781">
        <v>0</v>
      </c>
      <c r="AA72" s="782">
        <v>0</v>
      </c>
      <c r="AB72" s="788">
        <v>0</v>
      </c>
      <c r="AC72" s="781">
        <v>0</v>
      </c>
      <c r="AD72" s="781">
        <v>0</v>
      </c>
      <c r="AE72" s="781">
        <v>0</v>
      </c>
      <c r="AF72" s="781">
        <f t="shared" si="55"/>
        <v>0</v>
      </c>
      <c r="AG72" s="781">
        <v>0</v>
      </c>
      <c r="AH72" s="781">
        <v>0</v>
      </c>
      <c r="AI72" s="782">
        <f t="shared" si="56"/>
        <v>0</v>
      </c>
      <c r="AJ72" s="788">
        <v>0</v>
      </c>
      <c r="AK72" s="781">
        <v>0</v>
      </c>
      <c r="AL72" s="781">
        <v>0</v>
      </c>
      <c r="AM72" s="781">
        <v>0</v>
      </c>
      <c r="AN72" s="781">
        <f t="shared" si="57"/>
        <v>0</v>
      </c>
      <c r="AO72" s="781">
        <v>0</v>
      </c>
      <c r="AP72" s="781">
        <v>0</v>
      </c>
      <c r="AQ72" s="782">
        <f t="shared" si="58"/>
        <v>0</v>
      </c>
      <c r="AR72" s="924">
        <v>1</v>
      </c>
      <c r="AS72" s="925">
        <v>0</v>
      </c>
      <c r="AT72" s="781">
        <v>0</v>
      </c>
      <c r="AU72" s="781">
        <v>1</v>
      </c>
      <c r="AV72" s="781">
        <v>1</v>
      </c>
      <c r="AW72" s="925">
        <f t="shared" si="59"/>
        <v>2</v>
      </c>
      <c r="AX72" s="925">
        <v>0</v>
      </c>
      <c r="AY72" s="925">
        <v>0</v>
      </c>
      <c r="AZ72" s="925">
        <v>0</v>
      </c>
      <c r="BA72" s="926">
        <f t="shared" si="60"/>
        <v>0</v>
      </c>
      <c r="BB72" s="927">
        <f t="shared" si="61"/>
        <v>1</v>
      </c>
      <c r="BC72" s="928">
        <f t="shared" si="62"/>
        <v>0</v>
      </c>
      <c r="BD72" s="928">
        <f t="shared" si="63"/>
        <v>1</v>
      </c>
      <c r="BE72" s="928">
        <f t="shared" si="64"/>
        <v>1</v>
      </c>
      <c r="BF72" s="928">
        <f t="shared" si="65"/>
        <v>2</v>
      </c>
      <c r="BG72" s="928">
        <f t="shared" si="66"/>
        <v>0</v>
      </c>
      <c r="BH72" s="928">
        <f t="shared" si="67"/>
        <v>0</v>
      </c>
      <c r="BI72" s="928">
        <f t="shared" si="68"/>
        <v>0</v>
      </c>
      <c r="BJ72" s="928">
        <f t="shared" si="69"/>
        <v>0</v>
      </c>
      <c r="BK72" s="928">
        <f t="shared" si="70"/>
        <v>0</v>
      </c>
      <c r="BL72" s="53"/>
    </row>
    <row r="73" spans="1:67" s="400" customFormat="1" ht="17.100000000000001" customHeight="1">
      <c r="A73" s="457" t="s">
        <v>2477</v>
      </c>
      <c r="B73" s="53" t="s">
        <v>296</v>
      </c>
      <c r="C73" s="53" t="s">
        <v>296</v>
      </c>
      <c r="D73" s="53" t="s">
        <v>2478</v>
      </c>
      <c r="E73" s="53" t="s">
        <v>2424</v>
      </c>
      <c r="F73" s="53" t="s">
        <v>2479</v>
      </c>
      <c r="G73" s="71">
        <v>44805</v>
      </c>
      <c r="H73" s="50" t="s">
        <v>2480</v>
      </c>
      <c r="I73" s="51">
        <v>2229</v>
      </c>
      <c r="J73" s="52">
        <v>23123</v>
      </c>
      <c r="K73" s="53" t="s">
        <v>3293</v>
      </c>
      <c r="L73" s="54" t="s">
        <v>2308</v>
      </c>
      <c r="M73" s="773">
        <v>1</v>
      </c>
      <c r="N73" s="718"/>
      <c r="O73" s="774">
        <v>18</v>
      </c>
      <c r="P73" s="780"/>
      <c r="Q73" s="781"/>
      <c r="R73" s="781"/>
      <c r="S73" s="781"/>
      <c r="T73" s="781"/>
      <c r="U73" s="782"/>
      <c r="V73" s="780"/>
      <c r="W73" s="781"/>
      <c r="X73" s="781"/>
      <c r="Y73" s="781"/>
      <c r="Z73" s="781"/>
      <c r="AA73" s="782"/>
      <c r="AB73" s="788"/>
      <c r="AC73" s="781"/>
      <c r="AD73" s="781"/>
      <c r="AE73" s="781"/>
      <c r="AF73" s="781">
        <f>SUM(AD73:AE73)</f>
        <v>0</v>
      </c>
      <c r="AG73" s="781"/>
      <c r="AH73" s="781"/>
      <c r="AI73" s="782">
        <f>SUM(AG73:AH73)</f>
        <v>0</v>
      </c>
      <c r="AJ73" s="788"/>
      <c r="AK73" s="781"/>
      <c r="AL73" s="781"/>
      <c r="AM73" s="781"/>
      <c r="AN73" s="781">
        <f>SUM(AL73:AM73)</f>
        <v>0</v>
      </c>
      <c r="AO73" s="781"/>
      <c r="AP73" s="781"/>
      <c r="AQ73" s="782">
        <f>SUM(AO73:AP73)</f>
        <v>0</v>
      </c>
      <c r="AR73" s="924">
        <v>1</v>
      </c>
      <c r="AS73" s="925"/>
      <c r="AT73" s="781">
        <v>1</v>
      </c>
      <c r="AU73" s="781">
        <v>1</v>
      </c>
      <c r="AV73" s="781"/>
      <c r="AW73" s="925">
        <f>SUM(AT73:AV73)</f>
        <v>2</v>
      </c>
      <c r="AX73" s="925"/>
      <c r="AY73" s="925"/>
      <c r="AZ73" s="925"/>
      <c r="BA73" s="926">
        <f>SUM(AX73:AZ73)</f>
        <v>0</v>
      </c>
      <c r="BB73" s="927">
        <f>SUM(P73,R73,T73,AB73,AJ73,AR73)</f>
        <v>1</v>
      </c>
      <c r="BC73" s="928">
        <f>SUM(Q73,AD73,AT73)</f>
        <v>1</v>
      </c>
      <c r="BD73" s="928">
        <f>SUM(S73,AE73,AL73,AU73)</f>
        <v>1</v>
      </c>
      <c r="BE73" s="928">
        <f>SUM(U73,AM73,AV73)</f>
        <v>0</v>
      </c>
      <c r="BF73" s="928">
        <f>SUM(BC73:BE73)</f>
        <v>2</v>
      </c>
      <c r="BG73" s="928">
        <f>SUM(V73,X73,Z73,AC73,AK73,AS73)</f>
        <v>0</v>
      </c>
      <c r="BH73" s="928">
        <f>SUM(W73,AG73,AX73)</f>
        <v>0</v>
      </c>
      <c r="BI73" s="928">
        <f>SUM(Y73,AH73,AO73,AY73)</f>
        <v>0</v>
      </c>
      <c r="BJ73" s="928">
        <f>SUM(AA73,AP73,AZ73)</f>
        <v>0</v>
      </c>
      <c r="BK73" s="928">
        <f>SUM(BH73:BJ73)</f>
        <v>0</v>
      </c>
      <c r="BL73" s="53"/>
    </row>
    <row r="74" spans="1:67" s="400" customFormat="1" ht="17.100000000000001" customHeight="1">
      <c r="A74" s="457" t="s">
        <v>3294</v>
      </c>
      <c r="B74" s="53" t="s">
        <v>296</v>
      </c>
      <c r="C74" s="53" t="s">
        <v>296</v>
      </c>
      <c r="D74" s="53" t="s">
        <v>3295</v>
      </c>
      <c r="E74" s="53" t="s">
        <v>4</v>
      </c>
      <c r="F74" s="53" t="s">
        <v>3296</v>
      </c>
      <c r="G74" s="71">
        <v>29655</v>
      </c>
      <c r="H74" s="50" t="s">
        <v>3297</v>
      </c>
      <c r="I74" s="51">
        <v>43239</v>
      </c>
      <c r="J74" s="52">
        <v>23119</v>
      </c>
      <c r="K74" s="53" t="s">
        <v>3298</v>
      </c>
      <c r="L74" s="54" t="s">
        <v>3299</v>
      </c>
      <c r="M74" s="773">
        <v>1</v>
      </c>
      <c r="N74" s="718"/>
      <c r="O74" s="774">
        <v>18</v>
      </c>
      <c r="P74" s="780"/>
      <c r="Q74" s="781"/>
      <c r="R74" s="781"/>
      <c r="S74" s="781"/>
      <c r="T74" s="781"/>
      <c r="U74" s="782"/>
      <c r="V74" s="780"/>
      <c r="W74" s="781"/>
      <c r="X74" s="781"/>
      <c r="Y74" s="781"/>
      <c r="Z74" s="781"/>
      <c r="AA74" s="782"/>
      <c r="AB74" s="788"/>
      <c r="AC74" s="781"/>
      <c r="AD74" s="781"/>
      <c r="AE74" s="781"/>
      <c r="AF74" s="781">
        <f>SUM(AD74:AE74)</f>
        <v>0</v>
      </c>
      <c r="AG74" s="781"/>
      <c r="AH74" s="781"/>
      <c r="AI74" s="782">
        <f>SUM(AG74:AH74)</f>
        <v>0</v>
      </c>
      <c r="AJ74" s="788"/>
      <c r="AK74" s="781"/>
      <c r="AL74" s="781"/>
      <c r="AM74" s="781"/>
      <c r="AN74" s="781">
        <f>SUM(AL74:AM74)</f>
        <v>0</v>
      </c>
      <c r="AO74" s="781"/>
      <c r="AP74" s="781"/>
      <c r="AQ74" s="782">
        <f>SUM(AO74:AP74)</f>
        <v>0</v>
      </c>
      <c r="AR74" s="924">
        <v>1</v>
      </c>
      <c r="AS74" s="925"/>
      <c r="AT74" s="781"/>
      <c r="AU74" s="781">
        <v>1</v>
      </c>
      <c r="AV74" s="781">
        <v>3</v>
      </c>
      <c r="AW74" s="925">
        <f>SUM(AT74:AV74)</f>
        <v>4</v>
      </c>
      <c r="AX74" s="925"/>
      <c r="AY74" s="925"/>
      <c r="AZ74" s="925"/>
      <c r="BA74" s="926">
        <f>SUM(AX74:AZ74)</f>
        <v>0</v>
      </c>
      <c r="BB74" s="927">
        <f>SUM(P74,R74,T74,AB74,AJ74,AR74)</f>
        <v>1</v>
      </c>
      <c r="BC74" s="928">
        <f>SUM(Q74,AD74,AT74)</f>
        <v>0</v>
      </c>
      <c r="BD74" s="928">
        <f>SUM(S74,AE74,AL74,AU74)</f>
        <v>1</v>
      </c>
      <c r="BE74" s="928">
        <f>SUM(U74,AM74,AV74)</f>
        <v>3</v>
      </c>
      <c r="BF74" s="928">
        <f>SUM(BC74:BE74)</f>
        <v>4</v>
      </c>
      <c r="BG74" s="928">
        <f>SUM(V74,X74,Z74,AC74,AK74,AS74)</f>
        <v>0</v>
      </c>
      <c r="BH74" s="928">
        <f>SUM(W74,AG74,AX74)</f>
        <v>0</v>
      </c>
      <c r="BI74" s="928">
        <f>SUM(Y74,AH74,AO74,AY74)</f>
        <v>0</v>
      </c>
      <c r="BJ74" s="928">
        <f>SUM(AA74,AP74,AZ74)</f>
        <v>0</v>
      </c>
      <c r="BK74" s="928">
        <f>SUM(BH74:BJ74)</f>
        <v>0</v>
      </c>
      <c r="BL74" s="53"/>
    </row>
    <row r="75" spans="1:67" s="43" customFormat="1" ht="17.100000000000001" customHeight="1">
      <c r="A75" s="1611" t="s">
        <v>414</v>
      </c>
      <c r="B75" s="1612"/>
      <c r="C75" s="1612"/>
      <c r="D75" s="1613"/>
      <c r="E75" s="401">
        <f>COUNTA(E66:E74)</f>
        <v>9</v>
      </c>
      <c r="F75" s="285"/>
      <c r="G75" s="402"/>
      <c r="H75" s="181"/>
      <c r="I75" s="403"/>
      <c r="J75" s="287"/>
      <c r="K75" s="285"/>
      <c r="L75" s="288"/>
      <c r="M75" s="404">
        <f t="shared" ref="M75:AR75" si="71">SUM(M66:M74)</f>
        <v>9</v>
      </c>
      <c r="N75" s="405">
        <f t="shared" si="71"/>
        <v>0</v>
      </c>
      <c r="O75" s="406">
        <f t="shared" si="71"/>
        <v>162</v>
      </c>
      <c r="P75" s="407">
        <f t="shared" si="71"/>
        <v>0</v>
      </c>
      <c r="Q75" s="408">
        <f t="shared" si="71"/>
        <v>0</v>
      </c>
      <c r="R75" s="408">
        <f t="shared" si="71"/>
        <v>0</v>
      </c>
      <c r="S75" s="408">
        <f t="shared" si="71"/>
        <v>0</v>
      </c>
      <c r="T75" s="408">
        <f t="shared" si="71"/>
        <v>1</v>
      </c>
      <c r="U75" s="409">
        <f t="shared" si="71"/>
        <v>5</v>
      </c>
      <c r="V75" s="410">
        <f t="shared" si="71"/>
        <v>0</v>
      </c>
      <c r="W75" s="408">
        <f t="shared" si="71"/>
        <v>0</v>
      </c>
      <c r="X75" s="408">
        <f t="shared" si="71"/>
        <v>0</v>
      </c>
      <c r="Y75" s="408">
        <f t="shared" si="71"/>
        <v>0</v>
      </c>
      <c r="Z75" s="408">
        <f t="shared" si="71"/>
        <v>0</v>
      </c>
      <c r="AA75" s="409">
        <f t="shared" si="71"/>
        <v>0</v>
      </c>
      <c r="AB75" s="407">
        <f t="shared" si="71"/>
        <v>0</v>
      </c>
      <c r="AC75" s="408">
        <f t="shared" si="71"/>
        <v>0</v>
      </c>
      <c r="AD75" s="408">
        <f t="shared" si="71"/>
        <v>0</v>
      </c>
      <c r="AE75" s="408">
        <f t="shared" si="71"/>
        <v>0</v>
      </c>
      <c r="AF75" s="408">
        <f t="shared" si="71"/>
        <v>0</v>
      </c>
      <c r="AG75" s="408">
        <f t="shared" si="71"/>
        <v>0</v>
      </c>
      <c r="AH75" s="408">
        <f t="shared" si="71"/>
        <v>0</v>
      </c>
      <c r="AI75" s="409">
        <f t="shared" si="71"/>
        <v>0</v>
      </c>
      <c r="AJ75" s="407">
        <f t="shared" si="71"/>
        <v>1</v>
      </c>
      <c r="AK75" s="408">
        <f t="shared" si="71"/>
        <v>0</v>
      </c>
      <c r="AL75" s="408">
        <f t="shared" si="71"/>
        <v>0</v>
      </c>
      <c r="AM75" s="408">
        <f t="shared" si="71"/>
        <v>7</v>
      </c>
      <c r="AN75" s="408">
        <f t="shared" si="71"/>
        <v>7</v>
      </c>
      <c r="AO75" s="408">
        <f t="shared" si="71"/>
        <v>0</v>
      </c>
      <c r="AP75" s="408">
        <f t="shared" si="71"/>
        <v>0</v>
      </c>
      <c r="AQ75" s="409">
        <f t="shared" si="71"/>
        <v>0</v>
      </c>
      <c r="AR75" s="411">
        <f t="shared" si="71"/>
        <v>6</v>
      </c>
      <c r="AS75" s="412">
        <f t="shared" ref="AS75:BK75" si="72">SUM(AS66:AS74)</f>
        <v>0</v>
      </c>
      <c r="AT75" s="412">
        <f t="shared" si="72"/>
        <v>1</v>
      </c>
      <c r="AU75" s="412">
        <f t="shared" si="72"/>
        <v>4</v>
      </c>
      <c r="AV75" s="412">
        <f t="shared" si="72"/>
        <v>9</v>
      </c>
      <c r="AW75" s="412">
        <f t="shared" si="72"/>
        <v>14</v>
      </c>
      <c r="AX75" s="412">
        <f t="shared" si="72"/>
        <v>0</v>
      </c>
      <c r="AY75" s="412">
        <f t="shared" si="72"/>
        <v>0</v>
      </c>
      <c r="AZ75" s="412">
        <f t="shared" si="72"/>
        <v>0</v>
      </c>
      <c r="BA75" s="413">
        <f t="shared" si="72"/>
        <v>0</v>
      </c>
      <c r="BB75" s="414">
        <f t="shared" si="72"/>
        <v>8</v>
      </c>
      <c r="BC75" s="415">
        <f t="shared" si="72"/>
        <v>1</v>
      </c>
      <c r="BD75" s="415">
        <f t="shared" si="72"/>
        <v>4</v>
      </c>
      <c r="BE75" s="415">
        <f t="shared" si="72"/>
        <v>21</v>
      </c>
      <c r="BF75" s="415">
        <f t="shared" si="72"/>
        <v>26</v>
      </c>
      <c r="BG75" s="415">
        <f t="shared" si="72"/>
        <v>0</v>
      </c>
      <c r="BH75" s="415">
        <f t="shared" si="72"/>
        <v>0</v>
      </c>
      <c r="BI75" s="415">
        <f t="shared" si="72"/>
        <v>0</v>
      </c>
      <c r="BJ75" s="415">
        <f t="shared" si="72"/>
        <v>0</v>
      </c>
      <c r="BK75" s="416">
        <f t="shared" si="72"/>
        <v>0</v>
      </c>
      <c r="BL75" s="417"/>
    </row>
    <row r="76" spans="1:67" s="43" customFormat="1" ht="17.100000000000001" customHeight="1">
      <c r="A76" s="457" t="s">
        <v>2468</v>
      </c>
      <c r="B76" s="53" t="s">
        <v>296</v>
      </c>
      <c r="C76" s="53" t="s">
        <v>296</v>
      </c>
      <c r="D76" s="53" t="s">
        <v>2469</v>
      </c>
      <c r="E76" s="53" t="s">
        <v>5</v>
      </c>
      <c r="F76" s="53" t="s">
        <v>3361</v>
      </c>
      <c r="G76" s="71">
        <v>41466</v>
      </c>
      <c r="H76" s="50" t="s">
        <v>1475</v>
      </c>
      <c r="I76" s="51">
        <v>490</v>
      </c>
      <c r="J76" s="52">
        <v>23101</v>
      </c>
      <c r="K76" s="53" t="s">
        <v>3362</v>
      </c>
      <c r="L76" s="54" t="s">
        <v>3363</v>
      </c>
      <c r="M76" s="57">
        <v>2</v>
      </c>
      <c r="N76" s="58"/>
      <c r="O76" s="59">
        <v>70</v>
      </c>
      <c r="P76" s="60"/>
      <c r="Q76" s="61"/>
      <c r="R76" s="61"/>
      <c r="S76" s="61"/>
      <c r="T76" s="61"/>
      <c r="U76" s="62"/>
      <c r="V76" s="60"/>
      <c r="W76" s="61"/>
      <c r="X76" s="61"/>
      <c r="Y76" s="61"/>
      <c r="Z76" s="61"/>
      <c r="AA76" s="62"/>
      <c r="AB76" s="63">
        <v>1</v>
      </c>
      <c r="AC76" s="61"/>
      <c r="AD76" s="61">
        <v>4</v>
      </c>
      <c r="AE76" s="61">
        <v>1</v>
      </c>
      <c r="AF76" s="61">
        <f t="shared" ref="AF76" si="73">SUM(AD76:AE76)</f>
        <v>5</v>
      </c>
      <c r="AG76" s="61"/>
      <c r="AH76" s="61"/>
      <c r="AI76" s="62">
        <f t="shared" ref="AI76" si="74">SUM(AG76:AH76)</f>
        <v>0</v>
      </c>
      <c r="AJ76" s="63">
        <v>1</v>
      </c>
      <c r="AK76" s="61"/>
      <c r="AL76" s="61">
        <v>1</v>
      </c>
      <c r="AM76" s="61">
        <v>6</v>
      </c>
      <c r="AN76" s="61">
        <f t="shared" ref="AN76" si="75">SUM(AL76:AM76)</f>
        <v>7</v>
      </c>
      <c r="AO76" s="61"/>
      <c r="AP76" s="61"/>
      <c r="AQ76" s="62">
        <f t="shared" ref="AQ76" si="76">SUM(AO76:AP76)</f>
        <v>0</v>
      </c>
      <c r="AR76" s="955"/>
      <c r="AS76" s="956"/>
      <c r="AT76" s="61"/>
      <c r="AU76" s="61"/>
      <c r="AV76" s="61"/>
      <c r="AW76" s="956">
        <f t="shared" ref="AW76" si="77">SUM(AT76:AV76)</f>
        <v>0</v>
      </c>
      <c r="AX76" s="956"/>
      <c r="AY76" s="956"/>
      <c r="AZ76" s="956"/>
      <c r="BA76" s="957">
        <f t="shared" ref="BA76" si="78">SUM(AX76:AZ76)</f>
        <v>0</v>
      </c>
      <c r="BB76" s="958">
        <f t="shared" ref="BB76" si="79">SUM(P76,R76,T76,AB76,AJ76,AR76)</f>
        <v>2</v>
      </c>
      <c r="BC76" s="959">
        <f t="shared" ref="BC76" si="80">SUM(Q76,AD76,AT76)</f>
        <v>4</v>
      </c>
      <c r="BD76" s="959">
        <f t="shared" ref="BD76" si="81">SUM(S76,AE76,AL76,AU76)</f>
        <v>2</v>
      </c>
      <c r="BE76" s="959">
        <f t="shared" ref="BE76" si="82">SUM(U76,AM76,AV76)</f>
        <v>6</v>
      </c>
      <c r="BF76" s="959">
        <f t="shared" ref="BF76" si="83">SUM(BC76:BE76)</f>
        <v>12</v>
      </c>
      <c r="BG76" s="959">
        <f t="shared" ref="BG76" si="84">SUM(V76,X76,Z76,AC76,AK76,AS76)</f>
        <v>0</v>
      </c>
      <c r="BH76" s="959">
        <f t="shared" ref="BH76" si="85">SUM(W76,AG76,AX76)</f>
        <v>0</v>
      </c>
      <c r="BI76" s="959">
        <f t="shared" ref="BI76" si="86">SUM(Y76,AH76,AO76,AY76)</f>
        <v>0</v>
      </c>
      <c r="BJ76" s="959">
        <f t="shared" ref="BJ76" si="87">SUM(AA76,AP76,AZ76)</f>
        <v>0</v>
      </c>
      <c r="BK76" s="959">
        <f t="shared" ref="BK76" si="88">SUM(BH76:BJ76)</f>
        <v>0</v>
      </c>
      <c r="BL76" s="53"/>
      <c r="BN76" s="792"/>
      <c r="BO76" s="792"/>
    </row>
    <row r="77" spans="1:67" s="43" customFormat="1" ht="17.100000000000001" customHeight="1">
      <c r="A77" s="1614" t="s">
        <v>1473</v>
      </c>
      <c r="B77" s="1615"/>
      <c r="C77" s="1615"/>
      <c r="D77" s="1616"/>
      <c r="E77" s="418">
        <f>COUNTA(E76)</f>
        <v>1</v>
      </c>
      <c r="F77" s="294"/>
      <c r="G77" s="419"/>
      <c r="H77" s="190"/>
      <c r="I77" s="420"/>
      <c r="J77" s="296"/>
      <c r="K77" s="294"/>
      <c r="L77" s="297"/>
      <c r="M77" s="421">
        <f t="shared" ref="M77:AS77" si="89">M76</f>
        <v>2</v>
      </c>
      <c r="N77" s="422">
        <f t="shared" si="89"/>
        <v>0</v>
      </c>
      <c r="O77" s="423">
        <f t="shared" si="89"/>
        <v>70</v>
      </c>
      <c r="P77" s="424">
        <f t="shared" si="89"/>
        <v>0</v>
      </c>
      <c r="Q77" s="425">
        <f t="shared" si="89"/>
        <v>0</v>
      </c>
      <c r="R77" s="425">
        <f t="shared" si="89"/>
        <v>0</v>
      </c>
      <c r="S77" s="425">
        <f t="shared" si="89"/>
        <v>0</v>
      </c>
      <c r="T77" s="425">
        <f t="shared" si="89"/>
        <v>0</v>
      </c>
      <c r="U77" s="426">
        <f t="shared" si="89"/>
        <v>0</v>
      </c>
      <c r="V77" s="427">
        <f t="shared" si="89"/>
        <v>0</v>
      </c>
      <c r="W77" s="425">
        <f t="shared" si="89"/>
        <v>0</v>
      </c>
      <c r="X77" s="425">
        <f t="shared" si="89"/>
        <v>0</v>
      </c>
      <c r="Y77" s="425">
        <f t="shared" si="89"/>
        <v>0</v>
      </c>
      <c r="Z77" s="425">
        <f t="shared" si="89"/>
        <v>0</v>
      </c>
      <c r="AA77" s="426">
        <f t="shared" si="89"/>
        <v>0</v>
      </c>
      <c r="AB77" s="424">
        <f t="shared" si="89"/>
        <v>1</v>
      </c>
      <c r="AC77" s="425">
        <f t="shared" si="89"/>
        <v>0</v>
      </c>
      <c r="AD77" s="425">
        <f t="shared" si="89"/>
        <v>4</v>
      </c>
      <c r="AE77" s="425">
        <f t="shared" si="89"/>
        <v>1</v>
      </c>
      <c r="AF77" s="425">
        <f t="shared" si="89"/>
        <v>5</v>
      </c>
      <c r="AG77" s="425">
        <f t="shared" si="89"/>
        <v>0</v>
      </c>
      <c r="AH77" s="425">
        <f t="shared" si="89"/>
        <v>0</v>
      </c>
      <c r="AI77" s="426">
        <f t="shared" si="89"/>
        <v>0</v>
      </c>
      <c r="AJ77" s="424">
        <f t="shared" si="89"/>
        <v>1</v>
      </c>
      <c r="AK77" s="425">
        <f t="shared" si="89"/>
        <v>0</v>
      </c>
      <c r="AL77" s="425">
        <f t="shared" si="89"/>
        <v>1</v>
      </c>
      <c r="AM77" s="425">
        <f t="shared" si="89"/>
        <v>6</v>
      </c>
      <c r="AN77" s="425">
        <f t="shared" si="89"/>
        <v>7</v>
      </c>
      <c r="AO77" s="425">
        <f t="shared" si="89"/>
        <v>0</v>
      </c>
      <c r="AP77" s="425">
        <f t="shared" si="89"/>
        <v>0</v>
      </c>
      <c r="AQ77" s="426">
        <f t="shared" si="89"/>
        <v>0</v>
      </c>
      <c r="AR77" s="428">
        <f t="shared" si="89"/>
        <v>0</v>
      </c>
      <c r="AS77" s="429">
        <f t="shared" si="89"/>
        <v>0</v>
      </c>
      <c r="AT77" s="429">
        <f t="shared" ref="AT77:AZ77" si="90">AT76</f>
        <v>0</v>
      </c>
      <c r="AU77" s="429">
        <f t="shared" si="90"/>
        <v>0</v>
      </c>
      <c r="AV77" s="429">
        <f t="shared" si="90"/>
        <v>0</v>
      </c>
      <c r="AW77" s="429">
        <f t="shared" si="90"/>
        <v>0</v>
      </c>
      <c r="AX77" s="429">
        <f t="shared" si="90"/>
        <v>0</v>
      </c>
      <c r="AY77" s="429">
        <f t="shared" si="90"/>
        <v>0</v>
      </c>
      <c r="AZ77" s="429">
        <f t="shared" si="90"/>
        <v>0</v>
      </c>
      <c r="BA77" s="430">
        <f>BA76</f>
        <v>0</v>
      </c>
      <c r="BB77" s="431">
        <f>BB76</f>
        <v>2</v>
      </c>
      <c r="BC77" s="432">
        <f>BC76</f>
        <v>4</v>
      </c>
      <c r="BD77" s="432">
        <f t="shared" ref="BD77:BJ77" si="91">BD76</f>
        <v>2</v>
      </c>
      <c r="BE77" s="432">
        <f t="shared" si="91"/>
        <v>6</v>
      </c>
      <c r="BF77" s="432">
        <f t="shared" si="91"/>
        <v>12</v>
      </c>
      <c r="BG77" s="432">
        <f t="shared" si="91"/>
        <v>0</v>
      </c>
      <c r="BH77" s="432">
        <f t="shared" si="91"/>
        <v>0</v>
      </c>
      <c r="BI77" s="432">
        <f t="shared" si="91"/>
        <v>0</v>
      </c>
      <c r="BJ77" s="432">
        <f t="shared" si="91"/>
        <v>0</v>
      </c>
      <c r="BK77" s="433">
        <f>BK76</f>
        <v>0</v>
      </c>
      <c r="BL77" s="434"/>
    </row>
    <row r="78" spans="1:67" s="43" customFormat="1" ht="17.100000000000001" customHeight="1">
      <c r="A78" s="1568" t="s">
        <v>1474</v>
      </c>
      <c r="B78" s="1569"/>
      <c r="C78" s="1569"/>
      <c r="D78" s="1569"/>
      <c r="E78" s="1570"/>
      <c r="F78" s="435">
        <f>E75+E77</f>
        <v>10</v>
      </c>
      <c r="G78" s="436"/>
      <c r="H78" s="222"/>
      <c r="I78" s="437"/>
      <c r="J78" s="305"/>
      <c r="K78" s="303"/>
      <c r="L78" s="306"/>
      <c r="M78" s="438">
        <f t="shared" ref="M78:AS78" si="92">M75+M77</f>
        <v>11</v>
      </c>
      <c r="N78" s="439">
        <f t="shared" si="92"/>
        <v>0</v>
      </c>
      <c r="O78" s="440">
        <f t="shared" si="92"/>
        <v>232</v>
      </c>
      <c r="P78" s="441">
        <f t="shared" si="92"/>
        <v>0</v>
      </c>
      <c r="Q78" s="442">
        <f t="shared" si="92"/>
        <v>0</v>
      </c>
      <c r="R78" s="442">
        <f t="shared" si="92"/>
        <v>0</v>
      </c>
      <c r="S78" s="442">
        <f t="shared" si="92"/>
        <v>0</v>
      </c>
      <c r="T78" s="442">
        <f t="shared" si="92"/>
        <v>1</v>
      </c>
      <c r="U78" s="443">
        <f t="shared" si="92"/>
        <v>5</v>
      </c>
      <c r="V78" s="444">
        <f t="shared" si="92"/>
        <v>0</v>
      </c>
      <c r="W78" s="442">
        <f t="shared" si="92"/>
        <v>0</v>
      </c>
      <c r="X78" s="442">
        <f t="shared" si="92"/>
        <v>0</v>
      </c>
      <c r="Y78" s="442">
        <f t="shared" si="92"/>
        <v>0</v>
      </c>
      <c r="Z78" s="442">
        <f t="shared" si="92"/>
        <v>0</v>
      </c>
      <c r="AA78" s="443">
        <f t="shared" si="92"/>
        <v>0</v>
      </c>
      <c r="AB78" s="441">
        <f t="shared" si="92"/>
        <v>1</v>
      </c>
      <c r="AC78" s="442">
        <f t="shared" si="92"/>
        <v>0</v>
      </c>
      <c r="AD78" s="442">
        <f t="shared" si="92"/>
        <v>4</v>
      </c>
      <c r="AE78" s="442">
        <f t="shared" si="92"/>
        <v>1</v>
      </c>
      <c r="AF78" s="442">
        <f t="shared" si="92"/>
        <v>5</v>
      </c>
      <c r="AG78" s="442">
        <f t="shared" si="92"/>
        <v>0</v>
      </c>
      <c r="AH78" s="442">
        <f t="shared" si="92"/>
        <v>0</v>
      </c>
      <c r="AI78" s="443">
        <f t="shared" si="92"/>
        <v>0</v>
      </c>
      <c r="AJ78" s="441">
        <f t="shared" si="92"/>
        <v>2</v>
      </c>
      <c r="AK78" s="442">
        <f t="shared" si="92"/>
        <v>0</v>
      </c>
      <c r="AL78" s="442">
        <f t="shared" si="92"/>
        <v>1</v>
      </c>
      <c r="AM78" s="442">
        <f t="shared" si="92"/>
        <v>13</v>
      </c>
      <c r="AN78" s="442">
        <f t="shared" si="92"/>
        <v>14</v>
      </c>
      <c r="AO78" s="442">
        <f t="shared" si="92"/>
        <v>0</v>
      </c>
      <c r="AP78" s="442">
        <f t="shared" si="92"/>
        <v>0</v>
      </c>
      <c r="AQ78" s="443">
        <f t="shared" si="92"/>
        <v>0</v>
      </c>
      <c r="AR78" s="445">
        <f t="shared" si="92"/>
        <v>6</v>
      </c>
      <c r="AS78" s="446">
        <f t="shared" si="92"/>
        <v>0</v>
      </c>
      <c r="AT78" s="446">
        <f t="shared" ref="AT78:AZ78" si="93">AT75+AT77</f>
        <v>1</v>
      </c>
      <c r="AU78" s="446">
        <f t="shared" si="93"/>
        <v>4</v>
      </c>
      <c r="AV78" s="446">
        <f t="shared" si="93"/>
        <v>9</v>
      </c>
      <c r="AW78" s="446">
        <f t="shared" si="93"/>
        <v>14</v>
      </c>
      <c r="AX78" s="446">
        <f t="shared" si="93"/>
        <v>0</v>
      </c>
      <c r="AY78" s="446">
        <f t="shared" si="93"/>
        <v>0</v>
      </c>
      <c r="AZ78" s="446">
        <f t="shared" si="93"/>
        <v>0</v>
      </c>
      <c r="BA78" s="447">
        <f>BA75+BA77</f>
        <v>0</v>
      </c>
      <c r="BB78" s="448">
        <f>BB75+BB77</f>
        <v>10</v>
      </c>
      <c r="BC78" s="449">
        <f>BC75+BC77</f>
        <v>5</v>
      </c>
      <c r="BD78" s="449">
        <f t="shared" ref="BD78:BJ78" si="94">BD75+BD77</f>
        <v>6</v>
      </c>
      <c r="BE78" s="449">
        <f t="shared" si="94"/>
        <v>27</v>
      </c>
      <c r="BF78" s="449">
        <f t="shared" si="94"/>
        <v>38</v>
      </c>
      <c r="BG78" s="449">
        <f t="shared" si="94"/>
        <v>0</v>
      </c>
      <c r="BH78" s="449">
        <f t="shared" si="94"/>
        <v>0</v>
      </c>
      <c r="BI78" s="449">
        <f t="shared" si="94"/>
        <v>0</v>
      </c>
      <c r="BJ78" s="449">
        <f t="shared" si="94"/>
        <v>0</v>
      </c>
      <c r="BK78" s="450">
        <f>BK75+BK77</f>
        <v>0</v>
      </c>
      <c r="BL78" s="451"/>
      <c r="BN78" s="792"/>
      <c r="BO78" s="792"/>
    </row>
    <row r="79" spans="1:67" s="400" customFormat="1" ht="17.100000000000001" customHeight="1">
      <c r="A79" s="457" t="s">
        <v>2481</v>
      </c>
      <c r="B79" s="53" t="s">
        <v>1906</v>
      </c>
      <c r="C79" s="53" t="s">
        <v>2820</v>
      </c>
      <c r="D79" s="53" t="s">
        <v>3300</v>
      </c>
      <c r="E79" s="53" t="s">
        <v>2424</v>
      </c>
      <c r="F79" s="53" t="s">
        <v>3301</v>
      </c>
      <c r="G79" s="71">
        <v>37330</v>
      </c>
      <c r="H79" s="50" t="s">
        <v>3302</v>
      </c>
      <c r="I79" s="51">
        <v>6438</v>
      </c>
      <c r="J79" s="52">
        <v>22311</v>
      </c>
      <c r="K79" s="53" t="s">
        <v>3303</v>
      </c>
      <c r="L79" s="54" t="s">
        <v>3304</v>
      </c>
      <c r="M79" s="773">
        <v>9</v>
      </c>
      <c r="N79" s="718">
        <v>10</v>
      </c>
      <c r="O79" s="774">
        <v>144</v>
      </c>
      <c r="P79" s="780">
        <v>3</v>
      </c>
      <c r="Q79" s="781">
        <v>20</v>
      </c>
      <c r="R79" s="781">
        <v>3</v>
      </c>
      <c r="S79" s="781">
        <v>35</v>
      </c>
      <c r="T79" s="781">
        <v>3</v>
      </c>
      <c r="U79" s="782">
        <v>34</v>
      </c>
      <c r="V79" s="780">
        <v>3</v>
      </c>
      <c r="W79" s="781">
        <v>7</v>
      </c>
      <c r="X79" s="781">
        <v>3</v>
      </c>
      <c r="Y79" s="781">
        <v>11</v>
      </c>
      <c r="Z79" s="781">
        <v>3</v>
      </c>
      <c r="AA79" s="782">
        <v>12</v>
      </c>
      <c r="AB79" s="788">
        <v>0</v>
      </c>
      <c r="AC79" s="781">
        <v>0</v>
      </c>
      <c r="AD79" s="781">
        <v>0</v>
      </c>
      <c r="AE79" s="781">
        <v>0</v>
      </c>
      <c r="AF79" s="781">
        <v>0</v>
      </c>
      <c r="AG79" s="781">
        <v>0</v>
      </c>
      <c r="AH79" s="781">
        <v>0</v>
      </c>
      <c r="AI79" s="782">
        <v>0</v>
      </c>
      <c r="AJ79" s="788">
        <v>0</v>
      </c>
      <c r="AK79" s="781">
        <v>0</v>
      </c>
      <c r="AL79" s="781">
        <v>0</v>
      </c>
      <c r="AM79" s="781">
        <v>0</v>
      </c>
      <c r="AN79" s="781">
        <v>0</v>
      </c>
      <c r="AO79" s="781">
        <v>0</v>
      </c>
      <c r="AP79" s="781">
        <v>0</v>
      </c>
      <c r="AQ79" s="782">
        <v>0</v>
      </c>
      <c r="AR79" s="924">
        <v>0</v>
      </c>
      <c r="AS79" s="925">
        <v>1</v>
      </c>
      <c r="AT79" s="781">
        <v>0</v>
      </c>
      <c r="AU79" s="781">
        <v>0</v>
      </c>
      <c r="AV79" s="781">
        <v>0</v>
      </c>
      <c r="AW79" s="925">
        <v>0</v>
      </c>
      <c r="AX79" s="925">
        <v>1</v>
      </c>
      <c r="AY79" s="925">
        <v>1</v>
      </c>
      <c r="AZ79" s="925">
        <v>0</v>
      </c>
      <c r="BA79" s="926">
        <v>2</v>
      </c>
      <c r="BB79" s="927">
        <v>9</v>
      </c>
      <c r="BC79" s="928">
        <v>20</v>
      </c>
      <c r="BD79" s="928">
        <v>35</v>
      </c>
      <c r="BE79" s="928">
        <v>21</v>
      </c>
      <c r="BF79" s="928">
        <v>76</v>
      </c>
      <c r="BG79" s="928">
        <v>10</v>
      </c>
      <c r="BH79" s="928">
        <v>8</v>
      </c>
      <c r="BI79" s="928">
        <v>12</v>
      </c>
      <c r="BJ79" s="928">
        <v>12</v>
      </c>
      <c r="BK79" s="928">
        <v>32</v>
      </c>
      <c r="BL79" s="53"/>
      <c r="BN79" s="803"/>
      <c r="BO79" s="803"/>
    </row>
    <row r="80" spans="1:67" s="400" customFormat="1" ht="17.100000000000001" customHeight="1">
      <c r="A80" s="457" t="s">
        <v>2481</v>
      </c>
      <c r="B80" s="53" t="s">
        <v>1906</v>
      </c>
      <c r="C80" s="53" t="s">
        <v>2820</v>
      </c>
      <c r="D80" s="53" t="s">
        <v>2484</v>
      </c>
      <c r="E80" s="53" t="s">
        <v>2424</v>
      </c>
      <c r="F80" s="53" t="s">
        <v>2485</v>
      </c>
      <c r="G80" s="71">
        <v>37684</v>
      </c>
      <c r="H80" s="50" t="s">
        <v>2334</v>
      </c>
      <c r="I80" s="51">
        <v>11553</v>
      </c>
      <c r="J80" s="52">
        <v>22334</v>
      </c>
      <c r="K80" s="53" t="s">
        <v>3305</v>
      </c>
      <c r="L80" s="54" t="s">
        <v>2337</v>
      </c>
      <c r="M80" s="773">
        <v>3</v>
      </c>
      <c r="N80" s="718">
        <v>0</v>
      </c>
      <c r="O80" s="774">
        <v>48</v>
      </c>
      <c r="P80" s="780">
        <v>1</v>
      </c>
      <c r="Q80" s="781">
        <v>9</v>
      </c>
      <c r="R80" s="781">
        <v>1</v>
      </c>
      <c r="S80" s="781">
        <v>10</v>
      </c>
      <c r="T80" s="781">
        <v>1</v>
      </c>
      <c r="U80" s="782">
        <v>6</v>
      </c>
      <c r="V80" s="780">
        <v>0</v>
      </c>
      <c r="W80" s="781">
        <v>0</v>
      </c>
      <c r="X80" s="781">
        <v>0</v>
      </c>
      <c r="Y80" s="781">
        <v>0</v>
      </c>
      <c r="Z80" s="781">
        <v>0</v>
      </c>
      <c r="AA80" s="782">
        <v>0</v>
      </c>
      <c r="AB80" s="788">
        <v>0</v>
      </c>
      <c r="AC80" s="781">
        <v>0</v>
      </c>
      <c r="AD80" s="781">
        <v>0</v>
      </c>
      <c r="AE80" s="781">
        <v>0</v>
      </c>
      <c r="AF80" s="781">
        <v>0</v>
      </c>
      <c r="AG80" s="781">
        <v>0</v>
      </c>
      <c r="AH80" s="781">
        <v>0</v>
      </c>
      <c r="AI80" s="782">
        <v>0</v>
      </c>
      <c r="AJ80" s="788">
        <v>0</v>
      </c>
      <c r="AK80" s="781">
        <v>0</v>
      </c>
      <c r="AL80" s="781">
        <v>0</v>
      </c>
      <c r="AM80" s="781">
        <v>0</v>
      </c>
      <c r="AN80" s="781">
        <v>0</v>
      </c>
      <c r="AO80" s="781">
        <v>0</v>
      </c>
      <c r="AP80" s="781">
        <v>0</v>
      </c>
      <c r="AQ80" s="782">
        <v>0</v>
      </c>
      <c r="AR80" s="924">
        <v>0</v>
      </c>
      <c r="AS80" s="925">
        <v>0</v>
      </c>
      <c r="AT80" s="781">
        <v>0</v>
      </c>
      <c r="AU80" s="781">
        <v>0</v>
      </c>
      <c r="AV80" s="781">
        <v>0</v>
      </c>
      <c r="AW80" s="925">
        <v>0</v>
      </c>
      <c r="AX80" s="925">
        <v>0</v>
      </c>
      <c r="AY80" s="925">
        <v>0</v>
      </c>
      <c r="AZ80" s="925">
        <v>0</v>
      </c>
      <c r="BA80" s="926">
        <v>0</v>
      </c>
      <c r="BB80" s="927">
        <v>3</v>
      </c>
      <c r="BC80" s="928">
        <v>9</v>
      </c>
      <c r="BD80" s="928">
        <v>10</v>
      </c>
      <c r="BE80" s="928">
        <v>6</v>
      </c>
      <c r="BF80" s="928">
        <v>25</v>
      </c>
      <c r="BG80" s="928">
        <v>0</v>
      </c>
      <c r="BH80" s="928">
        <v>0</v>
      </c>
      <c r="BI80" s="928">
        <v>0</v>
      </c>
      <c r="BJ80" s="928">
        <v>0</v>
      </c>
      <c r="BK80" s="928">
        <v>0</v>
      </c>
      <c r="BL80" s="53"/>
    </row>
    <row r="81" spans="1:64" s="400" customFormat="1" ht="17.100000000000001" customHeight="1">
      <c r="A81" s="457" t="s">
        <v>2481</v>
      </c>
      <c r="B81" s="53" t="s">
        <v>1906</v>
      </c>
      <c r="C81" s="53" t="s">
        <v>2820</v>
      </c>
      <c r="D81" s="53" t="s">
        <v>3306</v>
      </c>
      <c r="E81" s="53" t="s">
        <v>2424</v>
      </c>
      <c r="F81" s="53" t="s">
        <v>2483</v>
      </c>
      <c r="G81" s="71">
        <v>43770</v>
      </c>
      <c r="H81" s="50" t="s">
        <v>2339</v>
      </c>
      <c r="I81" s="51">
        <v>15683</v>
      </c>
      <c r="J81" s="52">
        <v>22321</v>
      </c>
      <c r="K81" s="53" t="s">
        <v>3307</v>
      </c>
      <c r="L81" s="54" t="s">
        <v>2342</v>
      </c>
      <c r="M81" s="773">
        <v>2</v>
      </c>
      <c r="N81" s="718"/>
      <c r="O81" s="774">
        <v>36</v>
      </c>
      <c r="P81" s="780"/>
      <c r="Q81" s="781"/>
      <c r="R81" s="781"/>
      <c r="S81" s="781"/>
      <c r="T81" s="781">
        <v>1</v>
      </c>
      <c r="U81" s="782">
        <v>10</v>
      </c>
      <c r="V81" s="780"/>
      <c r="W81" s="781"/>
      <c r="X81" s="781"/>
      <c r="Y81" s="781"/>
      <c r="Z81" s="781"/>
      <c r="AA81" s="782"/>
      <c r="AB81" s="788">
        <v>1</v>
      </c>
      <c r="AC81" s="781"/>
      <c r="AD81" s="781"/>
      <c r="AE81" s="781">
        <v>5</v>
      </c>
      <c r="AF81" s="781">
        <v>5</v>
      </c>
      <c r="AG81" s="781"/>
      <c r="AH81" s="781"/>
      <c r="AI81" s="782">
        <v>0</v>
      </c>
      <c r="AJ81" s="788"/>
      <c r="AK81" s="781"/>
      <c r="AL81" s="781"/>
      <c r="AM81" s="781"/>
      <c r="AN81" s="781">
        <v>0</v>
      </c>
      <c r="AO81" s="781"/>
      <c r="AP81" s="781"/>
      <c r="AQ81" s="782">
        <v>0</v>
      </c>
      <c r="AR81" s="924"/>
      <c r="AS81" s="925"/>
      <c r="AT81" s="781"/>
      <c r="AU81" s="781"/>
      <c r="AV81" s="781"/>
      <c r="AW81" s="925">
        <v>0</v>
      </c>
      <c r="AX81" s="925"/>
      <c r="AY81" s="925"/>
      <c r="AZ81" s="925"/>
      <c r="BA81" s="926">
        <v>0</v>
      </c>
      <c r="BB81" s="927">
        <v>2</v>
      </c>
      <c r="BC81" s="928">
        <v>0</v>
      </c>
      <c r="BD81" s="928">
        <v>5</v>
      </c>
      <c r="BE81" s="928">
        <v>10</v>
      </c>
      <c r="BF81" s="928">
        <v>15</v>
      </c>
      <c r="BG81" s="928">
        <v>0</v>
      </c>
      <c r="BH81" s="928">
        <v>0</v>
      </c>
      <c r="BI81" s="928">
        <v>0</v>
      </c>
      <c r="BJ81" s="928">
        <v>0</v>
      </c>
      <c r="BK81" s="928">
        <v>0</v>
      </c>
      <c r="BL81" s="53"/>
    </row>
    <row r="82" spans="1:64" s="400" customFormat="1" ht="17.100000000000001" customHeight="1">
      <c r="A82" s="457" t="s">
        <v>2481</v>
      </c>
      <c r="B82" s="53" t="s">
        <v>1906</v>
      </c>
      <c r="C82" s="53" t="s">
        <v>2820</v>
      </c>
      <c r="D82" s="53" t="s">
        <v>2486</v>
      </c>
      <c r="E82" s="53" t="s">
        <v>2424</v>
      </c>
      <c r="F82" s="53" t="s">
        <v>2487</v>
      </c>
      <c r="G82" s="71">
        <v>43525</v>
      </c>
      <c r="H82" s="50" t="s">
        <v>1490</v>
      </c>
      <c r="I82" s="51">
        <v>11582</v>
      </c>
      <c r="J82" s="52">
        <v>22348</v>
      </c>
      <c r="K82" s="53" t="s">
        <v>1477</v>
      </c>
      <c r="L82" s="54" t="s">
        <v>1478</v>
      </c>
      <c r="M82" s="773">
        <v>3</v>
      </c>
      <c r="N82" s="718">
        <v>0</v>
      </c>
      <c r="O82" s="774">
        <v>48</v>
      </c>
      <c r="P82" s="780">
        <v>1</v>
      </c>
      <c r="Q82" s="781">
        <v>5</v>
      </c>
      <c r="R82" s="781">
        <v>1</v>
      </c>
      <c r="S82" s="781">
        <v>9</v>
      </c>
      <c r="T82" s="781">
        <v>1</v>
      </c>
      <c r="U82" s="782">
        <v>7</v>
      </c>
      <c r="V82" s="780"/>
      <c r="W82" s="781"/>
      <c r="X82" s="781"/>
      <c r="Y82" s="781"/>
      <c r="Z82" s="781"/>
      <c r="AA82" s="782"/>
      <c r="AB82" s="788"/>
      <c r="AC82" s="781"/>
      <c r="AD82" s="781"/>
      <c r="AE82" s="781"/>
      <c r="AF82" s="781">
        <v>0</v>
      </c>
      <c r="AG82" s="781"/>
      <c r="AH82" s="781"/>
      <c r="AI82" s="782">
        <v>0</v>
      </c>
      <c r="AJ82" s="788"/>
      <c r="AK82" s="781"/>
      <c r="AL82" s="781"/>
      <c r="AM82" s="781"/>
      <c r="AN82" s="781">
        <v>0</v>
      </c>
      <c r="AO82" s="781"/>
      <c r="AP82" s="781"/>
      <c r="AQ82" s="782">
        <v>0</v>
      </c>
      <c r="AR82" s="924"/>
      <c r="AS82" s="925"/>
      <c r="AT82" s="781"/>
      <c r="AU82" s="781"/>
      <c r="AV82" s="781"/>
      <c r="AW82" s="925">
        <v>0</v>
      </c>
      <c r="AX82" s="925"/>
      <c r="AY82" s="925"/>
      <c r="AZ82" s="925"/>
      <c r="BA82" s="926">
        <v>0</v>
      </c>
      <c r="BB82" s="927">
        <v>3</v>
      </c>
      <c r="BC82" s="928">
        <v>5</v>
      </c>
      <c r="BD82" s="928">
        <v>9</v>
      </c>
      <c r="BE82" s="928">
        <v>7</v>
      </c>
      <c r="BF82" s="928">
        <v>21</v>
      </c>
      <c r="BG82" s="928">
        <v>0</v>
      </c>
      <c r="BH82" s="928">
        <v>0</v>
      </c>
      <c r="BI82" s="928">
        <v>0</v>
      </c>
      <c r="BJ82" s="928">
        <v>0</v>
      </c>
      <c r="BK82" s="928">
        <v>0</v>
      </c>
      <c r="BL82" s="53"/>
    </row>
    <row r="83" spans="1:64" s="400" customFormat="1" ht="17.100000000000001" customHeight="1">
      <c r="A83" s="457" t="s">
        <v>281</v>
      </c>
      <c r="B83" s="53" t="s">
        <v>218</v>
      </c>
      <c r="C83" s="53" t="s">
        <v>2820</v>
      </c>
      <c r="D83" s="53" t="s">
        <v>1969</v>
      </c>
      <c r="E83" s="53" t="s">
        <v>4</v>
      </c>
      <c r="F83" s="53" t="s">
        <v>1476</v>
      </c>
      <c r="G83" s="392">
        <v>31843</v>
      </c>
      <c r="H83" s="50" t="s">
        <v>718</v>
      </c>
      <c r="I83" s="51">
        <v>30113</v>
      </c>
      <c r="J83" s="52">
        <v>22309</v>
      </c>
      <c r="K83" s="53" t="s">
        <v>3308</v>
      </c>
      <c r="L83" s="54" t="s">
        <v>719</v>
      </c>
      <c r="M83" s="394">
        <v>1</v>
      </c>
      <c r="N83" s="395">
        <v>0</v>
      </c>
      <c r="O83" s="396">
        <v>19</v>
      </c>
      <c r="P83" s="399"/>
      <c r="Q83" s="397"/>
      <c r="R83" s="397"/>
      <c r="S83" s="397"/>
      <c r="T83" s="397"/>
      <c r="U83" s="398"/>
      <c r="V83" s="399"/>
      <c r="W83" s="397"/>
      <c r="X83" s="397"/>
      <c r="Y83" s="397"/>
      <c r="Z83" s="397"/>
      <c r="AA83" s="398"/>
      <c r="AB83" s="399"/>
      <c r="AC83" s="397"/>
      <c r="AD83" s="397"/>
      <c r="AE83" s="397"/>
      <c r="AF83" s="397">
        <v>0</v>
      </c>
      <c r="AG83" s="397"/>
      <c r="AH83" s="397"/>
      <c r="AI83" s="398"/>
      <c r="AJ83" s="399"/>
      <c r="AK83" s="397"/>
      <c r="AL83" s="397"/>
      <c r="AM83" s="397"/>
      <c r="AN83" s="397"/>
      <c r="AO83" s="397"/>
      <c r="AP83" s="397"/>
      <c r="AQ83" s="398"/>
      <c r="AR83" s="950"/>
      <c r="AS83" s="951"/>
      <c r="AT83" s="397"/>
      <c r="AU83" s="397"/>
      <c r="AV83" s="397"/>
      <c r="AW83" s="951"/>
      <c r="AX83" s="951"/>
      <c r="AY83" s="951"/>
      <c r="AZ83" s="951"/>
      <c r="BA83" s="952"/>
      <c r="BB83" s="953"/>
      <c r="BC83" s="928"/>
      <c r="BD83" s="928"/>
      <c r="BE83" s="928"/>
      <c r="BF83" s="928"/>
      <c r="BG83" s="928"/>
      <c r="BH83" s="928"/>
      <c r="BI83" s="928"/>
      <c r="BJ83" s="928"/>
      <c r="BK83" s="954"/>
      <c r="BL83" s="393" t="s">
        <v>1748</v>
      </c>
    </row>
    <row r="84" spans="1:64" s="400" customFormat="1" ht="17.100000000000001" customHeight="1">
      <c r="A84" s="457" t="s">
        <v>2488</v>
      </c>
      <c r="B84" s="53" t="s">
        <v>1906</v>
      </c>
      <c r="C84" s="53" t="s">
        <v>2822</v>
      </c>
      <c r="D84" s="53" t="s">
        <v>3309</v>
      </c>
      <c r="E84" s="53" t="s">
        <v>2424</v>
      </c>
      <c r="F84" s="53" t="s">
        <v>2490</v>
      </c>
      <c r="G84" s="71">
        <v>39873</v>
      </c>
      <c r="H84" s="50" t="s">
        <v>2491</v>
      </c>
      <c r="I84" s="51">
        <v>18079</v>
      </c>
      <c r="J84" s="52">
        <v>22358</v>
      </c>
      <c r="K84" s="53" t="s">
        <v>2492</v>
      </c>
      <c r="L84" s="54" t="s">
        <v>2493</v>
      </c>
      <c r="M84" s="773">
        <v>12</v>
      </c>
      <c r="N84" s="718">
        <v>3</v>
      </c>
      <c r="O84" s="774">
        <v>192</v>
      </c>
      <c r="P84" s="780">
        <v>4</v>
      </c>
      <c r="Q84" s="781">
        <v>44</v>
      </c>
      <c r="R84" s="781">
        <v>4</v>
      </c>
      <c r="S84" s="781">
        <v>64</v>
      </c>
      <c r="T84" s="781">
        <v>4</v>
      </c>
      <c r="U84" s="782">
        <v>67</v>
      </c>
      <c r="V84" s="780">
        <v>1</v>
      </c>
      <c r="W84" s="781">
        <v>4</v>
      </c>
      <c r="X84" s="781">
        <v>1</v>
      </c>
      <c r="Y84" s="781">
        <v>4</v>
      </c>
      <c r="Z84" s="781">
        <v>1</v>
      </c>
      <c r="AA84" s="782">
        <v>4</v>
      </c>
      <c r="AB84" s="788"/>
      <c r="AC84" s="781"/>
      <c r="AD84" s="781"/>
      <c r="AE84" s="781"/>
      <c r="AF84" s="781">
        <v>0</v>
      </c>
      <c r="AG84" s="781"/>
      <c r="AH84" s="781"/>
      <c r="AI84" s="782">
        <v>0</v>
      </c>
      <c r="AJ84" s="788"/>
      <c r="AK84" s="781"/>
      <c r="AL84" s="781"/>
      <c r="AM84" s="781"/>
      <c r="AN84" s="781">
        <v>0</v>
      </c>
      <c r="AO84" s="781"/>
      <c r="AP84" s="781"/>
      <c r="AQ84" s="782">
        <v>0</v>
      </c>
      <c r="AR84" s="924"/>
      <c r="AS84" s="925"/>
      <c r="AT84" s="781"/>
      <c r="AU84" s="781"/>
      <c r="AV84" s="781"/>
      <c r="AW84" s="925">
        <v>0</v>
      </c>
      <c r="AX84" s="925"/>
      <c r="AY84" s="925"/>
      <c r="AZ84" s="925"/>
      <c r="BA84" s="926">
        <v>0</v>
      </c>
      <c r="BB84" s="927">
        <v>12</v>
      </c>
      <c r="BC84" s="928">
        <v>44</v>
      </c>
      <c r="BD84" s="928">
        <v>64</v>
      </c>
      <c r="BE84" s="928">
        <v>67</v>
      </c>
      <c r="BF84" s="928">
        <v>175</v>
      </c>
      <c r="BG84" s="928">
        <v>3</v>
      </c>
      <c r="BH84" s="928">
        <v>4</v>
      </c>
      <c r="BI84" s="928">
        <v>4</v>
      </c>
      <c r="BJ84" s="928">
        <v>4</v>
      </c>
      <c r="BK84" s="928">
        <v>12</v>
      </c>
      <c r="BL84" s="53"/>
    </row>
    <row r="85" spans="1:64" s="400" customFormat="1" ht="17.100000000000001" customHeight="1">
      <c r="A85" s="457" t="s">
        <v>2488</v>
      </c>
      <c r="B85" s="53" t="s">
        <v>218</v>
      </c>
      <c r="C85" s="53" t="s">
        <v>2822</v>
      </c>
      <c r="D85" s="53" t="s">
        <v>2609</v>
      </c>
      <c r="E85" s="53" t="s">
        <v>2424</v>
      </c>
      <c r="F85" s="53" t="s">
        <v>3310</v>
      </c>
      <c r="G85" s="71">
        <v>41518</v>
      </c>
      <c r="H85" s="50" t="s">
        <v>2314</v>
      </c>
      <c r="I85" s="51">
        <v>11635</v>
      </c>
      <c r="J85" s="52">
        <v>22370</v>
      </c>
      <c r="K85" s="53" t="s">
        <v>3311</v>
      </c>
      <c r="L85" s="54" t="s">
        <v>3312</v>
      </c>
      <c r="M85" s="773">
        <v>5</v>
      </c>
      <c r="N85" s="718">
        <v>1</v>
      </c>
      <c r="O85" s="774">
        <v>84</v>
      </c>
      <c r="P85" s="780">
        <v>1</v>
      </c>
      <c r="Q85" s="781">
        <v>11</v>
      </c>
      <c r="R85" s="781">
        <v>2</v>
      </c>
      <c r="S85" s="781">
        <v>31</v>
      </c>
      <c r="T85" s="781">
        <v>2</v>
      </c>
      <c r="U85" s="782">
        <v>33</v>
      </c>
      <c r="V85" s="780"/>
      <c r="W85" s="781"/>
      <c r="X85" s="781"/>
      <c r="Y85" s="781"/>
      <c r="Z85" s="781"/>
      <c r="AA85" s="782"/>
      <c r="AB85" s="788"/>
      <c r="AC85" s="781"/>
      <c r="AD85" s="781"/>
      <c r="AE85" s="781"/>
      <c r="AF85" s="781">
        <v>0</v>
      </c>
      <c r="AG85" s="781"/>
      <c r="AH85" s="781"/>
      <c r="AI85" s="782">
        <v>0</v>
      </c>
      <c r="AJ85" s="788"/>
      <c r="AK85" s="781"/>
      <c r="AL85" s="781"/>
      <c r="AM85" s="781"/>
      <c r="AN85" s="781">
        <v>0</v>
      </c>
      <c r="AO85" s="781"/>
      <c r="AP85" s="781"/>
      <c r="AQ85" s="782">
        <v>0</v>
      </c>
      <c r="AR85" s="924"/>
      <c r="AS85" s="925">
        <v>1</v>
      </c>
      <c r="AT85" s="781"/>
      <c r="AU85" s="781"/>
      <c r="AV85" s="781"/>
      <c r="AW85" s="925">
        <v>0</v>
      </c>
      <c r="AX85" s="925">
        <v>1</v>
      </c>
      <c r="AY85" s="925">
        <v>0</v>
      </c>
      <c r="AZ85" s="925">
        <v>3</v>
      </c>
      <c r="BA85" s="926">
        <v>4</v>
      </c>
      <c r="BB85" s="927">
        <v>5</v>
      </c>
      <c r="BC85" s="928">
        <v>11</v>
      </c>
      <c r="BD85" s="928">
        <v>31</v>
      </c>
      <c r="BE85" s="928">
        <v>33</v>
      </c>
      <c r="BF85" s="928">
        <v>75</v>
      </c>
      <c r="BG85" s="928">
        <v>1</v>
      </c>
      <c r="BH85" s="928">
        <v>1</v>
      </c>
      <c r="BI85" s="928">
        <v>0</v>
      </c>
      <c r="BJ85" s="928">
        <v>3</v>
      </c>
      <c r="BK85" s="928">
        <v>4</v>
      </c>
      <c r="BL85" s="53"/>
    </row>
    <row r="86" spans="1:64" s="400" customFormat="1" ht="17.100000000000001" customHeight="1">
      <c r="A86" s="457" t="s">
        <v>2488</v>
      </c>
      <c r="B86" s="53" t="s">
        <v>1906</v>
      </c>
      <c r="C86" s="53" t="s">
        <v>2822</v>
      </c>
      <c r="D86" s="53" t="s">
        <v>3313</v>
      </c>
      <c r="E86" s="53" t="s">
        <v>2424</v>
      </c>
      <c r="F86" s="53" t="s">
        <v>2494</v>
      </c>
      <c r="G86" s="71">
        <v>44075</v>
      </c>
      <c r="H86" s="50" t="s">
        <v>723</v>
      </c>
      <c r="I86" s="51">
        <v>1282</v>
      </c>
      <c r="J86" s="52">
        <v>22389</v>
      </c>
      <c r="K86" s="53" t="s">
        <v>1481</v>
      </c>
      <c r="L86" s="54" t="s">
        <v>2495</v>
      </c>
      <c r="M86" s="773">
        <v>4</v>
      </c>
      <c r="N86" s="718">
        <v>1</v>
      </c>
      <c r="O86" s="774">
        <v>67</v>
      </c>
      <c r="P86" s="780">
        <v>1</v>
      </c>
      <c r="Q86" s="781">
        <v>10</v>
      </c>
      <c r="R86" s="781">
        <v>1</v>
      </c>
      <c r="S86" s="781">
        <v>16</v>
      </c>
      <c r="T86" s="781">
        <v>2</v>
      </c>
      <c r="U86" s="782">
        <v>37</v>
      </c>
      <c r="V86" s="780"/>
      <c r="W86" s="781"/>
      <c r="X86" s="781"/>
      <c r="Y86" s="781"/>
      <c r="Z86" s="781"/>
      <c r="AA86" s="782"/>
      <c r="AB86" s="788"/>
      <c r="AC86" s="781"/>
      <c r="AD86" s="781"/>
      <c r="AE86" s="781"/>
      <c r="AF86" s="781">
        <v>0</v>
      </c>
      <c r="AG86" s="781"/>
      <c r="AH86" s="781"/>
      <c r="AI86" s="782">
        <v>0</v>
      </c>
      <c r="AJ86" s="788"/>
      <c r="AK86" s="781"/>
      <c r="AL86" s="781"/>
      <c r="AM86" s="781"/>
      <c r="AN86" s="781">
        <v>0</v>
      </c>
      <c r="AO86" s="781"/>
      <c r="AP86" s="781"/>
      <c r="AQ86" s="782">
        <v>0</v>
      </c>
      <c r="AR86" s="924"/>
      <c r="AS86" s="925"/>
      <c r="AT86" s="781"/>
      <c r="AU86" s="781"/>
      <c r="AV86" s="781"/>
      <c r="AW86" s="925">
        <v>0</v>
      </c>
      <c r="AX86" s="925">
        <v>2</v>
      </c>
      <c r="AY86" s="925">
        <v>1</v>
      </c>
      <c r="AZ86" s="925">
        <v>1</v>
      </c>
      <c r="BA86" s="926">
        <v>4</v>
      </c>
      <c r="BB86" s="927">
        <v>4</v>
      </c>
      <c r="BC86" s="928">
        <v>10</v>
      </c>
      <c r="BD86" s="928">
        <v>16</v>
      </c>
      <c r="BE86" s="928">
        <v>37</v>
      </c>
      <c r="BF86" s="928">
        <v>63</v>
      </c>
      <c r="BG86" s="928">
        <v>1</v>
      </c>
      <c r="BH86" s="928">
        <v>2</v>
      </c>
      <c r="BI86" s="928">
        <v>1</v>
      </c>
      <c r="BJ86" s="928">
        <v>1</v>
      </c>
      <c r="BK86" s="928">
        <v>4</v>
      </c>
      <c r="BL86" s="53"/>
    </row>
    <row r="87" spans="1:64" s="400" customFormat="1" ht="17.100000000000001" customHeight="1">
      <c r="A87" s="457" t="s">
        <v>2488</v>
      </c>
      <c r="B87" s="53" t="s">
        <v>1906</v>
      </c>
      <c r="C87" s="53" t="s">
        <v>2822</v>
      </c>
      <c r="D87" s="53" t="s">
        <v>3314</v>
      </c>
      <c r="E87" s="53" t="s">
        <v>2424</v>
      </c>
      <c r="F87" s="53" t="s">
        <v>2496</v>
      </c>
      <c r="G87" s="71">
        <v>41153</v>
      </c>
      <c r="H87" s="50" t="s">
        <v>3315</v>
      </c>
      <c r="I87" s="51">
        <v>33442</v>
      </c>
      <c r="J87" s="52">
        <v>22406</v>
      </c>
      <c r="K87" s="53" t="s">
        <v>2497</v>
      </c>
      <c r="L87" s="54" t="s">
        <v>2498</v>
      </c>
      <c r="M87" s="773">
        <v>3</v>
      </c>
      <c r="N87" s="718">
        <v>0</v>
      </c>
      <c r="O87" s="774">
        <v>48</v>
      </c>
      <c r="P87" s="780">
        <v>1</v>
      </c>
      <c r="Q87" s="781">
        <v>12</v>
      </c>
      <c r="R87" s="781">
        <v>1</v>
      </c>
      <c r="S87" s="781">
        <v>17</v>
      </c>
      <c r="T87" s="781">
        <v>1</v>
      </c>
      <c r="U87" s="782">
        <v>19</v>
      </c>
      <c r="V87" s="780">
        <v>0</v>
      </c>
      <c r="W87" s="781">
        <v>0</v>
      </c>
      <c r="X87" s="781">
        <v>0</v>
      </c>
      <c r="Y87" s="781">
        <v>0</v>
      </c>
      <c r="Z87" s="781">
        <v>0</v>
      </c>
      <c r="AA87" s="782">
        <v>0</v>
      </c>
      <c r="AB87" s="788">
        <v>0</v>
      </c>
      <c r="AC87" s="781">
        <v>0</v>
      </c>
      <c r="AD87" s="781">
        <v>0</v>
      </c>
      <c r="AE87" s="781">
        <v>0</v>
      </c>
      <c r="AF87" s="781">
        <v>0</v>
      </c>
      <c r="AG87" s="781">
        <v>0</v>
      </c>
      <c r="AH87" s="781">
        <v>0</v>
      </c>
      <c r="AI87" s="782">
        <v>0</v>
      </c>
      <c r="AJ87" s="788">
        <v>0</v>
      </c>
      <c r="AK87" s="781">
        <v>0</v>
      </c>
      <c r="AL87" s="781">
        <v>0</v>
      </c>
      <c r="AM87" s="781">
        <v>0</v>
      </c>
      <c r="AN87" s="781">
        <v>0</v>
      </c>
      <c r="AO87" s="781">
        <v>0</v>
      </c>
      <c r="AP87" s="781">
        <v>0</v>
      </c>
      <c r="AQ87" s="782">
        <v>0</v>
      </c>
      <c r="AR87" s="924">
        <v>0</v>
      </c>
      <c r="AS87" s="925">
        <v>0</v>
      </c>
      <c r="AT87" s="781">
        <v>0</v>
      </c>
      <c r="AU87" s="781">
        <v>0</v>
      </c>
      <c r="AV87" s="781">
        <v>0</v>
      </c>
      <c r="AW87" s="925">
        <v>0</v>
      </c>
      <c r="AX87" s="925">
        <v>0</v>
      </c>
      <c r="AY87" s="925">
        <v>0</v>
      </c>
      <c r="AZ87" s="925">
        <v>0</v>
      </c>
      <c r="BA87" s="926">
        <v>0</v>
      </c>
      <c r="BB87" s="927">
        <v>3</v>
      </c>
      <c r="BC87" s="928">
        <v>12</v>
      </c>
      <c r="BD87" s="928">
        <v>17</v>
      </c>
      <c r="BE87" s="928">
        <v>19</v>
      </c>
      <c r="BF87" s="928">
        <v>48</v>
      </c>
      <c r="BG87" s="928">
        <v>0</v>
      </c>
      <c r="BH87" s="928">
        <v>0</v>
      </c>
      <c r="BI87" s="928">
        <v>0</v>
      </c>
      <c r="BJ87" s="928">
        <v>0</v>
      </c>
      <c r="BK87" s="928">
        <v>0</v>
      </c>
      <c r="BL87" s="53"/>
    </row>
    <row r="88" spans="1:64" s="400" customFormat="1" ht="17.100000000000001" customHeight="1">
      <c r="A88" s="457" t="s">
        <v>2488</v>
      </c>
      <c r="B88" s="53" t="s">
        <v>1906</v>
      </c>
      <c r="C88" s="53" t="s">
        <v>2822</v>
      </c>
      <c r="D88" s="53" t="s">
        <v>2503</v>
      </c>
      <c r="E88" s="53" t="s">
        <v>2424</v>
      </c>
      <c r="F88" s="53" t="s">
        <v>2504</v>
      </c>
      <c r="G88" s="71">
        <v>31837</v>
      </c>
      <c r="H88" s="50" t="s">
        <v>2505</v>
      </c>
      <c r="I88" s="51">
        <v>10184</v>
      </c>
      <c r="J88" s="52">
        <v>22384</v>
      </c>
      <c r="K88" s="53" t="s">
        <v>2345</v>
      </c>
      <c r="L88" s="54" t="s">
        <v>2346</v>
      </c>
      <c r="M88" s="1225">
        <v>1</v>
      </c>
      <c r="N88" s="1226">
        <v>1</v>
      </c>
      <c r="O88" s="1232">
        <v>19</v>
      </c>
      <c r="P88" s="780"/>
      <c r="Q88" s="781"/>
      <c r="R88" s="781"/>
      <c r="S88" s="781"/>
      <c r="T88" s="781"/>
      <c r="U88" s="782"/>
      <c r="V88" s="780"/>
      <c r="W88" s="781"/>
      <c r="X88" s="781"/>
      <c r="Y88" s="781"/>
      <c r="Z88" s="781"/>
      <c r="AA88" s="782"/>
      <c r="AB88" s="788"/>
      <c r="AC88" s="781"/>
      <c r="AD88" s="781"/>
      <c r="AE88" s="781"/>
      <c r="AF88" s="781">
        <v>0</v>
      </c>
      <c r="AG88" s="781"/>
      <c r="AH88" s="781"/>
      <c r="AI88" s="782">
        <v>0</v>
      </c>
      <c r="AJ88" s="788">
        <v>1</v>
      </c>
      <c r="AK88" s="781">
        <v>1</v>
      </c>
      <c r="AL88" s="781">
        <v>2</v>
      </c>
      <c r="AM88" s="781">
        <v>2</v>
      </c>
      <c r="AN88" s="781">
        <v>4</v>
      </c>
      <c r="AO88" s="781">
        <v>1</v>
      </c>
      <c r="AP88" s="781">
        <v>3</v>
      </c>
      <c r="AQ88" s="782">
        <v>4</v>
      </c>
      <c r="AR88" s="924"/>
      <c r="AS88" s="925"/>
      <c r="AT88" s="781"/>
      <c r="AU88" s="781"/>
      <c r="AV88" s="781"/>
      <c r="AW88" s="925">
        <v>0</v>
      </c>
      <c r="AX88" s="925"/>
      <c r="AY88" s="925"/>
      <c r="AZ88" s="925"/>
      <c r="BA88" s="926">
        <v>0</v>
      </c>
      <c r="BB88" s="927">
        <v>1</v>
      </c>
      <c r="BC88" s="928">
        <v>0</v>
      </c>
      <c r="BD88" s="928">
        <v>2</v>
      </c>
      <c r="BE88" s="928">
        <v>2</v>
      </c>
      <c r="BF88" s="928">
        <v>4</v>
      </c>
      <c r="BG88" s="928">
        <v>1</v>
      </c>
      <c r="BH88" s="928">
        <v>0</v>
      </c>
      <c r="BI88" s="928">
        <v>1</v>
      </c>
      <c r="BJ88" s="928">
        <v>3</v>
      </c>
      <c r="BK88" s="928">
        <v>4</v>
      </c>
      <c r="BL88" s="53"/>
    </row>
    <row r="89" spans="1:64" s="400" customFormat="1" ht="17.100000000000001" customHeight="1">
      <c r="A89" s="457" t="s">
        <v>2488</v>
      </c>
      <c r="B89" s="53" t="s">
        <v>1906</v>
      </c>
      <c r="C89" s="53" t="s">
        <v>2822</v>
      </c>
      <c r="D89" s="53" t="s">
        <v>2605</v>
      </c>
      <c r="E89" s="53" t="s">
        <v>2424</v>
      </c>
      <c r="F89" s="53" t="s">
        <v>2499</v>
      </c>
      <c r="G89" s="71">
        <v>43525</v>
      </c>
      <c r="H89" s="50" t="s">
        <v>2500</v>
      </c>
      <c r="I89" s="51">
        <v>12843</v>
      </c>
      <c r="J89" s="52">
        <v>22394</v>
      </c>
      <c r="K89" s="53" t="s">
        <v>2351</v>
      </c>
      <c r="L89" s="54" t="s">
        <v>2501</v>
      </c>
      <c r="M89" s="773">
        <v>5</v>
      </c>
      <c r="N89" s="718">
        <v>0</v>
      </c>
      <c r="O89" s="774">
        <v>84</v>
      </c>
      <c r="P89" s="780">
        <v>1</v>
      </c>
      <c r="Q89" s="781">
        <v>12</v>
      </c>
      <c r="R89" s="781">
        <v>2</v>
      </c>
      <c r="S89" s="781">
        <v>34</v>
      </c>
      <c r="T89" s="781">
        <v>2</v>
      </c>
      <c r="U89" s="782">
        <v>38</v>
      </c>
      <c r="V89" s="780"/>
      <c r="W89" s="781"/>
      <c r="X89" s="781"/>
      <c r="Y89" s="781"/>
      <c r="Z89" s="781"/>
      <c r="AA89" s="782"/>
      <c r="AB89" s="788"/>
      <c r="AC89" s="781"/>
      <c r="AD89" s="781"/>
      <c r="AE89" s="781"/>
      <c r="AF89" s="781">
        <v>0</v>
      </c>
      <c r="AG89" s="781"/>
      <c r="AH89" s="781"/>
      <c r="AI89" s="782">
        <v>0</v>
      </c>
      <c r="AJ89" s="788"/>
      <c r="AK89" s="781"/>
      <c r="AL89" s="781"/>
      <c r="AM89" s="781"/>
      <c r="AN89" s="781">
        <v>0</v>
      </c>
      <c r="AO89" s="781"/>
      <c r="AP89" s="781"/>
      <c r="AQ89" s="782">
        <v>0</v>
      </c>
      <c r="AR89" s="924"/>
      <c r="AS89" s="925"/>
      <c r="AT89" s="781"/>
      <c r="AU89" s="781"/>
      <c r="AV89" s="781"/>
      <c r="AW89" s="925">
        <v>0</v>
      </c>
      <c r="AX89" s="925"/>
      <c r="AY89" s="925"/>
      <c r="AZ89" s="925"/>
      <c r="BA89" s="926">
        <v>0</v>
      </c>
      <c r="BB89" s="927">
        <v>5</v>
      </c>
      <c r="BC89" s="928">
        <v>12</v>
      </c>
      <c r="BD89" s="928">
        <v>34</v>
      </c>
      <c r="BE89" s="928">
        <v>38</v>
      </c>
      <c r="BF89" s="928">
        <v>84</v>
      </c>
      <c r="BG89" s="928">
        <v>0</v>
      </c>
      <c r="BH89" s="928">
        <v>0</v>
      </c>
      <c r="BI89" s="928">
        <v>0</v>
      </c>
      <c r="BJ89" s="928">
        <v>0</v>
      </c>
      <c r="BK89" s="928">
        <v>0</v>
      </c>
      <c r="BL89" s="53"/>
    </row>
    <row r="90" spans="1:64" s="400" customFormat="1" ht="17.100000000000001" customHeight="1">
      <c r="A90" s="457" t="s">
        <v>2488</v>
      </c>
      <c r="B90" s="53" t="s">
        <v>1906</v>
      </c>
      <c r="C90" s="53" t="s">
        <v>2822</v>
      </c>
      <c r="D90" s="53" t="s">
        <v>2489</v>
      </c>
      <c r="E90" s="53" t="s">
        <v>2424</v>
      </c>
      <c r="F90" s="53" t="s">
        <v>2502</v>
      </c>
      <c r="G90" s="71">
        <v>41518</v>
      </c>
      <c r="H90" s="50" t="s">
        <v>3316</v>
      </c>
      <c r="I90" s="72">
        <v>13801</v>
      </c>
      <c r="J90" s="52">
        <v>22390</v>
      </c>
      <c r="K90" s="53" t="s">
        <v>3317</v>
      </c>
      <c r="L90" s="54" t="s">
        <v>2357</v>
      </c>
      <c r="M90" s="773">
        <v>3</v>
      </c>
      <c r="N90" s="718">
        <v>0</v>
      </c>
      <c r="O90" s="774">
        <v>48</v>
      </c>
      <c r="P90" s="780">
        <v>1</v>
      </c>
      <c r="Q90" s="781">
        <v>12</v>
      </c>
      <c r="R90" s="781">
        <v>1</v>
      </c>
      <c r="S90" s="781">
        <v>17</v>
      </c>
      <c r="T90" s="781">
        <v>1</v>
      </c>
      <c r="U90" s="782">
        <v>18</v>
      </c>
      <c r="V90" s="780">
        <v>0</v>
      </c>
      <c r="W90" s="781">
        <v>0</v>
      </c>
      <c r="X90" s="781">
        <v>0</v>
      </c>
      <c r="Y90" s="781">
        <v>0</v>
      </c>
      <c r="Z90" s="781">
        <v>0</v>
      </c>
      <c r="AA90" s="782">
        <v>0</v>
      </c>
      <c r="AB90" s="788"/>
      <c r="AC90" s="781"/>
      <c r="AD90" s="781"/>
      <c r="AE90" s="781"/>
      <c r="AF90" s="781">
        <v>0</v>
      </c>
      <c r="AG90" s="781"/>
      <c r="AH90" s="781"/>
      <c r="AI90" s="782">
        <v>0</v>
      </c>
      <c r="AJ90" s="788"/>
      <c r="AK90" s="781"/>
      <c r="AL90" s="781"/>
      <c r="AM90" s="781"/>
      <c r="AN90" s="781">
        <v>0</v>
      </c>
      <c r="AO90" s="781"/>
      <c r="AP90" s="781"/>
      <c r="AQ90" s="782">
        <v>0</v>
      </c>
      <c r="AR90" s="924"/>
      <c r="AS90" s="925"/>
      <c r="AT90" s="781"/>
      <c r="AU90" s="781"/>
      <c r="AV90" s="781"/>
      <c r="AW90" s="925">
        <v>0</v>
      </c>
      <c r="AX90" s="925"/>
      <c r="AY90" s="925"/>
      <c r="AZ90" s="925"/>
      <c r="BA90" s="926">
        <v>0</v>
      </c>
      <c r="BB90" s="927">
        <v>3</v>
      </c>
      <c r="BC90" s="928">
        <v>12</v>
      </c>
      <c r="BD90" s="928">
        <v>17</v>
      </c>
      <c r="BE90" s="928">
        <v>18</v>
      </c>
      <c r="BF90" s="928">
        <v>47</v>
      </c>
      <c r="BG90" s="928">
        <v>0</v>
      </c>
      <c r="BH90" s="928">
        <v>0</v>
      </c>
      <c r="BI90" s="928">
        <v>0</v>
      </c>
      <c r="BJ90" s="928">
        <v>0</v>
      </c>
      <c r="BK90" s="928">
        <v>0</v>
      </c>
      <c r="BL90" s="53"/>
    </row>
    <row r="91" spans="1:64" s="400" customFormat="1" ht="17.100000000000001" customHeight="1">
      <c r="A91" s="457" t="s">
        <v>2613</v>
      </c>
      <c r="B91" s="53" t="s">
        <v>1906</v>
      </c>
      <c r="C91" s="53" t="s">
        <v>2822</v>
      </c>
      <c r="D91" s="53" t="s">
        <v>3314</v>
      </c>
      <c r="E91" s="53" t="s">
        <v>2424</v>
      </c>
      <c r="F91" s="53" t="s">
        <v>3318</v>
      </c>
      <c r="G91" s="71">
        <v>46082</v>
      </c>
      <c r="H91" s="50" t="s">
        <v>3319</v>
      </c>
      <c r="I91" s="51">
        <v>14403</v>
      </c>
      <c r="J91" s="52">
        <v>22393</v>
      </c>
      <c r="K91" s="53" t="s">
        <v>3320</v>
      </c>
      <c r="L91" s="54" t="s">
        <v>3321</v>
      </c>
      <c r="M91" s="773">
        <v>4</v>
      </c>
      <c r="N91" s="718">
        <v>1</v>
      </c>
      <c r="O91" s="774">
        <v>67</v>
      </c>
      <c r="P91" s="780">
        <v>2</v>
      </c>
      <c r="Q91" s="781">
        <v>24</v>
      </c>
      <c r="R91" s="781">
        <v>1</v>
      </c>
      <c r="S91" s="781">
        <v>12</v>
      </c>
      <c r="T91" s="781">
        <v>1</v>
      </c>
      <c r="U91" s="782">
        <v>7</v>
      </c>
      <c r="V91" s="780">
        <v>0</v>
      </c>
      <c r="W91" s="781">
        <v>0</v>
      </c>
      <c r="X91" s="781">
        <v>0</v>
      </c>
      <c r="Y91" s="781">
        <v>0</v>
      </c>
      <c r="Z91" s="781">
        <v>0</v>
      </c>
      <c r="AA91" s="782">
        <v>0</v>
      </c>
      <c r="AB91" s="788"/>
      <c r="AC91" s="781"/>
      <c r="AD91" s="781"/>
      <c r="AE91" s="781"/>
      <c r="AF91" s="781">
        <v>0</v>
      </c>
      <c r="AG91" s="781"/>
      <c r="AH91" s="781"/>
      <c r="AI91" s="782">
        <v>0</v>
      </c>
      <c r="AJ91" s="788"/>
      <c r="AK91" s="781">
        <v>1</v>
      </c>
      <c r="AL91" s="781"/>
      <c r="AM91" s="781"/>
      <c r="AN91" s="781">
        <v>0</v>
      </c>
      <c r="AO91" s="781">
        <v>2</v>
      </c>
      <c r="AP91" s="781">
        <v>2</v>
      </c>
      <c r="AQ91" s="782">
        <v>4</v>
      </c>
      <c r="AR91" s="924"/>
      <c r="AS91" s="925"/>
      <c r="AT91" s="781"/>
      <c r="AU91" s="781"/>
      <c r="AV91" s="781"/>
      <c r="AW91" s="925">
        <v>0</v>
      </c>
      <c r="AX91" s="925"/>
      <c r="AY91" s="925"/>
      <c r="AZ91" s="925"/>
      <c r="BA91" s="926">
        <v>0</v>
      </c>
      <c r="BB91" s="927">
        <v>4</v>
      </c>
      <c r="BC91" s="928">
        <v>24</v>
      </c>
      <c r="BD91" s="928">
        <v>12</v>
      </c>
      <c r="BE91" s="928">
        <v>7</v>
      </c>
      <c r="BF91" s="928">
        <v>43</v>
      </c>
      <c r="BG91" s="928">
        <v>1</v>
      </c>
      <c r="BH91" s="928">
        <v>0</v>
      </c>
      <c r="BI91" s="928">
        <v>2</v>
      </c>
      <c r="BJ91" s="928">
        <v>2</v>
      </c>
      <c r="BK91" s="928">
        <v>4</v>
      </c>
      <c r="BL91" s="53"/>
    </row>
    <row r="92" spans="1:64" s="400" customFormat="1" ht="17.100000000000001" customHeight="1">
      <c r="A92" s="457" t="s">
        <v>2488</v>
      </c>
      <c r="B92" s="53" t="s">
        <v>1906</v>
      </c>
      <c r="C92" s="53" t="s">
        <v>2822</v>
      </c>
      <c r="D92" s="53" t="s">
        <v>2609</v>
      </c>
      <c r="E92" s="53" t="s">
        <v>2424</v>
      </c>
      <c r="F92" s="53" t="s">
        <v>3322</v>
      </c>
      <c r="G92" s="71">
        <v>46082</v>
      </c>
      <c r="H92" s="50" t="s">
        <v>3323</v>
      </c>
      <c r="I92" s="51">
        <v>1366270</v>
      </c>
      <c r="J92" s="52">
        <v>22374</v>
      </c>
      <c r="K92" s="53" t="s">
        <v>3324</v>
      </c>
      <c r="L92" s="54" t="s">
        <v>3325</v>
      </c>
      <c r="M92" s="773">
        <v>4</v>
      </c>
      <c r="N92" s="718">
        <v>1</v>
      </c>
      <c r="O92" s="774">
        <v>67</v>
      </c>
      <c r="P92" s="780">
        <v>2</v>
      </c>
      <c r="Q92" s="781">
        <v>24</v>
      </c>
      <c r="R92" s="781">
        <v>1</v>
      </c>
      <c r="S92" s="781">
        <v>14</v>
      </c>
      <c r="T92" s="781">
        <v>1</v>
      </c>
      <c r="U92" s="782">
        <v>5</v>
      </c>
      <c r="V92" s="780">
        <v>0</v>
      </c>
      <c r="W92" s="781">
        <v>0</v>
      </c>
      <c r="X92" s="781">
        <v>0</v>
      </c>
      <c r="Y92" s="781">
        <v>0</v>
      </c>
      <c r="Z92" s="781">
        <v>0</v>
      </c>
      <c r="AA92" s="782">
        <v>0</v>
      </c>
      <c r="AB92" s="788">
        <v>0</v>
      </c>
      <c r="AC92" s="781">
        <v>0</v>
      </c>
      <c r="AD92" s="781">
        <v>0</v>
      </c>
      <c r="AE92" s="781">
        <v>0</v>
      </c>
      <c r="AF92" s="781">
        <v>0</v>
      </c>
      <c r="AG92" s="781">
        <v>0</v>
      </c>
      <c r="AH92" s="781">
        <v>0</v>
      </c>
      <c r="AI92" s="782">
        <v>0</v>
      </c>
      <c r="AJ92" s="788">
        <v>0</v>
      </c>
      <c r="AK92" s="781">
        <v>0</v>
      </c>
      <c r="AL92" s="781">
        <v>0</v>
      </c>
      <c r="AM92" s="781">
        <v>0</v>
      </c>
      <c r="AN92" s="781">
        <v>0</v>
      </c>
      <c r="AO92" s="781">
        <v>0</v>
      </c>
      <c r="AP92" s="781">
        <v>0</v>
      </c>
      <c r="AQ92" s="782">
        <v>0</v>
      </c>
      <c r="AR92" s="924">
        <v>0</v>
      </c>
      <c r="AS92" s="925">
        <v>1</v>
      </c>
      <c r="AT92" s="781">
        <v>0</v>
      </c>
      <c r="AU92" s="781">
        <v>0</v>
      </c>
      <c r="AV92" s="781">
        <v>0</v>
      </c>
      <c r="AW92" s="925">
        <v>0</v>
      </c>
      <c r="AX92" s="925">
        <v>0</v>
      </c>
      <c r="AY92" s="925">
        <v>2</v>
      </c>
      <c r="AZ92" s="925">
        <v>1</v>
      </c>
      <c r="BA92" s="926">
        <v>3</v>
      </c>
      <c r="BB92" s="927">
        <v>4</v>
      </c>
      <c r="BC92" s="928">
        <v>24</v>
      </c>
      <c r="BD92" s="928">
        <v>14</v>
      </c>
      <c r="BE92" s="928">
        <v>5</v>
      </c>
      <c r="BF92" s="928">
        <v>43</v>
      </c>
      <c r="BG92" s="928">
        <v>1</v>
      </c>
      <c r="BH92" s="928">
        <v>0</v>
      </c>
      <c r="BI92" s="928">
        <v>2</v>
      </c>
      <c r="BJ92" s="928">
        <v>1</v>
      </c>
      <c r="BK92" s="928">
        <v>3</v>
      </c>
      <c r="BL92" s="53"/>
    </row>
    <row r="93" spans="1:64" s="43" customFormat="1" ht="17.100000000000001" customHeight="1">
      <c r="A93" s="1611" t="s">
        <v>417</v>
      </c>
      <c r="B93" s="1612"/>
      <c r="C93" s="1612"/>
      <c r="D93" s="1613"/>
      <c r="E93" s="401">
        <f>COUNTA(E79:E92)</f>
        <v>14</v>
      </c>
      <c r="F93" s="285"/>
      <c r="G93" s="402"/>
      <c r="H93" s="181"/>
      <c r="I93" s="403"/>
      <c r="J93" s="287"/>
      <c r="K93" s="285"/>
      <c r="L93" s="288"/>
      <c r="M93" s="404">
        <f t="shared" ref="M93:AR93" si="95">SUM(M79:M92)</f>
        <v>59</v>
      </c>
      <c r="N93" s="405">
        <f t="shared" si="95"/>
        <v>18</v>
      </c>
      <c r="O93" s="406">
        <f t="shared" si="95"/>
        <v>971</v>
      </c>
      <c r="P93" s="407">
        <f t="shared" si="95"/>
        <v>18</v>
      </c>
      <c r="Q93" s="408">
        <f t="shared" si="95"/>
        <v>183</v>
      </c>
      <c r="R93" s="408">
        <f t="shared" si="95"/>
        <v>18</v>
      </c>
      <c r="S93" s="408">
        <f t="shared" si="95"/>
        <v>259</v>
      </c>
      <c r="T93" s="408">
        <f t="shared" si="95"/>
        <v>20</v>
      </c>
      <c r="U93" s="409">
        <f t="shared" si="95"/>
        <v>281</v>
      </c>
      <c r="V93" s="410">
        <f t="shared" si="95"/>
        <v>4</v>
      </c>
      <c r="W93" s="408">
        <f t="shared" si="95"/>
        <v>11</v>
      </c>
      <c r="X93" s="408">
        <f t="shared" si="95"/>
        <v>4</v>
      </c>
      <c r="Y93" s="408">
        <f t="shared" si="95"/>
        <v>15</v>
      </c>
      <c r="Z93" s="408">
        <f t="shared" si="95"/>
        <v>4</v>
      </c>
      <c r="AA93" s="409">
        <f t="shared" si="95"/>
        <v>16</v>
      </c>
      <c r="AB93" s="407">
        <f t="shared" si="95"/>
        <v>1</v>
      </c>
      <c r="AC93" s="408">
        <f t="shared" si="95"/>
        <v>0</v>
      </c>
      <c r="AD93" s="408">
        <f t="shared" si="95"/>
        <v>0</v>
      </c>
      <c r="AE93" s="408">
        <f t="shared" si="95"/>
        <v>5</v>
      </c>
      <c r="AF93" s="408">
        <f t="shared" si="95"/>
        <v>5</v>
      </c>
      <c r="AG93" s="408">
        <f t="shared" si="95"/>
        <v>0</v>
      </c>
      <c r="AH93" s="408">
        <f t="shared" si="95"/>
        <v>0</v>
      </c>
      <c r="AI93" s="409">
        <f t="shared" si="95"/>
        <v>0</v>
      </c>
      <c r="AJ93" s="407">
        <f t="shared" si="95"/>
        <v>1</v>
      </c>
      <c r="AK93" s="408">
        <f t="shared" si="95"/>
        <v>2</v>
      </c>
      <c r="AL93" s="408">
        <f t="shared" si="95"/>
        <v>2</v>
      </c>
      <c r="AM93" s="408">
        <f t="shared" si="95"/>
        <v>2</v>
      </c>
      <c r="AN93" s="408">
        <f t="shared" si="95"/>
        <v>4</v>
      </c>
      <c r="AO93" s="408">
        <f t="shared" si="95"/>
        <v>3</v>
      </c>
      <c r="AP93" s="408">
        <f t="shared" si="95"/>
        <v>5</v>
      </c>
      <c r="AQ93" s="409">
        <f t="shared" si="95"/>
        <v>8</v>
      </c>
      <c r="AR93" s="411">
        <f t="shared" si="95"/>
        <v>0</v>
      </c>
      <c r="AS93" s="412">
        <f t="shared" ref="AS93:BK93" si="96">SUM(AS79:AS92)</f>
        <v>3</v>
      </c>
      <c r="AT93" s="412">
        <f t="shared" si="96"/>
        <v>0</v>
      </c>
      <c r="AU93" s="412">
        <f t="shared" si="96"/>
        <v>0</v>
      </c>
      <c r="AV93" s="412">
        <f t="shared" si="96"/>
        <v>0</v>
      </c>
      <c r="AW93" s="412">
        <f t="shared" si="96"/>
        <v>0</v>
      </c>
      <c r="AX93" s="412">
        <f t="shared" si="96"/>
        <v>4</v>
      </c>
      <c r="AY93" s="412">
        <f t="shared" si="96"/>
        <v>4</v>
      </c>
      <c r="AZ93" s="412">
        <f t="shared" si="96"/>
        <v>5</v>
      </c>
      <c r="BA93" s="413">
        <f t="shared" si="96"/>
        <v>13</v>
      </c>
      <c r="BB93" s="414">
        <f t="shared" si="96"/>
        <v>58</v>
      </c>
      <c r="BC93" s="415">
        <f t="shared" si="96"/>
        <v>183</v>
      </c>
      <c r="BD93" s="415">
        <f t="shared" si="96"/>
        <v>266</v>
      </c>
      <c r="BE93" s="415">
        <f t="shared" si="96"/>
        <v>270</v>
      </c>
      <c r="BF93" s="415">
        <f t="shared" si="96"/>
        <v>719</v>
      </c>
      <c r="BG93" s="415">
        <f t="shared" si="96"/>
        <v>18</v>
      </c>
      <c r="BH93" s="415">
        <f t="shared" si="96"/>
        <v>15</v>
      </c>
      <c r="BI93" s="415">
        <f t="shared" si="96"/>
        <v>22</v>
      </c>
      <c r="BJ93" s="415">
        <f t="shared" si="96"/>
        <v>26</v>
      </c>
      <c r="BK93" s="416">
        <f t="shared" si="96"/>
        <v>63</v>
      </c>
      <c r="BL93" s="417"/>
    </row>
    <row r="94" spans="1:64" s="43" customFormat="1" ht="17.100000000000001" customHeight="1">
      <c r="A94" s="457" t="s">
        <v>2481</v>
      </c>
      <c r="B94" s="53" t="s">
        <v>1906</v>
      </c>
      <c r="C94" s="53" t="s">
        <v>2820</v>
      </c>
      <c r="D94" s="53" t="s">
        <v>2482</v>
      </c>
      <c r="E94" s="53" t="s">
        <v>5</v>
      </c>
      <c r="F94" s="53" t="s">
        <v>2597</v>
      </c>
      <c r="G94" s="71">
        <v>13575</v>
      </c>
      <c r="H94" s="50" t="s">
        <v>2598</v>
      </c>
      <c r="I94" s="51">
        <v>625</v>
      </c>
      <c r="J94" s="52">
        <v>22321</v>
      </c>
      <c r="K94" s="53" t="s">
        <v>2599</v>
      </c>
      <c r="L94" s="54" t="s">
        <v>2600</v>
      </c>
      <c r="M94" s="57">
        <v>6</v>
      </c>
      <c r="N94" s="58"/>
      <c r="O94" s="59">
        <v>168</v>
      </c>
      <c r="P94" s="60"/>
      <c r="Q94" s="61"/>
      <c r="R94" s="61"/>
      <c r="S94" s="61"/>
      <c r="T94" s="61"/>
      <c r="U94" s="62"/>
      <c r="V94" s="60"/>
      <c r="W94" s="61"/>
      <c r="X94" s="61"/>
      <c r="Y94" s="61"/>
      <c r="Z94" s="61"/>
      <c r="AA94" s="62"/>
      <c r="AB94" s="63"/>
      <c r="AC94" s="61"/>
      <c r="AD94" s="61"/>
      <c r="AE94" s="61"/>
      <c r="AF94" s="61">
        <f t="shared" ref="AF94:AF100" si="97">SUM(AD94:AE94)</f>
        <v>0</v>
      </c>
      <c r="AG94" s="61"/>
      <c r="AH94" s="61"/>
      <c r="AI94" s="62">
        <f t="shared" ref="AI94:AI100" si="98">SUM(AG94:AH94)</f>
        <v>0</v>
      </c>
      <c r="AJ94" s="63"/>
      <c r="AK94" s="61"/>
      <c r="AL94" s="61"/>
      <c r="AM94" s="61"/>
      <c r="AN94" s="61">
        <f t="shared" ref="AN94:AN100" si="99">SUM(AL94:AM94)</f>
        <v>0</v>
      </c>
      <c r="AO94" s="61"/>
      <c r="AP94" s="61"/>
      <c r="AQ94" s="62">
        <f t="shared" ref="AQ94:AQ100" si="100">SUM(AO94:AP94)</f>
        <v>0</v>
      </c>
      <c r="AR94" s="955">
        <v>6</v>
      </c>
      <c r="AS94" s="956"/>
      <c r="AT94" s="61">
        <v>46</v>
      </c>
      <c r="AU94" s="61">
        <v>48</v>
      </c>
      <c r="AV94" s="61">
        <v>46</v>
      </c>
      <c r="AW94" s="956">
        <f t="shared" ref="AW94:AW100" si="101">SUM(AT94:AV94)</f>
        <v>140</v>
      </c>
      <c r="AX94" s="956"/>
      <c r="AY94" s="956"/>
      <c r="AZ94" s="956"/>
      <c r="BA94" s="957">
        <f t="shared" ref="BA94:BA100" si="102">SUM(AX94:AZ94)</f>
        <v>0</v>
      </c>
      <c r="BB94" s="958">
        <f t="shared" ref="BB94:BB100" si="103">SUM(P94,R94,T94,AB94,AJ94,AR94)</f>
        <v>6</v>
      </c>
      <c r="BC94" s="959">
        <f t="shared" ref="BC94:BC100" si="104">SUM(Q94,AD94,AT94)</f>
        <v>46</v>
      </c>
      <c r="BD94" s="959">
        <f t="shared" ref="BD94:BD100" si="105">SUM(S94,AE94,AL94,AU94)</f>
        <v>48</v>
      </c>
      <c r="BE94" s="959">
        <f t="shared" ref="BE94:BE100" si="106">SUM(U94,AM94,AV94)</f>
        <v>46</v>
      </c>
      <c r="BF94" s="959">
        <f t="shared" ref="BF94:BF100" si="107">SUM(BC94:BE94)</f>
        <v>140</v>
      </c>
      <c r="BG94" s="959">
        <f t="shared" ref="BG94:BG100" si="108">SUM(V94,X94,Z94,AC94,AK94,AS94)</f>
        <v>0</v>
      </c>
      <c r="BH94" s="959">
        <f t="shared" ref="BH94:BH100" si="109">SUM(W94,AG94,AX94)</f>
        <v>0</v>
      </c>
      <c r="BI94" s="959">
        <f t="shared" ref="BI94:BI100" si="110">SUM(Y94,AH94,AO94,AY94)</f>
        <v>0</v>
      </c>
      <c r="BJ94" s="959">
        <f t="shared" ref="BJ94:BJ100" si="111">SUM(AA94,AP94,AZ94)</f>
        <v>0</v>
      </c>
      <c r="BK94" s="959">
        <f t="shared" ref="BK94:BK100" si="112">SUM(BH94:BJ94)</f>
        <v>0</v>
      </c>
      <c r="BL94" s="53" t="s">
        <v>3364</v>
      </c>
    </row>
    <row r="95" spans="1:64" s="43" customFormat="1" ht="17.100000000000001" customHeight="1">
      <c r="A95" s="457" t="s">
        <v>2481</v>
      </c>
      <c r="B95" s="53" t="s">
        <v>1906</v>
      </c>
      <c r="C95" s="53" t="s">
        <v>2820</v>
      </c>
      <c r="D95" s="53" t="s">
        <v>2484</v>
      </c>
      <c r="E95" s="53" t="s">
        <v>5</v>
      </c>
      <c r="F95" s="53" t="s">
        <v>2601</v>
      </c>
      <c r="G95" s="71">
        <v>39177</v>
      </c>
      <c r="H95" s="50" t="s">
        <v>2602</v>
      </c>
      <c r="I95" s="51">
        <v>662</v>
      </c>
      <c r="J95" s="52">
        <v>22329</v>
      </c>
      <c r="K95" s="53" t="s">
        <v>2603</v>
      </c>
      <c r="L95" s="54" t="s">
        <v>2604</v>
      </c>
      <c r="M95" s="64">
        <v>6</v>
      </c>
      <c r="N95" s="58"/>
      <c r="O95" s="66">
        <v>163</v>
      </c>
      <c r="P95" s="60">
        <v>2</v>
      </c>
      <c r="Q95" s="61">
        <v>17</v>
      </c>
      <c r="R95" s="61">
        <v>2</v>
      </c>
      <c r="S95" s="61">
        <v>24</v>
      </c>
      <c r="T95" s="61">
        <v>1</v>
      </c>
      <c r="U95" s="62">
        <v>22</v>
      </c>
      <c r="V95" s="60"/>
      <c r="W95" s="61"/>
      <c r="X95" s="61"/>
      <c r="Y95" s="61"/>
      <c r="Z95" s="61"/>
      <c r="AA95" s="62"/>
      <c r="AB95" s="63"/>
      <c r="AC95" s="61"/>
      <c r="AD95" s="61"/>
      <c r="AE95" s="61"/>
      <c r="AF95" s="61">
        <f t="shared" si="97"/>
        <v>0</v>
      </c>
      <c r="AG95" s="61"/>
      <c r="AH95" s="61"/>
      <c r="AI95" s="62">
        <f t="shared" si="98"/>
        <v>0</v>
      </c>
      <c r="AJ95" s="63"/>
      <c r="AK95" s="61"/>
      <c r="AL95" s="61"/>
      <c r="AM95" s="61"/>
      <c r="AN95" s="61">
        <f t="shared" si="99"/>
        <v>0</v>
      </c>
      <c r="AO95" s="61"/>
      <c r="AP95" s="61"/>
      <c r="AQ95" s="62">
        <f t="shared" si="100"/>
        <v>0</v>
      </c>
      <c r="AR95" s="955"/>
      <c r="AS95" s="956"/>
      <c r="AT95" s="61"/>
      <c r="AU95" s="61"/>
      <c r="AV95" s="61"/>
      <c r="AW95" s="956">
        <f t="shared" si="101"/>
        <v>0</v>
      </c>
      <c r="AX95" s="956"/>
      <c r="AY95" s="956"/>
      <c r="AZ95" s="956"/>
      <c r="BA95" s="957">
        <f t="shared" si="102"/>
        <v>0</v>
      </c>
      <c r="BB95" s="958">
        <f t="shared" si="103"/>
        <v>5</v>
      </c>
      <c r="BC95" s="959">
        <f t="shared" si="104"/>
        <v>17</v>
      </c>
      <c r="BD95" s="959">
        <f t="shared" si="105"/>
        <v>24</v>
      </c>
      <c r="BE95" s="959">
        <f t="shared" si="106"/>
        <v>22</v>
      </c>
      <c r="BF95" s="959">
        <f t="shared" si="107"/>
        <v>63</v>
      </c>
      <c r="BG95" s="959">
        <f t="shared" si="108"/>
        <v>0</v>
      </c>
      <c r="BH95" s="959">
        <f t="shared" si="109"/>
        <v>0</v>
      </c>
      <c r="BI95" s="959">
        <f t="shared" si="110"/>
        <v>0</v>
      </c>
      <c r="BJ95" s="959">
        <f t="shared" si="111"/>
        <v>0</v>
      </c>
      <c r="BK95" s="959">
        <f t="shared" si="112"/>
        <v>0</v>
      </c>
      <c r="BL95" s="53"/>
    </row>
    <row r="96" spans="1:64" s="43" customFormat="1" ht="17.100000000000001" customHeight="1">
      <c r="A96" s="457" t="s">
        <v>2481</v>
      </c>
      <c r="B96" s="53" t="s">
        <v>1906</v>
      </c>
      <c r="C96" s="53" t="s">
        <v>2822</v>
      </c>
      <c r="D96" s="53" t="s">
        <v>1485</v>
      </c>
      <c r="E96" s="53" t="s">
        <v>5</v>
      </c>
      <c r="F96" s="53" t="s">
        <v>3365</v>
      </c>
      <c r="G96" s="71">
        <v>42064</v>
      </c>
      <c r="H96" s="50" t="s">
        <v>1488</v>
      </c>
      <c r="I96" s="51">
        <v>1037</v>
      </c>
      <c r="J96" s="52">
        <v>22373</v>
      </c>
      <c r="K96" s="53" t="s">
        <v>3366</v>
      </c>
      <c r="L96" s="54" t="s">
        <v>3367</v>
      </c>
      <c r="M96" s="64">
        <v>12</v>
      </c>
      <c r="N96" s="58"/>
      <c r="O96" s="66">
        <v>269</v>
      </c>
      <c r="P96" s="60">
        <v>4</v>
      </c>
      <c r="Q96" s="61">
        <v>80</v>
      </c>
      <c r="R96" s="61">
        <v>4</v>
      </c>
      <c r="S96" s="61">
        <v>91</v>
      </c>
      <c r="T96" s="61">
        <v>4</v>
      </c>
      <c r="U96" s="62">
        <v>92</v>
      </c>
      <c r="V96" s="60"/>
      <c r="W96" s="61"/>
      <c r="X96" s="61"/>
      <c r="Y96" s="61"/>
      <c r="Z96" s="61"/>
      <c r="AA96" s="62"/>
      <c r="AB96" s="63"/>
      <c r="AC96" s="61"/>
      <c r="AD96" s="61"/>
      <c r="AE96" s="61"/>
      <c r="AF96" s="61">
        <f t="shared" si="97"/>
        <v>0</v>
      </c>
      <c r="AG96" s="61"/>
      <c r="AH96" s="61"/>
      <c r="AI96" s="62">
        <f t="shared" si="98"/>
        <v>0</v>
      </c>
      <c r="AJ96" s="63"/>
      <c r="AK96" s="61"/>
      <c r="AL96" s="61"/>
      <c r="AM96" s="61"/>
      <c r="AN96" s="61">
        <f t="shared" si="99"/>
        <v>0</v>
      </c>
      <c r="AO96" s="61"/>
      <c r="AP96" s="61"/>
      <c r="AQ96" s="62">
        <f t="shared" si="100"/>
        <v>0</v>
      </c>
      <c r="AR96" s="955"/>
      <c r="AS96" s="956"/>
      <c r="AT96" s="61"/>
      <c r="AU96" s="61"/>
      <c r="AV96" s="61"/>
      <c r="AW96" s="956">
        <f t="shared" si="101"/>
        <v>0</v>
      </c>
      <c r="AX96" s="956"/>
      <c r="AY96" s="956"/>
      <c r="AZ96" s="956"/>
      <c r="BA96" s="957">
        <f t="shared" si="102"/>
        <v>0</v>
      </c>
      <c r="BB96" s="958">
        <f t="shared" si="103"/>
        <v>12</v>
      </c>
      <c r="BC96" s="959">
        <f t="shared" si="104"/>
        <v>80</v>
      </c>
      <c r="BD96" s="959">
        <f t="shared" si="105"/>
        <v>91</v>
      </c>
      <c r="BE96" s="959">
        <f t="shared" si="106"/>
        <v>92</v>
      </c>
      <c r="BF96" s="959">
        <f t="shared" si="107"/>
        <v>263</v>
      </c>
      <c r="BG96" s="959">
        <f t="shared" si="108"/>
        <v>0</v>
      </c>
      <c r="BH96" s="959">
        <f t="shared" si="109"/>
        <v>0</v>
      </c>
      <c r="BI96" s="959">
        <f t="shared" si="110"/>
        <v>0</v>
      </c>
      <c r="BJ96" s="959">
        <f t="shared" si="111"/>
        <v>0</v>
      </c>
      <c r="BK96" s="959">
        <f t="shared" si="112"/>
        <v>0</v>
      </c>
      <c r="BL96" s="53"/>
    </row>
    <row r="97" spans="1:64" s="43" customFormat="1" ht="17.100000000000001" customHeight="1">
      <c r="A97" s="457" t="s">
        <v>2613</v>
      </c>
      <c r="B97" s="53" t="s">
        <v>1906</v>
      </c>
      <c r="C97" s="53" t="s">
        <v>2822</v>
      </c>
      <c r="D97" s="53" t="s">
        <v>2605</v>
      </c>
      <c r="E97" s="53" t="s">
        <v>5</v>
      </c>
      <c r="F97" s="53" t="s">
        <v>2606</v>
      </c>
      <c r="G97" s="71">
        <v>41968</v>
      </c>
      <c r="H97" s="50" t="s">
        <v>1487</v>
      </c>
      <c r="I97" s="51">
        <v>1699</v>
      </c>
      <c r="J97" s="52">
        <v>22391</v>
      </c>
      <c r="K97" s="53" t="s">
        <v>2607</v>
      </c>
      <c r="L97" s="54" t="s">
        <v>2608</v>
      </c>
      <c r="M97" s="57">
        <v>15</v>
      </c>
      <c r="N97" s="58"/>
      <c r="O97" s="59">
        <v>418</v>
      </c>
      <c r="P97" s="60">
        <v>4</v>
      </c>
      <c r="Q97" s="61">
        <v>100</v>
      </c>
      <c r="R97" s="61">
        <v>5</v>
      </c>
      <c r="S97" s="61">
        <v>129</v>
      </c>
      <c r="T97" s="61">
        <v>5</v>
      </c>
      <c r="U97" s="62">
        <v>140</v>
      </c>
      <c r="V97" s="60"/>
      <c r="W97" s="61"/>
      <c r="X97" s="61"/>
      <c r="Y97" s="61"/>
      <c r="Z97" s="61"/>
      <c r="AA97" s="62"/>
      <c r="AB97" s="63"/>
      <c r="AC97" s="61"/>
      <c r="AD97" s="61"/>
      <c r="AE97" s="61"/>
      <c r="AF97" s="61">
        <f t="shared" si="97"/>
        <v>0</v>
      </c>
      <c r="AG97" s="61"/>
      <c r="AH97" s="61"/>
      <c r="AI97" s="62">
        <f t="shared" si="98"/>
        <v>0</v>
      </c>
      <c r="AJ97" s="63"/>
      <c r="AK97" s="61"/>
      <c r="AL97" s="61"/>
      <c r="AM97" s="61"/>
      <c r="AN97" s="61">
        <f t="shared" si="99"/>
        <v>0</v>
      </c>
      <c r="AO97" s="61"/>
      <c r="AP97" s="61"/>
      <c r="AQ97" s="62">
        <f t="shared" si="100"/>
        <v>0</v>
      </c>
      <c r="AR97" s="955"/>
      <c r="AS97" s="956"/>
      <c r="AT97" s="61"/>
      <c r="AU97" s="61"/>
      <c r="AV97" s="61"/>
      <c r="AW97" s="956">
        <f t="shared" si="101"/>
        <v>0</v>
      </c>
      <c r="AX97" s="956"/>
      <c r="AY97" s="956"/>
      <c r="AZ97" s="956"/>
      <c r="BA97" s="957">
        <f t="shared" si="102"/>
        <v>0</v>
      </c>
      <c r="BB97" s="958">
        <f t="shared" si="103"/>
        <v>14</v>
      </c>
      <c r="BC97" s="959">
        <f t="shared" si="104"/>
        <v>100</v>
      </c>
      <c r="BD97" s="959">
        <f t="shared" si="105"/>
        <v>129</v>
      </c>
      <c r="BE97" s="959">
        <f t="shared" si="106"/>
        <v>140</v>
      </c>
      <c r="BF97" s="959">
        <f t="shared" si="107"/>
        <v>369</v>
      </c>
      <c r="BG97" s="959">
        <f t="shared" si="108"/>
        <v>0</v>
      </c>
      <c r="BH97" s="959">
        <f t="shared" si="109"/>
        <v>0</v>
      </c>
      <c r="BI97" s="959">
        <f t="shared" si="110"/>
        <v>0</v>
      </c>
      <c r="BJ97" s="959">
        <f t="shared" si="111"/>
        <v>0</v>
      </c>
      <c r="BK97" s="959">
        <f t="shared" si="112"/>
        <v>0</v>
      </c>
      <c r="BL97" s="53"/>
    </row>
    <row r="98" spans="1:64" s="43" customFormat="1" ht="17.100000000000001" customHeight="1">
      <c r="A98" s="457" t="s">
        <v>2488</v>
      </c>
      <c r="B98" s="53" t="s">
        <v>1906</v>
      </c>
      <c r="C98" s="53" t="s">
        <v>2822</v>
      </c>
      <c r="D98" s="53" t="s">
        <v>2609</v>
      </c>
      <c r="E98" s="53" t="s">
        <v>5</v>
      </c>
      <c r="F98" s="53" t="s">
        <v>2610</v>
      </c>
      <c r="G98" s="71">
        <v>40969</v>
      </c>
      <c r="H98" s="50" t="s">
        <v>2611</v>
      </c>
      <c r="I98" s="51">
        <v>755</v>
      </c>
      <c r="J98" s="52">
        <v>22369</v>
      </c>
      <c r="K98" s="53" t="s">
        <v>2612</v>
      </c>
      <c r="L98" s="54" t="s">
        <v>3368</v>
      </c>
      <c r="M98" s="57">
        <v>9</v>
      </c>
      <c r="N98" s="58"/>
      <c r="O98" s="59">
        <v>244</v>
      </c>
      <c r="P98" s="60">
        <v>3</v>
      </c>
      <c r="Q98" s="61">
        <v>69</v>
      </c>
      <c r="R98" s="61">
        <v>3</v>
      </c>
      <c r="S98" s="61">
        <v>75</v>
      </c>
      <c r="T98" s="61">
        <v>3</v>
      </c>
      <c r="U98" s="62">
        <v>76</v>
      </c>
      <c r="V98" s="60"/>
      <c r="W98" s="61"/>
      <c r="X98" s="61">
        <v>1</v>
      </c>
      <c r="Y98" s="61">
        <v>1</v>
      </c>
      <c r="Z98" s="61"/>
      <c r="AA98" s="62"/>
      <c r="AB98" s="63"/>
      <c r="AC98" s="61"/>
      <c r="AD98" s="61"/>
      <c r="AE98" s="61"/>
      <c r="AF98" s="61">
        <f t="shared" si="97"/>
        <v>0</v>
      </c>
      <c r="AG98" s="61"/>
      <c r="AH98" s="61"/>
      <c r="AI98" s="62">
        <f t="shared" si="98"/>
        <v>0</v>
      </c>
      <c r="AJ98" s="63"/>
      <c r="AK98" s="61"/>
      <c r="AL98" s="61"/>
      <c r="AM98" s="61"/>
      <c r="AN98" s="61">
        <f t="shared" si="99"/>
        <v>0</v>
      </c>
      <c r="AO98" s="61"/>
      <c r="AP98" s="61"/>
      <c r="AQ98" s="62">
        <f t="shared" si="100"/>
        <v>0</v>
      </c>
      <c r="AR98" s="955"/>
      <c r="AS98" s="956"/>
      <c r="AT98" s="61"/>
      <c r="AU98" s="61"/>
      <c r="AV98" s="61"/>
      <c r="AW98" s="956">
        <f t="shared" si="101"/>
        <v>0</v>
      </c>
      <c r="AX98" s="956"/>
      <c r="AY98" s="956"/>
      <c r="AZ98" s="956"/>
      <c r="BA98" s="957">
        <f t="shared" si="102"/>
        <v>0</v>
      </c>
      <c r="BB98" s="958">
        <f t="shared" si="103"/>
        <v>9</v>
      </c>
      <c r="BC98" s="959">
        <f t="shared" si="104"/>
        <v>69</v>
      </c>
      <c r="BD98" s="959">
        <f t="shared" si="105"/>
        <v>75</v>
      </c>
      <c r="BE98" s="959">
        <f t="shared" si="106"/>
        <v>76</v>
      </c>
      <c r="BF98" s="959">
        <f t="shared" si="107"/>
        <v>220</v>
      </c>
      <c r="BG98" s="959">
        <v>0</v>
      </c>
      <c r="BH98" s="959">
        <f t="shared" si="109"/>
        <v>0</v>
      </c>
      <c r="BI98" s="959">
        <v>0</v>
      </c>
      <c r="BJ98" s="959">
        <f t="shared" si="111"/>
        <v>0</v>
      </c>
      <c r="BK98" s="959">
        <f t="shared" si="112"/>
        <v>0</v>
      </c>
      <c r="BL98" s="53"/>
    </row>
    <row r="99" spans="1:64" s="43" customFormat="1" ht="17.100000000000001" customHeight="1">
      <c r="A99" s="457" t="s">
        <v>2488</v>
      </c>
      <c r="B99" s="53" t="s">
        <v>1906</v>
      </c>
      <c r="C99" s="53" t="s">
        <v>2822</v>
      </c>
      <c r="D99" s="53" t="s">
        <v>2609</v>
      </c>
      <c r="E99" s="53" t="s">
        <v>2529</v>
      </c>
      <c r="F99" s="53" t="s">
        <v>2614</v>
      </c>
      <c r="G99" s="71">
        <v>41344</v>
      </c>
      <c r="H99" s="50" t="s">
        <v>2615</v>
      </c>
      <c r="I99" s="51">
        <v>707</v>
      </c>
      <c r="J99" s="52">
        <v>22368</v>
      </c>
      <c r="K99" s="53" t="s">
        <v>2616</v>
      </c>
      <c r="L99" s="54" t="s">
        <v>3369</v>
      </c>
      <c r="M99" s="57">
        <v>6</v>
      </c>
      <c r="N99" s="58"/>
      <c r="O99" s="59">
        <v>153</v>
      </c>
      <c r="P99" s="60">
        <v>2</v>
      </c>
      <c r="Q99" s="61">
        <v>40</v>
      </c>
      <c r="R99" s="61">
        <v>2</v>
      </c>
      <c r="S99" s="61">
        <v>48</v>
      </c>
      <c r="T99" s="61">
        <v>2</v>
      </c>
      <c r="U99" s="62">
        <v>52</v>
      </c>
      <c r="V99" s="60"/>
      <c r="W99" s="61"/>
      <c r="X99" s="61"/>
      <c r="Y99" s="61"/>
      <c r="Z99" s="61"/>
      <c r="AA99" s="62"/>
      <c r="AB99" s="63"/>
      <c r="AC99" s="61"/>
      <c r="AD99" s="61"/>
      <c r="AE99" s="61"/>
      <c r="AF99" s="61">
        <f t="shared" si="97"/>
        <v>0</v>
      </c>
      <c r="AG99" s="61"/>
      <c r="AH99" s="61"/>
      <c r="AI99" s="62">
        <f t="shared" si="98"/>
        <v>0</v>
      </c>
      <c r="AJ99" s="63"/>
      <c r="AK99" s="61"/>
      <c r="AL99" s="61"/>
      <c r="AM99" s="61"/>
      <c r="AN99" s="61">
        <f t="shared" si="99"/>
        <v>0</v>
      </c>
      <c r="AO99" s="61"/>
      <c r="AP99" s="61"/>
      <c r="AQ99" s="62">
        <f t="shared" si="100"/>
        <v>0</v>
      </c>
      <c r="AR99" s="955"/>
      <c r="AS99" s="956"/>
      <c r="AT99" s="61"/>
      <c r="AU99" s="61"/>
      <c r="AV99" s="61"/>
      <c r="AW99" s="956">
        <f t="shared" si="101"/>
        <v>0</v>
      </c>
      <c r="AX99" s="956"/>
      <c r="AY99" s="956"/>
      <c r="AZ99" s="956"/>
      <c r="BA99" s="957">
        <f t="shared" si="102"/>
        <v>0</v>
      </c>
      <c r="BB99" s="958">
        <f t="shared" si="103"/>
        <v>6</v>
      </c>
      <c r="BC99" s="959">
        <f t="shared" si="104"/>
        <v>40</v>
      </c>
      <c r="BD99" s="959">
        <f t="shared" si="105"/>
        <v>48</v>
      </c>
      <c r="BE99" s="959">
        <f t="shared" si="106"/>
        <v>52</v>
      </c>
      <c r="BF99" s="959">
        <f t="shared" si="107"/>
        <v>140</v>
      </c>
      <c r="BG99" s="959">
        <f t="shared" si="108"/>
        <v>0</v>
      </c>
      <c r="BH99" s="959">
        <f t="shared" si="109"/>
        <v>0</v>
      </c>
      <c r="BI99" s="959">
        <f t="shared" si="110"/>
        <v>0</v>
      </c>
      <c r="BJ99" s="959">
        <f t="shared" si="111"/>
        <v>0</v>
      </c>
      <c r="BK99" s="959">
        <f t="shared" si="112"/>
        <v>0</v>
      </c>
      <c r="BL99" s="53"/>
    </row>
    <row r="100" spans="1:64" s="43" customFormat="1" ht="17.100000000000001" customHeight="1">
      <c r="A100" s="762" t="s">
        <v>1479</v>
      </c>
      <c r="B100" s="751" t="s">
        <v>218</v>
      </c>
      <c r="C100" s="751" t="s">
        <v>2822</v>
      </c>
      <c r="D100" s="751" t="s">
        <v>1480</v>
      </c>
      <c r="E100" s="751" t="s">
        <v>5</v>
      </c>
      <c r="F100" s="751" t="s">
        <v>1483</v>
      </c>
      <c r="G100" s="750">
        <v>37683</v>
      </c>
      <c r="H100" s="751" t="s">
        <v>2617</v>
      </c>
      <c r="I100" s="763">
        <v>695</v>
      </c>
      <c r="J100" s="752">
        <v>22363</v>
      </c>
      <c r="K100" s="751" t="s">
        <v>1484</v>
      </c>
      <c r="L100" s="753" t="s">
        <v>1486</v>
      </c>
      <c r="M100" s="1234">
        <v>8</v>
      </c>
      <c r="N100" s="1236"/>
      <c r="O100" s="1235">
        <v>224</v>
      </c>
      <c r="P100" s="764">
        <v>3</v>
      </c>
      <c r="Q100" s="765">
        <v>66</v>
      </c>
      <c r="R100" s="765">
        <v>2</v>
      </c>
      <c r="S100" s="765">
        <v>55</v>
      </c>
      <c r="T100" s="765">
        <v>3</v>
      </c>
      <c r="U100" s="766">
        <v>72</v>
      </c>
      <c r="V100" s="764"/>
      <c r="W100" s="765"/>
      <c r="X100" s="765"/>
      <c r="Y100" s="765"/>
      <c r="Z100" s="765"/>
      <c r="AA100" s="766"/>
      <c r="AB100" s="767"/>
      <c r="AC100" s="765"/>
      <c r="AD100" s="765"/>
      <c r="AE100" s="765"/>
      <c r="AF100" s="61">
        <f t="shared" si="97"/>
        <v>0</v>
      </c>
      <c r="AG100" s="765"/>
      <c r="AH100" s="765"/>
      <c r="AI100" s="62">
        <f t="shared" si="98"/>
        <v>0</v>
      </c>
      <c r="AJ100" s="767"/>
      <c r="AK100" s="765"/>
      <c r="AL100" s="765"/>
      <c r="AM100" s="765"/>
      <c r="AN100" s="61">
        <f t="shared" si="99"/>
        <v>0</v>
      </c>
      <c r="AO100" s="765"/>
      <c r="AP100" s="765"/>
      <c r="AQ100" s="62">
        <f t="shared" si="100"/>
        <v>0</v>
      </c>
      <c r="AR100" s="970"/>
      <c r="AS100" s="971"/>
      <c r="AT100" s="765"/>
      <c r="AU100" s="765"/>
      <c r="AV100" s="765"/>
      <c r="AW100" s="956">
        <f t="shared" si="101"/>
        <v>0</v>
      </c>
      <c r="AX100" s="971"/>
      <c r="AY100" s="971"/>
      <c r="AZ100" s="971"/>
      <c r="BA100" s="957">
        <f t="shared" si="102"/>
        <v>0</v>
      </c>
      <c r="BB100" s="958">
        <f t="shared" si="103"/>
        <v>8</v>
      </c>
      <c r="BC100" s="959">
        <f t="shared" si="104"/>
        <v>66</v>
      </c>
      <c r="BD100" s="959">
        <f t="shared" si="105"/>
        <v>55</v>
      </c>
      <c r="BE100" s="959">
        <f t="shared" si="106"/>
        <v>72</v>
      </c>
      <c r="BF100" s="959">
        <f t="shared" si="107"/>
        <v>193</v>
      </c>
      <c r="BG100" s="966">
        <f t="shared" si="108"/>
        <v>0</v>
      </c>
      <c r="BH100" s="966">
        <f t="shared" si="109"/>
        <v>0</v>
      </c>
      <c r="BI100" s="966">
        <f t="shared" si="110"/>
        <v>0</v>
      </c>
      <c r="BJ100" s="966">
        <f t="shared" si="111"/>
        <v>0</v>
      </c>
      <c r="BK100" s="966">
        <f t="shared" si="112"/>
        <v>0</v>
      </c>
      <c r="BL100" s="751"/>
    </row>
    <row r="101" spans="1:64" s="43" customFormat="1" ht="17.100000000000001" customHeight="1">
      <c r="A101" s="1614" t="s">
        <v>419</v>
      </c>
      <c r="B101" s="1615"/>
      <c r="C101" s="1615"/>
      <c r="D101" s="1616"/>
      <c r="E101" s="418">
        <f>COUNTA(E94:E100)</f>
        <v>7</v>
      </c>
      <c r="F101" s="294"/>
      <c r="G101" s="419"/>
      <c r="H101" s="190"/>
      <c r="I101" s="420"/>
      <c r="J101" s="296"/>
      <c r="K101" s="294"/>
      <c r="L101" s="297"/>
      <c r="M101" s="421">
        <f t="shared" ref="M101:AR101" si="113">SUM(M94:M100)</f>
        <v>62</v>
      </c>
      <c r="N101" s="422">
        <f t="shared" si="113"/>
        <v>0</v>
      </c>
      <c r="O101" s="423">
        <f t="shared" si="113"/>
        <v>1639</v>
      </c>
      <c r="P101" s="424">
        <f t="shared" si="113"/>
        <v>18</v>
      </c>
      <c r="Q101" s="425">
        <f t="shared" si="113"/>
        <v>372</v>
      </c>
      <c r="R101" s="425">
        <f t="shared" si="113"/>
        <v>18</v>
      </c>
      <c r="S101" s="425">
        <f t="shared" si="113"/>
        <v>422</v>
      </c>
      <c r="T101" s="425">
        <f t="shared" si="113"/>
        <v>18</v>
      </c>
      <c r="U101" s="426">
        <f t="shared" si="113"/>
        <v>454</v>
      </c>
      <c r="V101" s="427">
        <f t="shared" si="113"/>
        <v>0</v>
      </c>
      <c r="W101" s="425">
        <f t="shared" si="113"/>
        <v>0</v>
      </c>
      <c r="X101" s="425">
        <f t="shared" si="113"/>
        <v>1</v>
      </c>
      <c r="Y101" s="425">
        <f t="shared" si="113"/>
        <v>1</v>
      </c>
      <c r="Z101" s="425">
        <f t="shared" si="113"/>
        <v>0</v>
      </c>
      <c r="AA101" s="426">
        <f t="shared" si="113"/>
        <v>0</v>
      </c>
      <c r="AB101" s="424">
        <f t="shared" si="113"/>
        <v>0</v>
      </c>
      <c r="AC101" s="425">
        <f t="shared" si="113"/>
        <v>0</v>
      </c>
      <c r="AD101" s="425">
        <f t="shared" si="113"/>
        <v>0</v>
      </c>
      <c r="AE101" s="425">
        <f t="shared" si="113"/>
        <v>0</v>
      </c>
      <c r="AF101" s="425">
        <f t="shared" si="113"/>
        <v>0</v>
      </c>
      <c r="AG101" s="425">
        <f t="shared" si="113"/>
        <v>0</v>
      </c>
      <c r="AH101" s="425">
        <f t="shared" si="113"/>
        <v>0</v>
      </c>
      <c r="AI101" s="426">
        <f t="shared" si="113"/>
        <v>0</v>
      </c>
      <c r="AJ101" s="424">
        <f t="shared" si="113"/>
        <v>0</v>
      </c>
      <c r="AK101" s="425">
        <f t="shared" si="113"/>
        <v>0</v>
      </c>
      <c r="AL101" s="425">
        <f t="shared" si="113"/>
        <v>0</v>
      </c>
      <c r="AM101" s="425">
        <f t="shared" si="113"/>
        <v>0</v>
      </c>
      <c r="AN101" s="425">
        <f t="shared" si="113"/>
        <v>0</v>
      </c>
      <c r="AO101" s="425">
        <f t="shared" si="113"/>
        <v>0</v>
      </c>
      <c r="AP101" s="425">
        <f t="shared" si="113"/>
        <v>0</v>
      </c>
      <c r="AQ101" s="426">
        <f t="shared" si="113"/>
        <v>0</v>
      </c>
      <c r="AR101" s="428">
        <f t="shared" si="113"/>
        <v>6</v>
      </c>
      <c r="AS101" s="429">
        <f t="shared" ref="AS101:BK101" si="114">SUM(AS94:AS100)</f>
        <v>0</v>
      </c>
      <c r="AT101" s="429">
        <f t="shared" si="114"/>
        <v>46</v>
      </c>
      <c r="AU101" s="429">
        <f t="shared" si="114"/>
        <v>48</v>
      </c>
      <c r="AV101" s="429">
        <f t="shared" si="114"/>
        <v>46</v>
      </c>
      <c r="AW101" s="429">
        <f t="shared" si="114"/>
        <v>140</v>
      </c>
      <c r="AX101" s="429">
        <f t="shared" si="114"/>
        <v>0</v>
      </c>
      <c r="AY101" s="429">
        <f t="shared" si="114"/>
        <v>0</v>
      </c>
      <c r="AZ101" s="429">
        <f t="shared" si="114"/>
        <v>0</v>
      </c>
      <c r="BA101" s="430">
        <f t="shared" si="114"/>
        <v>0</v>
      </c>
      <c r="BB101" s="431">
        <f t="shared" si="114"/>
        <v>60</v>
      </c>
      <c r="BC101" s="432">
        <f t="shared" si="114"/>
        <v>418</v>
      </c>
      <c r="BD101" s="432">
        <f t="shared" si="114"/>
        <v>470</v>
      </c>
      <c r="BE101" s="432">
        <f t="shared" si="114"/>
        <v>500</v>
      </c>
      <c r="BF101" s="432">
        <f t="shared" si="114"/>
        <v>1388</v>
      </c>
      <c r="BG101" s="432">
        <f t="shared" si="114"/>
        <v>0</v>
      </c>
      <c r="BH101" s="432">
        <f t="shared" si="114"/>
        <v>0</v>
      </c>
      <c r="BI101" s="432">
        <f t="shared" si="114"/>
        <v>0</v>
      </c>
      <c r="BJ101" s="432">
        <f t="shared" si="114"/>
        <v>0</v>
      </c>
      <c r="BK101" s="433">
        <f t="shared" si="114"/>
        <v>0</v>
      </c>
      <c r="BL101" s="434"/>
    </row>
    <row r="102" spans="1:64" s="43" customFormat="1" ht="17.100000000000001" customHeight="1">
      <c r="A102" s="1568" t="s">
        <v>420</v>
      </c>
      <c r="B102" s="1569"/>
      <c r="C102" s="1569"/>
      <c r="D102" s="1569"/>
      <c r="E102" s="1570"/>
      <c r="F102" s="435">
        <f>E93+E101</f>
        <v>21</v>
      </c>
      <c r="G102" s="436"/>
      <c r="H102" s="222"/>
      <c r="I102" s="437"/>
      <c r="J102" s="305"/>
      <c r="K102" s="303"/>
      <c r="L102" s="306"/>
      <c r="M102" s="438">
        <f t="shared" ref="M102:AR102" si="115">M93+M101</f>
        <v>121</v>
      </c>
      <c r="N102" s="439">
        <f t="shared" si="115"/>
        <v>18</v>
      </c>
      <c r="O102" s="440">
        <f t="shared" si="115"/>
        <v>2610</v>
      </c>
      <c r="P102" s="441">
        <f t="shared" si="115"/>
        <v>36</v>
      </c>
      <c r="Q102" s="442">
        <f t="shared" si="115"/>
        <v>555</v>
      </c>
      <c r="R102" s="442">
        <f t="shared" si="115"/>
        <v>36</v>
      </c>
      <c r="S102" s="442">
        <f t="shared" si="115"/>
        <v>681</v>
      </c>
      <c r="T102" s="442">
        <f t="shared" si="115"/>
        <v>38</v>
      </c>
      <c r="U102" s="443">
        <f t="shared" si="115"/>
        <v>735</v>
      </c>
      <c r="V102" s="444">
        <f t="shared" si="115"/>
        <v>4</v>
      </c>
      <c r="W102" s="442">
        <f t="shared" si="115"/>
        <v>11</v>
      </c>
      <c r="X102" s="442">
        <f t="shared" si="115"/>
        <v>5</v>
      </c>
      <c r="Y102" s="442">
        <f t="shared" si="115"/>
        <v>16</v>
      </c>
      <c r="Z102" s="442">
        <f t="shared" si="115"/>
        <v>4</v>
      </c>
      <c r="AA102" s="443">
        <f t="shared" si="115"/>
        <v>16</v>
      </c>
      <c r="AB102" s="441">
        <f t="shared" si="115"/>
        <v>1</v>
      </c>
      <c r="AC102" s="442">
        <f t="shared" si="115"/>
        <v>0</v>
      </c>
      <c r="AD102" s="442">
        <f t="shared" si="115"/>
        <v>0</v>
      </c>
      <c r="AE102" s="442">
        <f t="shared" si="115"/>
        <v>5</v>
      </c>
      <c r="AF102" s="442">
        <f t="shared" si="115"/>
        <v>5</v>
      </c>
      <c r="AG102" s="442">
        <f t="shared" si="115"/>
        <v>0</v>
      </c>
      <c r="AH102" s="442">
        <f t="shared" si="115"/>
        <v>0</v>
      </c>
      <c r="AI102" s="443">
        <f t="shared" si="115"/>
        <v>0</v>
      </c>
      <c r="AJ102" s="441">
        <f t="shared" si="115"/>
        <v>1</v>
      </c>
      <c r="AK102" s="442">
        <f t="shared" si="115"/>
        <v>2</v>
      </c>
      <c r="AL102" s="442">
        <f t="shared" si="115"/>
        <v>2</v>
      </c>
      <c r="AM102" s="442">
        <f t="shared" si="115"/>
        <v>2</v>
      </c>
      <c r="AN102" s="442">
        <f t="shared" si="115"/>
        <v>4</v>
      </c>
      <c r="AO102" s="442">
        <f t="shared" si="115"/>
        <v>3</v>
      </c>
      <c r="AP102" s="442">
        <f t="shared" si="115"/>
        <v>5</v>
      </c>
      <c r="AQ102" s="443">
        <f t="shared" si="115"/>
        <v>8</v>
      </c>
      <c r="AR102" s="445">
        <f t="shared" si="115"/>
        <v>6</v>
      </c>
      <c r="AS102" s="446">
        <f t="shared" ref="AS102:BK102" si="116">AS93+AS101</f>
        <v>3</v>
      </c>
      <c r="AT102" s="446">
        <f t="shared" si="116"/>
        <v>46</v>
      </c>
      <c r="AU102" s="446">
        <f t="shared" si="116"/>
        <v>48</v>
      </c>
      <c r="AV102" s="446">
        <f t="shared" si="116"/>
        <v>46</v>
      </c>
      <c r="AW102" s="446">
        <f t="shared" si="116"/>
        <v>140</v>
      </c>
      <c r="AX102" s="446">
        <f t="shared" si="116"/>
        <v>4</v>
      </c>
      <c r="AY102" s="446">
        <f t="shared" si="116"/>
        <v>4</v>
      </c>
      <c r="AZ102" s="446">
        <f t="shared" si="116"/>
        <v>5</v>
      </c>
      <c r="BA102" s="447">
        <f t="shared" si="116"/>
        <v>13</v>
      </c>
      <c r="BB102" s="448">
        <f t="shared" si="116"/>
        <v>118</v>
      </c>
      <c r="BC102" s="449">
        <f t="shared" si="116"/>
        <v>601</v>
      </c>
      <c r="BD102" s="449">
        <f t="shared" si="116"/>
        <v>736</v>
      </c>
      <c r="BE102" s="449">
        <f t="shared" si="116"/>
        <v>770</v>
      </c>
      <c r="BF102" s="449">
        <f t="shared" si="116"/>
        <v>2107</v>
      </c>
      <c r="BG102" s="449">
        <f t="shared" si="116"/>
        <v>18</v>
      </c>
      <c r="BH102" s="449">
        <f t="shared" si="116"/>
        <v>15</v>
      </c>
      <c r="BI102" s="449">
        <f t="shared" si="116"/>
        <v>22</v>
      </c>
      <c r="BJ102" s="449">
        <f t="shared" si="116"/>
        <v>26</v>
      </c>
      <c r="BK102" s="450">
        <f t="shared" si="116"/>
        <v>63</v>
      </c>
      <c r="BL102" s="451"/>
    </row>
    <row r="103" spans="1:64" s="400" customFormat="1" ht="17.100000000000001" customHeight="1">
      <c r="A103" s="457" t="s">
        <v>1493</v>
      </c>
      <c r="B103" s="53" t="s">
        <v>7</v>
      </c>
      <c r="C103" s="53" t="s">
        <v>7</v>
      </c>
      <c r="D103" s="53" t="s">
        <v>1568</v>
      </c>
      <c r="E103" s="53" t="s">
        <v>4</v>
      </c>
      <c r="F103" s="53" t="s">
        <v>1491</v>
      </c>
      <c r="G103" s="71">
        <v>41345</v>
      </c>
      <c r="H103" s="50" t="s">
        <v>3375</v>
      </c>
      <c r="I103" s="51">
        <v>14536</v>
      </c>
      <c r="J103" s="52">
        <v>21378</v>
      </c>
      <c r="K103" s="53" t="s">
        <v>1492</v>
      </c>
      <c r="L103" s="54" t="s">
        <v>763</v>
      </c>
      <c r="M103" s="57">
        <v>3</v>
      </c>
      <c r="N103" s="58">
        <v>1</v>
      </c>
      <c r="O103" s="59">
        <v>48</v>
      </c>
      <c r="P103" s="60">
        <v>1</v>
      </c>
      <c r="Q103" s="61">
        <v>4</v>
      </c>
      <c r="R103" s="61">
        <v>1</v>
      </c>
      <c r="S103" s="61">
        <v>3</v>
      </c>
      <c r="T103" s="61">
        <v>1</v>
      </c>
      <c r="U103" s="62">
        <v>8</v>
      </c>
      <c r="V103" s="60"/>
      <c r="W103" s="61"/>
      <c r="X103" s="61"/>
      <c r="Y103" s="61"/>
      <c r="Z103" s="61"/>
      <c r="AA103" s="62"/>
      <c r="AB103" s="63"/>
      <c r="AC103" s="61"/>
      <c r="AD103" s="61"/>
      <c r="AE103" s="61"/>
      <c r="AF103" s="61">
        <v>0</v>
      </c>
      <c r="AG103" s="61"/>
      <c r="AH103" s="61"/>
      <c r="AI103" s="62">
        <v>0</v>
      </c>
      <c r="AJ103" s="63"/>
      <c r="AK103" s="61"/>
      <c r="AL103" s="61"/>
      <c r="AM103" s="61"/>
      <c r="AN103" s="61">
        <v>0</v>
      </c>
      <c r="AO103" s="61"/>
      <c r="AP103" s="61"/>
      <c r="AQ103" s="62">
        <v>0</v>
      </c>
      <c r="AR103" s="955"/>
      <c r="AS103" s="956">
        <v>1</v>
      </c>
      <c r="AT103" s="61"/>
      <c r="AU103" s="61"/>
      <c r="AV103" s="61"/>
      <c r="AW103" s="956">
        <v>0</v>
      </c>
      <c r="AX103" s="956"/>
      <c r="AY103" s="956">
        <v>2</v>
      </c>
      <c r="AZ103" s="956">
        <v>2</v>
      </c>
      <c r="BA103" s="957">
        <v>4</v>
      </c>
      <c r="BB103" s="958">
        <v>3</v>
      </c>
      <c r="BC103" s="959">
        <v>4</v>
      </c>
      <c r="BD103" s="959">
        <v>3</v>
      </c>
      <c r="BE103" s="959">
        <v>8</v>
      </c>
      <c r="BF103" s="959">
        <v>15</v>
      </c>
      <c r="BG103" s="959">
        <v>1</v>
      </c>
      <c r="BH103" s="959">
        <v>2</v>
      </c>
      <c r="BI103" s="959">
        <v>2</v>
      </c>
      <c r="BJ103" s="959">
        <v>0</v>
      </c>
      <c r="BK103" s="959">
        <v>4</v>
      </c>
      <c r="BL103" s="53"/>
    </row>
    <row r="104" spans="1:64" s="400" customFormat="1" ht="17.100000000000001" customHeight="1">
      <c r="A104" s="761" t="s">
        <v>2623</v>
      </c>
      <c r="B104" s="55" t="s">
        <v>2624</v>
      </c>
      <c r="C104" s="53" t="s">
        <v>7</v>
      </c>
      <c r="D104" s="53" t="s">
        <v>3376</v>
      </c>
      <c r="E104" s="55" t="s">
        <v>2424</v>
      </c>
      <c r="F104" s="55" t="s">
        <v>3377</v>
      </c>
      <c r="G104" s="71">
        <v>35490</v>
      </c>
      <c r="H104" s="50" t="s">
        <v>3378</v>
      </c>
      <c r="I104" s="760">
        <v>345</v>
      </c>
      <c r="J104" s="52">
        <v>21388</v>
      </c>
      <c r="K104" s="55" t="s">
        <v>3379</v>
      </c>
      <c r="L104" s="56" t="s">
        <v>3380</v>
      </c>
      <c r="M104" s="394">
        <v>1</v>
      </c>
      <c r="N104" s="395">
        <v>0</v>
      </c>
      <c r="O104" s="396">
        <v>19</v>
      </c>
      <c r="P104" s="67"/>
      <c r="Q104" s="68"/>
      <c r="R104" s="68"/>
      <c r="S104" s="68"/>
      <c r="T104" s="68"/>
      <c r="U104" s="69"/>
      <c r="V104" s="67"/>
      <c r="W104" s="68"/>
      <c r="X104" s="68"/>
      <c r="Y104" s="68"/>
      <c r="Z104" s="68"/>
      <c r="AA104" s="69"/>
      <c r="AB104" s="70"/>
      <c r="AC104" s="68"/>
      <c r="AD104" s="68"/>
      <c r="AE104" s="68"/>
      <c r="AF104" s="68">
        <f>SUM(AD104:AE104)</f>
        <v>0</v>
      </c>
      <c r="AG104" s="68"/>
      <c r="AH104" s="68"/>
      <c r="AI104" s="69">
        <f>SUM(AG104:AH104)</f>
        <v>0</v>
      </c>
      <c r="AJ104" s="70">
        <v>1</v>
      </c>
      <c r="AK104" s="68"/>
      <c r="AL104" s="68">
        <v>3</v>
      </c>
      <c r="AM104" s="68">
        <v>10</v>
      </c>
      <c r="AN104" s="68">
        <f>SUM(AL104:AM104)</f>
        <v>13</v>
      </c>
      <c r="AO104" s="68"/>
      <c r="AP104" s="68"/>
      <c r="AQ104" s="69">
        <f>SUM(AO104:AP104)</f>
        <v>0</v>
      </c>
      <c r="AR104" s="972"/>
      <c r="AS104" s="973"/>
      <c r="AT104" s="68"/>
      <c r="AU104" s="68"/>
      <c r="AV104" s="68"/>
      <c r="AW104" s="973">
        <f>SUM(AT104:AV104)</f>
        <v>0</v>
      </c>
      <c r="AX104" s="973"/>
      <c r="AY104" s="973"/>
      <c r="AZ104" s="973"/>
      <c r="BA104" s="974">
        <f>SUM(AX104:AZ104)</f>
        <v>0</v>
      </c>
      <c r="BB104" s="975">
        <f>SUM(P104,R104,T104,AB104,AJ104,AR104)</f>
        <v>1</v>
      </c>
      <c r="BC104" s="959">
        <f t="shared" ref="BC104" si="117">SUM(Q104,AD104,AT104)</f>
        <v>0</v>
      </c>
      <c r="BD104" s="959">
        <f t="shared" ref="BD104" si="118">SUM(S104,AE104,AL104,AU104)</f>
        <v>3</v>
      </c>
      <c r="BE104" s="959">
        <f t="shared" ref="BE104" si="119">SUM(U104,AM104,AV104)</f>
        <v>10</v>
      </c>
      <c r="BF104" s="959">
        <f t="shared" ref="BF104" si="120">SUM(BC104:BE104)</f>
        <v>13</v>
      </c>
      <c r="BG104" s="959">
        <f t="shared" ref="BG104" si="121">SUM(V104,X104,Z104,AC104,AK104,AS104)</f>
        <v>0</v>
      </c>
      <c r="BH104" s="959">
        <f t="shared" ref="BH104" si="122">SUM(W104,AG104,AX104)</f>
        <v>0</v>
      </c>
      <c r="BI104" s="959">
        <f t="shared" ref="BI104" si="123">SUM(Y104,AH104,AO104,AY104)</f>
        <v>0</v>
      </c>
      <c r="BJ104" s="959">
        <f t="shared" ref="BJ104" si="124">SUM(AA104,AP104,AZ104)</f>
        <v>0</v>
      </c>
      <c r="BK104" s="959">
        <f t="shared" ref="BK104" si="125">SUM(BH104:BJ104)</f>
        <v>0</v>
      </c>
      <c r="BL104" s="55"/>
    </row>
    <row r="105" spans="1:64" s="400" customFormat="1" ht="17.100000000000001" customHeight="1">
      <c r="A105" s="761" t="s">
        <v>1493</v>
      </c>
      <c r="B105" s="55" t="s">
        <v>7</v>
      </c>
      <c r="C105" s="53" t="s">
        <v>7</v>
      </c>
      <c r="D105" s="53" t="s">
        <v>3381</v>
      </c>
      <c r="E105" s="55" t="s">
        <v>4</v>
      </c>
      <c r="F105" s="53" t="s">
        <v>1494</v>
      </c>
      <c r="G105" s="71">
        <v>43745</v>
      </c>
      <c r="H105" s="50" t="s">
        <v>3382</v>
      </c>
      <c r="I105" s="760">
        <v>13806</v>
      </c>
      <c r="J105" s="52">
        <v>21307</v>
      </c>
      <c r="K105" s="55" t="s">
        <v>3383</v>
      </c>
      <c r="L105" s="56" t="s">
        <v>741</v>
      </c>
      <c r="M105" s="394">
        <v>2</v>
      </c>
      <c r="N105" s="395">
        <v>1</v>
      </c>
      <c r="O105" s="396">
        <v>36</v>
      </c>
      <c r="P105" s="67"/>
      <c r="Q105" s="68"/>
      <c r="R105" s="68"/>
      <c r="S105" s="68"/>
      <c r="T105" s="68"/>
      <c r="U105" s="69"/>
      <c r="V105" s="67"/>
      <c r="W105" s="68"/>
      <c r="X105" s="68"/>
      <c r="Y105" s="68"/>
      <c r="Z105" s="68"/>
      <c r="AA105" s="69"/>
      <c r="AB105" s="70"/>
      <c r="AC105" s="68"/>
      <c r="AD105" s="68"/>
      <c r="AE105" s="68"/>
      <c r="AF105" s="68"/>
      <c r="AG105" s="68"/>
      <c r="AH105" s="68"/>
      <c r="AI105" s="69"/>
      <c r="AJ105" s="70"/>
      <c r="AK105" s="68"/>
      <c r="AL105" s="68"/>
      <c r="AM105" s="68"/>
      <c r="AN105" s="68"/>
      <c r="AO105" s="68"/>
      <c r="AP105" s="68"/>
      <c r="AQ105" s="69"/>
      <c r="AR105" s="972">
        <v>1</v>
      </c>
      <c r="AS105" s="973">
        <v>1</v>
      </c>
      <c r="AT105" s="68">
        <v>0</v>
      </c>
      <c r="AU105" s="68">
        <v>0</v>
      </c>
      <c r="AV105" s="68">
        <v>1</v>
      </c>
      <c r="AW105" s="973">
        <v>1</v>
      </c>
      <c r="AX105" s="973">
        <v>2</v>
      </c>
      <c r="AY105" s="973">
        <v>0</v>
      </c>
      <c r="AZ105" s="973">
        <v>1</v>
      </c>
      <c r="BA105" s="974">
        <v>3</v>
      </c>
      <c r="BB105" s="975">
        <v>1</v>
      </c>
      <c r="BC105" s="959">
        <v>0</v>
      </c>
      <c r="BD105" s="959">
        <v>0</v>
      </c>
      <c r="BE105" s="959">
        <v>1</v>
      </c>
      <c r="BF105" s="959">
        <v>1</v>
      </c>
      <c r="BG105" s="959">
        <v>1</v>
      </c>
      <c r="BH105" s="959">
        <v>2</v>
      </c>
      <c r="BI105" s="959">
        <v>0</v>
      </c>
      <c r="BJ105" s="959">
        <v>1</v>
      </c>
      <c r="BK105" s="959">
        <v>3</v>
      </c>
      <c r="BL105" s="55"/>
    </row>
    <row r="106" spans="1:64" s="400" customFormat="1" ht="17.100000000000001" customHeight="1">
      <c r="A106" s="457" t="s">
        <v>2623</v>
      </c>
      <c r="B106" s="53" t="s">
        <v>7</v>
      </c>
      <c r="C106" s="53" t="s">
        <v>7</v>
      </c>
      <c r="D106" s="53" t="s">
        <v>2626</v>
      </c>
      <c r="E106" s="53" t="s">
        <v>2424</v>
      </c>
      <c r="F106" s="53" t="s">
        <v>3384</v>
      </c>
      <c r="G106" s="71">
        <v>37316</v>
      </c>
      <c r="H106" s="50" t="s">
        <v>2366</v>
      </c>
      <c r="I106" s="51">
        <v>15888</v>
      </c>
      <c r="J106" s="52">
        <v>21369</v>
      </c>
      <c r="K106" s="53" t="s">
        <v>3385</v>
      </c>
      <c r="L106" s="54" t="s">
        <v>2367</v>
      </c>
      <c r="M106" s="773">
        <v>2</v>
      </c>
      <c r="N106" s="718">
        <v>0</v>
      </c>
      <c r="O106" s="774">
        <v>36</v>
      </c>
      <c r="P106" s="60">
        <v>0</v>
      </c>
      <c r="Q106" s="61">
        <v>0</v>
      </c>
      <c r="R106" s="61">
        <v>0</v>
      </c>
      <c r="S106" s="61">
        <v>0</v>
      </c>
      <c r="T106" s="61">
        <v>1</v>
      </c>
      <c r="U106" s="62">
        <v>12</v>
      </c>
      <c r="V106" s="60">
        <v>0</v>
      </c>
      <c r="W106" s="61">
        <v>0</v>
      </c>
      <c r="X106" s="61">
        <v>0</v>
      </c>
      <c r="Y106" s="61">
        <v>0</v>
      </c>
      <c r="Z106" s="61">
        <v>0</v>
      </c>
      <c r="AA106" s="62">
        <v>0</v>
      </c>
      <c r="AB106" s="63">
        <v>1</v>
      </c>
      <c r="AC106" s="61">
        <v>0</v>
      </c>
      <c r="AD106" s="61">
        <v>2</v>
      </c>
      <c r="AE106" s="61">
        <v>1</v>
      </c>
      <c r="AF106" s="61">
        <f>SUM(AD106:AE106)</f>
        <v>3</v>
      </c>
      <c r="AG106" s="61">
        <v>0</v>
      </c>
      <c r="AH106" s="61">
        <v>0</v>
      </c>
      <c r="AI106" s="62">
        <f>SUM(AG106:AH106)</f>
        <v>0</v>
      </c>
      <c r="AJ106" s="63">
        <v>0</v>
      </c>
      <c r="AK106" s="61">
        <v>0</v>
      </c>
      <c r="AL106" s="61">
        <v>0</v>
      </c>
      <c r="AM106" s="61">
        <v>0</v>
      </c>
      <c r="AN106" s="61">
        <f>SUM(AL106:AM106)</f>
        <v>0</v>
      </c>
      <c r="AO106" s="61">
        <v>0</v>
      </c>
      <c r="AP106" s="61">
        <v>0</v>
      </c>
      <c r="AQ106" s="62">
        <f>SUM(AO106:AP106)</f>
        <v>0</v>
      </c>
      <c r="AR106" s="955">
        <v>0</v>
      </c>
      <c r="AS106" s="956">
        <v>0</v>
      </c>
      <c r="AT106" s="61">
        <v>0</v>
      </c>
      <c r="AU106" s="61">
        <v>0</v>
      </c>
      <c r="AV106" s="61">
        <v>0</v>
      </c>
      <c r="AW106" s="956">
        <f>SUM(AT106:AV106)</f>
        <v>0</v>
      </c>
      <c r="AX106" s="956">
        <v>0</v>
      </c>
      <c r="AY106" s="956">
        <v>0</v>
      </c>
      <c r="AZ106" s="956">
        <v>0</v>
      </c>
      <c r="BA106" s="957">
        <f>SUM(AX106:AZ106)</f>
        <v>0</v>
      </c>
      <c r="BB106" s="958">
        <f>SUM(P106,R106,T106,AB106,AJ106,AR106)</f>
        <v>2</v>
      </c>
      <c r="BC106" s="959">
        <f>SUM(Q106,AD106,AT106)</f>
        <v>2</v>
      </c>
      <c r="BD106" s="959">
        <f>SUM(S106,AE106,AL106,AU106)</f>
        <v>1</v>
      </c>
      <c r="BE106" s="959">
        <f>SUM(U106,AM106,AV106)</f>
        <v>12</v>
      </c>
      <c r="BF106" s="959">
        <f>SUM(BC106:BE106)</f>
        <v>15</v>
      </c>
      <c r="BG106" s="959">
        <f>SUM(V106,X106,Z106,AC106,AK106,AS106)</f>
        <v>0</v>
      </c>
      <c r="BH106" s="959">
        <f>SUM(W106,AG106,AX106)</f>
        <v>0</v>
      </c>
      <c r="BI106" s="959">
        <f>SUM(Y106,AH106,AO106,AY106)</f>
        <v>0</v>
      </c>
      <c r="BJ106" s="959">
        <f>SUM(AA106,AP106,AZ106)</f>
        <v>0</v>
      </c>
      <c r="BK106" s="959">
        <f>SUM(BH106:BJ106)</f>
        <v>0</v>
      </c>
      <c r="BL106" s="53"/>
    </row>
    <row r="107" spans="1:64" s="400" customFormat="1" ht="17.100000000000001" customHeight="1">
      <c r="A107" s="761" t="s">
        <v>1493</v>
      </c>
      <c r="B107" s="55" t="s">
        <v>7</v>
      </c>
      <c r="C107" s="53" t="s">
        <v>7</v>
      </c>
      <c r="D107" s="53" t="s">
        <v>2627</v>
      </c>
      <c r="E107" s="55" t="s">
        <v>4</v>
      </c>
      <c r="F107" s="53" t="s">
        <v>1495</v>
      </c>
      <c r="G107" s="71">
        <v>36586</v>
      </c>
      <c r="H107" s="50" t="s">
        <v>3386</v>
      </c>
      <c r="I107" s="760">
        <v>9748</v>
      </c>
      <c r="J107" s="52">
        <v>21362</v>
      </c>
      <c r="K107" s="55" t="s">
        <v>1496</v>
      </c>
      <c r="L107" s="56" t="s">
        <v>1497</v>
      </c>
      <c r="M107" s="394">
        <v>3</v>
      </c>
      <c r="N107" s="395">
        <v>2</v>
      </c>
      <c r="O107" s="396">
        <v>48</v>
      </c>
      <c r="P107" s="67">
        <v>1</v>
      </c>
      <c r="Q107" s="68">
        <v>7</v>
      </c>
      <c r="R107" s="68">
        <v>1</v>
      </c>
      <c r="S107" s="68">
        <v>11</v>
      </c>
      <c r="T107" s="68">
        <v>1</v>
      </c>
      <c r="U107" s="69">
        <v>14</v>
      </c>
      <c r="V107" s="67">
        <v>0</v>
      </c>
      <c r="W107" s="68">
        <v>0</v>
      </c>
      <c r="X107" s="68">
        <v>0</v>
      </c>
      <c r="Y107" s="68">
        <v>0</v>
      </c>
      <c r="Z107" s="68">
        <v>1</v>
      </c>
      <c r="AA107" s="69">
        <v>4</v>
      </c>
      <c r="AB107" s="70">
        <v>0</v>
      </c>
      <c r="AC107" s="68">
        <v>1</v>
      </c>
      <c r="AD107" s="68">
        <v>0</v>
      </c>
      <c r="AE107" s="68">
        <v>0</v>
      </c>
      <c r="AF107" s="68">
        <v>0</v>
      </c>
      <c r="AG107" s="68">
        <v>2</v>
      </c>
      <c r="AH107" s="68">
        <v>2</v>
      </c>
      <c r="AI107" s="69">
        <v>4</v>
      </c>
      <c r="AJ107" s="70">
        <v>0</v>
      </c>
      <c r="AK107" s="68">
        <v>0</v>
      </c>
      <c r="AL107" s="68">
        <v>0</v>
      </c>
      <c r="AM107" s="68">
        <v>0</v>
      </c>
      <c r="AN107" s="68">
        <v>0</v>
      </c>
      <c r="AO107" s="68">
        <v>0</v>
      </c>
      <c r="AP107" s="68">
        <v>0</v>
      </c>
      <c r="AQ107" s="69">
        <v>0</v>
      </c>
      <c r="AR107" s="972">
        <v>0</v>
      </c>
      <c r="AS107" s="973">
        <v>0</v>
      </c>
      <c r="AT107" s="68">
        <v>0</v>
      </c>
      <c r="AU107" s="68">
        <v>0</v>
      </c>
      <c r="AV107" s="68">
        <v>0</v>
      </c>
      <c r="AW107" s="973">
        <v>0</v>
      </c>
      <c r="AX107" s="973">
        <v>0</v>
      </c>
      <c r="AY107" s="973">
        <v>0</v>
      </c>
      <c r="AZ107" s="973">
        <v>0</v>
      </c>
      <c r="BA107" s="974">
        <v>0</v>
      </c>
      <c r="BB107" s="975">
        <v>3</v>
      </c>
      <c r="BC107" s="959">
        <v>7</v>
      </c>
      <c r="BD107" s="959">
        <v>11</v>
      </c>
      <c r="BE107" s="959">
        <v>14</v>
      </c>
      <c r="BF107" s="959">
        <v>32</v>
      </c>
      <c r="BG107" s="959">
        <v>2</v>
      </c>
      <c r="BH107" s="959">
        <v>2</v>
      </c>
      <c r="BI107" s="959">
        <v>2</v>
      </c>
      <c r="BJ107" s="959">
        <v>4</v>
      </c>
      <c r="BK107" s="959">
        <v>8</v>
      </c>
      <c r="BL107" s="55"/>
    </row>
    <row r="108" spans="1:64" s="400" customFormat="1" ht="17.100000000000001" customHeight="1">
      <c r="A108" s="761" t="s">
        <v>1493</v>
      </c>
      <c r="B108" s="55" t="s">
        <v>7</v>
      </c>
      <c r="C108" s="53" t="s">
        <v>7</v>
      </c>
      <c r="D108" s="53" t="s">
        <v>3387</v>
      </c>
      <c r="E108" s="55" t="s">
        <v>4</v>
      </c>
      <c r="F108" s="726" t="s">
        <v>3388</v>
      </c>
      <c r="G108" s="71">
        <v>36951</v>
      </c>
      <c r="H108" s="50" t="s">
        <v>3389</v>
      </c>
      <c r="I108" s="760">
        <v>15962</v>
      </c>
      <c r="J108" s="52">
        <v>21363</v>
      </c>
      <c r="K108" s="55" t="s">
        <v>1757</v>
      </c>
      <c r="L108" s="56" t="s">
        <v>745</v>
      </c>
      <c r="M108" s="394">
        <v>2</v>
      </c>
      <c r="N108" s="395">
        <v>1</v>
      </c>
      <c r="O108" s="396">
        <v>36</v>
      </c>
      <c r="P108" s="67"/>
      <c r="Q108" s="68"/>
      <c r="R108" s="68"/>
      <c r="S108" s="68"/>
      <c r="T108" s="68"/>
      <c r="U108" s="69"/>
      <c r="V108" s="67"/>
      <c r="W108" s="68"/>
      <c r="X108" s="68"/>
      <c r="Y108" s="68"/>
      <c r="Z108" s="68"/>
      <c r="AA108" s="69"/>
      <c r="AB108" s="70"/>
      <c r="AC108" s="68"/>
      <c r="AD108" s="68"/>
      <c r="AE108" s="68"/>
      <c r="AF108" s="68">
        <v>0</v>
      </c>
      <c r="AG108" s="68"/>
      <c r="AH108" s="68"/>
      <c r="AI108" s="69">
        <v>0</v>
      </c>
      <c r="AJ108" s="70"/>
      <c r="AK108" s="68"/>
      <c r="AL108" s="68"/>
      <c r="AM108" s="68"/>
      <c r="AN108" s="68">
        <v>0</v>
      </c>
      <c r="AO108" s="68"/>
      <c r="AP108" s="68"/>
      <c r="AQ108" s="69">
        <v>0</v>
      </c>
      <c r="AR108" s="972">
        <v>1</v>
      </c>
      <c r="AS108" s="973">
        <v>1</v>
      </c>
      <c r="AT108" s="68">
        <v>3</v>
      </c>
      <c r="AU108" s="68">
        <v>0</v>
      </c>
      <c r="AV108" s="68">
        <v>1</v>
      </c>
      <c r="AW108" s="973">
        <v>4</v>
      </c>
      <c r="AX108" s="973">
        <v>0</v>
      </c>
      <c r="AY108" s="973">
        <v>1</v>
      </c>
      <c r="AZ108" s="973">
        <v>3</v>
      </c>
      <c r="BA108" s="974">
        <v>4</v>
      </c>
      <c r="BB108" s="975">
        <v>1</v>
      </c>
      <c r="BC108" s="959">
        <v>3</v>
      </c>
      <c r="BD108" s="959">
        <v>0</v>
      </c>
      <c r="BE108" s="959">
        <v>1</v>
      </c>
      <c r="BF108" s="959">
        <v>4</v>
      </c>
      <c r="BG108" s="959">
        <v>1</v>
      </c>
      <c r="BH108" s="959">
        <v>0</v>
      </c>
      <c r="BI108" s="959">
        <v>1</v>
      </c>
      <c r="BJ108" s="959">
        <v>3</v>
      </c>
      <c r="BK108" s="959">
        <v>4</v>
      </c>
      <c r="BL108" s="55"/>
    </row>
    <row r="109" spans="1:64" s="400" customFormat="1" ht="17.100000000000001" customHeight="1">
      <c r="A109" s="761" t="s">
        <v>1493</v>
      </c>
      <c r="B109" s="55" t="s">
        <v>7</v>
      </c>
      <c r="C109" s="53" t="s">
        <v>7</v>
      </c>
      <c r="D109" s="53" t="s">
        <v>3390</v>
      </c>
      <c r="E109" s="55" t="s">
        <v>4</v>
      </c>
      <c r="F109" s="53" t="s">
        <v>1498</v>
      </c>
      <c r="G109" s="71">
        <v>39508</v>
      </c>
      <c r="H109" s="50" t="s">
        <v>3391</v>
      </c>
      <c r="I109" s="760">
        <v>10731</v>
      </c>
      <c r="J109" s="52">
        <v>21442</v>
      </c>
      <c r="K109" s="55" t="s">
        <v>1499</v>
      </c>
      <c r="L109" s="56" t="s">
        <v>789</v>
      </c>
      <c r="M109" s="394">
        <v>1</v>
      </c>
      <c r="N109" s="395">
        <v>1</v>
      </c>
      <c r="O109" s="396">
        <v>19</v>
      </c>
      <c r="P109" s="67"/>
      <c r="Q109" s="68"/>
      <c r="R109" s="68"/>
      <c r="S109" s="68"/>
      <c r="T109" s="68"/>
      <c r="U109" s="69"/>
      <c r="V109" s="67"/>
      <c r="W109" s="68"/>
      <c r="X109" s="68"/>
      <c r="Y109" s="68"/>
      <c r="Z109" s="68"/>
      <c r="AA109" s="69"/>
      <c r="AB109" s="70"/>
      <c r="AC109" s="68"/>
      <c r="AD109" s="68"/>
      <c r="AE109" s="68"/>
      <c r="AF109" s="68">
        <v>0</v>
      </c>
      <c r="AG109" s="68"/>
      <c r="AH109" s="68"/>
      <c r="AI109" s="69">
        <v>0</v>
      </c>
      <c r="AJ109" s="70"/>
      <c r="AK109" s="68"/>
      <c r="AL109" s="68">
        <v>3</v>
      </c>
      <c r="AM109" s="68">
        <v>4</v>
      </c>
      <c r="AN109" s="68">
        <v>7</v>
      </c>
      <c r="AO109" s="68"/>
      <c r="AP109" s="68">
        <v>4</v>
      </c>
      <c r="AQ109" s="69">
        <v>4</v>
      </c>
      <c r="AR109" s="972"/>
      <c r="AS109" s="973"/>
      <c r="AT109" s="68"/>
      <c r="AU109" s="68"/>
      <c r="AV109" s="68"/>
      <c r="AW109" s="973">
        <v>0</v>
      </c>
      <c r="AX109" s="973"/>
      <c r="AY109" s="973">
        <v>0</v>
      </c>
      <c r="AZ109" s="973"/>
      <c r="BA109" s="974">
        <v>0</v>
      </c>
      <c r="BB109" s="976">
        <v>1</v>
      </c>
      <c r="BC109" s="959">
        <v>0</v>
      </c>
      <c r="BD109" s="959">
        <v>3</v>
      </c>
      <c r="BE109" s="959">
        <v>4</v>
      </c>
      <c r="BF109" s="959">
        <v>7</v>
      </c>
      <c r="BG109" s="959">
        <v>1</v>
      </c>
      <c r="BH109" s="959">
        <v>0</v>
      </c>
      <c r="BI109" s="959">
        <v>0</v>
      </c>
      <c r="BJ109" s="959">
        <v>4</v>
      </c>
      <c r="BK109" s="959">
        <v>4</v>
      </c>
      <c r="BL109" s="55"/>
    </row>
    <row r="110" spans="1:64" s="400" customFormat="1" ht="17.100000000000001" customHeight="1">
      <c r="A110" s="761" t="s">
        <v>2625</v>
      </c>
      <c r="B110" s="55" t="s">
        <v>2624</v>
      </c>
      <c r="C110" s="53" t="s">
        <v>2624</v>
      </c>
      <c r="D110" s="53" t="s">
        <v>3390</v>
      </c>
      <c r="E110" s="55" t="s">
        <v>444</v>
      </c>
      <c r="F110" s="53" t="s">
        <v>3392</v>
      </c>
      <c r="G110" s="71">
        <v>39873</v>
      </c>
      <c r="H110" s="50" t="s">
        <v>1827</v>
      </c>
      <c r="I110" s="760">
        <v>9305</v>
      </c>
      <c r="J110" s="52">
        <v>21541</v>
      </c>
      <c r="K110" s="53" t="s">
        <v>1500</v>
      </c>
      <c r="L110" s="54" t="s">
        <v>795</v>
      </c>
      <c r="M110" s="394">
        <v>1</v>
      </c>
      <c r="N110" s="395">
        <v>0</v>
      </c>
      <c r="O110" s="396">
        <v>19</v>
      </c>
      <c r="P110" s="67"/>
      <c r="Q110" s="68"/>
      <c r="R110" s="68"/>
      <c r="S110" s="68"/>
      <c r="T110" s="68"/>
      <c r="U110" s="69"/>
      <c r="V110" s="67"/>
      <c r="W110" s="68"/>
      <c r="X110" s="68"/>
      <c r="Y110" s="68"/>
      <c r="Z110" s="68"/>
      <c r="AA110" s="69"/>
      <c r="AB110" s="70"/>
      <c r="AC110" s="68"/>
      <c r="AD110" s="68"/>
      <c r="AE110" s="68"/>
      <c r="AF110" s="68">
        <f t="shared" ref="AF110" si="126">SUM(AD110:AE110)</f>
        <v>0</v>
      </c>
      <c r="AG110" s="68"/>
      <c r="AH110" s="68"/>
      <c r="AI110" s="69">
        <f t="shared" ref="AI110" si="127">SUM(AG110:AH110)</f>
        <v>0</v>
      </c>
      <c r="AJ110" s="70"/>
      <c r="AK110" s="68"/>
      <c r="AL110" s="68"/>
      <c r="AM110" s="68"/>
      <c r="AN110" s="68">
        <f t="shared" ref="AN110" si="128">SUM(AL110:AM110)</f>
        <v>0</v>
      </c>
      <c r="AO110" s="68"/>
      <c r="AP110" s="68"/>
      <c r="AQ110" s="69">
        <f t="shared" ref="AQ110" si="129">SUM(AO110:AP110)</f>
        <v>0</v>
      </c>
      <c r="AR110" s="972"/>
      <c r="AS110" s="973"/>
      <c r="AT110" s="68"/>
      <c r="AU110" s="68"/>
      <c r="AV110" s="68"/>
      <c r="AW110" s="973">
        <f t="shared" ref="AW110" si="130">SUM(AT110:AV110)</f>
        <v>0</v>
      </c>
      <c r="AX110" s="973"/>
      <c r="AY110" s="973"/>
      <c r="AZ110" s="973"/>
      <c r="BA110" s="974">
        <f t="shared" ref="BA110" si="131">SUM(AX110:AZ110)</f>
        <v>0</v>
      </c>
      <c r="BB110" s="975">
        <f t="shared" ref="BB110" si="132">SUM(P110,R110,T110,AB110,AJ110,AR110)</f>
        <v>0</v>
      </c>
      <c r="BC110" s="959">
        <f t="shared" ref="BC110" si="133">SUM(Q110,AD110,AT110)</f>
        <v>0</v>
      </c>
      <c r="BD110" s="959">
        <f t="shared" ref="BD110" si="134">SUM(S110,AE110,AL110,AU110)</f>
        <v>0</v>
      </c>
      <c r="BE110" s="959">
        <f t="shared" ref="BE110" si="135">SUM(U110,AM110,AV110)</f>
        <v>0</v>
      </c>
      <c r="BF110" s="959">
        <f t="shared" ref="BF110" si="136">SUM(BC110:BE110)</f>
        <v>0</v>
      </c>
      <c r="BG110" s="959">
        <f t="shared" ref="BG110" si="137">SUM(V110,X110,Z110,AC110,AK110,AS110)</f>
        <v>0</v>
      </c>
      <c r="BH110" s="959">
        <f t="shared" ref="BH110" si="138">SUM(W110,AG110,AX110)</f>
        <v>0</v>
      </c>
      <c r="BI110" s="959">
        <f t="shared" ref="BI110" si="139">SUM(Y110,AH110,AO110,AY110)</f>
        <v>0</v>
      </c>
      <c r="BJ110" s="959">
        <f t="shared" ref="BJ110" si="140">SUM(AA110,AP110,AZ110)</f>
        <v>0</v>
      </c>
      <c r="BK110" s="959">
        <f t="shared" ref="BK110" si="141">SUM(BH110:BJ110)</f>
        <v>0</v>
      </c>
      <c r="BL110" s="55" t="s">
        <v>1748</v>
      </c>
    </row>
    <row r="111" spans="1:64" s="400" customFormat="1" ht="17.100000000000001" customHeight="1">
      <c r="A111" s="761" t="s">
        <v>1493</v>
      </c>
      <c r="B111" s="55" t="s">
        <v>7</v>
      </c>
      <c r="C111" s="53" t="s">
        <v>7</v>
      </c>
      <c r="D111" s="53" t="s">
        <v>1571</v>
      </c>
      <c r="E111" s="55" t="s">
        <v>4</v>
      </c>
      <c r="F111" s="53" t="s">
        <v>1501</v>
      </c>
      <c r="G111" s="71">
        <v>31482</v>
      </c>
      <c r="H111" s="50" t="s">
        <v>809</v>
      </c>
      <c r="I111" s="760">
        <v>18359</v>
      </c>
      <c r="J111" s="52">
        <v>21438</v>
      </c>
      <c r="K111" s="55" t="s">
        <v>1502</v>
      </c>
      <c r="L111" s="56" t="s">
        <v>737</v>
      </c>
      <c r="M111" s="1227">
        <v>1</v>
      </c>
      <c r="N111" s="1228">
        <v>0</v>
      </c>
      <c r="O111" s="1229">
        <v>19</v>
      </c>
      <c r="P111" s="67"/>
      <c r="Q111" s="68"/>
      <c r="R111" s="68"/>
      <c r="S111" s="68"/>
      <c r="T111" s="68"/>
      <c r="U111" s="69"/>
      <c r="V111" s="67"/>
      <c r="W111" s="68"/>
      <c r="X111" s="68"/>
      <c r="Y111" s="68"/>
      <c r="Z111" s="68"/>
      <c r="AA111" s="69"/>
      <c r="AB111" s="70"/>
      <c r="AC111" s="68"/>
      <c r="AD111" s="68"/>
      <c r="AE111" s="68"/>
      <c r="AF111" s="68" t="s">
        <v>2668</v>
      </c>
      <c r="AG111" s="68"/>
      <c r="AH111" s="68"/>
      <c r="AI111" s="69" t="s">
        <v>2668</v>
      </c>
      <c r="AJ111" s="70">
        <v>1</v>
      </c>
      <c r="AK111" s="68"/>
      <c r="AL111" s="68">
        <v>2</v>
      </c>
      <c r="AM111" s="68">
        <v>4</v>
      </c>
      <c r="AN111" s="68">
        <v>6</v>
      </c>
      <c r="AO111" s="68"/>
      <c r="AP111" s="68"/>
      <c r="AQ111" s="69" t="s">
        <v>2668</v>
      </c>
      <c r="AR111" s="972"/>
      <c r="AS111" s="973"/>
      <c r="AT111" s="68"/>
      <c r="AU111" s="68"/>
      <c r="AV111" s="68"/>
      <c r="AW111" s="973" t="s">
        <v>2668</v>
      </c>
      <c r="AX111" s="973"/>
      <c r="AY111" s="973"/>
      <c r="AZ111" s="973"/>
      <c r="BA111" s="974" t="s">
        <v>2668</v>
      </c>
      <c r="BB111" s="975">
        <v>1</v>
      </c>
      <c r="BC111" s="959" t="s">
        <v>2668</v>
      </c>
      <c r="BD111" s="959">
        <v>2</v>
      </c>
      <c r="BE111" s="959">
        <v>4</v>
      </c>
      <c r="BF111" s="959">
        <v>6</v>
      </c>
      <c r="BG111" s="959" t="s">
        <v>2668</v>
      </c>
      <c r="BH111" s="959" t="s">
        <v>2668</v>
      </c>
      <c r="BI111" s="959" t="s">
        <v>2668</v>
      </c>
      <c r="BJ111" s="959" t="s">
        <v>2668</v>
      </c>
      <c r="BK111" s="959" t="s">
        <v>2668</v>
      </c>
      <c r="BL111" s="55"/>
    </row>
    <row r="112" spans="1:64" s="400" customFormat="1" ht="17.100000000000001" customHeight="1">
      <c r="A112" s="761" t="s">
        <v>1493</v>
      </c>
      <c r="B112" s="55" t="s">
        <v>7</v>
      </c>
      <c r="C112" s="53" t="s">
        <v>7</v>
      </c>
      <c r="D112" s="53" t="s">
        <v>1571</v>
      </c>
      <c r="E112" s="55" t="s">
        <v>4</v>
      </c>
      <c r="F112" s="53" t="s">
        <v>1503</v>
      </c>
      <c r="G112" s="71">
        <v>36951</v>
      </c>
      <c r="H112" s="50" t="s">
        <v>3393</v>
      </c>
      <c r="I112" s="760">
        <v>12185</v>
      </c>
      <c r="J112" s="52">
        <v>21434</v>
      </c>
      <c r="K112" s="55" t="s">
        <v>3394</v>
      </c>
      <c r="L112" s="56" t="s">
        <v>747</v>
      </c>
      <c r="M112" s="64">
        <v>2</v>
      </c>
      <c r="N112" s="65">
        <v>0</v>
      </c>
      <c r="O112" s="66">
        <v>36</v>
      </c>
      <c r="P112" s="67"/>
      <c r="Q112" s="68"/>
      <c r="R112" s="68"/>
      <c r="S112" s="68"/>
      <c r="T112" s="68">
        <v>1</v>
      </c>
      <c r="U112" s="69">
        <v>3</v>
      </c>
      <c r="V112" s="67"/>
      <c r="W112" s="68"/>
      <c r="X112" s="68"/>
      <c r="Y112" s="68"/>
      <c r="Z112" s="68"/>
      <c r="AA112" s="69"/>
      <c r="AB112" s="70"/>
      <c r="AC112" s="68"/>
      <c r="AD112" s="68"/>
      <c r="AE112" s="68"/>
      <c r="AF112" s="68">
        <v>0</v>
      </c>
      <c r="AG112" s="68"/>
      <c r="AH112" s="68"/>
      <c r="AI112" s="69">
        <v>0</v>
      </c>
      <c r="AJ112" s="70"/>
      <c r="AK112" s="68"/>
      <c r="AL112" s="68"/>
      <c r="AM112" s="68"/>
      <c r="AN112" s="68">
        <v>0</v>
      </c>
      <c r="AO112" s="68"/>
      <c r="AP112" s="68"/>
      <c r="AQ112" s="69">
        <v>0</v>
      </c>
      <c r="AR112" s="972"/>
      <c r="AS112" s="973"/>
      <c r="AT112" s="68"/>
      <c r="AU112" s="68"/>
      <c r="AV112" s="68"/>
      <c r="AW112" s="973">
        <v>0</v>
      </c>
      <c r="AX112" s="973"/>
      <c r="AY112" s="973"/>
      <c r="AZ112" s="973"/>
      <c r="BA112" s="974">
        <v>0</v>
      </c>
      <c r="BB112" s="976">
        <v>1</v>
      </c>
      <c r="BC112" s="959">
        <v>0</v>
      </c>
      <c r="BD112" s="959">
        <v>0</v>
      </c>
      <c r="BE112" s="959">
        <v>3</v>
      </c>
      <c r="BF112" s="959">
        <v>3</v>
      </c>
      <c r="BG112" s="959">
        <v>0</v>
      </c>
      <c r="BH112" s="959">
        <v>0</v>
      </c>
      <c r="BI112" s="959">
        <v>0</v>
      </c>
      <c r="BJ112" s="959">
        <v>0</v>
      </c>
      <c r="BK112" s="959">
        <v>0</v>
      </c>
      <c r="BL112" s="55"/>
    </row>
    <row r="113" spans="1:64" s="400" customFormat="1" ht="17.100000000000001" customHeight="1">
      <c r="A113" s="761" t="s">
        <v>2625</v>
      </c>
      <c r="B113" s="55" t="s">
        <v>7</v>
      </c>
      <c r="C113" s="53" t="s">
        <v>7</v>
      </c>
      <c r="D113" s="53" t="s">
        <v>3395</v>
      </c>
      <c r="E113" s="55" t="s">
        <v>4</v>
      </c>
      <c r="F113" s="726" t="s">
        <v>3396</v>
      </c>
      <c r="G113" s="71">
        <v>45352</v>
      </c>
      <c r="H113" s="50" t="s">
        <v>1781</v>
      </c>
      <c r="I113" s="760">
        <v>17080</v>
      </c>
      <c r="J113" s="52">
        <v>21303</v>
      </c>
      <c r="K113" s="55" t="s">
        <v>1758</v>
      </c>
      <c r="L113" s="56" t="s">
        <v>1759</v>
      </c>
      <c r="M113" s="64">
        <v>4</v>
      </c>
      <c r="N113" s="65">
        <v>1</v>
      </c>
      <c r="O113" s="66">
        <v>67</v>
      </c>
      <c r="P113" s="67">
        <v>1</v>
      </c>
      <c r="Q113" s="68">
        <v>10</v>
      </c>
      <c r="R113" s="68">
        <v>2</v>
      </c>
      <c r="S113" s="68">
        <v>30</v>
      </c>
      <c r="T113" s="68">
        <v>1</v>
      </c>
      <c r="U113" s="69">
        <v>17</v>
      </c>
      <c r="V113" s="67">
        <v>0</v>
      </c>
      <c r="W113" s="68">
        <v>0</v>
      </c>
      <c r="X113" s="68">
        <v>0</v>
      </c>
      <c r="Y113" s="68">
        <v>0</v>
      </c>
      <c r="Z113" s="68">
        <v>0</v>
      </c>
      <c r="AA113" s="69">
        <v>0</v>
      </c>
      <c r="AB113" s="70">
        <v>0</v>
      </c>
      <c r="AC113" s="68">
        <v>0</v>
      </c>
      <c r="AD113" s="68">
        <v>0</v>
      </c>
      <c r="AE113" s="68">
        <v>0</v>
      </c>
      <c r="AF113" s="68">
        <v>0</v>
      </c>
      <c r="AG113" s="68">
        <v>0</v>
      </c>
      <c r="AH113" s="68">
        <v>0</v>
      </c>
      <c r="AI113" s="69">
        <v>0</v>
      </c>
      <c r="AJ113" s="70">
        <v>0</v>
      </c>
      <c r="AK113" s="68">
        <v>0</v>
      </c>
      <c r="AL113" s="68">
        <v>0</v>
      </c>
      <c r="AM113" s="68">
        <v>0</v>
      </c>
      <c r="AN113" s="68">
        <v>0</v>
      </c>
      <c r="AO113" s="68">
        <v>0</v>
      </c>
      <c r="AP113" s="68">
        <v>0</v>
      </c>
      <c r="AQ113" s="69">
        <v>0</v>
      </c>
      <c r="AR113" s="972">
        <v>0</v>
      </c>
      <c r="AS113" s="973">
        <v>1</v>
      </c>
      <c r="AT113" s="68">
        <v>0</v>
      </c>
      <c r="AU113" s="68">
        <v>0</v>
      </c>
      <c r="AV113" s="68">
        <v>0</v>
      </c>
      <c r="AW113" s="973">
        <v>0</v>
      </c>
      <c r="AX113" s="973">
        <v>2</v>
      </c>
      <c r="AY113" s="973">
        <v>1</v>
      </c>
      <c r="AZ113" s="973">
        <v>1</v>
      </c>
      <c r="BA113" s="974">
        <v>4</v>
      </c>
      <c r="BB113" s="975">
        <v>4</v>
      </c>
      <c r="BC113" s="959">
        <v>10</v>
      </c>
      <c r="BD113" s="959">
        <v>30</v>
      </c>
      <c r="BE113" s="959">
        <v>17</v>
      </c>
      <c r="BF113" s="959">
        <v>57</v>
      </c>
      <c r="BG113" s="959">
        <v>1</v>
      </c>
      <c r="BH113" s="959">
        <v>2</v>
      </c>
      <c r="BI113" s="959">
        <v>1</v>
      </c>
      <c r="BJ113" s="959">
        <v>1</v>
      </c>
      <c r="BK113" s="959">
        <v>4</v>
      </c>
      <c r="BL113" s="55"/>
    </row>
    <row r="114" spans="1:64" s="400" customFormat="1" ht="17.100000000000001" customHeight="1">
      <c r="A114" s="761" t="s">
        <v>1493</v>
      </c>
      <c r="B114" s="55" t="s">
        <v>7</v>
      </c>
      <c r="C114" s="53" t="s">
        <v>7</v>
      </c>
      <c r="D114" s="53" t="s">
        <v>3397</v>
      </c>
      <c r="E114" s="55" t="s">
        <v>4</v>
      </c>
      <c r="F114" s="53" t="s">
        <v>1504</v>
      </c>
      <c r="G114" s="71">
        <v>36586</v>
      </c>
      <c r="H114" s="50" t="s">
        <v>1828</v>
      </c>
      <c r="I114" s="760">
        <v>1754</v>
      </c>
      <c r="J114" s="52">
        <v>21312</v>
      </c>
      <c r="K114" s="55" t="s">
        <v>3398</v>
      </c>
      <c r="L114" s="56" t="s">
        <v>1505</v>
      </c>
      <c r="M114" s="64">
        <v>2</v>
      </c>
      <c r="N114" s="65">
        <v>0</v>
      </c>
      <c r="O114" s="66">
        <v>36</v>
      </c>
      <c r="P114" s="67">
        <v>0</v>
      </c>
      <c r="Q114" s="68">
        <v>0</v>
      </c>
      <c r="R114" s="68">
        <v>1</v>
      </c>
      <c r="S114" s="68">
        <v>12</v>
      </c>
      <c r="T114" s="68">
        <v>1</v>
      </c>
      <c r="U114" s="69">
        <v>12</v>
      </c>
      <c r="V114" s="67">
        <v>0</v>
      </c>
      <c r="W114" s="68">
        <v>0</v>
      </c>
      <c r="X114" s="68">
        <v>0</v>
      </c>
      <c r="Y114" s="68">
        <v>0</v>
      </c>
      <c r="Z114" s="68">
        <v>0</v>
      </c>
      <c r="AA114" s="69">
        <v>0</v>
      </c>
      <c r="AB114" s="70">
        <v>0</v>
      </c>
      <c r="AC114" s="68">
        <v>0</v>
      </c>
      <c r="AD114" s="68">
        <v>0</v>
      </c>
      <c r="AE114" s="68">
        <v>0</v>
      </c>
      <c r="AF114" s="68">
        <v>0</v>
      </c>
      <c r="AG114" s="68">
        <v>0</v>
      </c>
      <c r="AH114" s="68">
        <v>0</v>
      </c>
      <c r="AI114" s="69">
        <v>0</v>
      </c>
      <c r="AJ114" s="70">
        <v>0</v>
      </c>
      <c r="AK114" s="68">
        <v>0</v>
      </c>
      <c r="AL114" s="68">
        <v>0</v>
      </c>
      <c r="AM114" s="68">
        <v>0</v>
      </c>
      <c r="AN114" s="68">
        <v>0</v>
      </c>
      <c r="AO114" s="68">
        <v>0</v>
      </c>
      <c r="AP114" s="68">
        <v>0</v>
      </c>
      <c r="AQ114" s="69">
        <v>0</v>
      </c>
      <c r="AR114" s="972">
        <v>0</v>
      </c>
      <c r="AS114" s="973">
        <v>0</v>
      </c>
      <c r="AT114" s="68">
        <v>0</v>
      </c>
      <c r="AU114" s="68">
        <v>0</v>
      </c>
      <c r="AV114" s="68">
        <v>0</v>
      </c>
      <c r="AW114" s="973">
        <v>0</v>
      </c>
      <c r="AX114" s="973">
        <v>0</v>
      </c>
      <c r="AY114" s="973">
        <v>0</v>
      </c>
      <c r="AZ114" s="973">
        <v>0</v>
      </c>
      <c r="BA114" s="974">
        <v>0</v>
      </c>
      <c r="BB114" s="975">
        <v>2</v>
      </c>
      <c r="BC114" s="959">
        <v>0</v>
      </c>
      <c r="BD114" s="959">
        <v>12</v>
      </c>
      <c r="BE114" s="959">
        <v>12</v>
      </c>
      <c r="BF114" s="959">
        <v>24</v>
      </c>
      <c r="BG114" s="959">
        <v>0</v>
      </c>
      <c r="BH114" s="959">
        <v>0</v>
      </c>
      <c r="BI114" s="959">
        <v>0</v>
      </c>
      <c r="BJ114" s="959">
        <v>0</v>
      </c>
      <c r="BK114" s="959">
        <v>0</v>
      </c>
      <c r="BL114" s="55"/>
    </row>
    <row r="115" spans="1:64" s="400" customFormat="1" ht="17.100000000000001" customHeight="1">
      <c r="A115" s="457" t="s">
        <v>2632</v>
      </c>
      <c r="B115" s="53" t="s">
        <v>7</v>
      </c>
      <c r="C115" s="53" t="s">
        <v>7</v>
      </c>
      <c r="D115" s="53" t="s">
        <v>3399</v>
      </c>
      <c r="E115" s="53" t="s">
        <v>2424</v>
      </c>
      <c r="F115" s="53" t="s">
        <v>3400</v>
      </c>
      <c r="G115" s="71">
        <v>31472</v>
      </c>
      <c r="H115" s="50" t="s">
        <v>2365</v>
      </c>
      <c r="I115" s="51">
        <v>11623</v>
      </c>
      <c r="J115" s="52">
        <v>21317</v>
      </c>
      <c r="K115" s="53" t="s">
        <v>3401</v>
      </c>
      <c r="L115" s="54" t="s">
        <v>3402</v>
      </c>
      <c r="M115" s="1225">
        <v>2</v>
      </c>
      <c r="N115" s="1226">
        <v>1</v>
      </c>
      <c r="O115" s="1232">
        <v>36</v>
      </c>
      <c r="P115" s="60"/>
      <c r="Q115" s="61"/>
      <c r="R115" s="61"/>
      <c r="S115" s="61"/>
      <c r="T115" s="61"/>
      <c r="U115" s="62"/>
      <c r="V115" s="60"/>
      <c r="W115" s="61"/>
      <c r="X115" s="61"/>
      <c r="Y115" s="61"/>
      <c r="Z115" s="61"/>
      <c r="AA115" s="62"/>
      <c r="AB115" s="63"/>
      <c r="AC115" s="61"/>
      <c r="AD115" s="61"/>
      <c r="AE115" s="61"/>
      <c r="AF115" s="61">
        <f>SUM(AD115:AE115)</f>
        <v>0</v>
      </c>
      <c r="AG115" s="61"/>
      <c r="AH115" s="61"/>
      <c r="AI115" s="62">
        <f>SUM(AG115:AH115)</f>
        <v>0</v>
      </c>
      <c r="AJ115" s="63"/>
      <c r="AK115" s="61"/>
      <c r="AL115" s="61"/>
      <c r="AM115" s="61"/>
      <c r="AN115" s="61">
        <f>SUM(AL115:AM115)</f>
        <v>0</v>
      </c>
      <c r="AO115" s="61"/>
      <c r="AP115" s="61"/>
      <c r="AQ115" s="62">
        <f>SUM(AO115:AP115)</f>
        <v>0</v>
      </c>
      <c r="AR115" s="955">
        <v>1</v>
      </c>
      <c r="AS115" s="956">
        <v>1</v>
      </c>
      <c r="AT115" s="61">
        <v>2</v>
      </c>
      <c r="AU115" s="61"/>
      <c r="AV115" s="61">
        <v>3</v>
      </c>
      <c r="AW115" s="956">
        <f>SUM(AT115:AV115)</f>
        <v>5</v>
      </c>
      <c r="AX115" s="956"/>
      <c r="AY115" s="956">
        <v>1</v>
      </c>
      <c r="AZ115" s="956">
        <v>3</v>
      </c>
      <c r="BA115" s="957">
        <f>SUM(AX115:AZ115)</f>
        <v>4</v>
      </c>
      <c r="BB115" s="958">
        <f>SUM(P115,R115,T115,AB115,AJ115,AR115)</f>
        <v>1</v>
      </c>
      <c r="BC115" s="959">
        <f>SUM(Q115,AD115,AT115)</f>
        <v>2</v>
      </c>
      <c r="BD115" s="959">
        <f>SUM(S115,AE115,AL115,AU115)</f>
        <v>0</v>
      </c>
      <c r="BE115" s="959">
        <f>SUM(U115,AM115,AV115)</f>
        <v>3</v>
      </c>
      <c r="BF115" s="959">
        <f>SUM(BC115:BE115)</f>
        <v>5</v>
      </c>
      <c r="BG115" s="959">
        <f>SUM(V115,X115,Z115,AC115,AK115,AS115)</f>
        <v>1</v>
      </c>
      <c r="BH115" s="959">
        <f>SUM(W115,AG115,AX115)</f>
        <v>0</v>
      </c>
      <c r="BI115" s="959">
        <f>SUM(Y115,AH115,AO115,AY115)</f>
        <v>1</v>
      </c>
      <c r="BJ115" s="959">
        <f>SUM(AA115,AP115,AZ115)</f>
        <v>3</v>
      </c>
      <c r="BK115" s="959">
        <f>SUM(BH115:BJ115)</f>
        <v>4</v>
      </c>
      <c r="BL115" s="53"/>
    </row>
    <row r="116" spans="1:64" s="400" customFormat="1" ht="17.100000000000001" customHeight="1">
      <c r="A116" s="761" t="s">
        <v>1506</v>
      </c>
      <c r="B116" s="55" t="s">
        <v>7</v>
      </c>
      <c r="C116" s="53" t="s">
        <v>7</v>
      </c>
      <c r="D116" s="53" t="s">
        <v>1572</v>
      </c>
      <c r="E116" s="55" t="s">
        <v>4</v>
      </c>
      <c r="F116" s="53" t="s">
        <v>1507</v>
      </c>
      <c r="G116" s="71">
        <v>36951</v>
      </c>
      <c r="H116" s="50" t="s">
        <v>3403</v>
      </c>
      <c r="I116" s="760">
        <v>13060</v>
      </c>
      <c r="J116" s="52">
        <v>21335</v>
      </c>
      <c r="K116" s="55" t="s">
        <v>1508</v>
      </c>
      <c r="L116" s="56" t="s">
        <v>726</v>
      </c>
      <c r="M116" s="64">
        <v>2</v>
      </c>
      <c r="N116" s="65">
        <v>0</v>
      </c>
      <c r="O116" s="66">
        <v>36</v>
      </c>
      <c r="P116" s="67">
        <v>0</v>
      </c>
      <c r="Q116" s="68">
        <v>0</v>
      </c>
      <c r="R116" s="68">
        <v>0</v>
      </c>
      <c r="S116" s="68">
        <v>0</v>
      </c>
      <c r="T116" s="68">
        <v>0</v>
      </c>
      <c r="U116" s="69">
        <v>0</v>
      </c>
      <c r="V116" s="67">
        <v>0</v>
      </c>
      <c r="W116" s="68">
        <v>0</v>
      </c>
      <c r="X116" s="68">
        <v>0</v>
      </c>
      <c r="Y116" s="68">
        <v>0</v>
      </c>
      <c r="Z116" s="68">
        <v>0</v>
      </c>
      <c r="AA116" s="69">
        <v>0</v>
      </c>
      <c r="AB116" s="70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9">
        <v>0</v>
      </c>
      <c r="AJ116" s="70">
        <v>0</v>
      </c>
      <c r="AK116" s="68">
        <v>0</v>
      </c>
      <c r="AL116" s="68">
        <v>0</v>
      </c>
      <c r="AM116" s="68">
        <v>0</v>
      </c>
      <c r="AN116" s="68">
        <v>0</v>
      </c>
      <c r="AO116" s="68">
        <v>0</v>
      </c>
      <c r="AP116" s="68">
        <v>0</v>
      </c>
      <c r="AQ116" s="69">
        <v>0</v>
      </c>
      <c r="AR116" s="972">
        <v>1</v>
      </c>
      <c r="AS116" s="973">
        <v>0</v>
      </c>
      <c r="AT116" s="68">
        <v>2</v>
      </c>
      <c r="AU116" s="68">
        <v>1</v>
      </c>
      <c r="AV116" s="68">
        <v>3</v>
      </c>
      <c r="AW116" s="973">
        <v>6</v>
      </c>
      <c r="AX116" s="973">
        <v>0</v>
      </c>
      <c r="AY116" s="973">
        <v>0</v>
      </c>
      <c r="AZ116" s="973">
        <v>0</v>
      </c>
      <c r="BA116" s="974">
        <v>0</v>
      </c>
      <c r="BB116" s="975">
        <v>1</v>
      </c>
      <c r="BC116" s="959">
        <v>2</v>
      </c>
      <c r="BD116" s="959">
        <v>1</v>
      </c>
      <c r="BE116" s="959">
        <v>3</v>
      </c>
      <c r="BF116" s="959">
        <v>6</v>
      </c>
      <c r="BG116" s="959">
        <v>0</v>
      </c>
      <c r="BH116" s="959">
        <v>0</v>
      </c>
      <c r="BI116" s="959">
        <v>0</v>
      </c>
      <c r="BJ116" s="959">
        <v>0</v>
      </c>
      <c r="BK116" s="959">
        <v>0</v>
      </c>
      <c r="BL116" s="55"/>
    </row>
    <row r="117" spans="1:64" s="400" customFormat="1" ht="17.100000000000001" customHeight="1">
      <c r="A117" s="761" t="s">
        <v>1506</v>
      </c>
      <c r="B117" s="55" t="s">
        <v>7</v>
      </c>
      <c r="C117" s="53" t="s">
        <v>7</v>
      </c>
      <c r="D117" s="53" t="s">
        <v>3404</v>
      </c>
      <c r="E117" s="55" t="s">
        <v>4</v>
      </c>
      <c r="F117" s="53" t="s">
        <v>1760</v>
      </c>
      <c r="G117" s="71">
        <v>36229</v>
      </c>
      <c r="H117" s="50" t="s">
        <v>1830</v>
      </c>
      <c r="I117" s="760">
        <v>9534</v>
      </c>
      <c r="J117" s="52">
        <v>21420</v>
      </c>
      <c r="K117" s="55" t="s">
        <v>1513</v>
      </c>
      <c r="L117" s="56" t="s">
        <v>751</v>
      </c>
      <c r="M117" s="1227">
        <v>1</v>
      </c>
      <c r="N117" s="1228">
        <v>0</v>
      </c>
      <c r="O117" s="1229">
        <v>19</v>
      </c>
      <c r="P117" s="67"/>
      <c r="Q117" s="68"/>
      <c r="R117" s="68"/>
      <c r="S117" s="68"/>
      <c r="T117" s="68"/>
      <c r="U117" s="69"/>
      <c r="V117" s="67"/>
      <c r="W117" s="68"/>
      <c r="X117" s="68"/>
      <c r="Y117" s="68"/>
      <c r="Z117" s="68"/>
      <c r="AA117" s="69"/>
      <c r="AB117" s="70"/>
      <c r="AC117" s="68"/>
      <c r="AD117" s="68"/>
      <c r="AE117" s="68"/>
      <c r="AF117" s="68" t="s">
        <v>2668</v>
      </c>
      <c r="AG117" s="68"/>
      <c r="AH117" s="68"/>
      <c r="AI117" s="69" t="s">
        <v>2668</v>
      </c>
      <c r="AJ117" s="70">
        <v>1</v>
      </c>
      <c r="AK117" s="68"/>
      <c r="AL117" s="68">
        <v>2</v>
      </c>
      <c r="AM117" s="68">
        <v>7</v>
      </c>
      <c r="AN117" s="68">
        <v>9</v>
      </c>
      <c r="AO117" s="68"/>
      <c r="AP117" s="68"/>
      <c r="AQ117" s="69" t="s">
        <v>2668</v>
      </c>
      <c r="AR117" s="972"/>
      <c r="AS117" s="973"/>
      <c r="AT117" s="68"/>
      <c r="AU117" s="68"/>
      <c r="AV117" s="68"/>
      <c r="AW117" s="973" t="s">
        <v>2668</v>
      </c>
      <c r="AX117" s="973"/>
      <c r="AY117" s="973"/>
      <c r="AZ117" s="973"/>
      <c r="BA117" s="974" t="s">
        <v>2668</v>
      </c>
      <c r="BB117" s="975">
        <v>1</v>
      </c>
      <c r="BC117" s="959" t="s">
        <v>2668</v>
      </c>
      <c r="BD117" s="959">
        <v>2</v>
      </c>
      <c r="BE117" s="959">
        <v>7</v>
      </c>
      <c r="BF117" s="959">
        <v>9</v>
      </c>
      <c r="BG117" s="959" t="s">
        <v>2668</v>
      </c>
      <c r="BH117" s="959" t="s">
        <v>2668</v>
      </c>
      <c r="BI117" s="959" t="s">
        <v>2668</v>
      </c>
      <c r="BJ117" s="959" t="s">
        <v>2668</v>
      </c>
      <c r="BK117" s="959" t="s">
        <v>2668</v>
      </c>
      <c r="BL117" s="55"/>
    </row>
    <row r="118" spans="1:64" s="400" customFormat="1" ht="17.100000000000001" customHeight="1">
      <c r="A118" s="457" t="s">
        <v>2632</v>
      </c>
      <c r="B118" s="53" t="s">
        <v>7</v>
      </c>
      <c r="C118" s="53" t="s">
        <v>7</v>
      </c>
      <c r="D118" s="53" t="s">
        <v>2633</v>
      </c>
      <c r="E118" s="53" t="s">
        <v>2424</v>
      </c>
      <c r="F118" s="53" t="s">
        <v>3405</v>
      </c>
      <c r="G118" s="71" t="s">
        <v>3406</v>
      </c>
      <c r="H118" s="50" t="s">
        <v>3407</v>
      </c>
      <c r="I118" s="51">
        <v>8032</v>
      </c>
      <c r="J118" s="52">
        <v>21401</v>
      </c>
      <c r="K118" s="53" t="s">
        <v>3408</v>
      </c>
      <c r="L118" s="54" t="s">
        <v>2364</v>
      </c>
      <c r="M118" s="1225">
        <v>1</v>
      </c>
      <c r="N118" s="1226">
        <v>0</v>
      </c>
      <c r="O118" s="1232">
        <v>19</v>
      </c>
      <c r="P118" s="60"/>
      <c r="Q118" s="61"/>
      <c r="R118" s="61"/>
      <c r="S118" s="61"/>
      <c r="T118" s="61"/>
      <c r="U118" s="62"/>
      <c r="V118" s="60"/>
      <c r="W118" s="61"/>
      <c r="X118" s="61"/>
      <c r="Y118" s="61"/>
      <c r="Z118" s="61"/>
      <c r="AA118" s="62"/>
      <c r="AB118" s="63"/>
      <c r="AC118" s="61"/>
      <c r="AD118" s="61"/>
      <c r="AE118" s="61"/>
      <c r="AF118" s="61">
        <f>SUM(AD118:AE118)</f>
        <v>0</v>
      </c>
      <c r="AG118" s="61"/>
      <c r="AH118" s="61"/>
      <c r="AI118" s="62">
        <f>SUM(AG118:AH118)</f>
        <v>0</v>
      </c>
      <c r="AJ118" s="63">
        <v>1</v>
      </c>
      <c r="AK118" s="61"/>
      <c r="AL118" s="61">
        <v>3</v>
      </c>
      <c r="AM118" s="61">
        <v>11</v>
      </c>
      <c r="AN118" s="61">
        <f>SUM(AL118:AM118)</f>
        <v>14</v>
      </c>
      <c r="AO118" s="61"/>
      <c r="AP118" s="61"/>
      <c r="AQ118" s="62">
        <f>SUM(AO118:AP118)</f>
        <v>0</v>
      </c>
      <c r="AR118" s="955"/>
      <c r="AS118" s="956"/>
      <c r="AT118" s="61"/>
      <c r="AU118" s="61"/>
      <c r="AV118" s="61"/>
      <c r="AW118" s="956">
        <f>SUM(AT118:AV118)</f>
        <v>0</v>
      </c>
      <c r="AX118" s="956"/>
      <c r="AY118" s="956"/>
      <c r="AZ118" s="956"/>
      <c r="BA118" s="957">
        <f>SUM(AX118:AZ118)</f>
        <v>0</v>
      </c>
      <c r="BB118" s="958">
        <f>SUM(P118,R118,T118,AB118,AJ118,AR118)</f>
        <v>1</v>
      </c>
      <c r="BC118" s="959">
        <f>SUM(Q118,AD118,AT118)</f>
        <v>0</v>
      </c>
      <c r="BD118" s="959">
        <f>SUM(S118,AE118,AL118,AU118)</f>
        <v>3</v>
      </c>
      <c r="BE118" s="959">
        <f>SUM(U118,AM118,AV118)</f>
        <v>11</v>
      </c>
      <c r="BF118" s="959">
        <f>SUM(BC118:BE118)</f>
        <v>14</v>
      </c>
      <c r="BG118" s="959">
        <f>SUM(V118,X118,Z118,AC118,AK118,AS118)</f>
        <v>0</v>
      </c>
      <c r="BH118" s="959">
        <f>SUM(W118,AG118,AX118)</f>
        <v>0</v>
      </c>
      <c r="BI118" s="959">
        <f>SUM(Y118,AH118,AO118,AY118)</f>
        <v>0</v>
      </c>
      <c r="BJ118" s="959">
        <f>SUM(AA118,AP118,AZ118)</f>
        <v>0</v>
      </c>
      <c r="BK118" s="959">
        <f>SUM(BH118:BJ118)</f>
        <v>0</v>
      </c>
      <c r="BL118" s="53"/>
    </row>
    <row r="119" spans="1:64" s="400" customFormat="1" ht="17.100000000000001" customHeight="1">
      <c r="A119" s="761" t="s">
        <v>1506</v>
      </c>
      <c r="B119" s="55" t="s">
        <v>7</v>
      </c>
      <c r="C119" s="53" t="s">
        <v>7</v>
      </c>
      <c r="D119" s="53" t="s">
        <v>2635</v>
      </c>
      <c r="E119" s="55" t="s">
        <v>4</v>
      </c>
      <c r="F119" s="53" t="s">
        <v>1514</v>
      </c>
      <c r="G119" s="71">
        <v>35855</v>
      </c>
      <c r="H119" s="50" t="s">
        <v>3409</v>
      </c>
      <c r="I119" s="760">
        <v>13293</v>
      </c>
      <c r="J119" s="52">
        <v>21349</v>
      </c>
      <c r="K119" s="55" t="s">
        <v>1515</v>
      </c>
      <c r="L119" s="56" t="s">
        <v>1516</v>
      </c>
      <c r="M119" s="1227">
        <v>1</v>
      </c>
      <c r="N119" s="1228">
        <v>0</v>
      </c>
      <c r="O119" s="1229">
        <v>19</v>
      </c>
      <c r="P119" s="67"/>
      <c r="Q119" s="68"/>
      <c r="R119" s="68"/>
      <c r="S119" s="68"/>
      <c r="T119" s="68"/>
      <c r="U119" s="69"/>
      <c r="V119" s="67"/>
      <c r="W119" s="68"/>
      <c r="X119" s="68"/>
      <c r="Y119" s="68"/>
      <c r="Z119" s="68"/>
      <c r="AA119" s="69"/>
      <c r="AB119" s="70"/>
      <c r="AC119" s="68"/>
      <c r="AD119" s="68"/>
      <c r="AE119" s="68"/>
      <c r="AF119" s="68">
        <v>0</v>
      </c>
      <c r="AG119" s="68"/>
      <c r="AH119" s="68"/>
      <c r="AI119" s="69">
        <v>0</v>
      </c>
      <c r="AJ119" s="70"/>
      <c r="AK119" s="68"/>
      <c r="AL119" s="68"/>
      <c r="AM119" s="68"/>
      <c r="AN119" s="68">
        <v>0</v>
      </c>
      <c r="AO119" s="68"/>
      <c r="AP119" s="68"/>
      <c r="AQ119" s="69">
        <v>0</v>
      </c>
      <c r="AR119" s="972">
        <v>1</v>
      </c>
      <c r="AS119" s="973"/>
      <c r="AT119" s="68">
        <v>5</v>
      </c>
      <c r="AU119" s="68"/>
      <c r="AV119" s="68">
        <v>4</v>
      </c>
      <c r="AW119" s="973">
        <v>9</v>
      </c>
      <c r="AX119" s="973"/>
      <c r="AY119" s="973"/>
      <c r="AZ119" s="973"/>
      <c r="BA119" s="974">
        <v>0</v>
      </c>
      <c r="BB119" s="975">
        <v>1</v>
      </c>
      <c r="BC119" s="959">
        <v>5</v>
      </c>
      <c r="BD119" s="959">
        <v>0</v>
      </c>
      <c r="BE119" s="959">
        <v>4</v>
      </c>
      <c r="BF119" s="959">
        <v>9</v>
      </c>
      <c r="BG119" s="959">
        <v>0</v>
      </c>
      <c r="BH119" s="959">
        <v>0</v>
      </c>
      <c r="BI119" s="959">
        <v>0</v>
      </c>
      <c r="BJ119" s="959">
        <v>0</v>
      </c>
      <c r="BK119" s="959">
        <v>0</v>
      </c>
      <c r="BL119" s="55"/>
    </row>
    <row r="120" spans="1:64" s="400" customFormat="1" ht="17.100000000000001" customHeight="1">
      <c r="A120" s="761" t="s">
        <v>1506</v>
      </c>
      <c r="B120" s="55" t="s">
        <v>7</v>
      </c>
      <c r="C120" s="53" t="s">
        <v>7</v>
      </c>
      <c r="D120" s="53" t="s">
        <v>2635</v>
      </c>
      <c r="E120" s="55" t="s">
        <v>4</v>
      </c>
      <c r="F120" s="53" t="s">
        <v>1517</v>
      </c>
      <c r="G120" s="71">
        <v>36220</v>
      </c>
      <c r="H120" s="50" t="s">
        <v>766</v>
      </c>
      <c r="I120" s="760">
        <v>9400</v>
      </c>
      <c r="J120" s="52">
        <v>21347</v>
      </c>
      <c r="K120" s="55" t="s">
        <v>3410</v>
      </c>
      <c r="L120" s="56" t="s">
        <v>3411</v>
      </c>
      <c r="M120" s="64">
        <v>3</v>
      </c>
      <c r="N120" s="65">
        <v>1</v>
      </c>
      <c r="O120" s="66">
        <v>48</v>
      </c>
      <c r="P120" s="67">
        <v>1</v>
      </c>
      <c r="Q120" s="68">
        <v>12</v>
      </c>
      <c r="R120" s="68">
        <v>1</v>
      </c>
      <c r="S120" s="68">
        <v>12</v>
      </c>
      <c r="T120" s="68">
        <v>1</v>
      </c>
      <c r="U120" s="69">
        <v>11</v>
      </c>
      <c r="V120" s="67"/>
      <c r="W120" s="68"/>
      <c r="X120" s="68"/>
      <c r="Y120" s="68"/>
      <c r="Z120" s="68"/>
      <c r="AA120" s="69"/>
      <c r="AB120" s="70"/>
      <c r="AC120" s="68"/>
      <c r="AD120" s="68"/>
      <c r="AE120" s="68"/>
      <c r="AF120" s="68">
        <v>0</v>
      </c>
      <c r="AG120" s="68"/>
      <c r="AH120" s="68"/>
      <c r="AI120" s="69">
        <v>0</v>
      </c>
      <c r="AJ120" s="70"/>
      <c r="AK120" s="68"/>
      <c r="AL120" s="68"/>
      <c r="AM120" s="68"/>
      <c r="AN120" s="68">
        <v>0</v>
      </c>
      <c r="AO120" s="68"/>
      <c r="AP120" s="68"/>
      <c r="AQ120" s="69">
        <v>0</v>
      </c>
      <c r="AR120" s="972"/>
      <c r="AS120" s="973">
        <v>1</v>
      </c>
      <c r="AT120" s="68"/>
      <c r="AU120" s="68"/>
      <c r="AV120" s="68"/>
      <c r="AW120" s="973">
        <v>0</v>
      </c>
      <c r="AX120" s="973"/>
      <c r="AY120" s="973"/>
      <c r="AZ120" s="973">
        <v>4</v>
      </c>
      <c r="BA120" s="974">
        <v>4</v>
      </c>
      <c r="BB120" s="975">
        <v>3</v>
      </c>
      <c r="BC120" s="959">
        <v>12</v>
      </c>
      <c r="BD120" s="959">
        <v>12</v>
      </c>
      <c r="BE120" s="959">
        <v>11</v>
      </c>
      <c r="BF120" s="959">
        <v>35</v>
      </c>
      <c r="BG120" s="959">
        <v>1</v>
      </c>
      <c r="BH120" s="959">
        <v>0</v>
      </c>
      <c r="BI120" s="959">
        <v>0</v>
      </c>
      <c r="BJ120" s="959">
        <v>4</v>
      </c>
      <c r="BK120" s="959">
        <v>4</v>
      </c>
      <c r="BL120" s="55"/>
    </row>
    <row r="121" spans="1:64" s="400" customFormat="1" ht="17.100000000000001" customHeight="1">
      <c r="A121" s="761" t="s">
        <v>1506</v>
      </c>
      <c r="B121" s="55" t="s">
        <v>7</v>
      </c>
      <c r="C121" s="53" t="s">
        <v>7</v>
      </c>
      <c r="D121" s="53" t="s">
        <v>3412</v>
      </c>
      <c r="E121" s="55" t="s">
        <v>4</v>
      </c>
      <c r="F121" s="53" t="s">
        <v>3413</v>
      </c>
      <c r="G121" s="71">
        <v>31837</v>
      </c>
      <c r="H121" s="50" t="s">
        <v>3414</v>
      </c>
      <c r="I121" s="760">
        <v>13825</v>
      </c>
      <c r="J121" s="52">
        <v>21408</v>
      </c>
      <c r="K121" s="55" t="s">
        <v>3415</v>
      </c>
      <c r="L121" s="56" t="s">
        <v>768</v>
      </c>
      <c r="M121" s="64">
        <v>2</v>
      </c>
      <c r="N121" s="65" t="s">
        <v>2668</v>
      </c>
      <c r="O121" s="66">
        <v>36</v>
      </c>
      <c r="P121" s="67" t="s">
        <v>2668</v>
      </c>
      <c r="Q121" s="68" t="s">
        <v>2668</v>
      </c>
      <c r="R121" s="68" t="s">
        <v>2668</v>
      </c>
      <c r="S121" s="68" t="s">
        <v>2668</v>
      </c>
      <c r="T121" s="68">
        <v>1</v>
      </c>
      <c r="U121" s="69">
        <v>8</v>
      </c>
      <c r="V121" s="67" t="s">
        <v>2668</v>
      </c>
      <c r="W121" s="68" t="s">
        <v>2668</v>
      </c>
      <c r="X121" s="68" t="s">
        <v>2668</v>
      </c>
      <c r="Y121" s="68" t="s">
        <v>2668</v>
      </c>
      <c r="Z121" s="68" t="s">
        <v>2668</v>
      </c>
      <c r="AA121" s="69" t="s">
        <v>2668</v>
      </c>
      <c r="AB121" s="70">
        <v>1</v>
      </c>
      <c r="AC121" s="68" t="s">
        <v>2668</v>
      </c>
      <c r="AD121" s="68">
        <v>1</v>
      </c>
      <c r="AE121" s="68">
        <v>4</v>
      </c>
      <c r="AF121" s="68">
        <v>5</v>
      </c>
      <c r="AG121" s="68" t="s">
        <v>2668</v>
      </c>
      <c r="AH121" s="68" t="s">
        <v>2668</v>
      </c>
      <c r="AI121" s="69" t="s">
        <v>2668</v>
      </c>
      <c r="AJ121" s="70"/>
      <c r="AK121" s="68"/>
      <c r="AL121" s="68"/>
      <c r="AM121" s="68"/>
      <c r="AN121" s="68" t="s">
        <v>2668</v>
      </c>
      <c r="AO121" s="68"/>
      <c r="AP121" s="68"/>
      <c r="AQ121" s="69" t="s">
        <v>2668</v>
      </c>
      <c r="AR121" s="972"/>
      <c r="AS121" s="973"/>
      <c r="AT121" s="68"/>
      <c r="AU121" s="68"/>
      <c r="AV121" s="68"/>
      <c r="AW121" s="973" t="s">
        <v>2668</v>
      </c>
      <c r="AX121" s="973"/>
      <c r="AY121" s="973"/>
      <c r="AZ121" s="973"/>
      <c r="BA121" s="974" t="s">
        <v>2668</v>
      </c>
      <c r="BB121" s="976">
        <v>2</v>
      </c>
      <c r="BC121" s="959">
        <v>1</v>
      </c>
      <c r="BD121" s="959">
        <v>4</v>
      </c>
      <c r="BE121" s="959">
        <v>8</v>
      </c>
      <c r="BF121" s="959">
        <v>13</v>
      </c>
      <c r="BG121" s="959" t="s">
        <v>2668</v>
      </c>
      <c r="BH121" s="959" t="s">
        <v>2668</v>
      </c>
      <c r="BI121" s="959" t="s">
        <v>2668</v>
      </c>
      <c r="BJ121" s="959" t="s">
        <v>2668</v>
      </c>
      <c r="BK121" s="959" t="s">
        <v>2668</v>
      </c>
      <c r="BL121" s="55"/>
    </row>
    <row r="122" spans="1:64" s="400" customFormat="1" ht="17.100000000000001" customHeight="1">
      <c r="A122" s="761" t="s">
        <v>1506</v>
      </c>
      <c r="B122" s="55" t="s">
        <v>7</v>
      </c>
      <c r="C122" s="53" t="s">
        <v>7</v>
      </c>
      <c r="D122" s="53" t="s">
        <v>2637</v>
      </c>
      <c r="E122" s="55" t="s">
        <v>4</v>
      </c>
      <c r="F122" s="53" t="s">
        <v>1518</v>
      </c>
      <c r="G122" s="71">
        <v>35490</v>
      </c>
      <c r="H122" s="50" t="s">
        <v>1972</v>
      </c>
      <c r="I122" s="760">
        <v>15370</v>
      </c>
      <c r="J122" s="52">
        <v>21359</v>
      </c>
      <c r="K122" s="55" t="s">
        <v>1519</v>
      </c>
      <c r="L122" s="56" t="s">
        <v>811</v>
      </c>
      <c r="M122" s="64">
        <v>2</v>
      </c>
      <c r="N122" s="65">
        <v>1</v>
      </c>
      <c r="O122" s="66">
        <v>36</v>
      </c>
      <c r="P122" s="67">
        <v>0</v>
      </c>
      <c r="Q122" s="68">
        <v>0</v>
      </c>
      <c r="R122" s="68">
        <v>0</v>
      </c>
      <c r="S122" s="68">
        <v>0</v>
      </c>
      <c r="T122" s="68">
        <v>1</v>
      </c>
      <c r="U122" s="69">
        <v>10</v>
      </c>
      <c r="V122" s="67">
        <v>0</v>
      </c>
      <c r="W122" s="68">
        <v>0</v>
      </c>
      <c r="X122" s="68">
        <v>0</v>
      </c>
      <c r="Y122" s="68">
        <v>0</v>
      </c>
      <c r="Z122" s="68">
        <v>0</v>
      </c>
      <c r="AA122" s="69">
        <v>0</v>
      </c>
      <c r="AB122" s="70">
        <v>1</v>
      </c>
      <c r="AC122" s="68">
        <v>0</v>
      </c>
      <c r="AD122" s="68">
        <v>2</v>
      </c>
      <c r="AE122" s="68">
        <v>2</v>
      </c>
      <c r="AF122" s="68">
        <v>4</v>
      </c>
      <c r="AG122" s="68">
        <v>0</v>
      </c>
      <c r="AH122" s="68">
        <v>0</v>
      </c>
      <c r="AI122" s="69">
        <v>0</v>
      </c>
      <c r="AJ122" s="70">
        <v>0</v>
      </c>
      <c r="AK122" s="68">
        <v>0</v>
      </c>
      <c r="AL122" s="68">
        <v>0</v>
      </c>
      <c r="AM122" s="68">
        <v>0</v>
      </c>
      <c r="AN122" s="68">
        <v>0</v>
      </c>
      <c r="AO122" s="68">
        <v>0</v>
      </c>
      <c r="AP122" s="68">
        <v>0</v>
      </c>
      <c r="AQ122" s="69">
        <v>0</v>
      </c>
      <c r="AR122" s="972">
        <v>0</v>
      </c>
      <c r="AS122" s="973">
        <v>1</v>
      </c>
      <c r="AT122" s="68">
        <v>0</v>
      </c>
      <c r="AU122" s="68">
        <v>0</v>
      </c>
      <c r="AV122" s="68">
        <v>0</v>
      </c>
      <c r="AW122" s="973">
        <v>0</v>
      </c>
      <c r="AX122" s="973">
        <v>0</v>
      </c>
      <c r="AY122" s="973">
        <v>1</v>
      </c>
      <c r="AZ122" s="973">
        <v>3</v>
      </c>
      <c r="BA122" s="974">
        <v>4</v>
      </c>
      <c r="BB122" s="975">
        <v>2</v>
      </c>
      <c r="BC122" s="959">
        <v>2</v>
      </c>
      <c r="BD122" s="959">
        <v>2</v>
      </c>
      <c r="BE122" s="959">
        <v>10</v>
      </c>
      <c r="BF122" s="959">
        <v>14</v>
      </c>
      <c r="BG122" s="959">
        <v>1</v>
      </c>
      <c r="BH122" s="959">
        <v>0</v>
      </c>
      <c r="BI122" s="959">
        <v>1</v>
      </c>
      <c r="BJ122" s="959">
        <v>3</v>
      </c>
      <c r="BK122" s="959">
        <v>4</v>
      </c>
      <c r="BL122" s="55"/>
    </row>
    <row r="123" spans="1:64" s="400" customFormat="1" ht="17.100000000000001" customHeight="1">
      <c r="A123" s="761" t="s">
        <v>1506</v>
      </c>
      <c r="B123" s="55" t="s">
        <v>7</v>
      </c>
      <c r="C123" s="53" t="s">
        <v>7</v>
      </c>
      <c r="D123" s="53" t="s">
        <v>1573</v>
      </c>
      <c r="E123" s="55" t="s">
        <v>4</v>
      </c>
      <c r="F123" s="53" t="s">
        <v>1520</v>
      </c>
      <c r="G123" s="71">
        <v>36951</v>
      </c>
      <c r="H123" s="50" t="s">
        <v>1829</v>
      </c>
      <c r="I123" s="760">
        <v>11897</v>
      </c>
      <c r="J123" s="52">
        <v>21321</v>
      </c>
      <c r="K123" s="53" t="s">
        <v>3416</v>
      </c>
      <c r="L123" s="54" t="s">
        <v>2368</v>
      </c>
      <c r="M123" s="1227">
        <v>3</v>
      </c>
      <c r="N123" s="1228">
        <v>0</v>
      </c>
      <c r="O123" s="1229">
        <v>48</v>
      </c>
      <c r="P123" s="67">
        <v>0</v>
      </c>
      <c r="Q123" s="68">
        <v>0</v>
      </c>
      <c r="R123" s="68">
        <v>0</v>
      </c>
      <c r="S123" s="68">
        <v>0</v>
      </c>
      <c r="T123" s="68">
        <v>0</v>
      </c>
      <c r="U123" s="69">
        <v>0</v>
      </c>
      <c r="V123" s="67">
        <v>0</v>
      </c>
      <c r="W123" s="68">
        <v>0</v>
      </c>
      <c r="X123" s="68">
        <v>0</v>
      </c>
      <c r="Y123" s="68">
        <v>0</v>
      </c>
      <c r="Z123" s="68">
        <v>0</v>
      </c>
      <c r="AA123" s="69">
        <v>0</v>
      </c>
      <c r="AB123" s="70">
        <v>0</v>
      </c>
      <c r="AC123" s="68">
        <v>0</v>
      </c>
      <c r="AD123" s="68">
        <v>0</v>
      </c>
      <c r="AE123" s="68">
        <v>0</v>
      </c>
      <c r="AF123" s="68">
        <v>0</v>
      </c>
      <c r="AG123" s="68">
        <v>0</v>
      </c>
      <c r="AH123" s="68">
        <v>0</v>
      </c>
      <c r="AI123" s="69">
        <v>0</v>
      </c>
      <c r="AJ123" s="70">
        <v>0</v>
      </c>
      <c r="AK123" s="68">
        <v>0</v>
      </c>
      <c r="AL123" s="68">
        <v>0</v>
      </c>
      <c r="AM123" s="68">
        <v>0</v>
      </c>
      <c r="AN123" s="68">
        <v>0</v>
      </c>
      <c r="AO123" s="68">
        <v>0</v>
      </c>
      <c r="AP123" s="68">
        <v>0</v>
      </c>
      <c r="AQ123" s="69">
        <v>0</v>
      </c>
      <c r="AR123" s="972">
        <v>0</v>
      </c>
      <c r="AS123" s="973">
        <v>0</v>
      </c>
      <c r="AT123" s="68">
        <v>0</v>
      </c>
      <c r="AU123" s="68">
        <v>0</v>
      </c>
      <c r="AV123" s="68">
        <v>0</v>
      </c>
      <c r="AW123" s="973">
        <v>0</v>
      </c>
      <c r="AX123" s="973">
        <v>0</v>
      </c>
      <c r="AY123" s="973">
        <v>0</v>
      </c>
      <c r="AZ123" s="973">
        <v>0</v>
      </c>
      <c r="BA123" s="974">
        <v>0</v>
      </c>
      <c r="BB123" s="975">
        <v>0</v>
      </c>
      <c r="BC123" s="959">
        <v>0</v>
      </c>
      <c r="BD123" s="959">
        <v>0</v>
      </c>
      <c r="BE123" s="959">
        <v>0</v>
      </c>
      <c r="BF123" s="959">
        <v>0</v>
      </c>
      <c r="BG123" s="959">
        <v>0</v>
      </c>
      <c r="BH123" s="959">
        <v>0</v>
      </c>
      <c r="BI123" s="959">
        <v>0</v>
      </c>
      <c r="BJ123" s="959">
        <v>0</v>
      </c>
      <c r="BK123" s="959">
        <v>0</v>
      </c>
      <c r="BL123" s="55" t="s">
        <v>1575</v>
      </c>
    </row>
    <row r="124" spans="1:64" s="400" customFormat="1" ht="17.100000000000001" customHeight="1">
      <c r="A124" s="761" t="s">
        <v>1506</v>
      </c>
      <c r="B124" s="55" t="s">
        <v>7</v>
      </c>
      <c r="C124" s="53" t="s">
        <v>7</v>
      </c>
      <c r="D124" s="53" t="s">
        <v>1573</v>
      </c>
      <c r="E124" s="55" t="s">
        <v>4</v>
      </c>
      <c r="F124" s="53" t="s">
        <v>1521</v>
      </c>
      <c r="G124" s="71">
        <v>38047</v>
      </c>
      <c r="H124" s="50" t="s">
        <v>806</v>
      </c>
      <c r="I124" s="760">
        <v>10925</v>
      </c>
      <c r="J124" s="52">
        <v>21319</v>
      </c>
      <c r="K124" s="55" t="s">
        <v>3417</v>
      </c>
      <c r="L124" s="56" t="s">
        <v>807</v>
      </c>
      <c r="M124" s="1227">
        <v>3</v>
      </c>
      <c r="N124" s="1228">
        <v>1</v>
      </c>
      <c r="O124" s="1229">
        <v>48</v>
      </c>
      <c r="P124" s="67">
        <v>1</v>
      </c>
      <c r="Q124" s="68">
        <v>6</v>
      </c>
      <c r="R124" s="68">
        <v>1</v>
      </c>
      <c r="S124" s="68">
        <v>6</v>
      </c>
      <c r="T124" s="68">
        <v>1</v>
      </c>
      <c r="U124" s="69">
        <v>13</v>
      </c>
      <c r="V124" s="67"/>
      <c r="W124" s="68"/>
      <c r="X124" s="68"/>
      <c r="Y124" s="68"/>
      <c r="Z124" s="68"/>
      <c r="AA124" s="69"/>
      <c r="AB124" s="70"/>
      <c r="AC124" s="68"/>
      <c r="AD124" s="68"/>
      <c r="AE124" s="68"/>
      <c r="AF124" s="68"/>
      <c r="AG124" s="68"/>
      <c r="AH124" s="68"/>
      <c r="AI124" s="69">
        <v>0</v>
      </c>
      <c r="AJ124" s="70"/>
      <c r="AK124" s="68"/>
      <c r="AL124" s="68"/>
      <c r="AM124" s="68"/>
      <c r="AN124" s="68">
        <v>0</v>
      </c>
      <c r="AO124" s="68"/>
      <c r="AP124" s="68"/>
      <c r="AQ124" s="69">
        <v>0</v>
      </c>
      <c r="AR124" s="972"/>
      <c r="AS124" s="973">
        <v>1</v>
      </c>
      <c r="AT124" s="68"/>
      <c r="AU124" s="68"/>
      <c r="AV124" s="68"/>
      <c r="AW124" s="973">
        <v>0</v>
      </c>
      <c r="AX124" s="973"/>
      <c r="AY124" s="973">
        <v>1</v>
      </c>
      <c r="AZ124" s="973">
        <v>3</v>
      </c>
      <c r="BA124" s="974">
        <v>4</v>
      </c>
      <c r="BB124" s="976">
        <v>3</v>
      </c>
      <c r="BC124" s="959">
        <v>6</v>
      </c>
      <c r="BD124" s="959">
        <v>6</v>
      </c>
      <c r="BE124" s="959">
        <v>13</v>
      </c>
      <c r="BF124" s="959">
        <v>25</v>
      </c>
      <c r="BG124" s="959">
        <v>1</v>
      </c>
      <c r="BH124" s="959">
        <v>0</v>
      </c>
      <c r="BI124" s="959">
        <v>1</v>
      </c>
      <c r="BJ124" s="959">
        <v>3</v>
      </c>
      <c r="BK124" s="959">
        <v>4</v>
      </c>
      <c r="BL124" s="55"/>
    </row>
    <row r="125" spans="1:64" s="400" customFormat="1" ht="17.100000000000001" customHeight="1">
      <c r="A125" s="761" t="s">
        <v>1506</v>
      </c>
      <c r="B125" s="55" t="s">
        <v>7</v>
      </c>
      <c r="C125" s="53" t="s">
        <v>7</v>
      </c>
      <c r="D125" s="53" t="s">
        <v>2638</v>
      </c>
      <c r="E125" s="55" t="s">
        <v>4</v>
      </c>
      <c r="F125" s="726" t="s">
        <v>1509</v>
      </c>
      <c r="G125" s="71">
        <v>39142</v>
      </c>
      <c r="H125" s="50" t="s">
        <v>1782</v>
      </c>
      <c r="I125" s="760">
        <v>1002</v>
      </c>
      <c r="J125" s="52">
        <v>21323</v>
      </c>
      <c r="K125" s="55" t="s">
        <v>1510</v>
      </c>
      <c r="L125" s="56" t="s">
        <v>3418</v>
      </c>
      <c r="M125" s="64">
        <v>4</v>
      </c>
      <c r="N125" s="65">
        <v>3</v>
      </c>
      <c r="O125" s="66">
        <v>67</v>
      </c>
      <c r="P125" s="67">
        <v>1</v>
      </c>
      <c r="Q125" s="68">
        <v>8</v>
      </c>
      <c r="R125" s="68">
        <v>1</v>
      </c>
      <c r="S125" s="68">
        <v>13</v>
      </c>
      <c r="T125" s="68">
        <v>2</v>
      </c>
      <c r="U125" s="69">
        <v>33</v>
      </c>
      <c r="V125" s="67">
        <v>1</v>
      </c>
      <c r="W125" s="68">
        <v>4</v>
      </c>
      <c r="X125" s="68">
        <v>1</v>
      </c>
      <c r="Y125" s="68">
        <v>4</v>
      </c>
      <c r="Z125" s="68">
        <v>1</v>
      </c>
      <c r="AA125" s="69">
        <v>4</v>
      </c>
      <c r="AB125" s="70" t="s">
        <v>2358</v>
      </c>
      <c r="AC125" s="68" t="s">
        <v>2358</v>
      </c>
      <c r="AD125" s="68" t="s">
        <v>2358</v>
      </c>
      <c r="AE125" s="68" t="s">
        <v>2358</v>
      </c>
      <c r="AF125" s="68" t="s">
        <v>2358</v>
      </c>
      <c r="AG125" s="68" t="s">
        <v>2358</v>
      </c>
      <c r="AH125" s="68" t="s">
        <v>2358</v>
      </c>
      <c r="AI125" s="69" t="s">
        <v>2358</v>
      </c>
      <c r="AJ125" s="70" t="s">
        <v>2358</v>
      </c>
      <c r="AK125" s="68" t="s">
        <v>2358</v>
      </c>
      <c r="AL125" s="68" t="s">
        <v>2358</v>
      </c>
      <c r="AM125" s="68" t="s">
        <v>2358</v>
      </c>
      <c r="AN125" s="68" t="s">
        <v>2358</v>
      </c>
      <c r="AO125" s="68" t="s">
        <v>2358</v>
      </c>
      <c r="AP125" s="68" t="s">
        <v>2358</v>
      </c>
      <c r="AQ125" s="69" t="s">
        <v>2358</v>
      </c>
      <c r="AR125" s="972" t="s">
        <v>2358</v>
      </c>
      <c r="AS125" s="973" t="s">
        <v>2358</v>
      </c>
      <c r="AT125" s="68" t="s">
        <v>2358</v>
      </c>
      <c r="AU125" s="68" t="s">
        <v>2358</v>
      </c>
      <c r="AV125" s="68" t="s">
        <v>2358</v>
      </c>
      <c r="AW125" s="973" t="s">
        <v>2358</v>
      </c>
      <c r="AX125" s="973" t="s">
        <v>2358</v>
      </c>
      <c r="AY125" s="973" t="s">
        <v>2358</v>
      </c>
      <c r="AZ125" s="973" t="s">
        <v>2358</v>
      </c>
      <c r="BA125" s="974" t="s">
        <v>2358</v>
      </c>
      <c r="BB125" s="975">
        <v>4</v>
      </c>
      <c r="BC125" s="959">
        <v>8</v>
      </c>
      <c r="BD125" s="959">
        <v>13</v>
      </c>
      <c r="BE125" s="959">
        <v>33</v>
      </c>
      <c r="BF125" s="959">
        <v>54</v>
      </c>
      <c r="BG125" s="959">
        <v>3</v>
      </c>
      <c r="BH125" s="959">
        <v>4</v>
      </c>
      <c r="BI125" s="959">
        <v>4</v>
      </c>
      <c r="BJ125" s="959">
        <v>4</v>
      </c>
      <c r="BK125" s="959">
        <v>12</v>
      </c>
      <c r="BL125" s="55"/>
    </row>
    <row r="126" spans="1:64" s="400" customFormat="1" ht="17.100000000000001" customHeight="1">
      <c r="A126" s="761" t="s">
        <v>1506</v>
      </c>
      <c r="B126" s="55" t="s">
        <v>7</v>
      </c>
      <c r="C126" s="53" t="s">
        <v>7</v>
      </c>
      <c r="D126" s="53" t="s">
        <v>1574</v>
      </c>
      <c r="E126" s="55" t="s">
        <v>4</v>
      </c>
      <c r="F126" s="726" t="s">
        <v>3419</v>
      </c>
      <c r="G126" s="71">
        <v>38412</v>
      </c>
      <c r="H126" s="50" t="s">
        <v>1783</v>
      </c>
      <c r="I126" s="760">
        <v>7030</v>
      </c>
      <c r="J126" s="52">
        <v>21341</v>
      </c>
      <c r="K126" s="55" t="s">
        <v>1522</v>
      </c>
      <c r="L126" s="56" t="s">
        <v>1523</v>
      </c>
      <c r="M126" s="1227">
        <v>3</v>
      </c>
      <c r="N126" s="1228">
        <v>1</v>
      </c>
      <c r="O126" s="1229">
        <v>48</v>
      </c>
      <c r="P126" s="67">
        <v>1</v>
      </c>
      <c r="Q126" s="68">
        <v>12</v>
      </c>
      <c r="R126" s="68">
        <v>1</v>
      </c>
      <c r="S126" s="68">
        <v>15</v>
      </c>
      <c r="T126" s="68">
        <v>1</v>
      </c>
      <c r="U126" s="69">
        <v>10</v>
      </c>
      <c r="V126" s="67">
        <v>0</v>
      </c>
      <c r="W126" s="68">
        <v>0</v>
      </c>
      <c r="X126" s="68">
        <v>0</v>
      </c>
      <c r="Y126" s="68">
        <v>0</v>
      </c>
      <c r="Z126" s="68">
        <v>0</v>
      </c>
      <c r="AA126" s="69">
        <v>0</v>
      </c>
      <c r="AB126" s="70">
        <v>0</v>
      </c>
      <c r="AC126" s="68">
        <v>0</v>
      </c>
      <c r="AD126" s="68">
        <v>0</v>
      </c>
      <c r="AE126" s="68">
        <v>0</v>
      </c>
      <c r="AF126" s="68">
        <v>0</v>
      </c>
      <c r="AG126" s="68">
        <v>0</v>
      </c>
      <c r="AH126" s="68">
        <v>0</v>
      </c>
      <c r="AI126" s="69">
        <v>0</v>
      </c>
      <c r="AJ126" s="70">
        <v>0</v>
      </c>
      <c r="AK126" s="68">
        <v>0</v>
      </c>
      <c r="AL126" s="68">
        <v>0</v>
      </c>
      <c r="AM126" s="68">
        <v>0</v>
      </c>
      <c r="AN126" s="68">
        <v>0</v>
      </c>
      <c r="AO126" s="68">
        <v>0</v>
      </c>
      <c r="AP126" s="68">
        <v>0</v>
      </c>
      <c r="AQ126" s="69">
        <v>0</v>
      </c>
      <c r="AR126" s="972">
        <v>0</v>
      </c>
      <c r="AS126" s="973">
        <v>1</v>
      </c>
      <c r="AT126" s="68">
        <v>0</v>
      </c>
      <c r="AU126" s="68">
        <v>0</v>
      </c>
      <c r="AV126" s="68">
        <v>0</v>
      </c>
      <c r="AW126" s="973">
        <v>0</v>
      </c>
      <c r="AX126" s="973">
        <v>0</v>
      </c>
      <c r="AY126" s="973">
        <v>2</v>
      </c>
      <c r="AZ126" s="973">
        <v>2</v>
      </c>
      <c r="BA126" s="974">
        <v>4</v>
      </c>
      <c r="BB126" s="975">
        <v>3</v>
      </c>
      <c r="BC126" s="959">
        <v>12</v>
      </c>
      <c r="BD126" s="959">
        <v>15</v>
      </c>
      <c r="BE126" s="959">
        <v>10</v>
      </c>
      <c r="BF126" s="959">
        <v>37</v>
      </c>
      <c r="BG126" s="959">
        <v>1</v>
      </c>
      <c r="BH126" s="959">
        <v>0</v>
      </c>
      <c r="BI126" s="959">
        <v>2</v>
      </c>
      <c r="BJ126" s="959">
        <v>2</v>
      </c>
      <c r="BK126" s="959">
        <v>4</v>
      </c>
      <c r="BL126" s="55"/>
    </row>
    <row r="127" spans="1:64" s="400" customFormat="1" ht="17.100000000000001" customHeight="1">
      <c r="A127" s="761" t="s">
        <v>1506</v>
      </c>
      <c r="B127" s="55" t="s">
        <v>7</v>
      </c>
      <c r="C127" s="53" t="s">
        <v>7</v>
      </c>
      <c r="D127" s="53" t="s">
        <v>2638</v>
      </c>
      <c r="E127" s="55" t="s">
        <v>4</v>
      </c>
      <c r="F127" s="53" t="s">
        <v>1524</v>
      </c>
      <c r="G127" s="71">
        <v>38777</v>
      </c>
      <c r="H127" s="50" t="s">
        <v>3420</v>
      </c>
      <c r="I127" s="760">
        <v>13355</v>
      </c>
      <c r="J127" s="52">
        <v>21323</v>
      </c>
      <c r="K127" s="55" t="s">
        <v>1525</v>
      </c>
      <c r="L127" s="56" t="s">
        <v>798</v>
      </c>
      <c r="M127" s="64">
        <v>2</v>
      </c>
      <c r="N127" s="65">
        <v>0</v>
      </c>
      <c r="O127" s="66">
        <v>36</v>
      </c>
      <c r="P127" s="67"/>
      <c r="Q127" s="68"/>
      <c r="R127" s="68">
        <v>1</v>
      </c>
      <c r="S127" s="68">
        <v>9</v>
      </c>
      <c r="T127" s="68">
        <v>1</v>
      </c>
      <c r="U127" s="69">
        <v>6</v>
      </c>
      <c r="V127" s="67"/>
      <c r="W127" s="68"/>
      <c r="X127" s="68"/>
      <c r="Y127" s="68"/>
      <c r="Z127" s="68"/>
      <c r="AA127" s="69"/>
      <c r="AB127" s="70"/>
      <c r="AC127" s="68"/>
      <c r="AD127" s="68"/>
      <c r="AE127" s="68"/>
      <c r="AF127" s="68" t="s">
        <v>2668</v>
      </c>
      <c r="AG127" s="68"/>
      <c r="AH127" s="68"/>
      <c r="AI127" s="69" t="s">
        <v>2668</v>
      </c>
      <c r="AJ127" s="70"/>
      <c r="AK127" s="68"/>
      <c r="AL127" s="68"/>
      <c r="AM127" s="68"/>
      <c r="AN127" s="68" t="s">
        <v>2668</v>
      </c>
      <c r="AO127" s="68"/>
      <c r="AP127" s="68"/>
      <c r="AQ127" s="69" t="s">
        <v>2668</v>
      </c>
      <c r="AR127" s="972"/>
      <c r="AS127" s="973"/>
      <c r="AT127" s="68"/>
      <c r="AU127" s="68"/>
      <c r="AV127" s="68"/>
      <c r="AW127" s="973" t="s">
        <v>2668</v>
      </c>
      <c r="AX127" s="973"/>
      <c r="AY127" s="973"/>
      <c r="AZ127" s="973"/>
      <c r="BA127" s="974" t="s">
        <v>2668</v>
      </c>
      <c r="BB127" s="976">
        <v>2</v>
      </c>
      <c r="BC127" s="959" t="s">
        <v>2668</v>
      </c>
      <c r="BD127" s="959">
        <v>9</v>
      </c>
      <c r="BE127" s="959">
        <v>6</v>
      </c>
      <c r="BF127" s="959">
        <v>15</v>
      </c>
      <c r="BG127" s="959" t="s">
        <v>2668</v>
      </c>
      <c r="BH127" s="959" t="s">
        <v>2668</v>
      </c>
      <c r="BI127" s="959" t="s">
        <v>2668</v>
      </c>
      <c r="BJ127" s="959" t="s">
        <v>2668</v>
      </c>
      <c r="BK127" s="959" t="s">
        <v>2668</v>
      </c>
      <c r="BL127" s="55"/>
    </row>
    <row r="128" spans="1:64" s="400" customFormat="1" ht="17.100000000000001" customHeight="1">
      <c r="A128" s="457" t="s">
        <v>2632</v>
      </c>
      <c r="B128" s="53" t="s">
        <v>7</v>
      </c>
      <c r="C128" s="53" t="s">
        <v>7</v>
      </c>
      <c r="D128" s="53" t="s">
        <v>3421</v>
      </c>
      <c r="E128" s="53" t="s">
        <v>2424</v>
      </c>
      <c r="F128" s="53" t="s">
        <v>3422</v>
      </c>
      <c r="G128" s="71">
        <v>38412</v>
      </c>
      <c r="H128" s="50" t="s">
        <v>3423</v>
      </c>
      <c r="I128" s="51">
        <v>13507.1</v>
      </c>
      <c r="J128" s="52">
        <v>21342</v>
      </c>
      <c r="K128" s="53" t="s">
        <v>1526</v>
      </c>
      <c r="L128" s="54" t="s">
        <v>1527</v>
      </c>
      <c r="M128" s="1225">
        <v>3</v>
      </c>
      <c r="N128" s="1226"/>
      <c r="O128" s="1232">
        <v>48</v>
      </c>
      <c r="P128" s="60"/>
      <c r="Q128" s="61"/>
      <c r="R128" s="61"/>
      <c r="S128" s="61"/>
      <c r="T128" s="61"/>
      <c r="U128" s="62"/>
      <c r="V128" s="60"/>
      <c r="W128" s="61"/>
      <c r="X128" s="61"/>
      <c r="Y128" s="61"/>
      <c r="Z128" s="61"/>
      <c r="AA128" s="62"/>
      <c r="AB128" s="63"/>
      <c r="AC128" s="61"/>
      <c r="AD128" s="61"/>
      <c r="AE128" s="61"/>
      <c r="AF128" s="61">
        <f>SUM(AD128:AE128)</f>
        <v>0</v>
      </c>
      <c r="AG128" s="61"/>
      <c r="AH128" s="61"/>
      <c r="AI128" s="62">
        <f>SUM(AG128:AH128)</f>
        <v>0</v>
      </c>
      <c r="AJ128" s="63"/>
      <c r="AK128" s="61"/>
      <c r="AL128" s="61"/>
      <c r="AM128" s="61"/>
      <c r="AN128" s="61">
        <f>SUM(AL128:AM128)</f>
        <v>0</v>
      </c>
      <c r="AO128" s="61"/>
      <c r="AP128" s="61"/>
      <c r="AQ128" s="62">
        <f>SUM(AO128:AP128)</f>
        <v>0</v>
      </c>
      <c r="AR128" s="955"/>
      <c r="AS128" s="956"/>
      <c r="AT128" s="61"/>
      <c r="AU128" s="61"/>
      <c r="AV128" s="61"/>
      <c r="AW128" s="956">
        <f>SUM(AT128:AV128)</f>
        <v>0</v>
      </c>
      <c r="AX128" s="956"/>
      <c r="AY128" s="956"/>
      <c r="AZ128" s="956"/>
      <c r="BA128" s="957">
        <f>SUM(AX128:AZ128)</f>
        <v>0</v>
      </c>
      <c r="BB128" s="958">
        <f>SUM(P128,R128,T128,AB128,AJ128,AR128)</f>
        <v>0</v>
      </c>
      <c r="BC128" s="959">
        <f>SUM(Q128,AD128,AT128)</f>
        <v>0</v>
      </c>
      <c r="BD128" s="959">
        <f>SUM(S128,AE128,AL128,AU128)</f>
        <v>0</v>
      </c>
      <c r="BE128" s="959">
        <f>SUM(U128,AM128,AV128)</f>
        <v>0</v>
      </c>
      <c r="BF128" s="959">
        <f>SUM(BC128:BE128)</f>
        <v>0</v>
      </c>
      <c r="BG128" s="959">
        <f>SUM(V128,X128,Z128,AC128,AK128,AS128)</f>
        <v>0</v>
      </c>
      <c r="BH128" s="959">
        <f>SUM(W128,AG128,AX128)</f>
        <v>0</v>
      </c>
      <c r="BI128" s="959">
        <f>SUM(Y128,AH128,AO128,AY128)</f>
        <v>0</v>
      </c>
      <c r="BJ128" s="959">
        <f>SUM(AA128,AP128,AZ128)</f>
        <v>0</v>
      </c>
      <c r="BK128" s="959">
        <f>SUM(BH128:BJ128)</f>
        <v>0</v>
      </c>
      <c r="BL128" s="53" t="s">
        <v>1748</v>
      </c>
    </row>
    <row r="129" spans="1:64" s="400" customFormat="1" ht="17.100000000000001" customHeight="1">
      <c r="A129" s="761" t="s">
        <v>1506</v>
      </c>
      <c r="B129" s="55" t="s">
        <v>7</v>
      </c>
      <c r="C129" s="53" t="s">
        <v>7</v>
      </c>
      <c r="D129" s="53" t="s">
        <v>1887</v>
      </c>
      <c r="E129" s="55" t="s">
        <v>4</v>
      </c>
      <c r="F129" s="53" t="s">
        <v>1511</v>
      </c>
      <c r="G129" s="71">
        <v>39142</v>
      </c>
      <c r="H129" s="50" t="s">
        <v>1888</v>
      </c>
      <c r="I129" s="760">
        <v>9459</v>
      </c>
      <c r="J129" s="52">
        <v>21457</v>
      </c>
      <c r="K129" s="55" t="s">
        <v>1512</v>
      </c>
      <c r="L129" s="56" t="s">
        <v>733</v>
      </c>
      <c r="M129" s="394">
        <v>2</v>
      </c>
      <c r="N129" s="395">
        <v>1</v>
      </c>
      <c r="O129" s="396">
        <v>36</v>
      </c>
      <c r="P129" s="67"/>
      <c r="Q129" s="68"/>
      <c r="R129" s="68"/>
      <c r="S129" s="68"/>
      <c r="T129" s="68"/>
      <c r="U129" s="69"/>
      <c r="V129" s="67"/>
      <c r="W129" s="68"/>
      <c r="X129" s="68"/>
      <c r="Y129" s="68"/>
      <c r="Z129" s="68"/>
      <c r="AA129" s="69"/>
      <c r="AB129" s="70"/>
      <c r="AC129" s="68"/>
      <c r="AD129" s="68"/>
      <c r="AE129" s="68"/>
      <c r="AF129" s="68">
        <v>0</v>
      </c>
      <c r="AG129" s="68"/>
      <c r="AH129" s="68"/>
      <c r="AI129" s="69">
        <v>0</v>
      </c>
      <c r="AJ129" s="70"/>
      <c r="AK129" s="68"/>
      <c r="AL129" s="68"/>
      <c r="AM129" s="68"/>
      <c r="AN129" s="68">
        <v>0</v>
      </c>
      <c r="AO129" s="68"/>
      <c r="AP129" s="68"/>
      <c r="AQ129" s="69">
        <v>0</v>
      </c>
      <c r="AR129" s="972">
        <v>1</v>
      </c>
      <c r="AS129" s="973">
        <v>1</v>
      </c>
      <c r="AT129" s="68"/>
      <c r="AU129" s="68">
        <v>1</v>
      </c>
      <c r="AV129" s="68"/>
      <c r="AW129" s="973">
        <v>1</v>
      </c>
      <c r="AX129" s="973"/>
      <c r="AY129" s="973"/>
      <c r="AZ129" s="973">
        <v>1</v>
      </c>
      <c r="BA129" s="974">
        <v>1</v>
      </c>
      <c r="BB129" s="975">
        <v>1</v>
      </c>
      <c r="BC129" s="959">
        <v>0</v>
      </c>
      <c r="BD129" s="959">
        <v>1</v>
      </c>
      <c r="BE129" s="959">
        <v>0</v>
      </c>
      <c r="BF129" s="959">
        <v>1</v>
      </c>
      <c r="BG129" s="959">
        <v>1</v>
      </c>
      <c r="BH129" s="959">
        <v>0</v>
      </c>
      <c r="BI129" s="959">
        <v>0</v>
      </c>
      <c r="BJ129" s="959">
        <v>1</v>
      </c>
      <c r="BK129" s="959">
        <v>1</v>
      </c>
      <c r="BL129" s="55"/>
    </row>
    <row r="130" spans="1:64" s="43" customFormat="1" ht="17.100000000000001" customHeight="1">
      <c r="A130" s="1611" t="s">
        <v>421</v>
      </c>
      <c r="B130" s="1612"/>
      <c r="C130" s="1612"/>
      <c r="D130" s="1613"/>
      <c r="E130" s="401">
        <f>COUNTA(E103:E129)</f>
        <v>27</v>
      </c>
      <c r="F130" s="285"/>
      <c r="G130" s="402"/>
      <c r="H130" s="181"/>
      <c r="I130" s="403"/>
      <c r="J130" s="287"/>
      <c r="K130" s="285"/>
      <c r="L130" s="288"/>
      <c r="M130" s="404">
        <f t="shared" ref="M130:AR130" si="142">SUM(M103:M129)</f>
        <v>58</v>
      </c>
      <c r="N130" s="405">
        <f t="shared" si="142"/>
        <v>16</v>
      </c>
      <c r="O130" s="406">
        <f t="shared" si="142"/>
        <v>999</v>
      </c>
      <c r="P130" s="407">
        <f t="shared" si="142"/>
        <v>7</v>
      </c>
      <c r="Q130" s="408">
        <f t="shared" si="142"/>
        <v>59</v>
      </c>
      <c r="R130" s="408">
        <f t="shared" si="142"/>
        <v>10</v>
      </c>
      <c r="S130" s="408">
        <f t="shared" si="142"/>
        <v>111</v>
      </c>
      <c r="T130" s="408">
        <f t="shared" si="142"/>
        <v>14</v>
      </c>
      <c r="U130" s="409">
        <f t="shared" si="142"/>
        <v>157</v>
      </c>
      <c r="V130" s="410">
        <f t="shared" si="142"/>
        <v>1</v>
      </c>
      <c r="W130" s="408">
        <f t="shared" si="142"/>
        <v>4</v>
      </c>
      <c r="X130" s="408">
        <f t="shared" si="142"/>
        <v>1</v>
      </c>
      <c r="Y130" s="408">
        <f t="shared" si="142"/>
        <v>4</v>
      </c>
      <c r="Z130" s="408">
        <f t="shared" si="142"/>
        <v>2</v>
      </c>
      <c r="AA130" s="409">
        <f t="shared" si="142"/>
        <v>8</v>
      </c>
      <c r="AB130" s="407">
        <f t="shared" si="142"/>
        <v>3</v>
      </c>
      <c r="AC130" s="408">
        <f t="shared" si="142"/>
        <v>1</v>
      </c>
      <c r="AD130" s="408">
        <f t="shared" si="142"/>
        <v>5</v>
      </c>
      <c r="AE130" s="408">
        <f t="shared" si="142"/>
        <v>7</v>
      </c>
      <c r="AF130" s="408">
        <f t="shared" si="142"/>
        <v>12</v>
      </c>
      <c r="AG130" s="408">
        <f t="shared" si="142"/>
        <v>2</v>
      </c>
      <c r="AH130" s="408">
        <f t="shared" si="142"/>
        <v>2</v>
      </c>
      <c r="AI130" s="409">
        <f t="shared" si="142"/>
        <v>4</v>
      </c>
      <c r="AJ130" s="408">
        <f t="shared" si="142"/>
        <v>4</v>
      </c>
      <c r="AK130" s="408">
        <f t="shared" si="142"/>
        <v>0</v>
      </c>
      <c r="AL130" s="408">
        <f t="shared" si="142"/>
        <v>13</v>
      </c>
      <c r="AM130" s="408">
        <f t="shared" si="142"/>
        <v>36</v>
      </c>
      <c r="AN130" s="408">
        <f t="shared" si="142"/>
        <v>49</v>
      </c>
      <c r="AO130" s="408">
        <f t="shared" si="142"/>
        <v>0</v>
      </c>
      <c r="AP130" s="408">
        <f t="shared" si="142"/>
        <v>4</v>
      </c>
      <c r="AQ130" s="409">
        <f t="shared" si="142"/>
        <v>4</v>
      </c>
      <c r="AR130" s="411">
        <f t="shared" si="142"/>
        <v>6</v>
      </c>
      <c r="AS130" s="412">
        <f t="shared" ref="AS130:BK130" si="143">SUM(AS103:AS129)</f>
        <v>10</v>
      </c>
      <c r="AT130" s="412">
        <f t="shared" si="143"/>
        <v>12</v>
      </c>
      <c r="AU130" s="412">
        <f t="shared" si="143"/>
        <v>2</v>
      </c>
      <c r="AV130" s="412">
        <f t="shared" si="143"/>
        <v>12</v>
      </c>
      <c r="AW130" s="412">
        <f t="shared" si="143"/>
        <v>26</v>
      </c>
      <c r="AX130" s="412">
        <f t="shared" si="143"/>
        <v>4</v>
      </c>
      <c r="AY130" s="412">
        <f t="shared" si="143"/>
        <v>9</v>
      </c>
      <c r="AZ130" s="412">
        <f t="shared" si="143"/>
        <v>23</v>
      </c>
      <c r="BA130" s="413">
        <f t="shared" si="143"/>
        <v>36</v>
      </c>
      <c r="BB130" s="414">
        <f t="shared" si="143"/>
        <v>45</v>
      </c>
      <c r="BC130" s="415">
        <f t="shared" si="143"/>
        <v>76</v>
      </c>
      <c r="BD130" s="415">
        <f t="shared" si="143"/>
        <v>133</v>
      </c>
      <c r="BE130" s="415">
        <f t="shared" si="143"/>
        <v>205</v>
      </c>
      <c r="BF130" s="415">
        <f t="shared" si="143"/>
        <v>414</v>
      </c>
      <c r="BG130" s="415">
        <f t="shared" si="143"/>
        <v>16</v>
      </c>
      <c r="BH130" s="415">
        <f t="shared" si="143"/>
        <v>12</v>
      </c>
      <c r="BI130" s="415">
        <f t="shared" si="143"/>
        <v>15</v>
      </c>
      <c r="BJ130" s="415">
        <f t="shared" si="143"/>
        <v>33</v>
      </c>
      <c r="BK130" s="416">
        <f t="shared" si="143"/>
        <v>60</v>
      </c>
      <c r="BL130" s="417"/>
    </row>
    <row r="131" spans="1:64" s="43" customFormat="1" ht="17.100000000000001" customHeight="1">
      <c r="A131" s="761" t="s">
        <v>2625</v>
      </c>
      <c r="B131" s="53" t="s">
        <v>7</v>
      </c>
      <c r="C131" s="53" t="s">
        <v>7</v>
      </c>
      <c r="D131" s="53" t="s">
        <v>3397</v>
      </c>
      <c r="E131" s="55" t="s">
        <v>5</v>
      </c>
      <c r="F131" s="55" t="s">
        <v>3453</v>
      </c>
      <c r="G131" s="71">
        <v>35915</v>
      </c>
      <c r="H131" s="50" t="s">
        <v>2631</v>
      </c>
      <c r="I131" s="760">
        <v>1172</v>
      </c>
      <c r="J131" s="52">
        <v>21363</v>
      </c>
      <c r="K131" s="55" t="s">
        <v>1560</v>
      </c>
      <c r="L131" s="56" t="s">
        <v>3454</v>
      </c>
      <c r="M131" s="64">
        <v>6</v>
      </c>
      <c r="N131" s="65">
        <v>0</v>
      </c>
      <c r="O131" s="66">
        <v>170</v>
      </c>
      <c r="P131" s="67">
        <v>2</v>
      </c>
      <c r="Q131" s="68">
        <v>22</v>
      </c>
      <c r="R131" s="68">
        <v>2</v>
      </c>
      <c r="S131" s="68">
        <v>24</v>
      </c>
      <c r="T131" s="68">
        <v>2</v>
      </c>
      <c r="U131" s="69">
        <v>39</v>
      </c>
      <c r="V131" s="67">
        <v>0</v>
      </c>
      <c r="W131" s="67">
        <v>0</v>
      </c>
      <c r="X131" s="67">
        <v>0</v>
      </c>
      <c r="Y131" s="67">
        <v>0</v>
      </c>
      <c r="Z131" s="67">
        <v>0</v>
      </c>
      <c r="AA131" s="67">
        <v>0</v>
      </c>
      <c r="AB131" s="70"/>
      <c r="AC131" s="68"/>
      <c r="AD131" s="68"/>
      <c r="AE131" s="68"/>
      <c r="AF131" s="68"/>
      <c r="AG131" s="68"/>
      <c r="AH131" s="68"/>
      <c r="AI131" s="69"/>
      <c r="AJ131" s="70"/>
      <c r="AK131" s="68"/>
      <c r="AL131" s="68"/>
      <c r="AM131" s="68"/>
      <c r="AN131" s="68"/>
      <c r="AO131" s="68"/>
      <c r="AP131" s="68"/>
      <c r="AQ131" s="69"/>
      <c r="AR131" s="972"/>
      <c r="AS131" s="973"/>
      <c r="AT131" s="68"/>
      <c r="AU131" s="68"/>
      <c r="AV131" s="68"/>
      <c r="AW131" s="973"/>
      <c r="AX131" s="973"/>
      <c r="AY131" s="973"/>
      <c r="AZ131" s="973"/>
      <c r="BA131" s="974"/>
      <c r="BB131" s="975">
        <v>6</v>
      </c>
      <c r="BC131" s="959">
        <v>22</v>
      </c>
      <c r="BD131" s="959">
        <v>24</v>
      </c>
      <c r="BE131" s="959">
        <v>39</v>
      </c>
      <c r="BF131" s="959">
        <v>85</v>
      </c>
      <c r="BG131" s="959">
        <v>0</v>
      </c>
      <c r="BH131" s="959">
        <v>0</v>
      </c>
      <c r="BI131" s="959">
        <v>0</v>
      </c>
      <c r="BJ131" s="959">
        <v>0</v>
      </c>
      <c r="BK131" s="959">
        <v>0</v>
      </c>
      <c r="BL131" s="55"/>
    </row>
    <row r="132" spans="1:64" s="43" customFormat="1" ht="17.100000000000001" customHeight="1">
      <c r="A132" s="761" t="s">
        <v>2625</v>
      </c>
      <c r="B132" s="53" t="s">
        <v>7</v>
      </c>
      <c r="C132" s="53" t="s">
        <v>7</v>
      </c>
      <c r="D132" s="53" t="s">
        <v>3387</v>
      </c>
      <c r="E132" s="55" t="s">
        <v>5</v>
      </c>
      <c r="F132" s="55" t="s">
        <v>1570</v>
      </c>
      <c r="G132" s="71">
        <v>31808</v>
      </c>
      <c r="H132" s="50" t="s">
        <v>3455</v>
      </c>
      <c r="I132" s="760">
        <v>776</v>
      </c>
      <c r="J132" s="52">
        <v>21377</v>
      </c>
      <c r="K132" s="55" t="s">
        <v>3456</v>
      </c>
      <c r="L132" s="56" t="s">
        <v>3457</v>
      </c>
      <c r="M132" s="64">
        <v>9</v>
      </c>
      <c r="N132" s="65">
        <v>0</v>
      </c>
      <c r="O132" s="66">
        <v>252</v>
      </c>
      <c r="P132" s="67">
        <v>3</v>
      </c>
      <c r="Q132" s="68">
        <v>60</v>
      </c>
      <c r="R132" s="68">
        <v>2</v>
      </c>
      <c r="S132" s="68">
        <v>41</v>
      </c>
      <c r="T132" s="68">
        <v>3</v>
      </c>
      <c r="U132" s="69">
        <v>63</v>
      </c>
      <c r="V132" s="67">
        <v>0</v>
      </c>
      <c r="W132" s="67">
        <v>0</v>
      </c>
      <c r="X132" s="67">
        <v>0</v>
      </c>
      <c r="Y132" s="67">
        <v>0</v>
      </c>
      <c r="Z132" s="67">
        <v>0</v>
      </c>
      <c r="AA132" s="67">
        <v>0</v>
      </c>
      <c r="AB132" s="70"/>
      <c r="AC132" s="68"/>
      <c r="AD132" s="68"/>
      <c r="AE132" s="68"/>
      <c r="AF132" s="68"/>
      <c r="AG132" s="68"/>
      <c r="AH132" s="68"/>
      <c r="AI132" s="69"/>
      <c r="AJ132" s="70"/>
      <c r="AK132" s="68"/>
      <c r="AL132" s="68"/>
      <c r="AM132" s="68"/>
      <c r="AN132" s="68"/>
      <c r="AO132" s="68"/>
      <c r="AP132" s="68"/>
      <c r="AQ132" s="69"/>
      <c r="AR132" s="972"/>
      <c r="AS132" s="973"/>
      <c r="AT132" s="68"/>
      <c r="AU132" s="68"/>
      <c r="AV132" s="68"/>
      <c r="AW132" s="973"/>
      <c r="AX132" s="973"/>
      <c r="AY132" s="973"/>
      <c r="AZ132" s="973"/>
      <c r="BA132" s="974"/>
      <c r="BB132" s="975">
        <v>8</v>
      </c>
      <c r="BC132" s="959">
        <v>60</v>
      </c>
      <c r="BD132" s="959">
        <v>41</v>
      </c>
      <c r="BE132" s="959">
        <v>63</v>
      </c>
      <c r="BF132" s="959">
        <v>164</v>
      </c>
      <c r="BG132" s="959">
        <v>0</v>
      </c>
      <c r="BH132" s="959">
        <v>0</v>
      </c>
      <c r="BI132" s="959">
        <v>0</v>
      </c>
      <c r="BJ132" s="959">
        <v>0</v>
      </c>
      <c r="BK132" s="959">
        <v>0</v>
      </c>
      <c r="BL132" s="55"/>
    </row>
    <row r="133" spans="1:64" s="43" customFormat="1" ht="17.100000000000001" customHeight="1">
      <c r="A133" s="761" t="s">
        <v>2625</v>
      </c>
      <c r="B133" s="53" t="s">
        <v>7</v>
      </c>
      <c r="C133" s="53" t="s">
        <v>7</v>
      </c>
      <c r="D133" s="53" t="s">
        <v>2630</v>
      </c>
      <c r="E133" s="55" t="s">
        <v>5</v>
      </c>
      <c r="F133" s="55" t="s">
        <v>3458</v>
      </c>
      <c r="G133" s="71">
        <v>32933</v>
      </c>
      <c r="H133" s="50" t="s">
        <v>3459</v>
      </c>
      <c r="I133" s="760">
        <v>684</v>
      </c>
      <c r="J133" s="52">
        <v>21385</v>
      </c>
      <c r="K133" s="55" t="s">
        <v>3460</v>
      </c>
      <c r="L133" s="56" t="s">
        <v>3461</v>
      </c>
      <c r="M133" s="64">
        <v>9</v>
      </c>
      <c r="N133" s="65">
        <v>0</v>
      </c>
      <c r="O133" s="66">
        <v>212</v>
      </c>
      <c r="P133" s="67">
        <v>3</v>
      </c>
      <c r="Q133" s="68">
        <v>56</v>
      </c>
      <c r="R133" s="68">
        <v>3</v>
      </c>
      <c r="S133" s="68">
        <v>70</v>
      </c>
      <c r="T133" s="68">
        <v>3</v>
      </c>
      <c r="U133" s="69">
        <v>64</v>
      </c>
      <c r="V133" s="67">
        <v>0</v>
      </c>
      <c r="W133" s="67">
        <v>0</v>
      </c>
      <c r="X133" s="67">
        <v>0</v>
      </c>
      <c r="Y133" s="67">
        <v>0</v>
      </c>
      <c r="Z133" s="67">
        <v>0</v>
      </c>
      <c r="AA133" s="67">
        <v>0</v>
      </c>
      <c r="AB133" s="70"/>
      <c r="AC133" s="68"/>
      <c r="AD133" s="68"/>
      <c r="AE133" s="68"/>
      <c r="AF133" s="68"/>
      <c r="AG133" s="68"/>
      <c r="AH133" s="68"/>
      <c r="AI133" s="69"/>
      <c r="AJ133" s="70"/>
      <c r="AK133" s="68"/>
      <c r="AL133" s="68"/>
      <c r="AM133" s="68"/>
      <c r="AN133" s="68"/>
      <c r="AO133" s="68"/>
      <c r="AP133" s="68"/>
      <c r="AQ133" s="69"/>
      <c r="AR133" s="972"/>
      <c r="AS133" s="973"/>
      <c r="AT133" s="68"/>
      <c r="AU133" s="68"/>
      <c r="AV133" s="68"/>
      <c r="AW133" s="973"/>
      <c r="AX133" s="973"/>
      <c r="AY133" s="973"/>
      <c r="AZ133" s="973"/>
      <c r="BA133" s="974"/>
      <c r="BB133" s="975">
        <v>9</v>
      </c>
      <c r="BC133" s="959">
        <v>56</v>
      </c>
      <c r="BD133" s="959">
        <v>70</v>
      </c>
      <c r="BE133" s="959">
        <v>64</v>
      </c>
      <c r="BF133" s="959">
        <v>190</v>
      </c>
      <c r="BG133" s="959">
        <v>0</v>
      </c>
      <c r="BH133" s="959">
        <v>0</v>
      </c>
      <c r="BI133" s="959">
        <v>0</v>
      </c>
      <c r="BJ133" s="959">
        <v>0</v>
      </c>
      <c r="BK133" s="959">
        <v>0</v>
      </c>
      <c r="BL133" s="55"/>
    </row>
    <row r="134" spans="1:64" s="43" customFormat="1" ht="17.100000000000001" customHeight="1">
      <c r="A134" s="761" t="s">
        <v>2625</v>
      </c>
      <c r="B134" s="53" t="s">
        <v>7</v>
      </c>
      <c r="C134" s="53" t="s">
        <v>7</v>
      </c>
      <c r="D134" s="53" t="s">
        <v>1886</v>
      </c>
      <c r="E134" s="55" t="s">
        <v>5</v>
      </c>
      <c r="F134" s="55" t="s">
        <v>3462</v>
      </c>
      <c r="G134" s="71">
        <v>39873</v>
      </c>
      <c r="H134" s="50" t="s">
        <v>1838</v>
      </c>
      <c r="I134" s="760">
        <v>770</v>
      </c>
      <c r="J134" s="52">
        <v>21308</v>
      </c>
      <c r="K134" s="55" t="s">
        <v>3463</v>
      </c>
      <c r="L134" s="56" t="s">
        <v>3464</v>
      </c>
      <c r="M134" s="64">
        <v>7</v>
      </c>
      <c r="N134" s="65">
        <v>0</v>
      </c>
      <c r="O134" s="66">
        <v>177</v>
      </c>
      <c r="P134" s="67">
        <v>2</v>
      </c>
      <c r="Q134" s="68">
        <v>30</v>
      </c>
      <c r="R134" s="68">
        <v>2</v>
      </c>
      <c r="S134" s="68">
        <v>23</v>
      </c>
      <c r="T134" s="68">
        <v>2</v>
      </c>
      <c r="U134" s="69">
        <v>29</v>
      </c>
      <c r="V134" s="67">
        <v>0</v>
      </c>
      <c r="W134" s="67">
        <v>0</v>
      </c>
      <c r="X134" s="67">
        <v>0</v>
      </c>
      <c r="Y134" s="67">
        <v>0</v>
      </c>
      <c r="Z134" s="67">
        <v>0</v>
      </c>
      <c r="AA134" s="67">
        <v>0</v>
      </c>
      <c r="AB134" s="70"/>
      <c r="AC134" s="68"/>
      <c r="AD134" s="68"/>
      <c r="AE134" s="68"/>
      <c r="AF134" s="68"/>
      <c r="AG134" s="68"/>
      <c r="AH134" s="68"/>
      <c r="AI134" s="69"/>
      <c r="AJ134" s="70"/>
      <c r="AK134" s="68"/>
      <c r="AL134" s="68"/>
      <c r="AM134" s="68"/>
      <c r="AN134" s="68"/>
      <c r="AO134" s="68"/>
      <c r="AP134" s="68"/>
      <c r="AQ134" s="69"/>
      <c r="AR134" s="972"/>
      <c r="AS134" s="973"/>
      <c r="AT134" s="68"/>
      <c r="AU134" s="68"/>
      <c r="AV134" s="68"/>
      <c r="AW134" s="973"/>
      <c r="AX134" s="973"/>
      <c r="AY134" s="973"/>
      <c r="AZ134" s="973"/>
      <c r="BA134" s="974"/>
      <c r="BB134" s="975">
        <v>6</v>
      </c>
      <c r="BC134" s="959">
        <v>30</v>
      </c>
      <c r="BD134" s="959">
        <v>23</v>
      </c>
      <c r="BE134" s="959">
        <v>29</v>
      </c>
      <c r="BF134" s="959">
        <v>82</v>
      </c>
      <c r="BG134" s="959">
        <v>0</v>
      </c>
      <c r="BH134" s="959">
        <v>0</v>
      </c>
      <c r="BI134" s="959">
        <v>0</v>
      </c>
      <c r="BJ134" s="959">
        <v>0</v>
      </c>
      <c r="BK134" s="959">
        <v>0</v>
      </c>
      <c r="BL134" s="55"/>
    </row>
    <row r="135" spans="1:64" s="43" customFormat="1" ht="17.100000000000001" customHeight="1">
      <c r="A135" s="761" t="s">
        <v>2625</v>
      </c>
      <c r="B135" s="53" t="s">
        <v>7</v>
      </c>
      <c r="C135" s="53" t="s">
        <v>7</v>
      </c>
      <c r="D135" s="53" t="s">
        <v>2630</v>
      </c>
      <c r="E135" s="55" t="s">
        <v>5</v>
      </c>
      <c r="F135" s="55" t="s">
        <v>3465</v>
      </c>
      <c r="G135" s="71">
        <v>31808</v>
      </c>
      <c r="H135" s="50" t="s">
        <v>3466</v>
      </c>
      <c r="I135" s="760">
        <v>779</v>
      </c>
      <c r="J135" s="52">
        <v>21381</v>
      </c>
      <c r="K135" s="55" t="s">
        <v>3467</v>
      </c>
      <c r="L135" s="56" t="s">
        <v>3468</v>
      </c>
      <c r="M135" s="64">
        <v>7</v>
      </c>
      <c r="N135" s="65">
        <v>0</v>
      </c>
      <c r="O135" s="66">
        <v>154</v>
      </c>
      <c r="P135" s="67">
        <v>2</v>
      </c>
      <c r="Q135" s="68">
        <v>42</v>
      </c>
      <c r="R135" s="68">
        <v>2</v>
      </c>
      <c r="S135" s="68">
        <v>48</v>
      </c>
      <c r="T135" s="68">
        <v>3</v>
      </c>
      <c r="U135" s="69">
        <v>60</v>
      </c>
      <c r="V135" s="67">
        <v>0</v>
      </c>
      <c r="W135" s="67">
        <v>0</v>
      </c>
      <c r="X135" s="67">
        <v>0</v>
      </c>
      <c r="Y135" s="67">
        <v>0</v>
      </c>
      <c r="Z135" s="67">
        <v>0</v>
      </c>
      <c r="AA135" s="67">
        <v>0</v>
      </c>
      <c r="AB135" s="70"/>
      <c r="AC135" s="68"/>
      <c r="AD135" s="68"/>
      <c r="AE135" s="68"/>
      <c r="AF135" s="68"/>
      <c r="AG135" s="68"/>
      <c r="AH135" s="68"/>
      <c r="AI135" s="69"/>
      <c r="AJ135" s="70"/>
      <c r="AK135" s="68"/>
      <c r="AL135" s="68"/>
      <c r="AM135" s="68"/>
      <c r="AN135" s="68"/>
      <c r="AO135" s="68"/>
      <c r="AP135" s="68"/>
      <c r="AQ135" s="69"/>
      <c r="AR135" s="972"/>
      <c r="AS135" s="973"/>
      <c r="AT135" s="68"/>
      <c r="AU135" s="68"/>
      <c r="AV135" s="68"/>
      <c r="AW135" s="973"/>
      <c r="AX135" s="973"/>
      <c r="AY135" s="973"/>
      <c r="AZ135" s="973"/>
      <c r="BA135" s="974"/>
      <c r="BB135" s="975">
        <v>7</v>
      </c>
      <c r="BC135" s="959">
        <v>42</v>
      </c>
      <c r="BD135" s="959">
        <v>48</v>
      </c>
      <c r="BE135" s="959">
        <v>60</v>
      </c>
      <c r="BF135" s="959">
        <v>150</v>
      </c>
      <c r="BG135" s="959">
        <v>0</v>
      </c>
      <c r="BH135" s="959">
        <v>0</v>
      </c>
      <c r="BI135" s="959">
        <v>0</v>
      </c>
      <c r="BJ135" s="959">
        <v>0</v>
      </c>
      <c r="BK135" s="959">
        <v>0</v>
      </c>
      <c r="BL135" s="55"/>
    </row>
    <row r="136" spans="1:64" s="43" customFormat="1" ht="17.100000000000001" customHeight="1">
      <c r="A136" s="761" t="s">
        <v>2625</v>
      </c>
      <c r="B136" s="53" t="s">
        <v>7</v>
      </c>
      <c r="C136" s="53" t="s">
        <v>7</v>
      </c>
      <c r="D136" s="53" t="s">
        <v>3397</v>
      </c>
      <c r="E136" s="55" t="s">
        <v>5</v>
      </c>
      <c r="F136" s="55" t="s">
        <v>3469</v>
      </c>
      <c r="G136" s="71">
        <v>36031</v>
      </c>
      <c r="H136" s="50" t="s">
        <v>3470</v>
      </c>
      <c r="I136" s="760">
        <v>1013</v>
      </c>
      <c r="J136" s="52">
        <v>21312</v>
      </c>
      <c r="K136" s="55" t="s">
        <v>3471</v>
      </c>
      <c r="L136" s="56" t="s">
        <v>3472</v>
      </c>
      <c r="M136" s="64">
        <v>6</v>
      </c>
      <c r="N136" s="65">
        <v>0</v>
      </c>
      <c r="O136" s="66">
        <v>228</v>
      </c>
      <c r="P136" s="67">
        <v>2</v>
      </c>
      <c r="Q136" s="68">
        <v>31</v>
      </c>
      <c r="R136" s="68">
        <v>2</v>
      </c>
      <c r="S136" s="68">
        <v>41</v>
      </c>
      <c r="T136" s="68">
        <v>2</v>
      </c>
      <c r="U136" s="69">
        <v>49</v>
      </c>
      <c r="V136" s="67">
        <v>0</v>
      </c>
      <c r="W136" s="67">
        <v>0</v>
      </c>
      <c r="X136" s="67">
        <v>0</v>
      </c>
      <c r="Y136" s="67">
        <v>0</v>
      </c>
      <c r="Z136" s="67">
        <v>0</v>
      </c>
      <c r="AA136" s="67">
        <v>0</v>
      </c>
      <c r="AB136" s="70"/>
      <c r="AC136" s="68"/>
      <c r="AD136" s="68"/>
      <c r="AE136" s="68"/>
      <c r="AF136" s="68"/>
      <c r="AG136" s="68"/>
      <c r="AH136" s="68"/>
      <c r="AI136" s="69"/>
      <c r="AJ136" s="70"/>
      <c r="AK136" s="68"/>
      <c r="AL136" s="68"/>
      <c r="AM136" s="68"/>
      <c r="AN136" s="68"/>
      <c r="AO136" s="68"/>
      <c r="AP136" s="68"/>
      <c r="AQ136" s="69"/>
      <c r="AR136" s="972"/>
      <c r="AS136" s="973"/>
      <c r="AT136" s="68"/>
      <c r="AU136" s="68"/>
      <c r="AV136" s="68"/>
      <c r="AW136" s="973"/>
      <c r="AX136" s="973"/>
      <c r="AY136" s="973"/>
      <c r="AZ136" s="973"/>
      <c r="BA136" s="974"/>
      <c r="BB136" s="975">
        <v>6</v>
      </c>
      <c r="BC136" s="959">
        <v>31</v>
      </c>
      <c r="BD136" s="959">
        <v>41</v>
      </c>
      <c r="BE136" s="959">
        <v>49</v>
      </c>
      <c r="BF136" s="959">
        <v>121</v>
      </c>
      <c r="BG136" s="959">
        <v>0</v>
      </c>
      <c r="BH136" s="959">
        <v>0</v>
      </c>
      <c r="BI136" s="959">
        <v>0</v>
      </c>
      <c r="BJ136" s="959">
        <v>0</v>
      </c>
      <c r="BK136" s="959">
        <v>0</v>
      </c>
      <c r="BL136" s="55"/>
    </row>
    <row r="137" spans="1:64" s="43" customFormat="1" ht="17.100000000000001" customHeight="1">
      <c r="A137" s="761" t="s">
        <v>2625</v>
      </c>
      <c r="B137" s="53" t="s">
        <v>7</v>
      </c>
      <c r="C137" s="53" t="s">
        <v>7</v>
      </c>
      <c r="D137" s="53" t="s">
        <v>3473</v>
      </c>
      <c r="E137" s="55" t="s">
        <v>5</v>
      </c>
      <c r="F137" s="55" t="s">
        <v>3474</v>
      </c>
      <c r="G137" s="71">
        <v>37005</v>
      </c>
      <c r="H137" s="50" t="s">
        <v>3475</v>
      </c>
      <c r="I137" s="760">
        <v>595</v>
      </c>
      <c r="J137" s="52">
        <v>21434</v>
      </c>
      <c r="K137" s="55" t="s">
        <v>3476</v>
      </c>
      <c r="L137" s="56" t="s">
        <v>3477</v>
      </c>
      <c r="M137" s="64">
        <v>4</v>
      </c>
      <c r="N137" s="65">
        <v>0</v>
      </c>
      <c r="O137" s="66">
        <v>107</v>
      </c>
      <c r="P137" s="67">
        <v>1</v>
      </c>
      <c r="Q137" s="68">
        <v>3</v>
      </c>
      <c r="R137" s="68">
        <v>1</v>
      </c>
      <c r="S137" s="68">
        <v>2</v>
      </c>
      <c r="T137" s="68">
        <v>1</v>
      </c>
      <c r="U137" s="69">
        <v>2</v>
      </c>
      <c r="V137" s="67">
        <v>0</v>
      </c>
      <c r="W137" s="67">
        <v>0</v>
      </c>
      <c r="X137" s="67">
        <v>0</v>
      </c>
      <c r="Y137" s="67">
        <v>0</v>
      </c>
      <c r="Z137" s="67">
        <v>0</v>
      </c>
      <c r="AA137" s="67">
        <v>0</v>
      </c>
      <c r="AB137" s="70"/>
      <c r="AC137" s="68"/>
      <c r="AD137" s="68"/>
      <c r="AE137" s="68"/>
      <c r="AF137" s="68"/>
      <c r="AG137" s="68"/>
      <c r="AH137" s="68"/>
      <c r="AI137" s="69"/>
      <c r="AJ137" s="70"/>
      <c r="AK137" s="68"/>
      <c r="AL137" s="68"/>
      <c r="AM137" s="68"/>
      <c r="AN137" s="68"/>
      <c r="AO137" s="68"/>
      <c r="AP137" s="68"/>
      <c r="AQ137" s="69"/>
      <c r="AR137" s="972"/>
      <c r="AS137" s="973"/>
      <c r="AT137" s="68"/>
      <c r="AU137" s="68"/>
      <c r="AV137" s="68"/>
      <c r="AW137" s="973"/>
      <c r="AX137" s="973"/>
      <c r="AY137" s="973"/>
      <c r="AZ137" s="973"/>
      <c r="BA137" s="974"/>
      <c r="BB137" s="975">
        <v>3</v>
      </c>
      <c r="BC137" s="959">
        <v>3</v>
      </c>
      <c r="BD137" s="959">
        <v>2</v>
      </c>
      <c r="BE137" s="959">
        <v>2</v>
      </c>
      <c r="BF137" s="959">
        <v>7</v>
      </c>
      <c r="BG137" s="959">
        <v>0</v>
      </c>
      <c r="BH137" s="959">
        <v>0</v>
      </c>
      <c r="BI137" s="959">
        <v>0</v>
      </c>
      <c r="BJ137" s="959">
        <v>0</v>
      </c>
      <c r="BK137" s="959">
        <v>0</v>
      </c>
      <c r="BL137" s="55"/>
    </row>
    <row r="138" spans="1:64" s="43" customFormat="1" ht="17.100000000000001" customHeight="1">
      <c r="A138" s="761" t="s">
        <v>2625</v>
      </c>
      <c r="B138" s="53" t="s">
        <v>7</v>
      </c>
      <c r="C138" s="53" t="s">
        <v>7</v>
      </c>
      <c r="D138" s="53" t="s">
        <v>2630</v>
      </c>
      <c r="E138" s="55" t="s">
        <v>5</v>
      </c>
      <c r="F138" s="55" t="s">
        <v>1557</v>
      </c>
      <c r="G138" s="71">
        <v>43096</v>
      </c>
      <c r="H138" s="50" t="s">
        <v>3478</v>
      </c>
      <c r="I138" s="760">
        <v>594</v>
      </c>
      <c r="J138" s="52">
        <v>21382</v>
      </c>
      <c r="K138" s="55" t="s">
        <v>1558</v>
      </c>
      <c r="L138" s="56" t="s">
        <v>1559</v>
      </c>
      <c r="M138" s="64">
        <v>4</v>
      </c>
      <c r="N138" s="65">
        <v>0</v>
      </c>
      <c r="O138" s="66">
        <v>96</v>
      </c>
      <c r="P138" s="67">
        <v>0</v>
      </c>
      <c r="Q138" s="68">
        <v>0</v>
      </c>
      <c r="R138" s="68">
        <v>2</v>
      </c>
      <c r="S138" s="68">
        <v>46</v>
      </c>
      <c r="T138" s="68">
        <v>2</v>
      </c>
      <c r="U138" s="69">
        <v>50</v>
      </c>
      <c r="V138" s="67">
        <v>0</v>
      </c>
      <c r="W138" s="67">
        <v>0</v>
      </c>
      <c r="X138" s="67">
        <v>0</v>
      </c>
      <c r="Y138" s="67">
        <v>0</v>
      </c>
      <c r="Z138" s="67">
        <v>0</v>
      </c>
      <c r="AA138" s="67">
        <v>0</v>
      </c>
      <c r="AB138" s="70"/>
      <c r="AC138" s="68"/>
      <c r="AD138" s="68"/>
      <c r="AE138" s="68"/>
      <c r="AF138" s="68"/>
      <c r="AG138" s="68"/>
      <c r="AH138" s="68"/>
      <c r="AI138" s="69"/>
      <c r="AJ138" s="70"/>
      <c r="AK138" s="68"/>
      <c r="AL138" s="68"/>
      <c r="AM138" s="68"/>
      <c r="AN138" s="68"/>
      <c r="AO138" s="68"/>
      <c r="AP138" s="68"/>
      <c r="AQ138" s="69"/>
      <c r="AR138" s="972"/>
      <c r="AS138" s="973"/>
      <c r="AT138" s="68"/>
      <c r="AU138" s="68"/>
      <c r="AV138" s="68"/>
      <c r="AW138" s="973"/>
      <c r="AX138" s="973"/>
      <c r="AY138" s="973"/>
      <c r="AZ138" s="973"/>
      <c r="BA138" s="974"/>
      <c r="BB138" s="975">
        <v>4</v>
      </c>
      <c r="BC138" s="959">
        <v>0</v>
      </c>
      <c r="BD138" s="959">
        <v>46</v>
      </c>
      <c r="BE138" s="959">
        <v>50</v>
      </c>
      <c r="BF138" s="959">
        <v>96</v>
      </c>
      <c r="BG138" s="959">
        <v>0</v>
      </c>
      <c r="BH138" s="959">
        <v>0</v>
      </c>
      <c r="BI138" s="959">
        <v>0</v>
      </c>
      <c r="BJ138" s="959">
        <v>0</v>
      </c>
      <c r="BK138" s="959">
        <v>0</v>
      </c>
      <c r="BL138" s="55"/>
    </row>
    <row r="139" spans="1:64" s="43" customFormat="1" ht="17.100000000000001" customHeight="1">
      <c r="A139" s="761" t="s">
        <v>2625</v>
      </c>
      <c r="B139" s="53" t="s">
        <v>7</v>
      </c>
      <c r="C139" s="53" t="s">
        <v>7</v>
      </c>
      <c r="D139" s="53" t="s">
        <v>2627</v>
      </c>
      <c r="E139" s="55" t="s">
        <v>5</v>
      </c>
      <c r="F139" s="55" t="s">
        <v>3479</v>
      </c>
      <c r="G139" s="71">
        <v>36959</v>
      </c>
      <c r="H139" s="50" t="s">
        <v>1569</v>
      </c>
      <c r="I139" s="760">
        <v>682</v>
      </c>
      <c r="J139" s="52">
        <v>21362</v>
      </c>
      <c r="K139" s="55" t="s">
        <v>1553</v>
      </c>
      <c r="L139" s="56" t="s">
        <v>1554</v>
      </c>
      <c r="M139" s="64">
        <v>5</v>
      </c>
      <c r="N139" s="65">
        <v>0</v>
      </c>
      <c r="O139" s="66">
        <v>125</v>
      </c>
      <c r="P139" s="67">
        <v>1</v>
      </c>
      <c r="Q139" s="68">
        <v>31</v>
      </c>
      <c r="R139" s="68">
        <v>2</v>
      </c>
      <c r="S139" s="68">
        <v>45</v>
      </c>
      <c r="T139" s="68">
        <v>2</v>
      </c>
      <c r="U139" s="69">
        <v>49</v>
      </c>
      <c r="V139" s="67">
        <v>0</v>
      </c>
      <c r="W139" s="67">
        <v>0</v>
      </c>
      <c r="X139" s="67">
        <v>0</v>
      </c>
      <c r="Y139" s="67">
        <v>0</v>
      </c>
      <c r="Z139" s="67">
        <v>0</v>
      </c>
      <c r="AA139" s="67">
        <v>0</v>
      </c>
      <c r="AB139" s="70"/>
      <c r="AC139" s="68"/>
      <c r="AD139" s="68"/>
      <c r="AE139" s="68"/>
      <c r="AF139" s="68"/>
      <c r="AG139" s="68"/>
      <c r="AH139" s="68"/>
      <c r="AI139" s="69"/>
      <c r="AJ139" s="70"/>
      <c r="AK139" s="68"/>
      <c r="AL139" s="68"/>
      <c r="AM139" s="68"/>
      <c r="AN139" s="68"/>
      <c r="AO139" s="68"/>
      <c r="AP139" s="68"/>
      <c r="AQ139" s="69"/>
      <c r="AR139" s="972"/>
      <c r="AS139" s="973"/>
      <c r="AT139" s="68"/>
      <c r="AU139" s="68"/>
      <c r="AV139" s="68"/>
      <c r="AW139" s="973"/>
      <c r="AX139" s="973"/>
      <c r="AY139" s="973"/>
      <c r="AZ139" s="973"/>
      <c r="BA139" s="974"/>
      <c r="BB139" s="975">
        <v>5</v>
      </c>
      <c r="BC139" s="959">
        <v>31</v>
      </c>
      <c r="BD139" s="959">
        <v>45</v>
      </c>
      <c r="BE139" s="959">
        <v>49</v>
      </c>
      <c r="BF139" s="959">
        <v>125</v>
      </c>
      <c r="BG139" s="959">
        <v>0</v>
      </c>
      <c r="BH139" s="959">
        <v>0</v>
      </c>
      <c r="BI139" s="959">
        <v>0</v>
      </c>
      <c r="BJ139" s="959">
        <v>0</v>
      </c>
      <c r="BK139" s="959">
        <v>0</v>
      </c>
      <c r="BL139" s="55"/>
    </row>
    <row r="140" spans="1:64" s="43" customFormat="1" ht="17.100000000000001" customHeight="1">
      <c r="A140" s="761" t="s">
        <v>2625</v>
      </c>
      <c r="B140" s="53" t="s">
        <v>7</v>
      </c>
      <c r="C140" s="53" t="s">
        <v>7</v>
      </c>
      <c r="D140" s="53" t="s">
        <v>2627</v>
      </c>
      <c r="E140" s="55" t="s">
        <v>5</v>
      </c>
      <c r="F140" s="55" t="s">
        <v>2628</v>
      </c>
      <c r="G140" s="71">
        <v>40709</v>
      </c>
      <c r="H140" s="50" t="s">
        <v>2629</v>
      </c>
      <c r="I140" s="760">
        <v>364</v>
      </c>
      <c r="J140" s="52">
        <v>21376</v>
      </c>
      <c r="K140" s="55" t="s">
        <v>1555</v>
      </c>
      <c r="L140" s="56" t="s">
        <v>1556</v>
      </c>
      <c r="M140" s="64">
        <v>9</v>
      </c>
      <c r="N140" s="65">
        <v>0</v>
      </c>
      <c r="O140" s="66">
        <v>172</v>
      </c>
      <c r="P140" s="67">
        <v>3</v>
      </c>
      <c r="Q140" s="68">
        <v>66</v>
      </c>
      <c r="R140" s="68">
        <v>2</v>
      </c>
      <c r="S140" s="68">
        <v>45</v>
      </c>
      <c r="T140" s="68">
        <v>2</v>
      </c>
      <c r="U140" s="69">
        <v>48</v>
      </c>
      <c r="V140" s="67">
        <v>0</v>
      </c>
      <c r="W140" s="67">
        <v>0</v>
      </c>
      <c r="X140" s="67">
        <v>0</v>
      </c>
      <c r="Y140" s="67">
        <v>0</v>
      </c>
      <c r="Z140" s="67">
        <v>0</v>
      </c>
      <c r="AA140" s="67">
        <v>0</v>
      </c>
      <c r="AB140" s="70"/>
      <c r="AC140" s="68"/>
      <c r="AD140" s="68"/>
      <c r="AE140" s="68"/>
      <c r="AF140" s="68"/>
      <c r="AG140" s="68"/>
      <c r="AH140" s="68"/>
      <c r="AI140" s="69"/>
      <c r="AJ140" s="70"/>
      <c r="AK140" s="68"/>
      <c r="AL140" s="68"/>
      <c r="AM140" s="68"/>
      <c r="AN140" s="68"/>
      <c r="AO140" s="68"/>
      <c r="AP140" s="68"/>
      <c r="AQ140" s="69"/>
      <c r="AR140" s="972"/>
      <c r="AS140" s="973"/>
      <c r="AT140" s="68"/>
      <c r="AU140" s="68"/>
      <c r="AV140" s="68"/>
      <c r="AW140" s="973"/>
      <c r="AX140" s="973"/>
      <c r="AY140" s="973"/>
      <c r="AZ140" s="973"/>
      <c r="BA140" s="974"/>
      <c r="BB140" s="975">
        <v>7</v>
      </c>
      <c r="BC140" s="959">
        <v>66</v>
      </c>
      <c r="BD140" s="959">
        <v>45</v>
      </c>
      <c r="BE140" s="959">
        <v>48</v>
      </c>
      <c r="BF140" s="959">
        <v>159</v>
      </c>
      <c r="BG140" s="959">
        <v>0</v>
      </c>
      <c r="BH140" s="959">
        <v>0</v>
      </c>
      <c r="BI140" s="959">
        <v>0</v>
      </c>
      <c r="BJ140" s="959">
        <v>0</v>
      </c>
      <c r="BK140" s="959">
        <v>0</v>
      </c>
      <c r="BL140" s="55"/>
    </row>
    <row r="141" spans="1:64" s="43" customFormat="1" ht="17.100000000000001" customHeight="1">
      <c r="A141" s="761" t="s">
        <v>2625</v>
      </c>
      <c r="B141" s="53" t="s">
        <v>7</v>
      </c>
      <c r="C141" s="53" t="s">
        <v>7</v>
      </c>
      <c r="D141" s="53" t="s">
        <v>3480</v>
      </c>
      <c r="E141" s="55" t="s">
        <v>5</v>
      </c>
      <c r="F141" s="55" t="s">
        <v>1550</v>
      </c>
      <c r="G141" s="71">
        <v>33282</v>
      </c>
      <c r="H141" s="50" t="s">
        <v>3481</v>
      </c>
      <c r="I141" s="760">
        <v>221</v>
      </c>
      <c r="J141" s="52">
        <v>21387</v>
      </c>
      <c r="K141" s="55" t="s">
        <v>1551</v>
      </c>
      <c r="L141" s="56" t="s">
        <v>1552</v>
      </c>
      <c r="M141" s="64">
        <v>3</v>
      </c>
      <c r="N141" s="65">
        <v>0</v>
      </c>
      <c r="O141" s="66">
        <v>90</v>
      </c>
      <c r="P141" s="67">
        <v>0</v>
      </c>
      <c r="Q141" s="68">
        <v>0</v>
      </c>
      <c r="R141" s="68">
        <v>0</v>
      </c>
      <c r="S141" s="68">
        <v>0</v>
      </c>
      <c r="T141" s="68">
        <v>0</v>
      </c>
      <c r="U141" s="69">
        <v>0</v>
      </c>
      <c r="V141" s="67">
        <v>0</v>
      </c>
      <c r="W141" s="67">
        <v>0</v>
      </c>
      <c r="X141" s="67">
        <v>0</v>
      </c>
      <c r="Y141" s="67">
        <v>0</v>
      </c>
      <c r="Z141" s="67">
        <v>0</v>
      </c>
      <c r="AA141" s="67">
        <v>0</v>
      </c>
      <c r="AB141" s="70"/>
      <c r="AC141" s="68"/>
      <c r="AD141" s="68"/>
      <c r="AE141" s="68"/>
      <c r="AF141" s="68"/>
      <c r="AG141" s="68"/>
      <c r="AH141" s="68"/>
      <c r="AI141" s="69"/>
      <c r="AJ141" s="70"/>
      <c r="AK141" s="68"/>
      <c r="AL141" s="68"/>
      <c r="AM141" s="68"/>
      <c r="AN141" s="68"/>
      <c r="AO141" s="68"/>
      <c r="AP141" s="68"/>
      <c r="AQ141" s="69"/>
      <c r="AR141" s="972"/>
      <c r="AS141" s="973"/>
      <c r="AT141" s="68"/>
      <c r="AU141" s="68"/>
      <c r="AV141" s="68"/>
      <c r="AW141" s="973"/>
      <c r="AX141" s="973"/>
      <c r="AY141" s="973"/>
      <c r="AZ141" s="973"/>
      <c r="BA141" s="974"/>
      <c r="BB141" s="975">
        <v>0</v>
      </c>
      <c r="BC141" s="959">
        <v>0</v>
      </c>
      <c r="BD141" s="959">
        <v>0</v>
      </c>
      <c r="BE141" s="959">
        <v>0</v>
      </c>
      <c r="BF141" s="959">
        <v>0</v>
      </c>
      <c r="BG141" s="959">
        <v>0</v>
      </c>
      <c r="BH141" s="959">
        <v>0</v>
      </c>
      <c r="BI141" s="959">
        <v>0</v>
      </c>
      <c r="BJ141" s="959">
        <v>0</v>
      </c>
      <c r="BK141" s="959">
        <v>0</v>
      </c>
      <c r="BL141" s="55" t="s">
        <v>3482</v>
      </c>
    </row>
    <row r="142" spans="1:64" s="43" customFormat="1" ht="17.100000000000001" customHeight="1">
      <c r="A142" s="761" t="s">
        <v>2625</v>
      </c>
      <c r="B142" s="53" t="s">
        <v>7</v>
      </c>
      <c r="C142" s="53" t="s">
        <v>7</v>
      </c>
      <c r="D142" s="53" t="s">
        <v>2630</v>
      </c>
      <c r="E142" s="55" t="s">
        <v>5</v>
      </c>
      <c r="F142" s="55" t="s">
        <v>3483</v>
      </c>
      <c r="G142" s="71">
        <v>28915</v>
      </c>
      <c r="H142" s="50" t="s">
        <v>1839</v>
      </c>
      <c r="I142" s="760">
        <v>4896</v>
      </c>
      <c r="J142" s="52">
        <v>21374</v>
      </c>
      <c r="K142" s="55" t="s">
        <v>3484</v>
      </c>
      <c r="L142" s="56" t="s">
        <v>3485</v>
      </c>
      <c r="M142" s="64">
        <v>10</v>
      </c>
      <c r="N142" s="65">
        <v>0</v>
      </c>
      <c r="O142" s="66">
        <v>300</v>
      </c>
      <c r="P142" s="67">
        <v>3</v>
      </c>
      <c r="Q142" s="68">
        <v>60</v>
      </c>
      <c r="R142" s="68">
        <v>2</v>
      </c>
      <c r="S142" s="68">
        <v>40</v>
      </c>
      <c r="T142" s="68">
        <v>2</v>
      </c>
      <c r="U142" s="69">
        <v>31</v>
      </c>
      <c r="V142" s="67">
        <v>0</v>
      </c>
      <c r="W142" s="67">
        <v>0</v>
      </c>
      <c r="X142" s="67">
        <v>0</v>
      </c>
      <c r="Y142" s="67">
        <v>0</v>
      </c>
      <c r="Z142" s="67">
        <v>0</v>
      </c>
      <c r="AA142" s="67">
        <v>0</v>
      </c>
      <c r="AB142" s="70"/>
      <c r="AC142" s="68"/>
      <c r="AD142" s="68"/>
      <c r="AE142" s="68"/>
      <c r="AF142" s="68"/>
      <c r="AG142" s="68"/>
      <c r="AH142" s="68"/>
      <c r="AI142" s="69"/>
      <c r="AJ142" s="70"/>
      <c r="AK142" s="68"/>
      <c r="AL142" s="68"/>
      <c r="AM142" s="68"/>
      <c r="AN142" s="68"/>
      <c r="AO142" s="68"/>
      <c r="AP142" s="68"/>
      <c r="AQ142" s="69"/>
      <c r="AR142" s="972"/>
      <c r="AS142" s="973"/>
      <c r="AT142" s="68"/>
      <c r="AU142" s="68"/>
      <c r="AV142" s="68"/>
      <c r="AW142" s="973"/>
      <c r="AX142" s="973"/>
      <c r="AY142" s="973"/>
      <c r="AZ142" s="973"/>
      <c r="BA142" s="974"/>
      <c r="BB142" s="975">
        <v>7</v>
      </c>
      <c r="BC142" s="959">
        <v>60</v>
      </c>
      <c r="BD142" s="959">
        <v>40</v>
      </c>
      <c r="BE142" s="959">
        <v>31</v>
      </c>
      <c r="BF142" s="959">
        <v>131</v>
      </c>
      <c r="BG142" s="959">
        <v>0</v>
      </c>
      <c r="BH142" s="959">
        <v>0</v>
      </c>
      <c r="BI142" s="959">
        <v>0</v>
      </c>
      <c r="BJ142" s="959">
        <v>0</v>
      </c>
      <c r="BK142" s="959">
        <v>0</v>
      </c>
      <c r="BL142" s="55"/>
    </row>
    <row r="143" spans="1:64" s="43" customFormat="1" ht="17.100000000000001" customHeight="1">
      <c r="A143" s="761" t="s">
        <v>2625</v>
      </c>
      <c r="B143" s="53" t="s">
        <v>7</v>
      </c>
      <c r="C143" s="53" t="s">
        <v>7</v>
      </c>
      <c r="D143" s="53" t="s">
        <v>2627</v>
      </c>
      <c r="E143" s="55" t="s">
        <v>5</v>
      </c>
      <c r="F143" s="55" t="s">
        <v>3486</v>
      </c>
      <c r="G143" s="71">
        <v>33624</v>
      </c>
      <c r="H143" s="50" t="s">
        <v>3487</v>
      </c>
      <c r="I143" s="760">
        <v>536</v>
      </c>
      <c r="J143" s="52">
        <v>21376</v>
      </c>
      <c r="K143" s="55" t="s">
        <v>3488</v>
      </c>
      <c r="L143" s="56" t="s">
        <v>3489</v>
      </c>
      <c r="M143" s="64">
        <v>5</v>
      </c>
      <c r="N143" s="65">
        <v>0</v>
      </c>
      <c r="O143" s="66">
        <v>112</v>
      </c>
      <c r="P143" s="67">
        <v>1</v>
      </c>
      <c r="Q143" s="68">
        <v>5</v>
      </c>
      <c r="R143" s="68">
        <v>1</v>
      </c>
      <c r="S143" s="68">
        <v>12</v>
      </c>
      <c r="T143" s="68">
        <v>2</v>
      </c>
      <c r="U143" s="69">
        <v>29</v>
      </c>
      <c r="V143" s="67">
        <v>0</v>
      </c>
      <c r="W143" s="67">
        <v>0</v>
      </c>
      <c r="X143" s="67">
        <v>0</v>
      </c>
      <c r="Y143" s="67">
        <v>0</v>
      </c>
      <c r="Z143" s="67">
        <v>0</v>
      </c>
      <c r="AA143" s="67">
        <v>0</v>
      </c>
      <c r="AB143" s="70"/>
      <c r="AC143" s="68"/>
      <c r="AD143" s="68"/>
      <c r="AE143" s="68"/>
      <c r="AF143" s="68"/>
      <c r="AG143" s="68"/>
      <c r="AH143" s="68"/>
      <c r="AI143" s="69"/>
      <c r="AJ143" s="70"/>
      <c r="AK143" s="68"/>
      <c r="AL143" s="68"/>
      <c r="AM143" s="68"/>
      <c r="AN143" s="68"/>
      <c r="AO143" s="68"/>
      <c r="AP143" s="68"/>
      <c r="AQ143" s="69"/>
      <c r="AR143" s="972"/>
      <c r="AS143" s="973"/>
      <c r="AT143" s="68"/>
      <c r="AU143" s="68"/>
      <c r="AV143" s="68"/>
      <c r="AW143" s="973"/>
      <c r="AX143" s="973"/>
      <c r="AY143" s="973"/>
      <c r="AZ143" s="973"/>
      <c r="BA143" s="974"/>
      <c r="BB143" s="975">
        <v>4</v>
      </c>
      <c r="BC143" s="959">
        <v>5</v>
      </c>
      <c r="BD143" s="959">
        <v>12</v>
      </c>
      <c r="BE143" s="959">
        <v>29</v>
      </c>
      <c r="BF143" s="959">
        <v>46</v>
      </c>
      <c r="BG143" s="959">
        <v>0</v>
      </c>
      <c r="BH143" s="959">
        <v>0</v>
      </c>
      <c r="BI143" s="959">
        <v>0</v>
      </c>
      <c r="BJ143" s="959">
        <v>0</v>
      </c>
      <c r="BK143" s="959">
        <v>0</v>
      </c>
      <c r="BL143" s="55"/>
    </row>
    <row r="144" spans="1:64" s="43" customFormat="1" ht="17.100000000000001" customHeight="1">
      <c r="A144" s="761" t="s">
        <v>2625</v>
      </c>
      <c r="B144" s="53" t="s">
        <v>7</v>
      </c>
      <c r="C144" s="53" t="s">
        <v>7</v>
      </c>
      <c r="D144" s="53" t="s">
        <v>3387</v>
      </c>
      <c r="E144" s="55" t="s">
        <v>5</v>
      </c>
      <c r="F144" s="55" t="s">
        <v>3490</v>
      </c>
      <c r="G144" s="71">
        <v>34761</v>
      </c>
      <c r="H144" s="50" t="s">
        <v>3491</v>
      </c>
      <c r="I144" s="760">
        <v>557</v>
      </c>
      <c r="J144" s="52">
        <v>21363</v>
      </c>
      <c r="K144" s="55" t="s">
        <v>3492</v>
      </c>
      <c r="L144" s="56" t="s">
        <v>3493</v>
      </c>
      <c r="M144" s="64">
        <v>6</v>
      </c>
      <c r="N144" s="65">
        <v>0</v>
      </c>
      <c r="O144" s="66">
        <v>121</v>
      </c>
      <c r="P144" s="67">
        <v>2</v>
      </c>
      <c r="Q144" s="68">
        <v>36</v>
      </c>
      <c r="R144" s="68">
        <v>2</v>
      </c>
      <c r="S144" s="68">
        <v>45</v>
      </c>
      <c r="T144" s="68">
        <v>2</v>
      </c>
      <c r="U144" s="69">
        <v>40</v>
      </c>
      <c r="V144" s="67">
        <v>0</v>
      </c>
      <c r="W144" s="67">
        <v>0</v>
      </c>
      <c r="X144" s="67">
        <v>0</v>
      </c>
      <c r="Y144" s="67">
        <v>0</v>
      </c>
      <c r="Z144" s="67">
        <v>0</v>
      </c>
      <c r="AA144" s="67">
        <v>0</v>
      </c>
      <c r="AB144" s="70"/>
      <c r="AC144" s="68"/>
      <c r="AD144" s="68"/>
      <c r="AE144" s="68"/>
      <c r="AF144" s="68"/>
      <c r="AG144" s="68"/>
      <c r="AH144" s="68"/>
      <c r="AI144" s="69"/>
      <c r="AJ144" s="70"/>
      <c r="AK144" s="68"/>
      <c r="AL144" s="68"/>
      <c r="AM144" s="68"/>
      <c r="AN144" s="68"/>
      <c r="AO144" s="68"/>
      <c r="AP144" s="68"/>
      <c r="AQ144" s="69"/>
      <c r="AR144" s="972"/>
      <c r="AS144" s="973"/>
      <c r="AT144" s="68"/>
      <c r="AU144" s="68"/>
      <c r="AV144" s="68"/>
      <c r="AW144" s="973"/>
      <c r="AX144" s="973"/>
      <c r="AY144" s="973"/>
      <c r="AZ144" s="973"/>
      <c r="BA144" s="974"/>
      <c r="BB144" s="975">
        <v>6</v>
      </c>
      <c r="BC144" s="959">
        <v>36</v>
      </c>
      <c r="BD144" s="959">
        <v>45</v>
      </c>
      <c r="BE144" s="959">
        <v>40</v>
      </c>
      <c r="BF144" s="959">
        <v>121</v>
      </c>
      <c r="BG144" s="959">
        <v>0</v>
      </c>
      <c r="BH144" s="959">
        <v>0</v>
      </c>
      <c r="BI144" s="959">
        <v>0</v>
      </c>
      <c r="BJ144" s="959">
        <v>0</v>
      </c>
      <c r="BK144" s="959">
        <v>0</v>
      </c>
      <c r="BL144" s="55"/>
    </row>
    <row r="145" spans="1:64" s="43" customFormat="1" ht="17.100000000000001" customHeight="1">
      <c r="A145" s="761" t="s">
        <v>2625</v>
      </c>
      <c r="B145" s="53" t="s">
        <v>7</v>
      </c>
      <c r="C145" s="53" t="s">
        <v>7</v>
      </c>
      <c r="D145" s="53" t="s">
        <v>3397</v>
      </c>
      <c r="E145" s="55" t="s">
        <v>5</v>
      </c>
      <c r="F145" s="55" t="s">
        <v>3494</v>
      </c>
      <c r="G145" s="71">
        <v>33298</v>
      </c>
      <c r="H145" s="50" t="s">
        <v>3495</v>
      </c>
      <c r="I145" s="760">
        <v>396</v>
      </c>
      <c r="J145" s="52">
        <v>21364</v>
      </c>
      <c r="K145" s="55" t="s">
        <v>3496</v>
      </c>
      <c r="L145" s="56" t="s">
        <v>3497</v>
      </c>
      <c r="M145" s="64">
        <v>4</v>
      </c>
      <c r="N145" s="65">
        <v>0</v>
      </c>
      <c r="O145" s="66">
        <v>99</v>
      </c>
      <c r="P145" s="67">
        <v>1</v>
      </c>
      <c r="Q145" s="68">
        <v>14</v>
      </c>
      <c r="R145" s="68">
        <v>2</v>
      </c>
      <c r="S145" s="68">
        <v>23</v>
      </c>
      <c r="T145" s="68">
        <v>1</v>
      </c>
      <c r="U145" s="69">
        <v>21</v>
      </c>
      <c r="V145" s="67">
        <v>0</v>
      </c>
      <c r="W145" s="67">
        <v>0</v>
      </c>
      <c r="X145" s="67">
        <v>0</v>
      </c>
      <c r="Y145" s="67">
        <v>0</v>
      </c>
      <c r="Z145" s="67">
        <v>0</v>
      </c>
      <c r="AA145" s="67">
        <v>0</v>
      </c>
      <c r="AB145" s="70"/>
      <c r="AC145" s="68"/>
      <c r="AD145" s="68"/>
      <c r="AE145" s="68"/>
      <c r="AF145" s="68"/>
      <c r="AG145" s="68"/>
      <c r="AH145" s="68"/>
      <c r="AI145" s="69"/>
      <c r="AJ145" s="70"/>
      <c r="AK145" s="68"/>
      <c r="AL145" s="68"/>
      <c r="AM145" s="68"/>
      <c r="AN145" s="68"/>
      <c r="AO145" s="68"/>
      <c r="AP145" s="68"/>
      <c r="AQ145" s="69"/>
      <c r="AR145" s="972"/>
      <c r="AS145" s="973"/>
      <c r="AT145" s="68"/>
      <c r="AU145" s="68"/>
      <c r="AV145" s="68"/>
      <c r="AW145" s="973"/>
      <c r="AX145" s="973"/>
      <c r="AY145" s="973"/>
      <c r="AZ145" s="973"/>
      <c r="BA145" s="974"/>
      <c r="BB145" s="975">
        <v>4</v>
      </c>
      <c r="BC145" s="959">
        <v>14</v>
      </c>
      <c r="BD145" s="959">
        <v>23</v>
      </c>
      <c r="BE145" s="959">
        <v>21</v>
      </c>
      <c r="BF145" s="959">
        <v>58</v>
      </c>
      <c r="BG145" s="959">
        <v>0</v>
      </c>
      <c r="BH145" s="959">
        <v>0</v>
      </c>
      <c r="BI145" s="959">
        <v>0</v>
      </c>
      <c r="BJ145" s="959">
        <v>0</v>
      </c>
      <c r="BK145" s="959">
        <v>0</v>
      </c>
      <c r="BL145" s="55"/>
    </row>
    <row r="146" spans="1:64" s="43" customFormat="1" ht="17.100000000000001" customHeight="1">
      <c r="A146" s="761" t="s">
        <v>3498</v>
      </c>
      <c r="B146" s="55" t="s">
        <v>7</v>
      </c>
      <c r="C146" s="53" t="s">
        <v>7</v>
      </c>
      <c r="D146" s="53" t="s">
        <v>2637</v>
      </c>
      <c r="E146" s="55" t="s">
        <v>5</v>
      </c>
      <c r="F146" s="55" t="s">
        <v>1565</v>
      </c>
      <c r="G146" s="71">
        <v>40967</v>
      </c>
      <c r="H146" s="50" t="s">
        <v>3499</v>
      </c>
      <c r="I146" s="760">
        <v>544</v>
      </c>
      <c r="J146" s="52">
        <v>21356</v>
      </c>
      <c r="K146" s="55" t="s">
        <v>3500</v>
      </c>
      <c r="L146" s="56" t="s">
        <v>3501</v>
      </c>
      <c r="M146" s="64">
        <v>11</v>
      </c>
      <c r="N146" s="65">
        <v>0</v>
      </c>
      <c r="O146" s="66">
        <v>247</v>
      </c>
      <c r="P146" s="67">
        <v>3</v>
      </c>
      <c r="Q146" s="68">
        <v>44</v>
      </c>
      <c r="R146" s="68">
        <v>4</v>
      </c>
      <c r="S146" s="68">
        <v>88</v>
      </c>
      <c r="T146" s="68">
        <v>3</v>
      </c>
      <c r="U146" s="69">
        <v>81</v>
      </c>
      <c r="V146" s="67">
        <v>0</v>
      </c>
      <c r="W146" s="67">
        <v>0</v>
      </c>
      <c r="X146" s="67">
        <v>0</v>
      </c>
      <c r="Y146" s="67">
        <v>0</v>
      </c>
      <c r="Z146" s="67">
        <v>0</v>
      </c>
      <c r="AA146" s="67">
        <v>0</v>
      </c>
      <c r="AB146" s="70"/>
      <c r="AC146" s="68"/>
      <c r="AD146" s="68"/>
      <c r="AE146" s="68"/>
      <c r="AF146" s="68"/>
      <c r="AG146" s="68"/>
      <c r="AH146" s="68"/>
      <c r="AI146" s="69"/>
      <c r="AJ146" s="70"/>
      <c r="AK146" s="68"/>
      <c r="AL146" s="68"/>
      <c r="AM146" s="68"/>
      <c r="AN146" s="68"/>
      <c r="AO146" s="68"/>
      <c r="AP146" s="68"/>
      <c r="AQ146" s="69"/>
      <c r="AR146" s="972"/>
      <c r="AS146" s="973"/>
      <c r="AT146" s="68"/>
      <c r="AU146" s="68"/>
      <c r="AV146" s="68"/>
      <c r="AW146" s="973"/>
      <c r="AX146" s="973"/>
      <c r="AY146" s="973"/>
      <c r="AZ146" s="973"/>
      <c r="BA146" s="974"/>
      <c r="BB146" s="975">
        <v>10</v>
      </c>
      <c r="BC146" s="959">
        <v>44</v>
      </c>
      <c r="BD146" s="959">
        <v>88</v>
      </c>
      <c r="BE146" s="959">
        <v>81</v>
      </c>
      <c r="BF146" s="959">
        <v>213</v>
      </c>
      <c r="BG146" s="959">
        <v>0</v>
      </c>
      <c r="BH146" s="959">
        <v>0</v>
      </c>
      <c r="BI146" s="959">
        <v>0</v>
      </c>
      <c r="BJ146" s="959">
        <v>0</v>
      </c>
      <c r="BK146" s="959">
        <v>0</v>
      </c>
      <c r="BL146" s="55"/>
    </row>
    <row r="147" spans="1:64" s="43" customFormat="1" ht="17.100000000000001" customHeight="1">
      <c r="A147" s="761" t="s">
        <v>3498</v>
      </c>
      <c r="B147" s="53" t="s">
        <v>7</v>
      </c>
      <c r="C147" s="53" t="s">
        <v>7</v>
      </c>
      <c r="D147" s="53" t="s">
        <v>3502</v>
      </c>
      <c r="E147" s="55" t="s">
        <v>5</v>
      </c>
      <c r="F147" s="55" t="s">
        <v>3503</v>
      </c>
      <c r="G147" s="71">
        <v>37335</v>
      </c>
      <c r="H147" s="50" t="s">
        <v>3504</v>
      </c>
      <c r="I147" s="760">
        <v>1609</v>
      </c>
      <c r="J147" s="52">
        <v>21319</v>
      </c>
      <c r="K147" s="55" t="s">
        <v>3505</v>
      </c>
      <c r="L147" s="56" t="s">
        <v>3506</v>
      </c>
      <c r="M147" s="64">
        <v>16</v>
      </c>
      <c r="N147" s="65">
        <v>0</v>
      </c>
      <c r="O147" s="66">
        <v>375</v>
      </c>
      <c r="P147" s="67">
        <v>1</v>
      </c>
      <c r="Q147" s="68">
        <v>14</v>
      </c>
      <c r="R147" s="68">
        <v>2</v>
      </c>
      <c r="S147" s="68">
        <v>34</v>
      </c>
      <c r="T147" s="68">
        <v>2</v>
      </c>
      <c r="U147" s="69">
        <v>43</v>
      </c>
      <c r="V147" s="67">
        <v>0</v>
      </c>
      <c r="W147" s="67">
        <v>0</v>
      </c>
      <c r="X147" s="67">
        <v>0</v>
      </c>
      <c r="Y147" s="67">
        <v>0</v>
      </c>
      <c r="Z147" s="67">
        <v>0</v>
      </c>
      <c r="AA147" s="67">
        <v>0</v>
      </c>
      <c r="AB147" s="70"/>
      <c r="AC147" s="68"/>
      <c r="AD147" s="68"/>
      <c r="AE147" s="68"/>
      <c r="AF147" s="68"/>
      <c r="AG147" s="68"/>
      <c r="AH147" s="68"/>
      <c r="AI147" s="69"/>
      <c r="AJ147" s="70"/>
      <c r="AK147" s="68"/>
      <c r="AL147" s="68"/>
      <c r="AM147" s="68"/>
      <c r="AN147" s="68"/>
      <c r="AO147" s="68"/>
      <c r="AP147" s="68"/>
      <c r="AQ147" s="69"/>
      <c r="AR147" s="972"/>
      <c r="AS147" s="973"/>
      <c r="AT147" s="68"/>
      <c r="AU147" s="68"/>
      <c r="AV147" s="68"/>
      <c r="AW147" s="973"/>
      <c r="AX147" s="973"/>
      <c r="AY147" s="973"/>
      <c r="AZ147" s="973"/>
      <c r="BA147" s="974"/>
      <c r="BB147" s="975">
        <v>5</v>
      </c>
      <c r="BC147" s="959">
        <v>14</v>
      </c>
      <c r="BD147" s="959">
        <v>34</v>
      </c>
      <c r="BE147" s="959">
        <v>43</v>
      </c>
      <c r="BF147" s="959">
        <v>91</v>
      </c>
      <c r="BG147" s="959">
        <v>0</v>
      </c>
      <c r="BH147" s="959">
        <v>0</v>
      </c>
      <c r="BI147" s="959">
        <v>0</v>
      </c>
      <c r="BJ147" s="959">
        <v>0</v>
      </c>
      <c r="BK147" s="959">
        <v>0</v>
      </c>
      <c r="BL147" s="55"/>
    </row>
    <row r="148" spans="1:64" s="43" customFormat="1" ht="17.100000000000001" customHeight="1">
      <c r="A148" s="761" t="s">
        <v>3498</v>
      </c>
      <c r="B148" s="53" t="s">
        <v>7</v>
      </c>
      <c r="C148" s="53" t="s">
        <v>7</v>
      </c>
      <c r="D148" s="53" t="s">
        <v>3404</v>
      </c>
      <c r="E148" s="55" t="s">
        <v>5</v>
      </c>
      <c r="F148" s="55" t="s">
        <v>3507</v>
      </c>
      <c r="G148" s="71">
        <v>34029</v>
      </c>
      <c r="H148" s="50" t="s">
        <v>3508</v>
      </c>
      <c r="I148" s="760">
        <v>302</v>
      </c>
      <c r="J148" s="52">
        <v>21458</v>
      </c>
      <c r="K148" s="55" t="s">
        <v>3509</v>
      </c>
      <c r="L148" s="56" t="s">
        <v>3510</v>
      </c>
      <c r="M148" s="64">
        <v>2</v>
      </c>
      <c r="N148" s="65">
        <v>0</v>
      </c>
      <c r="O148" s="66">
        <v>60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67">
        <v>0</v>
      </c>
      <c r="V148" s="67">
        <v>0</v>
      </c>
      <c r="W148" s="67">
        <v>0</v>
      </c>
      <c r="X148" s="67">
        <v>0</v>
      </c>
      <c r="Y148" s="67">
        <v>0</v>
      </c>
      <c r="Z148" s="67">
        <v>0</v>
      </c>
      <c r="AA148" s="67">
        <v>0</v>
      </c>
      <c r="AB148" s="70">
        <v>1</v>
      </c>
      <c r="AC148" s="68">
        <v>0</v>
      </c>
      <c r="AD148" s="68">
        <v>9</v>
      </c>
      <c r="AE148" s="68">
        <v>8</v>
      </c>
      <c r="AF148" s="68">
        <v>17</v>
      </c>
      <c r="AG148" s="68">
        <v>0</v>
      </c>
      <c r="AH148" s="68">
        <v>0</v>
      </c>
      <c r="AI148" s="69">
        <v>0</v>
      </c>
      <c r="AJ148" s="70">
        <v>1</v>
      </c>
      <c r="AK148" s="68">
        <v>0</v>
      </c>
      <c r="AL148" s="68">
        <v>6</v>
      </c>
      <c r="AM148" s="68">
        <v>16</v>
      </c>
      <c r="AN148" s="68">
        <v>22</v>
      </c>
      <c r="AO148" s="68">
        <v>0</v>
      </c>
      <c r="AP148" s="68">
        <v>0</v>
      </c>
      <c r="AQ148" s="69">
        <v>0</v>
      </c>
      <c r="AR148" s="972"/>
      <c r="AS148" s="973"/>
      <c r="AT148" s="68"/>
      <c r="AU148" s="68"/>
      <c r="AV148" s="68"/>
      <c r="AW148" s="973"/>
      <c r="AX148" s="973"/>
      <c r="AY148" s="973"/>
      <c r="AZ148" s="973"/>
      <c r="BA148" s="974"/>
      <c r="BB148" s="975">
        <v>2</v>
      </c>
      <c r="BC148" s="959">
        <v>9</v>
      </c>
      <c r="BD148" s="959">
        <v>14</v>
      </c>
      <c r="BE148" s="959">
        <v>16</v>
      </c>
      <c r="BF148" s="959">
        <v>39</v>
      </c>
      <c r="BG148" s="959">
        <v>0</v>
      </c>
      <c r="BH148" s="959">
        <v>0</v>
      </c>
      <c r="BI148" s="959">
        <v>0</v>
      </c>
      <c r="BJ148" s="959">
        <v>0</v>
      </c>
      <c r="BK148" s="959">
        <v>0</v>
      </c>
      <c r="BL148" s="55"/>
    </row>
    <row r="149" spans="1:64" s="43" customFormat="1" ht="17.100000000000001" customHeight="1">
      <c r="A149" s="761" t="s">
        <v>3498</v>
      </c>
      <c r="B149" s="53" t="s">
        <v>7</v>
      </c>
      <c r="C149" s="53" t="s">
        <v>7</v>
      </c>
      <c r="D149" s="53" t="s">
        <v>2635</v>
      </c>
      <c r="E149" s="55" t="s">
        <v>5</v>
      </c>
      <c r="F149" s="55" t="s">
        <v>1561</v>
      </c>
      <c r="G149" s="71">
        <v>42795</v>
      </c>
      <c r="H149" s="50" t="s">
        <v>3511</v>
      </c>
      <c r="I149" s="760">
        <v>1050</v>
      </c>
      <c r="J149" s="52">
        <v>21348</v>
      </c>
      <c r="K149" s="55" t="s">
        <v>3512</v>
      </c>
      <c r="L149" s="56" t="s">
        <v>3513</v>
      </c>
      <c r="M149" s="64">
        <v>12</v>
      </c>
      <c r="N149" s="65">
        <v>0</v>
      </c>
      <c r="O149" s="66">
        <v>283</v>
      </c>
      <c r="P149" s="67">
        <v>4</v>
      </c>
      <c r="Q149" s="68">
        <v>76</v>
      </c>
      <c r="R149" s="68">
        <v>4</v>
      </c>
      <c r="S149" s="68">
        <v>66</v>
      </c>
      <c r="T149" s="68">
        <v>4</v>
      </c>
      <c r="U149" s="69">
        <v>88</v>
      </c>
      <c r="V149" s="67">
        <v>0</v>
      </c>
      <c r="W149" s="67">
        <v>0</v>
      </c>
      <c r="X149" s="67">
        <v>0</v>
      </c>
      <c r="Y149" s="67">
        <v>0</v>
      </c>
      <c r="Z149" s="67">
        <v>0</v>
      </c>
      <c r="AA149" s="67">
        <v>0</v>
      </c>
      <c r="AB149" s="70"/>
      <c r="AC149" s="68"/>
      <c r="AD149" s="68"/>
      <c r="AE149" s="68"/>
      <c r="AF149" s="68"/>
      <c r="AG149" s="68"/>
      <c r="AH149" s="68"/>
      <c r="AI149" s="69"/>
      <c r="AJ149" s="70"/>
      <c r="AK149" s="68"/>
      <c r="AL149" s="68"/>
      <c r="AM149" s="68"/>
      <c r="AN149" s="68"/>
      <c r="AO149" s="68"/>
      <c r="AP149" s="68"/>
      <c r="AQ149" s="69"/>
      <c r="AR149" s="972"/>
      <c r="AS149" s="973"/>
      <c r="AT149" s="68"/>
      <c r="AU149" s="68"/>
      <c r="AV149" s="68"/>
      <c r="AW149" s="973"/>
      <c r="AX149" s="973"/>
      <c r="AY149" s="973"/>
      <c r="AZ149" s="973"/>
      <c r="BA149" s="974"/>
      <c r="BB149" s="975">
        <v>12</v>
      </c>
      <c r="BC149" s="959">
        <v>76</v>
      </c>
      <c r="BD149" s="959">
        <v>66</v>
      </c>
      <c r="BE149" s="959">
        <v>88</v>
      </c>
      <c r="BF149" s="959">
        <v>230</v>
      </c>
      <c r="BG149" s="959">
        <v>0</v>
      </c>
      <c r="BH149" s="959">
        <v>0</v>
      </c>
      <c r="BI149" s="959">
        <v>0</v>
      </c>
      <c r="BJ149" s="959">
        <v>0</v>
      </c>
      <c r="BK149" s="959">
        <v>0</v>
      </c>
      <c r="BL149" s="55"/>
    </row>
    <row r="150" spans="1:64" s="43" customFormat="1" ht="17.100000000000001" customHeight="1">
      <c r="A150" s="761" t="s">
        <v>3498</v>
      </c>
      <c r="B150" s="53" t="s">
        <v>7</v>
      </c>
      <c r="C150" s="53" t="s">
        <v>7</v>
      </c>
      <c r="D150" s="53" t="s">
        <v>3412</v>
      </c>
      <c r="E150" s="55" t="s">
        <v>5</v>
      </c>
      <c r="F150" s="55" t="s">
        <v>1482</v>
      </c>
      <c r="G150" s="71">
        <v>39508</v>
      </c>
      <c r="H150" s="50" t="s">
        <v>3514</v>
      </c>
      <c r="I150" s="760">
        <v>556</v>
      </c>
      <c r="J150" s="52">
        <v>21411</v>
      </c>
      <c r="K150" s="55" t="s">
        <v>3515</v>
      </c>
      <c r="L150" s="56" t="s">
        <v>3516</v>
      </c>
      <c r="M150" s="64">
        <v>9</v>
      </c>
      <c r="N150" s="65">
        <v>0</v>
      </c>
      <c r="O150" s="66">
        <v>201</v>
      </c>
      <c r="P150" s="67">
        <v>3</v>
      </c>
      <c r="Q150" s="68">
        <v>54</v>
      </c>
      <c r="R150" s="68">
        <v>3</v>
      </c>
      <c r="S150" s="68">
        <v>72</v>
      </c>
      <c r="T150" s="68">
        <v>3</v>
      </c>
      <c r="U150" s="69">
        <v>75</v>
      </c>
      <c r="V150" s="67">
        <v>0</v>
      </c>
      <c r="W150" s="67">
        <v>0</v>
      </c>
      <c r="X150" s="67">
        <v>0</v>
      </c>
      <c r="Y150" s="67">
        <v>0</v>
      </c>
      <c r="Z150" s="67">
        <v>0</v>
      </c>
      <c r="AA150" s="67">
        <v>0</v>
      </c>
      <c r="AB150" s="70"/>
      <c r="AC150" s="68"/>
      <c r="AD150" s="68"/>
      <c r="AE150" s="68"/>
      <c r="AF150" s="68"/>
      <c r="AG150" s="68"/>
      <c r="AH150" s="68"/>
      <c r="AI150" s="69"/>
      <c r="AJ150" s="70"/>
      <c r="AK150" s="68"/>
      <c r="AL150" s="68"/>
      <c r="AM150" s="68"/>
      <c r="AN150" s="68"/>
      <c r="AO150" s="68"/>
      <c r="AP150" s="68"/>
      <c r="AQ150" s="69"/>
      <c r="AR150" s="972"/>
      <c r="AS150" s="973"/>
      <c r="AT150" s="68"/>
      <c r="AU150" s="68"/>
      <c r="AV150" s="68"/>
      <c r="AW150" s="973"/>
      <c r="AX150" s="973"/>
      <c r="AY150" s="973"/>
      <c r="AZ150" s="973"/>
      <c r="BA150" s="974"/>
      <c r="BB150" s="975">
        <v>9</v>
      </c>
      <c r="BC150" s="959">
        <v>54</v>
      </c>
      <c r="BD150" s="959">
        <v>72</v>
      </c>
      <c r="BE150" s="959">
        <v>75</v>
      </c>
      <c r="BF150" s="959">
        <v>201</v>
      </c>
      <c r="BG150" s="959">
        <v>0</v>
      </c>
      <c r="BH150" s="959">
        <v>0</v>
      </c>
      <c r="BI150" s="959">
        <v>0</v>
      </c>
      <c r="BJ150" s="959">
        <v>0</v>
      </c>
      <c r="BK150" s="959">
        <v>0</v>
      </c>
      <c r="BL150" s="55"/>
    </row>
    <row r="151" spans="1:64" s="43" customFormat="1" ht="17.100000000000001" customHeight="1">
      <c r="A151" s="761" t="s">
        <v>3498</v>
      </c>
      <c r="B151" s="53" t="s">
        <v>7</v>
      </c>
      <c r="C151" s="53" t="s">
        <v>7</v>
      </c>
      <c r="D151" s="53" t="s">
        <v>3517</v>
      </c>
      <c r="E151" s="55" t="s">
        <v>5</v>
      </c>
      <c r="F151" s="55" t="s">
        <v>3518</v>
      </c>
      <c r="G151" s="71">
        <v>34306</v>
      </c>
      <c r="H151" s="50" t="s">
        <v>3519</v>
      </c>
      <c r="I151" s="760">
        <v>1787</v>
      </c>
      <c r="J151" s="52">
        <v>21337</v>
      </c>
      <c r="K151" s="55" t="s">
        <v>3520</v>
      </c>
      <c r="L151" s="56" t="s">
        <v>3521</v>
      </c>
      <c r="M151" s="64">
        <v>6</v>
      </c>
      <c r="N151" s="65">
        <v>0</v>
      </c>
      <c r="O151" s="66">
        <v>170</v>
      </c>
      <c r="P151" s="67">
        <v>3</v>
      </c>
      <c r="Q151" s="68">
        <v>40</v>
      </c>
      <c r="R151" s="68">
        <v>1</v>
      </c>
      <c r="S151" s="68">
        <v>24</v>
      </c>
      <c r="T151" s="68">
        <v>2</v>
      </c>
      <c r="U151" s="69">
        <v>50</v>
      </c>
      <c r="V151" s="67">
        <v>0</v>
      </c>
      <c r="W151" s="67">
        <v>0</v>
      </c>
      <c r="X151" s="67">
        <v>0</v>
      </c>
      <c r="Y151" s="67">
        <v>0</v>
      </c>
      <c r="Z151" s="67">
        <v>0</v>
      </c>
      <c r="AA151" s="67">
        <v>0</v>
      </c>
      <c r="AB151" s="70"/>
      <c r="AC151" s="68"/>
      <c r="AD151" s="68"/>
      <c r="AE151" s="68"/>
      <c r="AF151" s="68"/>
      <c r="AG151" s="68"/>
      <c r="AH151" s="68"/>
      <c r="AI151" s="69"/>
      <c r="AJ151" s="70"/>
      <c r="AK151" s="68"/>
      <c r="AL151" s="68"/>
      <c r="AM151" s="68"/>
      <c r="AN151" s="68"/>
      <c r="AO151" s="68"/>
      <c r="AP151" s="68"/>
      <c r="AQ151" s="69"/>
      <c r="AR151" s="972"/>
      <c r="AS151" s="973"/>
      <c r="AT151" s="68"/>
      <c r="AU151" s="68"/>
      <c r="AV151" s="68"/>
      <c r="AW151" s="973"/>
      <c r="AX151" s="973"/>
      <c r="AY151" s="973"/>
      <c r="AZ151" s="973"/>
      <c r="BA151" s="974"/>
      <c r="BB151" s="975">
        <v>6</v>
      </c>
      <c r="BC151" s="959">
        <v>40</v>
      </c>
      <c r="BD151" s="959">
        <v>24</v>
      </c>
      <c r="BE151" s="959">
        <v>50</v>
      </c>
      <c r="BF151" s="959">
        <v>114</v>
      </c>
      <c r="BG151" s="959">
        <v>0</v>
      </c>
      <c r="BH151" s="959">
        <v>0</v>
      </c>
      <c r="BI151" s="959">
        <v>0</v>
      </c>
      <c r="BJ151" s="959">
        <v>0</v>
      </c>
      <c r="BK151" s="959">
        <v>0</v>
      </c>
      <c r="BL151" s="55"/>
    </row>
    <row r="152" spans="1:64" s="43" customFormat="1" ht="17.100000000000001" customHeight="1">
      <c r="A152" s="761" t="s">
        <v>3498</v>
      </c>
      <c r="B152" s="53" t="s">
        <v>7</v>
      </c>
      <c r="C152" s="53" t="s">
        <v>7</v>
      </c>
      <c r="D152" s="53" t="s">
        <v>2637</v>
      </c>
      <c r="E152" s="55" t="s">
        <v>5</v>
      </c>
      <c r="F152" s="55" t="s">
        <v>3522</v>
      </c>
      <c r="G152" s="71">
        <v>25816</v>
      </c>
      <c r="H152" s="50" t="s">
        <v>3523</v>
      </c>
      <c r="I152" s="760">
        <v>606</v>
      </c>
      <c r="J152" s="52">
        <v>21360</v>
      </c>
      <c r="K152" s="55" t="s">
        <v>3524</v>
      </c>
      <c r="L152" s="56" t="s">
        <v>3525</v>
      </c>
      <c r="M152" s="64">
        <v>4</v>
      </c>
      <c r="N152" s="65">
        <v>0</v>
      </c>
      <c r="O152" s="66">
        <v>150</v>
      </c>
      <c r="P152" s="67">
        <v>0</v>
      </c>
      <c r="Q152" s="68">
        <v>0</v>
      </c>
      <c r="R152" s="68">
        <v>0</v>
      </c>
      <c r="S152" s="68">
        <v>0</v>
      </c>
      <c r="T152" s="68">
        <v>0</v>
      </c>
      <c r="U152" s="69">
        <v>0</v>
      </c>
      <c r="V152" s="67">
        <v>0</v>
      </c>
      <c r="W152" s="67">
        <v>0</v>
      </c>
      <c r="X152" s="67">
        <v>0</v>
      </c>
      <c r="Y152" s="67">
        <v>0</v>
      </c>
      <c r="Z152" s="67">
        <v>0</v>
      </c>
      <c r="AA152" s="67">
        <v>0</v>
      </c>
      <c r="AB152" s="70"/>
      <c r="AC152" s="68"/>
      <c r="AD152" s="68"/>
      <c r="AE152" s="68"/>
      <c r="AF152" s="68"/>
      <c r="AG152" s="68"/>
      <c r="AH152" s="68"/>
      <c r="AI152" s="69"/>
      <c r="AJ152" s="70"/>
      <c r="AK152" s="68"/>
      <c r="AL152" s="68"/>
      <c r="AM152" s="68"/>
      <c r="AN152" s="68"/>
      <c r="AO152" s="68"/>
      <c r="AP152" s="68"/>
      <c r="AQ152" s="69"/>
      <c r="AR152" s="972">
        <v>3</v>
      </c>
      <c r="AS152" s="973">
        <v>0</v>
      </c>
      <c r="AT152" s="68">
        <v>6</v>
      </c>
      <c r="AU152" s="68">
        <v>10</v>
      </c>
      <c r="AV152" s="68">
        <v>15</v>
      </c>
      <c r="AW152" s="973">
        <v>31</v>
      </c>
      <c r="AX152" s="973">
        <v>0</v>
      </c>
      <c r="AY152" s="973">
        <v>0</v>
      </c>
      <c r="AZ152" s="973">
        <v>0</v>
      </c>
      <c r="BA152" s="974">
        <v>0</v>
      </c>
      <c r="BB152" s="975">
        <v>3</v>
      </c>
      <c r="BC152" s="959">
        <v>6</v>
      </c>
      <c r="BD152" s="959">
        <v>10</v>
      </c>
      <c r="BE152" s="959">
        <v>15</v>
      </c>
      <c r="BF152" s="959">
        <v>31</v>
      </c>
      <c r="BG152" s="959">
        <v>0</v>
      </c>
      <c r="BH152" s="959">
        <v>0</v>
      </c>
      <c r="BI152" s="959">
        <v>0</v>
      </c>
      <c r="BJ152" s="959">
        <v>0</v>
      </c>
      <c r="BK152" s="959">
        <v>0</v>
      </c>
      <c r="BL152" s="55"/>
    </row>
    <row r="153" spans="1:64" s="43" customFormat="1" ht="17.100000000000001" customHeight="1">
      <c r="A153" s="761" t="s">
        <v>3498</v>
      </c>
      <c r="B153" s="53" t="s">
        <v>7</v>
      </c>
      <c r="C153" s="53" t="s">
        <v>7</v>
      </c>
      <c r="D153" s="53" t="s">
        <v>3526</v>
      </c>
      <c r="E153" s="55" t="s">
        <v>5</v>
      </c>
      <c r="F153" s="55" t="s">
        <v>3527</v>
      </c>
      <c r="G153" s="71">
        <v>31106</v>
      </c>
      <c r="H153" s="50" t="s">
        <v>1840</v>
      </c>
      <c r="I153" s="760">
        <v>343</v>
      </c>
      <c r="J153" s="52">
        <v>21402</v>
      </c>
      <c r="K153" s="55" t="s">
        <v>3528</v>
      </c>
      <c r="L153" s="56" t="s">
        <v>3529</v>
      </c>
      <c r="M153" s="64">
        <v>3</v>
      </c>
      <c r="N153" s="65">
        <v>0</v>
      </c>
      <c r="O153" s="66">
        <v>83</v>
      </c>
      <c r="P153" s="67">
        <v>1</v>
      </c>
      <c r="Q153" s="68">
        <v>3</v>
      </c>
      <c r="R153" s="68">
        <v>1</v>
      </c>
      <c r="S153" s="68">
        <v>10</v>
      </c>
      <c r="T153" s="68">
        <v>1</v>
      </c>
      <c r="U153" s="69">
        <v>10</v>
      </c>
      <c r="V153" s="67">
        <v>0</v>
      </c>
      <c r="W153" s="67">
        <v>0</v>
      </c>
      <c r="X153" s="67">
        <v>0</v>
      </c>
      <c r="Y153" s="67">
        <v>0</v>
      </c>
      <c r="Z153" s="67">
        <v>0</v>
      </c>
      <c r="AA153" s="67">
        <v>0</v>
      </c>
      <c r="AB153" s="70"/>
      <c r="AC153" s="68"/>
      <c r="AD153" s="68"/>
      <c r="AE153" s="68"/>
      <c r="AF153" s="68"/>
      <c r="AG153" s="68"/>
      <c r="AH153" s="68"/>
      <c r="AI153" s="69"/>
      <c r="AJ153" s="70"/>
      <c r="AK153" s="68"/>
      <c r="AL153" s="68"/>
      <c r="AM153" s="68"/>
      <c r="AN153" s="68"/>
      <c r="AO153" s="68"/>
      <c r="AP153" s="68"/>
      <c r="AQ153" s="69"/>
      <c r="AR153" s="972"/>
      <c r="AS153" s="973"/>
      <c r="AT153" s="68"/>
      <c r="AU153" s="68"/>
      <c r="AV153" s="68"/>
      <c r="AW153" s="973"/>
      <c r="AX153" s="973"/>
      <c r="AY153" s="973"/>
      <c r="AZ153" s="973"/>
      <c r="BA153" s="974"/>
      <c r="BB153" s="975">
        <v>3</v>
      </c>
      <c r="BC153" s="959">
        <v>3</v>
      </c>
      <c r="BD153" s="959">
        <v>10</v>
      </c>
      <c r="BE153" s="959">
        <v>10</v>
      </c>
      <c r="BF153" s="959">
        <v>23</v>
      </c>
      <c r="BG153" s="959">
        <v>0</v>
      </c>
      <c r="BH153" s="959">
        <v>0</v>
      </c>
      <c r="BI153" s="959">
        <v>0</v>
      </c>
      <c r="BJ153" s="959">
        <v>0</v>
      </c>
      <c r="BK153" s="959">
        <v>0</v>
      </c>
      <c r="BL153" s="55"/>
    </row>
    <row r="154" spans="1:64" s="43" customFormat="1" ht="17.100000000000001" customHeight="1">
      <c r="A154" s="761" t="s">
        <v>3498</v>
      </c>
      <c r="B154" s="53" t="s">
        <v>7</v>
      </c>
      <c r="C154" s="53" t="s">
        <v>7</v>
      </c>
      <c r="D154" s="53" t="s">
        <v>2635</v>
      </c>
      <c r="E154" s="55" t="s">
        <v>5</v>
      </c>
      <c r="F154" s="55" t="s">
        <v>1562</v>
      </c>
      <c r="G154" s="71">
        <v>31450</v>
      </c>
      <c r="H154" s="50" t="s">
        <v>2636</v>
      </c>
      <c r="I154" s="760">
        <v>134</v>
      </c>
      <c r="J154" s="52">
        <v>21349</v>
      </c>
      <c r="K154" s="55" t="s">
        <v>1563</v>
      </c>
      <c r="L154" s="56" t="s">
        <v>1564</v>
      </c>
      <c r="M154" s="64">
        <v>2</v>
      </c>
      <c r="N154" s="65">
        <v>0</v>
      </c>
      <c r="O154" s="66">
        <v>60</v>
      </c>
      <c r="P154" s="67">
        <v>0</v>
      </c>
      <c r="Q154" s="68">
        <v>0</v>
      </c>
      <c r="R154" s="68">
        <v>0</v>
      </c>
      <c r="S154" s="68">
        <v>0</v>
      </c>
      <c r="T154" s="68">
        <v>0</v>
      </c>
      <c r="U154" s="69">
        <v>0</v>
      </c>
      <c r="V154" s="67">
        <v>0</v>
      </c>
      <c r="W154" s="67">
        <v>0</v>
      </c>
      <c r="X154" s="67">
        <v>0</v>
      </c>
      <c r="Y154" s="67">
        <v>0</v>
      </c>
      <c r="Z154" s="67">
        <v>0</v>
      </c>
      <c r="AA154" s="67">
        <v>0</v>
      </c>
      <c r="AB154" s="70"/>
      <c r="AC154" s="68"/>
      <c r="AD154" s="68"/>
      <c r="AE154" s="68"/>
      <c r="AF154" s="68"/>
      <c r="AG154" s="68"/>
      <c r="AH154" s="68"/>
      <c r="AI154" s="69"/>
      <c r="AJ154" s="70"/>
      <c r="AK154" s="68"/>
      <c r="AL154" s="68"/>
      <c r="AM154" s="68"/>
      <c r="AN154" s="68"/>
      <c r="AO154" s="68"/>
      <c r="AP154" s="68"/>
      <c r="AQ154" s="69"/>
      <c r="AR154" s="972"/>
      <c r="AS154" s="973"/>
      <c r="AT154" s="68"/>
      <c r="AU154" s="68"/>
      <c r="AV154" s="68"/>
      <c r="AW154" s="973"/>
      <c r="AX154" s="973"/>
      <c r="AY154" s="973"/>
      <c r="AZ154" s="973"/>
      <c r="BA154" s="974"/>
      <c r="BB154" s="975">
        <v>0</v>
      </c>
      <c r="BC154" s="959">
        <v>0</v>
      </c>
      <c r="BD154" s="959">
        <v>0</v>
      </c>
      <c r="BE154" s="959">
        <v>0</v>
      </c>
      <c r="BF154" s="959">
        <v>0</v>
      </c>
      <c r="BG154" s="959">
        <v>0</v>
      </c>
      <c r="BH154" s="959">
        <v>0</v>
      </c>
      <c r="BI154" s="959">
        <v>0</v>
      </c>
      <c r="BJ154" s="959">
        <v>0</v>
      </c>
      <c r="BK154" s="959">
        <v>0</v>
      </c>
      <c r="BL154" s="55" t="s">
        <v>3530</v>
      </c>
    </row>
    <row r="155" spans="1:64" s="43" customFormat="1" ht="17.100000000000001" customHeight="1">
      <c r="A155" s="761" t="s">
        <v>3498</v>
      </c>
      <c r="B155" s="53" t="s">
        <v>7</v>
      </c>
      <c r="C155" s="53" t="s">
        <v>7</v>
      </c>
      <c r="D155" s="53" t="s">
        <v>1887</v>
      </c>
      <c r="E155" s="55" t="s">
        <v>5</v>
      </c>
      <c r="F155" s="55" t="s">
        <v>3531</v>
      </c>
      <c r="G155" s="71">
        <v>35184</v>
      </c>
      <c r="H155" s="50" t="s">
        <v>3532</v>
      </c>
      <c r="I155" s="760">
        <v>672</v>
      </c>
      <c r="J155" s="52">
        <v>21422</v>
      </c>
      <c r="K155" s="55" t="s">
        <v>3533</v>
      </c>
      <c r="L155" s="56" t="s">
        <v>3534</v>
      </c>
      <c r="M155" s="64">
        <v>5</v>
      </c>
      <c r="N155" s="65">
        <v>0</v>
      </c>
      <c r="O155" s="66">
        <v>136</v>
      </c>
      <c r="P155" s="67">
        <v>1</v>
      </c>
      <c r="Q155" s="68">
        <v>26</v>
      </c>
      <c r="R155" s="68">
        <v>2</v>
      </c>
      <c r="S155" s="68">
        <v>46</v>
      </c>
      <c r="T155" s="68">
        <v>2</v>
      </c>
      <c r="U155" s="69">
        <v>41</v>
      </c>
      <c r="V155" s="67">
        <v>0</v>
      </c>
      <c r="W155" s="67">
        <v>0</v>
      </c>
      <c r="X155" s="67">
        <v>0</v>
      </c>
      <c r="Y155" s="67">
        <v>0</v>
      </c>
      <c r="Z155" s="67">
        <v>0</v>
      </c>
      <c r="AA155" s="67">
        <v>0</v>
      </c>
      <c r="AB155" s="70"/>
      <c r="AC155" s="68"/>
      <c r="AD155" s="68"/>
      <c r="AE155" s="68"/>
      <c r="AF155" s="68"/>
      <c r="AG155" s="68"/>
      <c r="AH155" s="68"/>
      <c r="AI155" s="69"/>
      <c r="AJ155" s="70"/>
      <c r="AK155" s="68"/>
      <c r="AL155" s="68"/>
      <c r="AM155" s="68"/>
      <c r="AN155" s="68"/>
      <c r="AO155" s="68"/>
      <c r="AP155" s="68"/>
      <c r="AQ155" s="69"/>
      <c r="AR155" s="972"/>
      <c r="AS155" s="973"/>
      <c r="AT155" s="68"/>
      <c r="AU155" s="68"/>
      <c r="AV155" s="68"/>
      <c r="AW155" s="973"/>
      <c r="AX155" s="973"/>
      <c r="AY155" s="973"/>
      <c r="AZ155" s="973"/>
      <c r="BA155" s="974"/>
      <c r="BB155" s="975">
        <v>5</v>
      </c>
      <c r="BC155" s="959">
        <v>26</v>
      </c>
      <c r="BD155" s="959">
        <v>46</v>
      </c>
      <c r="BE155" s="959">
        <v>41</v>
      </c>
      <c r="BF155" s="959">
        <v>113</v>
      </c>
      <c r="BG155" s="959">
        <v>0</v>
      </c>
      <c r="BH155" s="959">
        <v>0</v>
      </c>
      <c r="BI155" s="959">
        <v>0</v>
      </c>
      <c r="BJ155" s="959">
        <v>0</v>
      </c>
      <c r="BK155" s="959">
        <v>0</v>
      </c>
      <c r="BL155" s="55"/>
    </row>
    <row r="156" spans="1:64" s="43" customFormat="1" ht="17.100000000000001" customHeight="1">
      <c r="A156" s="761" t="s">
        <v>3498</v>
      </c>
      <c r="B156" s="53" t="s">
        <v>7</v>
      </c>
      <c r="C156" s="53" t="s">
        <v>7</v>
      </c>
      <c r="D156" s="53" t="s">
        <v>2638</v>
      </c>
      <c r="E156" s="55" t="s">
        <v>5</v>
      </c>
      <c r="F156" s="55" t="s">
        <v>1465</v>
      </c>
      <c r="G156" s="71">
        <v>39508</v>
      </c>
      <c r="H156" s="50" t="s">
        <v>3535</v>
      </c>
      <c r="I156" s="760">
        <v>752</v>
      </c>
      <c r="J156" s="52">
        <v>21327</v>
      </c>
      <c r="K156" s="55" t="s">
        <v>1566</v>
      </c>
      <c r="L156" s="56" t="s">
        <v>1567</v>
      </c>
      <c r="M156" s="64">
        <v>13</v>
      </c>
      <c r="N156" s="65">
        <v>0</v>
      </c>
      <c r="O156" s="66">
        <v>299</v>
      </c>
      <c r="P156" s="67">
        <v>3</v>
      </c>
      <c r="Q156" s="68">
        <v>46</v>
      </c>
      <c r="R156" s="68">
        <v>4</v>
      </c>
      <c r="S156" s="68">
        <v>62</v>
      </c>
      <c r="T156" s="68">
        <v>4</v>
      </c>
      <c r="U156" s="69">
        <v>89</v>
      </c>
      <c r="V156" s="67">
        <v>0</v>
      </c>
      <c r="W156" s="67">
        <v>0</v>
      </c>
      <c r="X156" s="67">
        <v>0</v>
      </c>
      <c r="Y156" s="67">
        <v>0</v>
      </c>
      <c r="Z156" s="67">
        <v>0</v>
      </c>
      <c r="AA156" s="67">
        <v>0</v>
      </c>
      <c r="AB156" s="70"/>
      <c r="AC156" s="68"/>
      <c r="AD156" s="68"/>
      <c r="AE156" s="68"/>
      <c r="AF156" s="68"/>
      <c r="AG156" s="68"/>
      <c r="AH156" s="68"/>
      <c r="AI156" s="69"/>
      <c r="AJ156" s="70"/>
      <c r="AK156" s="68"/>
      <c r="AL156" s="68"/>
      <c r="AM156" s="68"/>
      <c r="AN156" s="68"/>
      <c r="AO156" s="68"/>
      <c r="AP156" s="68"/>
      <c r="AQ156" s="69"/>
      <c r="AR156" s="972"/>
      <c r="AS156" s="973"/>
      <c r="AT156" s="68"/>
      <c r="AU156" s="68"/>
      <c r="AV156" s="68"/>
      <c r="AW156" s="973"/>
      <c r="AX156" s="973"/>
      <c r="AY156" s="973"/>
      <c r="AZ156" s="973"/>
      <c r="BA156" s="974"/>
      <c r="BB156" s="975">
        <v>11</v>
      </c>
      <c r="BC156" s="959">
        <v>46</v>
      </c>
      <c r="BD156" s="959">
        <v>62</v>
      </c>
      <c r="BE156" s="959">
        <v>89</v>
      </c>
      <c r="BF156" s="959">
        <v>197</v>
      </c>
      <c r="BG156" s="959">
        <v>0</v>
      </c>
      <c r="BH156" s="959">
        <v>0</v>
      </c>
      <c r="BI156" s="959">
        <v>0</v>
      </c>
      <c r="BJ156" s="959">
        <v>0</v>
      </c>
      <c r="BK156" s="959">
        <v>0</v>
      </c>
      <c r="BL156" s="55"/>
    </row>
    <row r="157" spans="1:64" s="43" customFormat="1" ht="17.100000000000001" customHeight="1">
      <c r="A157" s="761" t="s">
        <v>3498</v>
      </c>
      <c r="B157" s="53" t="s">
        <v>7</v>
      </c>
      <c r="C157" s="53" t="s">
        <v>7</v>
      </c>
      <c r="D157" s="53" t="s">
        <v>2635</v>
      </c>
      <c r="E157" s="55" t="s">
        <v>5</v>
      </c>
      <c r="F157" s="55" t="s">
        <v>3536</v>
      </c>
      <c r="G157" s="71">
        <v>39056</v>
      </c>
      <c r="H157" s="50" t="s">
        <v>1841</v>
      </c>
      <c r="I157" s="760">
        <v>516</v>
      </c>
      <c r="J157" s="52">
        <v>21351</v>
      </c>
      <c r="K157" s="55" t="s">
        <v>3537</v>
      </c>
      <c r="L157" s="56" t="s">
        <v>3538</v>
      </c>
      <c r="M157" s="64">
        <v>5</v>
      </c>
      <c r="N157" s="65">
        <v>0</v>
      </c>
      <c r="O157" s="66">
        <v>128</v>
      </c>
      <c r="P157" s="67">
        <v>1</v>
      </c>
      <c r="Q157" s="68">
        <v>11</v>
      </c>
      <c r="R157" s="68">
        <v>2</v>
      </c>
      <c r="S157" s="68">
        <v>21</v>
      </c>
      <c r="T157" s="68">
        <v>1</v>
      </c>
      <c r="U157" s="69">
        <v>13</v>
      </c>
      <c r="V157" s="67">
        <v>0</v>
      </c>
      <c r="W157" s="67">
        <v>0</v>
      </c>
      <c r="X157" s="67">
        <v>0</v>
      </c>
      <c r="Y157" s="67">
        <v>0</v>
      </c>
      <c r="Z157" s="67">
        <v>0</v>
      </c>
      <c r="AA157" s="67">
        <v>0</v>
      </c>
      <c r="AB157" s="70"/>
      <c r="AC157" s="68"/>
      <c r="AD157" s="68"/>
      <c r="AE157" s="68"/>
      <c r="AF157" s="68"/>
      <c r="AG157" s="68"/>
      <c r="AH157" s="68"/>
      <c r="AI157" s="69"/>
      <c r="AJ157" s="70"/>
      <c r="AK157" s="68"/>
      <c r="AL157" s="68"/>
      <c r="AM157" s="68"/>
      <c r="AN157" s="68"/>
      <c r="AO157" s="68"/>
      <c r="AP157" s="68"/>
      <c r="AQ157" s="69"/>
      <c r="AR157" s="972"/>
      <c r="AS157" s="973"/>
      <c r="AT157" s="68"/>
      <c r="AU157" s="68"/>
      <c r="AV157" s="68"/>
      <c r="AW157" s="973"/>
      <c r="AX157" s="973"/>
      <c r="AY157" s="973"/>
      <c r="AZ157" s="973"/>
      <c r="BA157" s="974"/>
      <c r="BB157" s="975">
        <v>4</v>
      </c>
      <c r="BC157" s="959">
        <v>11</v>
      </c>
      <c r="BD157" s="959">
        <v>21</v>
      </c>
      <c r="BE157" s="959">
        <v>13</v>
      </c>
      <c r="BF157" s="959">
        <v>45</v>
      </c>
      <c r="BG157" s="959">
        <v>0</v>
      </c>
      <c r="BH157" s="959">
        <v>0</v>
      </c>
      <c r="BI157" s="959">
        <v>0</v>
      </c>
      <c r="BJ157" s="959">
        <v>0</v>
      </c>
      <c r="BK157" s="959">
        <v>0</v>
      </c>
      <c r="BL157" s="55"/>
    </row>
    <row r="158" spans="1:64" s="43" customFormat="1" ht="17.100000000000001" customHeight="1">
      <c r="A158" s="761" t="s">
        <v>3498</v>
      </c>
      <c r="B158" s="53" t="s">
        <v>7</v>
      </c>
      <c r="C158" s="53" t="s">
        <v>7</v>
      </c>
      <c r="D158" s="53" t="s">
        <v>2635</v>
      </c>
      <c r="E158" s="55" t="s">
        <v>5</v>
      </c>
      <c r="F158" s="55" t="s">
        <v>3539</v>
      </c>
      <c r="G158" s="71">
        <v>42795</v>
      </c>
      <c r="H158" s="50" t="s">
        <v>3540</v>
      </c>
      <c r="I158" s="760">
        <v>825</v>
      </c>
      <c r="J158" s="52">
        <v>21347</v>
      </c>
      <c r="K158" s="55" t="s">
        <v>3541</v>
      </c>
      <c r="L158" s="56" t="s">
        <v>3542</v>
      </c>
      <c r="M158" s="64">
        <v>7</v>
      </c>
      <c r="N158" s="65">
        <v>0</v>
      </c>
      <c r="O158" s="66">
        <v>160</v>
      </c>
      <c r="P158" s="67">
        <v>3</v>
      </c>
      <c r="Q158" s="68">
        <v>41</v>
      </c>
      <c r="R158" s="68">
        <v>2</v>
      </c>
      <c r="S158" s="68">
        <v>51</v>
      </c>
      <c r="T158" s="68">
        <v>2</v>
      </c>
      <c r="U158" s="69">
        <v>46</v>
      </c>
      <c r="V158" s="67">
        <v>0</v>
      </c>
      <c r="W158" s="67">
        <v>0</v>
      </c>
      <c r="X158" s="67">
        <v>0</v>
      </c>
      <c r="Y158" s="67">
        <v>0</v>
      </c>
      <c r="Z158" s="67">
        <v>0</v>
      </c>
      <c r="AA158" s="67">
        <v>0</v>
      </c>
      <c r="AB158" s="70"/>
      <c r="AC158" s="68"/>
      <c r="AD158" s="68"/>
      <c r="AE158" s="68"/>
      <c r="AF158" s="68"/>
      <c r="AG158" s="68"/>
      <c r="AH158" s="68"/>
      <c r="AI158" s="69"/>
      <c r="AJ158" s="70"/>
      <c r="AK158" s="68"/>
      <c r="AL158" s="68"/>
      <c r="AM158" s="68"/>
      <c r="AN158" s="68"/>
      <c r="AO158" s="68"/>
      <c r="AP158" s="68"/>
      <c r="AQ158" s="69"/>
      <c r="AR158" s="972"/>
      <c r="AS158" s="973"/>
      <c r="AT158" s="68"/>
      <c r="AU158" s="68"/>
      <c r="AV158" s="68"/>
      <c r="AW158" s="973"/>
      <c r="AX158" s="973"/>
      <c r="AY158" s="973"/>
      <c r="AZ158" s="973"/>
      <c r="BA158" s="974"/>
      <c r="BB158" s="975">
        <v>7</v>
      </c>
      <c r="BC158" s="959">
        <v>41</v>
      </c>
      <c r="BD158" s="959">
        <v>51</v>
      </c>
      <c r="BE158" s="959">
        <v>46</v>
      </c>
      <c r="BF158" s="959">
        <v>138</v>
      </c>
      <c r="BG158" s="959">
        <v>0</v>
      </c>
      <c r="BH158" s="959">
        <v>0</v>
      </c>
      <c r="BI158" s="959">
        <v>0</v>
      </c>
      <c r="BJ158" s="959">
        <v>0</v>
      </c>
      <c r="BK158" s="959">
        <v>0</v>
      </c>
      <c r="BL158" s="55"/>
    </row>
    <row r="159" spans="1:64" s="43" customFormat="1" ht="17.100000000000001" customHeight="1">
      <c r="A159" s="761" t="s">
        <v>3498</v>
      </c>
      <c r="B159" s="53" t="s">
        <v>7</v>
      </c>
      <c r="C159" s="53" t="s">
        <v>7</v>
      </c>
      <c r="D159" s="53" t="s">
        <v>3526</v>
      </c>
      <c r="E159" s="55" t="s">
        <v>5</v>
      </c>
      <c r="F159" s="55" t="s">
        <v>3543</v>
      </c>
      <c r="G159" s="71">
        <v>40660</v>
      </c>
      <c r="H159" s="50" t="s">
        <v>3544</v>
      </c>
      <c r="I159" s="760">
        <v>533</v>
      </c>
      <c r="J159" s="52">
        <v>21401</v>
      </c>
      <c r="K159" s="55" t="s">
        <v>3545</v>
      </c>
      <c r="L159" s="56" t="s">
        <v>3546</v>
      </c>
      <c r="M159" s="64">
        <v>12</v>
      </c>
      <c r="N159" s="65">
        <v>0</v>
      </c>
      <c r="O159" s="66">
        <v>252</v>
      </c>
      <c r="P159" s="67">
        <v>1</v>
      </c>
      <c r="Q159" s="68">
        <v>4</v>
      </c>
      <c r="R159" s="68">
        <v>1</v>
      </c>
      <c r="S159" s="68">
        <v>17</v>
      </c>
      <c r="T159" s="68">
        <v>1</v>
      </c>
      <c r="U159" s="69">
        <v>14</v>
      </c>
      <c r="V159" s="67">
        <v>0</v>
      </c>
      <c r="W159" s="67">
        <v>0</v>
      </c>
      <c r="X159" s="67">
        <v>0</v>
      </c>
      <c r="Y159" s="67">
        <v>0</v>
      </c>
      <c r="Z159" s="67">
        <v>0</v>
      </c>
      <c r="AA159" s="67">
        <v>0</v>
      </c>
      <c r="AB159" s="70"/>
      <c r="AC159" s="68"/>
      <c r="AD159" s="68"/>
      <c r="AE159" s="68"/>
      <c r="AF159" s="68"/>
      <c r="AG159" s="68"/>
      <c r="AH159" s="68"/>
      <c r="AI159" s="69"/>
      <c r="AJ159" s="70"/>
      <c r="AK159" s="68"/>
      <c r="AL159" s="68"/>
      <c r="AM159" s="68"/>
      <c r="AN159" s="68"/>
      <c r="AO159" s="68"/>
      <c r="AP159" s="68"/>
      <c r="AQ159" s="69"/>
      <c r="AR159" s="972"/>
      <c r="AS159" s="973"/>
      <c r="AT159" s="68"/>
      <c r="AU159" s="68"/>
      <c r="AV159" s="68"/>
      <c r="AW159" s="973"/>
      <c r="AX159" s="973"/>
      <c r="AY159" s="973"/>
      <c r="AZ159" s="973"/>
      <c r="BA159" s="974"/>
      <c r="BB159" s="975">
        <v>3</v>
      </c>
      <c r="BC159" s="959">
        <v>4</v>
      </c>
      <c r="BD159" s="959">
        <v>17</v>
      </c>
      <c r="BE159" s="959">
        <v>14</v>
      </c>
      <c r="BF159" s="959">
        <v>35</v>
      </c>
      <c r="BG159" s="959">
        <v>0</v>
      </c>
      <c r="BH159" s="959">
        <v>0</v>
      </c>
      <c r="BI159" s="959">
        <v>0</v>
      </c>
      <c r="BJ159" s="959">
        <v>0</v>
      </c>
      <c r="BK159" s="959">
        <v>0</v>
      </c>
      <c r="BL159" s="55"/>
    </row>
    <row r="160" spans="1:64" s="43" customFormat="1" ht="17.100000000000001" customHeight="1">
      <c r="A160" s="761" t="s">
        <v>3498</v>
      </c>
      <c r="B160" s="53" t="s">
        <v>7</v>
      </c>
      <c r="C160" s="53" t="s">
        <v>7</v>
      </c>
      <c r="D160" s="53" t="s">
        <v>3517</v>
      </c>
      <c r="E160" s="55" t="s">
        <v>5</v>
      </c>
      <c r="F160" s="55" t="s">
        <v>3547</v>
      </c>
      <c r="G160" s="71">
        <v>36132</v>
      </c>
      <c r="H160" s="50" t="s">
        <v>3548</v>
      </c>
      <c r="I160" s="760">
        <v>419</v>
      </c>
      <c r="J160" s="52">
        <v>21336</v>
      </c>
      <c r="K160" s="55" t="s">
        <v>3549</v>
      </c>
      <c r="L160" s="56" t="s">
        <v>3550</v>
      </c>
      <c r="M160" s="64">
        <v>4</v>
      </c>
      <c r="N160" s="65">
        <v>0</v>
      </c>
      <c r="O160" s="66">
        <v>93</v>
      </c>
      <c r="P160" s="67">
        <v>2</v>
      </c>
      <c r="Q160" s="68">
        <v>34</v>
      </c>
      <c r="R160" s="68">
        <v>1</v>
      </c>
      <c r="S160" s="68">
        <v>24</v>
      </c>
      <c r="T160" s="68">
        <v>1</v>
      </c>
      <c r="U160" s="69">
        <v>21</v>
      </c>
      <c r="V160" s="67">
        <v>0</v>
      </c>
      <c r="W160" s="67">
        <v>0</v>
      </c>
      <c r="X160" s="67">
        <v>0</v>
      </c>
      <c r="Y160" s="67">
        <v>0</v>
      </c>
      <c r="Z160" s="67">
        <v>0</v>
      </c>
      <c r="AA160" s="67">
        <v>0</v>
      </c>
      <c r="AB160" s="70"/>
      <c r="AC160" s="68"/>
      <c r="AD160" s="68"/>
      <c r="AE160" s="68"/>
      <c r="AF160" s="68"/>
      <c r="AG160" s="68"/>
      <c r="AH160" s="68"/>
      <c r="AI160" s="69"/>
      <c r="AJ160" s="70"/>
      <c r="AK160" s="68"/>
      <c r="AL160" s="68"/>
      <c r="AM160" s="68"/>
      <c r="AN160" s="68"/>
      <c r="AO160" s="68"/>
      <c r="AP160" s="68"/>
      <c r="AQ160" s="69"/>
      <c r="AR160" s="972"/>
      <c r="AS160" s="973"/>
      <c r="AT160" s="68"/>
      <c r="AU160" s="68"/>
      <c r="AV160" s="68"/>
      <c r="AW160" s="973"/>
      <c r="AX160" s="973"/>
      <c r="AY160" s="973"/>
      <c r="AZ160" s="973"/>
      <c r="BA160" s="974"/>
      <c r="BB160" s="975">
        <v>4</v>
      </c>
      <c r="BC160" s="959">
        <v>34</v>
      </c>
      <c r="BD160" s="959">
        <v>24</v>
      </c>
      <c r="BE160" s="959">
        <v>21</v>
      </c>
      <c r="BF160" s="959">
        <v>79</v>
      </c>
      <c r="BG160" s="959">
        <v>0</v>
      </c>
      <c r="BH160" s="959">
        <v>0</v>
      </c>
      <c r="BI160" s="959">
        <v>0</v>
      </c>
      <c r="BJ160" s="959">
        <v>0</v>
      </c>
      <c r="BK160" s="959">
        <v>0</v>
      </c>
      <c r="BL160" s="55"/>
    </row>
    <row r="161" spans="1:64" s="43" customFormat="1" ht="17.100000000000001" customHeight="1">
      <c r="A161" s="761" t="s">
        <v>3498</v>
      </c>
      <c r="B161" s="53" t="s">
        <v>7</v>
      </c>
      <c r="C161" s="53" t="s">
        <v>7</v>
      </c>
      <c r="D161" s="53" t="s">
        <v>3517</v>
      </c>
      <c r="E161" s="55" t="s">
        <v>5</v>
      </c>
      <c r="F161" s="55" t="s">
        <v>3551</v>
      </c>
      <c r="G161" s="71">
        <v>34302</v>
      </c>
      <c r="H161" s="50" t="s">
        <v>3552</v>
      </c>
      <c r="I161" s="760">
        <v>397</v>
      </c>
      <c r="J161" s="52">
        <v>21332</v>
      </c>
      <c r="K161" s="55" t="s">
        <v>3553</v>
      </c>
      <c r="L161" s="56" t="s">
        <v>3554</v>
      </c>
      <c r="M161" s="64">
        <v>5</v>
      </c>
      <c r="N161" s="65">
        <v>0</v>
      </c>
      <c r="O161" s="66">
        <v>96</v>
      </c>
      <c r="P161" s="67">
        <v>1</v>
      </c>
      <c r="Q161" s="68">
        <v>19</v>
      </c>
      <c r="R161" s="68">
        <v>2</v>
      </c>
      <c r="S161" s="68">
        <v>39</v>
      </c>
      <c r="T161" s="68">
        <v>2</v>
      </c>
      <c r="U161" s="69">
        <v>38</v>
      </c>
      <c r="V161" s="67">
        <v>0</v>
      </c>
      <c r="W161" s="67">
        <v>0</v>
      </c>
      <c r="X161" s="67">
        <v>0</v>
      </c>
      <c r="Y161" s="67">
        <v>0</v>
      </c>
      <c r="Z161" s="67">
        <v>0</v>
      </c>
      <c r="AA161" s="67">
        <v>0</v>
      </c>
      <c r="AB161" s="70"/>
      <c r="AC161" s="68"/>
      <c r="AD161" s="68"/>
      <c r="AE161" s="68"/>
      <c r="AF161" s="68"/>
      <c r="AG161" s="68"/>
      <c r="AH161" s="68"/>
      <c r="AI161" s="69"/>
      <c r="AJ161" s="70"/>
      <c r="AK161" s="68"/>
      <c r="AL161" s="68"/>
      <c r="AM161" s="68"/>
      <c r="AN161" s="68"/>
      <c r="AO161" s="68"/>
      <c r="AP161" s="68"/>
      <c r="AQ161" s="69"/>
      <c r="AR161" s="972"/>
      <c r="AS161" s="973"/>
      <c r="AT161" s="68"/>
      <c r="AU161" s="68"/>
      <c r="AV161" s="68"/>
      <c r="AW161" s="973"/>
      <c r="AX161" s="973"/>
      <c r="AY161" s="973"/>
      <c r="AZ161" s="973"/>
      <c r="BA161" s="974"/>
      <c r="BB161" s="975">
        <v>5</v>
      </c>
      <c r="BC161" s="959">
        <v>19</v>
      </c>
      <c r="BD161" s="959">
        <v>39</v>
      </c>
      <c r="BE161" s="959">
        <v>38</v>
      </c>
      <c r="BF161" s="959">
        <v>96</v>
      </c>
      <c r="BG161" s="959">
        <v>0</v>
      </c>
      <c r="BH161" s="959">
        <v>0</v>
      </c>
      <c r="BI161" s="959">
        <v>0</v>
      </c>
      <c r="BJ161" s="959">
        <v>0</v>
      </c>
      <c r="BK161" s="959">
        <v>0</v>
      </c>
      <c r="BL161" s="55"/>
    </row>
    <row r="162" spans="1:64" s="43" customFormat="1" ht="17.100000000000001" customHeight="1">
      <c r="A162" s="761" t="s">
        <v>3498</v>
      </c>
      <c r="B162" s="53" t="s">
        <v>7</v>
      </c>
      <c r="C162" s="53" t="s">
        <v>7</v>
      </c>
      <c r="D162" s="53" t="s">
        <v>1887</v>
      </c>
      <c r="E162" s="55" t="s">
        <v>5</v>
      </c>
      <c r="F162" s="55" t="s">
        <v>3555</v>
      </c>
      <c r="G162" s="71">
        <v>39142</v>
      </c>
      <c r="H162" s="50" t="s">
        <v>1842</v>
      </c>
      <c r="I162" s="760">
        <v>1105</v>
      </c>
      <c r="J162" s="52">
        <v>21457</v>
      </c>
      <c r="K162" s="55" t="s">
        <v>3556</v>
      </c>
      <c r="L162" s="56" t="s">
        <v>3557</v>
      </c>
      <c r="M162" s="64">
        <v>6</v>
      </c>
      <c r="N162" s="65">
        <v>0</v>
      </c>
      <c r="O162" s="66">
        <v>170</v>
      </c>
      <c r="P162" s="67">
        <v>2</v>
      </c>
      <c r="Q162" s="68">
        <v>26</v>
      </c>
      <c r="R162" s="68">
        <v>2</v>
      </c>
      <c r="S162" s="68">
        <v>26</v>
      </c>
      <c r="T162" s="68">
        <v>2</v>
      </c>
      <c r="U162" s="69">
        <v>41</v>
      </c>
      <c r="V162" s="67">
        <v>0</v>
      </c>
      <c r="W162" s="67">
        <v>0</v>
      </c>
      <c r="X162" s="67">
        <v>0</v>
      </c>
      <c r="Y162" s="67">
        <v>0</v>
      </c>
      <c r="Z162" s="67">
        <v>0</v>
      </c>
      <c r="AA162" s="67">
        <v>0</v>
      </c>
      <c r="AB162" s="70"/>
      <c r="AC162" s="68"/>
      <c r="AD162" s="68"/>
      <c r="AE162" s="68"/>
      <c r="AF162" s="68"/>
      <c r="AG162" s="68"/>
      <c r="AH162" s="68"/>
      <c r="AI162" s="69"/>
      <c r="AJ162" s="70"/>
      <c r="AK162" s="68"/>
      <c r="AL162" s="68"/>
      <c r="AM162" s="68"/>
      <c r="AN162" s="68"/>
      <c r="AO162" s="68"/>
      <c r="AP162" s="68"/>
      <c r="AQ162" s="69"/>
      <c r="AR162" s="972"/>
      <c r="AS162" s="973"/>
      <c r="AT162" s="68"/>
      <c r="AU162" s="68"/>
      <c r="AV162" s="68"/>
      <c r="AW162" s="973"/>
      <c r="AX162" s="973"/>
      <c r="AY162" s="973"/>
      <c r="AZ162" s="973"/>
      <c r="BA162" s="974"/>
      <c r="BB162" s="975">
        <v>6</v>
      </c>
      <c r="BC162" s="959">
        <v>26</v>
      </c>
      <c r="BD162" s="959">
        <v>26</v>
      </c>
      <c r="BE162" s="959">
        <v>41</v>
      </c>
      <c r="BF162" s="959">
        <v>93</v>
      </c>
      <c r="BG162" s="959">
        <v>0</v>
      </c>
      <c r="BH162" s="959">
        <v>0</v>
      </c>
      <c r="BI162" s="959">
        <v>0</v>
      </c>
      <c r="BJ162" s="959">
        <v>0</v>
      </c>
      <c r="BK162" s="959">
        <v>0</v>
      </c>
      <c r="BL162" s="55"/>
    </row>
    <row r="163" spans="1:64" s="43" customFormat="1" ht="17.100000000000001" customHeight="1">
      <c r="A163" s="761" t="s">
        <v>3498</v>
      </c>
      <c r="B163" s="53" t="s">
        <v>7</v>
      </c>
      <c r="C163" s="53" t="s">
        <v>7</v>
      </c>
      <c r="D163" s="53" t="s">
        <v>3517</v>
      </c>
      <c r="E163" s="55" t="s">
        <v>5</v>
      </c>
      <c r="F163" s="55" t="s">
        <v>3558</v>
      </c>
      <c r="G163" s="71">
        <v>34106</v>
      </c>
      <c r="H163" s="50" t="s">
        <v>3559</v>
      </c>
      <c r="I163" s="760">
        <v>600</v>
      </c>
      <c r="J163" s="52">
        <v>21331</v>
      </c>
      <c r="K163" s="55" t="s">
        <v>3560</v>
      </c>
      <c r="L163" s="56" t="s">
        <v>3561</v>
      </c>
      <c r="M163" s="64">
        <v>6</v>
      </c>
      <c r="N163" s="65">
        <v>0</v>
      </c>
      <c r="O163" s="66">
        <v>200</v>
      </c>
      <c r="P163" s="67">
        <v>3</v>
      </c>
      <c r="Q163" s="68">
        <v>59</v>
      </c>
      <c r="R163" s="68">
        <v>2</v>
      </c>
      <c r="S163" s="68">
        <v>44</v>
      </c>
      <c r="T163" s="68">
        <v>1</v>
      </c>
      <c r="U163" s="69">
        <v>28</v>
      </c>
      <c r="V163" s="67">
        <v>0</v>
      </c>
      <c r="W163" s="67">
        <v>0</v>
      </c>
      <c r="X163" s="67">
        <v>0</v>
      </c>
      <c r="Y163" s="67">
        <v>0</v>
      </c>
      <c r="Z163" s="67">
        <v>0</v>
      </c>
      <c r="AA163" s="67">
        <v>0</v>
      </c>
      <c r="AB163" s="70"/>
      <c r="AC163" s="68"/>
      <c r="AD163" s="68"/>
      <c r="AE163" s="68"/>
      <c r="AF163" s="68"/>
      <c r="AG163" s="68"/>
      <c r="AH163" s="68"/>
      <c r="AI163" s="69"/>
      <c r="AJ163" s="70"/>
      <c r="AK163" s="68"/>
      <c r="AL163" s="68"/>
      <c r="AM163" s="68"/>
      <c r="AN163" s="68"/>
      <c r="AO163" s="68"/>
      <c r="AP163" s="68"/>
      <c r="AQ163" s="69"/>
      <c r="AR163" s="972"/>
      <c r="AS163" s="973"/>
      <c r="AT163" s="68"/>
      <c r="AU163" s="68"/>
      <c r="AV163" s="68"/>
      <c r="AW163" s="973"/>
      <c r="AX163" s="973"/>
      <c r="AY163" s="973"/>
      <c r="AZ163" s="973"/>
      <c r="BA163" s="974"/>
      <c r="BB163" s="975">
        <v>6</v>
      </c>
      <c r="BC163" s="959">
        <v>59</v>
      </c>
      <c r="BD163" s="959">
        <v>44</v>
      </c>
      <c r="BE163" s="959">
        <v>28</v>
      </c>
      <c r="BF163" s="959">
        <v>131</v>
      </c>
      <c r="BG163" s="959">
        <v>0</v>
      </c>
      <c r="BH163" s="959">
        <v>0</v>
      </c>
      <c r="BI163" s="959">
        <v>0</v>
      </c>
      <c r="BJ163" s="959">
        <v>0</v>
      </c>
      <c r="BK163" s="959">
        <v>0</v>
      </c>
      <c r="BL163" s="55"/>
    </row>
    <row r="164" spans="1:64" s="43" customFormat="1" ht="17.100000000000001" customHeight="1">
      <c r="A164" s="1614" t="s">
        <v>422</v>
      </c>
      <c r="B164" s="1615"/>
      <c r="C164" s="1615"/>
      <c r="D164" s="1616"/>
      <c r="E164" s="418">
        <f>COUNTA(E131:E163)</f>
        <v>33</v>
      </c>
      <c r="F164" s="294"/>
      <c r="G164" s="419"/>
      <c r="H164" s="190"/>
      <c r="I164" s="420"/>
      <c r="J164" s="296"/>
      <c r="K164" s="294"/>
      <c r="L164" s="297"/>
      <c r="M164" s="421">
        <f t="shared" ref="M164:AR164" si="144">SUM(M131:M163)</f>
        <v>222</v>
      </c>
      <c r="N164" s="422">
        <f t="shared" si="144"/>
        <v>0</v>
      </c>
      <c r="O164" s="423">
        <f t="shared" si="144"/>
        <v>5578</v>
      </c>
      <c r="P164" s="424">
        <f t="shared" si="144"/>
        <v>58</v>
      </c>
      <c r="Q164" s="425">
        <f t="shared" si="144"/>
        <v>953</v>
      </c>
      <c r="R164" s="425">
        <f t="shared" si="144"/>
        <v>60</v>
      </c>
      <c r="S164" s="425">
        <f t="shared" si="144"/>
        <v>1129</v>
      </c>
      <c r="T164" s="425">
        <f t="shared" si="144"/>
        <v>60</v>
      </c>
      <c r="U164" s="426">
        <f t="shared" si="144"/>
        <v>1252</v>
      </c>
      <c r="V164" s="427">
        <f t="shared" si="144"/>
        <v>0</v>
      </c>
      <c r="W164" s="425">
        <f t="shared" si="144"/>
        <v>0</v>
      </c>
      <c r="X164" s="425">
        <f t="shared" si="144"/>
        <v>0</v>
      </c>
      <c r="Y164" s="425">
        <f t="shared" si="144"/>
        <v>0</v>
      </c>
      <c r="Z164" s="425">
        <f t="shared" si="144"/>
        <v>0</v>
      </c>
      <c r="AA164" s="426">
        <f t="shared" si="144"/>
        <v>0</v>
      </c>
      <c r="AB164" s="424">
        <f t="shared" si="144"/>
        <v>1</v>
      </c>
      <c r="AC164" s="425">
        <f t="shared" si="144"/>
        <v>0</v>
      </c>
      <c r="AD164" s="425">
        <f t="shared" si="144"/>
        <v>9</v>
      </c>
      <c r="AE164" s="425">
        <f t="shared" si="144"/>
        <v>8</v>
      </c>
      <c r="AF164" s="425">
        <f t="shared" si="144"/>
        <v>17</v>
      </c>
      <c r="AG164" s="425">
        <f t="shared" si="144"/>
        <v>0</v>
      </c>
      <c r="AH164" s="425">
        <f t="shared" si="144"/>
        <v>0</v>
      </c>
      <c r="AI164" s="426">
        <f t="shared" si="144"/>
        <v>0</v>
      </c>
      <c r="AJ164" s="424">
        <f t="shared" si="144"/>
        <v>1</v>
      </c>
      <c r="AK164" s="425">
        <f t="shared" si="144"/>
        <v>0</v>
      </c>
      <c r="AL164" s="425">
        <f t="shared" si="144"/>
        <v>6</v>
      </c>
      <c r="AM164" s="425">
        <f t="shared" si="144"/>
        <v>16</v>
      </c>
      <c r="AN164" s="425">
        <f t="shared" si="144"/>
        <v>22</v>
      </c>
      <c r="AO164" s="425">
        <f t="shared" si="144"/>
        <v>0</v>
      </c>
      <c r="AP164" s="425">
        <f t="shared" si="144"/>
        <v>0</v>
      </c>
      <c r="AQ164" s="426">
        <f t="shared" si="144"/>
        <v>0</v>
      </c>
      <c r="AR164" s="428">
        <f t="shared" si="144"/>
        <v>3</v>
      </c>
      <c r="AS164" s="429">
        <f t="shared" ref="AS164:BK164" si="145">SUM(AS131:AS163)</f>
        <v>0</v>
      </c>
      <c r="AT164" s="429">
        <f t="shared" si="145"/>
        <v>6</v>
      </c>
      <c r="AU164" s="429">
        <f t="shared" si="145"/>
        <v>10</v>
      </c>
      <c r="AV164" s="429">
        <f t="shared" si="145"/>
        <v>15</v>
      </c>
      <c r="AW164" s="429">
        <f t="shared" si="145"/>
        <v>31</v>
      </c>
      <c r="AX164" s="429">
        <f t="shared" si="145"/>
        <v>0</v>
      </c>
      <c r="AY164" s="429">
        <f t="shared" si="145"/>
        <v>0</v>
      </c>
      <c r="AZ164" s="429">
        <f t="shared" si="145"/>
        <v>0</v>
      </c>
      <c r="BA164" s="430">
        <f t="shared" si="145"/>
        <v>0</v>
      </c>
      <c r="BB164" s="431">
        <f t="shared" si="145"/>
        <v>183</v>
      </c>
      <c r="BC164" s="432">
        <f t="shared" si="145"/>
        <v>968</v>
      </c>
      <c r="BD164" s="432">
        <f t="shared" si="145"/>
        <v>1153</v>
      </c>
      <c r="BE164" s="432">
        <f t="shared" si="145"/>
        <v>1283</v>
      </c>
      <c r="BF164" s="432">
        <f t="shared" si="145"/>
        <v>3404</v>
      </c>
      <c r="BG164" s="432">
        <f t="shared" si="145"/>
        <v>0</v>
      </c>
      <c r="BH164" s="432">
        <f t="shared" si="145"/>
        <v>0</v>
      </c>
      <c r="BI164" s="432">
        <f t="shared" si="145"/>
        <v>0</v>
      </c>
      <c r="BJ164" s="432">
        <f t="shared" si="145"/>
        <v>0</v>
      </c>
      <c r="BK164" s="433">
        <f t="shared" si="145"/>
        <v>0</v>
      </c>
      <c r="BL164" s="434"/>
    </row>
    <row r="165" spans="1:64" s="43" customFormat="1" ht="17.100000000000001" customHeight="1">
      <c r="A165" s="1568" t="s">
        <v>1780</v>
      </c>
      <c r="B165" s="1569"/>
      <c r="C165" s="1569"/>
      <c r="D165" s="1569"/>
      <c r="E165" s="1570"/>
      <c r="F165" s="435">
        <f>E130+E164</f>
        <v>60</v>
      </c>
      <c r="G165" s="436"/>
      <c r="H165" s="222"/>
      <c r="I165" s="437"/>
      <c r="J165" s="305"/>
      <c r="K165" s="303"/>
      <c r="L165" s="306"/>
      <c r="M165" s="438">
        <f t="shared" ref="M165:AR165" si="146">M130+M164</f>
        <v>280</v>
      </c>
      <c r="N165" s="439">
        <f t="shared" si="146"/>
        <v>16</v>
      </c>
      <c r="O165" s="440">
        <f t="shared" si="146"/>
        <v>6577</v>
      </c>
      <c r="P165" s="441">
        <f t="shared" si="146"/>
        <v>65</v>
      </c>
      <c r="Q165" s="442">
        <f t="shared" si="146"/>
        <v>1012</v>
      </c>
      <c r="R165" s="442">
        <f t="shared" si="146"/>
        <v>70</v>
      </c>
      <c r="S165" s="442">
        <f t="shared" si="146"/>
        <v>1240</v>
      </c>
      <c r="T165" s="442">
        <f t="shared" si="146"/>
        <v>74</v>
      </c>
      <c r="U165" s="443">
        <f t="shared" si="146"/>
        <v>1409</v>
      </c>
      <c r="V165" s="444">
        <f t="shared" si="146"/>
        <v>1</v>
      </c>
      <c r="W165" s="442">
        <f t="shared" si="146"/>
        <v>4</v>
      </c>
      <c r="X165" s="442">
        <f t="shared" si="146"/>
        <v>1</v>
      </c>
      <c r="Y165" s="442">
        <f t="shared" si="146"/>
        <v>4</v>
      </c>
      <c r="Z165" s="442">
        <f t="shared" si="146"/>
        <v>2</v>
      </c>
      <c r="AA165" s="443">
        <f t="shared" si="146"/>
        <v>8</v>
      </c>
      <c r="AB165" s="441">
        <f t="shared" si="146"/>
        <v>4</v>
      </c>
      <c r="AC165" s="442">
        <f t="shared" si="146"/>
        <v>1</v>
      </c>
      <c r="AD165" s="442">
        <f t="shared" si="146"/>
        <v>14</v>
      </c>
      <c r="AE165" s="442">
        <f t="shared" si="146"/>
        <v>15</v>
      </c>
      <c r="AF165" s="442">
        <f t="shared" si="146"/>
        <v>29</v>
      </c>
      <c r="AG165" s="442">
        <f t="shared" si="146"/>
        <v>2</v>
      </c>
      <c r="AH165" s="442">
        <f t="shared" si="146"/>
        <v>2</v>
      </c>
      <c r="AI165" s="443">
        <f t="shared" si="146"/>
        <v>4</v>
      </c>
      <c r="AJ165" s="441">
        <f t="shared" si="146"/>
        <v>5</v>
      </c>
      <c r="AK165" s="442">
        <f t="shared" si="146"/>
        <v>0</v>
      </c>
      <c r="AL165" s="442">
        <f t="shared" si="146"/>
        <v>19</v>
      </c>
      <c r="AM165" s="442">
        <f t="shared" si="146"/>
        <v>52</v>
      </c>
      <c r="AN165" s="442">
        <f t="shared" si="146"/>
        <v>71</v>
      </c>
      <c r="AO165" s="442">
        <f t="shared" si="146"/>
        <v>0</v>
      </c>
      <c r="AP165" s="442">
        <f t="shared" si="146"/>
        <v>4</v>
      </c>
      <c r="AQ165" s="443">
        <f t="shared" si="146"/>
        <v>4</v>
      </c>
      <c r="AR165" s="445">
        <f t="shared" si="146"/>
        <v>9</v>
      </c>
      <c r="AS165" s="446">
        <f t="shared" ref="AS165:BK165" si="147">AS130+AS164</f>
        <v>10</v>
      </c>
      <c r="AT165" s="446">
        <f t="shared" si="147"/>
        <v>18</v>
      </c>
      <c r="AU165" s="446">
        <f t="shared" si="147"/>
        <v>12</v>
      </c>
      <c r="AV165" s="446">
        <f t="shared" si="147"/>
        <v>27</v>
      </c>
      <c r="AW165" s="446">
        <f t="shared" si="147"/>
        <v>57</v>
      </c>
      <c r="AX165" s="446">
        <f t="shared" si="147"/>
        <v>4</v>
      </c>
      <c r="AY165" s="446">
        <f t="shared" si="147"/>
        <v>9</v>
      </c>
      <c r="AZ165" s="446">
        <f t="shared" si="147"/>
        <v>23</v>
      </c>
      <c r="BA165" s="447">
        <f t="shared" si="147"/>
        <v>36</v>
      </c>
      <c r="BB165" s="448">
        <f t="shared" si="147"/>
        <v>228</v>
      </c>
      <c r="BC165" s="449">
        <f t="shared" si="147"/>
        <v>1044</v>
      </c>
      <c r="BD165" s="449">
        <f t="shared" si="147"/>
        <v>1286</v>
      </c>
      <c r="BE165" s="449">
        <f t="shared" si="147"/>
        <v>1488</v>
      </c>
      <c r="BF165" s="449">
        <f t="shared" si="147"/>
        <v>3818</v>
      </c>
      <c r="BG165" s="449">
        <f t="shared" si="147"/>
        <v>16</v>
      </c>
      <c r="BH165" s="449">
        <f t="shared" si="147"/>
        <v>12</v>
      </c>
      <c r="BI165" s="449">
        <f t="shared" si="147"/>
        <v>15</v>
      </c>
      <c r="BJ165" s="449">
        <f t="shared" si="147"/>
        <v>33</v>
      </c>
      <c r="BK165" s="450">
        <f t="shared" si="147"/>
        <v>60</v>
      </c>
      <c r="BL165" s="451"/>
    </row>
    <row r="166" spans="1:64" s="400" customFormat="1" ht="17.100000000000001" customHeight="1">
      <c r="A166" s="457" t="s">
        <v>2639</v>
      </c>
      <c r="B166" s="53" t="s">
        <v>10</v>
      </c>
      <c r="C166" s="53" t="s">
        <v>10</v>
      </c>
      <c r="D166" s="53" t="s">
        <v>2642</v>
      </c>
      <c r="E166" s="53" t="s">
        <v>2424</v>
      </c>
      <c r="F166" s="53" t="s">
        <v>3424</v>
      </c>
      <c r="G166" s="71">
        <v>36951</v>
      </c>
      <c r="H166" s="50" t="s">
        <v>3425</v>
      </c>
      <c r="I166" s="51">
        <v>12553</v>
      </c>
      <c r="J166" s="52">
        <v>21074</v>
      </c>
      <c r="K166" s="53" t="s">
        <v>3426</v>
      </c>
      <c r="L166" s="54" t="s">
        <v>3427</v>
      </c>
      <c r="M166" s="57">
        <v>2</v>
      </c>
      <c r="N166" s="58">
        <v>0</v>
      </c>
      <c r="O166" s="59">
        <v>36</v>
      </c>
      <c r="P166" s="60">
        <v>1</v>
      </c>
      <c r="Q166" s="61">
        <v>8</v>
      </c>
      <c r="R166" s="61"/>
      <c r="S166" s="61"/>
      <c r="T166" s="61"/>
      <c r="U166" s="62"/>
      <c r="V166" s="60"/>
      <c r="W166" s="61"/>
      <c r="X166" s="61"/>
      <c r="Y166" s="61"/>
      <c r="Z166" s="61"/>
      <c r="AA166" s="62"/>
      <c r="AB166" s="63"/>
      <c r="AC166" s="61"/>
      <c r="AD166" s="61"/>
      <c r="AE166" s="61"/>
      <c r="AF166" s="61">
        <f>SUM(AD166:AE166)</f>
        <v>0</v>
      </c>
      <c r="AG166" s="61"/>
      <c r="AH166" s="61"/>
      <c r="AI166" s="62">
        <f>SUM(AG166:AH166)</f>
        <v>0</v>
      </c>
      <c r="AJ166" s="63">
        <v>1</v>
      </c>
      <c r="AK166" s="61"/>
      <c r="AL166" s="61">
        <v>9</v>
      </c>
      <c r="AM166" s="61">
        <v>1</v>
      </c>
      <c r="AN166" s="61">
        <f>SUM(AL166:AM166)</f>
        <v>10</v>
      </c>
      <c r="AO166" s="61"/>
      <c r="AP166" s="61"/>
      <c r="AQ166" s="62">
        <f>SUM(AO166:AP166)</f>
        <v>0</v>
      </c>
      <c r="AR166" s="955"/>
      <c r="AS166" s="956"/>
      <c r="AT166" s="61"/>
      <c r="AU166" s="61"/>
      <c r="AV166" s="61"/>
      <c r="AW166" s="956">
        <f>SUM(AT166:AV166)</f>
        <v>0</v>
      </c>
      <c r="AX166" s="956"/>
      <c r="AY166" s="956"/>
      <c r="AZ166" s="956"/>
      <c r="BA166" s="957">
        <f>SUM(AX166:AZ166)</f>
        <v>0</v>
      </c>
      <c r="BB166" s="958">
        <f>SUM(P166,R166,T166,AB166,AJ166,AR166)</f>
        <v>2</v>
      </c>
      <c r="BC166" s="959">
        <f>SUM(Q166,AD166,AT166)</f>
        <v>8</v>
      </c>
      <c r="BD166" s="959">
        <f>SUM(S166,AE166,AL166,AU166)</f>
        <v>9</v>
      </c>
      <c r="BE166" s="959">
        <f>SUM(U166,AM166,AV166)</f>
        <v>1</v>
      </c>
      <c r="BF166" s="959">
        <f>SUM(BC166:BE166)</f>
        <v>18</v>
      </c>
      <c r="BG166" s="959">
        <f>SUM(V166,X166,Z166,AC166,AK166,AS166)</f>
        <v>0</v>
      </c>
      <c r="BH166" s="959">
        <f>SUM(W166,AG166,AX166)</f>
        <v>0</v>
      </c>
      <c r="BI166" s="959">
        <f>SUM(Y166,AH166,AO166,AY166)</f>
        <v>0</v>
      </c>
      <c r="BJ166" s="959">
        <f>SUM(AA166,AP166,AZ166)</f>
        <v>0</v>
      </c>
      <c r="BK166" s="959">
        <f>SUM(BH166:BJ166)</f>
        <v>0</v>
      </c>
      <c r="BL166" s="53"/>
    </row>
    <row r="167" spans="1:64" s="400" customFormat="1" ht="17.100000000000001" customHeight="1">
      <c r="A167" s="761" t="s">
        <v>1576</v>
      </c>
      <c r="B167" s="55" t="s">
        <v>10</v>
      </c>
      <c r="C167" s="53" t="s">
        <v>10</v>
      </c>
      <c r="D167" s="53" t="s">
        <v>2640</v>
      </c>
      <c r="E167" s="55" t="s">
        <v>4</v>
      </c>
      <c r="F167" s="53" t="s">
        <v>1773</v>
      </c>
      <c r="G167" s="71">
        <v>41518</v>
      </c>
      <c r="H167" s="50" t="s">
        <v>3428</v>
      </c>
      <c r="I167" s="760">
        <v>1920</v>
      </c>
      <c r="J167" s="52">
        <v>21118</v>
      </c>
      <c r="K167" s="55" t="s">
        <v>1761</v>
      </c>
      <c r="L167" s="56" t="s">
        <v>1762</v>
      </c>
      <c r="M167" s="64">
        <v>6</v>
      </c>
      <c r="N167" s="65">
        <v>3</v>
      </c>
      <c r="O167" s="66">
        <v>96</v>
      </c>
      <c r="P167" s="67">
        <v>2</v>
      </c>
      <c r="Q167" s="68">
        <v>20</v>
      </c>
      <c r="R167" s="68">
        <v>2</v>
      </c>
      <c r="S167" s="68">
        <v>27</v>
      </c>
      <c r="T167" s="68">
        <v>2</v>
      </c>
      <c r="U167" s="69">
        <v>24</v>
      </c>
      <c r="V167" s="67">
        <v>1</v>
      </c>
      <c r="W167" s="68">
        <v>4</v>
      </c>
      <c r="X167" s="68">
        <v>1</v>
      </c>
      <c r="Y167" s="68">
        <v>4</v>
      </c>
      <c r="Z167" s="68">
        <v>1</v>
      </c>
      <c r="AA167" s="69">
        <v>4</v>
      </c>
      <c r="AB167" s="70"/>
      <c r="AC167" s="68"/>
      <c r="AD167" s="68"/>
      <c r="AE167" s="68"/>
      <c r="AF167" s="68">
        <v>0</v>
      </c>
      <c r="AG167" s="68"/>
      <c r="AH167" s="68"/>
      <c r="AI167" s="69">
        <v>0</v>
      </c>
      <c r="AJ167" s="70"/>
      <c r="AK167" s="68"/>
      <c r="AL167" s="68"/>
      <c r="AM167" s="68"/>
      <c r="AN167" s="68">
        <v>0</v>
      </c>
      <c r="AO167" s="68"/>
      <c r="AP167" s="68"/>
      <c r="AQ167" s="69">
        <v>0</v>
      </c>
      <c r="AR167" s="972"/>
      <c r="AS167" s="973"/>
      <c r="AT167" s="68"/>
      <c r="AU167" s="68"/>
      <c r="AV167" s="68"/>
      <c r="AW167" s="973">
        <v>0</v>
      </c>
      <c r="AX167" s="973"/>
      <c r="AY167" s="973"/>
      <c r="AZ167" s="973"/>
      <c r="BA167" s="974">
        <v>0</v>
      </c>
      <c r="BB167" s="975">
        <v>6</v>
      </c>
      <c r="BC167" s="959">
        <v>20</v>
      </c>
      <c r="BD167" s="959">
        <v>27</v>
      </c>
      <c r="BE167" s="959">
        <v>24</v>
      </c>
      <c r="BF167" s="959">
        <v>71</v>
      </c>
      <c r="BG167" s="959">
        <v>3</v>
      </c>
      <c r="BH167" s="959">
        <v>4</v>
      </c>
      <c r="BI167" s="959">
        <v>4</v>
      </c>
      <c r="BJ167" s="959">
        <v>4</v>
      </c>
      <c r="BK167" s="959">
        <v>12</v>
      </c>
      <c r="BL167" s="55"/>
    </row>
    <row r="168" spans="1:64" s="400" customFormat="1" ht="17.100000000000001" customHeight="1">
      <c r="A168" s="761" t="s">
        <v>1576</v>
      </c>
      <c r="B168" s="55" t="s">
        <v>10</v>
      </c>
      <c r="C168" s="53" t="s">
        <v>10</v>
      </c>
      <c r="D168" s="53" t="s">
        <v>1774</v>
      </c>
      <c r="E168" s="55" t="s">
        <v>4</v>
      </c>
      <c r="F168" s="53" t="s">
        <v>1775</v>
      </c>
      <c r="G168" s="71">
        <v>37690</v>
      </c>
      <c r="H168" s="50" t="s">
        <v>3429</v>
      </c>
      <c r="I168" s="760">
        <v>12479</v>
      </c>
      <c r="J168" s="52">
        <v>21111</v>
      </c>
      <c r="K168" s="55" t="s">
        <v>1763</v>
      </c>
      <c r="L168" s="56" t="s">
        <v>1764</v>
      </c>
      <c r="M168" s="64">
        <v>2</v>
      </c>
      <c r="N168" s="65">
        <v>1</v>
      </c>
      <c r="O168" s="66">
        <v>36</v>
      </c>
      <c r="P168" s="67"/>
      <c r="Q168" s="68"/>
      <c r="R168" s="68"/>
      <c r="S168" s="68"/>
      <c r="T168" s="68"/>
      <c r="U168" s="69"/>
      <c r="V168" s="67"/>
      <c r="W168" s="68"/>
      <c r="X168" s="68"/>
      <c r="Y168" s="68"/>
      <c r="Z168" s="68"/>
      <c r="AA168" s="69"/>
      <c r="AB168" s="70"/>
      <c r="AC168" s="68"/>
      <c r="AD168" s="68"/>
      <c r="AE168" s="68"/>
      <c r="AF168" s="68">
        <v>0</v>
      </c>
      <c r="AG168" s="68"/>
      <c r="AH168" s="68"/>
      <c r="AI168" s="69">
        <v>0</v>
      </c>
      <c r="AJ168" s="70"/>
      <c r="AK168" s="68"/>
      <c r="AL168" s="68"/>
      <c r="AM168" s="68"/>
      <c r="AN168" s="68">
        <v>0</v>
      </c>
      <c r="AO168" s="68"/>
      <c r="AP168" s="68"/>
      <c r="AQ168" s="69">
        <v>0</v>
      </c>
      <c r="AR168" s="972">
        <v>1</v>
      </c>
      <c r="AS168" s="973">
        <v>1</v>
      </c>
      <c r="AT168" s="68">
        <v>2</v>
      </c>
      <c r="AU168" s="68"/>
      <c r="AV168" s="68">
        <v>1</v>
      </c>
      <c r="AW168" s="973">
        <v>3</v>
      </c>
      <c r="AX168" s="973"/>
      <c r="AY168" s="973">
        <v>1</v>
      </c>
      <c r="AZ168" s="973">
        <v>3</v>
      </c>
      <c r="BA168" s="974">
        <v>4</v>
      </c>
      <c r="BB168" s="975">
        <v>1</v>
      </c>
      <c r="BC168" s="959">
        <v>2</v>
      </c>
      <c r="BD168" s="959">
        <v>0</v>
      </c>
      <c r="BE168" s="959">
        <v>1</v>
      </c>
      <c r="BF168" s="959">
        <v>3</v>
      </c>
      <c r="BG168" s="959">
        <v>1</v>
      </c>
      <c r="BH168" s="959">
        <v>0</v>
      </c>
      <c r="BI168" s="959">
        <v>1</v>
      </c>
      <c r="BJ168" s="959">
        <v>3</v>
      </c>
      <c r="BK168" s="959">
        <v>4</v>
      </c>
      <c r="BL168" s="55"/>
    </row>
    <row r="169" spans="1:64" s="400" customFormat="1" ht="17.100000000000001" customHeight="1">
      <c r="A169" s="457" t="s">
        <v>2639</v>
      </c>
      <c r="B169" s="53" t="s">
        <v>10</v>
      </c>
      <c r="C169" s="53" t="s">
        <v>10</v>
      </c>
      <c r="D169" s="53" t="s">
        <v>2643</v>
      </c>
      <c r="E169" s="53" t="s">
        <v>2424</v>
      </c>
      <c r="F169" s="53" t="s">
        <v>3430</v>
      </c>
      <c r="G169" s="71">
        <v>37681</v>
      </c>
      <c r="H169" s="50" t="s">
        <v>3431</v>
      </c>
      <c r="I169" s="51">
        <v>10732</v>
      </c>
      <c r="J169" s="52">
        <v>21096</v>
      </c>
      <c r="K169" s="53" t="s">
        <v>3432</v>
      </c>
      <c r="L169" s="54" t="s">
        <v>3433</v>
      </c>
      <c r="M169" s="57">
        <v>2</v>
      </c>
      <c r="N169" s="58">
        <v>0</v>
      </c>
      <c r="O169" s="59">
        <v>36</v>
      </c>
      <c r="P169" s="60"/>
      <c r="Q169" s="61"/>
      <c r="R169" s="61">
        <v>1</v>
      </c>
      <c r="S169" s="61">
        <v>8</v>
      </c>
      <c r="T169" s="61">
        <v>1</v>
      </c>
      <c r="U169" s="62">
        <v>7</v>
      </c>
      <c r="V169" s="60"/>
      <c r="W169" s="61"/>
      <c r="X169" s="61"/>
      <c r="Y169" s="61"/>
      <c r="Z169" s="61"/>
      <c r="AA169" s="62"/>
      <c r="AB169" s="63"/>
      <c r="AC169" s="61"/>
      <c r="AD169" s="61"/>
      <c r="AE169" s="61"/>
      <c r="AF169" s="61">
        <f>SUM(AD169:AE169)</f>
        <v>0</v>
      </c>
      <c r="AG169" s="61"/>
      <c r="AH169" s="61"/>
      <c r="AI169" s="62">
        <f>SUM(AG169:AH169)</f>
        <v>0</v>
      </c>
      <c r="AJ169" s="63"/>
      <c r="AK169" s="61"/>
      <c r="AL169" s="61"/>
      <c r="AM169" s="61"/>
      <c r="AN169" s="61">
        <f>SUM(AL169:AM169)</f>
        <v>0</v>
      </c>
      <c r="AO169" s="61"/>
      <c r="AP169" s="61"/>
      <c r="AQ169" s="62">
        <f>SUM(AO169:AP169)</f>
        <v>0</v>
      </c>
      <c r="AR169" s="955"/>
      <c r="AS169" s="956"/>
      <c r="AT169" s="61"/>
      <c r="AU169" s="61"/>
      <c r="AV169" s="61"/>
      <c r="AW169" s="956">
        <f>SUM(AT169:AV169)</f>
        <v>0</v>
      </c>
      <c r="AX169" s="956"/>
      <c r="AY169" s="956"/>
      <c r="AZ169" s="956"/>
      <c r="BA169" s="957">
        <f>SUM(AX169:AZ169)</f>
        <v>0</v>
      </c>
      <c r="BB169" s="958">
        <f>SUM(P169,R169,T169,AB169,AJ169,AR169)</f>
        <v>2</v>
      </c>
      <c r="BC169" s="959">
        <f>SUM(Q169,AD169,AT169)</f>
        <v>0</v>
      </c>
      <c r="BD169" s="959">
        <f>SUM(S169,AE169,AL169,AU169)</f>
        <v>8</v>
      </c>
      <c r="BE169" s="959">
        <f>SUM(U169,AM169,AV169)</f>
        <v>7</v>
      </c>
      <c r="BF169" s="959">
        <f>SUM(BC169:BE169)</f>
        <v>15</v>
      </c>
      <c r="BG169" s="959">
        <f>SUM(V169,X169,Z169,AC169,AK169,AS169)</f>
        <v>0</v>
      </c>
      <c r="BH169" s="959">
        <f>SUM(W169,AG169,AX169)</f>
        <v>0</v>
      </c>
      <c r="BI169" s="959">
        <f>SUM(Y169,AH169,AO169,AY169)</f>
        <v>0</v>
      </c>
      <c r="BJ169" s="959">
        <f>SUM(AA169,AP169,AZ169)</f>
        <v>0</v>
      </c>
      <c r="BK169" s="959">
        <f>SUM(BH169:BJ169)</f>
        <v>0</v>
      </c>
      <c r="BL169" s="53"/>
    </row>
    <row r="170" spans="1:64" s="400" customFormat="1" ht="17.100000000000001" customHeight="1">
      <c r="A170" s="761" t="s">
        <v>1581</v>
      </c>
      <c r="B170" s="55" t="s">
        <v>10</v>
      </c>
      <c r="C170" s="53" t="s">
        <v>10</v>
      </c>
      <c r="D170" s="53" t="s">
        <v>1776</v>
      </c>
      <c r="E170" s="55" t="s">
        <v>4</v>
      </c>
      <c r="F170" s="53" t="s">
        <v>1765</v>
      </c>
      <c r="G170" s="71">
        <v>38412</v>
      </c>
      <c r="H170" s="50" t="s">
        <v>883</v>
      </c>
      <c r="I170" s="760">
        <v>10665</v>
      </c>
      <c r="J170" s="52">
        <v>21043</v>
      </c>
      <c r="K170" s="55" t="s">
        <v>1766</v>
      </c>
      <c r="L170" s="56" t="s">
        <v>885</v>
      </c>
      <c r="M170" s="1227">
        <v>1</v>
      </c>
      <c r="N170" s="1228">
        <v>1</v>
      </c>
      <c r="O170" s="1229">
        <v>19</v>
      </c>
      <c r="P170" s="67"/>
      <c r="Q170" s="68"/>
      <c r="R170" s="68"/>
      <c r="S170" s="68"/>
      <c r="T170" s="68"/>
      <c r="U170" s="69"/>
      <c r="V170" s="67"/>
      <c r="W170" s="68"/>
      <c r="X170" s="68"/>
      <c r="Y170" s="68"/>
      <c r="Z170" s="68"/>
      <c r="AA170" s="69"/>
      <c r="AB170" s="70"/>
      <c r="AC170" s="68"/>
      <c r="AD170" s="68"/>
      <c r="AE170" s="68"/>
      <c r="AF170" s="68">
        <v>0</v>
      </c>
      <c r="AG170" s="68"/>
      <c r="AH170" s="68"/>
      <c r="AI170" s="69">
        <v>0</v>
      </c>
      <c r="AJ170" s="70"/>
      <c r="AK170" s="68"/>
      <c r="AL170" s="68"/>
      <c r="AM170" s="68"/>
      <c r="AN170" s="68">
        <v>0</v>
      </c>
      <c r="AO170" s="68"/>
      <c r="AP170" s="68"/>
      <c r="AQ170" s="69">
        <v>0</v>
      </c>
      <c r="AR170" s="972">
        <v>1</v>
      </c>
      <c r="AS170" s="973">
        <v>1</v>
      </c>
      <c r="AT170" s="68">
        <v>0</v>
      </c>
      <c r="AU170" s="68">
        <v>0</v>
      </c>
      <c r="AV170" s="68">
        <v>2</v>
      </c>
      <c r="AW170" s="973">
        <v>2</v>
      </c>
      <c r="AX170" s="973">
        <v>0</v>
      </c>
      <c r="AY170" s="973">
        <v>1</v>
      </c>
      <c r="AZ170" s="973">
        <v>1</v>
      </c>
      <c r="BA170" s="974">
        <v>2</v>
      </c>
      <c r="BB170" s="975">
        <v>1</v>
      </c>
      <c r="BC170" s="959">
        <v>0</v>
      </c>
      <c r="BD170" s="959">
        <v>0</v>
      </c>
      <c r="BE170" s="959">
        <v>2</v>
      </c>
      <c r="BF170" s="959">
        <v>2</v>
      </c>
      <c r="BG170" s="959">
        <v>1</v>
      </c>
      <c r="BH170" s="959">
        <v>0</v>
      </c>
      <c r="BI170" s="959">
        <v>1</v>
      </c>
      <c r="BJ170" s="959">
        <v>1</v>
      </c>
      <c r="BK170" s="959">
        <v>2</v>
      </c>
      <c r="BL170" s="55"/>
    </row>
    <row r="171" spans="1:64" s="400" customFormat="1" ht="17.100000000000001" customHeight="1">
      <c r="A171" s="761" t="s">
        <v>1581</v>
      </c>
      <c r="B171" s="55" t="s">
        <v>10</v>
      </c>
      <c r="C171" s="53" t="s">
        <v>10</v>
      </c>
      <c r="D171" s="53" t="s">
        <v>1591</v>
      </c>
      <c r="E171" s="55" t="s">
        <v>4</v>
      </c>
      <c r="F171" s="53" t="s">
        <v>3434</v>
      </c>
      <c r="G171" s="71">
        <v>43739</v>
      </c>
      <c r="H171" s="50" t="s">
        <v>3435</v>
      </c>
      <c r="I171" s="760">
        <v>15389</v>
      </c>
      <c r="J171" s="52">
        <v>21031</v>
      </c>
      <c r="K171" s="55" t="s">
        <v>871</v>
      </c>
      <c r="L171" s="56" t="s">
        <v>3436</v>
      </c>
      <c r="M171" s="64">
        <v>3</v>
      </c>
      <c r="N171" s="65">
        <v>0</v>
      </c>
      <c r="O171" s="66">
        <v>48</v>
      </c>
      <c r="P171" s="67">
        <v>0</v>
      </c>
      <c r="Q171" s="68">
        <v>0</v>
      </c>
      <c r="R171" s="68">
        <v>0</v>
      </c>
      <c r="S171" s="68">
        <v>0</v>
      </c>
      <c r="T171" s="68">
        <v>1</v>
      </c>
      <c r="U171" s="69">
        <v>2</v>
      </c>
      <c r="V171" s="67">
        <v>0</v>
      </c>
      <c r="W171" s="68">
        <v>0</v>
      </c>
      <c r="X171" s="68">
        <v>0</v>
      </c>
      <c r="Y171" s="68">
        <v>0</v>
      </c>
      <c r="Z171" s="68">
        <v>0</v>
      </c>
      <c r="AA171" s="69">
        <v>0</v>
      </c>
      <c r="AB171" s="70">
        <v>1</v>
      </c>
      <c r="AC171" s="68">
        <v>0</v>
      </c>
      <c r="AD171" s="68">
        <v>1</v>
      </c>
      <c r="AE171" s="68">
        <v>2</v>
      </c>
      <c r="AF171" s="68">
        <v>3</v>
      </c>
      <c r="AG171" s="68">
        <v>0</v>
      </c>
      <c r="AH171" s="68">
        <v>0</v>
      </c>
      <c r="AI171" s="69">
        <v>0</v>
      </c>
      <c r="AJ171" s="70">
        <v>0</v>
      </c>
      <c r="AK171" s="68">
        <v>0</v>
      </c>
      <c r="AL171" s="68">
        <v>0</v>
      </c>
      <c r="AM171" s="68">
        <v>0</v>
      </c>
      <c r="AN171" s="68">
        <v>0</v>
      </c>
      <c r="AO171" s="68"/>
      <c r="AP171" s="68"/>
      <c r="AQ171" s="69">
        <v>0</v>
      </c>
      <c r="AR171" s="972">
        <v>0</v>
      </c>
      <c r="AS171" s="973">
        <v>0</v>
      </c>
      <c r="AT171" s="68">
        <v>0</v>
      </c>
      <c r="AU171" s="68">
        <v>0</v>
      </c>
      <c r="AV171" s="68">
        <v>0</v>
      </c>
      <c r="AW171" s="973">
        <v>0</v>
      </c>
      <c r="AX171" s="973">
        <v>0</v>
      </c>
      <c r="AY171" s="973">
        <v>0</v>
      </c>
      <c r="AZ171" s="973">
        <v>0</v>
      </c>
      <c r="BA171" s="974">
        <v>0</v>
      </c>
      <c r="BB171" s="975">
        <v>2</v>
      </c>
      <c r="BC171" s="959">
        <v>1</v>
      </c>
      <c r="BD171" s="959">
        <v>2</v>
      </c>
      <c r="BE171" s="959">
        <v>2</v>
      </c>
      <c r="BF171" s="959">
        <v>5</v>
      </c>
      <c r="BG171" s="959">
        <v>0</v>
      </c>
      <c r="BH171" s="959">
        <v>0</v>
      </c>
      <c r="BI171" s="959">
        <v>0</v>
      </c>
      <c r="BJ171" s="959">
        <v>0</v>
      </c>
      <c r="BK171" s="959">
        <v>0</v>
      </c>
      <c r="BL171" s="55"/>
    </row>
    <row r="172" spans="1:64" s="400" customFormat="1" ht="17.100000000000001" customHeight="1">
      <c r="A172" s="457" t="s">
        <v>2645</v>
      </c>
      <c r="B172" s="53" t="s">
        <v>10</v>
      </c>
      <c r="C172" s="53" t="s">
        <v>10</v>
      </c>
      <c r="D172" s="53" t="s">
        <v>3437</v>
      </c>
      <c r="E172" s="53" t="s">
        <v>2424</v>
      </c>
      <c r="F172" s="53" t="s">
        <v>3438</v>
      </c>
      <c r="G172" s="71">
        <v>43739</v>
      </c>
      <c r="H172" s="50" t="s">
        <v>3439</v>
      </c>
      <c r="I172" s="51">
        <v>12626</v>
      </c>
      <c r="J172" s="52">
        <v>21083</v>
      </c>
      <c r="K172" s="53" t="s">
        <v>3440</v>
      </c>
      <c r="L172" s="54" t="s">
        <v>3441</v>
      </c>
      <c r="M172" s="773">
        <v>2</v>
      </c>
      <c r="N172" s="718"/>
      <c r="O172" s="774">
        <v>36</v>
      </c>
      <c r="P172" s="60"/>
      <c r="Q172" s="61"/>
      <c r="R172" s="61"/>
      <c r="S172" s="61"/>
      <c r="T172" s="61"/>
      <c r="U172" s="62"/>
      <c r="V172" s="60"/>
      <c r="W172" s="61"/>
      <c r="X172" s="61"/>
      <c r="Y172" s="61"/>
      <c r="Z172" s="61"/>
      <c r="AA172" s="62"/>
      <c r="AB172" s="63"/>
      <c r="AC172" s="61"/>
      <c r="AD172" s="61"/>
      <c r="AE172" s="61"/>
      <c r="AF172" s="61">
        <f>SUM(AD172:AE172)</f>
        <v>0</v>
      </c>
      <c r="AG172" s="61"/>
      <c r="AH172" s="61"/>
      <c r="AI172" s="62">
        <f>SUM(AG172:AH172)</f>
        <v>0</v>
      </c>
      <c r="AJ172" s="63"/>
      <c r="AK172" s="61"/>
      <c r="AL172" s="61"/>
      <c r="AM172" s="61"/>
      <c r="AN172" s="61">
        <f>SUM(AL172:AM172)</f>
        <v>0</v>
      </c>
      <c r="AO172" s="61"/>
      <c r="AP172" s="61"/>
      <c r="AQ172" s="62">
        <f>SUM(AO172:AP172)</f>
        <v>0</v>
      </c>
      <c r="AR172" s="955">
        <v>1</v>
      </c>
      <c r="AS172" s="956"/>
      <c r="AT172" s="61">
        <v>3</v>
      </c>
      <c r="AU172" s="61">
        <v>1</v>
      </c>
      <c r="AV172" s="61"/>
      <c r="AW172" s="956">
        <f>SUM(AT172:AV172)</f>
        <v>4</v>
      </c>
      <c r="AX172" s="956"/>
      <c r="AY172" s="956"/>
      <c r="AZ172" s="956"/>
      <c r="BA172" s="957">
        <f>SUM(AX172:AZ172)</f>
        <v>0</v>
      </c>
      <c r="BB172" s="958">
        <f>SUM(P172,R172,T172,AB172,AJ172,AR172)</f>
        <v>1</v>
      </c>
      <c r="BC172" s="959">
        <f>SUM(Q172,AD172,AT172)</f>
        <v>3</v>
      </c>
      <c r="BD172" s="959">
        <f>SUM(S172,AE172,AL172,AU172)</f>
        <v>1</v>
      </c>
      <c r="BE172" s="959">
        <f>SUM(U172,AM172,AV172)</f>
        <v>0</v>
      </c>
      <c r="BF172" s="959">
        <f>SUM(BC172:BE172)</f>
        <v>4</v>
      </c>
      <c r="BG172" s="959">
        <f>SUM(V172,X172,Z172,AC172,AK172,AS172)</f>
        <v>0</v>
      </c>
      <c r="BH172" s="959">
        <f>SUM(W172,AG172,AX172)</f>
        <v>0</v>
      </c>
      <c r="BI172" s="959">
        <f>SUM(Y172,AH172,AO172,AY172)</f>
        <v>0</v>
      </c>
      <c r="BJ172" s="959">
        <f>SUM(AA172,AP172,AZ172)</f>
        <v>0</v>
      </c>
      <c r="BK172" s="959">
        <f>SUM(BH172:BJ172)</f>
        <v>0</v>
      </c>
      <c r="BL172" s="53"/>
    </row>
    <row r="173" spans="1:64" s="400" customFormat="1" ht="17.100000000000001" customHeight="1">
      <c r="A173" s="761" t="s">
        <v>1581</v>
      </c>
      <c r="B173" s="55" t="s">
        <v>10</v>
      </c>
      <c r="C173" s="53" t="s">
        <v>10</v>
      </c>
      <c r="D173" s="53" t="s">
        <v>1587</v>
      </c>
      <c r="E173" s="55" t="s">
        <v>4</v>
      </c>
      <c r="F173" s="53" t="s">
        <v>1767</v>
      </c>
      <c r="G173" s="71">
        <v>41334</v>
      </c>
      <c r="H173" s="50" t="s">
        <v>3442</v>
      </c>
      <c r="I173" s="760">
        <v>12707</v>
      </c>
      <c r="J173" s="52">
        <v>21058</v>
      </c>
      <c r="K173" s="55" t="s">
        <v>3443</v>
      </c>
      <c r="L173" s="56" t="s">
        <v>841</v>
      </c>
      <c r="M173" s="394">
        <v>3</v>
      </c>
      <c r="N173" s="395">
        <v>2</v>
      </c>
      <c r="O173" s="396">
        <v>48</v>
      </c>
      <c r="P173" s="67">
        <v>0</v>
      </c>
      <c r="Q173" s="68">
        <v>0</v>
      </c>
      <c r="R173" s="68">
        <v>0</v>
      </c>
      <c r="S173" s="68">
        <v>0</v>
      </c>
      <c r="T173" s="68">
        <v>1</v>
      </c>
      <c r="U173" s="69">
        <v>4</v>
      </c>
      <c r="V173" s="67">
        <v>0</v>
      </c>
      <c r="W173" s="68">
        <v>0</v>
      </c>
      <c r="X173" s="68">
        <v>0</v>
      </c>
      <c r="Y173" s="68">
        <v>0</v>
      </c>
      <c r="Z173" s="68">
        <v>1</v>
      </c>
      <c r="AA173" s="69">
        <v>4</v>
      </c>
      <c r="AB173" s="70">
        <v>1</v>
      </c>
      <c r="AC173" s="68">
        <v>1</v>
      </c>
      <c r="AD173" s="68">
        <v>0</v>
      </c>
      <c r="AE173" s="68">
        <v>3</v>
      </c>
      <c r="AF173" s="68">
        <v>3</v>
      </c>
      <c r="AG173" s="68">
        <v>0</v>
      </c>
      <c r="AH173" s="68">
        <v>4</v>
      </c>
      <c r="AI173" s="69">
        <v>4</v>
      </c>
      <c r="AJ173" s="70">
        <v>0</v>
      </c>
      <c r="AK173" s="68">
        <v>0</v>
      </c>
      <c r="AL173" s="68">
        <v>0</v>
      </c>
      <c r="AM173" s="68">
        <v>0</v>
      </c>
      <c r="AN173" s="68">
        <v>0</v>
      </c>
      <c r="AO173" s="68">
        <v>0</v>
      </c>
      <c r="AP173" s="68">
        <v>0</v>
      </c>
      <c r="AQ173" s="69">
        <v>0</v>
      </c>
      <c r="AR173" s="972">
        <v>0</v>
      </c>
      <c r="AS173" s="973">
        <v>0</v>
      </c>
      <c r="AT173" s="68">
        <v>0</v>
      </c>
      <c r="AU173" s="68">
        <v>0</v>
      </c>
      <c r="AV173" s="68">
        <v>0</v>
      </c>
      <c r="AW173" s="973">
        <v>0</v>
      </c>
      <c r="AX173" s="973">
        <v>0</v>
      </c>
      <c r="AY173" s="973">
        <v>0</v>
      </c>
      <c r="AZ173" s="973">
        <v>0</v>
      </c>
      <c r="BA173" s="974">
        <v>0</v>
      </c>
      <c r="BB173" s="975">
        <v>2</v>
      </c>
      <c r="BC173" s="959">
        <v>0</v>
      </c>
      <c r="BD173" s="959">
        <v>3</v>
      </c>
      <c r="BE173" s="959">
        <v>4</v>
      </c>
      <c r="BF173" s="959">
        <v>7</v>
      </c>
      <c r="BG173" s="959">
        <v>2</v>
      </c>
      <c r="BH173" s="959">
        <v>0</v>
      </c>
      <c r="BI173" s="959">
        <v>4</v>
      </c>
      <c r="BJ173" s="959">
        <v>4</v>
      </c>
      <c r="BK173" s="959">
        <v>8</v>
      </c>
      <c r="BL173" s="55"/>
    </row>
    <row r="174" spans="1:64" s="400" customFormat="1" ht="17.100000000000001" customHeight="1">
      <c r="A174" s="761" t="s">
        <v>1581</v>
      </c>
      <c r="B174" s="55" t="s">
        <v>10</v>
      </c>
      <c r="C174" s="53" t="s">
        <v>10</v>
      </c>
      <c r="D174" s="53" t="s">
        <v>1970</v>
      </c>
      <c r="E174" s="55" t="s">
        <v>4</v>
      </c>
      <c r="F174" s="53" t="s">
        <v>1778</v>
      </c>
      <c r="G174" s="71">
        <v>41334</v>
      </c>
      <c r="H174" s="50" t="s">
        <v>3444</v>
      </c>
      <c r="I174" s="760">
        <v>10997</v>
      </c>
      <c r="J174" s="52">
        <v>21062</v>
      </c>
      <c r="K174" s="55" t="s">
        <v>1779</v>
      </c>
      <c r="L174" s="56" t="s">
        <v>861</v>
      </c>
      <c r="M174" s="394">
        <v>2</v>
      </c>
      <c r="N174" s="395">
        <v>0</v>
      </c>
      <c r="O174" s="396">
        <v>36</v>
      </c>
      <c r="P174" s="67">
        <v>0</v>
      </c>
      <c r="Q174" s="68">
        <v>0</v>
      </c>
      <c r="R174" s="68">
        <v>1</v>
      </c>
      <c r="S174" s="68">
        <v>9</v>
      </c>
      <c r="T174" s="68">
        <v>1</v>
      </c>
      <c r="U174" s="69">
        <v>15</v>
      </c>
      <c r="V174" s="67">
        <v>0</v>
      </c>
      <c r="W174" s="68">
        <v>0</v>
      </c>
      <c r="X174" s="68">
        <v>0</v>
      </c>
      <c r="Y174" s="68">
        <v>0</v>
      </c>
      <c r="Z174" s="68">
        <v>0</v>
      </c>
      <c r="AA174" s="69">
        <v>0</v>
      </c>
      <c r="AB174" s="70">
        <v>0</v>
      </c>
      <c r="AC174" s="68">
        <v>0</v>
      </c>
      <c r="AD174" s="68">
        <v>0</v>
      </c>
      <c r="AE174" s="68">
        <v>0</v>
      </c>
      <c r="AF174" s="68">
        <v>0</v>
      </c>
      <c r="AG174" s="68">
        <v>0</v>
      </c>
      <c r="AH174" s="68">
        <v>0</v>
      </c>
      <c r="AI174" s="69">
        <v>0</v>
      </c>
      <c r="AJ174" s="70">
        <v>0</v>
      </c>
      <c r="AK174" s="68">
        <v>0</v>
      </c>
      <c r="AL174" s="68">
        <v>0</v>
      </c>
      <c r="AM174" s="68">
        <v>0</v>
      </c>
      <c r="AN174" s="68">
        <v>0</v>
      </c>
      <c r="AO174" s="68">
        <v>0</v>
      </c>
      <c r="AP174" s="68">
        <v>0</v>
      </c>
      <c r="AQ174" s="69">
        <v>0</v>
      </c>
      <c r="AR174" s="972">
        <v>0</v>
      </c>
      <c r="AS174" s="973">
        <v>0</v>
      </c>
      <c r="AT174" s="68">
        <v>0</v>
      </c>
      <c r="AU174" s="68">
        <v>0</v>
      </c>
      <c r="AV174" s="68">
        <v>0</v>
      </c>
      <c r="AW174" s="973">
        <v>0</v>
      </c>
      <c r="AX174" s="973">
        <v>0</v>
      </c>
      <c r="AY174" s="973">
        <v>0</v>
      </c>
      <c r="AZ174" s="973">
        <v>0</v>
      </c>
      <c r="BA174" s="974">
        <v>0</v>
      </c>
      <c r="BB174" s="975">
        <v>2</v>
      </c>
      <c r="BC174" s="959">
        <v>0</v>
      </c>
      <c r="BD174" s="959">
        <v>9</v>
      </c>
      <c r="BE174" s="959">
        <v>15</v>
      </c>
      <c r="BF174" s="959">
        <v>24</v>
      </c>
      <c r="BG174" s="959">
        <v>0</v>
      </c>
      <c r="BH174" s="959">
        <v>0</v>
      </c>
      <c r="BI174" s="959">
        <v>0</v>
      </c>
      <c r="BJ174" s="959">
        <v>0</v>
      </c>
      <c r="BK174" s="959">
        <v>0</v>
      </c>
      <c r="BL174" s="55"/>
    </row>
    <row r="175" spans="1:64" s="400" customFormat="1" ht="17.100000000000001" customHeight="1">
      <c r="A175" s="761" t="s">
        <v>3445</v>
      </c>
      <c r="B175" s="55" t="s">
        <v>2641</v>
      </c>
      <c r="C175" s="53" t="s">
        <v>2641</v>
      </c>
      <c r="D175" s="53" t="s">
        <v>1970</v>
      </c>
      <c r="E175" s="55" t="s">
        <v>444</v>
      </c>
      <c r="F175" s="53" t="s">
        <v>1784</v>
      </c>
      <c r="G175" s="71">
        <v>30020</v>
      </c>
      <c r="H175" s="50" t="s">
        <v>2619</v>
      </c>
      <c r="I175" s="760">
        <v>2462</v>
      </c>
      <c r="J175" s="52">
        <v>21009</v>
      </c>
      <c r="K175" s="55" t="s">
        <v>2620</v>
      </c>
      <c r="L175" s="56" t="s">
        <v>2621</v>
      </c>
      <c r="M175" s="394">
        <v>1</v>
      </c>
      <c r="N175" s="395">
        <v>0</v>
      </c>
      <c r="O175" s="396">
        <v>19</v>
      </c>
      <c r="P175" s="67"/>
      <c r="Q175" s="68"/>
      <c r="R175" s="68"/>
      <c r="S175" s="68"/>
      <c r="T175" s="68"/>
      <c r="U175" s="69"/>
      <c r="V175" s="67"/>
      <c r="W175" s="68"/>
      <c r="X175" s="68"/>
      <c r="Y175" s="68"/>
      <c r="Z175" s="68"/>
      <c r="AA175" s="69"/>
      <c r="AB175" s="70"/>
      <c r="AC175" s="68"/>
      <c r="AD175" s="68"/>
      <c r="AE175" s="68"/>
      <c r="AF175" s="68">
        <f t="shared" ref="AF175" si="148">SUM(AD175:AE175)</f>
        <v>0</v>
      </c>
      <c r="AG175" s="68"/>
      <c r="AH175" s="68"/>
      <c r="AI175" s="69">
        <f t="shared" ref="AI175" si="149">SUM(AG175:AH175)</f>
        <v>0</v>
      </c>
      <c r="AJ175" s="70"/>
      <c r="AK175" s="68"/>
      <c r="AL175" s="68"/>
      <c r="AM175" s="68"/>
      <c r="AN175" s="68">
        <f t="shared" ref="AN175" si="150">SUM(AL175:AM175)</f>
        <v>0</v>
      </c>
      <c r="AO175" s="68"/>
      <c r="AP175" s="68"/>
      <c r="AQ175" s="69">
        <f t="shared" ref="AQ175" si="151">SUM(AO175:AP175)</f>
        <v>0</v>
      </c>
      <c r="AR175" s="972"/>
      <c r="AS175" s="973"/>
      <c r="AT175" s="68"/>
      <c r="AU175" s="68"/>
      <c r="AV175" s="68"/>
      <c r="AW175" s="973">
        <f t="shared" ref="AW175" si="152">SUM(AT175:AV175)</f>
        <v>0</v>
      </c>
      <c r="AX175" s="973"/>
      <c r="AY175" s="973"/>
      <c r="AZ175" s="973"/>
      <c r="BA175" s="974">
        <f t="shared" ref="BA175" si="153">SUM(AX175:AZ175)</f>
        <v>0</v>
      </c>
      <c r="BB175" s="976">
        <f t="shared" ref="BB175" si="154">SUM(P175,R175,T175,AB175,AJ175,AR175)</f>
        <v>0</v>
      </c>
      <c r="BC175" s="959">
        <f t="shared" ref="BC175" si="155">SUM(Q175,AD175,AT175)</f>
        <v>0</v>
      </c>
      <c r="BD175" s="959">
        <f t="shared" ref="BD175" si="156">SUM(S175,AE175,AL175,AU175)</f>
        <v>0</v>
      </c>
      <c r="BE175" s="959">
        <f t="shared" ref="BE175" si="157">SUM(U175,AM175,AV175)</f>
        <v>0</v>
      </c>
      <c r="BF175" s="959">
        <f t="shared" ref="BF175" si="158">SUM(BC175:BE175)</f>
        <v>0</v>
      </c>
      <c r="BG175" s="959">
        <f t="shared" ref="BG175" si="159">SUM(V175,X175,Z175,AC175,AK175,AS175)</f>
        <v>0</v>
      </c>
      <c r="BH175" s="959">
        <f t="shared" ref="BH175" si="160">SUM(W175,AG175,AX175)</f>
        <v>0</v>
      </c>
      <c r="BI175" s="959">
        <f t="shared" ref="BI175" si="161">SUM(Y175,AH175,AO175,AY175)</f>
        <v>0</v>
      </c>
      <c r="BJ175" s="959">
        <f t="shared" ref="BJ175" si="162">SUM(AA175,AP175,AZ175)</f>
        <v>0</v>
      </c>
      <c r="BK175" s="959">
        <f t="shared" ref="BK175" si="163">SUM(BH175:BJ175)</f>
        <v>0</v>
      </c>
      <c r="BL175" s="55" t="s">
        <v>1748</v>
      </c>
    </row>
    <row r="176" spans="1:64" s="400" customFormat="1" ht="17.100000000000001" customHeight="1">
      <c r="A176" s="457" t="s">
        <v>2645</v>
      </c>
      <c r="B176" s="53" t="s">
        <v>10</v>
      </c>
      <c r="C176" s="53" t="s">
        <v>10</v>
      </c>
      <c r="D176" s="53" t="s">
        <v>2647</v>
      </c>
      <c r="E176" s="53" t="s">
        <v>2424</v>
      </c>
      <c r="F176" s="53" t="s">
        <v>3446</v>
      </c>
      <c r="G176" s="71">
        <v>29646</v>
      </c>
      <c r="H176" s="50" t="s">
        <v>3447</v>
      </c>
      <c r="I176" s="51">
        <v>1755</v>
      </c>
      <c r="J176" s="52">
        <v>21007</v>
      </c>
      <c r="K176" s="53" t="s">
        <v>3448</v>
      </c>
      <c r="L176" s="54" t="s">
        <v>3449</v>
      </c>
      <c r="M176" s="773">
        <v>3</v>
      </c>
      <c r="N176" s="718">
        <v>0</v>
      </c>
      <c r="O176" s="774">
        <v>48</v>
      </c>
      <c r="P176" s="60">
        <v>1</v>
      </c>
      <c r="Q176" s="61">
        <v>9</v>
      </c>
      <c r="R176" s="61">
        <v>1</v>
      </c>
      <c r="S176" s="61">
        <v>9</v>
      </c>
      <c r="T176" s="61">
        <v>1</v>
      </c>
      <c r="U176" s="62">
        <v>4</v>
      </c>
      <c r="V176" s="60">
        <v>0</v>
      </c>
      <c r="W176" s="61">
        <v>0</v>
      </c>
      <c r="X176" s="61">
        <v>0</v>
      </c>
      <c r="Y176" s="61">
        <v>0</v>
      </c>
      <c r="Z176" s="61">
        <v>0</v>
      </c>
      <c r="AA176" s="62">
        <v>0</v>
      </c>
      <c r="AB176" s="63">
        <v>0</v>
      </c>
      <c r="AC176" s="61">
        <v>0</v>
      </c>
      <c r="AD176" s="61">
        <v>0</v>
      </c>
      <c r="AE176" s="61">
        <v>0</v>
      </c>
      <c r="AF176" s="61">
        <f>SUM(AD176:AE176)</f>
        <v>0</v>
      </c>
      <c r="AG176" s="61">
        <v>0</v>
      </c>
      <c r="AH176" s="61">
        <v>0</v>
      </c>
      <c r="AI176" s="62">
        <f>SUM(AG176:AH176)</f>
        <v>0</v>
      </c>
      <c r="AJ176" s="63">
        <v>0</v>
      </c>
      <c r="AK176" s="61">
        <v>0</v>
      </c>
      <c r="AL176" s="61">
        <v>0</v>
      </c>
      <c r="AM176" s="61">
        <v>0</v>
      </c>
      <c r="AN176" s="61">
        <f>SUM(AL176:AM176)</f>
        <v>0</v>
      </c>
      <c r="AO176" s="61">
        <v>0</v>
      </c>
      <c r="AP176" s="61">
        <v>0</v>
      </c>
      <c r="AQ176" s="62">
        <f>SUM(AO176:AP176)</f>
        <v>0</v>
      </c>
      <c r="AR176" s="955">
        <v>0</v>
      </c>
      <c r="AS176" s="956">
        <v>0</v>
      </c>
      <c r="AT176" s="61">
        <v>0</v>
      </c>
      <c r="AU176" s="61">
        <v>0</v>
      </c>
      <c r="AV176" s="61">
        <v>0</v>
      </c>
      <c r="AW176" s="956">
        <f>SUM(AT176:AV176)</f>
        <v>0</v>
      </c>
      <c r="AX176" s="956">
        <v>0</v>
      </c>
      <c r="AY176" s="956">
        <v>0</v>
      </c>
      <c r="AZ176" s="956">
        <v>0</v>
      </c>
      <c r="BA176" s="957">
        <f>SUM(AX176:AZ176)</f>
        <v>0</v>
      </c>
      <c r="BB176" s="958">
        <f>SUM(P176,R176,T176,AB176,AJ176,AR176)</f>
        <v>3</v>
      </c>
      <c r="BC176" s="959">
        <f>SUM(Q176,AD176,AT176)</f>
        <v>9</v>
      </c>
      <c r="BD176" s="959">
        <f>SUM(S176,AE176,AL176,AU176)</f>
        <v>9</v>
      </c>
      <c r="BE176" s="959">
        <f>SUM(U176,AM176,AV176)</f>
        <v>4</v>
      </c>
      <c r="BF176" s="959">
        <f>SUM(BC176:BE176)</f>
        <v>22</v>
      </c>
      <c r="BG176" s="959">
        <f>SUM(V176,X176,Z176,AC176,AK176,AS176)</f>
        <v>0</v>
      </c>
      <c r="BH176" s="959">
        <f>SUM(W176,AG176,AX176)</f>
        <v>0</v>
      </c>
      <c r="BI176" s="959">
        <f>SUM(Y176,AH176,AO176,AY176)</f>
        <v>0</v>
      </c>
      <c r="BJ176" s="959">
        <f>SUM(AA176,AP176,AZ176)</f>
        <v>0</v>
      </c>
      <c r="BK176" s="959">
        <f>SUM(BH176:BJ176)</f>
        <v>0</v>
      </c>
      <c r="BL176" s="53"/>
    </row>
    <row r="177" spans="1:64" s="400" customFormat="1" ht="17.100000000000001" customHeight="1">
      <c r="A177" s="761" t="s">
        <v>1581</v>
      </c>
      <c r="B177" s="55" t="s">
        <v>10</v>
      </c>
      <c r="C177" s="53" t="s">
        <v>10</v>
      </c>
      <c r="D177" s="53" t="s">
        <v>1592</v>
      </c>
      <c r="E177" s="55" t="s">
        <v>4</v>
      </c>
      <c r="F177" s="53" t="s">
        <v>3450</v>
      </c>
      <c r="G177" s="71">
        <v>29647</v>
      </c>
      <c r="H177" s="50" t="s">
        <v>3451</v>
      </c>
      <c r="I177" s="760">
        <v>14360</v>
      </c>
      <c r="J177" s="52">
        <v>21021</v>
      </c>
      <c r="K177" s="55" t="s">
        <v>1768</v>
      </c>
      <c r="L177" s="56" t="s">
        <v>1777</v>
      </c>
      <c r="M177" s="394">
        <v>2</v>
      </c>
      <c r="N177" s="395"/>
      <c r="O177" s="396">
        <v>36</v>
      </c>
      <c r="P177" s="67"/>
      <c r="Q177" s="68"/>
      <c r="R177" s="68">
        <v>1</v>
      </c>
      <c r="S177" s="68">
        <v>2</v>
      </c>
      <c r="T177" s="68">
        <v>1</v>
      </c>
      <c r="U177" s="69">
        <v>4</v>
      </c>
      <c r="V177" s="67"/>
      <c r="W177" s="68"/>
      <c r="X177" s="68"/>
      <c r="Y177" s="68"/>
      <c r="Z177" s="68"/>
      <c r="AA177" s="69"/>
      <c r="AB177" s="70"/>
      <c r="AC177" s="68"/>
      <c r="AD177" s="68"/>
      <c r="AE177" s="68"/>
      <c r="AF177" s="68" t="s">
        <v>2668</v>
      </c>
      <c r="AG177" s="68"/>
      <c r="AH177" s="68"/>
      <c r="AI177" s="69" t="s">
        <v>2668</v>
      </c>
      <c r="AJ177" s="70"/>
      <c r="AK177" s="68"/>
      <c r="AL177" s="68"/>
      <c r="AM177" s="68"/>
      <c r="AN177" s="68" t="s">
        <v>2668</v>
      </c>
      <c r="AO177" s="68"/>
      <c r="AP177" s="68"/>
      <c r="AQ177" s="69" t="s">
        <v>2668</v>
      </c>
      <c r="AR177" s="972"/>
      <c r="AS177" s="973"/>
      <c r="AT177" s="68"/>
      <c r="AU177" s="68"/>
      <c r="AV177" s="68"/>
      <c r="AW177" s="973" t="s">
        <v>2668</v>
      </c>
      <c r="AX177" s="973"/>
      <c r="AY177" s="973"/>
      <c r="AZ177" s="973"/>
      <c r="BA177" s="974" t="s">
        <v>2668</v>
      </c>
      <c r="BB177" s="975">
        <v>2</v>
      </c>
      <c r="BC177" s="959" t="s">
        <v>2668</v>
      </c>
      <c r="BD177" s="959">
        <v>2</v>
      </c>
      <c r="BE177" s="959">
        <v>4</v>
      </c>
      <c r="BF177" s="959">
        <v>6</v>
      </c>
      <c r="BG177" s="959" t="s">
        <v>2668</v>
      </c>
      <c r="BH177" s="959" t="s">
        <v>2668</v>
      </c>
      <c r="BI177" s="959" t="s">
        <v>2668</v>
      </c>
      <c r="BJ177" s="959" t="s">
        <v>2668</v>
      </c>
      <c r="BK177" s="959" t="s">
        <v>2668</v>
      </c>
      <c r="BL177" s="55"/>
    </row>
    <row r="178" spans="1:64" s="400" customFormat="1" ht="17.100000000000001" customHeight="1">
      <c r="A178" s="761" t="s">
        <v>1581</v>
      </c>
      <c r="B178" s="55" t="s">
        <v>10</v>
      </c>
      <c r="C178" s="53" t="s">
        <v>10</v>
      </c>
      <c r="D178" s="53" t="s">
        <v>1593</v>
      </c>
      <c r="E178" s="55" t="s">
        <v>4</v>
      </c>
      <c r="F178" s="53" t="s">
        <v>1769</v>
      </c>
      <c r="G178" s="71">
        <v>39142</v>
      </c>
      <c r="H178" s="50" t="s">
        <v>890</v>
      </c>
      <c r="I178" s="760">
        <v>10487</v>
      </c>
      <c r="J178" s="52">
        <v>21028</v>
      </c>
      <c r="K178" s="55" t="s">
        <v>892</v>
      </c>
      <c r="L178" s="56" t="s">
        <v>1770</v>
      </c>
      <c r="M178" s="394">
        <v>3</v>
      </c>
      <c r="N178" s="395"/>
      <c r="O178" s="396">
        <v>48</v>
      </c>
      <c r="P178" s="67"/>
      <c r="Q178" s="68"/>
      <c r="R178" s="68"/>
      <c r="S178" s="68"/>
      <c r="T178" s="68"/>
      <c r="U178" s="69"/>
      <c r="V178" s="67"/>
      <c r="W178" s="68"/>
      <c r="X178" s="68"/>
      <c r="Y178" s="68"/>
      <c r="Z178" s="68"/>
      <c r="AA178" s="69"/>
      <c r="AB178" s="70"/>
      <c r="AC178" s="68"/>
      <c r="AD178" s="68"/>
      <c r="AE178" s="68"/>
      <c r="AF178" s="68">
        <v>0</v>
      </c>
      <c r="AG178" s="68"/>
      <c r="AH178" s="68"/>
      <c r="AI178" s="69">
        <v>0</v>
      </c>
      <c r="AJ178" s="70">
        <v>1</v>
      </c>
      <c r="AK178" s="68"/>
      <c r="AL178" s="68"/>
      <c r="AM178" s="68">
        <v>3</v>
      </c>
      <c r="AN178" s="68">
        <v>3</v>
      </c>
      <c r="AO178" s="68"/>
      <c r="AP178" s="68"/>
      <c r="AQ178" s="69">
        <v>0</v>
      </c>
      <c r="AR178" s="972"/>
      <c r="AS178" s="973"/>
      <c r="AT178" s="68"/>
      <c r="AU178" s="68"/>
      <c r="AV178" s="68"/>
      <c r="AW178" s="973">
        <v>0</v>
      </c>
      <c r="AX178" s="973"/>
      <c r="AY178" s="973"/>
      <c r="AZ178" s="973"/>
      <c r="BA178" s="974">
        <v>0</v>
      </c>
      <c r="BB178" s="976">
        <v>1</v>
      </c>
      <c r="BC178" s="959">
        <v>0</v>
      </c>
      <c r="BD178" s="959">
        <v>0</v>
      </c>
      <c r="BE178" s="959">
        <v>3</v>
      </c>
      <c r="BF178" s="959">
        <v>3</v>
      </c>
      <c r="BG178" s="959">
        <v>0</v>
      </c>
      <c r="BH178" s="959">
        <v>0</v>
      </c>
      <c r="BI178" s="959">
        <v>0</v>
      </c>
      <c r="BJ178" s="959">
        <v>0</v>
      </c>
      <c r="BK178" s="959">
        <v>0</v>
      </c>
      <c r="BL178" s="55"/>
    </row>
    <row r="179" spans="1:64" s="400" customFormat="1" ht="17.100000000000001" customHeight="1">
      <c r="A179" s="457" t="s">
        <v>2645</v>
      </c>
      <c r="B179" s="53" t="s">
        <v>10</v>
      </c>
      <c r="C179" s="53" t="s">
        <v>2641</v>
      </c>
      <c r="D179" s="53" t="s">
        <v>2650</v>
      </c>
      <c r="E179" s="53" t="s">
        <v>2424</v>
      </c>
      <c r="F179" s="71" t="s">
        <v>4944</v>
      </c>
      <c r="G179" s="71">
        <v>38412</v>
      </c>
      <c r="H179" s="50" t="s">
        <v>3452</v>
      </c>
      <c r="I179" s="51">
        <v>11178</v>
      </c>
      <c r="J179" s="52">
        <v>21016</v>
      </c>
      <c r="K179" s="53" t="s">
        <v>880</v>
      </c>
      <c r="L179" s="54" t="s">
        <v>881</v>
      </c>
      <c r="M179" s="773">
        <v>3</v>
      </c>
      <c r="N179" s="718">
        <v>0</v>
      </c>
      <c r="O179" s="774">
        <v>48</v>
      </c>
      <c r="P179" s="60">
        <v>1</v>
      </c>
      <c r="Q179" s="61">
        <v>6</v>
      </c>
      <c r="R179" s="61">
        <v>0</v>
      </c>
      <c r="S179" s="61">
        <v>0</v>
      </c>
      <c r="T179" s="61">
        <v>0</v>
      </c>
      <c r="U179" s="62">
        <v>0</v>
      </c>
      <c r="V179" s="60">
        <v>0</v>
      </c>
      <c r="W179" s="61">
        <v>0</v>
      </c>
      <c r="X179" s="61">
        <v>0</v>
      </c>
      <c r="Y179" s="61">
        <v>0</v>
      </c>
      <c r="Z179" s="61">
        <v>0</v>
      </c>
      <c r="AA179" s="62">
        <v>0</v>
      </c>
      <c r="AB179" s="63">
        <v>0</v>
      </c>
      <c r="AC179" s="61">
        <v>0</v>
      </c>
      <c r="AD179" s="61">
        <v>0</v>
      </c>
      <c r="AE179" s="61">
        <v>0</v>
      </c>
      <c r="AF179" s="61">
        <f>SUM(AD179:AE179)</f>
        <v>0</v>
      </c>
      <c r="AG179" s="61">
        <v>0</v>
      </c>
      <c r="AH179" s="61">
        <v>0</v>
      </c>
      <c r="AI179" s="62">
        <f>SUM(AG179:AH179)</f>
        <v>0</v>
      </c>
      <c r="AJ179" s="63">
        <v>1</v>
      </c>
      <c r="AK179" s="61">
        <v>0</v>
      </c>
      <c r="AL179" s="61">
        <v>0</v>
      </c>
      <c r="AM179" s="61">
        <v>2</v>
      </c>
      <c r="AN179" s="61">
        <f>SUM(AL179:AM179)</f>
        <v>2</v>
      </c>
      <c r="AO179" s="61">
        <v>0</v>
      </c>
      <c r="AP179" s="61">
        <v>0</v>
      </c>
      <c r="AQ179" s="62">
        <f>SUM(AO179:AP179)</f>
        <v>0</v>
      </c>
      <c r="AR179" s="955">
        <v>0</v>
      </c>
      <c r="AS179" s="956">
        <v>0</v>
      </c>
      <c r="AT179" s="61">
        <v>0</v>
      </c>
      <c r="AU179" s="61">
        <v>0</v>
      </c>
      <c r="AV179" s="61">
        <v>0</v>
      </c>
      <c r="AW179" s="956">
        <f>SUM(AT179:AV179)</f>
        <v>0</v>
      </c>
      <c r="AX179" s="956">
        <v>0</v>
      </c>
      <c r="AY179" s="956">
        <v>0</v>
      </c>
      <c r="AZ179" s="956">
        <v>0</v>
      </c>
      <c r="BA179" s="957">
        <f>SUM(AX179:AZ179)</f>
        <v>0</v>
      </c>
      <c r="BB179" s="958">
        <f>SUM(P179,R179,T179,AB179,AJ179,AR179)</f>
        <v>2</v>
      </c>
      <c r="BC179" s="959">
        <f>SUM(Q179,AD179,AT179)</f>
        <v>6</v>
      </c>
      <c r="BD179" s="959">
        <f>SUM(S179,AE179,AL179,AU179)</f>
        <v>0</v>
      </c>
      <c r="BE179" s="959">
        <f>SUM(U179,AM179,AV179)</f>
        <v>2</v>
      </c>
      <c r="BF179" s="959">
        <f>SUM(BC179:BE179)</f>
        <v>8</v>
      </c>
      <c r="BG179" s="959">
        <f>SUM(V179,X179,Z179,AC179,AK179,AS179)</f>
        <v>0</v>
      </c>
      <c r="BH179" s="959">
        <f>SUM(W179,AG179,AX179)</f>
        <v>0</v>
      </c>
      <c r="BI179" s="959">
        <f>SUM(Y179,AH179,AO179,AY179)</f>
        <v>0</v>
      </c>
      <c r="BJ179" s="959">
        <f>SUM(AA179,AP179,AZ179)</f>
        <v>0</v>
      </c>
      <c r="BK179" s="959">
        <f>SUM(BH179:BJ179)</f>
        <v>0</v>
      </c>
      <c r="BL179" s="53"/>
    </row>
    <row r="180" spans="1:64" s="400" customFormat="1" ht="17.100000000000001" customHeight="1">
      <c r="A180" s="761" t="s">
        <v>1581</v>
      </c>
      <c r="B180" s="55" t="s">
        <v>10</v>
      </c>
      <c r="C180" s="53" t="s">
        <v>10</v>
      </c>
      <c r="D180" s="53" t="s">
        <v>1594</v>
      </c>
      <c r="E180" s="55" t="s">
        <v>4</v>
      </c>
      <c r="F180" s="53" t="s">
        <v>1771</v>
      </c>
      <c r="G180" s="71">
        <v>38891</v>
      </c>
      <c r="H180" s="50" t="s">
        <v>887</v>
      </c>
      <c r="I180" s="760">
        <v>11423</v>
      </c>
      <c r="J180" s="52">
        <v>21013</v>
      </c>
      <c r="K180" s="55" t="s">
        <v>888</v>
      </c>
      <c r="L180" s="56" t="s">
        <v>889</v>
      </c>
      <c r="M180" s="394">
        <v>3</v>
      </c>
      <c r="N180" s="395">
        <v>1</v>
      </c>
      <c r="O180" s="396">
        <v>48</v>
      </c>
      <c r="P180" s="67">
        <v>1</v>
      </c>
      <c r="Q180" s="68">
        <v>4</v>
      </c>
      <c r="R180" s="68">
        <v>1</v>
      </c>
      <c r="S180" s="68">
        <v>4</v>
      </c>
      <c r="T180" s="68">
        <v>1</v>
      </c>
      <c r="U180" s="69">
        <v>5</v>
      </c>
      <c r="V180" s="67"/>
      <c r="W180" s="68"/>
      <c r="X180" s="68"/>
      <c r="Y180" s="68"/>
      <c r="Z180" s="68"/>
      <c r="AA180" s="69"/>
      <c r="AB180" s="70"/>
      <c r="AC180" s="68"/>
      <c r="AD180" s="68"/>
      <c r="AE180" s="68"/>
      <c r="AF180" s="68">
        <v>0</v>
      </c>
      <c r="AG180" s="68"/>
      <c r="AH180" s="68"/>
      <c r="AI180" s="69">
        <v>0</v>
      </c>
      <c r="AJ180" s="70"/>
      <c r="AK180" s="68"/>
      <c r="AL180" s="68"/>
      <c r="AM180" s="68"/>
      <c r="AN180" s="68">
        <v>0</v>
      </c>
      <c r="AO180" s="68"/>
      <c r="AP180" s="68"/>
      <c r="AQ180" s="69">
        <v>0</v>
      </c>
      <c r="AR180" s="972"/>
      <c r="AS180" s="973">
        <v>1</v>
      </c>
      <c r="AT180" s="68"/>
      <c r="AU180" s="68"/>
      <c r="AV180" s="68"/>
      <c r="AW180" s="973">
        <v>0</v>
      </c>
      <c r="AX180" s="973"/>
      <c r="AY180" s="973">
        <v>1</v>
      </c>
      <c r="AZ180" s="973">
        <v>1</v>
      </c>
      <c r="BA180" s="974">
        <v>2</v>
      </c>
      <c r="BB180" s="975">
        <v>3</v>
      </c>
      <c r="BC180" s="959">
        <v>4</v>
      </c>
      <c r="BD180" s="959">
        <v>4</v>
      </c>
      <c r="BE180" s="959">
        <v>5</v>
      </c>
      <c r="BF180" s="959">
        <v>13</v>
      </c>
      <c r="BG180" s="959">
        <v>1</v>
      </c>
      <c r="BH180" s="959">
        <v>0</v>
      </c>
      <c r="BI180" s="959">
        <v>1</v>
      </c>
      <c r="BJ180" s="959">
        <v>1</v>
      </c>
      <c r="BK180" s="959">
        <v>2</v>
      </c>
      <c r="BL180" s="55"/>
    </row>
    <row r="181" spans="1:64" s="43" customFormat="1" ht="17.100000000000001" customHeight="1">
      <c r="A181" s="1611" t="s">
        <v>1772</v>
      </c>
      <c r="B181" s="1612"/>
      <c r="C181" s="1612"/>
      <c r="D181" s="1613"/>
      <c r="E181" s="401">
        <f>COUNTA(E166:E180)</f>
        <v>15</v>
      </c>
      <c r="F181" s="285"/>
      <c r="G181" s="402"/>
      <c r="H181" s="181"/>
      <c r="I181" s="403"/>
      <c r="J181" s="287"/>
      <c r="K181" s="285"/>
      <c r="L181" s="288"/>
      <c r="M181" s="404">
        <f t="shared" ref="M181:AR181" si="164">SUM(M166:M180)</f>
        <v>38</v>
      </c>
      <c r="N181" s="405">
        <f t="shared" si="164"/>
        <v>8</v>
      </c>
      <c r="O181" s="406">
        <f t="shared" si="164"/>
        <v>638</v>
      </c>
      <c r="P181" s="407">
        <f t="shared" si="164"/>
        <v>6</v>
      </c>
      <c r="Q181" s="408">
        <f t="shared" si="164"/>
        <v>47</v>
      </c>
      <c r="R181" s="408">
        <f t="shared" si="164"/>
        <v>7</v>
      </c>
      <c r="S181" s="408">
        <f t="shared" si="164"/>
        <v>59</v>
      </c>
      <c r="T181" s="408">
        <f t="shared" si="164"/>
        <v>9</v>
      </c>
      <c r="U181" s="409">
        <f t="shared" si="164"/>
        <v>65</v>
      </c>
      <c r="V181" s="410">
        <f t="shared" si="164"/>
        <v>1</v>
      </c>
      <c r="W181" s="408">
        <f t="shared" si="164"/>
        <v>4</v>
      </c>
      <c r="X181" s="408">
        <f t="shared" si="164"/>
        <v>1</v>
      </c>
      <c r="Y181" s="408">
        <f t="shared" si="164"/>
        <v>4</v>
      </c>
      <c r="Z181" s="408">
        <f t="shared" si="164"/>
        <v>2</v>
      </c>
      <c r="AA181" s="408">
        <f t="shared" si="164"/>
        <v>8</v>
      </c>
      <c r="AB181" s="407">
        <f t="shared" si="164"/>
        <v>2</v>
      </c>
      <c r="AC181" s="408">
        <f t="shared" si="164"/>
        <v>1</v>
      </c>
      <c r="AD181" s="408">
        <f t="shared" si="164"/>
        <v>1</v>
      </c>
      <c r="AE181" s="408">
        <f t="shared" si="164"/>
        <v>5</v>
      </c>
      <c r="AF181" s="408">
        <f t="shared" si="164"/>
        <v>6</v>
      </c>
      <c r="AG181" s="408">
        <f t="shared" si="164"/>
        <v>0</v>
      </c>
      <c r="AH181" s="408">
        <f t="shared" si="164"/>
        <v>4</v>
      </c>
      <c r="AI181" s="409">
        <f t="shared" si="164"/>
        <v>4</v>
      </c>
      <c r="AJ181" s="407">
        <f t="shared" si="164"/>
        <v>3</v>
      </c>
      <c r="AK181" s="408">
        <f t="shared" si="164"/>
        <v>0</v>
      </c>
      <c r="AL181" s="408">
        <f t="shared" si="164"/>
        <v>9</v>
      </c>
      <c r="AM181" s="408">
        <f t="shared" si="164"/>
        <v>6</v>
      </c>
      <c r="AN181" s="408">
        <f t="shared" si="164"/>
        <v>15</v>
      </c>
      <c r="AO181" s="408">
        <f t="shared" si="164"/>
        <v>0</v>
      </c>
      <c r="AP181" s="408">
        <f t="shared" si="164"/>
        <v>0</v>
      </c>
      <c r="AQ181" s="409">
        <f t="shared" si="164"/>
        <v>0</v>
      </c>
      <c r="AR181" s="411">
        <f t="shared" si="164"/>
        <v>3</v>
      </c>
      <c r="AS181" s="412">
        <f t="shared" ref="AS181:BK181" si="165">SUM(AS166:AS180)</f>
        <v>3</v>
      </c>
      <c r="AT181" s="412">
        <f t="shared" si="165"/>
        <v>5</v>
      </c>
      <c r="AU181" s="412">
        <f t="shared" si="165"/>
        <v>1</v>
      </c>
      <c r="AV181" s="412">
        <f t="shared" si="165"/>
        <v>3</v>
      </c>
      <c r="AW181" s="412">
        <f t="shared" si="165"/>
        <v>9</v>
      </c>
      <c r="AX181" s="412">
        <f t="shared" si="165"/>
        <v>0</v>
      </c>
      <c r="AY181" s="412">
        <f t="shared" si="165"/>
        <v>3</v>
      </c>
      <c r="AZ181" s="412">
        <f t="shared" si="165"/>
        <v>5</v>
      </c>
      <c r="BA181" s="413">
        <f t="shared" si="165"/>
        <v>8</v>
      </c>
      <c r="BB181" s="414">
        <f t="shared" si="165"/>
        <v>30</v>
      </c>
      <c r="BC181" s="415">
        <f t="shared" si="165"/>
        <v>53</v>
      </c>
      <c r="BD181" s="415">
        <f t="shared" si="165"/>
        <v>74</v>
      </c>
      <c r="BE181" s="415">
        <f t="shared" si="165"/>
        <v>74</v>
      </c>
      <c r="BF181" s="415">
        <f t="shared" si="165"/>
        <v>201</v>
      </c>
      <c r="BG181" s="415">
        <f t="shared" si="165"/>
        <v>8</v>
      </c>
      <c r="BH181" s="415">
        <f t="shared" si="165"/>
        <v>4</v>
      </c>
      <c r="BI181" s="415">
        <f t="shared" si="165"/>
        <v>11</v>
      </c>
      <c r="BJ181" s="415">
        <f t="shared" si="165"/>
        <v>13</v>
      </c>
      <c r="BK181" s="416">
        <f t="shared" si="165"/>
        <v>28</v>
      </c>
      <c r="BL181" s="417"/>
    </row>
    <row r="182" spans="1:64" s="43" customFormat="1" ht="17.100000000000001" customHeight="1">
      <c r="A182" s="761" t="s">
        <v>2644</v>
      </c>
      <c r="B182" s="53" t="s">
        <v>10</v>
      </c>
      <c r="C182" s="53" t="s">
        <v>10</v>
      </c>
      <c r="D182" s="53" t="s">
        <v>2640</v>
      </c>
      <c r="E182" s="55" t="s">
        <v>5</v>
      </c>
      <c r="F182" s="55" t="s">
        <v>3562</v>
      </c>
      <c r="G182" s="71">
        <v>34943</v>
      </c>
      <c r="H182" s="50" t="s">
        <v>3563</v>
      </c>
      <c r="I182" s="760">
        <v>264.37</v>
      </c>
      <c r="J182" s="52">
        <v>21119</v>
      </c>
      <c r="K182" s="55" t="s">
        <v>3564</v>
      </c>
      <c r="L182" s="56" t="s">
        <v>3565</v>
      </c>
      <c r="M182" s="64">
        <v>5</v>
      </c>
      <c r="N182" s="65">
        <v>0</v>
      </c>
      <c r="O182" s="66">
        <v>170</v>
      </c>
      <c r="P182" s="67">
        <v>1</v>
      </c>
      <c r="Q182" s="68">
        <v>11</v>
      </c>
      <c r="R182" s="68">
        <v>2</v>
      </c>
      <c r="S182" s="68">
        <v>28</v>
      </c>
      <c r="T182" s="68">
        <v>2</v>
      </c>
      <c r="U182" s="69">
        <v>37</v>
      </c>
      <c r="V182" s="67">
        <v>0</v>
      </c>
      <c r="W182" s="67">
        <v>0</v>
      </c>
      <c r="X182" s="67">
        <v>0</v>
      </c>
      <c r="Y182" s="67">
        <v>0</v>
      </c>
      <c r="Z182" s="67">
        <v>0</v>
      </c>
      <c r="AA182" s="67">
        <v>0</v>
      </c>
      <c r="AB182" s="70"/>
      <c r="AC182" s="68"/>
      <c r="AD182" s="68"/>
      <c r="AE182" s="68"/>
      <c r="AF182" s="68"/>
      <c r="AG182" s="68"/>
      <c r="AH182" s="68"/>
      <c r="AI182" s="69"/>
      <c r="AJ182" s="70"/>
      <c r="AK182" s="68"/>
      <c r="AL182" s="68"/>
      <c r="AM182" s="68"/>
      <c r="AN182" s="68"/>
      <c r="AO182" s="68"/>
      <c r="AP182" s="68"/>
      <c r="AQ182" s="69"/>
      <c r="AR182" s="972"/>
      <c r="AS182" s="973"/>
      <c r="AT182" s="68"/>
      <c r="AU182" s="68"/>
      <c r="AV182" s="68"/>
      <c r="AW182" s="973"/>
      <c r="AX182" s="973"/>
      <c r="AY182" s="973"/>
      <c r="AZ182" s="973"/>
      <c r="BA182" s="974"/>
      <c r="BB182" s="975">
        <v>5</v>
      </c>
      <c r="BC182" s="959">
        <v>11</v>
      </c>
      <c r="BD182" s="959">
        <v>28</v>
      </c>
      <c r="BE182" s="959">
        <v>37</v>
      </c>
      <c r="BF182" s="959">
        <v>76</v>
      </c>
      <c r="BG182" s="959">
        <v>0</v>
      </c>
      <c r="BH182" s="959">
        <v>0</v>
      </c>
      <c r="BI182" s="959">
        <v>0</v>
      </c>
      <c r="BJ182" s="959">
        <v>0</v>
      </c>
      <c r="BK182" s="959">
        <v>0</v>
      </c>
      <c r="BL182" s="55"/>
    </row>
    <row r="183" spans="1:64" s="43" customFormat="1" ht="17.100000000000001" customHeight="1">
      <c r="A183" s="761" t="s">
        <v>2644</v>
      </c>
      <c r="B183" s="53" t="s">
        <v>10</v>
      </c>
      <c r="C183" s="53" t="s">
        <v>10</v>
      </c>
      <c r="D183" s="53" t="s">
        <v>1973</v>
      </c>
      <c r="E183" s="55" t="s">
        <v>5</v>
      </c>
      <c r="F183" s="55" t="s">
        <v>3566</v>
      </c>
      <c r="G183" s="71">
        <v>35853</v>
      </c>
      <c r="H183" s="50" t="s">
        <v>3567</v>
      </c>
      <c r="I183" s="760">
        <v>1260</v>
      </c>
      <c r="J183" s="52">
        <v>21125</v>
      </c>
      <c r="K183" s="55" t="s">
        <v>1579</v>
      </c>
      <c r="L183" s="56" t="s">
        <v>1580</v>
      </c>
      <c r="M183" s="64">
        <v>8</v>
      </c>
      <c r="N183" s="65">
        <v>0</v>
      </c>
      <c r="O183" s="66">
        <v>276</v>
      </c>
      <c r="P183" s="67">
        <v>3</v>
      </c>
      <c r="Q183" s="68">
        <v>61</v>
      </c>
      <c r="R183" s="68">
        <v>2</v>
      </c>
      <c r="S183" s="68">
        <v>57</v>
      </c>
      <c r="T183" s="68">
        <v>2</v>
      </c>
      <c r="U183" s="69">
        <v>39</v>
      </c>
      <c r="V183" s="67">
        <v>0</v>
      </c>
      <c r="W183" s="67">
        <v>0</v>
      </c>
      <c r="X183" s="67">
        <v>0</v>
      </c>
      <c r="Y183" s="67">
        <v>0</v>
      </c>
      <c r="Z183" s="67">
        <v>0</v>
      </c>
      <c r="AA183" s="67">
        <v>0</v>
      </c>
      <c r="AB183" s="70"/>
      <c r="AC183" s="68"/>
      <c r="AD183" s="68"/>
      <c r="AE183" s="68"/>
      <c r="AF183" s="68"/>
      <c r="AG183" s="68"/>
      <c r="AH183" s="68"/>
      <c r="AI183" s="69"/>
      <c r="AJ183" s="70"/>
      <c r="AK183" s="68"/>
      <c r="AL183" s="68"/>
      <c r="AM183" s="68"/>
      <c r="AN183" s="68"/>
      <c r="AO183" s="68"/>
      <c r="AP183" s="68"/>
      <c r="AQ183" s="69"/>
      <c r="AR183" s="972"/>
      <c r="AS183" s="973"/>
      <c r="AT183" s="68"/>
      <c r="AU183" s="68"/>
      <c r="AV183" s="68"/>
      <c r="AW183" s="973"/>
      <c r="AX183" s="973"/>
      <c r="AY183" s="973"/>
      <c r="AZ183" s="973"/>
      <c r="BA183" s="974"/>
      <c r="BB183" s="975">
        <v>7</v>
      </c>
      <c r="BC183" s="959">
        <v>61</v>
      </c>
      <c r="BD183" s="959">
        <v>57</v>
      </c>
      <c r="BE183" s="959">
        <v>39</v>
      </c>
      <c r="BF183" s="959">
        <v>157</v>
      </c>
      <c r="BG183" s="959">
        <v>0</v>
      </c>
      <c r="BH183" s="959">
        <v>0</v>
      </c>
      <c r="BI183" s="959">
        <v>0</v>
      </c>
      <c r="BJ183" s="959">
        <v>0</v>
      </c>
      <c r="BK183" s="959">
        <v>0</v>
      </c>
      <c r="BL183" s="55"/>
    </row>
    <row r="184" spans="1:64" s="43" customFormat="1" ht="17.100000000000001" customHeight="1">
      <c r="A184" s="761" t="s">
        <v>2644</v>
      </c>
      <c r="B184" s="53" t="s">
        <v>10</v>
      </c>
      <c r="C184" s="53" t="s">
        <v>10</v>
      </c>
      <c r="D184" s="53" t="s">
        <v>3568</v>
      </c>
      <c r="E184" s="55" t="s">
        <v>5</v>
      </c>
      <c r="F184" s="55" t="s">
        <v>3569</v>
      </c>
      <c r="G184" s="71">
        <v>31106</v>
      </c>
      <c r="H184" s="50" t="s">
        <v>3570</v>
      </c>
      <c r="I184" s="760">
        <v>1680</v>
      </c>
      <c r="J184" s="52">
        <v>21094</v>
      </c>
      <c r="K184" s="55" t="s">
        <v>3571</v>
      </c>
      <c r="L184" s="56" t="s">
        <v>3572</v>
      </c>
      <c r="M184" s="64">
        <v>7</v>
      </c>
      <c r="N184" s="65">
        <v>0</v>
      </c>
      <c r="O184" s="66">
        <v>260</v>
      </c>
      <c r="P184" s="67">
        <v>1</v>
      </c>
      <c r="Q184" s="68">
        <v>28</v>
      </c>
      <c r="R184" s="68">
        <v>3</v>
      </c>
      <c r="S184" s="68">
        <v>86</v>
      </c>
      <c r="T184" s="68">
        <v>3</v>
      </c>
      <c r="U184" s="69">
        <v>85</v>
      </c>
      <c r="V184" s="67">
        <v>0</v>
      </c>
      <c r="W184" s="67">
        <v>0</v>
      </c>
      <c r="X184" s="67">
        <v>0</v>
      </c>
      <c r="Y184" s="67">
        <v>0</v>
      </c>
      <c r="Z184" s="67">
        <v>0</v>
      </c>
      <c r="AA184" s="67">
        <v>0</v>
      </c>
      <c r="AB184" s="70"/>
      <c r="AC184" s="68"/>
      <c r="AD184" s="68"/>
      <c r="AE184" s="68"/>
      <c r="AF184" s="68"/>
      <c r="AG184" s="68"/>
      <c r="AH184" s="68"/>
      <c r="AI184" s="69"/>
      <c r="AJ184" s="70"/>
      <c r="AK184" s="68"/>
      <c r="AL184" s="68"/>
      <c r="AM184" s="68"/>
      <c r="AN184" s="68"/>
      <c r="AO184" s="68"/>
      <c r="AP184" s="68"/>
      <c r="AQ184" s="69"/>
      <c r="AR184" s="972"/>
      <c r="AS184" s="973"/>
      <c r="AT184" s="68"/>
      <c r="AU184" s="68"/>
      <c r="AV184" s="68"/>
      <c r="AW184" s="973"/>
      <c r="AX184" s="973"/>
      <c r="AY184" s="973"/>
      <c r="AZ184" s="973"/>
      <c r="BA184" s="974"/>
      <c r="BB184" s="975">
        <v>7</v>
      </c>
      <c r="BC184" s="959">
        <v>28</v>
      </c>
      <c r="BD184" s="959">
        <v>86</v>
      </c>
      <c r="BE184" s="959">
        <v>85</v>
      </c>
      <c r="BF184" s="959">
        <v>199</v>
      </c>
      <c r="BG184" s="959">
        <v>0</v>
      </c>
      <c r="BH184" s="959">
        <v>0</v>
      </c>
      <c r="BI184" s="959">
        <v>0</v>
      </c>
      <c r="BJ184" s="959">
        <v>0</v>
      </c>
      <c r="BK184" s="959">
        <v>0</v>
      </c>
      <c r="BL184" s="55"/>
    </row>
    <row r="185" spans="1:64" s="43" customFormat="1" ht="17.100000000000001" customHeight="1">
      <c r="A185" s="761" t="s">
        <v>2644</v>
      </c>
      <c r="B185" s="53" t="s">
        <v>10</v>
      </c>
      <c r="C185" s="53" t="s">
        <v>10</v>
      </c>
      <c r="D185" s="53" t="s">
        <v>3568</v>
      </c>
      <c r="E185" s="55" t="s">
        <v>5</v>
      </c>
      <c r="F185" s="55" t="s">
        <v>3573</v>
      </c>
      <c r="G185" s="71">
        <v>33966</v>
      </c>
      <c r="H185" s="50" t="s">
        <v>3574</v>
      </c>
      <c r="I185" s="760">
        <v>481</v>
      </c>
      <c r="J185" s="52">
        <v>21095</v>
      </c>
      <c r="K185" s="55" t="s">
        <v>3575</v>
      </c>
      <c r="L185" s="56" t="s">
        <v>3576</v>
      </c>
      <c r="M185" s="64">
        <v>4</v>
      </c>
      <c r="N185" s="65">
        <v>0</v>
      </c>
      <c r="O185" s="66">
        <v>96</v>
      </c>
      <c r="P185" s="67">
        <v>1</v>
      </c>
      <c r="Q185" s="68">
        <v>6</v>
      </c>
      <c r="R185" s="68">
        <v>2</v>
      </c>
      <c r="S185" s="68">
        <v>27</v>
      </c>
      <c r="T185" s="68">
        <v>1</v>
      </c>
      <c r="U185" s="69">
        <v>20</v>
      </c>
      <c r="V185" s="67">
        <v>0</v>
      </c>
      <c r="W185" s="67">
        <v>0</v>
      </c>
      <c r="X185" s="67">
        <v>0</v>
      </c>
      <c r="Y185" s="67">
        <v>0</v>
      </c>
      <c r="Z185" s="67">
        <v>0</v>
      </c>
      <c r="AA185" s="67">
        <v>0</v>
      </c>
      <c r="AB185" s="70"/>
      <c r="AC185" s="68"/>
      <c r="AD185" s="68"/>
      <c r="AE185" s="68"/>
      <c r="AF185" s="68"/>
      <c r="AG185" s="68"/>
      <c r="AH185" s="68"/>
      <c r="AI185" s="69"/>
      <c r="AJ185" s="70"/>
      <c r="AK185" s="68"/>
      <c r="AL185" s="68"/>
      <c r="AM185" s="68"/>
      <c r="AN185" s="68"/>
      <c r="AO185" s="68"/>
      <c r="AP185" s="68"/>
      <c r="AQ185" s="69"/>
      <c r="AR185" s="972"/>
      <c r="AS185" s="973"/>
      <c r="AT185" s="68"/>
      <c r="AU185" s="68"/>
      <c r="AV185" s="68"/>
      <c r="AW185" s="973"/>
      <c r="AX185" s="973"/>
      <c r="AY185" s="973"/>
      <c r="AZ185" s="973"/>
      <c r="BA185" s="974"/>
      <c r="BB185" s="975">
        <v>4</v>
      </c>
      <c r="BC185" s="959">
        <v>6</v>
      </c>
      <c r="BD185" s="959">
        <v>27</v>
      </c>
      <c r="BE185" s="959">
        <v>20</v>
      </c>
      <c r="BF185" s="959">
        <v>53</v>
      </c>
      <c r="BG185" s="959">
        <v>0</v>
      </c>
      <c r="BH185" s="959">
        <v>0</v>
      </c>
      <c r="BI185" s="959">
        <v>0</v>
      </c>
      <c r="BJ185" s="959">
        <v>0</v>
      </c>
      <c r="BK185" s="959">
        <v>0</v>
      </c>
      <c r="BL185" s="55"/>
    </row>
    <row r="186" spans="1:64" s="43" customFormat="1" ht="17.100000000000001" customHeight="1">
      <c r="A186" s="761" t="s">
        <v>2644</v>
      </c>
      <c r="B186" s="53" t="s">
        <v>10</v>
      </c>
      <c r="C186" s="53" t="s">
        <v>10</v>
      </c>
      <c r="D186" s="53" t="s">
        <v>3577</v>
      </c>
      <c r="E186" s="55" t="s">
        <v>5</v>
      </c>
      <c r="F186" s="55" t="s">
        <v>3578</v>
      </c>
      <c r="G186" s="71">
        <v>41344</v>
      </c>
      <c r="H186" s="50" t="s">
        <v>3579</v>
      </c>
      <c r="I186" s="760">
        <v>283</v>
      </c>
      <c r="J186" s="52">
        <v>21112</v>
      </c>
      <c r="K186" s="55" t="s">
        <v>3580</v>
      </c>
      <c r="L186" s="56" t="s">
        <v>3581</v>
      </c>
      <c r="M186" s="64">
        <v>4</v>
      </c>
      <c r="N186" s="65">
        <v>0</v>
      </c>
      <c r="O186" s="66">
        <v>86</v>
      </c>
      <c r="P186" s="67">
        <v>1</v>
      </c>
      <c r="Q186" s="68">
        <v>24</v>
      </c>
      <c r="R186" s="68">
        <v>1</v>
      </c>
      <c r="S186" s="68">
        <v>27</v>
      </c>
      <c r="T186" s="68">
        <v>2</v>
      </c>
      <c r="U186" s="69">
        <v>32</v>
      </c>
      <c r="V186" s="67">
        <v>0</v>
      </c>
      <c r="W186" s="67">
        <v>0</v>
      </c>
      <c r="X186" s="67">
        <v>0</v>
      </c>
      <c r="Y186" s="67">
        <v>0</v>
      </c>
      <c r="Z186" s="67">
        <v>0</v>
      </c>
      <c r="AA186" s="67">
        <v>0</v>
      </c>
      <c r="AB186" s="70"/>
      <c r="AC186" s="68"/>
      <c r="AD186" s="68"/>
      <c r="AE186" s="68"/>
      <c r="AF186" s="68"/>
      <c r="AG186" s="68"/>
      <c r="AH186" s="68"/>
      <c r="AI186" s="69"/>
      <c r="AJ186" s="70"/>
      <c r="AK186" s="68"/>
      <c r="AL186" s="68"/>
      <c r="AM186" s="68"/>
      <c r="AN186" s="68"/>
      <c r="AO186" s="68"/>
      <c r="AP186" s="68"/>
      <c r="AQ186" s="69"/>
      <c r="AR186" s="972"/>
      <c r="AS186" s="973"/>
      <c r="AT186" s="68"/>
      <c r="AU186" s="68"/>
      <c r="AV186" s="68"/>
      <c r="AW186" s="973"/>
      <c r="AX186" s="973"/>
      <c r="AY186" s="973"/>
      <c r="AZ186" s="973"/>
      <c r="BA186" s="974"/>
      <c r="BB186" s="975">
        <v>4</v>
      </c>
      <c r="BC186" s="959">
        <v>24</v>
      </c>
      <c r="BD186" s="959">
        <v>27</v>
      </c>
      <c r="BE186" s="959">
        <v>32</v>
      </c>
      <c r="BF186" s="959">
        <v>83</v>
      </c>
      <c r="BG186" s="959">
        <v>0</v>
      </c>
      <c r="BH186" s="959">
        <v>0</v>
      </c>
      <c r="BI186" s="959">
        <v>0</v>
      </c>
      <c r="BJ186" s="959">
        <v>0</v>
      </c>
      <c r="BK186" s="959">
        <v>0</v>
      </c>
      <c r="BL186" s="55"/>
    </row>
    <row r="187" spans="1:64" s="43" customFormat="1" ht="17.100000000000001" customHeight="1">
      <c r="A187" s="761" t="s">
        <v>2644</v>
      </c>
      <c r="B187" s="53" t="s">
        <v>10</v>
      </c>
      <c r="C187" s="53" t="s">
        <v>10</v>
      </c>
      <c r="D187" s="53" t="s">
        <v>3577</v>
      </c>
      <c r="E187" s="55" t="s">
        <v>5</v>
      </c>
      <c r="F187" s="55" t="s">
        <v>3582</v>
      </c>
      <c r="G187" s="71">
        <v>33664</v>
      </c>
      <c r="H187" s="50" t="s">
        <v>3583</v>
      </c>
      <c r="I187" s="760">
        <v>825</v>
      </c>
      <c r="J187" s="52">
        <v>21100</v>
      </c>
      <c r="K187" s="55" t="s">
        <v>3584</v>
      </c>
      <c r="L187" s="56" t="s">
        <v>3585</v>
      </c>
      <c r="M187" s="64">
        <v>6</v>
      </c>
      <c r="N187" s="65">
        <v>0</v>
      </c>
      <c r="O187" s="66">
        <v>181</v>
      </c>
      <c r="P187" s="67">
        <v>1</v>
      </c>
      <c r="Q187" s="68">
        <v>13</v>
      </c>
      <c r="R187" s="68">
        <v>1</v>
      </c>
      <c r="S187" s="68">
        <v>20</v>
      </c>
      <c r="T187" s="68">
        <v>2</v>
      </c>
      <c r="U187" s="69">
        <v>29</v>
      </c>
      <c r="V187" s="67">
        <v>0</v>
      </c>
      <c r="W187" s="67">
        <v>0</v>
      </c>
      <c r="X187" s="67">
        <v>0</v>
      </c>
      <c r="Y187" s="67">
        <v>0</v>
      </c>
      <c r="Z187" s="67">
        <v>0</v>
      </c>
      <c r="AA187" s="67">
        <v>0</v>
      </c>
      <c r="AB187" s="70"/>
      <c r="AC187" s="68"/>
      <c r="AD187" s="68"/>
      <c r="AE187" s="68"/>
      <c r="AF187" s="68"/>
      <c r="AG187" s="68"/>
      <c r="AH187" s="68"/>
      <c r="AI187" s="69"/>
      <c r="AJ187" s="70"/>
      <c r="AK187" s="68"/>
      <c r="AL187" s="68"/>
      <c r="AM187" s="68"/>
      <c r="AN187" s="68"/>
      <c r="AO187" s="68"/>
      <c r="AP187" s="68"/>
      <c r="AQ187" s="69"/>
      <c r="AR187" s="972"/>
      <c r="AS187" s="973"/>
      <c r="AT187" s="68"/>
      <c r="AU187" s="68"/>
      <c r="AV187" s="68"/>
      <c r="AW187" s="973"/>
      <c r="AX187" s="973"/>
      <c r="AY187" s="973"/>
      <c r="AZ187" s="973"/>
      <c r="BA187" s="974"/>
      <c r="BB187" s="975">
        <v>4</v>
      </c>
      <c r="BC187" s="959">
        <v>13</v>
      </c>
      <c r="BD187" s="959">
        <v>20</v>
      </c>
      <c r="BE187" s="959">
        <v>29</v>
      </c>
      <c r="BF187" s="959">
        <v>62</v>
      </c>
      <c r="BG187" s="959">
        <v>0</v>
      </c>
      <c r="BH187" s="959">
        <v>0</v>
      </c>
      <c r="BI187" s="959">
        <v>0</v>
      </c>
      <c r="BJ187" s="959">
        <v>0</v>
      </c>
      <c r="BK187" s="959">
        <v>0</v>
      </c>
      <c r="BL187" s="55"/>
    </row>
    <row r="188" spans="1:64" s="43" customFormat="1" ht="17.100000000000001" customHeight="1">
      <c r="A188" s="761" t="s">
        <v>2644</v>
      </c>
      <c r="B188" s="53" t="s">
        <v>10</v>
      </c>
      <c r="C188" s="53" t="s">
        <v>10</v>
      </c>
      <c r="D188" s="53" t="s">
        <v>2640</v>
      </c>
      <c r="E188" s="55" t="s">
        <v>5</v>
      </c>
      <c r="F188" s="55" t="s">
        <v>3586</v>
      </c>
      <c r="G188" s="71">
        <v>32203</v>
      </c>
      <c r="H188" s="50" t="s">
        <v>3587</v>
      </c>
      <c r="I188" s="760">
        <v>551</v>
      </c>
      <c r="J188" s="52">
        <v>21085</v>
      </c>
      <c r="K188" s="55" t="s">
        <v>1577</v>
      </c>
      <c r="L188" s="56" t="s">
        <v>1578</v>
      </c>
      <c r="M188" s="64">
        <v>5</v>
      </c>
      <c r="N188" s="65">
        <v>0</v>
      </c>
      <c r="O188" s="66">
        <v>200</v>
      </c>
      <c r="P188" s="67">
        <v>2</v>
      </c>
      <c r="Q188" s="68">
        <v>43</v>
      </c>
      <c r="R188" s="68">
        <v>2</v>
      </c>
      <c r="S188" s="68">
        <v>36</v>
      </c>
      <c r="T188" s="68">
        <v>1</v>
      </c>
      <c r="U188" s="69">
        <v>38</v>
      </c>
      <c r="V188" s="67">
        <v>0</v>
      </c>
      <c r="W188" s="67">
        <v>0</v>
      </c>
      <c r="X188" s="67">
        <v>0</v>
      </c>
      <c r="Y188" s="67">
        <v>0</v>
      </c>
      <c r="Z188" s="67">
        <v>0</v>
      </c>
      <c r="AA188" s="67">
        <v>0</v>
      </c>
      <c r="AB188" s="70"/>
      <c r="AC188" s="68"/>
      <c r="AD188" s="68"/>
      <c r="AE188" s="68"/>
      <c r="AF188" s="68"/>
      <c r="AG188" s="68"/>
      <c r="AH188" s="68"/>
      <c r="AI188" s="69"/>
      <c r="AJ188" s="70"/>
      <c r="AK188" s="68"/>
      <c r="AL188" s="68"/>
      <c r="AM188" s="68"/>
      <c r="AN188" s="68"/>
      <c r="AO188" s="68"/>
      <c r="AP188" s="68"/>
      <c r="AQ188" s="69"/>
      <c r="AR188" s="972"/>
      <c r="AS188" s="973"/>
      <c r="AT188" s="68"/>
      <c r="AU188" s="68"/>
      <c r="AV188" s="68"/>
      <c r="AW188" s="973"/>
      <c r="AX188" s="973"/>
      <c r="AY188" s="973"/>
      <c r="AZ188" s="973"/>
      <c r="BA188" s="974"/>
      <c r="BB188" s="975">
        <v>5</v>
      </c>
      <c r="BC188" s="959">
        <v>43</v>
      </c>
      <c r="BD188" s="959">
        <v>36</v>
      </c>
      <c r="BE188" s="959">
        <v>38</v>
      </c>
      <c r="BF188" s="959">
        <v>117</v>
      </c>
      <c r="BG188" s="959">
        <v>0</v>
      </c>
      <c r="BH188" s="959">
        <v>0</v>
      </c>
      <c r="BI188" s="959">
        <v>0</v>
      </c>
      <c r="BJ188" s="959">
        <v>0</v>
      </c>
      <c r="BK188" s="959">
        <v>0</v>
      </c>
      <c r="BL188" s="55"/>
    </row>
    <row r="189" spans="1:64" s="43" customFormat="1" ht="17.100000000000001" customHeight="1">
      <c r="A189" s="761" t="s">
        <v>2644</v>
      </c>
      <c r="B189" s="53" t="s">
        <v>10</v>
      </c>
      <c r="C189" s="53" t="s">
        <v>10</v>
      </c>
      <c r="D189" s="53" t="s">
        <v>1973</v>
      </c>
      <c r="E189" s="55" t="s">
        <v>5</v>
      </c>
      <c r="F189" s="55" t="s">
        <v>1379</v>
      </c>
      <c r="G189" s="71">
        <v>35855</v>
      </c>
      <c r="H189" s="50" t="s">
        <v>3588</v>
      </c>
      <c r="I189" s="760">
        <v>746</v>
      </c>
      <c r="J189" s="52">
        <v>21081</v>
      </c>
      <c r="K189" s="55" t="s">
        <v>3589</v>
      </c>
      <c r="L189" s="56" t="s">
        <v>3590</v>
      </c>
      <c r="M189" s="64">
        <v>5</v>
      </c>
      <c r="N189" s="65">
        <v>0</v>
      </c>
      <c r="O189" s="66">
        <v>140</v>
      </c>
      <c r="P189" s="67">
        <v>2</v>
      </c>
      <c r="Q189" s="68">
        <v>26</v>
      </c>
      <c r="R189" s="68">
        <v>1</v>
      </c>
      <c r="S189" s="68">
        <v>26</v>
      </c>
      <c r="T189" s="68">
        <v>2</v>
      </c>
      <c r="U189" s="69">
        <v>52</v>
      </c>
      <c r="V189" s="67">
        <v>0</v>
      </c>
      <c r="W189" s="67">
        <v>0</v>
      </c>
      <c r="X189" s="67">
        <v>0</v>
      </c>
      <c r="Y189" s="67">
        <v>0</v>
      </c>
      <c r="Z189" s="67">
        <v>0</v>
      </c>
      <c r="AA189" s="67">
        <v>0</v>
      </c>
      <c r="AB189" s="70"/>
      <c r="AC189" s="68"/>
      <c r="AD189" s="68"/>
      <c r="AE189" s="68"/>
      <c r="AF189" s="68"/>
      <c r="AG189" s="68"/>
      <c r="AH189" s="68"/>
      <c r="AI189" s="69"/>
      <c r="AJ189" s="70"/>
      <c r="AK189" s="68"/>
      <c r="AL189" s="68"/>
      <c r="AM189" s="68"/>
      <c r="AN189" s="68"/>
      <c r="AO189" s="68"/>
      <c r="AP189" s="68"/>
      <c r="AQ189" s="69"/>
      <c r="AR189" s="972"/>
      <c r="AS189" s="973"/>
      <c r="AT189" s="68"/>
      <c r="AU189" s="68"/>
      <c r="AV189" s="68"/>
      <c r="AW189" s="973"/>
      <c r="AX189" s="973"/>
      <c r="AY189" s="973"/>
      <c r="AZ189" s="973"/>
      <c r="BA189" s="974"/>
      <c r="BB189" s="975">
        <v>5</v>
      </c>
      <c r="BC189" s="959">
        <v>26</v>
      </c>
      <c r="BD189" s="959">
        <v>26</v>
      </c>
      <c r="BE189" s="959">
        <v>52</v>
      </c>
      <c r="BF189" s="959">
        <v>104</v>
      </c>
      <c r="BG189" s="959">
        <v>0</v>
      </c>
      <c r="BH189" s="959">
        <v>0</v>
      </c>
      <c r="BI189" s="959">
        <v>0</v>
      </c>
      <c r="BJ189" s="959">
        <v>0</v>
      </c>
      <c r="BK189" s="959">
        <v>0</v>
      </c>
      <c r="BL189" s="55"/>
    </row>
    <row r="190" spans="1:64" s="43" customFormat="1" ht="17.100000000000001" customHeight="1">
      <c r="A190" s="761" t="s">
        <v>2618</v>
      </c>
      <c r="B190" s="53" t="s">
        <v>10</v>
      </c>
      <c r="C190" s="53" t="s">
        <v>10</v>
      </c>
      <c r="D190" s="53" t="s">
        <v>3591</v>
      </c>
      <c r="E190" s="55" t="s">
        <v>5</v>
      </c>
      <c r="F190" s="55" t="s">
        <v>3592</v>
      </c>
      <c r="G190" s="71">
        <v>34717</v>
      </c>
      <c r="H190" s="50" t="s">
        <v>2646</v>
      </c>
      <c r="I190" s="760">
        <v>1461</v>
      </c>
      <c r="J190" s="52">
        <v>21041</v>
      </c>
      <c r="K190" s="55" t="s">
        <v>3593</v>
      </c>
      <c r="L190" s="56" t="s">
        <v>3594</v>
      </c>
      <c r="M190" s="64">
        <v>4</v>
      </c>
      <c r="N190" s="65">
        <v>0</v>
      </c>
      <c r="O190" s="66">
        <v>140</v>
      </c>
      <c r="P190" s="67">
        <v>0</v>
      </c>
      <c r="Q190" s="68">
        <v>0</v>
      </c>
      <c r="R190" s="68">
        <v>2</v>
      </c>
      <c r="S190" s="68">
        <v>63</v>
      </c>
      <c r="T190" s="68">
        <v>2</v>
      </c>
      <c r="U190" s="69">
        <v>57</v>
      </c>
      <c r="V190" s="67">
        <v>0</v>
      </c>
      <c r="W190" s="67">
        <v>0</v>
      </c>
      <c r="X190" s="67">
        <v>0</v>
      </c>
      <c r="Y190" s="67">
        <v>0</v>
      </c>
      <c r="Z190" s="67">
        <v>0</v>
      </c>
      <c r="AA190" s="67">
        <v>0</v>
      </c>
      <c r="AB190" s="70"/>
      <c r="AC190" s="68"/>
      <c r="AD190" s="68"/>
      <c r="AE190" s="68"/>
      <c r="AF190" s="68"/>
      <c r="AG190" s="68"/>
      <c r="AH190" s="68"/>
      <c r="AI190" s="69"/>
      <c r="AJ190" s="70"/>
      <c r="AK190" s="68"/>
      <c r="AL190" s="68"/>
      <c r="AM190" s="68"/>
      <c r="AN190" s="68"/>
      <c r="AO190" s="68"/>
      <c r="AP190" s="68"/>
      <c r="AQ190" s="69"/>
      <c r="AR190" s="972"/>
      <c r="AS190" s="973"/>
      <c r="AT190" s="68"/>
      <c r="AU190" s="68"/>
      <c r="AV190" s="68"/>
      <c r="AW190" s="973"/>
      <c r="AX190" s="973"/>
      <c r="AY190" s="973"/>
      <c r="AZ190" s="973"/>
      <c r="BA190" s="974"/>
      <c r="BB190" s="975">
        <v>4</v>
      </c>
      <c r="BC190" s="959">
        <v>0</v>
      </c>
      <c r="BD190" s="959">
        <v>63</v>
      </c>
      <c r="BE190" s="959">
        <v>57</v>
      </c>
      <c r="BF190" s="959">
        <v>120</v>
      </c>
      <c r="BG190" s="959">
        <v>0</v>
      </c>
      <c r="BH190" s="959">
        <v>0</v>
      </c>
      <c r="BI190" s="959">
        <v>0</v>
      </c>
      <c r="BJ190" s="959">
        <v>0</v>
      </c>
      <c r="BK190" s="959">
        <v>0</v>
      </c>
      <c r="BL190" s="55"/>
    </row>
    <row r="191" spans="1:64" s="43" customFormat="1" ht="17.100000000000001" customHeight="1">
      <c r="A191" s="761" t="s">
        <v>2618</v>
      </c>
      <c r="B191" s="53" t="s">
        <v>10</v>
      </c>
      <c r="C191" s="53" t="s">
        <v>10</v>
      </c>
      <c r="D191" s="53" t="s">
        <v>2648</v>
      </c>
      <c r="E191" s="55" t="s">
        <v>5</v>
      </c>
      <c r="F191" s="55" t="s">
        <v>3595</v>
      </c>
      <c r="G191" s="71">
        <v>43161</v>
      </c>
      <c r="H191" s="50" t="s">
        <v>3596</v>
      </c>
      <c r="I191" s="760">
        <v>390</v>
      </c>
      <c r="J191" s="52">
        <v>21027</v>
      </c>
      <c r="K191" s="55" t="s">
        <v>3597</v>
      </c>
      <c r="L191" s="56" t="s">
        <v>3598</v>
      </c>
      <c r="M191" s="64">
        <v>6</v>
      </c>
      <c r="N191" s="65">
        <v>0</v>
      </c>
      <c r="O191" s="66">
        <v>134</v>
      </c>
      <c r="P191" s="67">
        <v>2</v>
      </c>
      <c r="Q191" s="68">
        <v>37</v>
      </c>
      <c r="R191" s="68">
        <v>2</v>
      </c>
      <c r="S191" s="68">
        <v>37</v>
      </c>
      <c r="T191" s="68">
        <v>1</v>
      </c>
      <c r="U191" s="69">
        <v>16</v>
      </c>
      <c r="V191" s="67">
        <v>0</v>
      </c>
      <c r="W191" s="67">
        <v>0</v>
      </c>
      <c r="X191" s="67">
        <v>0</v>
      </c>
      <c r="Y191" s="67">
        <v>0</v>
      </c>
      <c r="Z191" s="67">
        <v>0</v>
      </c>
      <c r="AA191" s="67">
        <v>0</v>
      </c>
      <c r="AB191" s="70"/>
      <c r="AC191" s="68"/>
      <c r="AD191" s="68"/>
      <c r="AE191" s="68"/>
      <c r="AF191" s="68"/>
      <c r="AG191" s="68"/>
      <c r="AH191" s="68"/>
      <c r="AI191" s="69"/>
      <c r="AJ191" s="70"/>
      <c r="AK191" s="68"/>
      <c r="AL191" s="68"/>
      <c r="AM191" s="68"/>
      <c r="AN191" s="68"/>
      <c r="AO191" s="68"/>
      <c r="AP191" s="68"/>
      <c r="AQ191" s="69"/>
      <c r="AR191" s="972"/>
      <c r="AS191" s="973"/>
      <c r="AT191" s="68"/>
      <c r="AU191" s="68"/>
      <c r="AV191" s="68"/>
      <c r="AW191" s="973"/>
      <c r="AX191" s="973"/>
      <c r="AY191" s="973"/>
      <c r="AZ191" s="973"/>
      <c r="BA191" s="974"/>
      <c r="BB191" s="975">
        <v>5</v>
      </c>
      <c r="BC191" s="959">
        <v>37</v>
      </c>
      <c r="BD191" s="959">
        <v>37</v>
      </c>
      <c r="BE191" s="959">
        <v>16</v>
      </c>
      <c r="BF191" s="959">
        <v>90</v>
      </c>
      <c r="BG191" s="959">
        <v>0</v>
      </c>
      <c r="BH191" s="959">
        <v>0</v>
      </c>
      <c r="BI191" s="959">
        <v>0</v>
      </c>
      <c r="BJ191" s="959">
        <v>0</v>
      </c>
      <c r="BK191" s="959">
        <v>0</v>
      </c>
      <c r="BL191" s="55"/>
    </row>
    <row r="192" spans="1:64" s="43" customFormat="1" ht="17.100000000000001" customHeight="1">
      <c r="A192" s="761" t="s">
        <v>2618</v>
      </c>
      <c r="B192" s="53" t="s">
        <v>10</v>
      </c>
      <c r="C192" s="53" t="s">
        <v>10</v>
      </c>
      <c r="D192" s="53" t="s">
        <v>3591</v>
      </c>
      <c r="E192" s="55" t="s">
        <v>5</v>
      </c>
      <c r="F192" s="55" t="s">
        <v>3599</v>
      </c>
      <c r="G192" s="71">
        <v>31106</v>
      </c>
      <c r="H192" s="50" t="s">
        <v>1843</v>
      </c>
      <c r="I192" s="760">
        <v>1723</v>
      </c>
      <c r="J192" s="52">
        <v>21042</v>
      </c>
      <c r="K192" s="55" t="s">
        <v>3600</v>
      </c>
      <c r="L192" s="56" t="s">
        <v>3601</v>
      </c>
      <c r="M192" s="64">
        <v>3</v>
      </c>
      <c r="N192" s="65">
        <v>0</v>
      </c>
      <c r="O192" s="66">
        <v>120</v>
      </c>
      <c r="P192" s="67">
        <v>0</v>
      </c>
      <c r="Q192" s="67">
        <v>0</v>
      </c>
      <c r="R192" s="67">
        <v>0</v>
      </c>
      <c r="S192" s="67">
        <v>0</v>
      </c>
      <c r="T192" s="67">
        <v>0</v>
      </c>
      <c r="U192" s="67">
        <v>0</v>
      </c>
      <c r="V192" s="67">
        <v>0</v>
      </c>
      <c r="W192" s="67">
        <v>0</v>
      </c>
      <c r="X192" s="67">
        <v>0</v>
      </c>
      <c r="Y192" s="67">
        <v>0</v>
      </c>
      <c r="Z192" s="67">
        <v>0</v>
      </c>
      <c r="AA192" s="67">
        <v>0</v>
      </c>
      <c r="AB192" s="70"/>
      <c r="AC192" s="68"/>
      <c r="AD192" s="68"/>
      <c r="AE192" s="68"/>
      <c r="AF192" s="68"/>
      <c r="AG192" s="68"/>
      <c r="AH192" s="68"/>
      <c r="AI192" s="69"/>
      <c r="AJ192" s="70"/>
      <c r="AK192" s="68"/>
      <c r="AL192" s="68"/>
      <c r="AM192" s="68"/>
      <c r="AN192" s="68"/>
      <c r="AO192" s="68"/>
      <c r="AP192" s="68"/>
      <c r="AQ192" s="69"/>
      <c r="AR192" s="972">
        <v>3</v>
      </c>
      <c r="AS192" s="973">
        <v>0</v>
      </c>
      <c r="AT192" s="68">
        <v>24</v>
      </c>
      <c r="AU192" s="68">
        <v>19</v>
      </c>
      <c r="AV192" s="68">
        <v>17</v>
      </c>
      <c r="AW192" s="973">
        <v>60</v>
      </c>
      <c r="AX192" s="973">
        <v>0</v>
      </c>
      <c r="AY192" s="973">
        <v>0</v>
      </c>
      <c r="AZ192" s="973">
        <v>0</v>
      </c>
      <c r="BA192" s="974">
        <v>0</v>
      </c>
      <c r="BB192" s="975">
        <v>3</v>
      </c>
      <c r="BC192" s="959">
        <v>24</v>
      </c>
      <c r="BD192" s="959">
        <v>19</v>
      </c>
      <c r="BE192" s="959">
        <v>17</v>
      </c>
      <c r="BF192" s="959">
        <v>60</v>
      </c>
      <c r="BG192" s="959">
        <v>0</v>
      </c>
      <c r="BH192" s="959">
        <v>0</v>
      </c>
      <c r="BI192" s="959">
        <v>0</v>
      </c>
      <c r="BJ192" s="959">
        <v>0</v>
      </c>
      <c r="BK192" s="959">
        <v>0</v>
      </c>
      <c r="BL192" s="55"/>
    </row>
    <row r="193" spans="1:66" s="43" customFormat="1" ht="17.100000000000001" customHeight="1">
      <c r="A193" s="761" t="s">
        <v>2618</v>
      </c>
      <c r="B193" s="53" t="s">
        <v>10</v>
      </c>
      <c r="C193" s="53" t="s">
        <v>10</v>
      </c>
      <c r="D193" s="53" t="s">
        <v>2648</v>
      </c>
      <c r="E193" s="55" t="s">
        <v>5</v>
      </c>
      <c r="F193" s="55" t="s">
        <v>3602</v>
      </c>
      <c r="G193" s="71">
        <v>32203</v>
      </c>
      <c r="H193" s="50" t="s">
        <v>3603</v>
      </c>
      <c r="I193" s="760">
        <v>1434</v>
      </c>
      <c r="J193" s="52">
        <v>21032</v>
      </c>
      <c r="K193" s="55" t="s">
        <v>3604</v>
      </c>
      <c r="L193" s="56" t="s">
        <v>3604</v>
      </c>
      <c r="M193" s="64">
        <v>4</v>
      </c>
      <c r="N193" s="65">
        <v>0</v>
      </c>
      <c r="O193" s="66">
        <v>150</v>
      </c>
      <c r="P193" s="67">
        <v>0</v>
      </c>
      <c r="Q193" s="68">
        <v>0</v>
      </c>
      <c r="R193" s="68">
        <v>0</v>
      </c>
      <c r="S193" s="68">
        <v>0</v>
      </c>
      <c r="T193" s="68">
        <v>0</v>
      </c>
      <c r="U193" s="69">
        <v>0</v>
      </c>
      <c r="V193" s="67">
        <v>0</v>
      </c>
      <c r="W193" s="67">
        <v>0</v>
      </c>
      <c r="X193" s="67">
        <v>0</v>
      </c>
      <c r="Y193" s="67">
        <v>0</v>
      </c>
      <c r="Z193" s="67">
        <v>0</v>
      </c>
      <c r="AA193" s="67">
        <v>0</v>
      </c>
      <c r="AB193" s="70"/>
      <c r="AC193" s="68"/>
      <c r="AD193" s="68"/>
      <c r="AE193" s="68"/>
      <c r="AF193" s="68"/>
      <c r="AG193" s="68"/>
      <c r="AH193" s="68"/>
      <c r="AI193" s="69"/>
      <c r="AJ193" s="70"/>
      <c r="AK193" s="68"/>
      <c r="AL193" s="68"/>
      <c r="AM193" s="68"/>
      <c r="AN193" s="68"/>
      <c r="AO193" s="68"/>
      <c r="AP193" s="68"/>
      <c r="AQ193" s="69"/>
      <c r="AR193" s="972">
        <v>3</v>
      </c>
      <c r="AS193" s="973">
        <v>0</v>
      </c>
      <c r="AT193" s="68">
        <v>28</v>
      </c>
      <c r="AU193" s="68">
        <v>36</v>
      </c>
      <c r="AV193" s="68">
        <v>20</v>
      </c>
      <c r="AW193" s="973">
        <v>84</v>
      </c>
      <c r="AX193" s="973">
        <v>0</v>
      </c>
      <c r="AY193" s="973">
        <v>0</v>
      </c>
      <c r="AZ193" s="973">
        <v>0</v>
      </c>
      <c r="BA193" s="974">
        <v>0</v>
      </c>
      <c r="BB193" s="975">
        <v>3</v>
      </c>
      <c r="BC193" s="959">
        <v>28</v>
      </c>
      <c r="BD193" s="959">
        <v>36</v>
      </c>
      <c r="BE193" s="959">
        <v>20</v>
      </c>
      <c r="BF193" s="959">
        <v>84</v>
      </c>
      <c r="BG193" s="959">
        <v>0</v>
      </c>
      <c r="BH193" s="959">
        <v>0</v>
      </c>
      <c r="BI193" s="959">
        <v>0</v>
      </c>
      <c r="BJ193" s="959">
        <v>0</v>
      </c>
      <c r="BK193" s="959">
        <v>0</v>
      </c>
      <c r="BL193" s="55"/>
    </row>
    <row r="194" spans="1:66" s="43" customFormat="1" ht="17.100000000000001" customHeight="1">
      <c r="A194" s="761" t="s">
        <v>2618</v>
      </c>
      <c r="B194" s="53" t="s">
        <v>10</v>
      </c>
      <c r="C194" s="53" t="s">
        <v>10</v>
      </c>
      <c r="D194" s="53" t="s">
        <v>2648</v>
      </c>
      <c r="E194" s="55" t="s">
        <v>5</v>
      </c>
      <c r="F194" s="55" t="s">
        <v>3327</v>
      </c>
      <c r="G194" s="71">
        <v>32568</v>
      </c>
      <c r="H194" s="50" t="s">
        <v>3605</v>
      </c>
      <c r="I194" s="760">
        <v>1134</v>
      </c>
      <c r="J194" s="52">
        <v>21030</v>
      </c>
      <c r="K194" s="55" t="s">
        <v>1585</v>
      </c>
      <c r="L194" s="56" t="s">
        <v>1590</v>
      </c>
      <c r="M194" s="64">
        <v>7</v>
      </c>
      <c r="N194" s="65">
        <v>0</v>
      </c>
      <c r="O194" s="66">
        <v>280</v>
      </c>
      <c r="P194" s="67">
        <v>2</v>
      </c>
      <c r="Q194" s="68">
        <v>39</v>
      </c>
      <c r="R194" s="68">
        <v>2</v>
      </c>
      <c r="S194" s="68">
        <v>27</v>
      </c>
      <c r="T194" s="68">
        <v>2</v>
      </c>
      <c r="U194" s="69">
        <v>52</v>
      </c>
      <c r="V194" s="67">
        <v>0</v>
      </c>
      <c r="W194" s="67">
        <v>0</v>
      </c>
      <c r="X194" s="67">
        <v>0</v>
      </c>
      <c r="Y194" s="67">
        <v>0</v>
      </c>
      <c r="Z194" s="67">
        <v>0</v>
      </c>
      <c r="AA194" s="67">
        <v>0</v>
      </c>
      <c r="AB194" s="70"/>
      <c r="AC194" s="68"/>
      <c r="AD194" s="68"/>
      <c r="AE194" s="68"/>
      <c r="AF194" s="68"/>
      <c r="AG194" s="68"/>
      <c r="AH194" s="68"/>
      <c r="AI194" s="69"/>
      <c r="AJ194" s="70"/>
      <c r="AK194" s="68"/>
      <c r="AL194" s="68"/>
      <c r="AM194" s="68"/>
      <c r="AN194" s="68"/>
      <c r="AO194" s="68"/>
      <c r="AP194" s="68"/>
      <c r="AQ194" s="69"/>
      <c r="AR194" s="972"/>
      <c r="AS194" s="973"/>
      <c r="AT194" s="68"/>
      <c r="AU194" s="68"/>
      <c r="AV194" s="68"/>
      <c r="AW194" s="973"/>
      <c r="AX194" s="973"/>
      <c r="AY194" s="973"/>
      <c r="AZ194" s="973"/>
      <c r="BA194" s="974"/>
      <c r="BB194" s="975">
        <v>6</v>
      </c>
      <c r="BC194" s="959">
        <v>39</v>
      </c>
      <c r="BD194" s="959">
        <v>27</v>
      </c>
      <c r="BE194" s="959">
        <v>52</v>
      </c>
      <c r="BF194" s="959">
        <v>118</v>
      </c>
      <c r="BG194" s="959">
        <v>0</v>
      </c>
      <c r="BH194" s="959">
        <v>0</v>
      </c>
      <c r="BI194" s="959">
        <v>0</v>
      </c>
      <c r="BJ194" s="959">
        <v>0</v>
      </c>
      <c r="BK194" s="959">
        <v>0</v>
      </c>
      <c r="BL194" s="55"/>
    </row>
    <row r="195" spans="1:66" s="43" customFormat="1" ht="17.100000000000001" customHeight="1">
      <c r="A195" s="761" t="s">
        <v>2618</v>
      </c>
      <c r="B195" s="53" t="s">
        <v>10</v>
      </c>
      <c r="C195" s="53" t="s">
        <v>10</v>
      </c>
      <c r="D195" s="53" t="s">
        <v>2648</v>
      </c>
      <c r="E195" s="55" t="s">
        <v>5</v>
      </c>
      <c r="F195" s="55" t="s">
        <v>3606</v>
      </c>
      <c r="G195" s="71">
        <v>39512</v>
      </c>
      <c r="H195" s="50" t="s">
        <v>2649</v>
      </c>
      <c r="I195" s="760">
        <v>1286</v>
      </c>
      <c r="J195" s="52">
        <v>21028</v>
      </c>
      <c r="K195" s="55" t="s">
        <v>1583</v>
      </c>
      <c r="L195" s="56" t="s">
        <v>1584</v>
      </c>
      <c r="M195" s="64">
        <v>6</v>
      </c>
      <c r="N195" s="65">
        <v>0</v>
      </c>
      <c r="O195" s="66">
        <v>164</v>
      </c>
      <c r="P195" s="67">
        <v>2</v>
      </c>
      <c r="Q195" s="68">
        <v>44</v>
      </c>
      <c r="R195" s="68">
        <v>2</v>
      </c>
      <c r="S195" s="68">
        <v>44</v>
      </c>
      <c r="T195" s="68">
        <v>2</v>
      </c>
      <c r="U195" s="69">
        <v>52</v>
      </c>
      <c r="V195" s="67">
        <v>0</v>
      </c>
      <c r="W195" s="67">
        <v>0</v>
      </c>
      <c r="X195" s="67">
        <v>0</v>
      </c>
      <c r="Y195" s="67">
        <v>0</v>
      </c>
      <c r="Z195" s="67">
        <v>0</v>
      </c>
      <c r="AA195" s="67">
        <v>0</v>
      </c>
      <c r="AB195" s="70"/>
      <c r="AC195" s="68"/>
      <c r="AD195" s="68"/>
      <c r="AE195" s="68"/>
      <c r="AF195" s="68"/>
      <c r="AG195" s="68"/>
      <c r="AH195" s="68"/>
      <c r="AI195" s="69"/>
      <c r="AJ195" s="70"/>
      <c r="AK195" s="68"/>
      <c r="AL195" s="68"/>
      <c r="AM195" s="68"/>
      <c r="AN195" s="68"/>
      <c r="AO195" s="68"/>
      <c r="AP195" s="68"/>
      <c r="AQ195" s="69"/>
      <c r="AR195" s="972"/>
      <c r="AS195" s="973"/>
      <c r="AT195" s="68"/>
      <c r="AU195" s="68"/>
      <c r="AV195" s="68"/>
      <c r="AW195" s="973"/>
      <c r="AX195" s="973"/>
      <c r="AY195" s="973"/>
      <c r="AZ195" s="973"/>
      <c r="BA195" s="974"/>
      <c r="BB195" s="975">
        <v>6</v>
      </c>
      <c r="BC195" s="959">
        <v>44</v>
      </c>
      <c r="BD195" s="959">
        <v>44</v>
      </c>
      <c r="BE195" s="959">
        <v>52</v>
      </c>
      <c r="BF195" s="959">
        <v>140</v>
      </c>
      <c r="BG195" s="959">
        <v>0</v>
      </c>
      <c r="BH195" s="959">
        <v>0</v>
      </c>
      <c r="BI195" s="959">
        <v>0</v>
      </c>
      <c r="BJ195" s="959">
        <v>0</v>
      </c>
      <c r="BK195" s="959">
        <v>0</v>
      </c>
      <c r="BL195" s="55"/>
    </row>
    <row r="196" spans="1:66" s="43" customFormat="1" ht="17.100000000000001" customHeight="1">
      <c r="A196" s="761" t="s">
        <v>2618</v>
      </c>
      <c r="B196" s="53" t="s">
        <v>10</v>
      </c>
      <c r="C196" s="53" t="s">
        <v>10</v>
      </c>
      <c r="D196" s="53" t="s">
        <v>3607</v>
      </c>
      <c r="E196" s="55" t="s">
        <v>5</v>
      </c>
      <c r="F196" s="55" t="s">
        <v>3608</v>
      </c>
      <c r="G196" s="71">
        <v>35490</v>
      </c>
      <c r="H196" s="50" t="s">
        <v>3609</v>
      </c>
      <c r="I196" s="760">
        <v>1255</v>
      </c>
      <c r="J196" s="52">
        <v>21015</v>
      </c>
      <c r="K196" s="55" t="s">
        <v>3610</v>
      </c>
      <c r="L196" s="56" t="s">
        <v>3611</v>
      </c>
      <c r="M196" s="64">
        <v>6</v>
      </c>
      <c r="N196" s="65">
        <v>0</v>
      </c>
      <c r="O196" s="66">
        <v>170</v>
      </c>
      <c r="P196" s="67">
        <v>2</v>
      </c>
      <c r="Q196" s="68">
        <v>52</v>
      </c>
      <c r="R196" s="68">
        <v>2</v>
      </c>
      <c r="S196" s="68">
        <v>56</v>
      </c>
      <c r="T196" s="68">
        <v>2</v>
      </c>
      <c r="U196" s="69">
        <v>53</v>
      </c>
      <c r="V196" s="67">
        <v>0</v>
      </c>
      <c r="W196" s="67">
        <v>0</v>
      </c>
      <c r="X196" s="67">
        <v>0</v>
      </c>
      <c r="Y196" s="67">
        <v>0</v>
      </c>
      <c r="Z196" s="67">
        <v>0</v>
      </c>
      <c r="AA196" s="67">
        <v>0</v>
      </c>
      <c r="AB196" s="70"/>
      <c r="AC196" s="68"/>
      <c r="AD196" s="68"/>
      <c r="AE196" s="68"/>
      <c r="AF196" s="68"/>
      <c r="AG196" s="68"/>
      <c r="AH196" s="68"/>
      <c r="AI196" s="69"/>
      <c r="AJ196" s="70"/>
      <c r="AK196" s="68"/>
      <c r="AL196" s="68"/>
      <c r="AM196" s="68"/>
      <c r="AN196" s="68"/>
      <c r="AO196" s="68"/>
      <c r="AP196" s="68"/>
      <c r="AQ196" s="69"/>
      <c r="AR196" s="972"/>
      <c r="AS196" s="973"/>
      <c r="AT196" s="68"/>
      <c r="AU196" s="68"/>
      <c r="AV196" s="68"/>
      <c r="AW196" s="973"/>
      <c r="AX196" s="973"/>
      <c r="AY196" s="973"/>
      <c r="AZ196" s="973"/>
      <c r="BA196" s="974"/>
      <c r="BB196" s="975">
        <v>6</v>
      </c>
      <c r="BC196" s="959">
        <v>52</v>
      </c>
      <c r="BD196" s="959">
        <v>56</v>
      </c>
      <c r="BE196" s="959">
        <v>53</v>
      </c>
      <c r="BF196" s="959">
        <v>161</v>
      </c>
      <c r="BG196" s="959">
        <v>0</v>
      </c>
      <c r="BH196" s="959">
        <v>0</v>
      </c>
      <c r="BI196" s="959">
        <v>0</v>
      </c>
      <c r="BJ196" s="959">
        <v>0</v>
      </c>
      <c r="BK196" s="959">
        <v>0</v>
      </c>
      <c r="BL196" s="55"/>
    </row>
    <row r="197" spans="1:66" s="43" customFormat="1" ht="17.100000000000001" customHeight="1">
      <c r="A197" s="761" t="s">
        <v>2618</v>
      </c>
      <c r="B197" s="53" t="s">
        <v>10</v>
      </c>
      <c r="C197" s="53" t="s">
        <v>10</v>
      </c>
      <c r="D197" s="53" t="s">
        <v>2648</v>
      </c>
      <c r="E197" s="55" t="s">
        <v>5</v>
      </c>
      <c r="F197" s="55" t="s">
        <v>3612</v>
      </c>
      <c r="G197" s="71">
        <v>35923</v>
      </c>
      <c r="H197" s="50" t="s">
        <v>3613</v>
      </c>
      <c r="I197" s="760">
        <v>664</v>
      </c>
      <c r="J197" s="52">
        <v>21035</v>
      </c>
      <c r="K197" s="55" t="s">
        <v>3614</v>
      </c>
      <c r="L197" s="56" t="s">
        <v>3615</v>
      </c>
      <c r="M197" s="64">
        <v>6</v>
      </c>
      <c r="N197" s="65">
        <v>0</v>
      </c>
      <c r="O197" s="66">
        <v>167</v>
      </c>
      <c r="P197" s="67">
        <v>2</v>
      </c>
      <c r="Q197" s="68">
        <v>25</v>
      </c>
      <c r="R197" s="68">
        <v>2</v>
      </c>
      <c r="S197" s="68">
        <v>43</v>
      </c>
      <c r="T197" s="68">
        <v>2</v>
      </c>
      <c r="U197" s="69">
        <v>39</v>
      </c>
      <c r="V197" s="67">
        <v>0</v>
      </c>
      <c r="W197" s="67">
        <v>0</v>
      </c>
      <c r="X197" s="67">
        <v>0</v>
      </c>
      <c r="Y197" s="67">
        <v>0</v>
      </c>
      <c r="Z197" s="67">
        <v>0</v>
      </c>
      <c r="AA197" s="67">
        <v>0</v>
      </c>
      <c r="AB197" s="70"/>
      <c r="AC197" s="68"/>
      <c r="AD197" s="68"/>
      <c r="AE197" s="68"/>
      <c r="AF197" s="68"/>
      <c r="AG197" s="68"/>
      <c r="AH197" s="68"/>
      <c r="AI197" s="69"/>
      <c r="AJ197" s="70"/>
      <c r="AK197" s="68"/>
      <c r="AL197" s="68"/>
      <c r="AM197" s="68"/>
      <c r="AN197" s="68"/>
      <c r="AO197" s="68"/>
      <c r="AP197" s="68"/>
      <c r="AQ197" s="69"/>
      <c r="AR197" s="972"/>
      <c r="AS197" s="973"/>
      <c r="AT197" s="68"/>
      <c r="AU197" s="68"/>
      <c r="AV197" s="68"/>
      <c r="AW197" s="973"/>
      <c r="AX197" s="973"/>
      <c r="AY197" s="973"/>
      <c r="AZ197" s="973"/>
      <c r="BA197" s="974"/>
      <c r="BB197" s="975">
        <v>6</v>
      </c>
      <c r="BC197" s="959">
        <v>25</v>
      </c>
      <c r="BD197" s="959">
        <v>43</v>
      </c>
      <c r="BE197" s="959">
        <v>39</v>
      </c>
      <c r="BF197" s="959">
        <v>107</v>
      </c>
      <c r="BG197" s="959">
        <v>0</v>
      </c>
      <c r="BH197" s="959">
        <v>0</v>
      </c>
      <c r="BI197" s="959">
        <v>0</v>
      </c>
      <c r="BJ197" s="959">
        <v>0</v>
      </c>
      <c r="BK197" s="959">
        <v>0</v>
      </c>
      <c r="BL197" s="55"/>
    </row>
    <row r="198" spans="1:66" s="43" customFormat="1" ht="17.100000000000001" customHeight="1">
      <c r="A198" s="761" t="s">
        <v>2618</v>
      </c>
      <c r="B198" s="53" t="s">
        <v>10</v>
      </c>
      <c r="C198" s="53" t="s">
        <v>10</v>
      </c>
      <c r="D198" s="53" t="s">
        <v>3616</v>
      </c>
      <c r="E198" s="55" t="s">
        <v>5</v>
      </c>
      <c r="F198" s="55" t="s">
        <v>1582</v>
      </c>
      <c r="G198" s="71">
        <v>35947</v>
      </c>
      <c r="H198" s="50" t="s">
        <v>3617</v>
      </c>
      <c r="I198" s="760">
        <v>520</v>
      </c>
      <c r="J198" s="52">
        <v>21083</v>
      </c>
      <c r="K198" s="55" t="s">
        <v>1588</v>
      </c>
      <c r="L198" s="56" t="s">
        <v>1589</v>
      </c>
      <c r="M198" s="64">
        <v>4</v>
      </c>
      <c r="N198" s="65">
        <v>0</v>
      </c>
      <c r="O198" s="66">
        <v>129</v>
      </c>
      <c r="P198" s="67">
        <v>1</v>
      </c>
      <c r="Q198" s="68">
        <v>12</v>
      </c>
      <c r="R198" s="68">
        <v>1</v>
      </c>
      <c r="S198" s="68">
        <v>19</v>
      </c>
      <c r="T198" s="68">
        <v>1</v>
      </c>
      <c r="U198" s="69">
        <v>16</v>
      </c>
      <c r="V198" s="67">
        <v>0</v>
      </c>
      <c r="W198" s="67">
        <v>0</v>
      </c>
      <c r="X198" s="67">
        <v>0</v>
      </c>
      <c r="Y198" s="67">
        <v>0</v>
      </c>
      <c r="Z198" s="67">
        <v>0</v>
      </c>
      <c r="AA198" s="67">
        <v>0</v>
      </c>
      <c r="AB198" s="70"/>
      <c r="AC198" s="68"/>
      <c r="AD198" s="68"/>
      <c r="AE198" s="68"/>
      <c r="AF198" s="68"/>
      <c r="AG198" s="68"/>
      <c r="AH198" s="68"/>
      <c r="AI198" s="69"/>
      <c r="AJ198" s="70"/>
      <c r="AK198" s="68"/>
      <c r="AL198" s="68"/>
      <c r="AM198" s="68"/>
      <c r="AN198" s="68"/>
      <c r="AO198" s="68"/>
      <c r="AP198" s="68"/>
      <c r="AQ198" s="69"/>
      <c r="AR198" s="972"/>
      <c r="AS198" s="973"/>
      <c r="AT198" s="68"/>
      <c r="AU198" s="68"/>
      <c r="AV198" s="68"/>
      <c r="AW198" s="973"/>
      <c r="AX198" s="973"/>
      <c r="AY198" s="973"/>
      <c r="AZ198" s="973"/>
      <c r="BA198" s="974"/>
      <c r="BB198" s="975">
        <v>3</v>
      </c>
      <c r="BC198" s="959">
        <v>12</v>
      </c>
      <c r="BD198" s="959">
        <v>19</v>
      </c>
      <c r="BE198" s="959">
        <v>16</v>
      </c>
      <c r="BF198" s="959">
        <v>47</v>
      </c>
      <c r="BG198" s="959">
        <v>0</v>
      </c>
      <c r="BH198" s="959">
        <v>0</v>
      </c>
      <c r="BI198" s="959">
        <v>0</v>
      </c>
      <c r="BJ198" s="959">
        <v>0</v>
      </c>
      <c r="BK198" s="959">
        <v>0</v>
      </c>
      <c r="BL198" s="55"/>
      <c r="BM198" s="400"/>
      <c r="BN198" s="400"/>
    </row>
    <row r="199" spans="1:66" s="43" customFormat="1" ht="17.100000000000001" customHeight="1">
      <c r="A199" s="761" t="s">
        <v>2618</v>
      </c>
      <c r="B199" s="53" t="s">
        <v>10</v>
      </c>
      <c r="C199" s="53" t="s">
        <v>10</v>
      </c>
      <c r="D199" s="53" t="s">
        <v>3618</v>
      </c>
      <c r="E199" s="55" t="s">
        <v>5</v>
      </c>
      <c r="F199" s="55" t="s">
        <v>3619</v>
      </c>
      <c r="G199" s="71">
        <v>39508</v>
      </c>
      <c r="H199" s="50" t="s">
        <v>3620</v>
      </c>
      <c r="I199" s="760">
        <v>387</v>
      </c>
      <c r="J199" s="52">
        <v>21018</v>
      </c>
      <c r="K199" s="55" t="s">
        <v>3621</v>
      </c>
      <c r="L199" s="56" t="s">
        <v>3622</v>
      </c>
      <c r="M199" s="64">
        <v>6</v>
      </c>
      <c r="N199" s="65">
        <v>0</v>
      </c>
      <c r="O199" s="66">
        <v>154</v>
      </c>
      <c r="P199" s="67">
        <v>2</v>
      </c>
      <c r="Q199" s="68">
        <v>29</v>
      </c>
      <c r="R199" s="68">
        <v>2</v>
      </c>
      <c r="S199" s="68">
        <v>37</v>
      </c>
      <c r="T199" s="68">
        <v>2</v>
      </c>
      <c r="U199" s="69">
        <v>36</v>
      </c>
      <c r="V199" s="67">
        <v>0</v>
      </c>
      <c r="W199" s="67">
        <v>0</v>
      </c>
      <c r="X199" s="67">
        <v>0</v>
      </c>
      <c r="Y199" s="67">
        <v>0</v>
      </c>
      <c r="Z199" s="67">
        <v>0</v>
      </c>
      <c r="AA199" s="67">
        <v>0</v>
      </c>
      <c r="AB199" s="70"/>
      <c r="AC199" s="68"/>
      <c r="AD199" s="68"/>
      <c r="AE199" s="68"/>
      <c r="AF199" s="68"/>
      <c r="AG199" s="68"/>
      <c r="AH199" s="68"/>
      <c r="AI199" s="69"/>
      <c r="AJ199" s="70"/>
      <c r="AK199" s="68"/>
      <c r="AL199" s="68"/>
      <c r="AM199" s="68"/>
      <c r="AN199" s="68"/>
      <c r="AO199" s="68"/>
      <c r="AP199" s="68"/>
      <c r="AQ199" s="69"/>
      <c r="AR199" s="972"/>
      <c r="AS199" s="973"/>
      <c r="AT199" s="68"/>
      <c r="AU199" s="68"/>
      <c r="AV199" s="68"/>
      <c r="AW199" s="973"/>
      <c r="AX199" s="973"/>
      <c r="AY199" s="973"/>
      <c r="AZ199" s="973"/>
      <c r="BA199" s="974"/>
      <c r="BB199" s="975">
        <v>6</v>
      </c>
      <c r="BC199" s="959">
        <v>29</v>
      </c>
      <c r="BD199" s="959">
        <v>37</v>
      </c>
      <c r="BE199" s="959">
        <v>36</v>
      </c>
      <c r="BF199" s="959">
        <v>102</v>
      </c>
      <c r="BG199" s="959">
        <v>0</v>
      </c>
      <c r="BH199" s="959">
        <v>0</v>
      </c>
      <c r="BI199" s="959">
        <v>0</v>
      </c>
      <c r="BJ199" s="959">
        <v>0</v>
      </c>
      <c r="BK199" s="959">
        <v>0</v>
      </c>
      <c r="BL199" s="55"/>
      <c r="BM199" s="400"/>
      <c r="BN199" s="400"/>
    </row>
    <row r="200" spans="1:66" s="43" customFormat="1" ht="17.100000000000001" customHeight="1">
      <c r="A200" s="1614" t="s">
        <v>1586</v>
      </c>
      <c r="B200" s="1615"/>
      <c r="C200" s="1615"/>
      <c r="D200" s="1616"/>
      <c r="E200" s="418">
        <f>COUNTA(E182:E199)</f>
        <v>18</v>
      </c>
      <c r="F200" s="294"/>
      <c r="G200" s="419"/>
      <c r="H200" s="190"/>
      <c r="I200" s="420"/>
      <c r="J200" s="296"/>
      <c r="K200" s="294"/>
      <c r="L200" s="297"/>
      <c r="M200" s="421">
        <f t="shared" ref="M200:AR200" si="166">SUM(M182:M199)</f>
        <v>96</v>
      </c>
      <c r="N200" s="422">
        <f t="shared" si="166"/>
        <v>0</v>
      </c>
      <c r="O200" s="423">
        <f t="shared" si="166"/>
        <v>3017</v>
      </c>
      <c r="P200" s="424">
        <f t="shared" si="166"/>
        <v>25</v>
      </c>
      <c r="Q200" s="425">
        <f t="shared" si="166"/>
        <v>450</v>
      </c>
      <c r="R200" s="425">
        <f t="shared" si="166"/>
        <v>29</v>
      </c>
      <c r="S200" s="425">
        <f t="shared" si="166"/>
        <v>633</v>
      </c>
      <c r="T200" s="425">
        <f t="shared" si="166"/>
        <v>29</v>
      </c>
      <c r="U200" s="426">
        <f t="shared" si="166"/>
        <v>653</v>
      </c>
      <c r="V200" s="427">
        <f t="shared" si="166"/>
        <v>0</v>
      </c>
      <c r="W200" s="425">
        <f t="shared" si="166"/>
        <v>0</v>
      </c>
      <c r="X200" s="425">
        <f t="shared" si="166"/>
        <v>0</v>
      </c>
      <c r="Y200" s="425">
        <f t="shared" si="166"/>
        <v>0</v>
      </c>
      <c r="Z200" s="425">
        <f t="shared" si="166"/>
        <v>0</v>
      </c>
      <c r="AA200" s="426">
        <f t="shared" si="166"/>
        <v>0</v>
      </c>
      <c r="AB200" s="424">
        <f t="shared" si="166"/>
        <v>0</v>
      </c>
      <c r="AC200" s="425">
        <f t="shared" si="166"/>
        <v>0</v>
      </c>
      <c r="AD200" s="425">
        <f t="shared" si="166"/>
        <v>0</v>
      </c>
      <c r="AE200" s="425">
        <f t="shared" si="166"/>
        <v>0</v>
      </c>
      <c r="AF200" s="425">
        <f t="shared" si="166"/>
        <v>0</v>
      </c>
      <c r="AG200" s="425">
        <f t="shared" si="166"/>
        <v>0</v>
      </c>
      <c r="AH200" s="425">
        <f t="shared" si="166"/>
        <v>0</v>
      </c>
      <c r="AI200" s="426">
        <f t="shared" si="166"/>
        <v>0</v>
      </c>
      <c r="AJ200" s="424">
        <f t="shared" si="166"/>
        <v>0</v>
      </c>
      <c r="AK200" s="425">
        <f t="shared" si="166"/>
        <v>0</v>
      </c>
      <c r="AL200" s="425">
        <f t="shared" si="166"/>
        <v>0</v>
      </c>
      <c r="AM200" s="425">
        <f t="shared" si="166"/>
        <v>0</v>
      </c>
      <c r="AN200" s="425">
        <f t="shared" si="166"/>
        <v>0</v>
      </c>
      <c r="AO200" s="425">
        <f t="shared" si="166"/>
        <v>0</v>
      </c>
      <c r="AP200" s="425">
        <f t="shared" si="166"/>
        <v>0</v>
      </c>
      <c r="AQ200" s="459">
        <f t="shared" si="166"/>
        <v>0</v>
      </c>
      <c r="AR200" s="460">
        <f t="shared" si="166"/>
        <v>6</v>
      </c>
      <c r="AS200" s="429">
        <f t="shared" ref="AS200:BK200" si="167">SUM(AS182:AS199)</f>
        <v>0</v>
      </c>
      <c r="AT200" s="429">
        <f t="shared" si="167"/>
        <v>52</v>
      </c>
      <c r="AU200" s="429">
        <f t="shared" si="167"/>
        <v>55</v>
      </c>
      <c r="AV200" s="429">
        <f t="shared" si="167"/>
        <v>37</v>
      </c>
      <c r="AW200" s="429">
        <f t="shared" si="167"/>
        <v>144</v>
      </c>
      <c r="AX200" s="429">
        <f t="shared" si="167"/>
        <v>0</v>
      </c>
      <c r="AY200" s="429">
        <f t="shared" si="167"/>
        <v>0</v>
      </c>
      <c r="AZ200" s="429">
        <f t="shared" si="167"/>
        <v>0</v>
      </c>
      <c r="BA200" s="461">
        <f t="shared" si="167"/>
        <v>0</v>
      </c>
      <c r="BB200" s="431">
        <f t="shared" si="167"/>
        <v>89</v>
      </c>
      <c r="BC200" s="432">
        <f t="shared" si="167"/>
        <v>502</v>
      </c>
      <c r="BD200" s="432">
        <f t="shared" si="167"/>
        <v>688</v>
      </c>
      <c r="BE200" s="432">
        <f t="shared" si="167"/>
        <v>690</v>
      </c>
      <c r="BF200" s="432">
        <f t="shared" si="167"/>
        <v>1880</v>
      </c>
      <c r="BG200" s="432">
        <f t="shared" si="167"/>
        <v>0</v>
      </c>
      <c r="BH200" s="432">
        <f t="shared" si="167"/>
        <v>0</v>
      </c>
      <c r="BI200" s="432">
        <f t="shared" si="167"/>
        <v>0</v>
      </c>
      <c r="BJ200" s="432">
        <f t="shared" si="167"/>
        <v>0</v>
      </c>
      <c r="BK200" s="433">
        <f t="shared" si="167"/>
        <v>0</v>
      </c>
      <c r="BL200" s="434"/>
    </row>
    <row r="201" spans="1:66" s="43" customFormat="1" ht="17.100000000000001" customHeight="1">
      <c r="A201" s="1568" t="s">
        <v>1806</v>
      </c>
      <c r="B201" s="1569"/>
      <c r="C201" s="1569"/>
      <c r="D201" s="1569"/>
      <c r="E201" s="1570"/>
      <c r="F201" s="435">
        <f>E181+E200</f>
        <v>33</v>
      </c>
      <c r="G201" s="436"/>
      <c r="H201" s="222"/>
      <c r="I201" s="437"/>
      <c r="J201" s="305"/>
      <c r="K201" s="303"/>
      <c r="L201" s="306"/>
      <c r="M201" s="438">
        <f t="shared" ref="M201:AR201" si="168">M181+M200</f>
        <v>134</v>
      </c>
      <c r="N201" s="439">
        <f t="shared" si="168"/>
        <v>8</v>
      </c>
      <c r="O201" s="440">
        <f t="shared" si="168"/>
        <v>3655</v>
      </c>
      <c r="P201" s="441">
        <f t="shared" si="168"/>
        <v>31</v>
      </c>
      <c r="Q201" s="442">
        <f t="shared" si="168"/>
        <v>497</v>
      </c>
      <c r="R201" s="442">
        <f t="shared" si="168"/>
        <v>36</v>
      </c>
      <c r="S201" s="442">
        <f t="shared" si="168"/>
        <v>692</v>
      </c>
      <c r="T201" s="442">
        <f t="shared" si="168"/>
        <v>38</v>
      </c>
      <c r="U201" s="443">
        <f t="shared" si="168"/>
        <v>718</v>
      </c>
      <c r="V201" s="444">
        <f t="shared" si="168"/>
        <v>1</v>
      </c>
      <c r="W201" s="442">
        <f t="shared" si="168"/>
        <v>4</v>
      </c>
      <c r="X201" s="442">
        <f t="shared" si="168"/>
        <v>1</v>
      </c>
      <c r="Y201" s="442">
        <f t="shared" si="168"/>
        <v>4</v>
      </c>
      <c r="Z201" s="442">
        <f t="shared" si="168"/>
        <v>2</v>
      </c>
      <c r="AA201" s="443">
        <f t="shared" si="168"/>
        <v>8</v>
      </c>
      <c r="AB201" s="441">
        <f t="shared" si="168"/>
        <v>2</v>
      </c>
      <c r="AC201" s="442">
        <f t="shared" si="168"/>
        <v>1</v>
      </c>
      <c r="AD201" s="442">
        <f t="shared" si="168"/>
        <v>1</v>
      </c>
      <c r="AE201" s="442">
        <f t="shared" si="168"/>
        <v>5</v>
      </c>
      <c r="AF201" s="442">
        <f t="shared" si="168"/>
        <v>6</v>
      </c>
      <c r="AG201" s="442">
        <f t="shared" si="168"/>
        <v>0</v>
      </c>
      <c r="AH201" s="442">
        <f t="shared" si="168"/>
        <v>4</v>
      </c>
      <c r="AI201" s="443">
        <f t="shared" si="168"/>
        <v>4</v>
      </c>
      <c r="AJ201" s="441">
        <f t="shared" si="168"/>
        <v>3</v>
      </c>
      <c r="AK201" s="442">
        <f t="shared" si="168"/>
        <v>0</v>
      </c>
      <c r="AL201" s="442">
        <f t="shared" si="168"/>
        <v>9</v>
      </c>
      <c r="AM201" s="442">
        <f t="shared" si="168"/>
        <v>6</v>
      </c>
      <c r="AN201" s="442">
        <f t="shared" si="168"/>
        <v>15</v>
      </c>
      <c r="AO201" s="442">
        <f t="shared" si="168"/>
        <v>0</v>
      </c>
      <c r="AP201" s="442">
        <f t="shared" si="168"/>
        <v>0</v>
      </c>
      <c r="AQ201" s="443">
        <f t="shared" si="168"/>
        <v>0</v>
      </c>
      <c r="AR201" s="445">
        <f t="shared" si="168"/>
        <v>9</v>
      </c>
      <c r="AS201" s="446">
        <f t="shared" ref="AS201:BK201" si="169">AS181+AS200</f>
        <v>3</v>
      </c>
      <c r="AT201" s="446">
        <f t="shared" si="169"/>
        <v>57</v>
      </c>
      <c r="AU201" s="446">
        <f t="shared" si="169"/>
        <v>56</v>
      </c>
      <c r="AV201" s="446">
        <f t="shared" si="169"/>
        <v>40</v>
      </c>
      <c r="AW201" s="446">
        <f t="shared" si="169"/>
        <v>153</v>
      </c>
      <c r="AX201" s="446">
        <f t="shared" si="169"/>
        <v>0</v>
      </c>
      <c r="AY201" s="446">
        <f t="shared" si="169"/>
        <v>3</v>
      </c>
      <c r="AZ201" s="446">
        <f t="shared" si="169"/>
        <v>5</v>
      </c>
      <c r="BA201" s="447">
        <f t="shared" si="169"/>
        <v>8</v>
      </c>
      <c r="BB201" s="448">
        <f t="shared" si="169"/>
        <v>119</v>
      </c>
      <c r="BC201" s="449">
        <f t="shared" si="169"/>
        <v>555</v>
      </c>
      <c r="BD201" s="449">
        <f t="shared" si="169"/>
        <v>762</v>
      </c>
      <c r="BE201" s="449">
        <f t="shared" si="169"/>
        <v>764</v>
      </c>
      <c r="BF201" s="449">
        <f t="shared" si="169"/>
        <v>2081</v>
      </c>
      <c r="BG201" s="449">
        <f t="shared" si="169"/>
        <v>8</v>
      </c>
      <c r="BH201" s="449">
        <f t="shared" si="169"/>
        <v>4</v>
      </c>
      <c r="BI201" s="449">
        <f t="shared" si="169"/>
        <v>11</v>
      </c>
      <c r="BJ201" s="449">
        <f t="shared" si="169"/>
        <v>13</v>
      </c>
      <c r="BK201" s="450">
        <f t="shared" si="169"/>
        <v>28</v>
      </c>
      <c r="BL201" s="451"/>
    </row>
    <row r="202" spans="1:66" s="400" customFormat="1" ht="17.100000000000001" customHeight="1">
      <c r="A202" s="761" t="s">
        <v>2654</v>
      </c>
      <c r="B202" s="55" t="s">
        <v>8</v>
      </c>
      <c r="C202" s="55" t="s">
        <v>8</v>
      </c>
      <c r="D202" s="53" t="s">
        <v>2655</v>
      </c>
      <c r="E202" s="55" t="s">
        <v>4</v>
      </c>
      <c r="F202" s="55" t="s">
        <v>2656</v>
      </c>
      <c r="G202" s="71">
        <v>39508</v>
      </c>
      <c r="H202" s="50" t="s">
        <v>2657</v>
      </c>
      <c r="I202" s="760" t="s">
        <v>3623</v>
      </c>
      <c r="J202" s="52">
        <v>21548</v>
      </c>
      <c r="K202" s="55" t="s">
        <v>2658</v>
      </c>
      <c r="L202" s="56" t="s">
        <v>2659</v>
      </c>
      <c r="M202" s="64">
        <v>3</v>
      </c>
      <c r="N202" s="65">
        <v>0</v>
      </c>
      <c r="O202" s="66">
        <v>48</v>
      </c>
      <c r="P202" s="67">
        <v>1</v>
      </c>
      <c r="Q202" s="68">
        <v>10</v>
      </c>
      <c r="R202" s="68">
        <v>1</v>
      </c>
      <c r="S202" s="68">
        <v>15</v>
      </c>
      <c r="T202" s="68">
        <v>1</v>
      </c>
      <c r="U202" s="69">
        <v>11</v>
      </c>
      <c r="V202" s="67">
        <v>0</v>
      </c>
      <c r="W202" s="68">
        <v>0</v>
      </c>
      <c r="X202" s="68">
        <v>0</v>
      </c>
      <c r="Y202" s="68">
        <v>0</v>
      </c>
      <c r="Z202" s="68">
        <v>0</v>
      </c>
      <c r="AA202" s="69">
        <v>0</v>
      </c>
      <c r="AB202" s="70">
        <v>0</v>
      </c>
      <c r="AC202" s="68">
        <v>0</v>
      </c>
      <c r="AD202" s="68">
        <v>0</v>
      </c>
      <c r="AE202" s="68">
        <v>0</v>
      </c>
      <c r="AF202" s="68">
        <f t="shared" ref="AF202:AF206" si="170">SUM(AD202:AE202)</f>
        <v>0</v>
      </c>
      <c r="AG202" s="68">
        <v>0</v>
      </c>
      <c r="AH202" s="68">
        <v>0</v>
      </c>
      <c r="AI202" s="69">
        <f t="shared" ref="AI202:AI206" si="171">SUM(AG202:AH202)</f>
        <v>0</v>
      </c>
      <c r="AJ202" s="70">
        <v>0</v>
      </c>
      <c r="AK202" s="68">
        <v>0</v>
      </c>
      <c r="AL202" s="68">
        <v>0</v>
      </c>
      <c r="AM202" s="68">
        <v>0</v>
      </c>
      <c r="AN202" s="61">
        <f t="shared" ref="AN202:AN205" si="172">SUM(AL202:AM202)</f>
        <v>0</v>
      </c>
      <c r="AO202" s="61">
        <v>0</v>
      </c>
      <c r="AP202" s="61">
        <v>0</v>
      </c>
      <c r="AQ202" s="62">
        <f t="shared" ref="AQ202:AQ207" si="173">SUM(AO202:AP202)</f>
        <v>0</v>
      </c>
      <c r="AR202" s="972">
        <v>0</v>
      </c>
      <c r="AS202" s="973">
        <v>0</v>
      </c>
      <c r="AT202" s="68">
        <v>0</v>
      </c>
      <c r="AU202" s="68">
        <v>0</v>
      </c>
      <c r="AV202" s="68">
        <v>0</v>
      </c>
      <c r="AW202" s="973">
        <f t="shared" ref="AW202:AW229" si="174">SUM(AT202:AV202)</f>
        <v>0</v>
      </c>
      <c r="AX202" s="973">
        <v>0</v>
      </c>
      <c r="AY202" s="973">
        <v>0</v>
      </c>
      <c r="AZ202" s="973">
        <v>0</v>
      </c>
      <c r="BA202" s="974">
        <f t="shared" ref="BA202:BA208" si="175">SUM(AX202:AZ202)</f>
        <v>0</v>
      </c>
      <c r="BB202" s="976">
        <f t="shared" ref="BB202:BB208" si="176">SUM(P202,R202,T202,AB202,AJ202,AR202)</f>
        <v>3</v>
      </c>
      <c r="BC202" s="959">
        <f t="shared" ref="BC202:BC204" si="177">SUM(Q202,AD202,AT202)</f>
        <v>10</v>
      </c>
      <c r="BD202" s="959">
        <f t="shared" ref="BD202:BD204" si="178">SUM(S202,AE202,AL202,AU202)</f>
        <v>15</v>
      </c>
      <c r="BE202" s="959">
        <f t="shared" ref="BE202:BE204" si="179">SUM(U202,AM202,AV202)</f>
        <v>11</v>
      </c>
      <c r="BF202" s="959">
        <f t="shared" ref="BF202:BF204" si="180">SUM(BC202:BE202)</f>
        <v>36</v>
      </c>
      <c r="BG202" s="959">
        <f t="shared" ref="BG202:BG204" si="181">SUM(V202,X202,Z202,AC202,AK202,AS202)</f>
        <v>0</v>
      </c>
      <c r="BH202" s="959">
        <f t="shared" ref="BH202:BH204" si="182">SUM(W202,AG202,AX202)</f>
        <v>0</v>
      </c>
      <c r="BI202" s="959">
        <f t="shared" ref="BI202:BI204" si="183">SUM(Y202,AH202,AO202,AY202)</f>
        <v>0</v>
      </c>
      <c r="BJ202" s="959">
        <f t="shared" ref="BJ202:BJ204" si="184">SUM(AA202,AP202,AZ202)</f>
        <v>0</v>
      </c>
      <c r="BK202" s="959">
        <f t="shared" ref="BK202:BK204" si="185">SUM(BH202:BJ202)</f>
        <v>0</v>
      </c>
      <c r="BL202" s="55"/>
    </row>
    <row r="203" spans="1:66" s="400" customFormat="1" ht="17.100000000000001" customHeight="1">
      <c r="A203" s="457" t="s">
        <v>2654</v>
      </c>
      <c r="B203" s="53" t="s">
        <v>8</v>
      </c>
      <c r="C203" s="53" t="s">
        <v>8</v>
      </c>
      <c r="D203" s="53" t="s">
        <v>1804</v>
      </c>
      <c r="E203" s="53" t="s">
        <v>2424</v>
      </c>
      <c r="F203" s="53" t="s">
        <v>2660</v>
      </c>
      <c r="G203" s="71">
        <v>42064</v>
      </c>
      <c r="H203" s="50" t="s">
        <v>3624</v>
      </c>
      <c r="I203" s="760">
        <v>12390</v>
      </c>
      <c r="J203" s="52">
        <v>21506</v>
      </c>
      <c r="K203" s="55" t="s">
        <v>2661</v>
      </c>
      <c r="L203" s="56" t="s">
        <v>2662</v>
      </c>
      <c r="M203" s="64">
        <v>2</v>
      </c>
      <c r="N203" s="65">
        <v>0</v>
      </c>
      <c r="O203" s="66">
        <v>36</v>
      </c>
      <c r="P203" s="67">
        <v>0</v>
      </c>
      <c r="Q203" s="68">
        <v>0</v>
      </c>
      <c r="R203" s="68">
        <v>0</v>
      </c>
      <c r="S203" s="68">
        <v>0</v>
      </c>
      <c r="T203" s="68">
        <v>1</v>
      </c>
      <c r="U203" s="69">
        <v>4</v>
      </c>
      <c r="V203" s="67">
        <v>0</v>
      </c>
      <c r="W203" s="68">
        <v>0</v>
      </c>
      <c r="X203" s="68">
        <v>0</v>
      </c>
      <c r="Y203" s="68">
        <v>0</v>
      </c>
      <c r="Z203" s="68">
        <v>0</v>
      </c>
      <c r="AA203" s="69">
        <v>0</v>
      </c>
      <c r="AB203" s="70">
        <v>1</v>
      </c>
      <c r="AC203" s="68">
        <v>0</v>
      </c>
      <c r="AD203" s="68">
        <v>1</v>
      </c>
      <c r="AE203" s="68">
        <v>7</v>
      </c>
      <c r="AF203" s="68">
        <f t="shared" si="170"/>
        <v>8</v>
      </c>
      <c r="AG203" s="68">
        <v>0</v>
      </c>
      <c r="AH203" s="68">
        <v>0</v>
      </c>
      <c r="AI203" s="69">
        <f t="shared" si="171"/>
        <v>0</v>
      </c>
      <c r="AJ203" s="70">
        <v>0</v>
      </c>
      <c r="AK203" s="68">
        <v>0</v>
      </c>
      <c r="AL203" s="68">
        <v>0</v>
      </c>
      <c r="AM203" s="68">
        <v>0</v>
      </c>
      <c r="AN203" s="61">
        <f t="shared" si="172"/>
        <v>0</v>
      </c>
      <c r="AO203" s="61">
        <v>0</v>
      </c>
      <c r="AP203" s="61">
        <v>0</v>
      </c>
      <c r="AQ203" s="62">
        <f t="shared" si="173"/>
        <v>0</v>
      </c>
      <c r="AR203" s="972">
        <v>0</v>
      </c>
      <c r="AS203" s="973">
        <v>0</v>
      </c>
      <c r="AT203" s="68">
        <v>0</v>
      </c>
      <c r="AU203" s="68">
        <v>0</v>
      </c>
      <c r="AV203" s="68">
        <v>0</v>
      </c>
      <c r="AW203" s="973">
        <f t="shared" si="174"/>
        <v>0</v>
      </c>
      <c r="AX203" s="973">
        <v>0</v>
      </c>
      <c r="AY203" s="973">
        <v>0</v>
      </c>
      <c r="AZ203" s="973">
        <v>0</v>
      </c>
      <c r="BA203" s="974">
        <f t="shared" si="175"/>
        <v>0</v>
      </c>
      <c r="BB203" s="976">
        <f t="shared" si="176"/>
        <v>2</v>
      </c>
      <c r="BC203" s="959">
        <f t="shared" si="177"/>
        <v>1</v>
      </c>
      <c r="BD203" s="959">
        <f t="shared" si="178"/>
        <v>7</v>
      </c>
      <c r="BE203" s="959">
        <f t="shared" si="179"/>
        <v>4</v>
      </c>
      <c r="BF203" s="959">
        <f t="shared" si="180"/>
        <v>12</v>
      </c>
      <c r="BG203" s="959">
        <f t="shared" si="181"/>
        <v>0</v>
      </c>
      <c r="BH203" s="959">
        <f t="shared" si="182"/>
        <v>0</v>
      </c>
      <c r="BI203" s="959">
        <f t="shared" si="183"/>
        <v>0</v>
      </c>
      <c r="BJ203" s="959">
        <f t="shared" si="184"/>
        <v>0</v>
      </c>
      <c r="BK203" s="977">
        <f t="shared" si="185"/>
        <v>0</v>
      </c>
      <c r="BL203" s="55"/>
    </row>
    <row r="204" spans="1:66" s="400" customFormat="1" ht="17.100000000000001" customHeight="1">
      <c r="A204" s="761" t="s">
        <v>2654</v>
      </c>
      <c r="B204" s="55" t="s">
        <v>8</v>
      </c>
      <c r="C204" s="55" t="s">
        <v>8</v>
      </c>
      <c r="D204" s="53" t="s">
        <v>2663</v>
      </c>
      <c r="E204" s="55" t="s">
        <v>4</v>
      </c>
      <c r="F204" s="55" t="s">
        <v>2664</v>
      </c>
      <c r="G204" s="71">
        <v>42064</v>
      </c>
      <c r="H204" s="50" t="s">
        <v>2665</v>
      </c>
      <c r="I204" s="760">
        <v>3515</v>
      </c>
      <c r="J204" s="52">
        <v>21586</v>
      </c>
      <c r="K204" s="55" t="s">
        <v>2666</v>
      </c>
      <c r="L204" s="56" t="s">
        <v>2667</v>
      </c>
      <c r="M204" s="64">
        <v>9</v>
      </c>
      <c r="N204" s="65">
        <v>3</v>
      </c>
      <c r="O204" s="66">
        <v>144</v>
      </c>
      <c r="P204" s="67">
        <v>3</v>
      </c>
      <c r="Q204" s="68">
        <v>32</v>
      </c>
      <c r="R204" s="68">
        <v>3</v>
      </c>
      <c r="S204" s="68">
        <v>47</v>
      </c>
      <c r="T204" s="68">
        <v>3</v>
      </c>
      <c r="U204" s="69">
        <v>45</v>
      </c>
      <c r="V204" s="67">
        <v>1</v>
      </c>
      <c r="W204" s="68">
        <v>4</v>
      </c>
      <c r="X204" s="68">
        <v>1</v>
      </c>
      <c r="Y204" s="68">
        <v>4</v>
      </c>
      <c r="Z204" s="68">
        <v>1</v>
      </c>
      <c r="AA204" s="69">
        <v>4</v>
      </c>
      <c r="AB204" s="70">
        <v>0</v>
      </c>
      <c r="AC204" s="68">
        <v>0</v>
      </c>
      <c r="AD204" s="68">
        <v>0</v>
      </c>
      <c r="AE204" s="68">
        <v>0</v>
      </c>
      <c r="AF204" s="68">
        <f t="shared" ref="AF204:AF205" si="186">SUM(AD204:AE204)</f>
        <v>0</v>
      </c>
      <c r="AG204" s="68">
        <v>0</v>
      </c>
      <c r="AH204" s="68">
        <v>0</v>
      </c>
      <c r="AI204" s="69">
        <f t="shared" ref="AI204:AI205" si="187">SUM(AG204:AH204)</f>
        <v>0</v>
      </c>
      <c r="AJ204" s="70">
        <v>0</v>
      </c>
      <c r="AK204" s="68">
        <v>0</v>
      </c>
      <c r="AL204" s="68">
        <v>0</v>
      </c>
      <c r="AM204" s="68">
        <v>0</v>
      </c>
      <c r="AN204" s="61">
        <f t="shared" si="172"/>
        <v>0</v>
      </c>
      <c r="AO204" s="61">
        <v>0</v>
      </c>
      <c r="AP204" s="61">
        <v>0</v>
      </c>
      <c r="AQ204" s="62">
        <f t="shared" si="173"/>
        <v>0</v>
      </c>
      <c r="AR204" s="972">
        <v>0</v>
      </c>
      <c r="AS204" s="973">
        <v>0</v>
      </c>
      <c r="AT204" s="68">
        <v>0</v>
      </c>
      <c r="AU204" s="68">
        <v>0</v>
      </c>
      <c r="AV204" s="68">
        <v>0</v>
      </c>
      <c r="AW204" s="973">
        <f t="shared" si="174"/>
        <v>0</v>
      </c>
      <c r="AX204" s="973">
        <v>0</v>
      </c>
      <c r="AY204" s="973">
        <v>0</v>
      </c>
      <c r="AZ204" s="973">
        <v>0</v>
      </c>
      <c r="BA204" s="974">
        <f t="shared" si="175"/>
        <v>0</v>
      </c>
      <c r="BB204" s="976">
        <f t="shared" si="176"/>
        <v>9</v>
      </c>
      <c r="BC204" s="959">
        <f t="shared" si="177"/>
        <v>32</v>
      </c>
      <c r="BD204" s="959">
        <f t="shared" si="178"/>
        <v>47</v>
      </c>
      <c r="BE204" s="959">
        <f t="shared" si="179"/>
        <v>45</v>
      </c>
      <c r="BF204" s="959">
        <f t="shared" si="180"/>
        <v>124</v>
      </c>
      <c r="BG204" s="959">
        <f t="shared" si="181"/>
        <v>3</v>
      </c>
      <c r="BH204" s="959">
        <f t="shared" si="182"/>
        <v>4</v>
      </c>
      <c r="BI204" s="959">
        <f t="shared" si="183"/>
        <v>4</v>
      </c>
      <c r="BJ204" s="959">
        <f t="shared" si="184"/>
        <v>4</v>
      </c>
      <c r="BK204" s="977">
        <f t="shared" si="185"/>
        <v>12</v>
      </c>
      <c r="BL204" s="55"/>
    </row>
    <row r="205" spans="1:66" s="400" customFormat="1" ht="17.100000000000001" customHeight="1">
      <c r="A205" s="457" t="s">
        <v>1528</v>
      </c>
      <c r="B205" s="53" t="s">
        <v>8</v>
      </c>
      <c r="C205" s="53" t="s">
        <v>8</v>
      </c>
      <c r="D205" s="53" t="s">
        <v>1623</v>
      </c>
      <c r="E205" s="53" t="s">
        <v>4</v>
      </c>
      <c r="F205" s="53" t="s">
        <v>1785</v>
      </c>
      <c r="G205" s="71">
        <v>42248</v>
      </c>
      <c r="H205" s="50" t="s">
        <v>3625</v>
      </c>
      <c r="I205" s="51">
        <v>12000</v>
      </c>
      <c r="J205" s="52">
        <v>21586</v>
      </c>
      <c r="K205" s="53" t="s">
        <v>3626</v>
      </c>
      <c r="L205" s="54" t="s">
        <v>3627</v>
      </c>
      <c r="M205" s="57">
        <v>3</v>
      </c>
      <c r="N205" s="58">
        <v>0</v>
      </c>
      <c r="O205" s="59">
        <v>48</v>
      </c>
      <c r="P205" s="60">
        <v>1</v>
      </c>
      <c r="Q205" s="61">
        <v>10</v>
      </c>
      <c r="R205" s="61">
        <v>1</v>
      </c>
      <c r="S205" s="61">
        <v>6</v>
      </c>
      <c r="T205" s="61">
        <v>1</v>
      </c>
      <c r="U205" s="62">
        <v>8</v>
      </c>
      <c r="V205" s="60">
        <v>0</v>
      </c>
      <c r="W205" s="61">
        <v>0</v>
      </c>
      <c r="X205" s="61">
        <v>0</v>
      </c>
      <c r="Y205" s="61">
        <v>0</v>
      </c>
      <c r="Z205" s="61">
        <v>0</v>
      </c>
      <c r="AA205" s="62">
        <v>0</v>
      </c>
      <c r="AB205" s="70">
        <v>0</v>
      </c>
      <c r="AC205" s="68">
        <v>0</v>
      </c>
      <c r="AD205" s="68">
        <v>0</v>
      </c>
      <c r="AE205" s="68">
        <v>0</v>
      </c>
      <c r="AF205" s="68">
        <f t="shared" si="186"/>
        <v>0</v>
      </c>
      <c r="AG205" s="68">
        <v>0</v>
      </c>
      <c r="AH205" s="68">
        <v>0</v>
      </c>
      <c r="AI205" s="69">
        <f t="shared" si="187"/>
        <v>0</v>
      </c>
      <c r="AJ205" s="70">
        <v>0</v>
      </c>
      <c r="AK205" s="68">
        <v>0</v>
      </c>
      <c r="AL205" s="68">
        <v>0</v>
      </c>
      <c r="AM205" s="68">
        <v>0</v>
      </c>
      <c r="AN205" s="61">
        <f t="shared" si="172"/>
        <v>0</v>
      </c>
      <c r="AO205" s="61">
        <v>0</v>
      </c>
      <c r="AP205" s="61">
        <v>0</v>
      </c>
      <c r="AQ205" s="62">
        <f t="shared" si="173"/>
        <v>0</v>
      </c>
      <c r="AR205" s="972">
        <v>0</v>
      </c>
      <c r="AS205" s="973">
        <v>0</v>
      </c>
      <c r="AT205" s="68">
        <v>0</v>
      </c>
      <c r="AU205" s="68">
        <v>0</v>
      </c>
      <c r="AV205" s="68">
        <v>0</v>
      </c>
      <c r="AW205" s="973">
        <f t="shared" si="174"/>
        <v>0</v>
      </c>
      <c r="AX205" s="973">
        <v>0</v>
      </c>
      <c r="AY205" s="973">
        <v>0</v>
      </c>
      <c r="AZ205" s="973">
        <v>0</v>
      </c>
      <c r="BA205" s="957">
        <f t="shared" si="175"/>
        <v>0</v>
      </c>
      <c r="BB205" s="958">
        <f t="shared" si="176"/>
        <v>3</v>
      </c>
      <c r="BC205" s="959">
        <f>SUM(Q205,AD205,AT205)</f>
        <v>10</v>
      </c>
      <c r="BD205" s="959">
        <f>SUM(S205,AE205,AL205,AU205)</f>
        <v>6</v>
      </c>
      <c r="BE205" s="959">
        <f>SUM(U205,AM205,AV205)</f>
        <v>8</v>
      </c>
      <c r="BF205" s="959">
        <f>SUM(BC205:BE205)</f>
        <v>24</v>
      </c>
      <c r="BG205" s="959">
        <f>SUM(V205,X205,Z205,AC205,AK205,AS205)</f>
        <v>0</v>
      </c>
      <c r="BH205" s="959">
        <f>SUM(W205,AG205,AX205)</f>
        <v>0</v>
      </c>
      <c r="BI205" s="959">
        <f>SUM(Y205,AH205,AO205,AY205)</f>
        <v>0</v>
      </c>
      <c r="BJ205" s="959">
        <f>SUM(AA205,AP205,AZ205)</f>
        <v>0</v>
      </c>
      <c r="BK205" s="977">
        <f>SUM(BH205:BJ205)</f>
        <v>0</v>
      </c>
      <c r="BL205" s="55"/>
    </row>
    <row r="206" spans="1:66" s="400" customFormat="1" ht="17.100000000000001" customHeight="1">
      <c r="A206" s="457" t="s">
        <v>1528</v>
      </c>
      <c r="B206" s="53" t="s">
        <v>8</v>
      </c>
      <c r="C206" s="53" t="s">
        <v>8</v>
      </c>
      <c r="D206" s="53" t="s">
        <v>1889</v>
      </c>
      <c r="E206" s="53" t="s">
        <v>4</v>
      </c>
      <c r="F206" s="53" t="s">
        <v>1786</v>
      </c>
      <c r="G206" s="392">
        <v>36220</v>
      </c>
      <c r="H206" s="50" t="s">
        <v>1891</v>
      </c>
      <c r="I206" s="51">
        <v>7052</v>
      </c>
      <c r="J206" s="52">
        <v>21581</v>
      </c>
      <c r="K206" s="53" t="s">
        <v>1787</v>
      </c>
      <c r="L206" s="54" t="s">
        <v>979</v>
      </c>
      <c r="M206" s="1227">
        <v>1</v>
      </c>
      <c r="N206" s="1228">
        <v>0</v>
      </c>
      <c r="O206" s="1229">
        <v>19</v>
      </c>
      <c r="P206" s="67">
        <v>0</v>
      </c>
      <c r="Q206" s="68">
        <v>0</v>
      </c>
      <c r="R206" s="68">
        <v>0</v>
      </c>
      <c r="S206" s="68">
        <v>0</v>
      </c>
      <c r="T206" s="68">
        <v>0</v>
      </c>
      <c r="U206" s="69">
        <v>0</v>
      </c>
      <c r="V206" s="67">
        <v>0</v>
      </c>
      <c r="W206" s="68">
        <v>0</v>
      </c>
      <c r="X206" s="68">
        <v>0</v>
      </c>
      <c r="Y206" s="68">
        <v>0</v>
      </c>
      <c r="Z206" s="68">
        <v>0</v>
      </c>
      <c r="AA206" s="69">
        <v>0</v>
      </c>
      <c r="AB206" s="70">
        <v>0</v>
      </c>
      <c r="AC206" s="68">
        <v>0</v>
      </c>
      <c r="AD206" s="68">
        <v>0</v>
      </c>
      <c r="AE206" s="68">
        <v>0</v>
      </c>
      <c r="AF206" s="68">
        <f t="shared" si="170"/>
        <v>0</v>
      </c>
      <c r="AG206" s="68">
        <v>0</v>
      </c>
      <c r="AH206" s="68">
        <v>0</v>
      </c>
      <c r="AI206" s="69">
        <f t="shared" si="171"/>
        <v>0</v>
      </c>
      <c r="AJ206" s="70">
        <v>0</v>
      </c>
      <c r="AK206" s="68">
        <v>0</v>
      </c>
      <c r="AL206" s="68">
        <v>0</v>
      </c>
      <c r="AM206" s="68">
        <v>0</v>
      </c>
      <c r="AN206" s="61">
        <f>SUM(AL206:AM206)</f>
        <v>0</v>
      </c>
      <c r="AO206" s="61">
        <v>0</v>
      </c>
      <c r="AP206" s="61">
        <v>0</v>
      </c>
      <c r="AQ206" s="62">
        <f t="shared" si="173"/>
        <v>0</v>
      </c>
      <c r="AR206" s="972">
        <v>0</v>
      </c>
      <c r="AS206" s="973">
        <v>0</v>
      </c>
      <c r="AT206" s="68">
        <v>0</v>
      </c>
      <c r="AU206" s="68">
        <v>0</v>
      </c>
      <c r="AV206" s="68">
        <v>0</v>
      </c>
      <c r="AW206" s="973">
        <f t="shared" si="174"/>
        <v>0</v>
      </c>
      <c r="AX206" s="973">
        <v>0</v>
      </c>
      <c r="AY206" s="973">
        <v>0</v>
      </c>
      <c r="AZ206" s="973">
        <v>0</v>
      </c>
      <c r="BA206" s="974">
        <f t="shared" si="175"/>
        <v>0</v>
      </c>
      <c r="BB206" s="976">
        <f t="shared" si="176"/>
        <v>0</v>
      </c>
      <c r="BC206" s="959">
        <f t="shared" ref="BC206" si="188">SUM(Q206,AD206,AT206)</f>
        <v>0</v>
      </c>
      <c r="BD206" s="959">
        <f t="shared" ref="BD206" si="189">SUM(S206,AE206,AL206,AU206)</f>
        <v>0</v>
      </c>
      <c r="BE206" s="959">
        <f t="shared" ref="BE206" si="190">SUM(U206,AM206,AV206)</f>
        <v>0</v>
      </c>
      <c r="BF206" s="959">
        <f t="shared" ref="BF206" si="191">SUM(BC206:BE206)</f>
        <v>0</v>
      </c>
      <c r="BG206" s="959">
        <f t="shared" ref="BG206" si="192">SUM(V206,X206,Z206,AC206,AK206,AS206)</f>
        <v>0</v>
      </c>
      <c r="BH206" s="959">
        <f t="shared" ref="BH206" si="193">SUM(W206,AG206,AX206)</f>
        <v>0</v>
      </c>
      <c r="BI206" s="959">
        <f t="shared" ref="BI206" si="194">SUM(Y206,AH206,AO206,AY206)</f>
        <v>0</v>
      </c>
      <c r="BJ206" s="959">
        <f t="shared" ref="BJ206" si="195">SUM(AA206,AP206,AZ206)</f>
        <v>0</v>
      </c>
      <c r="BK206" s="977">
        <f t="shared" ref="BK206" si="196">SUM(BH206:BJ206)</f>
        <v>0</v>
      </c>
      <c r="BL206" s="55" t="s">
        <v>1748</v>
      </c>
    </row>
    <row r="207" spans="1:66" s="400" customFormat="1" ht="17.100000000000001" customHeight="1">
      <c r="A207" s="457" t="s">
        <v>2654</v>
      </c>
      <c r="B207" s="53" t="s">
        <v>8</v>
      </c>
      <c r="C207" s="53" t="s">
        <v>8</v>
      </c>
      <c r="D207" s="53" t="s">
        <v>2669</v>
      </c>
      <c r="E207" s="53" t="s">
        <v>2424</v>
      </c>
      <c r="F207" s="53" t="s">
        <v>2670</v>
      </c>
      <c r="G207" s="71">
        <v>35125</v>
      </c>
      <c r="H207" s="50" t="s">
        <v>2789</v>
      </c>
      <c r="I207" s="978">
        <v>16067</v>
      </c>
      <c r="J207" s="979">
        <v>21547</v>
      </c>
      <c r="K207" s="980" t="s">
        <v>2671</v>
      </c>
      <c r="L207" s="981" t="s">
        <v>2672</v>
      </c>
      <c r="M207" s="57">
        <v>4</v>
      </c>
      <c r="N207" s="58">
        <v>1</v>
      </c>
      <c r="O207" s="59">
        <v>67</v>
      </c>
      <c r="P207" s="982">
        <v>1</v>
      </c>
      <c r="Q207" s="68">
        <v>3</v>
      </c>
      <c r="R207" s="68">
        <v>1</v>
      </c>
      <c r="S207" s="68">
        <v>12</v>
      </c>
      <c r="T207" s="68">
        <v>2</v>
      </c>
      <c r="U207" s="983">
        <v>11</v>
      </c>
      <c r="V207" s="982">
        <v>0</v>
      </c>
      <c r="W207" s="68">
        <v>0</v>
      </c>
      <c r="X207" s="68">
        <v>0</v>
      </c>
      <c r="Y207" s="68">
        <v>0</v>
      </c>
      <c r="Z207" s="68">
        <v>1</v>
      </c>
      <c r="AA207" s="983">
        <v>4</v>
      </c>
      <c r="AB207" s="70">
        <v>0</v>
      </c>
      <c r="AC207" s="68">
        <v>0</v>
      </c>
      <c r="AD207" s="68">
        <v>0</v>
      </c>
      <c r="AE207" s="68">
        <v>0</v>
      </c>
      <c r="AF207" s="68">
        <f t="shared" ref="AF207:AF208" si="197">SUM(AD207:AE207)</f>
        <v>0</v>
      </c>
      <c r="AG207" s="68">
        <v>0</v>
      </c>
      <c r="AH207" s="68">
        <v>0</v>
      </c>
      <c r="AI207" s="69">
        <f t="shared" ref="AI207:AI208" si="198">SUM(AG207:AH207)</f>
        <v>0</v>
      </c>
      <c r="AJ207" s="70">
        <v>0</v>
      </c>
      <c r="AK207" s="68">
        <v>0</v>
      </c>
      <c r="AL207" s="68">
        <v>0</v>
      </c>
      <c r="AM207" s="68">
        <v>0</v>
      </c>
      <c r="AN207" s="61">
        <f>SUM(AL207:AM207)</f>
        <v>0</v>
      </c>
      <c r="AO207" s="61">
        <v>0</v>
      </c>
      <c r="AP207" s="61">
        <v>0</v>
      </c>
      <c r="AQ207" s="62">
        <f t="shared" si="173"/>
        <v>0</v>
      </c>
      <c r="AR207" s="972">
        <v>0</v>
      </c>
      <c r="AS207" s="973">
        <v>0</v>
      </c>
      <c r="AT207" s="68">
        <v>0</v>
      </c>
      <c r="AU207" s="68">
        <v>0</v>
      </c>
      <c r="AV207" s="68">
        <v>0</v>
      </c>
      <c r="AW207" s="973">
        <f t="shared" si="174"/>
        <v>0</v>
      </c>
      <c r="AX207" s="973">
        <v>0</v>
      </c>
      <c r="AY207" s="973">
        <v>0</v>
      </c>
      <c r="AZ207" s="973">
        <v>0</v>
      </c>
      <c r="BA207" s="957">
        <f t="shared" si="175"/>
        <v>0</v>
      </c>
      <c r="BB207" s="984">
        <f t="shared" si="176"/>
        <v>4</v>
      </c>
      <c r="BC207" s="985">
        <f>SUM(Q207,AD207,AT207)</f>
        <v>3</v>
      </c>
      <c r="BD207" s="985">
        <f>SUM(S207,AE207,AL207,AU207)</f>
        <v>12</v>
      </c>
      <c r="BE207" s="985">
        <f>SUM(U207,AM207,AV207)</f>
        <v>11</v>
      </c>
      <c r="BF207" s="985">
        <f>SUM(BC207:BE207)</f>
        <v>26</v>
      </c>
      <c r="BG207" s="985">
        <f>SUM(V207,X207,Z207,AC207,AK207,AS207)</f>
        <v>1</v>
      </c>
      <c r="BH207" s="985">
        <f>SUM(W207,AG207,AX207)</f>
        <v>0</v>
      </c>
      <c r="BI207" s="985">
        <f>SUM(Y207,AH207,AO207,AY207)</f>
        <v>0</v>
      </c>
      <c r="BJ207" s="985">
        <f>SUM(AA207,AP207,AZ207)</f>
        <v>4</v>
      </c>
      <c r="BK207" s="985">
        <f>SUM(BH207:BJ207)</f>
        <v>4</v>
      </c>
      <c r="BL207" s="55"/>
    </row>
    <row r="208" spans="1:66" s="400" customFormat="1" ht="17.100000000000001" customHeight="1">
      <c r="A208" s="457" t="s">
        <v>2654</v>
      </c>
      <c r="B208" s="53" t="s">
        <v>8</v>
      </c>
      <c r="C208" s="53" t="s">
        <v>8</v>
      </c>
      <c r="D208" s="53" t="s">
        <v>2669</v>
      </c>
      <c r="E208" s="53" t="s">
        <v>2424</v>
      </c>
      <c r="F208" s="53" t="s">
        <v>2673</v>
      </c>
      <c r="G208" s="71">
        <v>39326</v>
      </c>
      <c r="H208" s="50" t="s">
        <v>2674</v>
      </c>
      <c r="I208" s="986">
        <v>12502</v>
      </c>
      <c r="J208" s="732">
        <v>21562</v>
      </c>
      <c r="K208" s="458" t="s">
        <v>2675</v>
      </c>
      <c r="L208" s="861" t="s">
        <v>2676</v>
      </c>
      <c r="M208" s="987">
        <v>4</v>
      </c>
      <c r="N208" s="65">
        <v>1</v>
      </c>
      <c r="O208" s="988">
        <v>67</v>
      </c>
      <c r="P208" s="982">
        <v>2</v>
      </c>
      <c r="Q208" s="68">
        <v>21</v>
      </c>
      <c r="R208" s="68">
        <v>1</v>
      </c>
      <c r="S208" s="68">
        <v>15</v>
      </c>
      <c r="T208" s="68">
        <v>1</v>
      </c>
      <c r="U208" s="983">
        <v>17</v>
      </c>
      <c r="V208" s="67">
        <v>0</v>
      </c>
      <c r="W208" s="68">
        <v>0</v>
      </c>
      <c r="X208" s="68">
        <v>0</v>
      </c>
      <c r="Y208" s="68">
        <v>0</v>
      </c>
      <c r="Z208" s="68">
        <v>0</v>
      </c>
      <c r="AA208" s="69">
        <v>0</v>
      </c>
      <c r="AB208" s="70">
        <v>0</v>
      </c>
      <c r="AC208" s="68">
        <v>0</v>
      </c>
      <c r="AD208" s="68">
        <v>0</v>
      </c>
      <c r="AE208" s="68">
        <v>0</v>
      </c>
      <c r="AF208" s="68">
        <f t="shared" si="197"/>
        <v>0</v>
      </c>
      <c r="AG208" s="68">
        <v>0</v>
      </c>
      <c r="AH208" s="68">
        <v>0</v>
      </c>
      <c r="AI208" s="69">
        <f t="shared" si="198"/>
        <v>0</v>
      </c>
      <c r="AJ208" s="989">
        <v>0</v>
      </c>
      <c r="AK208" s="68">
        <v>1</v>
      </c>
      <c r="AL208" s="68">
        <v>0</v>
      </c>
      <c r="AM208" s="68">
        <v>0</v>
      </c>
      <c r="AN208" s="68">
        <f t="shared" ref="AN208" si="199">SUM(AL208:AM208)</f>
        <v>0</v>
      </c>
      <c r="AO208" s="68">
        <v>2</v>
      </c>
      <c r="AP208" s="68">
        <v>2</v>
      </c>
      <c r="AQ208" s="983">
        <f t="shared" ref="AQ208" si="200">SUM(AO208:AP208)</f>
        <v>4</v>
      </c>
      <c r="AR208" s="990">
        <v>0</v>
      </c>
      <c r="AS208" s="973">
        <v>0</v>
      </c>
      <c r="AT208" s="68">
        <v>0</v>
      </c>
      <c r="AU208" s="68">
        <v>0</v>
      </c>
      <c r="AV208" s="68">
        <v>0</v>
      </c>
      <c r="AW208" s="973">
        <f t="shared" si="174"/>
        <v>0</v>
      </c>
      <c r="AX208" s="973">
        <v>0</v>
      </c>
      <c r="AY208" s="973">
        <v>0</v>
      </c>
      <c r="AZ208" s="973">
        <v>0</v>
      </c>
      <c r="BA208" s="991">
        <f t="shared" si="175"/>
        <v>0</v>
      </c>
      <c r="BB208" s="984">
        <f t="shared" si="176"/>
        <v>4</v>
      </c>
      <c r="BC208" s="985">
        <f>SUM(Q208,AD208,AT208)</f>
        <v>21</v>
      </c>
      <c r="BD208" s="985">
        <f>SUM(S208,AE208,AL208,AU208)</f>
        <v>15</v>
      </c>
      <c r="BE208" s="985">
        <f>SUM(U208,AM208,AV208)</f>
        <v>17</v>
      </c>
      <c r="BF208" s="985">
        <f>SUM(BC208:BE208)</f>
        <v>53</v>
      </c>
      <c r="BG208" s="985">
        <f>SUM(V208,X208,Z208,AC208,AK208,AS208)</f>
        <v>1</v>
      </c>
      <c r="BH208" s="985">
        <f>SUM(W208,AG208,AX208)</f>
        <v>0</v>
      </c>
      <c r="BI208" s="985">
        <f>SUM(Y208,AH208,AO208,AY208)</f>
        <v>2</v>
      </c>
      <c r="BJ208" s="985">
        <f>SUM(AA208,AP208,AZ208)</f>
        <v>2</v>
      </c>
      <c r="BK208" s="985">
        <f>SUM(BH208:BJ208)</f>
        <v>4</v>
      </c>
      <c r="BL208" s="55"/>
    </row>
    <row r="209" spans="1:64" s="400" customFormat="1" ht="17.100000000000001" customHeight="1">
      <c r="A209" s="761" t="s">
        <v>2654</v>
      </c>
      <c r="B209" s="55" t="s">
        <v>8</v>
      </c>
      <c r="C209" s="55" t="s">
        <v>8</v>
      </c>
      <c r="D209" s="53" t="s">
        <v>1802</v>
      </c>
      <c r="E209" s="53" t="s">
        <v>4</v>
      </c>
      <c r="F209" s="317" t="s">
        <v>1788</v>
      </c>
      <c r="G209" s="130">
        <v>34759</v>
      </c>
      <c r="H209" s="154" t="s">
        <v>1035</v>
      </c>
      <c r="I209" s="760">
        <v>14321</v>
      </c>
      <c r="J209" s="719">
        <v>21560</v>
      </c>
      <c r="K209" s="55" t="s">
        <v>1789</v>
      </c>
      <c r="L209" s="56" t="s">
        <v>1790</v>
      </c>
      <c r="M209" s="1230">
        <v>1</v>
      </c>
      <c r="N209" s="1228">
        <v>0</v>
      </c>
      <c r="O209" s="1229">
        <v>19</v>
      </c>
      <c r="P209" s="992"/>
      <c r="Q209" s="68"/>
      <c r="R209" s="68"/>
      <c r="S209" s="68"/>
      <c r="T209" s="68"/>
      <c r="U209" s="69"/>
      <c r="V209" s="992"/>
      <c r="W209" s="68"/>
      <c r="X209" s="68"/>
      <c r="Y209" s="68"/>
      <c r="Z209" s="68"/>
      <c r="AA209" s="787"/>
      <c r="AB209" s="992"/>
      <c r="AC209" s="68"/>
      <c r="AD209" s="68"/>
      <c r="AE209" s="68"/>
      <c r="AF209" s="68"/>
      <c r="AG209" s="68"/>
      <c r="AH209" s="68"/>
      <c r="AI209" s="787"/>
      <c r="AJ209" s="992"/>
      <c r="AK209" s="68"/>
      <c r="AL209" s="68"/>
      <c r="AM209" s="68"/>
      <c r="AN209" s="68"/>
      <c r="AO209" s="68"/>
      <c r="AP209" s="68"/>
      <c r="AQ209" s="787"/>
      <c r="AR209" s="990">
        <v>0</v>
      </c>
      <c r="AS209" s="973">
        <v>0</v>
      </c>
      <c r="AT209" s="68">
        <v>0</v>
      </c>
      <c r="AU209" s="68">
        <v>0</v>
      </c>
      <c r="AV209" s="68">
        <v>0</v>
      </c>
      <c r="AW209" s="973">
        <f t="shared" si="174"/>
        <v>0</v>
      </c>
      <c r="AX209" s="973"/>
      <c r="AY209" s="973"/>
      <c r="AZ209" s="973"/>
      <c r="BA209" s="993"/>
      <c r="BB209" s="994"/>
      <c r="BC209" s="985"/>
      <c r="BD209" s="985"/>
      <c r="BE209" s="985"/>
      <c r="BF209" s="985"/>
      <c r="BG209" s="985"/>
      <c r="BH209" s="985"/>
      <c r="BI209" s="985"/>
      <c r="BJ209" s="985"/>
      <c r="BK209" s="985"/>
      <c r="BL209" s="55" t="s">
        <v>1748</v>
      </c>
    </row>
    <row r="210" spans="1:64" s="400" customFormat="1" ht="17.100000000000001" customHeight="1">
      <c r="A210" s="457" t="s">
        <v>2654</v>
      </c>
      <c r="B210" s="53" t="s">
        <v>8</v>
      </c>
      <c r="C210" s="53" t="s">
        <v>8</v>
      </c>
      <c r="D210" s="53" t="s">
        <v>2677</v>
      </c>
      <c r="E210" s="53" t="s">
        <v>2424</v>
      </c>
      <c r="F210" s="317" t="s">
        <v>2678</v>
      </c>
      <c r="G210" s="130">
        <v>38047</v>
      </c>
      <c r="H210" s="154" t="s">
        <v>1805</v>
      </c>
      <c r="I210" s="760">
        <v>10147</v>
      </c>
      <c r="J210" s="719">
        <v>21588</v>
      </c>
      <c r="K210" s="55" t="s">
        <v>1791</v>
      </c>
      <c r="L210" s="54" t="s">
        <v>989</v>
      </c>
      <c r="M210" s="1231">
        <v>2</v>
      </c>
      <c r="N210" s="1226">
        <v>1</v>
      </c>
      <c r="O210" s="1232">
        <v>36</v>
      </c>
      <c r="P210" s="995">
        <v>0</v>
      </c>
      <c r="Q210" s="68">
        <v>0</v>
      </c>
      <c r="R210" s="68">
        <v>1</v>
      </c>
      <c r="S210" s="68">
        <v>1</v>
      </c>
      <c r="T210" s="68">
        <v>1</v>
      </c>
      <c r="U210" s="62">
        <v>6</v>
      </c>
      <c r="V210" s="67">
        <v>0</v>
      </c>
      <c r="W210" s="68">
        <v>0</v>
      </c>
      <c r="X210" s="68">
        <v>0</v>
      </c>
      <c r="Y210" s="68">
        <v>0</v>
      </c>
      <c r="Z210" s="68">
        <v>0</v>
      </c>
      <c r="AA210" s="69">
        <v>0</v>
      </c>
      <c r="AB210" s="70">
        <v>0</v>
      </c>
      <c r="AC210" s="68">
        <v>0</v>
      </c>
      <c r="AD210" s="68">
        <v>0</v>
      </c>
      <c r="AE210" s="68">
        <v>0</v>
      </c>
      <c r="AF210" s="68">
        <f t="shared" ref="AF210" si="201">SUM(AD210:AE210)</f>
        <v>0</v>
      </c>
      <c r="AG210" s="68">
        <v>0</v>
      </c>
      <c r="AH210" s="68">
        <v>0</v>
      </c>
      <c r="AI210" s="69">
        <f t="shared" ref="AI210" si="202">SUM(AG210:AH210)</f>
        <v>0</v>
      </c>
      <c r="AJ210" s="995">
        <v>0</v>
      </c>
      <c r="AK210" s="68">
        <v>1</v>
      </c>
      <c r="AL210" s="68">
        <v>0</v>
      </c>
      <c r="AM210" s="68">
        <v>0</v>
      </c>
      <c r="AN210" s="68">
        <f>SUM(AL210:AM210)</f>
        <v>0</v>
      </c>
      <c r="AO210" s="68">
        <v>0</v>
      </c>
      <c r="AP210" s="68">
        <v>4</v>
      </c>
      <c r="AQ210" s="69">
        <v>4</v>
      </c>
      <c r="AR210" s="990"/>
      <c r="AS210" s="973"/>
      <c r="AT210" s="68"/>
      <c r="AU210" s="68"/>
      <c r="AV210" s="68"/>
      <c r="AW210" s="973">
        <f>SUM(AT210:AV210)</f>
        <v>0</v>
      </c>
      <c r="AX210" s="973"/>
      <c r="AY210" s="973"/>
      <c r="AZ210" s="973"/>
      <c r="BA210" s="974">
        <f>SUM(AX210:AZ210)</f>
        <v>0</v>
      </c>
      <c r="BB210" s="996">
        <f>SUM(P210,R210,T210,AB210,AJ210,AR210)</f>
        <v>2</v>
      </c>
      <c r="BC210" s="985">
        <f t="shared" ref="BC210" si="203">SUM(Q210,AD210,AT210)</f>
        <v>0</v>
      </c>
      <c r="BD210" s="985">
        <f t="shared" ref="BD210" si="204">SUM(S210,AE210,AL210,AU210)</f>
        <v>1</v>
      </c>
      <c r="BE210" s="985">
        <f>SUM(U210,AM210,AV210)</f>
        <v>6</v>
      </c>
      <c r="BF210" s="985">
        <f t="shared" ref="BF210" si="205">SUM(BC210:BE210)</f>
        <v>7</v>
      </c>
      <c r="BG210" s="985">
        <f t="shared" ref="BG210" si="206">SUM(V210,X210,Z210,AC210,AK210,AS210)</f>
        <v>1</v>
      </c>
      <c r="BH210" s="985">
        <f t="shared" ref="BH210" si="207">SUM(W210,AG210,AX210)</f>
        <v>0</v>
      </c>
      <c r="BI210" s="985">
        <f t="shared" ref="BI210" si="208">SUM(Y210,AH210,AO210,AY210)</f>
        <v>0</v>
      </c>
      <c r="BJ210" s="985">
        <v>4</v>
      </c>
      <c r="BK210" s="985">
        <f t="shared" ref="BK210" si="209">SUM(BH210:BJ210)</f>
        <v>4</v>
      </c>
      <c r="BL210" s="55"/>
    </row>
    <row r="211" spans="1:64" s="400" customFormat="1" ht="17.100000000000001" customHeight="1">
      <c r="A211" s="997" t="s">
        <v>1529</v>
      </c>
      <c r="B211" s="998" t="s">
        <v>8</v>
      </c>
      <c r="C211" s="998" t="s">
        <v>8</v>
      </c>
      <c r="D211" s="998" t="s">
        <v>1890</v>
      </c>
      <c r="E211" s="998" t="s">
        <v>4</v>
      </c>
      <c r="F211" s="999" t="s">
        <v>1792</v>
      </c>
      <c r="G211" s="130">
        <v>34759</v>
      </c>
      <c r="H211" s="154" t="s">
        <v>2679</v>
      </c>
      <c r="I211" s="760">
        <v>11883</v>
      </c>
      <c r="J211" s="719">
        <v>21541</v>
      </c>
      <c r="K211" s="55" t="s">
        <v>1803</v>
      </c>
      <c r="L211" s="54" t="s">
        <v>1016</v>
      </c>
      <c r="M211" s="1243">
        <v>3</v>
      </c>
      <c r="N211" s="395">
        <v>1</v>
      </c>
      <c r="O211" s="774">
        <v>48</v>
      </c>
      <c r="P211" s="982">
        <v>0</v>
      </c>
      <c r="Q211" s="68">
        <v>0</v>
      </c>
      <c r="R211" s="68">
        <v>0</v>
      </c>
      <c r="S211" s="68">
        <v>0</v>
      </c>
      <c r="T211" s="68">
        <v>0</v>
      </c>
      <c r="U211" s="62">
        <v>0</v>
      </c>
      <c r="V211" s="982">
        <v>0</v>
      </c>
      <c r="W211" s="68">
        <v>0</v>
      </c>
      <c r="X211" s="68">
        <v>0</v>
      </c>
      <c r="Y211" s="68">
        <v>0</v>
      </c>
      <c r="Z211" s="68">
        <v>0</v>
      </c>
      <c r="AA211" s="62">
        <v>0</v>
      </c>
      <c r="AB211" s="982">
        <v>0</v>
      </c>
      <c r="AC211" s="68">
        <v>0</v>
      </c>
      <c r="AD211" s="68">
        <v>0</v>
      </c>
      <c r="AE211" s="68">
        <v>0</v>
      </c>
      <c r="AF211" s="68">
        <f>SUM(AD211:AE211)</f>
        <v>0</v>
      </c>
      <c r="AG211" s="68">
        <v>0</v>
      </c>
      <c r="AH211" s="68">
        <v>0</v>
      </c>
      <c r="AI211" s="62">
        <f>SUM(AG211:AH211)</f>
        <v>0</v>
      </c>
      <c r="AJ211" s="982">
        <v>0</v>
      </c>
      <c r="AK211" s="68">
        <v>0</v>
      </c>
      <c r="AL211" s="68">
        <v>0</v>
      </c>
      <c r="AM211" s="68">
        <v>0</v>
      </c>
      <c r="AN211" s="68">
        <f>SUM(AL211:AM211)</f>
        <v>0</v>
      </c>
      <c r="AO211" s="68">
        <v>0</v>
      </c>
      <c r="AP211" s="68">
        <v>0</v>
      </c>
      <c r="AQ211" s="62">
        <f>SUM(AO211:AP211)</f>
        <v>0</v>
      </c>
      <c r="AR211" s="1000">
        <v>0</v>
      </c>
      <c r="AS211" s="973">
        <v>0</v>
      </c>
      <c r="AT211" s="68">
        <v>0</v>
      </c>
      <c r="AU211" s="68">
        <v>0</v>
      </c>
      <c r="AV211" s="68">
        <v>0</v>
      </c>
      <c r="AW211" s="973">
        <f t="shared" si="174"/>
        <v>0</v>
      </c>
      <c r="AX211" s="973">
        <v>0</v>
      </c>
      <c r="AY211" s="973">
        <v>0</v>
      </c>
      <c r="AZ211" s="973">
        <v>0</v>
      </c>
      <c r="BA211" s="957">
        <f>SUM(AX211:AZ211)</f>
        <v>0</v>
      </c>
      <c r="BB211" s="984">
        <f>SUM(P211,R211,T211,AB211,AJ211,AR211)</f>
        <v>0</v>
      </c>
      <c r="BC211" s="985">
        <f>SUM(Q211,AD211,AT211)</f>
        <v>0</v>
      </c>
      <c r="BD211" s="985">
        <f>SUM(S211,AE211,AL211,AU211)</f>
        <v>0</v>
      </c>
      <c r="BE211" s="985">
        <f>SUM(U211,AM211,AV211)</f>
        <v>0</v>
      </c>
      <c r="BF211" s="985">
        <f>SUM(BC211:BE211)</f>
        <v>0</v>
      </c>
      <c r="BG211" s="985">
        <f>SUM(V211,X211,Z211,AC211,AK211,AS211)</f>
        <v>0</v>
      </c>
      <c r="BH211" s="985">
        <f>SUM(W211,AG211,AX211)</f>
        <v>0</v>
      </c>
      <c r="BI211" s="985">
        <f>SUM(Y211,AH211,AO211,AY211)</f>
        <v>0</v>
      </c>
      <c r="BJ211" s="985">
        <f>SUM(AA211,AP211,AZ211)</f>
        <v>0</v>
      </c>
      <c r="BK211" s="985">
        <f>SUM(BH211:BJ211)</f>
        <v>0</v>
      </c>
      <c r="BL211" s="55" t="s">
        <v>1748</v>
      </c>
    </row>
    <row r="212" spans="1:64" s="400" customFormat="1" ht="17.100000000000001" customHeight="1">
      <c r="A212" s="457" t="s">
        <v>2680</v>
      </c>
      <c r="B212" s="53" t="s">
        <v>8</v>
      </c>
      <c r="C212" s="53" t="s">
        <v>8</v>
      </c>
      <c r="D212" s="53" t="s">
        <v>2681</v>
      </c>
      <c r="E212" s="53" t="s">
        <v>2424</v>
      </c>
      <c r="F212" s="317" t="s">
        <v>2682</v>
      </c>
      <c r="G212" s="130">
        <v>31116</v>
      </c>
      <c r="H212" s="154" t="s">
        <v>3628</v>
      </c>
      <c r="I212" s="760">
        <v>12389</v>
      </c>
      <c r="J212" s="719">
        <v>21520</v>
      </c>
      <c r="K212" s="55" t="s">
        <v>2683</v>
      </c>
      <c r="L212" s="56" t="s">
        <v>2684</v>
      </c>
      <c r="M212" s="1244">
        <v>1</v>
      </c>
      <c r="N212" s="395">
        <v>0</v>
      </c>
      <c r="O212" s="396">
        <v>19</v>
      </c>
      <c r="P212" s="982">
        <v>0</v>
      </c>
      <c r="Q212" s="68">
        <v>0</v>
      </c>
      <c r="R212" s="68">
        <v>0</v>
      </c>
      <c r="S212" s="68">
        <v>0</v>
      </c>
      <c r="T212" s="68">
        <v>0</v>
      </c>
      <c r="U212" s="62">
        <v>0</v>
      </c>
      <c r="V212" s="982">
        <v>0</v>
      </c>
      <c r="W212" s="68">
        <v>0</v>
      </c>
      <c r="X212" s="68">
        <v>0</v>
      </c>
      <c r="Y212" s="68">
        <v>0</v>
      </c>
      <c r="Z212" s="68">
        <v>0</v>
      </c>
      <c r="AA212" s="62">
        <v>0</v>
      </c>
      <c r="AB212" s="982">
        <v>0</v>
      </c>
      <c r="AC212" s="68">
        <v>0</v>
      </c>
      <c r="AD212" s="68">
        <v>0</v>
      </c>
      <c r="AE212" s="68">
        <v>0</v>
      </c>
      <c r="AF212" s="68">
        <f>SUM(AD212:AE212)</f>
        <v>0</v>
      </c>
      <c r="AG212" s="68">
        <v>0</v>
      </c>
      <c r="AH212" s="68">
        <v>0</v>
      </c>
      <c r="AI212" s="62">
        <f>SUM(AG212:AH212)</f>
        <v>0</v>
      </c>
      <c r="AJ212" s="995">
        <v>0</v>
      </c>
      <c r="AK212" s="68">
        <v>0</v>
      </c>
      <c r="AL212" s="68">
        <v>2</v>
      </c>
      <c r="AM212" s="68">
        <v>1</v>
      </c>
      <c r="AN212" s="68">
        <f>SUM(AL212:AM212)</f>
        <v>3</v>
      </c>
      <c r="AO212" s="68">
        <v>0</v>
      </c>
      <c r="AP212" s="68">
        <v>0</v>
      </c>
      <c r="AQ212" s="69">
        <f>SUM(AO212:AP212)</f>
        <v>0</v>
      </c>
      <c r="AR212" s="1000">
        <v>0</v>
      </c>
      <c r="AS212" s="973">
        <v>0</v>
      </c>
      <c r="AT212" s="68">
        <v>0</v>
      </c>
      <c r="AU212" s="68">
        <v>0</v>
      </c>
      <c r="AV212" s="68">
        <v>0</v>
      </c>
      <c r="AW212" s="973">
        <f t="shared" si="174"/>
        <v>0</v>
      </c>
      <c r="AX212" s="973">
        <v>0</v>
      </c>
      <c r="AY212" s="973">
        <v>0</v>
      </c>
      <c r="AZ212" s="973">
        <v>0</v>
      </c>
      <c r="BA212" s="974">
        <f>SUM(AX212:AZ212)</f>
        <v>0</v>
      </c>
      <c r="BB212" s="1001">
        <v>1</v>
      </c>
      <c r="BC212" s="985">
        <f t="shared" ref="BC212:BC218" si="210">SUM(Q212,AD212,AT212)</f>
        <v>0</v>
      </c>
      <c r="BD212" s="985">
        <f t="shared" ref="BD212:BD218" si="211">SUM(S212,AE212,AL212,AU212)</f>
        <v>2</v>
      </c>
      <c r="BE212" s="985">
        <f t="shared" ref="BE212" si="212">SUM(U212,AM212,AV212)</f>
        <v>1</v>
      </c>
      <c r="BF212" s="985">
        <f t="shared" ref="BF212:BF218" si="213">SUM(BC212:BE212)</f>
        <v>3</v>
      </c>
      <c r="BG212" s="985">
        <f t="shared" ref="BG212:BG218" si="214">SUM(V212,X212,Z212,AC212,AK212,AS212)</f>
        <v>0</v>
      </c>
      <c r="BH212" s="985">
        <f t="shared" ref="BH212:BH218" si="215">SUM(W212,AG212,AX212)</f>
        <v>0</v>
      </c>
      <c r="BI212" s="985">
        <f t="shared" ref="BI212:BI218" si="216">SUM(Y212,AH212,AO212,AY212)</f>
        <v>0</v>
      </c>
      <c r="BJ212" s="985">
        <f t="shared" ref="BJ212:BJ218" si="217">SUM(AA212,AP212,AZ212)</f>
        <v>0</v>
      </c>
      <c r="BK212" s="985">
        <f t="shared" ref="BK212:BK218" si="218">SUM(BH212:BJ212)</f>
        <v>0</v>
      </c>
      <c r="BL212" s="55"/>
    </row>
    <row r="213" spans="1:64" s="400" customFormat="1" ht="17.100000000000001" customHeight="1">
      <c r="A213" s="457" t="s">
        <v>1528</v>
      </c>
      <c r="B213" s="55" t="s">
        <v>8</v>
      </c>
      <c r="C213" s="55" t="s">
        <v>8</v>
      </c>
      <c r="D213" s="53" t="s">
        <v>2681</v>
      </c>
      <c r="E213" s="53" t="s">
        <v>2424</v>
      </c>
      <c r="F213" s="317" t="s">
        <v>2685</v>
      </c>
      <c r="G213" s="130">
        <v>36586</v>
      </c>
      <c r="H213" s="154" t="s">
        <v>3629</v>
      </c>
      <c r="I213" s="760">
        <v>11405</v>
      </c>
      <c r="J213" s="719">
        <v>21518</v>
      </c>
      <c r="K213" s="55" t="s">
        <v>2686</v>
      </c>
      <c r="L213" s="54" t="s">
        <v>3630</v>
      </c>
      <c r="M213" s="1243">
        <v>2</v>
      </c>
      <c r="N213" s="395">
        <v>0</v>
      </c>
      <c r="O213" s="774">
        <v>36</v>
      </c>
      <c r="P213" s="982">
        <v>0</v>
      </c>
      <c r="Q213" s="68">
        <v>0</v>
      </c>
      <c r="R213" s="68">
        <v>0</v>
      </c>
      <c r="S213" s="68">
        <v>0</v>
      </c>
      <c r="T213" s="68">
        <v>0</v>
      </c>
      <c r="U213" s="62">
        <v>0</v>
      </c>
      <c r="V213" s="982">
        <v>0</v>
      </c>
      <c r="W213" s="68">
        <v>0</v>
      </c>
      <c r="X213" s="68">
        <v>0</v>
      </c>
      <c r="Y213" s="68">
        <v>0</v>
      </c>
      <c r="Z213" s="68">
        <v>0</v>
      </c>
      <c r="AA213" s="62">
        <v>0</v>
      </c>
      <c r="AB213" s="982">
        <v>0</v>
      </c>
      <c r="AC213" s="68">
        <v>0</v>
      </c>
      <c r="AD213" s="68">
        <v>0</v>
      </c>
      <c r="AE213" s="68">
        <v>0</v>
      </c>
      <c r="AF213" s="68">
        <f>SUM(AD213:AE213)</f>
        <v>0</v>
      </c>
      <c r="AG213" s="68">
        <v>0</v>
      </c>
      <c r="AH213" s="68">
        <v>0</v>
      </c>
      <c r="AI213" s="62">
        <f>SUM(AG213:AH213)</f>
        <v>0</v>
      </c>
      <c r="AJ213" s="982">
        <v>1</v>
      </c>
      <c r="AK213" s="68">
        <v>0</v>
      </c>
      <c r="AL213" s="68">
        <v>0</v>
      </c>
      <c r="AM213" s="68">
        <v>8</v>
      </c>
      <c r="AN213" s="68">
        <f>SUM(AL213:AM213)</f>
        <v>8</v>
      </c>
      <c r="AO213" s="68">
        <v>0</v>
      </c>
      <c r="AP213" s="68">
        <v>0</v>
      </c>
      <c r="AQ213" s="62">
        <f>SUM(AO213:AP213)</f>
        <v>0</v>
      </c>
      <c r="AR213" s="1000">
        <v>0</v>
      </c>
      <c r="AS213" s="973">
        <v>0</v>
      </c>
      <c r="AT213" s="68">
        <v>0</v>
      </c>
      <c r="AU213" s="68">
        <v>0</v>
      </c>
      <c r="AV213" s="68">
        <v>0</v>
      </c>
      <c r="AW213" s="973">
        <f t="shared" si="174"/>
        <v>0</v>
      </c>
      <c r="AX213" s="973">
        <v>0</v>
      </c>
      <c r="AY213" s="973">
        <v>0</v>
      </c>
      <c r="AZ213" s="973">
        <v>0</v>
      </c>
      <c r="BA213" s="957">
        <f>SUM(AX213:AZ213)</f>
        <v>0</v>
      </c>
      <c r="BB213" s="984">
        <f t="shared" ref="BB213:BB218" si="219">SUM(P213,R213,T213,AB213,AJ213,AR213)</f>
        <v>1</v>
      </c>
      <c r="BC213" s="985">
        <f t="shared" si="210"/>
        <v>0</v>
      </c>
      <c r="BD213" s="985">
        <f t="shared" si="211"/>
        <v>0</v>
      </c>
      <c r="BE213" s="985">
        <f>SUM(U213,AM213,AV213)</f>
        <v>8</v>
      </c>
      <c r="BF213" s="985">
        <f t="shared" si="213"/>
        <v>8</v>
      </c>
      <c r="BG213" s="985">
        <f t="shared" si="214"/>
        <v>0</v>
      </c>
      <c r="BH213" s="985">
        <f t="shared" si="215"/>
        <v>0</v>
      </c>
      <c r="BI213" s="985">
        <f t="shared" si="216"/>
        <v>0</v>
      </c>
      <c r="BJ213" s="985">
        <f t="shared" si="217"/>
        <v>0</v>
      </c>
      <c r="BK213" s="985">
        <f t="shared" si="218"/>
        <v>0</v>
      </c>
      <c r="BL213" s="55"/>
    </row>
    <row r="214" spans="1:64" s="400" customFormat="1" ht="17.100000000000001" customHeight="1">
      <c r="A214" s="457" t="s">
        <v>2680</v>
      </c>
      <c r="B214" s="53" t="s">
        <v>8</v>
      </c>
      <c r="C214" s="53" t="s">
        <v>8</v>
      </c>
      <c r="D214" s="53" t="s">
        <v>2687</v>
      </c>
      <c r="E214" s="53" t="s">
        <v>2424</v>
      </c>
      <c r="F214" s="317" t="s">
        <v>2688</v>
      </c>
      <c r="G214" s="130">
        <v>43739</v>
      </c>
      <c r="H214" s="154" t="s">
        <v>3631</v>
      </c>
      <c r="I214" s="760">
        <v>12155</v>
      </c>
      <c r="J214" s="719">
        <v>21591</v>
      </c>
      <c r="K214" s="55" t="s">
        <v>1793</v>
      </c>
      <c r="L214" s="54" t="s">
        <v>1794</v>
      </c>
      <c r="M214" s="1243">
        <v>3</v>
      </c>
      <c r="N214" s="395">
        <v>1</v>
      </c>
      <c r="O214" s="774">
        <v>48</v>
      </c>
      <c r="P214" s="982">
        <v>1</v>
      </c>
      <c r="Q214" s="68">
        <v>9</v>
      </c>
      <c r="R214" s="68">
        <v>1</v>
      </c>
      <c r="S214" s="68">
        <v>12</v>
      </c>
      <c r="T214" s="68">
        <v>1</v>
      </c>
      <c r="U214" s="62">
        <v>15</v>
      </c>
      <c r="V214" s="982">
        <v>0</v>
      </c>
      <c r="W214" s="68">
        <v>0</v>
      </c>
      <c r="X214" s="68">
        <v>0</v>
      </c>
      <c r="Y214" s="68">
        <v>0</v>
      </c>
      <c r="Z214" s="68">
        <v>1</v>
      </c>
      <c r="AA214" s="62">
        <v>3</v>
      </c>
      <c r="AB214" s="982">
        <v>0</v>
      </c>
      <c r="AC214" s="68">
        <v>0</v>
      </c>
      <c r="AD214" s="68">
        <v>0</v>
      </c>
      <c r="AE214" s="68">
        <v>0</v>
      </c>
      <c r="AF214" s="68">
        <f>SUM(AD214:AE214)</f>
        <v>0</v>
      </c>
      <c r="AG214" s="68">
        <v>0</v>
      </c>
      <c r="AH214" s="68">
        <v>0</v>
      </c>
      <c r="AI214" s="62">
        <f>SUM(AG214:AH214)</f>
        <v>0</v>
      </c>
      <c r="AJ214" s="982">
        <v>0</v>
      </c>
      <c r="AK214" s="68">
        <v>0</v>
      </c>
      <c r="AL214" s="68">
        <v>0</v>
      </c>
      <c r="AM214" s="68">
        <v>0</v>
      </c>
      <c r="AN214" s="68">
        <f>SUM(AL214:AM214)</f>
        <v>0</v>
      </c>
      <c r="AO214" s="68">
        <v>0</v>
      </c>
      <c r="AP214" s="68">
        <v>0</v>
      </c>
      <c r="AQ214" s="62">
        <f>SUM(AO214:AP214)</f>
        <v>0</v>
      </c>
      <c r="AR214" s="1000">
        <v>0</v>
      </c>
      <c r="AS214" s="973">
        <v>0</v>
      </c>
      <c r="AT214" s="68">
        <v>0</v>
      </c>
      <c r="AU214" s="68">
        <v>0</v>
      </c>
      <c r="AV214" s="68">
        <v>0</v>
      </c>
      <c r="AW214" s="973">
        <f>SUM(AT214:AV214)</f>
        <v>0</v>
      </c>
      <c r="AX214" s="973">
        <v>0</v>
      </c>
      <c r="AY214" s="973">
        <v>0</v>
      </c>
      <c r="AZ214" s="973">
        <v>0</v>
      </c>
      <c r="BA214" s="957">
        <f>SUM(AX214:AZ214)</f>
        <v>0</v>
      </c>
      <c r="BB214" s="984">
        <f>SUM(P214,R214,T214,AB214,AJ214,AR214)</f>
        <v>3</v>
      </c>
      <c r="BC214" s="985">
        <f>SUM(Q214,AD214,AT214)</f>
        <v>9</v>
      </c>
      <c r="BD214" s="985">
        <f>SUM(S214,AE214,AL214,AU214)</f>
        <v>12</v>
      </c>
      <c r="BE214" s="985">
        <v>15</v>
      </c>
      <c r="BF214" s="985">
        <f>SUM(BC214:BE214)</f>
        <v>36</v>
      </c>
      <c r="BG214" s="985">
        <f>SUM(V214,X214,Z214,AC214,AK214,AS214)</f>
        <v>1</v>
      </c>
      <c r="BH214" s="985">
        <f>SUM(W214,AG214,AX214)</f>
        <v>0</v>
      </c>
      <c r="BI214" s="985">
        <f>SUM(Y214,AH214,AO214,AY214)</f>
        <v>0</v>
      </c>
      <c r="BJ214" s="985">
        <f>SUM(AA214,AP214,AZ214)</f>
        <v>3</v>
      </c>
      <c r="BK214" s="985">
        <f>SUM(BH214:BJ214)</f>
        <v>3</v>
      </c>
      <c r="BL214" s="53"/>
    </row>
    <row r="215" spans="1:64" s="400" customFormat="1" ht="17.100000000000001" customHeight="1">
      <c r="A215" s="457" t="s">
        <v>2680</v>
      </c>
      <c r="B215" s="53" t="s">
        <v>8</v>
      </c>
      <c r="C215" s="53" t="s">
        <v>8</v>
      </c>
      <c r="D215" s="53" t="s">
        <v>2689</v>
      </c>
      <c r="E215" s="53" t="s">
        <v>2424</v>
      </c>
      <c r="F215" s="317" t="s">
        <v>2690</v>
      </c>
      <c r="G215" s="130">
        <v>42430</v>
      </c>
      <c r="H215" s="154" t="s">
        <v>2691</v>
      </c>
      <c r="I215" s="760">
        <v>12861</v>
      </c>
      <c r="J215" s="719">
        <v>21614</v>
      </c>
      <c r="K215" s="55" t="s">
        <v>1011</v>
      </c>
      <c r="L215" s="54" t="s">
        <v>3632</v>
      </c>
      <c r="M215" s="1243">
        <v>5</v>
      </c>
      <c r="N215" s="395">
        <v>0</v>
      </c>
      <c r="O215" s="774">
        <v>84</v>
      </c>
      <c r="P215" s="982">
        <v>1</v>
      </c>
      <c r="Q215" s="68">
        <v>7</v>
      </c>
      <c r="R215" s="68">
        <v>2</v>
      </c>
      <c r="S215" s="68">
        <v>27</v>
      </c>
      <c r="T215" s="68">
        <v>2</v>
      </c>
      <c r="U215" s="62">
        <v>16</v>
      </c>
      <c r="V215" s="982">
        <v>0</v>
      </c>
      <c r="W215" s="68">
        <v>0</v>
      </c>
      <c r="X215" s="68">
        <v>0</v>
      </c>
      <c r="Y215" s="68">
        <v>0</v>
      </c>
      <c r="Z215" s="68">
        <v>0</v>
      </c>
      <c r="AA215" s="62">
        <v>0</v>
      </c>
      <c r="AB215" s="982">
        <v>0</v>
      </c>
      <c r="AC215" s="68">
        <v>0</v>
      </c>
      <c r="AD215" s="68">
        <v>0</v>
      </c>
      <c r="AE215" s="68">
        <v>0</v>
      </c>
      <c r="AF215" s="68">
        <v>0</v>
      </c>
      <c r="AG215" s="68">
        <v>0</v>
      </c>
      <c r="AH215" s="68">
        <v>0</v>
      </c>
      <c r="AI215" s="62">
        <v>0</v>
      </c>
      <c r="AJ215" s="982">
        <v>0</v>
      </c>
      <c r="AK215" s="68">
        <v>0</v>
      </c>
      <c r="AL215" s="68">
        <v>0</v>
      </c>
      <c r="AM215" s="68">
        <v>0</v>
      </c>
      <c r="AN215" s="68">
        <v>0</v>
      </c>
      <c r="AO215" s="68">
        <v>0</v>
      </c>
      <c r="AP215" s="68">
        <v>0</v>
      </c>
      <c r="AQ215" s="62">
        <v>0</v>
      </c>
      <c r="AR215" s="1000">
        <v>0</v>
      </c>
      <c r="AS215" s="973">
        <v>0</v>
      </c>
      <c r="AT215" s="68">
        <v>0</v>
      </c>
      <c r="AU215" s="68">
        <v>0</v>
      </c>
      <c r="AV215" s="68">
        <v>0</v>
      </c>
      <c r="AW215" s="973">
        <f t="shared" si="174"/>
        <v>0</v>
      </c>
      <c r="AX215" s="973">
        <v>0</v>
      </c>
      <c r="AY215" s="973">
        <v>0</v>
      </c>
      <c r="AZ215" s="973">
        <v>0</v>
      </c>
      <c r="BA215" s="957">
        <v>0</v>
      </c>
      <c r="BB215" s="984">
        <f t="shared" si="219"/>
        <v>5</v>
      </c>
      <c r="BC215" s="985">
        <f t="shared" si="210"/>
        <v>7</v>
      </c>
      <c r="BD215" s="985">
        <f t="shared" si="211"/>
        <v>27</v>
      </c>
      <c r="BE215" s="985">
        <f>SUM(U215,AM215,AV215)</f>
        <v>16</v>
      </c>
      <c r="BF215" s="985">
        <f t="shared" si="213"/>
        <v>50</v>
      </c>
      <c r="BG215" s="985">
        <f t="shared" si="214"/>
        <v>0</v>
      </c>
      <c r="BH215" s="985">
        <f t="shared" si="215"/>
        <v>0</v>
      </c>
      <c r="BI215" s="985">
        <f t="shared" si="216"/>
        <v>0</v>
      </c>
      <c r="BJ215" s="985">
        <f t="shared" si="217"/>
        <v>0</v>
      </c>
      <c r="BK215" s="985">
        <f t="shared" si="218"/>
        <v>0</v>
      </c>
      <c r="BL215" s="55"/>
    </row>
    <row r="216" spans="1:64" s="400" customFormat="1" ht="17.100000000000001" customHeight="1">
      <c r="A216" s="457" t="s">
        <v>1529</v>
      </c>
      <c r="B216" s="53" t="s">
        <v>8</v>
      </c>
      <c r="C216" s="53" t="s">
        <v>8</v>
      </c>
      <c r="D216" s="53" t="s">
        <v>1627</v>
      </c>
      <c r="E216" s="53" t="s">
        <v>4</v>
      </c>
      <c r="F216" s="317" t="s">
        <v>1795</v>
      </c>
      <c r="G216" s="130">
        <v>43586</v>
      </c>
      <c r="H216" s="154" t="s">
        <v>1796</v>
      </c>
      <c r="I216" s="760">
        <v>12984</v>
      </c>
      <c r="J216" s="719">
        <v>21610</v>
      </c>
      <c r="K216" s="55" t="s">
        <v>1797</v>
      </c>
      <c r="L216" s="54" t="s">
        <v>1798</v>
      </c>
      <c r="M216" s="1243">
        <v>4</v>
      </c>
      <c r="N216" s="395">
        <v>1</v>
      </c>
      <c r="O216" s="774">
        <v>67</v>
      </c>
      <c r="P216" s="982">
        <v>0</v>
      </c>
      <c r="Q216" s="68">
        <v>0</v>
      </c>
      <c r="R216" s="68">
        <v>1</v>
      </c>
      <c r="S216" s="68">
        <v>9</v>
      </c>
      <c r="T216" s="68">
        <v>2</v>
      </c>
      <c r="U216" s="62">
        <v>20</v>
      </c>
      <c r="V216" s="982">
        <v>0</v>
      </c>
      <c r="W216" s="68">
        <v>0</v>
      </c>
      <c r="X216" s="68">
        <v>0</v>
      </c>
      <c r="Y216" s="68">
        <v>0</v>
      </c>
      <c r="Z216" s="68">
        <v>0</v>
      </c>
      <c r="AA216" s="62">
        <v>0</v>
      </c>
      <c r="AB216" s="982">
        <v>0</v>
      </c>
      <c r="AC216" s="68">
        <v>0</v>
      </c>
      <c r="AD216" s="68">
        <v>0</v>
      </c>
      <c r="AE216" s="68">
        <v>0</v>
      </c>
      <c r="AF216" s="68">
        <f>SUM(AD216:AE216)</f>
        <v>0</v>
      </c>
      <c r="AG216" s="68">
        <v>0</v>
      </c>
      <c r="AH216" s="68">
        <v>0</v>
      </c>
      <c r="AI216" s="62">
        <f>SUM(AG216:AH216)</f>
        <v>0</v>
      </c>
      <c r="AJ216" s="982">
        <v>0</v>
      </c>
      <c r="AK216" s="68">
        <v>1</v>
      </c>
      <c r="AL216" s="68">
        <v>0</v>
      </c>
      <c r="AM216" s="68">
        <v>0</v>
      </c>
      <c r="AN216" s="68">
        <f>SUM(AL216:AM216)</f>
        <v>0</v>
      </c>
      <c r="AO216" s="68">
        <v>0</v>
      </c>
      <c r="AP216" s="68">
        <v>2</v>
      </c>
      <c r="AQ216" s="62">
        <f>SUM(AO216:AP216)</f>
        <v>2</v>
      </c>
      <c r="AR216" s="1000"/>
      <c r="AS216" s="973">
        <v>0</v>
      </c>
      <c r="AT216" s="68">
        <v>0</v>
      </c>
      <c r="AU216" s="68">
        <v>0</v>
      </c>
      <c r="AV216" s="68">
        <v>0</v>
      </c>
      <c r="AW216" s="973">
        <v>0</v>
      </c>
      <c r="AX216" s="973">
        <v>0</v>
      </c>
      <c r="AY216" s="973">
        <v>0</v>
      </c>
      <c r="AZ216" s="973">
        <v>0</v>
      </c>
      <c r="BA216" s="957">
        <v>0</v>
      </c>
      <c r="BB216" s="984">
        <f>SUM(P216,R216,T216,AB216,AJ216,AR216)</f>
        <v>3</v>
      </c>
      <c r="BC216" s="985">
        <f>SUM(Q216,AD216,AT216)</f>
        <v>0</v>
      </c>
      <c r="BD216" s="985">
        <f>SUM(S216,AE216,AL216,AU216)</f>
        <v>9</v>
      </c>
      <c r="BE216" s="985">
        <f>SUM(U216,AM216,AV216)</f>
        <v>20</v>
      </c>
      <c r="BF216" s="985">
        <f>SUM(BC216:BE216)</f>
        <v>29</v>
      </c>
      <c r="BG216" s="985">
        <f>SUM(V216,X216,Z216,AC216,AK216,AS216)</f>
        <v>1</v>
      </c>
      <c r="BH216" s="985">
        <f>SUM(W216,AG216,AX216)</f>
        <v>0</v>
      </c>
      <c r="BI216" s="985">
        <f>SUM(Y216,AH216,AO216,AY216)</f>
        <v>0</v>
      </c>
      <c r="BJ216" s="985">
        <f>SUM(AA216,AP216,AZ216)</f>
        <v>2</v>
      </c>
      <c r="BK216" s="985">
        <f>SUM(BH216:BJ216)</f>
        <v>2</v>
      </c>
      <c r="BL216" s="53"/>
    </row>
    <row r="217" spans="1:64" s="400" customFormat="1" ht="17.100000000000001" customHeight="1">
      <c r="A217" s="457" t="s">
        <v>2680</v>
      </c>
      <c r="B217" s="53" t="s">
        <v>8</v>
      </c>
      <c r="C217" s="53" t="s">
        <v>8</v>
      </c>
      <c r="D217" s="53" t="s">
        <v>2689</v>
      </c>
      <c r="E217" s="53" t="s">
        <v>2424</v>
      </c>
      <c r="F217" s="317" t="s">
        <v>2692</v>
      </c>
      <c r="G217" s="130">
        <v>41030</v>
      </c>
      <c r="H217" s="154" t="s">
        <v>3633</v>
      </c>
      <c r="I217" s="760">
        <v>12021</v>
      </c>
      <c r="J217" s="719">
        <v>21616</v>
      </c>
      <c r="K217" s="55" t="s">
        <v>2693</v>
      </c>
      <c r="L217" s="54" t="s">
        <v>2694</v>
      </c>
      <c r="M217" s="1243">
        <v>4</v>
      </c>
      <c r="N217" s="395">
        <v>0</v>
      </c>
      <c r="O217" s="774">
        <v>67</v>
      </c>
      <c r="P217" s="982">
        <v>1</v>
      </c>
      <c r="Q217" s="68">
        <v>11</v>
      </c>
      <c r="R217" s="68">
        <v>1</v>
      </c>
      <c r="S217" s="68">
        <v>11</v>
      </c>
      <c r="T217" s="68">
        <v>2</v>
      </c>
      <c r="U217" s="62">
        <v>20</v>
      </c>
      <c r="V217" s="67">
        <v>0</v>
      </c>
      <c r="W217" s="68">
        <v>0</v>
      </c>
      <c r="X217" s="68">
        <v>0</v>
      </c>
      <c r="Y217" s="68">
        <v>0</v>
      </c>
      <c r="Z217" s="68">
        <v>0</v>
      </c>
      <c r="AA217" s="69">
        <v>0</v>
      </c>
      <c r="AB217" s="70">
        <v>0</v>
      </c>
      <c r="AC217" s="68">
        <v>0</v>
      </c>
      <c r="AD217" s="68">
        <v>0</v>
      </c>
      <c r="AE217" s="68">
        <v>0</v>
      </c>
      <c r="AF217" s="68">
        <f t="shared" ref="AF217" si="220">SUM(AD217:AE217)</f>
        <v>0</v>
      </c>
      <c r="AG217" s="68">
        <v>0</v>
      </c>
      <c r="AH217" s="68">
        <v>0</v>
      </c>
      <c r="AI217" s="69">
        <f t="shared" ref="AI217" si="221">SUM(AG217:AH217)</f>
        <v>0</v>
      </c>
      <c r="AJ217" s="982">
        <v>0</v>
      </c>
      <c r="AK217" s="68">
        <v>0</v>
      </c>
      <c r="AL217" s="68">
        <v>0</v>
      </c>
      <c r="AM217" s="68">
        <v>0</v>
      </c>
      <c r="AN217" s="68">
        <f>SUM(AL217:AM217)</f>
        <v>0</v>
      </c>
      <c r="AO217" s="68">
        <v>0</v>
      </c>
      <c r="AP217" s="68">
        <v>0</v>
      </c>
      <c r="AQ217" s="62">
        <f>SUM(AO217:AP217)</f>
        <v>0</v>
      </c>
      <c r="AR217" s="1000">
        <v>0</v>
      </c>
      <c r="AS217" s="973">
        <v>0</v>
      </c>
      <c r="AT217" s="68">
        <v>0</v>
      </c>
      <c r="AU217" s="68">
        <v>0</v>
      </c>
      <c r="AV217" s="68">
        <v>0</v>
      </c>
      <c r="AW217" s="973">
        <f t="shared" si="174"/>
        <v>0</v>
      </c>
      <c r="AX217" s="973">
        <v>0</v>
      </c>
      <c r="AY217" s="973">
        <v>0</v>
      </c>
      <c r="AZ217" s="973">
        <v>0</v>
      </c>
      <c r="BA217" s="957">
        <f>SUM(AX217:AZ217)</f>
        <v>0</v>
      </c>
      <c r="BB217" s="984">
        <f t="shared" si="219"/>
        <v>4</v>
      </c>
      <c r="BC217" s="985">
        <f t="shared" si="210"/>
        <v>11</v>
      </c>
      <c r="BD217" s="985">
        <f t="shared" si="211"/>
        <v>11</v>
      </c>
      <c r="BE217" s="985">
        <f>SUM(U217,AM217,AV217)</f>
        <v>20</v>
      </c>
      <c r="BF217" s="985">
        <f t="shared" si="213"/>
        <v>42</v>
      </c>
      <c r="BG217" s="985">
        <f t="shared" si="214"/>
        <v>0</v>
      </c>
      <c r="BH217" s="985">
        <f t="shared" si="215"/>
        <v>0</v>
      </c>
      <c r="BI217" s="985">
        <f t="shared" si="216"/>
        <v>0</v>
      </c>
      <c r="BJ217" s="985">
        <f t="shared" si="217"/>
        <v>0</v>
      </c>
      <c r="BK217" s="985">
        <f t="shared" si="218"/>
        <v>0</v>
      </c>
      <c r="BL217" s="55"/>
    </row>
    <row r="218" spans="1:64" s="400" customFormat="1" ht="17.100000000000001" customHeight="1">
      <c r="A218" s="457" t="s">
        <v>2680</v>
      </c>
      <c r="B218" s="53" t="s">
        <v>8</v>
      </c>
      <c r="C218" s="53" t="s">
        <v>8</v>
      </c>
      <c r="D218" s="53" t="s">
        <v>2695</v>
      </c>
      <c r="E218" s="53" t="s">
        <v>2424</v>
      </c>
      <c r="F218" s="317" t="s">
        <v>2696</v>
      </c>
      <c r="G218" s="130">
        <v>38047</v>
      </c>
      <c r="H218" s="154" t="s">
        <v>2697</v>
      </c>
      <c r="I218" s="760">
        <v>11925</v>
      </c>
      <c r="J218" s="719">
        <v>21605</v>
      </c>
      <c r="K218" s="55" t="s">
        <v>3634</v>
      </c>
      <c r="L218" s="54" t="s">
        <v>2698</v>
      </c>
      <c r="M218" s="1243">
        <v>2</v>
      </c>
      <c r="N218" s="395">
        <v>0</v>
      </c>
      <c r="O218" s="774">
        <v>36</v>
      </c>
      <c r="P218" s="982">
        <v>0</v>
      </c>
      <c r="Q218" s="68">
        <v>0</v>
      </c>
      <c r="R218" s="68">
        <v>0</v>
      </c>
      <c r="S218" s="68">
        <v>0</v>
      </c>
      <c r="T218" s="68">
        <v>0</v>
      </c>
      <c r="U218" s="62">
        <v>0</v>
      </c>
      <c r="V218" s="982">
        <v>0</v>
      </c>
      <c r="W218" s="68">
        <v>0</v>
      </c>
      <c r="X218" s="68">
        <v>0</v>
      </c>
      <c r="Y218" s="68">
        <v>0</v>
      </c>
      <c r="Z218" s="68">
        <v>0</v>
      </c>
      <c r="AA218" s="62">
        <v>0</v>
      </c>
      <c r="AB218" s="982">
        <v>1</v>
      </c>
      <c r="AC218" s="68">
        <v>0</v>
      </c>
      <c r="AD218" s="68">
        <v>2</v>
      </c>
      <c r="AE218" s="68">
        <v>7</v>
      </c>
      <c r="AF218" s="68">
        <f>SUM(AD218:AE218)</f>
        <v>9</v>
      </c>
      <c r="AG218" s="68">
        <v>0</v>
      </c>
      <c r="AH218" s="68">
        <v>0</v>
      </c>
      <c r="AI218" s="62">
        <f>SUM(AG218:AH218)</f>
        <v>0</v>
      </c>
      <c r="AJ218" s="982">
        <v>1</v>
      </c>
      <c r="AK218" s="68">
        <v>0</v>
      </c>
      <c r="AL218" s="68">
        <v>6</v>
      </c>
      <c r="AM218" s="68">
        <v>7</v>
      </c>
      <c r="AN218" s="68">
        <f>SUM(AL218:AM218)</f>
        <v>13</v>
      </c>
      <c r="AO218" s="68">
        <v>0</v>
      </c>
      <c r="AP218" s="68">
        <v>0</v>
      </c>
      <c r="AQ218" s="62">
        <f>SUM(AO218:AP218)</f>
        <v>0</v>
      </c>
      <c r="AR218" s="1000">
        <v>0</v>
      </c>
      <c r="AS218" s="973">
        <v>0</v>
      </c>
      <c r="AT218" s="68">
        <v>0</v>
      </c>
      <c r="AU218" s="68">
        <v>0</v>
      </c>
      <c r="AV218" s="68">
        <v>0</v>
      </c>
      <c r="AW218" s="973">
        <f t="shared" si="174"/>
        <v>0</v>
      </c>
      <c r="AX218" s="973">
        <v>0</v>
      </c>
      <c r="AY218" s="973">
        <v>0</v>
      </c>
      <c r="AZ218" s="973">
        <v>0</v>
      </c>
      <c r="BA218" s="957">
        <f>SUM(AX218:AZ218)</f>
        <v>0</v>
      </c>
      <c r="BB218" s="984">
        <f t="shared" si="219"/>
        <v>2</v>
      </c>
      <c r="BC218" s="985">
        <f t="shared" si="210"/>
        <v>2</v>
      </c>
      <c r="BD218" s="985">
        <f t="shared" si="211"/>
        <v>13</v>
      </c>
      <c r="BE218" s="985">
        <f>SUM(U218,AM218,AV218)</f>
        <v>7</v>
      </c>
      <c r="BF218" s="985">
        <f t="shared" si="213"/>
        <v>22</v>
      </c>
      <c r="BG218" s="985">
        <f t="shared" si="214"/>
        <v>0</v>
      </c>
      <c r="BH218" s="985">
        <f t="shared" si="215"/>
        <v>0</v>
      </c>
      <c r="BI218" s="985">
        <f t="shared" si="216"/>
        <v>0</v>
      </c>
      <c r="BJ218" s="985">
        <f t="shared" si="217"/>
        <v>0</v>
      </c>
      <c r="BK218" s="985">
        <f t="shared" si="218"/>
        <v>0</v>
      </c>
      <c r="BL218" s="53"/>
    </row>
    <row r="219" spans="1:64" s="400" customFormat="1" ht="17.100000000000001" customHeight="1">
      <c r="A219" s="1002" t="s">
        <v>1530</v>
      </c>
      <c r="B219" s="55" t="s">
        <v>8</v>
      </c>
      <c r="C219" s="55" t="s">
        <v>8</v>
      </c>
      <c r="D219" s="53" t="s">
        <v>1822</v>
      </c>
      <c r="E219" s="55" t="s">
        <v>4</v>
      </c>
      <c r="F219" s="1003" t="s">
        <v>1799</v>
      </c>
      <c r="G219" s="130">
        <v>37319</v>
      </c>
      <c r="H219" s="154" t="s">
        <v>2699</v>
      </c>
      <c r="I219" s="760">
        <v>205</v>
      </c>
      <c r="J219" s="719">
        <v>21627</v>
      </c>
      <c r="K219" s="55" t="s">
        <v>1800</v>
      </c>
      <c r="L219" s="56" t="s">
        <v>1801</v>
      </c>
      <c r="M219" s="1244">
        <v>1</v>
      </c>
      <c r="N219" s="395">
        <v>0</v>
      </c>
      <c r="O219" s="396">
        <v>19</v>
      </c>
      <c r="P219" s="995"/>
      <c r="Q219" s="68"/>
      <c r="R219" s="68"/>
      <c r="S219" s="68"/>
      <c r="T219" s="68"/>
      <c r="U219" s="69"/>
      <c r="V219" s="995"/>
      <c r="W219" s="68"/>
      <c r="X219" s="68"/>
      <c r="Y219" s="68"/>
      <c r="Z219" s="68"/>
      <c r="AA219" s="69"/>
      <c r="AB219" s="995"/>
      <c r="AC219" s="68"/>
      <c r="AD219" s="68"/>
      <c r="AE219" s="68"/>
      <c r="AF219" s="68"/>
      <c r="AG219" s="68"/>
      <c r="AH219" s="68"/>
      <c r="AI219" s="69"/>
      <c r="AJ219" s="995"/>
      <c r="AK219" s="68"/>
      <c r="AL219" s="68"/>
      <c r="AM219" s="68"/>
      <c r="AN219" s="68"/>
      <c r="AO219" s="68"/>
      <c r="AP219" s="68"/>
      <c r="AQ219" s="69"/>
      <c r="AR219" s="990"/>
      <c r="AS219" s="973"/>
      <c r="AT219" s="68"/>
      <c r="AU219" s="68"/>
      <c r="AV219" s="68"/>
      <c r="AW219" s="973">
        <f t="shared" si="174"/>
        <v>0</v>
      </c>
      <c r="AX219" s="973"/>
      <c r="AY219" s="973"/>
      <c r="AZ219" s="973"/>
      <c r="BA219" s="974"/>
      <c r="BB219" s="996"/>
      <c r="BC219" s="985"/>
      <c r="BD219" s="985"/>
      <c r="BE219" s="985"/>
      <c r="BF219" s="985"/>
      <c r="BG219" s="985"/>
      <c r="BH219" s="985"/>
      <c r="BI219" s="985"/>
      <c r="BJ219" s="985"/>
      <c r="BK219" s="985"/>
      <c r="BL219" s="55" t="s">
        <v>1748</v>
      </c>
    </row>
    <row r="220" spans="1:64" s="400" customFormat="1" ht="17.100000000000001" customHeight="1">
      <c r="A220" s="457" t="s">
        <v>1971</v>
      </c>
      <c r="B220" s="53" t="s">
        <v>89</v>
      </c>
      <c r="C220" s="53" t="s">
        <v>89</v>
      </c>
      <c r="D220" s="53" t="s">
        <v>1822</v>
      </c>
      <c r="E220" s="53" t="s">
        <v>444</v>
      </c>
      <c r="F220" s="317" t="s">
        <v>2700</v>
      </c>
      <c r="G220" s="798">
        <v>38047</v>
      </c>
      <c r="H220" s="154" t="s">
        <v>3635</v>
      </c>
      <c r="I220" s="760">
        <v>10822</v>
      </c>
      <c r="J220" s="719">
        <v>21656</v>
      </c>
      <c r="K220" s="55" t="s">
        <v>3636</v>
      </c>
      <c r="L220" s="54" t="s">
        <v>3637</v>
      </c>
      <c r="M220" s="1243">
        <v>2</v>
      </c>
      <c r="N220" s="718">
        <v>1</v>
      </c>
      <c r="O220" s="774">
        <v>36</v>
      </c>
      <c r="P220" s="982">
        <v>0</v>
      </c>
      <c r="Q220" s="61">
        <v>0</v>
      </c>
      <c r="R220" s="61">
        <v>1</v>
      </c>
      <c r="S220" s="61">
        <v>12</v>
      </c>
      <c r="T220" s="61">
        <v>1</v>
      </c>
      <c r="U220" s="62">
        <v>15</v>
      </c>
      <c r="V220" s="982">
        <v>0</v>
      </c>
      <c r="W220" s="61">
        <v>0</v>
      </c>
      <c r="X220" s="61">
        <v>0</v>
      </c>
      <c r="Y220" s="61">
        <v>0</v>
      </c>
      <c r="Z220" s="61">
        <v>1</v>
      </c>
      <c r="AA220" s="62">
        <v>4</v>
      </c>
      <c r="AB220" s="982">
        <v>0</v>
      </c>
      <c r="AC220" s="61">
        <v>0</v>
      </c>
      <c r="AD220" s="61">
        <v>0</v>
      </c>
      <c r="AE220" s="61">
        <v>0</v>
      </c>
      <c r="AF220" s="61">
        <v>0</v>
      </c>
      <c r="AG220" s="61">
        <v>0</v>
      </c>
      <c r="AH220" s="61">
        <v>0</v>
      </c>
      <c r="AI220" s="62">
        <f>SUM(AG220:AH220)</f>
        <v>0</v>
      </c>
      <c r="AJ220" s="982">
        <v>0</v>
      </c>
      <c r="AK220" s="61">
        <v>0</v>
      </c>
      <c r="AL220" s="61">
        <v>0</v>
      </c>
      <c r="AM220" s="61">
        <v>0</v>
      </c>
      <c r="AN220" s="61">
        <v>0</v>
      </c>
      <c r="AO220" s="61">
        <v>0</v>
      </c>
      <c r="AP220" s="61">
        <v>0</v>
      </c>
      <c r="AQ220" s="62">
        <v>0</v>
      </c>
      <c r="AR220" s="1000">
        <v>0</v>
      </c>
      <c r="AS220" s="956">
        <v>0</v>
      </c>
      <c r="AT220" s="61">
        <v>0</v>
      </c>
      <c r="AU220" s="61">
        <v>0</v>
      </c>
      <c r="AV220" s="61">
        <v>0</v>
      </c>
      <c r="AW220" s="956">
        <f t="shared" si="174"/>
        <v>0</v>
      </c>
      <c r="AX220" s="956">
        <v>0</v>
      </c>
      <c r="AY220" s="956">
        <v>0</v>
      </c>
      <c r="AZ220" s="956">
        <v>0</v>
      </c>
      <c r="BA220" s="957">
        <v>0</v>
      </c>
      <c r="BB220" s="984">
        <f t="shared" ref="BB220:BB227" si="222">SUM(P220,R220,T220,AB220,AJ220,AR220)</f>
        <v>2</v>
      </c>
      <c r="BC220" s="959">
        <f t="shared" ref="BC220:BC227" si="223">SUM(Q220,AD220,AT220)</f>
        <v>0</v>
      </c>
      <c r="BD220" s="959">
        <f t="shared" ref="BD220:BD227" si="224">SUM(S220,AE220,AL220,AU220)</f>
        <v>12</v>
      </c>
      <c r="BE220" s="959">
        <f t="shared" ref="BE220:BE227" si="225">SUM(U220,AM220,AV220)</f>
        <v>15</v>
      </c>
      <c r="BF220" s="959">
        <f t="shared" ref="BF220:BF227" si="226">SUM(BC220:BE220)</f>
        <v>27</v>
      </c>
      <c r="BG220" s="959">
        <f>SUM(V220,X220,Z220,AC220,AK220,AS220)</f>
        <v>1</v>
      </c>
      <c r="BH220" s="959">
        <f t="shared" ref="BH220:BH227" si="227">SUM(W220,AG220,AX220)</f>
        <v>0</v>
      </c>
      <c r="BI220" s="959">
        <f t="shared" ref="BI220:BI227" si="228">SUM(Y220,AH220,AO220,AY220)</f>
        <v>0</v>
      </c>
      <c r="BJ220" s="985">
        <f t="shared" ref="BJ220:BJ227" si="229">SUM(AA220,AP220,AZ220)</f>
        <v>4</v>
      </c>
      <c r="BK220" s="985">
        <f t="shared" ref="BK220:BK227" si="230">SUM(BH220:BJ220)</f>
        <v>4</v>
      </c>
      <c r="BL220" s="55"/>
    </row>
    <row r="221" spans="1:64" s="400" customFormat="1" ht="17.100000000000001" customHeight="1">
      <c r="A221" s="457" t="s">
        <v>2701</v>
      </c>
      <c r="B221" s="53" t="s">
        <v>8</v>
      </c>
      <c r="C221" s="53" t="s">
        <v>8</v>
      </c>
      <c r="D221" s="53" t="s">
        <v>2702</v>
      </c>
      <c r="E221" s="53" t="s">
        <v>2424</v>
      </c>
      <c r="F221" s="317" t="s">
        <v>2703</v>
      </c>
      <c r="G221" s="130">
        <v>37316</v>
      </c>
      <c r="H221" s="154" t="s">
        <v>3638</v>
      </c>
      <c r="I221" s="760">
        <v>11875</v>
      </c>
      <c r="J221" s="719">
        <v>21669</v>
      </c>
      <c r="K221" s="55" t="s">
        <v>2704</v>
      </c>
      <c r="L221" s="54" t="s">
        <v>3639</v>
      </c>
      <c r="M221" s="1243">
        <v>3</v>
      </c>
      <c r="N221" s="395">
        <v>1</v>
      </c>
      <c r="O221" s="1007">
        <v>48</v>
      </c>
      <c r="P221" s="982">
        <v>1</v>
      </c>
      <c r="Q221" s="68">
        <v>4</v>
      </c>
      <c r="R221" s="68">
        <v>1</v>
      </c>
      <c r="S221" s="68">
        <v>12</v>
      </c>
      <c r="T221" s="68">
        <v>1</v>
      </c>
      <c r="U221" s="983">
        <v>15</v>
      </c>
      <c r="V221" s="982">
        <v>0</v>
      </c>
      <c r="W221" s="68">
        <v>0</v>
      </c>
      <c r="X221" s="68">
        <v>0</v>
      </c>
      <c r="Y221" s="68">
        <v>0</v>
      </c>
      <c r="Z221" s="68">
        <v>0</v>
      </c>
      <c r="AA221" s="983">
        <v>0</v>
      </c>
      <c r="AB221" s="989">
        <v>0</v>
      </c>
      <c r="AC221" s="68">
        <v>0</v>
      </c>
      <c r="AD221" s="68">
        <v>0</v>
      </c>
      <c r="AE221" s="68">
        <v>0</v>
      </c>
      <c r="AF221" s="68">
        <f>SUM(AD221:AE221)</f>
        <v>0</v>
      </c>
      <c r="AG221" s="68">
        <v>0</v>
      </c>
      <c r="AH221" s="68">
        <v>0</v>
      </c>
      <c r="AI221" s="983">
        <f>SUM(AG221:AH221)</f>
        <v>0</v>
      </c>
      <c r="AJ221" s="989">
        <v>0</v>
      </c>
      <c r="AK221" s="68">
        <v>1</v>
      </c>
      <c r="AL221" s="68">
        <v>0</v>
      </c>
      <c r="AM221" s="68">
        <v>0</v>
      </c>
      <c r="AN221" s="68">
        <f>SUM(AL221:AM221)</f>
        <v>0</v>
      </c>
      <c r="AO221" s="68">
        <v>1</v>
      </c>
      <c r="AP221" s="68">
        <v>3</v>
      </c>
      <c r="AQ221" s="62">
        <f>SUM(AO221:AP221)</f>
        <v>4</v>
      </c>
      <c r="AR221" s="1000">
        <v>0</v>
      </c>
      <c r="AS221" s="973">
        <v>0</v>
      </c>
      <c r="AT221" s="68">
        <v>0</v>
      </c>
      <c r="AU221" s="68">
        <v>0</v>
      </c>
      <c r="AV221" s="68">
        <v>0</v>
      </c>
      <c r="AW221" s="973">
        <f>SUM(AT221:AV221)</f>
        <v>0</v>
      </c>
      <c r="AX221" s="973">
        <v>0</v>
      </c>
      <c r="AY221" s="973">
        <v>0</v>
      </c>
      <c r="AZ221" s="973">
        <v>0</v>
      </c>
      <c r="BA221" s="991">
        <f>SUM(AX221:AZ221)</f>
        <v>0</v>
      </c>
      <c r="BB221" s="984">
        <f>SUM(P221,R221,T221,AB221,AJ221,AR221)</f>
        <v>3</v>
      </c>
      <c r="BC221" s="985">
        <f>SUM(Q221,AD221,AT221)</f>
        <v>4</v>
      </c>
      <c r="BD221" s="985">
        <f>SUM(S221,AE221,AL221,AU221)</f>
        <v>12</v>
      </c>
      <c r="BE221" s="985">
        <f>SUM(U221,AM221,AV221)</f>
        <v>15</v>
      </c>
      <c r="BF221" s="985">
        <f>SUM(BC221:BE221)</f>
        <v>31</v>
      </c>
      <c r="BG221" s="985">
        <v>1</v>
      </c>
      <c r="BH221" s="985">
        <f>SUM(W221,AG221,AX221)</f>
        <v>0</v>
      </c>
      <c r="BI221" s="985">
        <f>SUM(Y221,AH221,AO221,AY221)</f>
        <v>1</v>
      </c>
      <c r="BJ221" s="985">
        <f>SUM(AA221,AP221,AZ221)</f>
        <v>3</v>
      </c>
      <c r="BK221" s="985">
        <f>SUM(BH221:BJ221)</f>
        <v>4</v>
      </c>
      <c r="BL221" s="53"/>
    </row>
    <row r="222" spans="1:64" s="400" customFormat="1" ht="17.100000000000001" customHeight="1">
      <c r="A222" s="457" t="s">
        <v>2701</v>
      </c>
      <c r="B222" s="53" t="s">
        <v>8</v>
      </c>
      <c r="C222" s="53" t="s">
        <v>8</v>
      </c>
      <c r="D222" s="53" t="s">
        <v>2702</v>
      </c>
      <c r="E222" s="53" t="s">
        <v>2424</v>
      </c>
      <c r="F222" s="317" t="s">
        <v>2705</v>
      </c>
      <c r="G222" s="130">
        <v>38838</v>
      </c>
      <c r="H222" s="154" t="s">
        <v>2706</v>
      </c>
      <c r="I222" s="760">
        <v>10145</v>
      </c>
      <c r="J222" s="719">
        <v>21662</v>
      </c>
      <c r="K222" s="55" t="s">
        <v>2707</v>
      </c>
      <c r="L222" s="54" t="s">
        <v>2708</v>
      </c>
      <c r="M222" s="1243">
        <v>3</v>
      </c>
      <c r="N222" s="395">
        <v>0</v>
      </c>
      <c r="O222" s="1007">
        <v>48</v>
      </c>
      <c r="P222" s="982">
        <v>1</v>
      </c>
      <c r="Q222" s="68">
        <v>6</v>
      </c>
      <c r="R222" s="68">
        <v>1</v>
      </c>
      <c r="S222" s="68">
        <v>8</v>
      </c>
      <c r="T222" s="68">
        <v>1</v>
      </c>
      <c r="U222" s="983">
        <v>12</v>
      </c>
      <c r="V222" s="982">
        <v>0</v>
      </c>
      <c r="W222" s="68">
        <v>0</v>
      </c>
      <c r="X222" s="68">
        <v>0</v>
      </c>
      <c r="Y222" s="68">
        <v>0</v>
      </c>
      <c r="Z222" s="68">
        <v>0</v>
      </c>
      <c r="AA222" s="983">
        <v>0</v>
      </c>
      <c r="AB222" s="63">
        <v>0</v>
      </c>
      <c r="AC222" s="61">
        <v>0</v>
      </c>
      <c r="AD222" s="61">
        <v>0</v>
      </c>
      <c r="AE222" s="61">
        <v>0</v>
      </c>
      <c r="AF222" s="61">
        <f>SUM(AD222:AE222)</f>
        <v>0</v>
      </c>
      <c r="AG222" s="61">
        <v>0</v>
      </c>
      <c r="AH222" s="61">
        <v>0</v>
      </c>
      <c r="AI222" s="62">
        <f>SUM(AG222:AH222)</f>
        <v>0</v>
      </c>
      <c r="AJ222" s="63">
        <v>0</v>
      </c>
      <c r="AK222" s="61">
        <v>0</v>
      </c>
      <c r="AL222" s="61">
        <v>0</v>
      </c>
      <c r="AM222" s="61">
        <v>0</v>
      </c>
      <c r="AN222" s="61">
        <v>0</v>
      </c>
      <c r="AO222" s="61">
        <v>0</v>
      </c>
      <c r="AP222" s="61">
        <v>0</v>
      </c>
      <c r="AQ222" s="62">
        <f>SUM(AO222:AP222)</f>
        <v>0</v>
      </c>
      <c r="AR222" s="1000">
        <v>0</v>
      </c>
      <c r="AS222" s="973">
        <v>0</v>
      </c>
      <c r="AT222" s="68">
        <v>0</v>
      </c>
      <c r="AU222" s="68">
        <v>0</v>
      </c>
      <c r="AV222" s="68">
        <v>0</v>
      </c>
      <c r="AW222" s="973">
        <f>SUM(AT222:AV222)</f>
        <v>0</v>
      </c>
      <c r="AX222" s="973">
        <v>0</v>
      </c>
      <c r="AY222" s="973">
        <v>0</v>
      </c>
      <c r="AZ222" s="973">
        <v>0</v>
      </c>
      <c r="BA222" s="991">
        <f>SUM(AX222:AZ222)</f>
        <v>0</v>
      </c>
      <c r="BB222" s="984">
        <f>SUM(P222,R222,T222,AB222,AJ222,AR222)</f>
        <v>3</v>
      </c>
      <c r="BC222" s="985">
        <f>SUM(Q222,AD222,AT222)</f>
        <v>6</v>
      </c>
      <c r="BD222" s="985">
        <f>SUM(S222,AE222,AL222,AU222)</f>
        <v>8</v>
      </c>
      <c r="BE222" s="985">
        <f>SUM(U222,AM222,AV222)</f>
        <v>12</v>
      </c>
      <c r="BF222" s="985">
        <f>SUM(BC222:BE222)</f>
        <v>26</v>
      </c>
      <c r="BG222" s="985">
        <f>SUM(V222,X222,Z222,AC222,AK222,AS222)</f>
        <v>0</v>
      </c>
      <c r="BH222" s="985">
        <f>SUM(W222,AG222,AX222)</f>
        <v>0</v>
      </c>
      <c r="BI222" s="985">
        <f>SUM(Y222,AH222,AO222,AY222)</f>
        <v>0</v>
      </c>
      <c r="BJ222" s="985">
        <f>SUM(AA222,AP222,AZ222)</f>
        <v>0</v>
      </c>
      <c r="BK222" s="985">
        <f>SUM(BH222:BJ222)</f>
        <v>0</v>
      </c>
      <c r="BL222" s="53"/>
    </row>
    <row r="223" spans="1:64" s="400" customFormat="1" ht="17.100000000000001" customHeight="1">
      <c r="A223" s="761" t="s">
        <v>2701</v>
      </c>
      <c r="B223" s="55" t="s">
        <v>8</v>
      </c>
      <c r="C223" s="55" t="s">
        <v>8</v>
      </c>
      <c r="D223" s="53" t="s">
        <v>2709</v>
      </c>
      <c r="E223" s="55" t="s">
        <v>4</v>
      </c>
      <c r="F223" s="720" t="s">
        <v>2710</v>
      </c>
      <c r="G223" s="130">
        <v>39902</v>
      </c>
      <c r="H223" s="154" t="s">
        <v>2711</v>
      </c>
      <c r="I223" s="760">
        <v>1220</v>
      </c>
      <c r="J223" s="719">
        <v>21640</v>
      </c>
      <c r="K223" s="55">
        <v>4386211</v>
      </c>
      <c r="L223" s="54" t="s">
        <v>3640</v>
      </c>
      <c r="M223" s="1243">
        <v>5</v>
      </c>
      <c r="N223" s="395">
        <v>2</v>
      </c>
      <c r="O223" s="1007">
        <v>84</v>
      </c>
      <c r="P223" s="982">
        <v>2</v>
      </c>
      <c r="Q223" s="68">
        <v>24</v>
      </c>
      <c r="R223" s="68">
        <v>2</v>
      </c>
      <c r="S223" s="68">
        <v>31</v>
      </c>
      <c r="T223" s="68">
        <v>1</v>
      </c>
      <c r="U223" s="983">
        <v>13</v>
      </c>
      <c r="V223" s="982">
        <v>0</v>
      </c>
      <c r="W223" s="68">
        <v>0</v>
      </c>
      <c r="X223" s="68">
        <v>0</v>
      </c>
      <c r="Y223" s="68">
        <v>0</v>
      </c>
      <c r="Z223" s="68">
        <v>1</v>
      </c>
      <c r="AA223" s="983">
        <v>4</v>
      </c>
      <c r="AB223" s="63">
        <v>0</v>
      </c>
      <c r="AC223" s="61">
        <v>0</v>
      </c>
      <c r="AD223" s="61">
        <v>0</v>
      </c>
      <c r="AE223" s="61">
        <v>0</v>
      </c>
      <c r="AF223" s="61">
        <f t="shared" ref="AF223:AF227" si="231">SUM(AD223:AE223)</f>
        <v>0</v>
      </c>
      <c r="AG223" s="61">
        <v>0</v>
      </c>
      <c r="AH223" s="61">
        <v>0</v>
      </c>
      <c r="AI223" s="62">
        <f>SUM(AG223:AH223)</f>
        <v>0</v>
      </c>
      <c r="AJ223" s="63">
        <v>0</v>
      </c>
      <c r="AK223" s="61">
        <v>1</v>
      </c>
      <c r="AL223" s="61">
        <v>0</v>
      </c>
      <c r="AM223" s="61">
        <v>0</v>
      </c>
      <c r="AN223" s="61">
        <f>SUM(AL223:AM223)</f>
        <v>0</v>
      </c>
      <c r="AO223" s="61">
        <v>3</v>
      </c>
      <c r="AP223" s="61">
        <v>1</v>
      </c>
      <c r="AQ223" s="62">
        <f>SUM(AO223:AP223)</f>
        <v>4</v>
      </c>
      <c r="AR223" s="955">
        <v>0</v>
      </c>
      <c r="AS223" s="956">
        <v>0</v>
      </c>
      <c r="AT223" s="61">
        <v>0</v>
      </c>
      <c r="AU223" s="61">
        <v>0</v>
      </c>
      <c r="AV223" s="61">
        <v>0</v>
      </c>
      <c r="AW223" s="973">
        <f t="shared" si="174"/>
        <v>0</v>
      </c>
      <c r="AX223" s="956">
        <v>0</v>
      </c>
      <c r="AY223" s="956">
        <v>0</v>
      </c>
      <c r="AZ223" s="956">
        <v>0</v>
      </c>
      <c r="BA223" s="957">
        <f>SUM(AX223:AZ223)</f>
        <v>0</v>
      </c>
      <c r="BB223" s="984">
        <f t="shared" si="222"/>
        <v>5</v>
      </c>
      <c r="BC223" s="985">
        <f t="shared" si="223"/>
        <v>24</v>
      </c>
      <c r="BD223" s="985">
        <f t="shared" si="224"/>
        <v>31</v>
      </c>
      <c r="BE223" s="985">
        <f t="shared" si="225"/>
        <v>13</v>
      </c>
      <c r="BF223" s="985">
        <f t="shared" si="226"/>
        <v>68</v>
      </c>
      <c r="BG223" s="985">
        <f t="shared" ref="BG223:BG227" si="232">SUM(V223,X223,Z223,AC223,AK223,AS223)</f>
        <v>2</v>
      </c>
      <c r="BH223" s="985">
        <f t="shared" si="227"/>
        <v>0</v>
      </c>
      <c r="BI223" s="985">
        <f t="shared" si="228"/>
        <v>3</v>
      </c>
      <c r="BJ223" s="985">
        <f t="shared" si="229"/>
        <v>5</v>
      </c>
      <c r="BK223" s="985">
        <f t="shared" si="230"/>
        <v>8</v>
      </c>
      <c r="BL223" s="55"/>
    </row>
    <row r="224" spans="1:64" s="400" customFormat="1" ht="17.100000000000001" customHeight="1">
      <c r="A224" s="761" t="s">
        <v>2701</v>
      </c>
      <c r="B224" s="55" t="s">
        <v>8</v>
      </c>
      <c r="C224" s="55" t="s">
        <v>8</v>
      </c>
      <c r="D224" s="53" t="s">
        <v>2709</v>
      </c>
      <c r="E224" s="55" t="s">
        <v>4</v>
      </c>
      <c r="F224" s="720" t="s">
        <v>2712</v>
      </c>
      <c r="G224" s="130">
        <v>36220</v>
      </c>
      <c r="H224" s="154" t="s">
        <v>2713</v>
      </c>
      <c r="I224" s="760">
        <v>11001</v>
      </c>
      <c r="J224" s="719">
        <v>21637</v>
      </c>
      <c r="K224" s="55" t="s">
        <v>2714</v>
      </c>
      <c r="L224" s="1004" t="s">
        <v>2715</v>
      </c>
      <c r="M224" s="1243">
        <v>1</v>
      </c>
      <c r="N224" s="395">
        <v>1</v>
      </c>
      <c r="O224" s="1007">
        <v>19</v>
      </c>
      <c r="P224" s="982">
        <v>0</v>
      </c>
      <c r="Q224" s="68">
        <v>0</v>
      </c>
      <c r="R224" s="68">
        <v>0</v>
      </c>
      <c r="S224" s="68">
        <v>0</v>
      </c>
      <c r="T224" s="68">
        <v>0</v>
      </c>
      <c r="U224" s="983">
        <v>0</v>
      </c>
      <c r="V224" s="982">
        <v>0</v>
      </c>
      <c r="W224" s="68">
        <v>0</v>
      </c>
      <c r="X224" s="68">
        <v>0</v>
      </c>
      <c r="Y224" s="68">
        <v>0</v>
      </c>
      <c r="Z224" s="68">
        <v>0</v>
      </c>
      <c r="AA224" s="983">
        <v>0</v>
      </c>
      <c r="AB224" s="63">
        <v>0</v>
      </c>
      <c r="AC224" s="61">
        <v>0</v>
      </c>
      <c r="AD224" s="61">
        <v>0</v>
      </c>
      <c r="AE224" s="61">
        <v>0</v>
      </c>
      <c r="AF224" s="61">
        <f t="shared" si="231"/>
        <v>0</v>
      </c>
      <c r="AG224" s="61">
        <v>0</v>
      </c>
      <c r="AH224" s="61">
        <v>0</v>
      </c>
      <c r="AI224" s="62">
        <f>SUM(AG224:AH224)</f>
        <v>0</v>
      </c>
      <c r="AJ224" s="63">
        <v>0</v>
      </c>
      <c r="AK224" s="61">
        <v>0</v>
      </c>
      <c r="AL224" s="61">
        <v>0</v>
      </c>
      <c r="AM224" s="61">
        <v>0</v>
      </c>
      <c r="AN224" s="61">
        <f>SUM(AL224:AM224)</f>
        <v>0</v>
      </c>
      <c r="AO224" s="61">
        <v>0</v>
      </c>
      <c r="AP224" s="61">
        <v>0</v>
      </c>
      <c r="AQ224" s="62">
        <f>SUM(AO224:AP224)</f>
        <v>0</v>
      </c>
      <c r="AR224" s="955">
        <v>1</v>
      </c>
      <c r="AS224" s="956">
        <v>1</v>
      </c>
      <c r="AT224" s="61">
        <v>0</v>
      </c>
      <c r="AU224" s="61">
        <v>1</v>
      </c>
      <c r="AV224" s="61">
        <v>7</v>
      </c>
      <c r="AW224" s="956">
        <f>SUM(AT224:AV224)</f>
        <v>8</v>
      </c>
      <c r="AX224" s="956">
        <v>0</v>
      </c>
      <c r="AY224" s="956">
        <v>1</v>
      </c>
      <c r="AZ224" s="956">
        <v>2</v>
      </c>
      <c r="BA224" s="957">
        <f>SUM(AX224:AZ224)</f>
        <v>3</v>
      </c>
      <c r="BB224" s="958">
        <f t="shared" si="222"/>
        <v>1</v>
      </c>
      <c r="BC224" s="959">
        <f t="shared" si="223"/>
        <v>0</v>
      </c>
      <c r="BD224" s="959">
        <f t="shared" si="224"/>
        <v>1</v>
      </c>
      <c r="BE224" s="959">
        <f t="shared" si="225"/>
        <v>7</v>
      </c>
      <c r="BF224" s="959">
        <f t="shared" si="226"/>
        <v>8</v>
      </c>
      <c r="BG224" s="959">
        <f t="shared" si="232"/>
        <v>1</v>
      </c>
      <c r="BH224" s="959">
        <f t="shared" si="227"/>
        <v>0</v>
      </c>
      <c r="BI224" s="959">
        <f t="shared" si="228"/>
        <v>1</v>
      </c>
      <c r="BJ224" s="959">
        <f t="shared" si="229"/>
        <v>2</v>
      </c>
      <c r="BK224" s="959">
        <f t="shared" si="230"/>
        <v>3</v>
      </c>
      <c r="BL224" s="53"/>
    </row>
    <row r="225" spans="1:64" s="400" customFormat="1" ht="17.100000000000001" customHeight="1">
      <c r="A225" s="457" t="s">
        <v>2701</v>
      </c>
      <c r="B225" s="53" t="s">
        <v>89</v>
      </c>
      <c r="C225" s="53" t="s">
        <v>89</v>
      </c>
      <c r="D225" s="53" t="s">
        <v>2709</v>
      </c>
      <c r="E225" s="53" t="s">
        <v>2424</v>
      </c>
      <c r="F225" s="317" t="s">
        <v>2716</v>
      </c>
      <c r="G225" s="130">
        <v>38961</v>
      </c>
      <c r="H225" s="154" t="s">
        <v>2717</v>
      </c>
      <c r="I225" s="760">
        <v>10026</v>
      </c>
      <c r="J225" s="719">
        <v>21651</v>
      </c>
      <c r="K225" s="55" t="s">
        <v>2718</v>
      </c>
      <c r="L225" s="1004" t="s">
        <v>2719</v>
      </c>
      <c r="M225" s="1243">
        <v>3</v>
      </c>
      <c r="N225" s="395">
        <v>0</v>
      </c>
      <c r="O225" s="1007">
        <v>48</v>
      </c>
      <c r="P225" s="982">
        <v>0</v>
      </c>
      <c r="Q225" s="68">
        <v>0</v>
      </c>
      <c r="R225" s="68">
        <v>1</v>
      </c>
      <c r="S225" s="68">
        <v>7</v>
      </c>
      <c r="T225" s="68">
        <v>1</v>
      </c>
      <c r="U225" s="983">
        <v>4</v>
      </c>
      <c r="V225" s="982">
        <v>0</v>
      </c>
      <c r="W225" s="68">
        <v>0</v>
      </c>
      <c r="X225" s="68">
        <v>0</v>
      </c>
      <c r="Y225" s="68">
        <v>0</v>
      </c>
      <c r="Z225" s="68">
        <v>0</v>
      </c>
      <c r="AA225" s="983">
        <v>0</v>
      </c>
      <c r="AB225" s="61">
        <f>SUM(Z225:AA225)</f>
        <v>0</v>
      </c>
      <c r="AC225" s="61">
        <f>SUM(AA225:AB225)</f>
        <v>0</v>
      </c>
      <c r="AD225" s="61">
        <f>SUM(AB225:AC225)</f>
        <v>0</v>
      </c>
      <c r="AE225" s="61">
        <f>SUM(AC225:AD225)</f>
        <v>0</v>
      </c>
      <c r="AF225" s="61">
        <f t="shared" si="231"/>
        <v>0</v>
      </c>
      <c r="AG225" s="61">
        <v>0</v>
      </c>
      <c r="AH225" s="61">
        <v>0</v>
      </c>
      <c r="AI225" s="62">
        <v>0</v>
      </c>
      <c r="AJ225" s="63">
        <v>0</v>
      </c>
      <c r="AK225" s="61">
        <f t="shared" ref="AK225:AQ225" si="233">SUM(AI225:AJ225)</f>
        <v>0</v>
      </c>
      <c r="AL225" s="61">
        <f t="shared" si="233"/>
        <v>0</v>
      </c>
      <c r="AM225" s="61">
        <f t="shared" si="233"/>
        <v>0</v>
      </c>
      <c r="AN225" s="61">
        <f t="shared" si="233"/>
        <v>0</v>
      </c>
      <c r="AO225" s="61">
        <f t="shared" si="233"/>
        <v>0</v>
      </c>
      <c r="AP225" s="61">
        <f t="shared" si="233"/>
        <v>0</v>
      </c>
      <c r="AQ225" s="62">
        <f t="shared" si="233"/>
        <v>0</v>
      </c>
      <c r="AR225" s="955">
        <v>0</v>
      </c>
      <c r="AS225" s="955">
        <v>0</v>
      </c>
      <c r="AT225" s="955">
        <v>0</v>
      </c>
      <c r="AU225" s="955">
        <v>0</v>
      </c>
      <c r="AV225" s="955">
        <v>0</v>
      </c>
      <c r="AW225" s="955">
        <v>0</v>
      </c>
      <c r="AX225" s="955">
        <v>0</v>
      </c>
      <c r="AY225" s="955">
        <v>0</v>
      </c>
      <c r="AZ225" s="955">
        <v>0</v>
      </c>
      <c r="BA225" s="1000">
        <v>0</v>
      </c>
      <c r="BB225" s="1005">
        <f t="shared" si="222"/>
        <v>2</v>
      </c>
      <c r="BC225" s="959">
        <f t="shared" si="223"/>
        <v>0</v>
      </c>
      <c r="BD225" s="959">
        <f t="shared" si="224"/>
        <v>7</v>
      </c>
      <c r="BE225" s="959">
        <f t="shared" si="225"/>
        <v>4</v>
      </c>
      <c r="BF225" s="959">
        <f t="shared" si="226"/>
        <v>11</v>
      </c>
      <c r="BG225" s="959">
        <f t="shared" si="232"/>
        <v>0</v>
      </c>
      <c r="BH225" s="959">
        <f t="shared" si="227"/>
        <v>0</v>
      </c>
      <c r="BI225" s="959">
        <f t="shared" si="228"/>
        <v>0</v>
      </c>
      <c r="BJ225" s="959">
        <f t="shared" si="229"/>
        <v>0</v>
      </c>
      <c r="BK225" s="959">
        <f t="shared" si="230"/>
        <v>0</v>
      </c>
      <c r="BL225" s="55"/>
    </row>
    <row r="226" spans="1:64" s="400" customFormat="1" ht="17.100000000000001" customHeight="1">
      <c r="A226" s="457" t="s">
        <v>2701</v>
      </c>
      <c r="B226" s="53" t="s">
        <v>8</v>
      </c>
      <c r="C226" s="53" t="s">
        <v>8</v>
      </c>
      <c r="D226" s="53" t="s">
        <v>2720</v>
      </c>
      <c r="E226" s="53" t="s">
        <v>2424</v>
      </c>
      <c r="F226" s="53" t="s">
        <v>2721</v>
      </c>
      <c r="G226" s="71">
        <v>40238</v>
      </c>
      <c r="H226" s="50" t="s">
        <v>2722</v>
      </c>
      <c r="I226" s="51">
        <v>1983</v>
      </c>
      <c r="J226" s="52">
        <v>21679</v>
      </c>
      <c r="K226" s="53" t="s">
        <v>2723</v>
      </c>
      <c r="L226" s="54" t="s">
        <v>2724</v>
      </c>
      <c r="M226" s="1006">
        <v>6</v>
      </c>
      <c r="N226" s="395">
        <v>2</v>
      </c>
      <c r="O226" s="1007">
        <v>96</v>
      </c>
      <c r="P226" s="982">
        <v>2</v>
      </c>
      <c r="Q226" s="68">
        <v>24</v>
      </c>
      <c r="R226" s="68">
        <v>2</v>
      </c>
      <c r="S226" s="68">
        <v>28</v>
      </c>
      <c r="T226" s="68">
        <v>2</v>
      </c>
      <c r="U226" s="983">
        <v>27</v>
      </c>
      <c r="V226" s="60">
        <v>0</v>
      </c>
      <c r="W226" s="61">
        <v>0</v>
      </c>
      <c r="X226" s="61">
        <v>1</v>
      </c>
      <c r="Y226" s="61">
        <v>4</v>
      </c>
      <c r="Z226" s="61">
        <v>0</v>
      </c>
      <c r="AA226" s="62">
        <v>0</v>
      </c>
      <c r="AB226" s="63">
        <v>0</v>
      </c>
      <c r="AC226" s="61">
        <v>0</v>
      </c>
      <c r="AD226" s="61">
        <v>0</v>
      </c>
      <c r="AE226" s="61">
        <v>0</v>
      </c>
      <c r="AF226" s="61">
        <f t="shared" si="231"/>
        <v>0</v>
      </c>
      <c r="AG226" s="61">
        <v>0</v>
      </c>
      <c r="AH226" s="61">
        <v>0</v>
      </c>
      <c r="AI226" s="62">
        <f>SUM(AG226:AH226)</f>
        <v>0</v>
      </c>
      <c r="AJ226" s="63">
        <v>0</v>
      </c>
      <c r="AK226" s="61">
        <v>1</v>
      </c>
      <c r="AL226" s="61">
        <v>0</v>
      </c>
      <c r="AM226" s="61">
        <v>0</v>
      </c>
      <c r="AN226" s="61">
        <f>SUM(AL226:AM226)</f>
        <v>0</v>
      </c>
      <c r="AO226" s="61">
        <v>2</v>
      </c>
      <c r="AP226" s="61">
        <v>1</v>
      </c>
      <c r="AQ226" s="62">
        <f>SUM(AO226:AP226)</f>
        <v>3</v>
      </c>
      <c r="AR226" s="955">
        <v>0</v>
      </c>
      <c r="AS226" s="956">
        <v>0</v>
      </c>
      <c r="AT226" s="61">
        <v>0</v>
      </c>
      <c r="AU226" s="61">
        <v>0</v>
      </c>
      <c r="AV226" s="61">
        <v>0</v>
      </c>
      <c r="AW226" s="973">
        <f t="shared" si="174"/>
        <v>0</v>
      </c>
      <c r="AX226" s="973">
        <v>0</v>
      </c>
      <c r="AY226" s="973">
        <v>0</v>
      </c>
      <c r="AZ226" s="973">
        <v>0</v>
      </c>
      <c r="BA226" s="957">
        <f>SUM(AX226:AZ226)</f>
        <v>0</v>
      </c>
      <c r="BB226" s="958">
        <f t="shared" si="222"/>
        <v>6</v>
      </c>
      <c r="BC226" s="959">
        <f t="shared" si="223"/>
        <v>24</v>
      </c>
      <c r="BD226" s="959">
        <f t="shared" si="224"/>
        <v>28</v>
      </c>
      <c r="BE226" s="959">
        <f t="shared" si="225"/>
        <v>27</v>
      </c>
      <c r="BF226" s="959">
        <f t="shared" si="226"/>
        <v>79</v>
      </c>
      <c r="BG226" s="959">
        <f t="shared" si="232"/>
        <v>2</v>
      </c>
      <c r="BH226" s="959">
        <f t="shared" si="227"/>
        <v>0</v>
      </c>
      <c r="BI226" s="959">
        <f t="shared" si="228"/>
        <v>6</v>
      </c>
      <c r="BJ226" s="959">
        <f t="shared" si="229"/>
        <v>1</v>
      </c>
      <c r="BK226" s="985">
        <f t="shared" si="230"/>
        <v>7</v>
      </c>
      <c r="BL226" s="55"/>
    </row>
    <row r="227" spans="1:64" s="400" customFormat="1" ht="17.100000000000001" customHeight="1">
      <c r="A227" s="457" t="s">
        <v>2701</v>
      </c>
      <c r="B227" s="53" t="s">
        <v>8</v>
      </c>
      <c r="C227" s="53" t="s">
        <v>8</v>
      </c>
      <c r="D227" s="53" t="s">
        <v>2720</v>
      </c>
      <c r="E227" s="53" t="s">
        <v>2424</v>
      </c>
      <c r="F227" s="53" t="s">
        <v>2725</v>
      </c>
      <c r="G227" s="71">
        <v>40057</v>
      </c>
      <c r="H227" s="50" t="s">
        <v>2726</v>
      </c>
      <c r="I227" s="51">
        <v>10146</v>
      </c>
      <c r="J227" s="52">
        <v>21685</v>
      </c>
      <c r="K227" s="53" t="s">
        <v>3641</v>
      </c>
      <c r="L227" s="54" t="s">
        <v>2727</v>
      </c>
      <c r="M227" s="1243">
        <v>3</v>
      </c>
      <c r="N227" s="395">
        <v>0</v>
      </c>
      <c r="O227" s="1007">
        <v>48</v>
      </c>
      <c r="P227" s="982">
        <v>1</v>
      </c>
      <c r="Q227" s="68">
        <v>9</v>
      </c>
      <c r="R227" s="68">
        <v>1</v>
      </c>
      <c r="S227" s="68">
        <v>17</v>
      </c>
      <c r="T227" s="68">
        <v>1</v>
      </c>
      <c r="U227" s="983">
        <v>11</v>
      </c>
      <c r="V227" s="60">
        <v>0</v>
      </c>
      <c r="W227" s="61">
        <v>0</v>
      </c>
      <c r="X227" s="61">
        <v>0</v>
      </c>
      <c r="Y227" s="61">
        <v>0</v>
      </c>
      <c r="Z227" s="61">
        <v>0</v>
      </c>
      <c r="AA227" s="62">
        <v>0</v>
      </c>
      <c r="AB227" s="63">
        <v>0</v>
      </c>
      <c r="AC227" s="61">
        <v>0</v>
      </c>
      <c r="AD227" s="61">
        <v>0</v>
      </c>
      <c r="AE227" s="61">
        <v>0</v>
      </c>
      <c r="AF227" s="61">
        <f t="shared" si="231"/>
        <v>0</v>
      </c>
      <c r="AG227" s="61">
        <v>0</v>
      </c>
      <c r="AH227" s="61">
        <v>0</v>
      </c>
      <c r="AI227" s="62">
        <f>SUM(AG227:AH227)</f>
        <v>0</v>
      </c>
      <c r="AJ227" s="63">
        <v>0</v>
      </c>
      <c r="AK227" s="61">
        <v>0</v>
      </c>
      <c r="AL227" s="61">
        <v>0</v>
      </c>
      <c r="AM227" s="61">
        <v>0</v>
      </c>
      <c r="AN227" s="61">
        <f>SUM(AL227:AM227)</f>
        <v>0</v>
      </c>
      <c r="AO227" s="61">
        <v>0</v>
      </c>
      <c r="AP227" s="61">
        <v>0</v>
      </c>
      <c r="AQ227" s="62">
        <f>SUM(AO227:AP227)</f>
        <v>0</v>
      </c>
      <c r="AR227" s="955">
        <v>0</v>
      </c>
      <c r="AS227" s="956">
        <v>0</v>
      </c>
      <c r="AT227" s="61">
        <v>0</v>
      </c>
      <c r="AU227" s="61">
        <v>0</v>
      </c>
      <c r="AV227" s="61">
        <v>0</v>
      </c>
      <c r="AW227" s="973">
        <f t="shared" si="174"/>
        <v>0</v>
      </c>
      <c r="AX227" s="956">
        <v>0</v>
      </c>
      <c r="AY227" s="956">
        <v>0</v>
      </c>
      <c r="AZ227" s="956">
        <v>0</v>
      </c>
      <c r="BA227" s="957">
        <f>SUM(AX227:AZ227)</f>
        <v>0</v>
      </c>
      <c r="BB227" s="958">
        <f t="shared" si="222"/>
        <v>3</v>
      </c>
      <c r="BC227" s="959">
        <f t="shared" si="223"/>
        <v>9</v>
      </c>
      <c r="BD227" s="959">
        <f t="shared" si="224"/>
        <v>17</v>
      </c>
      <c r="BE227" s="959">
        <f t="shared" si="225"/>
        <v>11</v>
      </c>
      <c r="BF227" s="959">
        <f t="shared" si="226"/>
        <v>37</v>
      </c>
      <c r="BG227" s="959">
        <f t="shared" si="232"/>
        <v>0</v>
      </c>
      <c r="BH227" s="959">
        <f t="shared" si="227"/>
        <v>0</v>
      </c>
      <c r="BI227" s="959">
        <f t="shared" si="228"/>
        <v>0</v>
      </c>
      <c r="BJ227" s="959">
        <f t="shared" si="229"/>
        <v>0</v>
      </c>
      <c r="BK227" s="977">
        <f t="shared" si="230"/>
        <v>0</v>
      </c>
      <c r="BL227" s="53"/>
    </row>
    <row r="228" spans="1:64" s="400" customFormat="1" ht="17.100000000000001" customHeight="1">
      <c r="A228" s="457" t="s">
        <v>2701</v>
      </c>
      <c r="B228" s="53" t="s">
        <v>8</v>
      </c>
      <c r="C228" s="53" t="s">
        <v>8</v>
      </c>
      <c r="D228" s="53" t="s">
        <v>2720</v>
      </c>
      <c r="E228" s="53" t="s">
        <v>2424</v>
      </c>
      <c r="F228" s="53" t="s">
        <v>2728</v>
      </c>
      <c r="G228" s="71">
        <v>40603</v>
      </c>
      <c r="H228" s="50" t="s">
        <v>3642</v>
      </c>
      <c r="I228" s="51">
        <v>10197</v>
      </c>
      <c r="J228" s="52">
        <v>21684</v>
      </c>
      <c r="K228" s="53" t="s">
        <v>3643</v>
      </c>
      <c r="L228" s="54" t="s">
        <v>3644</v>
      </c>
      <c r="M228" s="1245">
        <v>3</v>
      </c>
      <c r="N228" s="395">
        <v>0</v>
      </c>
      <c r="O228" s="1007">
        <v>48</v>
      </c>
      <c r="P228" s="982">
        <v>0</v>
      </c>
      <c r="Q228" s="68">
        <v>0</v>
      </c>
      <c r="R228" s="68">
        <v>0</v>
      </c>
      <c r="S228" s="68">
        <v>0</v>
      </c>
      <c r="T228" s="68">
        <v>0</v>
      </c>
      <c r="U228" s="983">
        <v>0</v>
      </c>
      <c r="V228" s="60">
        <v>0</v>
      </c>
      <c r="W228" s="61">
        <v>0</v>
      </c>
      <c r="X228" s="61">
        <v>0</v>
      </c>
      <c r="Y228" s="61">
        <v>0</v>
      </c>
      <c r="Z228" s="61">
        <v>0</v>
      </c>
      <c r="AA228" s="62">
        <v>0</v>
      </c>
      <c r="AB228" s="63">
        <v>1</v>
      </c>
      <c r="AC228" s="61">
        <v>0</v>
      </c>
      <c r="AD228" s="61">
        <v>1</v>
      </c>
      <c r="AE228" s="61">
        <v>6</v>
      </c>
      <c r="AF228" s="61">
        <v>7</v>
      </c>
      <c r="AG228" s="61">
        <v>0</v>
      </c>
      <c r="AH228" s="61">
        <v>0</v>
      </c>
      <c r="AI228" s="62">
        <v>0</v>
      </c>
      <c r="AJ228" s="63">
        <v>1</v>
      </c>
      <c r="AK228" s="61">
        <v>0</v>
      </c>
      <c r="AL228" s="61">
        <v>9</v>
      </c>
      <c r="AM228" s="61">
        <v>0</v>
      </c>
      <c r="AN228" s="61">
        <v>9</v>
      </c>
      <c r="AO228" s="61">
        <v>0</v>
      </c>
      <c r="AP228" s="61">
        <v>0</v>
      </c>
      <c r="AQ228" s="62">
        <v>0</v>
      </c>
      <c r="AR228" s="955">
        <v>0</v>
      </c>
      <c r="AS228" s="956">
        <v>0</v>
      </c>
      <c r="AT228" s="61">
        <v>0</v>
      </c>
      <c r="AU228" s="61">
        <v>0</v>
      </c>
      <c r="AV228" s="61">
        <v>0</v>
      </c>
      <c r="AW228" s="973">
        <f t="shared" si="174"/>
        <v>0</v>
      </c>
      <c r="AX228" s="956">
        <v>0</v>
      </c>
      <c r="AY228" s="956">
        <v>0</v>
      </c>
      <c r="AZ228" s="956">
        <v>0</v>
      </c>
      <c r="BA228" s="957">
        <v>0</v>
      </c>
      <c r="BB228" s="958">
        <v>2</v>
      </c>
      <c r="BC228" s="959">
        <v>1</v>
      </c>
      <c r="BD228" s="959">
        <v>15</v>
      </c>
      <c r="BE228" s="959">
        <v>0</v>
      </c>
      <c r="BF228" s="959">
        <v>16</v>
      </c>
      <c r="BG228" s="959">
        <v>0</v>
      </c>
      <c r="BH228" s="959">
        <v>0</v>
      </c>
      <c r="BI228" s="959">
        <v>0</v>
      </c>
      <c r="BJ228" s="959">
        <v>0</v>
      </c>
      <c r="BK228" s="977">
        <v>0</v>
      </c>
      <c r="BL228" s="55"/>
    </row>
    <row r="229" spans="1:64" s="400" customFormat="1" ht="17.100000000000001" customHeight="1">
      <c r="A229" s="761" t="s">
        <v>2701</v>
      </c>
      <c r="B229" s="55" t="s">
        <v>8</v>
      </c>
      <c r="C229" s="55" t="s">
        <v>8</v>
      </c>
      <c r="D229" s="53" t="s">
        <v>2720</v>
      </c>
      <c r="E229" s="55" t="s">
        <v>4</v>
      </c>
      <c r="F229" s="55" t="s">
        <v>2729</v>
      </c>
      <c r="G229" s="71">
        <v>40603</v>
      </c>
      <c r="H229" s="50" t="s">
        <v>2730</v>
      </c>
      <c r="I229" s="51">
        <v>10484</v>
      </c>
      <c r="J229" s="52">
        <v>21675</v>
      </c>
      <c r="K229" s="53" t="s">
        <v>2731</v>
      </c>
      <c r="L229" s="54" t="s">
        <v>2732</v>
      </c>
      <c r="M229" s="1243">
        <v>3</v>
      </c>
      <c r="N229" s="395">
        <v>0</v>
      </c>
      <c r="O229" s="1007">
        <v>48</v>
      </c>
      <c r="P229" s="982">
        <v>1</v>
      </c>
      <c r="Q229" s="68">
        <v>11</v>
      </c>
      <c r="R229" s="68">
        <v>1</v>
      </c>
      <c r="S229" s="68">
        <v>17</v>
      </c>
      <c r="T229" s="68">
        <v>1</v>
      </c>
      <c r="U229" s="983">
        <v>15</v>
      </c>
      <c r="V229" s="60">
        <v>0</v>
      </c>
      <c r="W229" s="61">
        <v>0</v>
      </c>
      <c r="X229" s="61">
        <v>0</v>
      </c>
      <c r="Y229" s="61">
        <v>0</v>
      </c>
      <c r="Z229" s="61">
        <v>0</v>
      </c>
      <c r="AA229" s="62">
        <v>0</v>
      </c>
      <c r="AB229" s="70">
        <v>0</v>
      </c>
      <c r="AC229" s="68">
        <v>0</v>
      </c>
      <c r="AD229" s="68">
        <v>0</v>
      </c>
      <c r="AE229" s="68">
        <v>0</v>
      </c>
      <c r="AF229" s="68">
        <f t="shared" ref="AF229" si="234">SUM(AD229:AE229)</f>
        <v>0</v>
      </c>
      <c r="AG229" s="68">
        <v>0</v>
      </c>
      <c r="AH229" s="68">
        <v>0</v>
      </c>
      <c r="AI229" s="69">
        <f t="shared" ref="AI229" si="235">SUM(AG229:AH229)</f>
        <v>0</v>
      </c>
      <c r="AJ229" s="63">
        <v>0</v>
      </c>
      <c r="AK229" s="61">
        <v>0</v>
      </c>
      <c r="AL229" s="61">
        <v>0</v>
      </c>
      <c r="AM229" s="61">
        <v>0</v>
      </c>
      <c r="AN229" s="61">
        <f t="shared" ref="AN229" si="236">SUM(AL229:AM229)</f>
        <v>0</v>
      </c>
      <c r="AO229" s="61">
        <v>0</v>
      </c>
      <c r="AP229" s="61">
        <v>0</v>
      </c>
      <c r="AQ229" s="62">
        <f t="shared" ref="AQ229" si="237">SUM(AO229:AP229)</f>
        <v>0</v>
      </c>
      <c r="AR229" s="955">
        <v>0</v>
      </c>
      <c r="AS229" s="956">
        <v>0</v>
      </c>
      <c r="AT229" s="61">
        <v>0</v>
      </c>
      <c r="AU229" s="61">
        <v>0</v>
      </c>
      <c r="AV229" s="61">
        <v>0</v>
      </c>
      <c r="AW229" s="973">
        <f t="shared" si="174"/>
        <v>0</v>
      </c>
      <c r="AX229" s="973">
        <v>0</v>
      </c>
      <c r="AY229" s="973">
        <v>0</v>
      </c>
      <c r="AZ229" s="973">
        <v>0</v>
      </c>
      <c r="BA229" s="957">
        <f t="shared" ref="BA229" si="238">SUM(AX229:AZ229)</f>
        <v>0</v>
      </c>
      <c r="BB229" s="958">
        <f t="shared" ref="BB229" si="239">SUM(P229,R229,T229,AB229,AJ229,AR229)</f>
        <v>3</v>
      </c>
      <c r="BC229" s="959">
        <f>SUM(Q229,AD229,AT229)</f>
        <v>11</v>
      </c>
      <c r="BD229" s="959">
        <f>SUM(S229,AE229,AL229,AU229)</f>
        <v>17</v>
      </c>
      <c r="BE229" s="959">
        <f>SUM(U229,AM229,AV229)</f>
        <v>15</v>
      </c>
      <c r="BF229" s="959">
        <f>SUM(BC229:BE229)</f>
        <v>43</v>
      </c>
      <c r="BG229" s="959">
        <f>SUM(V229,X229,Z229,AC229,AK229,AS229)</f>
        <v>0</v>
      </c>
      <c r="BH229" s="959">
        <f>SUM(W229,AG229,AX229)</f>
        <v>0</v>
      </c>
      <c r="BI229" s="959">
        <f>SUM(Y229,AH229,AO229,AY229)</f>
        <v>0</v>
      </c>
      <c r="BJ229" s="959">
        <f>SUM(AA229,AP229,AZ229)</f>
        <v>0</v>
      </c>
      <c r="BK229" s="959">
        <f>SUM(BH229:BJ229)</f>
        <v>0</v>
      </c>
      <c r="BL229" s="53"/>
    </row>
    <row r="230" spans="1:64" s="43" customFormat="1" ht="17.100000000000001" customHeight="1">
      <c r="A230" s="1611" t="s">
        <v>1032</v>
      </c>
      <c r="B230" s="1612"/>
      <c r="C230" s="1612"/>
      <c r="D230" s="1613"/>
      <c r="E230" s="401">
        <f>COUNTA(E202:E229)</f>
        <v>28</v>
      </c>
      <c r="F230" s="285"/>
      <c r="G230" s="402"/>
      <c r="H230" s="181"/>
      <c r="I230" s="403"/>
      <c r="J230" s="287"/>
      <c r="K230" s="285"/>
      <c r="L230" s="288"/>
      <c r="M230" s="404">
        <f>SUM(M202:M229)</f>
        <v>86</v>
      </c>
      <c r="N230" s="404">
        <f>SUM(N202:N229)</f>
        <v>16</v>
      </c>
      <c r="O230" s="406">
        <f>SUM(O202:O229)</f>
        <v>1431</v>
      </c>
      <c r="P230" s="407">
        <f>SUM(P202:P229)</f>
        <v>19</v>
      </c>
      <c r="Q230" s="408">
        <f>SUM(Q202:Q229)</f>
        <v>181</v>
      </c>
      <c r="R230" s="408">
        <f t="shared" ref="R230:T230" si="240">SUM(R202:R229)</f>
        <v>23</v>
      </c>
      <c r="S230" s="408">
        <f t="shared" si="240"/>
        <v>287</v>
      </c>
      <c r="T230" s="408">
        <f t="shared" si="240"/>
        <v>26</v>
      </c>
      <c r="U230" s="409">
        <f>SUM(U202:U229)</f>
        <v>285</v>
      </c>
      <c r="V230" s="410">
        <f>SUM(V202:V229)</f>
        <v>1</v>
      </c>
      <c r="W230" s="408">
        <f>SUM(W202:W229)</f>
        <v>4</v>
      </c>
      <c r="X230" s="408">
        <f t="shared" ref="X230:Z230" si="241">SUM(X202:X229)</f>
        <v>2</v>
      </c>
      <c r="Y230" s="408">
        <f t="shared" si="241"/>
        <v>8</v>
      </c>
      <c r="Z230" s="408">
        <f t="shared" si="241"/>
        <v>5</v>
      </c>
      <c r="AA230" s="408">
        <f>SUM(AA202:AA229)</f>
        <v>19</v>
      </c>
      <c r="AB230" s="407">
        <f>SUM(AB202:AB229)</f>
        <v>3</v>
      </c>
      <c r="AC230" s="408">
        <f>SUM(AC202:AC229)</f>
        <v>0</v>
      </c>
      <c r="AD230" s="408">
        <f t="shared" ref="AD230:AH230" si="242">SUM(AD202:AD229)</f>
        <v>4</v>
      </c>
      <c r="AE230" s="408">
        <f t="shared" si="242"/>
        <v>20</v>
      </c>
      <c r="AF230" s="408">
        <f t="shared" si="242"/>
        <v>24</v>
      </c>
      <c r="AG230" s="408">
        <f t="shared" si="242"/>
        <v>0</v>
      </c>
      <c r="AH230" s="408">
        <f t="shared" si="242"/>
        <v>0</v>
      </c>
      <c r="AI230" s="409">
        <f>SUM(AI202:AI229)</f>
        <v>0</v>
      </c>
      <c r="AJ230" s="407">
        <f>SUM(AJ202:AJ229)</f>
        <v>3</v>
      </c>
      <c r="AK230" s="408">
        <f>SUM(AK202:AK229)</f>
        <v>6</v>
      </c>
      <c r="AL230" s="408">
        <f t="shared" ref="AL230:AP230" si="243">SUM(AL202:AL229)</f>
        <v>17</v>
      </c>
      <c r="AM230" s="408">
        <f t="shared" si="243"/>
        <v>16</v>
      </c>
      <c r="AN230" s="408">
        <f t="shared" si="243"/>
        <v>33</v>
      </c>
      <c r="AO230" s="408">
        <f t="shared" si="243"/>
        <v>8</v>
      </c>
      <c r="AP230" s="408">
        <f t="shared" si="243"/>
        <v>13</v>
      </c>
      <c r="AQ230" s="409">
        <f>SUM(AQ202:AQ229)</f>
        <v>21</v>
      </c>
      <c r="AR230" s="411">
        <f>SUM(AR202:AR229)</f>
        <v>1</v>
      </c>
      <c r="AS230" s="412">
        <f>SUM(AS202:AS229)</f>
        <v>1</v>
      </c>
      <c r="AT230" s="412">
        <f t="shared" ref="AT230:AZ230" si="244">SUM(AT202:AT229)</f>
        <v>0</v>
      </c>
      <c r="AU230" s="412">
        <f t="shared" si="244"/>
        <v>1</v>
      </c>
      <c r="AV230" s="412">
        <f t="shared" si="244"/>
        <v>7</v>
      </c>
      <c r="AW230" s="412">
        <f t="shared" si="244"/>
        <v>8</v>
      </c>
      <c r="AX230" s="412">
        <f t="shared" si="244"/>
        <v>0</v>
      </c>
      <c r="AY230" s="412">
        <f t="shared" si="244"/>
        <v>1</v>
      </c>
      <c r="AZ230" s="412">
        <f t="shared" si="244"/>
        <v>2</v>
      </c>
      <c r="BA230" s="413">
        <f>SUM(BA202:BA229)</f>
        <v>3</v>
      </c>
      <c r="BB230" s="414">
        <f>SUM(BB202:BB229)</f>
        <v>76</v>
      </c>
      <c r="BC230" s="415">
        <f>SUM(BC202:BC229)</f>
        <v>185</v>
      </c>
      <c r="BD230" s="415">
        <f t="shared" ref="BD230:BJ230" si="245">SUM(BD202:BD229)</f>
        <v>325</v>
      </c>
      <c r="BE230" s="415">
        <f t="shared" si="245"/>
        <v>308</v>
      </c>
      <c r="BF230" s="415">
        <f t="shared" si="245"/>
        <v>818</v>
      </c>
      <c r="BG230" s="415">
        <f t="shared" si="245"/>
        <v>15</v>
      </c>
      <c r="BH230" s="415">
        <f t="shared" si="245"/>
        <v>4</v>
      </c>
      <c r="BI230" s="415">
        <f t="shared" si="245"/>
        <v>17</v>
      </c>
      <c r="BJ230" s="415">
        <f t="shared" si="245"/>
        <v>34</v>
      </c>
      <c r="BK230" s="416">
        <f>SUM(BK202:BK229)</f>
        <v>55</v>
      </c>
      <c r="BL230" s="417"/>
    </row>
    <row r="231" spans="1:64" s="43" customFormat="1" ht="17.100000000000001" customHeight="1">
      <c r="A231" s="762" t="s">
        <v>1528</v>
      </c>
      <c r="B231" s="751" t="s">
        <v>8</v>
      </c>
      <c r="C231" s="751" t="s">
        <v>8</v>
      </c>
      <c r="D231" s="751" t="s">
        <v>1625</v>
      </c>
      <c r="E231" s="55" t="s">
        <v>2529</v>
      </c>
      <c r="F231" s="751" t="s">
        <v>1595</v>
      </c>
      <c r="G231" s="1018">
        <v>40603</v>
      </c>
      <c r="H231" s="50" t="s">
        <v>3733</v>
      </c>
      <c r="I231" s="760">
        <v>358</v>
      </c>
      <c r="J231" s="52">
        <v>21551</v>
      </c>
      <c r="K231" s="55" t="s">
        <v>3734</v>
      </c>
      <c r="L231" s="56" t="s">
        <v>3735</v>
      </c>
      <c r="M231" s="64">
        <v>7</v>
      </c>
      <c r="N231" s="65">
        <v>0</v>
      </c>
      <c r="O231" s="66">
        <v>155</v>
      </c>
      <c r="P231" s="67">
        <v>2</v>
      </c>
      <c r="Q231" s="68">
        <v>39</v>
      </c>
      <c r="R231" s="68">
        <v>2</v>
      </c>
      <c r="S231" s="68">
        <v>50</v>
      </c>
      <c r="T231" s="68">
        <v>3</v>
      </c>
      <c r="U231" s="69">
        <v>66</v>
      </c>
      <c r="V231" s="67"/>
      <c r="W231" s="68"/>
      <c r="X231" s="68"/>
      <c r="Y231" s="68"/>
      <c r="Z231" s="68"/>
      <c r="AA231" s="69"/>
      <c r="AB231" s="70"/>
      <c r="AC231" s="68"/>
      <c r="AD231" s="68"/>
      <c r="AE231" s="68"/>
      <c r="AF231" s="68">
        <f t="shared" ref="AF231:AF234" si="246">SUM(AD231:AE231)</f>
        <v>0</v>
      </c>
      <c r="AG231" s="68"/>
      <c r="AH231" s="68"/>
      <c r="AI231" s="69">
        <f t="shared" ref="AI231:AI234" si="247">SUM(AG231:AH231)</f>
        <v>0</v>
      </c>
      <c r="AJ231" s="70"/>
      <c r="AK231" s="68"/>
      <c r="AL231" s="68"/>
      <c r="AM231" s="68"/>
      <c r="AN231" s="68">
        <f t="shared" ref="AN231:AN234" si="248">SUM(AL231:AM231)</f>
        <v>0</v>
      </c>
      <c r="AO231" s="68"/>
      <c r="AP231" s="68"/>
      <c r="AQ231" s="69">
        <f t="shared" ref="AQ231:AQ234" si="249">SUM(AO231:AP231)</f>
        <v>0</v>
      </c>
      <c r="AR231" s="972"/>
      <c r="AS231" s="973"/>
      <c r="AT231" s="68"/>
      <c r="AU231" s="68"/>
      <c r="AV231" s="68"/>
      <c r="AW231" s="973">
        <f t="shared" ref="AW231:AW234" si="250">SUM(AT231:AV231)</f>
        <v>0</v>
      </c>
      <c r="AX231" s="973"/>
      <c r="AY231" s="973"/>
      <c r="AZ231" s="973"/>
      <c r="BA231" s="974">
        <f t="shared" ref="BA231:BA234" si="251">SUM(AX231:AZ231)</f>
        <v>0</v>
      </c>
      <c r="BB231" s="975">
        <f t="shared" ref="BB231:BB263" si="252">SUM(P231,R231,T231,AB231,AJ231,AR231)</f>
        <v>7</v>
      </c>
      <c r="BC231" s="959">
        <f t="shared" ref="BC231:BC263" si="253">SUM(Q231,AD231,AT231)</f>
        <v>39</v>
      </c>
      <c r="BD231" s="959">
        <f t="shared" ref="BD231:BD263" si="254">SUM(S231,AE231,AL231,AU231)</f>
        <v>50</v>
      </c>
      <c r="BE231" s="959">
        <f t="shared" ref="BE231:BE263" si="255">SUM(U231,AM231,AV231)</f>
        <v>66</v>
      </c>
      <c r="BF231" s="959">
        <f t="shared" ref="BF231:BF263" si="256">SUM(BC231:BE231)</f>
        <v>155</v>
      </c>
      <c r="BG231" s="959">
        <f t="shared" ref="BG231:BG263" si="257">SUM(V231,X231,Z231,AC231,AK231,AS231)</f>
        <v>0</v>
      </c>
      <c r="BH231" s="959">
        <f t="shared" ref="BH231:BH263" si="258">SUM(W231,AG231,AX231)</f>
        <v>0</v>
      </c>
      <c r="BI231" s="959">
        <f t="shared" ref="BI231:BI263" si="259">SUM(Y231,AH231,AO231,AY231)</f>
        <v>0</v>
      </c>
      <c r="BJ231" s="959">
        <f t="shared" ref="BJ231:BJ263" si="260">SUM(AA231,AP231,AZ231)</f>
        <v>0</v>
      </c>
      <c r="BK231" s="959">
        <f t="shared" ref="BK231:BK263" si="261">SUM(BH231:BJ231)</f>
        <v>0</v>
      </c>
      <c r="BL231" s="55"/>
    </row>
    <row r="232" spans="1:64" s="43" customFormat="1" ht="17.100000000000001" customHeight="1">
      <c r="A232" s="762" t="s">
        <v>1528</v>
      </c>
      <c r="B232" s="751" t="s">
        <v>8</v>
      </c>
      <c r="C232" s="751" t="s">
        <v>8</v>
      </c>
      <c r="D232" s="751" t="s">
        <v>1626</v>
      </c>
      <c r="E232" s="55" t="s">
        <v>2529</v>
      </c>
      <c r="F232" s="1017" t="s">
        <v>1596</v>
      </c>
      <c r="G232" s="1018">
        <v>39539</v>
      </c>
      <c r="H232" s="50" t="s">
        <v>3736</v>
      </c>
      <c r="I232" s="760">
        <v>662</v>
      </c>
      <c r="J232" s="52">
        <v>21548</v>
      </c>
      <c r="K232" s="55" t="s">
        <v>3737</v>
      </c>
      <c r="L232" s="56" t="s">
        <v>3738</v>
      </c>
      <c r="M232" s="64">
        <v>6</v>
      </c>
      <c r="N232" s="65">
        <v>0</v>
      </c>
      <c r="O232" s="66">
        <v>147</v>
      </c>
      <c r="P232" s="67">
        <v>2</v>
      </c>
      <c r="Q232" s="68">
        <v>41</v>
      </c>
      <c r="R232" s="68">
        <v>2</v>
      </c>
      <c r="S232" s="68">
        <v>50</v>
      </c>
      <c r="T232" s="68">
        <v>2</v>
      </c>
      <c r="U232" s="69">
        <v>51</v>
      </c>
      <c r="V232" s="67"/>
      <c r="W232" s="68"/>
      <c r="X232" s="68"/>
      <c r="Y232" s="68"/>
      <c r="Z232" s="68"/>
      <c r="AA232" s="69"/>
      <c r="AB232" s="70"/>
      <c r="AC232" s="68"/>
      <c r="AD232" s="68"/>
      <c r="AE232" s="68"/>
      <c r="AF232" s="68">
        <f t="shared" si="246"/>
        <v>0</v>
      </c>
      <c r="AG232" s="68"/>
      <c r="AH232" s="68"/>
      <c r="AI232" s="69">
        <f t="shared" si="247"/>
        <v>0</v>
      </c>
      <c r="AJ232" s="70"/>
      <c r="AK232" s="68"/>
      <c r="AL232" s="68"/>
      <c r="AM232" s="68"/>
      <c r="AN232" s="68">
        <f t="shared" si="248"/>
        <v>0</v>
      </c>
      <c r="AO232" s="68"/>
      <c r="AP232" s="68"/>
      <c r="AQ232" s="69">
        <f t="shared" si="249"/>
        <v>0</v>
      </c>
      <c r="AR232" s="972"/>
      <c r="AS232" s="973"/>
      <c r="AT232" s="68"/>
      <c r="AU232" s="68"/>
      <c r="AV232" s="68"/>
      <c r="AW232" s="973">
        <f t="shared" si="250"/>
        <v>0</v>
      </c>
      <c r="AX232" s="973"/>
      <c r="AY232" s="973"/>
      <c r="AZ232" s="973"/>
      <c r="BA232" s="974">
        <f t="shared" si="251"/>
        <v>0</v>
      </c>
      <c r="BB232" s="975">
        <f t="shared" si="252"/>
        <v>6</v>
      </c>
      <c r="BC232" s="959">
        <f t="shared" si="253"/>
        <v>41</v>
      </c>
      <c r="BD232" s="959">
        <f t="shared" si="254"/>
        <v>50</v>
      </c>
      <c r="BE232" s="959">
        <f t="shared" si="255"/>
        <v>51</v>
      </c>
      <c r="BF232" s="959">
        <f t="shared" si="256"/>
        <v>142</v>
      </c>
      <c r="BG232" s="959">
        <f t="shared" si="257"/>
        <v>0</v>
      </c>
      <c r="BH232" s="959">
        <f t="shared" si="258"/>
        <v>0</v>
      </c>
      <c r="BI232" s="959">
        <f t="shared" si="259"/>
        <v>0</v>
      </c>
      <c r="BJ232" s="959">
        <f t="shared" si="260"/>
        <v>0</v>
      </c>
      <c r="BK232" s="959">
        <f t="shared" si="261"/>
        <v>0</v>
      </c>
      <c r="BL232" s="55"/>
    </row>
    <row r="233" spans="1:64" s="43" customFormat="1" ht="17.100000000000001" customHeight="1">
      <c r="A233" s="762" t="s">
        <v>1528</v>
      </c>
      <c r="B233" s="751" t="s">
        <v>8</v>
      </c>
      <c r="C233" s="751" t="s">
        <v>8</v>
      </c>
      <c r="D233" s="751" t="s">
        <v>1626</v>
      </c>
      <c r="E233" s="55" t="s">
        <v>2529</v>
      </c>
      <c r="F233" s="751" t="s">
        <v>1597</v>
      </c>
      <c r="G233" s="1018">
        <v>42064</v>
      </c>
      <c r="H233" s="50" t="s">
        <v>1844</v>
      </c>
      <c r="I233" s="760">
        <v>315</v>
      </c>
      <c r="J233" s="52">
        <v>21546</v>
      </c>
      <c r="K233" s="55" t="s">
        <v>3739</v>
      </c>
      <c r="L233" s="56" t="s">
        <v>3740</v>
      </c>
      <c r="M233" s="64">
        <v>6</v>
      </c>
      <c r="N233" s="65">
        <v>0</v>
      </c>
      <c r="O233" s="66">
        <v>151</v>
      </c>
      <c r="P233" s="67">
        <v>2</v>
      </c>
      <c r="Q233" s="68">
        <v>12</v>
      </c>
      <c r="R233" s="68">
        <v>2</v>
      </c>
      <c r="S233" s="68">
        <v>35</v>
      </c>
      <c r="T233" s="68">
        <v>2</v>
      </c>
      <c r="U233" s="69">
        <v>45</v>
      </c>
      <c r="V233" s="67"/>
      <c r="W233" s="68"/>
      <c r="X233" s="68"/>
      <c r="Y233" s="68"/>
      <c r="Z233" s="68"/>
      <c r="AA233" s="69"/>
      <c r="AB233" s="70"/>
      <c r="AC233" s="68"/>
      <c r="AD233" s="68"/>
      <c r="AE233" s="68"/>
      <c r="AF233" s="68">
        <f t="shared" si="246"/>
        <v>0</v>
      </c>
      <c r="AG233" s="68"/>
      <c r="AH233" s="68"/>
      <c r="AI233" s="69">
        <f t="shared" si="247"/>
        <v>0</v>
      </c>
      <c r="AJ233" s="70"/>
      <c r="AK233" s="68"/>
      <c r="AL233" s="68"/>
      <c r="AM233" s="68"/>
      <c r="AN233" s="68">
        <f t="shared" si="248"/>
        <v>0</v>
      </c>
      <c r="AO233" s="68"/>
      <c r="AP233" s="68"/>
      <c r="AQ233" s="69">
        <f t="shared" si="249"/>
        <v>0</v>
      </c>
      <c r="AR233" s="972"/>
      <c r="AS233" s="973"/>
      <c r="AT233" s="68"/>
      <c r="AU233" s="68"/>
      <c r="AV233" s="68"/>
      <c r="AW233" s="973">
        <f t="shared" si="250"/>
        <v>0</v>
      </c>
      <c r="AX233" s="973"/>
      <c r="AY233" s="973"/>
      <c r="AZ233" s="973"/>
      <c r="BA233" s="974">
        <f t="shared" si="251"/>
        <v>0</v>
      </c>
      <c r="BB233" s="976">
        <f t="shared" si="252"/>
        <v>6</v>
      </c>
      <c r="BC233" s="959">
        <f t="shared" si="253"/>
        <v>12</v>
      </c>
      <c r="BD233" s="959">
        <f t="shared" si="254"/>
        <v>35</v>
      </c>
      <c r="BE233" s="959">
        <f t="shared" si="255"/>
        <v>45</v>
      </c>
      <c r="BF233" s="959">
        <f t="shared" si="256"/>
        <v>92</v>
      </c>
      <c r="BG233" s="959">
        <f t="shared" si="257"/>
        <v>0</v>
      </c>
      <c r="BH233" s="959">
        <f t="shared" si="258"/>
        <v>0</v>
      </c>
      <c r="BI233" s="959">
        <f t="shared" si="259"/>
        <v>0</v>
      </c>
      <c r="BJ233" s="959">
        <f t="shared" si="260"/>
        <v>0</v>
      </c>
      <c r="BK233" s="959">
        <f t="shared" si="261"/>
        <v>0</v>
      </c>
      <c r="BL233" s="55"/>
    </row>
    <row r="234" spans="1:64" s="43" customFormat="1" ht="17.100000000000001" customHeight="1">
      <c r="A234" s="762" t="s">
        <v>1528</v>
      </c>
      <c r="B234" s="751" t="s">
        <v>8</v>
      </c>
      <c r="C234" s="751" t="s">
        <v>8</v>
      </c>
      <c r="D234" s="751" t="s">
        <v>1626</v>
      </c>
      <c r="E234" s="55" t="s">
        <v>2529</v>
      </c>
      <c r="F234" s="1017" t="s">
        <v>1598</v>
      </c>
      <c r="G234" s="1018">
        <v>39873</v>
      </c>
      <c r="H234" s="50" t="s">
        <v>1855</v>
      </c>
      <c r="I234" s="760">
        <v>234</v>
      </c>
      <c r="J234" s="52">
        <v>21546</v>
      </c>
      <c r="K234" s="55" t="s">
        <v>3741</v>
      </c>
      <c r="L234" s="56" t="s">
        <v>3742</v>
      </c>
      <c r="M234" s="64">
        <v>4</v>
      </c>
      <c r="N234" s="65">
        <v>0</v>
      </c>
      <c r="O234" s="66">
        <v>111</v>
      </c>
      <c r="P234" s="67"/>
      <c r="Q234" s="68"/>
      <c r="R234" s="68"/>
      <c r="S234" s="68"/>
      <c r="T234" s="68"/>
      <c r="U234" s="69"/>
      <c r="V234" s="67"/>
      <c r="W234" s="68"/>
      <c r="X234" s="68"/>
      <c r="Y234" s="68"/>
      <c r="Z234" s="68"/>
      <c r="AA234" s="69"/>
      <c r="AB234" s="70">
        <v>1</v>
      </c>
      <c r="AC234" s="68">
        <v>0</v>
      </c>
      <c r="AD234" s="68">
        <v>0</v>
      </c>
      <c r="AE234" s="68">
        <v>2</v>
      </c>
      <c r="AF234" s="68">
        <f t="shared" si="246"/>
        <v>2</v>
      </c>
      <c r="AG234" s="68">
        <v>0</v>
      </c>
      <c r="AH234" s="68">
        <v>0</v>
      </c>
      <c r="AI234" s="69">
        <f t="shared" si="247"/>
        <v>0</v>
      </c>
      <c r="AJ234" s="70">
        <v>1</v>
      </c>
      <c r="AK234" s="68">
        <v>0</v>
      </c>
      <c r="AL234" s="68">
        <v>0</v>
      </c>
      <c r="AM234" s="68">
        <v>2</v>
      </c>
      <c r="AN234" s="68">
        <f t="shared" si="248"/>
        <v>2</v>
      </c>
      <c r="AO234" s="68"/>
      <c r="AP234" s="68"/>
      <c r="AQ234" s="69">
        <f t="shared" si="249"/>
        <v>0</v>
      </c>
      <c r="AR234" s="972"/>
      <c r="AS234" s="973"/>
      <c r="AT234" s="68"/>
      <c r="AU234" s="68"/>
      <c r="AV234" s="68"/>
      <c r="AW234" s="973">
        <f t="shared" si="250"/>
        <v>0</v>
      </c>
      <c r="AX234" s="973"/>
      <c r="AY234" s="973"/>
      <c r="AZ234" s="973"/>
      <c r="BA234" s="974">
        <f t="shared" si="251"/>
        <v>0</v>
      </c>
      <c r="BB234" s="975">
        <f t="shared" si="252"/>
        <v>2</v>
      </c>
      <c r="BC234" s="959">
        <f t="shared" si="253"/>
        <v>0</v>
      </c>
      <c r="BD234" s="959">
        <f t="shared" si="254"/>
        <v>2</v>
      </c>
      <c r="BE234" s="959">
        <f t="shared" si="255"/>
        <v>2</v>
      </c>
      <c r="BF234" s="959">
        <f t="shared" si="256"/>
        <v>4</v>
      </c>
      <c r="BG234" s="959">
        <f t="shared" si="257"/>
        <v>0</v>
      </c>
      <c r="BH234" s="959">
        <f t="shared" si="258"/>
        <v>0</v>
      </c>
      <c r="BI234" s="959">
        <f t="shared" si="259"/>
        <v>0</v>
      </c>
      <c r="BJ234" s="959">
        <f t="shared" si="260"/>
        <v>0</v>
      </c>
      <c r="BK234" s="959">
        <f t="shared" si="261"/>
        <v>0</v>
      </c>
      <c r="BL234" s="55"/>
    </row>
    <row r="235" spans="1:64" s="43" customFormat="1" ht="17.100000000000001" customHeight="1">
      <c r="A235" s="762" t="s">
        <v>1528</v>
      </c>
      <c r="B235" s="751" t="s">
        <v>8</v>
      </c>
      <c r="C235" s="751" t="s">
        <v>8</v>
      </c>
      <c r="D235" s="751" t="s">
        <v>1804</v>
      </c>
      <c r="E235" s="55" t="s">
        <v>2529</v>
      </c>
      <c r="F235" s="1017" t="s">
        <v>1599</v>
      </c>
      <c r="G235" s="1018">
        <v>42064</v>
      </c>
      <c r="H235" s="50" t="s">
        <v>1632</v>
      </c>
      <c r="I235" s="760">
        <v>508</v>
      </c>
      <c r="J235" s="52">
        <v>21502</v>
      </c>
      <c r="K235" s="55" t="s">
        <v>3743</v>
      </c>
      <c r="L235" s="56" t="s">
        <v>3744</v>
      </c>
      <c r="M235" s="64">
        <v>10</v>
      </c>
      <c r="N235" s="65">
        <v>0</v>
      </c>
      <c r="O235" s="66">
        <v>268</v>
      </c>
      <c r="P235" s="67">
        <v>3</v>
      </c>
      <c r="Q235" s="68">
        <v>46</v>
      </c>
      <c r="R235" s="68">
        <v>3</v>
      </c>
      <c r="S235" s="68">
        <v>53</v>
      </c>
      <c r="T235" s="68">
        <v>2</v>
      </c>
      <c r="U235" s="69">
        <v>46</v>
      </c>
      <c r="V235" s="67"/>
      <c r="W235" s="68"/>
      <c r="X235" s="68"/>
      <c r="Y235" s="68"/>
      <c r="Z235" s="68"/>
      <c r="AA235" s="69"/>
      <c r="AB235" s="70"/>
      <c r="AC235" s="68"/>
      <c r="AD235" s="68"/>
      <c r="AE235" s="68"/>
      <c r="AF235" s="68">
        <f t="shared" ref="AF235:AF263" si="262">SUM(AD235:AE235)</f>
        <v>0</v>
      </c>
      <c r="AG235" s="68"/>
      <c r="AH235" s="68"/>
      <c r="AI235" s="69">
        <f t="shared" ref="AI235:AI263" si="263">SUM(AG235:AH235)</f>
        <v>0</v>
      </c>
      <c r="AJ235" s="70"/>
      <c r="AK235" s="68"/>
      <c r="AL235" s="68"/>
      <c r="AM235" s="68"/>
      <c r="AN235" s="68">
        <f t="shared" ref="AN235:AN263" si="264">SUM(AL235:AM235)</f>
        <v>0</v>
      </c>
      <c r="AO235" s="68"/>
      <c r="AP235" s="68"/>
      <c r="AQ235" s="69">
        <f t="shared" ref="AQ235:AQ263" si="265">SUM(AO235:AP235)</f>
        <v>0</v>
      </c>
      <c r="AR235" s="972"/>
      <c r="AS235" s="973"/>
      <c r="AT235" s="68"/>
      <c r="AU235" s="68"/>
      <c r="AV235" s="68"/>
      <c r="AW235" s="973">
        <f t="shared" ref="AW235:AW263" si="266">SUM(AT235:AV235)</f>
        <v>0</v>
      </c>
      <c r="AX235" s="973"/>
      <c r="AY235" s="973"/>
      <c r="AZ235" s="973"/>
      <c r="BA235" s="974">
        <f t="shared" ref="BA235:BA263" si="267">SUM(AX235:AZ235)</f>
        <v>0</v>
      </c>
      <c r="BB235" s="975">
        <f t="shared" si="252"/>
        <v>8</v>
      </c>
      <c r="BC235" s="959">
        <f t="shared" si="253"/>
        <v>46</v>
      </c>
      <c r="BD235" s="959">
        <f t="shared" si="254"/>
        <v>53</v>
      </c>
      <c r="BE235" s="959">
        <f t="shared" si="255"/>
        <v>46</v>
      </c>
      <c r="BF235" s="959">
        <f t="shared" si="256"/>
        <v>145</v>
      </c>
      <c r="BG235" s="959">
        <f t="shared" si="257"/>
        <v>0</v>
      </c>
      <c r="BH235" s="959">
        <f t="shared" si="258"/>
        <v>0</v>
      </c>
      <c r="BI235" s="959">
        <f t="shared" si="259"/>
        <v>0</v>
      </c>
      <c r="BJ235" s="959">
        <f t="shared" si="260"/>
        <v>0</v>
      </c>
      <c r="BK235" s="959">
        <f t="shared" si="261"/>
        <v>0</v>
      </c>
      <c r="BL235" s="55"/>
    </row>
    <row r="236" spans="1:64" s="43" customFormat="1" ht="17.100000000000001" customHeight="1">
      <c r="A236" s="762" t="s">
        <v>1528</v>
      </c>
      <c r="B236" s="751" t="s">
        <v>8</v>
      </c>
      <c r="C236" s="751" t="s">
        <v>8</v>
      </c>
      <c r="D236" s="751" t="s">
        <v>1804</v>
      </c>
      <c r="E236" s="55" t="s">
        <v>2529</v>
      </c>
      <c r="F236" s="1017" t="s">
        <v>1379</v>
      </c>
      <c r="G236" s="1018">
        <v>34029</v>
      </c>
      <c r="H236" s="50" t="s">
        <v>1633</v>
      </c>
      <c r="I236" s="760">
        <v>620</v>
      </c>
      <c r="J236" s="52">
        <v>21503</v>
      </c>
      <c r="K236" s="55" t="s">
        <v>3745</v>
      </c>
      <c r="L236" s="56" t="s">
        <v>3746</v>
      </c>
      <c r="M236" s="64">
        <v>6</v>
      </c>
      <c r="N236" s="65">
        <v>0</v>
      </c>
      <c r="O236" s="66">
        <v>159</v>
      </c>
      <c r="P236" s="67">
        <v>2</v>
      </c>
      <c r="Q236" s="68">
        <v>50</v>
      </c>
      <c r="R236" s="68">
        <v>2</v>
      </c>
      <c r="S236" s="68">
        <v>45</v>
      </c>
      <c r="T236" s="68">
        <v>2</v>
      </c>
      <c r="U236" s="69">
        <v>55</v>
      </c>
      <c r="V236" s="67"/>
      <c r="W236" s="68"/>
      <c r="X236" s="68"/>
      <c r="Y236" s="68"/>
      <c r="Z236" s="68"/>
      <c r="AA236" s="69"/>
      <c r="AB236" s="70"/>
      <c r="AC236" s="68"/>
      <c r="AD236" s="68"/>
      <c r="AE236" s="68"/>
      <c r="AF236" s="68">
        <f t="shared" si="262"/>
        <v>0</v>
      </c>
      <c r="AG236" s="68"/>
      <c r="AH236" s="68"/>
      <c r="AI236" s="69">
        <f t="shared" si="263"/>
        <v>0</v>
      </c>
      <c r="AJ236" s="70"/>
      <c r="AK236" s="68"/>
      <c r="AL236" s="68"/>
      <c r="AM236" s="68"/>
      <c r="AN236" s="68">
        <f t="shared" si="264"/>
        <v>0</v>
      </c>
      <c r="AO236" s="68"/>
      <c r="AP236" s="68"/>
      <c r="AQ236" s="69">
        <f t="shared" si="265"/>
        <v>0</v>
      </c>
      <c r="AR236" s="972"/>
      <c r="AS236" s="973"/>
      <c r="AT236" s="68"/>
      <c r="AU236" s="68"/>
      <c r="AV236" s="68"/>
      <c r="AW236" s="973">
        <f t="shared" si="266"/>
        <v>0</v>
      </c>
      <c r="AX236" s="973"/>
      <c r="AY236" s="973"/>
      <c r="AZ236" s="973"/>
      <c r="BA236" s="974">
        <f t="shared" si="267"/>
        <v>0</v>
      </c>
      <c r="BB236" s="976">
        <f t="shared" si="252"/>
        <v>6</v>
      </c>
      <c r="BC236" s="959">
        <f t="shared" si="253"/>
        <v>50</v>
      </c>
      <c r="BD236" s="959">
        <f t="shared" si="254"/>
        <v>45</v>
      </c>
      <c r="BE236" s="959">
        <f t="shared" si="255"/>
        <v>55</v>
      </c>
      <c r="BF236" s="959">
        <f t="shared" si="256"/>
        <v>150</v>
      </c>
      <c r="BG236" s="959">
        <f t="shared" si="257"/>
        <v>0</v>
      </c>
      <c r="BH236" s="959">
        <f t="shared" si="258"/>
        <v>0</v>
      </c>
      <c r="BI236" s="959">
        <f t="shared" si="259"/>
        <v>0</v>
      </c>
      <c r="BJ236" s="959">
        <f t="shared" si="260"/>
        <v>0</v>
      </c>
      <c r="BK236" s="959">
        <f t="shared" si="261"/>
        <v>0</v>
      </c>
      <c r="BL236" s="55"/>
    </row>
    <row r="237" spans="1:64" s="43" customFormat="1" ht="17.100000000000001" customHeight="1">
      <c r="A237" s="762" t="s">
        <v>1528</v>
      </c>
      <c r="B237" s="751" t="s">
        <v>8</v>
      </c>
      <c r="C237" s="751" t="s">
        <v>8</v>
      </c>
      <c r="D237" s="751" t="s">
        <v>1623</v>
      </c>
      <c r="E237" s="55" t="s">
        <v>2529</v>
      </c>
      <c r="F237" s="1017" t="s">
        <v>1600</v>
      </c>
      <c r="G237" s="1018">
        <v>39581</v>
      </c>
      <c r="H237" s="50" t="s">
        <v>1845</v>
      </c>
      <c r="I237" s="760">
        <v>208</v>
      </c>
      <c r="J237" s="52">
        <v>21563</v>
      </c>
      <c r="K237" s="55" t="s">
        <v>3747</v>
      </c>
      <c r="L237" s="56" t="s">
        <v>3748</v>
      </c>
      <c r="M237" s="64">
        <v>4</v>
      </c>
      <c r="N237" s="65">
        <v>0</v>
      </c>
      <c r="O237" s="66">
        <v>74</v>
      </c>
      <c r="P237" s="67">
        <v>2</v>
      </c>
      <c r="Q237" s="68">
        <v>24</v>
      </c>
      <c r="R237" s="68">
        <v>1</v>
      </c>
      <c r="S237" s="68">
        <v>19</v>
      </c>
      <c r="T237" s="68">
        <v>1</v>
      </c>
      <c r="U237" s="69">
        <v>19</v>
      </c>
      <c r="V237" s="67"/>
      <c r="W237" s="68"/>
      <c r="X237" s="68"/>
      <c r="Y237" s="68"/>
      <c r="Z237" s="68"/>
      <c r="AA237" s="69"/>
      <c r="AB237" s="70"/>
      <c r="AC237" s="68"/>
      <c r="AD237" s="68"/>
      <c r="AE237" s="68"/>
      <c r="AF237" s="68">
        <f t="shared" si="262"/>
        <v>0</v>
      </c>
      <c r="AG237" s="68"/>
      <c r="AH237" s="68"/>
      <c r="AI237" s="69">
        <f t="shared" si="263"/>
        <v>0</v>
      </c>
      <c r="AJ237" s="70"/>
      <c r="AK237" s="68"/>
      <c r="AL237" s="68"/>
      <c r="AM237" s="68"/>
      <c r="AN237" s="68">
        <f t="shared" si="264"/>
        <v>0</v>
      </c>
      <c r="AO237" s="68"/>
      <c r="AP237" s="68"/>
      <c r="AQ237" s="69">
        <f t="shared" si="265"/>
        <v>0</v>
      </c>
      <c r="AR237" s="972"/>
      <c r="AS237" s="973"/>
      <c r="AT237" s="68"/>
      <c r="AU237" s="68"/>
      <c r="AV237" s="68"/>
      <c r="AW237" s="973">
        <f t="shared" si="266"/>
        <v>0</v>
      </c>
      <c r="AX237" s="973"/>
      <c r="AY237" s="973"/>
      <c r="AZ237" s="973"/>
      <c r="BA237" s="974">
        <f t="shared" si="267"/>
        <v>0</v>
      </c>
      <c r="BB237" s="975">
        <f t="shared" si="252"/>
        <v>4</v>
      </c>
      <c r="BC237" s="959">
        <f t="shared" si="253"/>
        <v>24</v>
      </c>
      <c r="BD237" s="959">
        <f t="shared" si="254"/>
        <v>19</v>
      </c>
      <c r="BE237" s="959">
        <f t="shared" si="255"/>
        <v>19</v>
      </c>
      <c r="BF237" s="959">
        <f t="shared" si="256"/>
        <v>62</v>
      </c>
      <c r="BG237" s="959">
        <f t="shared" si="257"/>
        <v>0</v>
      </c>
      <c r="BH237" s="959">
        <f t="shared" si="258"/>
        <v>0</v>
      </c>
      <c r="BI237" s="959">
        <f t="shared" si="259"/>
        <v>0</v>
      </c>
      <c r="BJ237" s="959">
        <f t="shared" si="260"/>
        <v>0</v>
      </c>
      <c r="BK237" s="959">
        <f t="shared" si="261"/>
        <v>0</v>
      </c>
      <c r="BL237" s="55"/>
    </row>
    <row r="238" spans="1:64" s="43" customFormat="1" ht="17.100000000000001" customHeight="1">
      <c r="A238" s="762" t="s">
        <v>1528</v>
      </c>
      <c r="B238" s="751" t="s">
        <v>8</v>
      </c>
      <c r="C238" s="751" t="s">
        <v>8</v>
      </c>
      <c r="D238" s="751" t="s">
        <v>1623</v>
      </c>
      <c r="E238" s="55" t="s">
        <v>2529</v>
      </c>
      <c r="F238" s="751" t="s">
        <v>1601</v>
      </c>
      <c r="G238" s="1018">
        <v>42179</v>
      </c>
      <c r="H238" s="50" t="s">
        <v>3749</v>
      </c>
      <c r="I238" s="760">
        <v>545</v>
      </c>
      <c r="J238" s="52">
        <v>21584</v>
      </c>
      <c r="K238" s="55" t="s">
        <v>3750</v>
      </c>
      <c r="L238" s="56" t="s">
        <v>3751</v>
      </c>
      <c r="M238" s="64">
        <v>11</v>
      </c>
      <c r="N238" s="65">
        <v>0</v>
      </c>
      <c r="O238" s="66">
        <v>308</v>
      </c>
      <c r="P238" s="67">
        <v>3</v>
      </c>
      <c r="Q238" s="68">
        <v>34</v>
      </c>
      <c r="R238" s="68">
        <v>3</v>
      </c>
      <c r="S238" s="68">
        <v>54</v>
      </c>
      <c r="T238" s="68">
        <v>2</v>
      </c>
      <c r="U238" s="69">
        <v>52</v>
      </c>
      <c r="V238" s="67"/>
      <c r="W238" s="68"/>
      <c r="X238" s="68"/>
      <c r="Y238" s="68"/>
      <c r="Z238" s="68"/>
      <c r="AA238" s="69"/>
      <c r="AB238" s="70"/>
      <c r="AC238" s="68"/>
      <c r="AD238" s="68"/>
      <c r="AE238" s="68"/>
      <c r="AF238" s="68">
        <f t="shared" si="262"/>
        <v>0</v>
      </c>
      <c r="AG238" s="68"/>
      <c r="AH238" s="68"/>
      <c r="AI238" s="69">
        <f t="shared" si="263"/>
        <v>0</v>
      </c>
      <c r="AJ238" s="70"/>
      <c r="AK238" s="68"/>
      <c r="AL238" s="68"/>
      <c r="AM238" s="68"/>
      <c r="AN238" s="68">
        <f t="shared" si="264"/>
        <v>0</v>
      </c>
      <c r="AO238" s="68"/>
      <c r="AP238" s="68"/>
      <c r="AQ238" s="69">
        <f t="shared" si="265"/>
        <v>0</v>
      </c>
      <c r="AR238" s="972"/>
      <c r="AS238" s="973"/>
      <c r="AT238" s="68"/>
      <c r="AU238" s="68"/>
      <c r="AV238" s="68"/>
      <c r="AW238" s="973">
        <f t="shared" si="266"/>
        <v>0</v>
      </c>
      <c r="AX238" s="973"/>
      <c r="AY238" s="973"/>
      <c r="AZ238" s="973"/>
      <c r="BA238" s="974">
        <f t="shared" si="267"/>
        <v>0</v>
      </c>
      <c r="BB238" s="975">
        <f t="shared" si="252"/>
        <v>8</v>
      </c>
      <c r="BC238" s="959">
        <f t="shared" si="253"/>
        <v>34</v>
      </c>
      <c r="BD238" s="959">
        <f t="shared" si="254"/>
        <v>54</v>
      </c>
      <c r="BE238" s="959">
        <f t="shared" si="255"/>
        <v>52</v>
      </c>
      <c r="BF238" s="959">
        <f t="shared" si="256"/>
        <v>140</v>
      </c>
      <c r="BG238" s="959">
        <f t="shared" si="257"/>
        <v>0</v>
      </c>
      <c r="BH238" s="959">
        <f t="shared" si="258"/>
        <v>0</v>
      </c>
      <c r="BI238" s="959">
        <f t="shared" si="259"/>
        <v>0</v>
      </c>
      <c r="BJ238" s="959">
        <f t="shared" si="260"/>
        <v>0</v>
      </c>
      <c r="BK238" s="959">
        <f t="shared" si="261"/>
        <v>0</v>
      </c>
      <c r="BL238" s="55"/>
    </row>
    <row r="239" spans="1:64" s="43" customFormat="1" ht="17.100000000000001" customHeight="1">
      <c r="A239" s="762" t="s">
        <v>1528</v>
      </c>
      <c r="B239" s="751" t="s">
        <v>8</v>
      </c>
      <c r="C239" s="751" t="s">
        <v>8</v>
      </c>
      <c r="D239" s="751" t="s">
        <v>1623</v>
      </c>
      <c r="E239" s="55" t="s">
        <v>2529</v>
      </c>
      <c r="F239" s="1017" t="s">
        <v>1602</v>
      </c>
      <c r="G239" s="1018">
        <v>33843</v>
      </c>
      <c r="H239" s="50" t="s">
        <v>3752</v>
      </c>
      <c r="I239" s="760">
        <v>913</v>
      </c>
      <c r="J239" s="52">
        <v>21563</v>
      </c>
      <c r="K239" s="55" t="s">
        <v>3753</v>
      </c>
      <c r="L239" s="56" t="s">
        <v>3754</v>
      </c>
      <c r="M239" s="64">
        <v>7</v>
      </c>
      <c r="N239" s="65">
        <v>0</v>
      </c>
      <c r="O239" s="66">
        <v>210</v>
      </c>
      <c r="P239" s="67">
        <v>2</v>
      </c>
      <c r="Q239" s="68">
        <v>36</v>
      </c>
      <c r="R239" s="68">
        <v>2</v>
      </c>
      <c r="S239" s="68">
        <v>41</v>
      </c>
      <c r="T239" s="68">
        <v>2</v>
      </c>
      <c r="U239" s="69">
        <v>46</v>
      </c>
      <c r="V239" s="67"/>
      <c r="W239" s="68"/>
      <c r="X239" s="68"/>
      <c r="Y239" s="68"/>
      <c r="Z239" s="68"/>
      <c r="AA239" s="69"/>
      <c r="AB239" s="70"/>
      <c r="AC239" s="68"/>
      <c r="AD239" s="68"/>
      <c r="AE239" s="68"/>
      <c r="AF239" s="68">
        <f t="shared" si="262"/>
        <v>0</v>
      </c>
      <c r="AG239" s="68"/>
      <c r="AH239" s="68"/>
      <c r="AI239" s="69">
        <f t="shared" si="263"/>
        <v>0</v>
      </c>
      <c r="AJ239" s="70"/>
      <c r="AK239" s="68"/>
      <c r="AL239" s="68"/>
      <c r="AM239" s="68"/>
      <c r="AN239" s="68">
        <f t="shared" si="264"/>
        <v>0</v>
      </c>
      <c r="AO239" s="68"/>
      <c r="AP239" s="68"/>
      <c r="AQ239" s="69">
        <f t="shared" si="265"/>
        <v>0</v>
      </c>
      <c r="AR239" s="972"/>
      <c r="AS239" s="973"/>
      <c r="AT239" s="68"/>
      <c r="AU239" s="68"/>
      <c r="AV239" s="68"/>
      <c r="AW239" s="973">
        <f t="shared" si="266"/>
        <v>0</v>
      </c>
      <c r="AX239" s="973"/>
      <c r="AY239" s="973"/>
      <c r="AZ239" s="973"/>
      <c r="BA239" s="974">
        <f t="shared" si="267"/>
        <v>0</v>
      </c>
      <c r="BB239" s="976">
        <f t="shared" si="252"/>
        <v>6</v>
      </c>
      <c r="BC239" s="959">
        <f t="shared" si="253"/>
        <v>36</v>
      </c>
      <c r="BD239" s="959">
        <f t="shared" si="254"/>
        <v>41</v>
      </c>
      <c r="BE239" s="959">
        <f t="shared" si="255"/>
        <v>46</v>
      </c>
      <c r="BF239" s="959">
        <f t="shared" si="256"/>
        <v>123</v>
      </c>
      <c r="BG239" s="959">
        <f t="shared" si="257"/>
        <v>0</v>
      </c>
      <c r="BH239" s="959">
        <f t="shared" si="258"/>
        <v>0</v>
      </c>
      <c r="BI239" s="959">
        <f t="shared" si="259"/>
        <v>0</v>
      </c>
      <c r="BJ239" s="959">
        <f t="shared" si="260"/>
        <v>0</v>
      </c>
      <c r="BK239" s="959">
        <f t="shared" si="261"/>
        <v>0</v>
      </c>
      <c r="BL239" s="55"/>
    </row>
    <row r="240" spans="1:64" s="43" customFormat="1" ht="17.100000000000001" customHeight="1">
      <c r="A240" s="762" t="s">
        <v>1528</v>
      </c>
      <c r="B240" s="751" t="s">
        <v>8</v>
      </c>
      <c r="C240" s="751" t="s">
        <v>8</v>
      </c>
      <c r="D240" s="751" t="s">
        <v>1624</v>
      </c>
      <c r="E240" s="55" t="s">
        <v>2529</v>
      </c>
      <c r="F240" s="1017" t="s">
        <v>1603</v>
      </c>
      <c r="G240" s="1018">
        <v>31388</v>
      </c>
      <c r="H240" s="50" t="s">
        <v>1847</v>
      </c>
      <c r="I240" s="760">
        <v>383</v>
      </c>
      <c r="J240" s="52">
        <v>21547</v>
      </c>
      <c r="K240" s="55" t="s">
        <v>3755</v>
      </c>
      <c r="L240" s="56" t="s">
        <v>3756</v>
      </c>
      <c r="M240" s="64">
        <v>5</v>
      </c>
      <c r="N240" s="65">
        <v>0</v>
      </c>
      <c r="O240" s="66">
        <v>113</v>
      </c>
      <c r="P240" s="67">
        <v>1</v>
      </c>
      <c r="Q240" s="68">
        <v>8</v>
      </c>
      <c r="R240" s="68">
        <v>1</v>
      </c>
      <c r="S240" s="68">
        <v>11</v>
      </c>
      <c r="T240" s="68">
        <v>1</v>
      </c>
      <c r="U240" s="69">
        <v>15</v>
      </c>
      <c r="V240" s="67"/>
      <c r="W240" s="68"/>
      <c r="X240" s="68"/>
      <c r="Y240" s="68"/>
      <c r="Z240" s="68"/>
      <c r="AA240" s="69"/>
      <c r="AB240" s="70"/>
      <c r="AC240" s="68"/>
      <c r="AD240" s="68"/>
      <c r="AE240" s="68"/>
      <c r="AF240" s="68">
        <f t="shared" si="262"/>
        <v>0</v>
      </c>
      <c r="AG240" s="68"/>
      <c r="AH240" s="68"/>
      <c r="AI240" s="69">
        <f t="shared" si="263"/>
        <v>0</v>
      </c>
      <c r="AJ240" s="70"/>
      <c r="AK240" s="68"/>
      <c r="AL240" s="68"/>
      <c r="AM240" s="68"/>
      <c r="AN240" s="68">
        <f t="shared" si="264"/>
        <v>0</v>
      </c>
      <c r="AO240" s="68"/>
      <c r="AP240" s="68"/>
      <c r="AQ240" s="69">
        <f t="shared" si="265"/>
        <v>0</v>
      </c>
      <c r="AR240" s="972"/>
      <c r="AS240" s="973"/>
      <c r="AT240" s="68"/>
      <c r="AU240" s="68"/>
      <c r="AV240" s="68"/>
      <c r="AW240" s="973">
        <f t="shared" si="266"/>
        <v>0</v>
      </c>
      <c r="AX240" s="973"/>
      <c r="AY240" s="973"/>
      <c r="AZ240" s="973"/>
      <c r="BA240" s="974">
        <f t="shared" si="267"/>
        <v>0</v>
      </c>
      <c r="BB240" s="975">
        <f t="shared" si="252"/>
        <v>3</v>
      </c>
      <c r="BC240" s="959">
        <f t="shared" si="253"/>
        <v>8</v>
      </c>
      <c r="BD240" s="959">
        <f t="shared" si="254"/>
        <v>11</v>
      </c>
      <c r="BE240" s="959">
        <f t="shared" si="255"/>
        <v>15</v>
      </c>
      <c r="BF240" s="959">
        <f t="shared" si="256"/>
        <v>34</v>
      </c>
      <c r="BG240" s="959">
        <f t="shared" si="257"/>
        <v>0</v>
      </c>
      <c r="BH240" s="959">
        <f t="shared" si="258"/>
        <v>0</v>
      </c>
      <c r="BI240" s="959">
        <f t="shared" si="259"/>
        <v>0</v>
      </c>
      <c r="BJ240" s="959">
        <f t="shared" si="260"/>
        <v>0</v>
      </c>
      <c r="BK240" s="959">
        <f t="shared" si="261"/>
        <v>0</v>
      </c>
      <c r="BL240" s="55"/>
    </row>
    <row r="241" spans="1:64" s="43" customFormat="1" ht="17.100000000000001" customHeight="1">
      <c r="A241" s="762" t="s">
        <v>1528</v>
      </c>
      <c r="B241" s="751" t="s">
        <v>8</v>
      </c>
      <c r="C241" s="751" t="s">
        <v>8</v>
      </c>
      <c r="D241" s="751" t="s">
        <v>1624</v>
      </c>
      <c r="E241" s="55" t="s">
        <v>2529</v>
      </c>
      <c r="F241" s="751" t="s">
        <v>1604</v>
      </c>
      <c r="G241" s="1018">
        <v>39685</v>
      </c>
      <c r="H241" s="50" t="s">
        <v>3757</v>
      </c>
      <c r="I241" s="760">
        <v>432</v>
      </c>
      <c r="J241" s="52">
        <v>21561</v>
      </c>
      <c r="K241" s="55" t="s">
        <v>3758</v>
      </c>
      <c r="L241" s="56" t="s">
        <v>3759</v>
      </c>
      <c r="M241" s="64">
        <v>7</v>
      </c>
      <c r="N241" s="65">
        <v>0</v>
      </c>
      <c r="O241" s="66">
        <v>120</v>
      </c>
      <c r="P241" s="67">
        <v>2</v>
      </c>
      <c r="Q241" s="68">
        <v>26</v>
      </c>
      <c r="R241" s="68">
        <v>1</v>
      </c>
      <c r="S241" s="68">
        <v>16</v>
      </c>
      <c r="T241" s="68">
        <v>2</v>
      </c>
      <c r="U241" s="69">
        <v>29</v>
      </c>
      <c r="V241" s="67"/>
      <c r="W241" s="68"/>
      <c r="X241" s="68"/>
      <c r="Y241" s="68"/>
      <c r="Z241" s="68"/>
      <c r="AA241" s="69"/>
      <c r="AB241" s="70"/>
      <c r="AC241" s="68"/>
      <c r="AD241" s="68"/>
      <c r="AE241" s="68"/>
      <c r="AF241" s="68">
        <f t="shared" si="262"/>
        <v>0</v>
      </c>
      <c r="AG241" s="68"/>
      <c r="AH241" s="68"/>
      <c r="AI241" s="69">
        <f t="shared" si="263"/>
        <v>0</v>
      </c>
      <c r="AJ241" s="70"/>
      <c r="AK241" s="68"/>
      <c r="AL241" s="68"/>
      <c r="AM241" s="68"/>
      <c r="AN241" s="68">
        <f t="shared" si="264"/>
        <v>0</v>
      </c>
      <c r="AO241" s="68"/>
      <c r="AP241" s="68"/>
      <c r="AQ241" s="69">
        <f t="shared" si="265"/>
        <v>0</v>
      </c>
      <c r="AR241" s="972"/>
      <c r="AS241" s="973"/>
      <c r="AT241" s="68"/>
      <c r="AU241" s="68"/>
      <c r="AV241" s="68"/>
      <c r="AW241" s="973">
        <f t="shared" si="266"/>
        <v>0</v>
      </c>
      <c r="AX241" s="973"/>
      <c r="AY241" s="973"/>
      <c r="AZ241" s="973"/>
      <c r="BA241" s="974">
        <f t="shared" si="267"/>
        <v>0</v>
      </c>
      <c r="BB241" s="975">
        <f t="shared" si="252"/>
        <v>5</v>
      </c>
      <c r="BC241" s="959">
        <f t="shared" si="253"/>
        <v>26</v>
      </c>
      <c r="BD241" s="959">
        <f t="shared" si="254"/>
        <v>16</v>
      </c>
      <c r="BE241" s="959">
        <f t="shared" si="255"/>
        <v>29</v>
      </c>
      <c r="BF241" s="959">
        <f t="shared" si="256"/>
        <v>71</v>
      </c>
      <c r="BG241" s="959">
        <f t="shared" si="257"/>
        <v>0</v>
      </c>
      <c r="BH241" s="959">
        <f t="shared" si="258"/>
        <v>0</v>
      </c>
      <c r="BI241" s="959">
        <f t="shared" si="259"/>
        <v>0</v>
      </c>
      <c r="BJ241" s="959">
        <f t="shared" si="260"/>
        <v>0</v>
      </c>
      <c r="BK241" s="959">
        <f t="shared" si="261"/>
        <v>0</v>
      </c>
      <c r="BL241" s="55"/>
    </row>
    <row r="242" spans="1:64" s="43" customFormat="1" ht="17.100000000000001" customHeight="1">
      <c r="A242" s="762" t="s">
        <v>1528</v>
      </c>
      <c r="B242" s="751" t="s">
        <v>8</v>
      </c>
      <c r="C242" s="751" t="s">
        <v>8</v>
      </c>
      <c r="D242" s="751" t="s">
        <v>1624</v>
      </c>
      <c r="E242" s="55" t="s">
        <v>2529</v>
      </c>
      <c r="F242" s="751" t="s">
        <v>1605</v>
      </c>
      <c r="G242" s="1018">
        <v>39457</v>
      </c>
      <c r="H242" s="50" t="s">
        <v>1856</v>
      </c>
      <c r="I242" s="760">
        <v>423</v>
      </c>
      <c r="J242" s="52">
        <v>21562</v>
      </c>
      <c r="K242" s="55" t="s">
        <v>3760</v>
      </c>
      <c r="L242" s="56" t="s">
        <v>3761</v>
      </c>
      <c r="M242" s="64">
        <v>6</v>
      </c>
      <c r="N242" s="65">
        <v>0</v>
      </c>
      <c r="O242" s="66">
        <v>160</v>
      </c>
      <c r="P242" s="67">
        <v>2</v>
      </c>
      <c r="Q242" s="68">
        <v>38</v>
      </c>
      <c r="R242" s="68">
        <v>2</v>
      </c>
      <c r="S242" s="68">
        <v>45</v>
      </c>
      <c r="T242" s="68">
        <v>2</v>
      </c>
      <c r="U242" s="69">
        <v>47</v>
      </c>
      <c r="V242" s="67"/>
      <c r="W242" s="68"/>
      <c r="X242" s="68"/>
      <c r="Y242" s="68"/>
      <c r="Z242" s="68"/>
      <c r="AA242" s="69"/>
      <c r="AB242" s="70"/>
      <c r="AC242" s="68"/>
      <c r="AD242" s="68"/>
      <c r="AE242" s="68"/>
      <c r="AF242" s="68">
        <f t="shared" si="262"/>
        <v>0</v>
      </c>
      <c r="AG242" s="68"/>
      <c r="AH242" s="68"/>
      <c r="AI242" s="69">
        <f t="shared" si="263"/>
        <v>0</v>
      </c>
      <c r="AJ242" s="70"/>
      <c r="AK242" s="68"/>
      <c r="AL242" s="68"/>
      <c r="AM242" s="68"/>
      <c r="AN242" s="68">
        <f t="shared" si="264"/>
        <v>0</v>
      </c>
      <c r="AO242" s="68"/>
      <c r="AP242" s="68"/>
      <c r="AQ242" s="69">
        <f t="shared" si="265"/>
        <v>0</v>
      </c>
      <c r="AR242" s="972"/>
      <c r="AS242" s="973"/>
      <c r="AT242" s="68"/>
      <c r="AU242" s="68"/>
      <c r="AV242" s="68"/>
      <c r="AW242" s="973">
        <f t="shared" si="266"/>
        <v>0</v>
      </c>
      <c r="AX242" s="973"/>
      <c r="AY242" s="973"/>
      <c r="AZ242" s="973"/>
      <c r="BA242" s="974">
        <f t="shared" si="267"/>
        <v>0</v>
      </c>
      <c r="BB242" s="976">
        <f t="shared" si="252"/>
        <v>6</v>
      </c>
      <c r="BC242" s="959">
        <f t="shared" si="253"/>
        <v>38</v>
      </c>
      <c r="BD242" s="959">
        <f t="shared" si="254"/>
        <v>45</v>
      </c>
      <c r="BE242" s="959">
        <f t="shared" si="255"/>
        <v>47</v>
      </c>
      <c r="BF242" s="959">
        <f t="shared" si="256"/>
        <v>130</v>
      </c>
      <c r="BG242" s="959">
        <f t="shared" si="257"/>
        <v>0</v>
      </c>
      <c r="BH242" s="959">
        <f t="shared" si="258"/>
        <v>0</v>
      </c>
      <c r="BI242" s="959">
        <f t="shared" si="259"/>
        <v>0</v>
      </c>
      <c r="BJ242" s="959">
        <f t="shared" si="260"/>
        <v>0</v>
      </c>
      <c r="BK242" s="959">
        <f t="shared" si="261"/>
        <v>0</v>
      </c>
      <c r="BL242" s="55"/>
    </row>
    <row r="243" spans="1:64" s="43" customFormat="1" ht="17.100000000000001" customHeight="1">
      <c r="A243" s="762" t="s">
        <v>1528</v>
      </c>
      <c r="B243" s="751" t="s">
        <v>8</v>
      </c>
      <c r="C243" s="751" t="s">
        <v>8</v>
      </c>
      <c r="D243" s="751" t="s">
        <v>1624</v>
      </c>
      <c r="E243" s="55" t="s">
        <v>2529</v>
      </c>
      <c r="F243" s="751" t="s">
        <v>1606</v>
      </c>
      <c r="G243" s="1019">
        <v>41701</v>
      </c>
      <c r="H243" s="50" t="s">
        <v>1857</v>
      </c>
      <c r="I243" s="760">
        <v>286</v>
      </c>
      <c r="J243" s="52">
        <v>21542</v>
      </c>
      <c r="K243" s="55" t="s">
        <v>3762</v>
      </c>
      <c r="L243" s="56" t="s">
        <v>3763</v>
      </c>
      <c r="M243" s="64">
        <v>4</v>
      </c>
      <c r="N243" s="65">
        <v>0</v>
      </c>
      <c r="O243" s="66">
        <v>80</v>
      </c>
      <c r="P243" s="67">
        <v>1</v>
      </c>
      <c r="Q243" s="68">
        <v>14</v>
      </c>
      <c r="R243" s="68">
        <v>1</v>
      </c>
      <c r="S243" s="68">
        <v>6</v>
      </c>
      <c r="T243" s="68">
        <v>1</v>
      </c>
      <c r="U243" s="69">
        <v>14</v>
      </c>
      <c r="V243" s="67"/>
      <c r="W243" s="68"/>
      <c r="X243" s="68"/>
      <c r="Y243" s="68"/>
      <c r="Z243" s="68"/>
      <c r="AA243" s="69"/>
      <c r="AB243" s="70"/>
      <c r="AC243" s="68"/>
      <c r="AD243" s="68"/>
      <c r="AE243" s="68"/>
      <c r="AF243" s="68">
        <f t="shared" si="262"/>
        <v>0</v>
      </c>
      <c r="AG243" s="68"/>
      <c r="AH243" s="68"/>
      <c r="AI243" s="69">
        <f t="shared" si="263"/>
        <v>0</v>
      </c>
      <c r="AJ243" s="70"/>
      <c r="AK243" s="68"/>
      <c r="AL243" s="68"/>
      <c r="AM243" s="68"/>
      <c r="AN243" s="68">
        <f t="shared" si="264"/>
        <v>0</v>
      </c>
      <c r="AO243" s="68"/>
      <c r="AP243" s="68"/>
      <c r="AQ243" s="69">
        <f t="shared" si="265"/>
        <v>0</v>
      </c>
      <c r="AR243" s="972"/>
      <c r="AS243" s="973"/>
      <c r="AT243" s="68"/>
      <c r="AU243" s="68"/>
      <c r="AV243" s="68"/>
      <c r="AW243" s="973">
        <f t="shared" si="266"/>
        <v>0</v>
      </c>
      <c r="AX243" s="973"/>
      <c r="AY243" s="973"/>
      <c r="AZ243" s="973"/>
      <c r="BA243" s="974">
        <f t="shared" si="267"/>
        <v>0</v>
      </c>
      <c r="BB243" s="975">
        <f t="shared" si="252"/>
        <v>3</v>
      </c>
      <c r="BC243" s="959">
        <f t="shared" si="253"/>
        <v>14</v>
      </c>
      <c r="BD243" s="959">
        <f t="shared" si="254"/>
        <v>6</v>
      </c>
      <c r="BE243" s="959">
        <f t="shared" si="255"/>
        <v>14</v>
      </c>
      <c r="BF243" s="959">
        <f t="shared" si="256"/>
        <v>34</v>
      </c>
      <c r="BG243" s="959">
        <f t="shared" si="257"/>
        <v>0</v>
      </c>
      <c r="BH243" s="959">
        <f t="shared" si="258"/>
        <v>0</v>
      </c>
      <c r="BI243" s="959">
        <f t="shared" si="259"/>
        <v>0</v>
      </c>
      <c r="BJ243" s="959">
        <f t="shared" si="260"/>
        <v>0</v>
      </c>
      <c r="BK243" s="959">
        <f t="shared" si="261"/>
        <v>0</v>
      </c>
      <c r="BL243" s="55"/>
    </row>
    <row r="244" spans="1:64" s="43" customFormat="1" ht="17.100000000000001" customHeight="1">
      <c r="A244" s="762" t="s">
        <v>1528</v>
      </c>
      <c r="B244" s="751" t="s">
        <v>8</v>
      </c>
      <c r="C244" s="751" t="s">
        <v>8</v>
      </c>
      <c r="D244" s="751" t="s">
        <v>1802</v>
      </c>
      <c r="E244" s="55" t="s">
        <v>2529</v>
      </c>
      <c r="F244" s="1017" t="s">
        <v>1570</v>
      </c>
      <c r="G244" s="1018">
        <v>32199</v>
      </c>
      <c r="H244" s="50" t="s">
        <v>1846</v>
      </c>
      <c r="I244" s="760">
        <v>756</v>
      </c>
      <c r="J244" s="52">
        <v>21572</v>
      </c>
      <c r="K244" s="55" t="s">
        <v>3764</v>
      </c>
      <c r="L244" s="56" t="s">
        <v>3765</v>
      </c>
      <c r="M244" s="64">
        <v>11</v>
      </c>
      <c r="N244" s="65">
        <v>0</v>
      </c>
      <c r="O244" s="66">
        <v>308</v>
      </c>
      <c r="P244" s="67">
        <v>3</v>
      </c>
      <c r="Q244" s="68">
        <v>43</v>
      </c>
      <c r="R244" s="68">
        <v>3</v>
      </c>
      <c r="S244" s="68">
        <v>34</v>
      </c>
      <c r="T244" s="68">
        <v>3</v>
      </c>
      <c r="U244" s="69">
        <v>63</v>
      </c>
      <c r="V244" s="67"/>
      <c r="W244" s="68"/>
      <c r="X244" s="68"/>
      <c r="Y244" s="68"/>
      <c r="Z244" s="68"/>
      <c r="AA244" s="69"/>
      <c r="AB244" s="70"/>
      <c r="AC244" s="68"/>
      <c r="AD244" s="68"/>
      <c r="AE244" s="68"/>
      <c r="AF244" s="68">
        <f t="shared" si="262"/>
        <v>0</v>
      </c>
      <c r="AG244" s="68"/>
      <c r="AH244" s="68"/>
      <c r="AI244" s="69">
        <f t="shared" si="263"/>
        <v>0</v>
      </c>
      <c r="AJ244" s="70"/>
      <c r="AK244" s="68"/>
      <c r="AL244" s="68"/>
      <c r="AM244" s="68"/>
      <c r="AN244" s="68">
        <f t="shared" si="264"/>
        <v>0</v>
      </c>
      <c r="AO244" s="68"/>
      <c r="AP244" s="68"/>
      <c r="AQ244" s="69">
        <f t="shared" si="265"/>
        <v>0</v>
      </c>
      <c r="AR244" s="972"/>
      <c r="AS244" s="973"/>
      <c r="AT244" s="68"/>
      <c r="AU244" s="68"/>
      <c r="AV244" s="68"/>
      <c r="AW244" s="973">
        <f t="shared" si="266"/>
        <v>0</v>
      </c>
      <c r="AX244" s="973"/>
      <c r="AY244" s="973"/>
      <c r="AZ244" s="973"/>
      <c r="BA244" s="974">
        <f t="shared" si="267"/>
        <v>0</v>
      </c>
      <c r="BB244" s="975">
        <f t="shared" si="252"/>
        <v>9</v>
      </c>
      <c r="BC244" s="959">
        <f t="shared" si="253"/>
        <v>43</v>
      </c>
      <c r="BD244" s="959">
        <f t="shared" si="254"/>
        <v>34</v>
      </c>
      <c r="BE244" s="959">
        <f t="shared" si="255"/>
        <v>63</v>
      </c>
      <c r="BF244" s="959">
        <f t="shared" si="256"/>
        <v>140</v>
      </c>
      <c r="BG244" s="959">
        <f t="shared" si="257"/>
        <v>0</v>
      </c>
      <c r="BH244" s="959">
        <f t="shared" si="258"/>
        <v>0</v>
      </c>
      <c r="BI244" s="959">
        <f t="shared" si="259"/>
        <v>0</v>
      </c>
      <c r="BJ244" s="959">
        <f t="shared" si="260"/>
        <v>0</v>
      </c>
      <c r="BK244" s="959">
        <f t="shared" si="261"/>
        <v>0</v>
      </c>
      <c r="BL244" s="55"/>
    </row>
    <row r="245" spans="1:64" s="43" customFormat="1" ht="17.100000000000001" customHeight="1">
      <c r="A245" s="762" t="s">
        <v>1528</v>
      </c>
      <c r="B245" s="751" t="s">
        <v>8</v>
      </c>
      <c r="C245" s="751" t="s">
        <v>8</v>
      </c>
      <c r="D245" s="751" t="s">
        <v>1802</v>
      </c>
      <c r="E245" s="55" t="s">
        <v>2529</v>
      </c>
      <c r="F245" s="1017" t="s">
        <v>1607</v>
      </c>
      <c r="G245" s="1018">
        <v>31107</v>
      </c>
      <c r="H245" s="50" t="s">
        <v>1631</v>
      </c>
      <c r="I245" s="760">
        <v>226</v>
      </c>
      <c r="J245" s="52">
        <v>21560</v>
      </c>
      <c r="K245" s="55" t="s">
        <v>3766</v>
      </c>
      <c r="L245" s="56" t="s">
        <v>3767</v>
      </c>
      <c r="M245" s="64">
        <v>2</v>
      </c>
      <c r="N245" s="65">
        <v>0</v>
      </c>
      <c r="O245" s="66">
        <v>70</v>
      </c>
      <c r="P245" s="67"/>
      <c r="Q245" s="68"/>
      <c r="R245" s="68"/>
      <c r="S245" s="68"/>
      <c r="T245" s="68"/>
      <c r="U245" s="69"/>
      <c r="V245" s="67"/>
      <c r="W245" s="68"/>
      <c r="X245" s="68"/>
      <c r="Y245" s="68"/>
      <c r="Z245" s="68"/>
      <c r="AA245" s="69"/>
      <c r="AB245" s="70">
        <v>1</v>
      </c>
      <c r="AC245" s="68">
        <v>0</v>
      </c>
      <c r="AD245" s="68">
        <v>9</v>
      </c>
      <c r="AE245" s="68">
        <v>18</v>
      </c>
      <c r="AF245" s="68">
        <f t="shared" si="262"/>
        <v>27</v>
      </c>
      <c r="AG245" s="68">
        <v>0</v>
      </c>
      <c r="AH245" s="68">
        <v>0</v>
      </c>
      <c r="AI245" s="69">
        <f t="shared" si="263"/>
        <v>0</v>
      </c>
      <c r="AJ245" s="70">
        <v>1</v>
      </c>
      <c r="AK245" s="68">
        <v>0</v>
      </c>
      <c r="AL245" s="68">
        <v>5</v>
      </c>
      <c r="AM245" s="68">
        <v>15</v>
      </c>
      <c r="AN245" s="68">
        <f t="shared" si="264"/>
        <v>20</v>
      </c>
      <c r="AO245" s="68">
        <v>0</v>
      </c>
      <c r="AP245" s="68">
        <v>0</v>
      </c>
      <c r="AQ245" s="69">
        <f t="shared" si="265"/>
        <v>0</v>
      </c>
      <c r="AR245" s="972"/>
      <c r="AS245" s="973"/>
      <c r="AT245" s="68"/>
      <c r="AU245" s="68"/>
      <c r="AV245" s="68"/>
      <c r="AW245" s="973">
        <f t="shared" si="266"/>
        <v>0</v>
      </c>
      <c r="AX245" s="973"/>
      <c r="AY245" s="973"/>
      <c r="AZ245" s="973"/>
      <c r="BA245" s="974">
        <f t="shared" si="267"/>
        <v>0</v>
      </c>
      <c r="BB245" s="976">
        <f t="shared" si="252"/>
        <v>2</v>
      </c>
      <c r="BC245" s="959">
        <f t="shared" si="253"/>
        <v>9</v>
      </c>
      <c r="BD245" s="959">
        <f t="shared" si="254"/>
        <v>23</v>
      </c>
      <c r="BE245" s="959">
        <f t="shared" si="255"/>
        <v>15</v>
      </c>
      <c r="BF245" s="959">
        <f t="shared" si="256"/>
        <v>47</v>
      </c>
      <c r="BG245" s="959">
        <f t="shared" si="257"/>
        <v>0</v>
      </c>
      <c r="BH245" s="959">
        <f t="shared" si="258"/>
        <v>0</v>
      </c>
      <c r="BI245" s="959">
        <f t="shared" si="259"/>
        <v>0</v>
      </c>
      <c r="BJ245" s="959">
        <f t="shared" si="260"/>
        <v>0</v>
      </c>
      <c r="BK245" s="959">
        <f t="shared" si="261"/>
        <v>0</v>
      </c>
      <c r="BL245" s="55"/>
    </row>
    <row r="246" spans="1:64" s="43" customFormat="1" ht="17.100000000000001" customHeight="1">
      <c r="A246" s="762" t="s">
        <v>1529</v>
      </c>
      <c r="B246" s="751" t="s">
        <v>8</v>
      </c>
      <c r="C246" s="751" t="s">
        <v>8</v>
      </c>
      <c r="D246" s="751" t="s">
        <v>3768</v>
      </c>
      <c r="E246" s="55" t="s">
        <v>2529</v>
      </c>
      <c r="F246" s="751" t="s">
        <v>1608</v>
      </c>
      <c r="G246" s="1018">
        <v>33203</v>
      </c>
      <c r="H246" s="50" t="s">
        <v>3769</v>
      </c>
      <c r="I246" s="760">
        <v>443</v>
      </c>
      <c r="J246" s="52">
        <v>21540</v>
      </c>
      <c r="K246" s="55" t="s">
        <v>3770</v>
      </c>
      <c r="L246" s="56" t="s">
        <v>3771</v>
      </c>
      <c r="M246" s="64">
        <v>6</v>
      </c>
      <c r="N246" s="65">
        <v>0</v>
      </c>
      <c r="O246" s="66">
        <v>139</v>
      </c>
      <c r="P246" s="67">
        <v>1</v>
      </c>
      <c r="Q246" s="68">
        <v>12</v>
      </c>
      <c r="R246" s="68">
        <v>2</v>
      </c>
      <c r="S246" s="68">
        <v>28</v>
      </c>
      <c r="T246" s="68">
        <v>2</v>
      </c>
      <c r="U246" s="69">
        <v>38</v>
      </c>
      <c r="V246" s="67"/>
      <c r="W246" s="68"/>
      <c r="X246" s="68"/>
      <c r="Y246" s="68"/>
      <c r="Z246" s="68"/>
      <c r="AA246" s="69"/>
      <c r="AB246" s="70"/>
      <c r="AC246" s="68"/>
      <c r="AD246" s="68"/>
      <c r="AE246" s="68"/>
      <c r="AF246" s="68">
        <f t="shared" si="262"/>
        <v>0</v>
      </c>
      <c r="AG246" s="68"/>
      <c r="AH246" s="68"/>
      <c r="AI246" s="69">
        <f t="shared" si="263"/>
        <v>0</v>
      </c>
      <c r="AJ246" s="70"/>
      <c r="AK246" s="68"/>
      <c r="AL246" s="68"/>
      <c r="AM246" s="68"/>
      <c r="AN246" s="68">
        <f t="shared" si="264"/>
        <v>0</v>
      </c>
      <c r="AO246" s="68"/>
      <c r="AP246" s="68"/>
      <c r="AQ246" s="69">
        <f t="shared" si="265"/>
        <v>0</v>
      </c>
      <c r="AR246" s="972"/>
      <c r="AS246" s="973"/>
      <c r="AT246" s="68"/>
      <c r="AU246" s="68"/>
      <c r="AV246" s="68"/>
      <c r="AW246" s="973">
        <f t="shared" si="266"/>
        <v>0</v>
      </c>
      <c r="AX246" s="973"/>
      <c r="AY246" s="973"/>
      <c r="AZ246" s="973"/>
      <c r="BA246" s="974">
        <f t="shared" si="267"/>
        <v>0</v>
      </c>
      <c r="BB246" s="975">
        <f t="shared" si="252"/>
        <v>5</v>
      </c>
      <c r="BC246" s="959">
        <f t="shared" si="253"/>
        <v>12</v>
      </c>
      <c r="BD246" s="959">
        <f t="shared" si="254"/>
        <v>28</v>
      </c>
      <c r="BE246" s="959">
        <f t="shared" si="255"/>
        <v>38</v>
      </c>
      <c r="BF246" s="959">
        <f t="shared" si="256"/>
        <v>78</v>
      </c>
      <c r="BG246" s="959">
        <f t="shared" si="257"/>
        <v>0</v>
      </c>
      <c r="BH246" s="959">
        <f t="shared" si="258"/>
        <v>0</v>
      </c>
      <c r="BI246" s="959">
        <f t="shared" si="259"/>
        <v>0</v>
      </c>
      <c r="BJ246" s="959">
        <f t="shared" si="260"/>
        <v>0</v>
      </c>
      <c r="BK246" s="959">
        <f t="shared" si="261"/>
        <v>0</v>
      </c>
      <c r="BL246" s="55"/>
    </row>
    <row r="247" spans="1:64" s="43" customFormat="1" ht="17.100000000000001" customHeight="1">
      <c r="A247" s="762" t="s">
        <v>1529</v>
      </c>
      <c r="B247" s="751" t="s">
        <v>8</v>
      </c>
      <c r="C247" s="751" t="s">
        <v>8</v>
      </c>
      <c r="D247" s="751" t="s">
        <v>3768</v>
      </c>
      <c r="E247" s="55" t="s">
        <v>2529</v>
      </c>
      <c r="F247" s="751" t="s">
        <v>3772</v>
      </c>
      <c r="G247" s="1018">
        <v>32826</v>
      </c>
      <c r="H247" s="50" t="s">
        <v>1848</v>
      </c>
      <c r="I247" s="760">
        <v>180</v>
      </c>
      <c r="J247" s="52">
        <v>21540</v>
      </c>
      <c r="K247" s="55" t="s">
        <v>3773</v>
      </c>
      <c r="L247" s="56" t="s">
        <v>3774</v>
      </c>
      <c r="M247" s="64">
        <v>2</v>
      </c>
      <c r="N247" s="65">
        <v>0</v>
      </c>
      <c r="O247" s="66">
        <v>60</v>
      </c>
      <c r="P247" s="67"/>
      <c r="Q247" s="68"/>
      <c r="R247" s="68"/>
      <c r="S247" s="68"/>
      <c r="T247" s="68"/>
      <c r="U247" s="69"/>
      <c r="V247" s="67"/>
      <c r="W247" s="68"/>
      <c r="X247" s="68"/>
      <c r="Y247" s="68"/>
      <c r="Z247" s="68"/>
      <c r="AA247" s="69"/>
      <c r="AB247" s="70"/>
      <c r="AC247" s="68"/>
      <c r="AD247" s="68"/>
      <c r="AE247" s="68"/>
      <c r="AF247" s="68">
        <f t="shared" si="262"/>
        <v>0</v>
      </c>
      <c r="AG247" s="68"/>
      <c r="AH247" s="68"/>
      <c r="AI247" s="69">
        <f t="shared" si="263"/>
        <v>0</v>
      </c>
      <c r="AJ247" s="70"/>
      <c r="AK247" s="68"/>
      <c r="AL247" s="68"/>
      <c r="AM247" s="68"/>
      <c r="AN247" s="68">
        <f t="shared" si="264"/>
        <v>0</v>
      </c>
      <c r="AO247" s="68"/>
      <c r="AP247" s="68"/>
      <c r="AQ247" s="69">
        <f t="shared" si="265"/>
        <v>0</v>
      </c>
      <c r="AR247" s="972"/>
      <c r="AS247" s="973"/>
      <c r="AT247" s="68"/>
      <c r="AU247" s="68"/>
      <c r="AV247" s="68"/>
      <c r="AW247" s="973">
        <f t="shared" si="266"/>
        <v>0</v>
      </c>
      <c r="AX247" s="973"/>
      <c r="AY247" s="973"/>
      <c r="AZ247" s="973"/>
      <c r="BA247" s="974">
        <f t="shared" si="267"/>
        <v>0</v>
      </c>
      <c r="BB247" s="975">
        <f t="shared" si="252"/>
        <v>0</v>
      </c>
      <c r="BC247" s="959">
        <f t="shared" si="253"/>
        <v>0</v>
      </c>
      <c r="BD247" s="959">
        <f t="shared" si="254"/>
        <v>0</v>
      </c>
      <c r="BE247" s="959">
        <f t="shared" si="255"/>
        <v>0</v>
      </c>
      <c r="BF247" s="959">
        <f t="shared" si="256"/>
        <v>0</v>
      </c>
      <c r="BG247" s="959">
        <f t="shared" si="257"/>
        <v>0</v>
      </c>
      <c r="BH247" s="959">
        <f t="shared" si="258"/>
        <v>0</v>
      </c>
      <c r="BI247" s="959">
        <f t="shared" si="259"/>
        <v>0</v>
      </c>
      <c r="BJ247" s="959">
        <f t="shared" si="260"/>
        <v>0</v>
      </c>
      <c r="BK247" s="959">
        <f t="shared" si="261"/>
        <v>0</v>
      </c>
      <c r="BL247" s="55"/>
    </row>
    <row r="248" spans="1:64" s="43" customFormat="1" ht="17.100000000000001" customHeight="1">
      <c r="A248" s="762" t="s">
        <v>1529</v>
      </c>
      <c r="B248" s="751" t="s">
        <v>8</v>
      </c>
      <c r="C248" s="751" t="s">
        <v>8</v>
      </c>
      <c r="D248" s="751" t="s">
        <v>3775</v>
      </c>
      <c r="E248" s="55" t="s">
        <v>2529</v>
      </c>
      <c r="F248" s="1017" t="s">
        <v>1609</v>
      </c>
      <c r="G248" s="1018">
        <v>36738</v>
      </c>
      <c r="H248" s="50" t="s">
        <v>1849</v>
      </c>
      <c r="I248" s="760">
        <v>1209</v>
      </c>
      <c r="J248" s="52">
        <v>21518</v>
      </c>
      <c r="K248" s="55" t="s">
        <v>3776</v>
      </c>
      <c r="L248" s="56" t="s">
        <v>1859</v>
      </c>
      <c r="M248" s="64">
        <v>7</v>
      </c>
      <c r="N248" s="65">
        <v>0</v>
      </c>
      <c r="O248" s="66">
        <v>230</v>
      </c>
      <c r="P248" s="67">
        <v>1</v>
      </c>
      <c r="Q248" s="68">
        <v>11</v>
      </c>
      <c r="R248" s="68">
        <v>1</v>
      </c>
      <c r="S248" s="68">
        <v>20</v>
      </c>
      <c r="T248" s="68">
        <v>1</v>
      </c>
      <c r="U248" s="69">
        <v>17</v>
      </c>
      <c r="V248" s="67"/>
      <c r="W248" s="68"/>
      <c r="X248" s="68"/>
      <c r="Y248" s="68"/>
      <c r="Z248" s="68"/>
      <c r="AA248" s="69"/>
      <c r="AB248" s="70"/>
      <c r="AC248" s="68"/>
      <c r="AD248" s="68"/>
      <c r="AE248" s="68"/>
      <c r="AF248" s="68">
        <f t="shared" si="262"/>
        <v>0</v>
      </c>
      <c r="AG248" s="68"/>
      <c r="AH248" s="68"/>
      <c r="AI248" s="69">
        <f t="shared" si="263"/>
        <v>0</v>
      </c>
      <c r="AJ248" s="70"/>
      <c r="AK248" s="68"/>
      <c r="AL248" s="68"/>
      <c r="AM248" s="68"/>
      <c r="AN248" s="68">
        <f t="shared" si="264"/>
        <v>0</v>
      </c>
      <c r="AO248" s="68"/>
      <c r="AP248" s="68"/>
      <c r="AQ248" s="69">
        <f t="shared" si="265"/>
        <v>0</v>
      </c>
      <c r="AR248" s="972"/>
      <c r="AS248" s="973"/>
      <c r="AT248" s="68"/>
      <c r="AU248" s="68"/>
      <c r="AV248" s="68"/>
      <c r="AW248" s="973">
        <f t="shared" si="266"/>
        <v>0</v>
      </c>
      <c r="AX248" s="973"/>
      <c r="AY248" s="973"/>
      <c r="AZ248" s="973"/>
      <c r="BA248" s="974">
        <f t="shared" si="267"/>
        <v>0</v>
      </c>
      <c r="BB248" s="976">
        <f t="shared" si="252"/>
        <v>3</v>
      </c>
      <c r="BC248" s="959">
        <f t="shared" si="253"/>
        <v>11</v>
      </c>
      <c r="BD248" s="959">
        <f t="shared" si="254"/>
        <v>20</v>
      </c>
      <c r="BE248" s="959">
        <f t="shared" si="255"/>
        <v>17</v>
      </c>
      <c r="BF248" s="959">
        <f t="shared" si="256"/>
        <v>48</v>
      </c>
      <c r="BG248" s="959">
        <f t="shared" si="257"/>
        <v>0</v>
      </c>
      <c r="BH248" s="959">
        <f t="shared" si="258"/>
        <v>0</v>
      </c>
      <c r="BI248" s="959">
        <f t="shared" si="259"/>
        <v>0</v>
      </c>
      <c r="BJ248" s="959">
        <f t="shared" si="260"/>
        <v>0</v>
      </c>
      <c r="BK248" s="959">
        <f t="shared" si="261"/>
        <v>0</v>
      </c>
      <c r="BL248" s="55"/>
    </row>
    <row r="249" spans="1:64" s="43" customFormat="1" ht="17.100000000000001" customHeight="1">
      <c r="A249" s="762" t="s">
        <v>1529</v>
      </c>
      <c r="B249" s="751" t="s">
        <v>8</v>
      </c>
      <c r="C249" s="751" t="s">
        <v>8</v>
      </c>
      <c r="D249" s="751" t="s">
        <v>1628</v>
      </c>
      <c r="E249" s="55" t="s">
        <v>2529</v>
      </c>
      <c r="F249" s="1017" t="s">
        <v>1610</v>
      </c>
      <c r="G249" s="1018">
        <v>36951</v>
      </c>
      <c r="H249" s="50" t="s">
        <v>1858</v>
      </c>
      <c r="I249" s="760">
        <v>5914</v>
      </c>
      <c r="J249" s="52">
        <v>21542</v>
      </c>
      <c r="K249" s="55" t="s">
        <v>3777</v>
      </c>
      <c r="L249" s="56" t="s">
        <v>3778</v>
      </c>
      <c r="M249" s="64">
        <v>10</v>
      </c>
      <c r="N249" s="65">
        <v>0</v>
      </c>
      <c r="O249" s="66">
        <v>350</v>
      </c>
      <c r="P249" s="67">
        <v>2</v>
      </c>
      <c r="Q249" s="68">
        <v>32</v>
      </c>
      <c r="R249" s="68">
        <v>2</v>
      </c>
      <c r="S249" s="68">
        <v>35</v>
      </c>
      <c r="T249" s="68">
        <v>2</v>
      </c>
      <c r="U249" s="69">
        <v>41</v>
      </c>
      <c r="V249" s="67"/>
      <c r="W249" s="68"/>
      <c r="X249" s="68"/>
      <c r="Y249" s="68"/>
      <c r="Z249" s="68"/>
      <c r="AA249" s="69"/>
      <c r="AB249" s="70"/>
      <c r="AC249" s="68"/>
      <c r="AD249" s="68"/>
      <c r="AE249" s="68"/>
      <c r="AF249" s="68">
        <f t="shared" si="262"/>
        <v>0</v>
      </c>
      <c r="AG249" s="68"/>
      <c r="AH249" s="68"/>
      <c r="AI249" s="69">
        <f t="shared" si="263"/>
        <v>0</v>
      </c>
      <c r="AJ249" s="70"/>
      <c r="AK249" s="68"/>
      <c r="AL249" s="68"/>
      <c r="AM249" s="68"/>
      <c r="AN249" s="68">
        <f t="shared" si="264"/>
        <v>0</v>
      </c>
      <c r="AO249" s="68"/>
      <c r="AP249" s="68"/>
      <c r="AQ249" s="69">
        <f t="shared" si="265"/>
        <v>0</v>
      </c>
      <c r="AR249" s="972"/>
      <c r="AS249" s="973"/>
      <c r="AT249" s="68"/>
      <c r="AU249" s="68"/>
      <c r="AV249" s="68"/>
      <c r="AW249" s="973">
        <f t="shared" si="266"/>
        <v>0</v>
      </c>
      <c r="AX249" s="973"/>
      <c r="AY249" s="973"/>
      <c r="AZ249" s="973"/>
      <c r="BA249" s="974">
        <f t="shared" si="267"/>
        <v>0</v>
      </c>
      <c r="BB249" s="975">
        <f t="shared" si="252"/>
        <v>6</v>
      </c>
      <c r="BC249" s="959">
        <f t="shared" si="253"/>
        <v>32</v>
      </c>
      <c r="BD249" s="959">
        <f t="shared" si="254"/>
        <v>35</v>
      </c>
      <c r="BE249" s="959">
        <f t="shared" si="255"/>
        <v>41</v>
      </c>
      <c r="BF249" s="959">
        <f t="shared" si="256"/>
        <v>108</v>
      </c>
      <c r="BG249" s="959">
        <f t="shared" si="257"/>
        <v>0</v>
      </c>
      <c r="BH249" s="959">
        <f t="shared" si="258"/>
        <v>0</v>
      </c>
      <c r="BI249" s="959">
        <f t="shared" si="259"/>
        <v>0</v>
      </c>
      <c r="BJ249" s="959">
        <f t="shared" si="260"/>
        <v>0</v>
      </c>
      <c r="BK249" s="959">
        <f t="shared" si="261"/>
        <v>0</v>
      </c>
      <c r="BL249" s="55"/>
    </row>
    <row r="250" spans="1:64" s="43" customFormat="1" ht="17.100000000000001" customHeight="1">
      <c r="A250" s="762" t="s">
        <v>1529</v>
      </c>
      <c r="B250" s="751" t="s">
        <v>8</v>
      </c>
      <c r="C250" s="751" t="s">
        <v>8</v>
      </c>
      <c r="D250" s="751" t="s">
        <v>1628</v>
      </c>
      <c r="E250" s="55" t="s">
        <v>2529</v>
      </c>
      <c r="F250" s="1017" t="s">
        <v>1611</v>
      </c>
      <c r="G250" s="1018">
        <v>31767</v>
      </c>
      <c r="H250" s="50" t="s">
        <v>3779</v>
      </c>
      <c r="I250" s="760">
        <v>404</v>
      </c>
      <c r="J250" s="52">
        <v>21543</v>
      </c>
      <c r="K250" s="55" t="s">
        <v>3780</v>
      </c>
      <c r="L250" s="56" t="s">
        <v>3781</v>
      </c>
      <c r="M250" s="64">
        <v>7</v>
      </c>
      <c r="N250" s="65">
        <v>0</v>
      </c>
      <c r="O250" s="66">
        <v>176</v>
      </c>
      <c r="P250" s="67">
        <v>3</v>
      </c>
      <c r="Q250" s="68">
        <v>22</v>
      </c>
      <c r="R250" s="68">
        <v>2</v>
      </c>
      <c r="S250" s="68">
        <v>28</v>
      </c>
      <c r="T250" s="68">
        <v>2</v>
      </c>
      <c r="U250" s="69">
        <v>30</v>
      </c>
      <c r="V250" s="67"/>
      <c r="W250" s="68"/>
      <c r="X250" s="68"/>
      <c r="Y250" s="68"/>
      <c r="Z250" s="68"/>
      <c r="AA250" s="69"/>
      <c r="AB250" s="70"/>
      <c r="AC250" s="68"/>
      <c r="AD250" s="68"/>
      <c r="AE250" s="68"/>
      <c r="AF250" s="68">
        <f t="shared" si="262"/>
        <v>0</v>
      </c>
      <c r="AG250" s="68"/>
      <c r="AH250" s="68"/>
      <c r="AI250" s="69">
        <f t="shared" si="263"/>
        <v>0</v>
      </c>
      <c r="AJ250" s="70"/>
      <c r="AK250" s="68"/>
      <c r="AL250" s="68"/>
      <c r="AM250" s="68"/>
      <c r="AN250" s="68">
        <f t="shared" si="264"/>
        <v>0</v>
      </c>
      <c r="AO250" s="68"/>
      <c r="AP250" s="68"/>
      <c r="AQ250" s="69">
        <f t="shared" si="265"/>
        <v>0</v>
      </c>
      <c r="AR250" s="972"/>
      <c r="AS250" s="973"/>
      <c r="AT250" s="68"/>
      <c r="AU250" s="68"/>
      <c r="AV250" s="68"/>
      <c r="AW250" s="973">
        <f t="shared" si="266"/>
        <v>0</v>
      </c>
      <c r="AX250" s="973"/>
      <c r="AY250" s="973"/>
      <c r="AZ250" s="973"/>
      <c r="BA250" s="974">
        <f t="shared" si="267"/>
        <v>0</v>
      </c>
      <c r="BB250" s="975">
        <f t="shared" si="252"/>
        <v>7</v>
      </c>
      <c r="BC250" s="959">
        <f t="shared" si="253"/>
        <v>22</v>
      </c>
      <c r="BD250" s="959">
        <f t="shared" si="254"/>
        <v>28</v>
      </c>
      <c r="BE250" s="959">
        <f t="shared" si="255"/>
        <v>30</v>
      </c>
      <c r="BF250" s="959">
        <f t="shared" si="256"/>
        <v>80</v>
      </c>
      <c r="BG250" s="959">
        <f t="shared" si="257"/>
        <v>0</v>
      </c>
      <c r="BH250" s="959">
        <f t="shared" si="258"/>
        <v>0</v>
      </c>
      <c r="BI250" s="959">
        <f t="shared" si="259"/>
        <v>0</v>
      </c>
      <c r="BJ250" s="959">
        <f t="shared" si="260"/>
        <v>0</v>
      </c>
      <c r="BK250" s="959">
        <f t="shared" si="261"/>
        <v>0</v>
      </c>
      <c r="BL250" s="55"/>
    </row>
    <row r="251" spans="1:64" s="43" customFormat="1" ht="17.100000000000001" customHeight="1">
      <c r="A251" s="762" t="s">
        <v>1529</v>
      </c>
      <c r="B251" s="751" t="s">
        <v>8</v>
      </c>
      <c r="C251" s="751" t="s">
        <v>8</v>
      </c>
      <c r="D251" s="751" t="s">
        <v>1627</v>
      </c>
      <c r="E251" s="55" t="s">
        <v>2529</v>
      </c>
      <c r="F251" s="751" t="s">
        <v>1376</v>
      </c>
      <c r="G251" s="1018">
        <v>42217</v>
      </c>
      <c r="H251" s="50" t="s">
        <v>1850</v>
      </c>
      <c r="I251" s="760">
        <v>905</v>
      </c>
      <c r="J251" s="52">
        <v>21615</v>
      </c>
      <c r="K251" s="55" t="s">
        <v>3782</v>
      </c>
      <c r="L251" s="56" t="s">
        <v>3783</v>
      </c>
      <c r="M251" s="64">
        <v>18</v>
      </c>
      <c r="N251" s="65">
        <v>0</v>
      </c>
      <c r="O251" s="66">
        <v>346</v>
      </c>
      <c r="P251" s="67">
        <v>4</v>
      </c>
      <c r="Q251" s="68">
        <v>61</v>
      </c>
      <c r="R251" s="68">
        <v>4</v>
      </c>
      <c r="S251" s="68">
        <v>77</v>
      </c>
      <c r="T251" s="68">
        <v>3</v>
      </c>
      <c r="U251" s="69">
        <v>72</v>
      </c>
      <c r="V251" s="67"/>
      <c r="W251" s="68"/>
      <c r="X251" s="68"/>
      <c r="Y251" s="68"/>
      <c r="Z251" s="68"/>
      <c r="AA251" s="69"/>
      <c r="AB251" s="70"/>
      <c r="AC251" s="68"/>
      <c r="AD251" s="68"/>
      <c r="AE251" s="68"/>
      <c r="AF251" s="68">
        <f t="shared" si="262"/>
        <v>0</v>
      </c>
      <c r="AG251" s="68"/>
      <c r="AH251" s="68"/>
      <c r="AI251" s="69">
        <f t="shared" si="263"/>
        <v>0</v>
      </c>
      <c r="AJ251" s="70"/>
      <c r="AK251" s="68"/>
      <c r="AL251" s="68"/>
      <c r="AM251" s="68"/>
      <c r="AN251" s="68">
        <f t="shared" si="264"/>
        <v>0</v>
      </c>
      <c r="AO251" s="68"/>
      <c r="AP251" s="68"/>
      <c r="AQ251" s="69">
        <f t="shared" si="265"/>
        <v>0</v>
      </c>
      <c r="AR251" s="972"/>
      <c r="AS251" s="973"/>
      <c r="AT251" s="68"/>
      <c r="AU251" s="68"/>
      <c r="AV251" s="68"/>
      <c r="AW251" s="973">
        <f t="shared" si="266"/>
        <v>0</v>
      </c>
      <c r="AX251" s="973"/>
      <c r="AY251" s="973"/>
      <c r="AZ251" s="973"/>
      <c r="BA251" s="974">
        <f t="shared" si="267"/>
        <v>0</v>
      </c>
      <c r="BB251" s="976">
        <f t="shared" si="252"/>
        <v>11</v>
      </c>
      <c r="BC251" s="959">
        <f t="shared" si="253"/>
        <v>61</v>
      </c>
      <c r="BD251" s="959">
        <f t="shared" si="254"/>
        <v>77</v>
      </c>
      <c r="BE251" s="959">
        <f t="shared" si="255"/>
        <v>72</v>
      </c>
      <c r="BF251" s="959">
        <f t="shared" si="256"/>
        <v>210</v>
      </c>
      <c r="BG251" s="959">
        <f t="shared" si="257"/>
        <v>0</v>
      </c>
      <c r="BH251" s="959">
        <f t="shared" si="258"/>
        <v>0</v>
      </c>
      <c r="BI251" s="959">
        <f t="shared" si="259"/>
        <v>0</v>
      </c>
      <c r="BJ251" s="959">
        <f t="shared" si="260"/>
        <v>0</v>
      </c>
      <c r="BK251" s="959">
        <f t="shared" si="261"/>
        <v>0</v>
      </c>
      <c r="BL251" s="55"/>
    </row>
    <row r="252" spans="1:64" s="43" customFormat="1" ht="17.100000000000001" customHeight="1">
      <c r="A252" s="762" t="s">
        <v>1529</v>
      </c>
      <c r="B252" s="751" t="s">
        <v>8</v>
      </c>
      <c r="C252" s="751" t="s">
        <v>8</v>
      </c>
      <c r="D252" s="751" t="s">
        <v>1627</v>
      </c>
      <c r="E252" s="55" t="s">
        <v>2529</v>
      </c>
      <c r="F252" s="751" t="s">
        <v>1612</v>
      </c>
      <c r="G252" s="1018">
        <v>42248</v>
      </c>
      <c r="H252" s="50" t="s">
        <v>1851</v>
      </c>
      <c r="I252" s="760">
        <v>897</v>
      </c>
      <c r="J252" s="52">
        <v>21610</v>
      </c>
      <c r="K252" s="55" t="s">
        <v>3784</v>
      </c>
      <c r="L252" s="56" t="s">
        <v>3785</v>
      </c>
      <c r="M252" s="64">
        <v>17</v>
      </c>
      <c r="N252" s="65">
        <v>0</v>
      </c>
      <c r="O252" s="66">
        <v>426</v>
      </c>
      <c r="P252" s="67">
        <v>3</v>
      </c>
      <c r="Q252" s="68">
        <v>53</v>
      </c>
      <c r="R252" s="68">
        <v>3</v>
      </c>
      <c r="S252" s="68">
        <v>69</v>
      </c>
      <c r="T252" s="68">
        <v>5</v>
      </c>
      <c r="U252" s="69">
        <v>118</v>
      </c>
      <c r="V252" s="67"/>
      <c r="W252" s="68"/>
      <c r="X252" s="68"/>
      <c r="Y252" s="68"/>
      <c r="Z252" s="68"/>
      <c r="AA252" s="69"/>
      <c r="AB252" s="70"/>
      <c r="AC252" s="68"/>
      <c r="AD252" s="68"/>
      <c r="AE252" s="68"/>
      <c r="AF252" s="68">
        <f t="shared" si="262"/>
        <v>0</v>
      </c>
      <c r="AG252" s="68"/>
      <c r="AH252" s="68"/>
      <c r="AI252" s="69">
        <f t="shared" si="263"/>
        <v>0</v>
      </c>
      <c r="AJ252" s="70"/>
      <c r="AK252" s="68"/>
      <c r="AL252" s="68"/>
      <c r="AM252" s="68"/>
      <c r="AN252" s="68">
        <f t="shared" si="264"/>
        <v>0</v>
      </c>
      <c r="AO252" s="68"/>
      <c r="AP252" s="68"/>
      <c r="AQ252" s="69">
        <f t="shared" si="265"/>
        <v>0</v>
      </c>
      <c r="AR252" s="972"/>
      <c r="AS252" s="973"/>
      <c r="AT252" s="68"/>
      <c r="AU252" s="68"/>
      <c r="AV252" s="68"/>
      <c r="AW252" s="973">
        <f t="shared" si="266"/>
        <v>0</v>
      </c>
      <c r="AX252" s="973"/>
      <c r="AY252" s="973"/>
      <c r="AZ252" s="973"/>
      <c r="BA252" s="974">
        <f t="shared" si="267"/>
        <v>0</v>
      </c>
      <c r="BB252" s="975">
        <f t="shared" si="252"/>
        <v>11</v>
      </c>
      <c r="BC252" s="959">
        <f t="shared" si="253"/>
        <v>53</v>
      </c>
      <c r="BD252" s="959">
        <f t="shared" si="254"/>
        <v>69</v>
      </c>
      <c r="BE252" s="959">
        <f t="shared" si="255"/>
        <v>118</v>
      </c>
      <c r="BF252" s="959">
        <f t="shared" si="256"/>
        <v>240</v>
      </c>
      <c r="BG252" s="959">
        <f t="shared" si="257"/>
        <v>0</v>
      </c>
      <c r="BH252" s="959">
        <f t="shared" si="258"/>
        <v>0</v>
      </c>
      <c r="BI252" s="959">
        <f t="shared" si="259"/>
        <v>0</v>
      </c>
      <c r="BJ252" s="959">
        <f t="shared" si="260"/>
        <v>0</v>
      </c>
      <c r="BK252" s="959">
        <f t="shared" si="261"/>
        <v>0</v>
      </c>
      <c r="BL252" s="55"/>
    </row>
    <row r="253" spans="1:64" s="43" customFormat="1" ht="17.100000000000001" customHeight="1">
      <c r="A253" s="762" t="s">
        <v>1529</v>
      </c>
      <c r="B253" s="751" t="s">
        <v>8</v>
      </c>
      <c r="C253" s="751" t="s">
        <v>8</v>
      </c>
      <c r="D253" s="751" t="s">
        <v>1627</v>
      </c>
      <c r="E253" s="55" t="s">
        <v>2529</v>
      </c>
      <c r="F253" s="1017" t="s">
        <v>1613</v>
      </c>
      <c r="G253" s="1018">
        <v>41337</v>
      </c>
      <c r="H253" s="50" t="s">
        <v>3786</v>
      </c>
      <c r="I253" s="760">
        <v>977</v>
      </c>
      <c r="J253" s="52">
        <v>21610</v>
      </c>
      <c r="K253" s="55" t="s">
        <v>3787</v>
      </c>
      <c r="L253" s="56" t="s">
        <v>3788</v>
      </c>
      <c r="M253" s="64">
        <v>19</v>
      </c>
      <c r="N253" s="65">
        <v>0</v>
      </c>
      <c r="O253" s="66">
        <v>532</v>
      </c>
      <c r="P253" s="67">
        <v>6</v>
      </c>
      <c r="Q253" s="68">
        <v>108</v>
      </c>
      <c r="R253" s="68">
        <v>5</v>
      </c>
      <c r="S253" s="68">
        <v>125</v>
      </c>
      <c r="T253" s="68">
        <v>3</v>
      </c>
      <c r="U253" s="69">
        <v>84</v>
      </c>
      <c r="V253" s="67"/>
      <c r="W253" s="68"/>
      <c r="X253" s="68"/>
      <c r="Y253" s="68"/>
      <c r="Z253" s="68"/>
      <c r="AA253" s="69"/>
      <c r="AB253" s="70"/>
      <c r="AC253" s="68"/>
      <c r="AD253" s="68"/>
      <c r="AE253" s="68"/>
      <c r="AF253" s="68">
        <f t="shared" si="262"/>
        <v>0</v>
      </c>
      <c r="AG253" s="68"/>
      <c r="AH253" s="68"/>
      <c r="AI253" s="69">
        <f t="shared" si="263"/>
        <v>0</v>
      </c>
      <c r="AJ253" s="70"/>
      <c r="AK253" s="68"/>
      <c r="AL253" s="68"/>
      <c r="AM253" s="68"/>
      <c r="AN253" s="68">
        <f t="shared" si="264"/>
        <v>0</v>
      </c>
      <c r="AO253" s="68"/>
      <c r="AP253" s="68"/>
      <c r="AQ253" s="69">
        <f t="shared" si="265"/>
        <v>0</v>
      </c>
      <c r="AR253" s="972"/>
      <c r="AS253" s="973"/>
      <c r="AT253" s="68"/>
      <c r="AU253" s="68"/>
      <c r="AV253" s="68"/>
      <c r="AW253" s="973">
        <f t="shared" si="266"/>
        <v>0</v>
      </c>
      <c r="AX253" s="973"/>
      <c r="AY253" s="973"/>
      <c r="AZ253" s="973"/>
      <c r="BA253" s="974">
        <f t="shared" si="267"/>
        <v>0</v>
      </c>
      <c r="BB253" s="976">
        <f t="shared" si="252"/>
        <v>14</v>
      </c>
      <c r="BC253" s="959">
        <f t="shared" si="253"/>
        <v>108</v>
      </c>
      <c r="BD253" s="959">
        <f t="shared" si="254"/>
        <v>125</v>
      </c>
      <c r="BE253" s="959">
        <f t="shared" si="255"/>
        <v>84</v>
      </c>
      <c r="BF253" s="959">
        <f t="shared" si="256"/>
        <v>317</v>
      </c>
      <c r="BG253" s="959">
        <f t="shared" si="257"/>
        <v>0</v>
      </c>
      <c r="BH253" s="959">
        <f t="shared" si="258"/>
        <v>0</v>
      </c>
      <c r="BI253" s="959">
        <f t="shared" si="259"/>
        <v>0</v>
      </c>
      <c r="BJ253" s="959">
        <f t="shared" si="260"/>
        <v>0</v>
      </c>
      <c r="BK253" s="959">
        <f t="shared" si="261"/>
        <v>0</v>
      </c>
      <c r="BL253" s="55"/>
    </row>
    <row r="254" spans="1:64" s="43" customFormat="1" ht="17.100000000000001" customHeight="1">
      <c r="A254" s="762" t="s">
        <v>1530</v>
      </c>
      <c r="B254" s="751" t="s">
        <v>8</v>
      </c>
      <c r="C254" s="751" t="s">
        <v>8</v>
      </c>
      <c r="D254" s="751" t="s">
        <v>3789</v>
      </c>
      <c r="E254" s="55" t="s">
        <v>2529</v>
      </c>
      <c r="F254" s="1017" t="s">
        <v>1615</v>
      </c>
      <c r="G254" s="1018">
        <v>39429</v>
      </c>
      <c r="H254" s="50" t="s">
        <v>1852</v>
      </c>
      <c r="I254" s="760">
        <v>1165</v>
      </c>
      <c r="J254" s="52">
        <v>21590</v>
      </c>
      <c r="K254" s="55" t="s">
        <v>3790</v>
      </c>
      <c r="L254" s="56" t="s">
        <v>3791</v>
      </c>
      <c r="M254" s="64">
        <v>9</v>
      </c>
      <c r="N254" s="65">
        <v>0</v>
      </c>
      <c r="O254" s="66">
        <v>240</v>
      </c>
      <c r="P254" s="67">
        <v>3</v>
      </c>
      <c r="Q254" s="68">
        <v>57</v>
      </c>
      <c r="R254" s="68">
        <v>2</v>
      </c>
      <c r="S254" s="68">
        <v>50</v>
      </c>
      <c r="T254" s="68">
        <v>3</v>
      </c>
      <c r="U254" s="69">
        <v>68</v>
      </c>
      <c r="V254" s="67"/>
      <c r="W254" s="68"/>
      <c r="X254" s="68"/>
      <c r="Y254" s="68"/>
      <c r="Z254" s="68"/>
      <c r="AA254" s="69"/>
      <c r="AB254" s="70"/>
      <c r="AC254" s="68"/>
      <c r="AD254" s="68"/>
      <c r="AE254" s="68"/>
      <c r="AF254" s="68">
        <f t="shared" si="262"/>
        <v>0</v>
      </c>
      <c r="AG254" s="68"/>
      <c r="AH254" s="68"/>
      <c r="AI254" s="69">
        <f t="shared" si="263"/>
        <v>0</v>
      </c>
      <c r="AJ254" s="70"/>
      <c r="AK254" s="68"/>
      <c r="AL254" s="68"/>
      <c r="AM254" s="68"/>
      <c r="AN254" s="68">
        <f t="shared" si="264"/>
        <v>0</v>
      </c>
      <c r="AO254" s="68"/>
      <c r="AP254" s="68"/>
      <c r="AQ254" s="69">
        <f t="shared" si="265"/>
        <v>0</v>
      </c>
      <c r="AR254" s="972"/>
      <c r="AS254" s="973"/>
      <c r="AT254" s="68"/>
      <c r="AU254" s="68"/>
      <c r="AV254" s="68"/>
      <c r="AW254" s="973">
        <f t="shared" si="266"/>
        <v>0</v>
      </c>
      <c r="AX254" s="973"/>
      <c r="AY254" s="973"/>
      <c r="AZ254" s="973"/>
      <c r="BA254" s="974">
        <f t="shared" si="267"/>
        <v>0</v>
      </c>
      <c r="BB254" s="975">
        <f t="shared" si="252"/>
        <v>8</v>
      </c>
      <c r="BC254" s="959">
        <f t="shared" si="253"/>
        <v>57</v>
      </c>
      <c r="BD254" s="959">
        <f t="shared" si="254"/>
        <v>50</v>
      </c>
      <c r="BE254" s="959">
        <f t="shared" si="255"/>
        <v>68</v>
      </c>
      <c r="BF254" s="959">
        <f t="shared" si="256"/>
        <v>175</v>
      </c>
      <c r="BG254" s="959">
        <f t="shared" si="257"/>
        <v>0</v>
      </c>
      <c r="BH254" s="959">
        <f t="shared" si="258"/>
        <v>0</v>
      </c>
      <c r="BI254" s="959">
        <f t="shared" si="259"/>
        <v>0</v>
      </c>
      <c r="BJ254" s="959">
        <f t="shared" si="260"/>
        <v>0</v>
      </c>
      <c r="BK254" s="959">
        <f t="shared" si="261"/>
        <v>0</v>
      </c>
      <c r="BL254" s="55"/>
    </row>
    <row r="255" spans="1:64" s="43" customFormat="1" ht="17.100000000000001" customHeight="1">
      <c r="A255" s="762" t="s">
        <v>1530</v>
      </c>
      <c r="B255" s="751" t="s">
        <v>8</v>
      </c>
      <c r="C255" s="751" t="s">
        <v>8</v>
      </c>
      <c r="D255" s="751" t="s">
        <v>3789</v>
      </c>
      <c r="E255" s="55" t="s">
        <v>2529</v>
      </c>
      <c r="F255" s="1017" t="s">
        <v>1616</v>
      </c>
      <c r="G255" s="1018">
        <v>41704</v>
      </c>
      <c r="H255" s="50" t="s">
        <v>1634</v>
      </c>
      <c r="I255" s="760">
        <v>641</v>
      </c>
      <c r="J255" s="52">
        <v>21590</v>
      </c>
      <c r="K255" s="55" t="s">
        <v>3792</v>
      </c>
      <c r="L255" s="56" t="s">
        <v>3793</v>
      </c>
      <c r="M255" s="64">
        <v>13</v>
      </c>
      <c r="N255" s="65">
        <v>0</v>
      </c>
      <c r="O255" s="66">
        <v>320</v>
      </c>
      <c r="P255" s="67">
        <v>7</v>
      </c>
      <c r="Q255" s="68">
        <v>120</v>
      </c>
      <c r="R255" s="68">
        <v>4</v>
      </c>
      <c r="S255" s="68">
        <v>87</v>
      </c>
      <c r="T255" s="68">
        <v>2</v>
      </c>
      <c r="U255" s="69">
        <v>51</v>
      </c>
      <c r="V255" s="67"/>
      <c r="W255" s="68"/>
      <c r="X255" s="68"/>
      <c r="Y255" s="68"/>
      <c r="Z255" s="68"/>
      <c r="AA255" s="69"/>
      <c r="AB255" s="70"/>
      <c r="AC255" s="68"/>
      <c r="AD255" s="68"/>
      <c r="AE255" s="68"/>
      <c r="AF255" s="68">
        <f t="shared" si="262"/>
        <v>0</v>
      </c>
      <c r="AG255" s="68"/>
      <c r="AH255" s="68"/>
      <c r="AI255" s="69">
        <f t="shared" si="263"/>
        <v>0</v>
      </c>
      <c r="AJ255" s="70"/>
      <c r="AK255" s="68"/>
      <c r="AL255" s="68"/>
      <c r="AM255" s="68"/>
      <c r="AN255" s="68">
        <f t="shared" si="264"/>
        <v>0</v>
      </c>
      <c r="AO255" s="68"/>
      <c r="AP255" s="68"/>
      <c r="AQ255" s="69">
        <f t="shared" si="265"/>
        <v>0</v>
      </c>
      <c r="AR255" s="972"/>
      <c r="AS255" s="973"/>
      <c r="AT255" s="68"/>
      <c r="AU255" s="68"/>
      <c r="AV255" s="68"/>
      <c r="AW255" s="973">
        <f t="shared" si="266"/>
        <v>0</v>
      </c>
      <c r="AX255" s="973"/>
      <c r="AY255" s="973"/>
      <c r="AZ255" s="973"/>
      <c r="BA255" s="974">
        <f t="shared" si="267"/>
        <v>0</v>
      </c>
      <c r="BB255" s="975">
        <f t="shared" si="252"/>
        <v>13</v>
      </c>
      <c r="BC255" s="959">
        <f t="shared" si="253"/>
        <v>120</v>
      </c>
      <c r="BD255" s="959">
        <f t="shared" si="254"/>
        <v>87</v>
      </c>
      <c r="BE255" s="959">
        <f t="shared" si="255"/>
        <v>51</v>
      </c>
      <c r="BF255" s="959">
        <f t="shared" si="256"/>
        <v>258</v>
      </c>
      <c r="BG255" s="959">
        <f t="shared" si="257"/>
        <v>0</v>
      </c>
      <c r="BH255" s="959">
        <f t="shared" si="258"/>
        <v>0</v>
      </c>
      <c r="BI255" s="959">
        <f t="shared" si="259"/>
        <v>0</v>
      </c>
      <c r="BJ255" s="959">
        <f t="shared" si="260"/>
        <v>0</v>
      </c>
      <c r="BK255" s="959">
        <f t="shared" si="261"/>
        <v>0</v>
      </c>
      <c r="BL255" s="55"/>
    </row>
    <row r="256" spans="1:64" s="43" customFormat="1" ht="17.100000000000001" customHeight="1">
      <c r="A256" s="762" t="s">
        <v>1530</v>
      </c>
      <c r="B256" s="751" t="s">
        <v>8</v>
      </c>
      <c r="C256" s="751" t="s">
        <v>8</v>
      </c>
      <c r="D256" s="751" t="s">
        <v>3789</v>
      </c>
      <c r="E256" s="55" t="s">
        <v>2529</v>
      </c>
      <c r="F256" s="1017" t="s">
        <v>1614</v>
      </c>
      <c r="G256" s="1018">
        <v>36799</v>
      </c>
      <c r="H256" s="50" t="s">
        <v>3794</v>
      </c>
      <c r="I256" s="760">
        <v>796</v>
      </c>
      <c r="J256" s="52">
        <v>21626</v>
      </c>
      <c r="K256" s="55" t="s">
        <v>3795</v>
      </c>
      <c r="L256" s="56" t="s">
        <v>3796</v>
      </c>
      <c r="M256" s="64">
        <v>9</v>
      </c>
      <c r="N256" s="65">
        <v>0</v>
      </c>
      <c r="O256" s="66">
        <v>210</v>
      </c>
      <c r="P256" s="67">
        <v>1</v>
      </c>
      <c r="Q256" s="68">
        <v>10</v>
      </c>
      <c r="R256" s="68">
        <v>1</v>
      </c>
      <c r="S256" s="68">
        <v>11</v>
      </c>
      <c r="T256" s="68">
        <v>1</v>
      </c>
      <c r="U256" s="69">
        <v>17</v>
      </c>
      <c r="V256" s="67"/>
      <c r="W256" s="68"/>
      <c r="X256" s="68"/>
      <c r="Y256" s="68"/>
      <c r="Z256" s="68"/>
      <c r="AA256" s="69"/>
      <c r="AB256" s="70"/>
      <c r="AC256" s="68"/>
      <c r="AD256" s="68"/>
      <c r="AE256" s="68"/>
      <c r="AF256" s="68">
        <f t="shared" si="262"/>
        <v>0</v>
      </c>
      <c r="AG256" s="68"/>
      <c r="AH256" s="68"/>
      <c r="AI256" s="69">
        <f t="shared" si="263"/>
        <v>0</v>
      </c>
      <c r="AJ256" s="70"/>
      <c r="AK256" s="68"/>
      <c r="AL256" s="68"/>
      <c r="AM256" s="68"/>
      <c r="AN256" s="68">
        <f t="shared" si="264"/>
        <v>0</v>
      </c>
      <c r="AO256" s="68"/>
      <c r="AP256" s="68"/>
      <c r="AQ256" s="69">
        <f t="shared" si="265"/>
        <v>0</v>
      </c>
      <c r="AR256" s="972"/>
      <c r="AS256" s="973"/>
      <c r="AT256" s="68"/>
      <c r="AU256" s="68"/>
      <c r="AV256" s="68"/>
      <c r="AW256" s="973">
        <f t="shared" si="266"/>
        <v>0</v>
      </c>
      <c r="AX256" s="973"/>
      <c r="AY256" s="973"/>
      <c r="AZ256" s="973"/>
      <c r="BA256" s="974">
        <f t="shared" si="267"/>
        <v>0</v>
      </c>
      <c r="BB256" s="975">
        <f t="shared" si="252"/>
        <v>3</v>
      </c>
      <c r="BC256" s="959">
        <f t="shared" si="253"/>
        <v>10</v>
      </c>
      <c r="BD256" s="959">
        <f t="shared" si="254"/>
        <v>11</v>
      </c>
      <c r="BE256" s="959">
        <f t="shared" si="255"/>
        <v>17</v>
      </c>
      <c r="BF256" s="959">
        <f t="shared" si="256"/>
        <v>38</v>
      </c>
      <c r="BG256" s="959">
        <f t="shared" si="257"/>
        <v>0</v>
      </c>
      <c r="BH256" s="959">
        <f t="shared" si="258"/>
        <v>0</v>
      </c>
      <c r="BI256" s="959">
        <f t="shared" si="259"/>
        <v>0</v>
      </c>
      <c r="BJ256" s="959">
        <f t="shared" si="260"/>
        <v>0</v>
      </c>
      <c r="BK256" s="959">
        <f t="shared" si="261"/>
        <v>0</v>
      </c>
      <c r="BL256" s="55"/>
    </row>
    <row r="257" spans="1:64" s="43" customFormat="1" ht="17.100000000000001" customHeight="1">
      <c r="A257" s="762" t="s">
        <v>1530</v>
      </c>
      <c r="B257" s="751" t="s">
        <v>8</v>
      </c>
      <c r="C257" s="751" t="s">
        <v>8</v>
      </c>
      <c r="D257" s="751" t="s">
        <v>3797</v>
      </c>
      <c r="E257" s="55" t="s">
        <v>2529</v>
      </c>
      <c r="F257" s="1017" t="s">
        <v>1617</v>
      </c>
      <c r="G257" s="1018">
        <v>39538</v>
      </c>
      <c r="H257" s="50" t="s">
        <v>3798</v>
      </c>
      <c r="I257" s="760">
        <v>989</v>
      </c>
      <c r="J257" s="52">
        <v>21657</v>
      </c>
      <c r="K257" s="55" t="s">
        <v>3799</v>
      </c>
      <c r="L257" s="56" t="s">
        <v>3800</v>
      </c>
      <c r="M257" s="64">
        <v>10</v>
      </c>
      <c r="N257" s="65">
        <v>0</v>
      </c>
      <c r="O257" s="66">
        <v>229</v>
      </c>
      <c r="P257" s="67">
        <v>3</v>
      </c>
      <c r="Q257" s="68">
        <v>45</v>
      </c>
      <c r="R257" s="68">
        <v>2</v>
      </c>
      <c r="S257" s="68">
        <v>46</v>
      </c>
      <c r="T257" s="68">
        <v>3</v>
      </c>
      <c r="U257" s="69">
        <v>64</v>
      </c>
      <c r="V257" s="67"/>
      <c r="W257" s="68"/>
      <c r="X257" s="68"/>
      <c r="Y257" s="68"/>
      <c r="Z257" s="68"/>
      <c r="AA257" s="69"/>
      <c r="AB257" s="70"/>
      <c r="AC257" s="68"/>
      <c r="AD257" s="68"/>
      <c r="AE257" s="68"/>
      <c r="AF257" s="68">
        <f t="shared" si="262"/>
        <v>0</v>
      </c>
      <c r="AG257" s="68"/>
      <c r="AH257" s="68"/>
      <c r="AI257" s="69">
        <f t="shared" si="263"/>
        <v>0</v>
      </c>
      <c r="AJ257" s="70"/>
      <c r="AK257" s="68"/>
      <c r="AL257" s="68"/>
      <c r="AM257" s="68"/>
      <c r="AN257" s="68">
        <f t="shared" si="264"/>
        <v>0</v>
      </c>
      <c r="AO257" s="68"/>
      <c r="AP257" s="68"/>
      <c r="AQ257" s="69">
        <f t="shared" si="265"/>
        <v>0</v>
      </c>
      <c r="AR257" s="972"/>
      <c r="AS257" s="973"/>
      <c r="AT257" s="68"/>
      <c r="AU257" s="68"/>
      <c r="AV257" s="68"/>
      <c r="AW257" s="973">
        <f t="shared" si="266"/>
        <v>0</v>
      </c>
      <c r="AX257" s="973"/>
      <c r="AY257" s="973"/>
      <c r="AZ257" s="973"/>
      <c r="BA257" s="974">
        <f t="shared" si="267"/>
        <v>0</v>
      </c>
      <c r="BB257" s="975">
        <f t="shared" si="252"/>
        <v>8</v>
      </c>
      <c r="BC257" s="959">
        <f t="shared" si="253"/>
        <v>45</v>
      </c>
      <c r="BD257" s="959">
        <f t="shared" si="254"/>
        <v>46</v>
      </c>
      <c r="BE257" s="959">
        <f t="shared" si="255"/>
        <v>64</v>
      </c>
      <c r="BF257" s="959">
        <f t="shared" si="256"/>
        <v>155</v>
      </c>
      <c r="BG257" s="959">
        <f t="shared" si="257"/>
        <v>0</v>
      </c>
      <c r="BH257" s="959">
        <f t="shared" si="258"/>
        <v>0</v>
      </c>
      <c r="BI257" s="959">
        <f t="shared" si="259"/>
        <v>0</v>
      </c>
      <c r="BJ257" s="959">
        <f t="shared" si="260"/>
        <v>0</v>
      </c>
      <c r="BK257" s="959">
        <f t="shared" si="261"/>
        <v>0</v>
      </c>
      <c r="BL257" s="55"/>
    </row>
    <row r="258" spans="1:64" s="43" customFormat="1" ht="17.100000000000001" customHeight="1">
      <c r="A258" s="762" t="s">
        <v>1530</v>
      </c>
      <c r="B258" s="751" t="s">
        <v>8</v>
      </c>
      <c r="C258" s="751" t="s">
        <v>8</v>
      </c>
      <c r="D258" s="751" t="s">
        <v>3797</v>
      </c>
      <c r="E258" s="55" t="s">
        <v>2529</v>
      </c>
      <c r="F258" s="751" t="s">
        <v>1618</v>
      </c>
      <c r="G258" s="1018">
        <v>41144</v>
      </c>
      <c r="H258" s="50" t="s">
        <v>3801</v>
      </c>
      <c r="I258" s="760">
        <v>1051</v>
      </c>
      <c r="J258" s="52">
        <v>21669</v>
      </c>
      <c r="K258" s="55" t="s">
        <v>3802</v>
      </c>
      <c r="L258" s="56" t="s">
        <v>3803</v>
      </c>
      <c r="M258" s="64">
        <v>16</v>
      </c>
      <c r="N258" s="65">
        <v>0</v>
      </c>
      <c r="O258" s="66">
        <v>390</v>
      </c>
      <c r="P258" s="67">
        <v>3</v>
      </c>
      <c r="Q258" s="68">
        <v>70</v>
      </c>
      <c r="R258" s="68">
        <v>4</v>
      </c>
      <c r="S258" s="68">
        <v>97</v>
      </c>
      <c r="T258" s="68">
        <v>5</v>
      </c>
      <c r="U258" s="69">
        <v>136</v>
      </c>
      <c r="V258" s="67"/>
      <c r="W258" s="68"/>
      <c r="X258" s="68"/>
      <c r="Y258" s="68"/>
      <c r="Z258" s="68"/>
      <c r="AA258" s="69"/>
      <c r="AB258" s="70"/>
      <c r="AC258" s="68"/>
      <c r="AD258" s="68"/>
      <c r="AE258" s="68"/>
      <c r="AF258" s="68">
        <f t="shared" si="262"/>
        <v>0</v>
      </c>
      <c r="AG258" s="68"/>
      <c r="AH258" s="68"/>
      <c r="AI258" s="69">
        <f t="shared" si="263"/>
        <v>0</v>
      </c>
      <c r="AJ258" s="70"/>
      <c r="AK258" s="68"/>
      <c r="AL258" s="68"/>
      <c r="AM258" s="68"/>
      <c r="AN258" s="68">
        <f t="shared" si="264"/>
        <v>0</v>
      </c>
      <c r="AO258" s="68"/>
      <c r="AP258" s="68"/>
      <c r="AQ258" s="69">
        <f t="shared" si="265"/>
        <v>0</v>
      </c>
      <c r="AR258" s="972"/>
      <c r="AS258" s="973"/>
      <c r="AT258" s="68"/>
      <c r="AU258" s="68"/>
      <c r="AV258" s="68"/>
      <c r="AW258" s="973">
        <f t="shared" si="266"/>
        <v>0</v>
      </c>
      <c r="AX258" s="973"/>
      <c r="AY258" s="973"/>
      <c r="AZ258" s="973"/>
      <c r="BA258" s="974">
        <f t="shared" si="267"/>
        <v>0</v>
      </c>
      <c r="BB258" s="976">
        <f t="shared" si="252"/>
        <v>12</v>
      </c>
      <c r="BC258" s="959">
        <f t="shared" si="253"/>
        <v>70</v>
      </c>
      <c r="BD258" s="959">
        <f t="shared" si="254"/>
        <v>97</v>
      </c>
      <c r="BE258" s="959">
        <f t="shared" si="255"/>
        <v>136</v>
      </c>
      <c r="BF258" s="959">
        <f t="shared" si="256"/>
        <v>303</v>
      </c>
      <c r="BG258" s="959">
        <f t="shared" si="257"/>
        <v>0</v>
      </c>
      <c r="BH258" s="959">
        <f t="shared" si="258"/>
        <v>0</v>
      </c>
      <c r="BI258" s="959">
        <f t="shared" si="259"/>
        <v>0</v>
      </c>
      <c r="BJ258" s="959">
        <f t="shared" si="260"/>
        <v>0</v>
      </c>
      <c r="BK258" s="959">
        <f t="shared" si="261"/>
        <v>0</v>
      </c>
      <c r="BL258" s="55"/>
    </row>
    <row r="259" spans="1:64" s="43" customFormat="1" ht="17.100000000000001" customHeight="1">
      <c r="A259" s="762" t="s">
        <v>1530</v>
      </c>
      <c r="B259" s="751" t="s">
        <v>8</v>
      </c>
      <c r="C259" s="751" t="s">
        <v>8</v>
      </c>
      <c r="D259" s="751" t="s">
        <v>3797</v>
      </c>
      <c r="E259" s="55" t="s">
        <v>2529</v>
      </c>
      <c r="F259" s="1017" t="s">
        <v>1619</v>
      </c>
      <c r="G259" s="1018">
        <v>39791</v>
      </c>
      <c r="H259" s="50" t="s">
        <v>1853</v>
      </c>
      <c r="I259" s="760">
        <v>976</v>
      </c>
      <c r="J259" s="52">
        <v>21670</v>
      </c>
      <c r="K259" s="55" t="s">
        <v>3804</v>
      </c>
      <c r="L259" s="56" t="s">
        <v>3805</v>
      </c>
      <c r="M259" s="64">
        <v>6</v>
      </c>
      <c r="N259" s="65">
        <v>0</v>
      </c>
      <c r="O259" s="66">
        <v>122</v>
      </c>
      <c r="P259" s="67">
        <v>1</v>
      </c>
      <c r="Q259" s="68">
        <v>4</v>
      </c>
      <c r="R259" s="68">
        <v>1</v>
      </c>
      <c r="S259" s="68">
        <v>14</v>
      </c>
      <c r="T259" s="68">
        <v>1</v>
      </c>
      <c r="U259" s="69">
        <v>18</v>
      </c>
      <c r="V259" s="67"/>
      <c r="W259" s="68"/>
      <c r="X259" s="68"/>
      <c r="Y259" s="68"/>
      <c r="Z259" s="68"/>
      <c r="AA259" s="69"/>
      <c r="AB259" s="70"/>
      <c r="AC259" s="68"/>
      <c r="AD259" s="68"/>
      <c r="AE259" s="68"/>
      <c r="AF259" s="68">
        <f t="shared" si="262"/>
        <v>0</v>
      </c>
      <c r="AG259" s="68"/>
      <c r="AH259" s="68"/>
      <c r="AI259" s="69">
        <f t="shared" si="263"/>
        <v>0</v>
      </c>
      <c r="AJ259" s="70"/>
      <c r="AK259" s="68"/>
      <c r="AL259" s="68"/>
      <c r="AM259" s="68"/>
      <c r="AN259" s="68">
        <f t="shared" si="264"/>
        <v>0</v>
      </c>
      <c r="AO259" s="68"/>
      <c r="AP259" s="68"/>
      <c r="AQ259" s="69">
        <f t="shared" si="265"/>
        <v>0</v>
      </c>
      <c r="AR259" s="972"/>
      <c r="AS259" s="973"/>
      <c r="AT259" s="68"/>
      <c r="AU259" s="68"/>
      <c r="AV259" s="68"/>
      <c r="AW259" s="973">
        <f t="shared" si="266"/>
        <v>0</v>
      </c>
      <c r="AX259" s="973"/>
      <c r="AY259" s="973"/>
      <c r="AZ259" s="973"/>
      <c r="BA259" s="974">
        <f t="shared" si="267"/>
        <v>0</v>
      </c>
      <c r="BB259" s="975">
        <f t="shared" si="252"/>
        <v>3</v>
      </c>
      <c r="BC259" s="959">
        <f t="shared" si="253"/>
        <v>4</v>
      </c>
      <c r="BD259" s="959">
        <f t="shared" si="254"/>
        <v>14</v>
      </c>
      <c r="BE259" s="959">
        <f t="shared" si="255"/>
        <v>18</v>
      </c>
      <c r="BF259" s="959">
        <f t="shared" si="256"/>
        <v>36</v>
      </c>
      <c r="BG259" s="959">
        <f t="shared" si="257"/>
        <v>0</v>
      </c>
      <c r="BH259" s="959">
        <f t="shared" si="258"/>
        <v>0</v>
      </c>
      <c r="BI259" s="959">
        <f t="shared" si="259"/>
        <v>0</v>
      </c>
      <c r="BJ259" s="959">
        <f t="shared" si="260"/>
        <v>0</v>
      </c>
      <c r="BK259" s="959">
        <f t="shared" si="261"/>
        <v>0</v>
      </c>
      <c r="BL259" s="55"/>
    </row>
    <row r="260" spans="1:64" s="43" customFormat="1" ht="17.100000000000001" customHeight="1">
      <c r="A260" s="762" t="s">
        <v>1530</v>
      </c>
      <c r="B260" s="751" t="s">
        <v>8</v>
      </c>
      <c r="C260" s="751" t="s">
        <v>8</v>
      </c>
      <c r="D260" s="751" t="s">
        <v>1629</v>
      </c>
      <c r="E260" s="55" t="s">
        <v>2529</v>
      </c>
      <c r="F260" s="1017" t="s">
        <v>1620</v>
      </c>
      <c r="G260" s="1018">
        <v>40680</v>
      </c>
      <c r="H260" s="50" t="s">
        <v>3806</v>
      </c>
      <c r="I260" s="760">
        <v>1074</v>
      </c>
      <c r="J260" s="52">
        <v>21648</v>
      </c>
      <c r="K260" s="55" t="s">
        <v>3807</v>
      </c>
      <c r="L260" s="56" t="s">
        <v>3808</v>
      </c>
      <c r="M260" s="64">
        <v>13</v>
      </c>
      <c r="N260" s="65">
        <v>0</v>
      </c>
      <c r="O260" s="66">
        <v>299</v>
      </c>
      <c r="P260" s="67">
        <v>2</v>
      </c>
      <c r="Q260" s="68">
        <v>26</v>
      </c>
      <c r="R260" s="68">
        <v>3</v>
      </c>
      <c r="S260" s="68">
        <v>51</v>
      </c>
      <c r="T260" s="68">
        <v>2</v>
      </c>
      <c r="U260" s="69">
        <v>50</v>
      </c>
      <c r="V260" s="67"/>
      <c r="W260" s="68"/>
      <c r="X260" s="68"/>
      <c r="Y260" s="68"/>
      <c r="Z260" s="68"/>
      <c r="AA260" s="69"/>
      <c r="AB260" s="70"/>
      <c r="AC260" s="68"/>
      <c r="AD260" s="68"/>
      <c r="AE260" s="68"/>
      <c r="AF260" s="68">
        <f t="shared" si="262"/>
        <v>0</v>
      </c>
      <c r="AG260" s="68"/>
      <c r="AH260" s="68"/>
      <c r="AI260" s="69">
        <f t="shared" si="263"/>
        <v>0</v>
      </c>
      <c r="AJ260" s="70"/>
      <c r="AK260" s="68"/>
      <c r="AL260" s="68"/>
      <c r="AM260" s="68"/>
      <c r="AN260" s="68">
        <f t="shared" si="264"/>
        <v>0</v>
      </c>
      <c r="AO260" s="68"/>
      <c r="AP260" s="68"/>
      <c r="AQ260" s="69">
        <f t="shared" si="265"/>
        <v>0</v>
      </c>
      <c r="AR260" s="972"/>
      <c r="AS260" s="973"/>
      <c r="AT260" s="68"/>
      <c r="AU260" s="68"/>
      <c r="AV260" s="68"/>
      <c r="AW260" s="973">
        <f t="shared" si="266"/>
        <v>0</v>
      </c>
      <c r="AX260" s="973"/>
      <c r="AY260" s="973"/>
      <c r="AZ260" s="973"/>
      <c r="BA260" s="974">
        <f t="shared" si="267"/>
        <v>0</v>
      </c>
      <c r="BB260" s="975">
        <f t="shared" si="252"/>
        <v>7</v>
      </c>
      <c r="BC260" s="959">
        <f t="shared" si="253"/>
        <v>26</v>
      </c>
      <c r="BD260" s="959">
        <f t="shared" si="254"/>
        <v>51</v>
      </c>
      <c r="BE260" s="959">
        <f t="shared" si="255"/>
        <v>50</v>
      </c>
      <c r="BF260" s="959">
        <f t="shared" si="256"/>
        <v>127</v>
      </c>
      <c r="BG260" s="959">
        <f t="shared" si="257"/>
        <v>0</v>
      </c>
      <c r="BH260" s="959">
        <f t="shared" si="258"/>
        <v>0</v>
      </c>
      <c r="BI260" s="959">
        <f t="shared" si="259"/>
        <v>0</v>
      </c>
      <c r="BJ260" s="959">
        <f t="shared" si="260"/>
        <v>0</v>
      </c>
      <c r="BK260" s="959">
        <f t="shared" si="261"/>
        <v>0</v>
      </c>
      <c r="BL260" s="55"/>
    </row>
    <row r="261" spans="1:64" s="43" customFormat="1" ht="17.100000000000001" customHeight="1">
      <c r="A261" s="762" t="s">
        <v>1530</v>
      </c>
      <c r="B261" s="751" t="s">
        <v>8</v>
      </c>
      <c r="C261" s="751" t="s">
        <v>8</v>
      </c>
      <c r="D261" s="751" t="s">
        <v>1630</v>
      </c>
      <c r="E261" s="55" t="s">
        <v>2529</v>
      </c>
      <c r="F261" s="1017" t="s">
        <v>1621</v>
      </c>
      <c r="G261" s="1018">
        <v>41334</v>
      </c>
      <c r="H261" s="50" t="s">
        <v>3809</v>
      </c>
      <c r="I261" s="760">
        <v>1045</v>
      </c>
      <c r="J261" s="52">
        <v>21683</v>
      </c>
      <c r="K261" s="55" t="s">
        <v>3810</v>
      </c>
      <c r="L261" s="56" t="s">
        <v>3811</v>
      </c>
      <c r="M261" s="64">
        <v>15</v>
      </c>
      <c r="N261" s="65">
        <v>0</v>
      </c>
      <c r="O261" s="66">
        <v>400</v>
      </c>
      <c r="P261" s="67">
        <v>6</v>
      </c>
      <c r="Q261" s="68">
        <v>147</v>
      </c>
      <c r="R261" s="68">
        <v>5</v>
      </c>
      <c r="S261" s="68">
        <v>126</v>
      </c>
      <c r="T261" s="68">
        <v>4</v>
      </c>
      <c r="U261" s="69">
        <v>123</v>
      </c>
      <c r="V261" s="67"/>
      <c r="W261" s="68"/>
      <c r="X261" s="68"/>
      <c r="Y261" s="68"/>
      <c r="Z261" s="68"/>
      <c r="AA261" s="69"/>
      <c r="AB261" s="70"/>
      <c r="AC261" s="68"/>
      <c r="AD261" s="68"/>
      <c r="AE261" s="68"/>
      <c r="AF261" s="68">
        <f t="shared" si="262"/>
        <v>0</v>
      </c>
      <c r="AG261" s="68"/>
      <c r="AH261" s="68"/>
      <c r="AI261" s="69">
        <f t="shared" si="263"/>
        <v>0</v>
      </c>
      <c r="AJ261" s="70"/>
      <c r="AK261" s="68"/>
      <c r="AL261" s="68"/>
      <c r="AM261" s="68"/>
      <c r="AN261" s="68">
        <f t="shared" si="264"/>
        <v>0</v>
      </c>
      <c r="AO261" s="68"/>
      <c r="AP261" s="68"/>
      <c r="AQ261" s="69">
        <f t="shared" si="265"/>
        <v>0</v>
      </c>
      <c r="AR261" s="972"/>
      <c r="AS261" s="973"/>
      <c r="AT261" s="68"/>
      <c r="AU261" s="68"/>
      <c r="AV261" s="68"/>
      <c r="AW261" s="973">
        <f t="shared" si="266"/>
        <v>0</v>
      </c>
      <c r="AX261" s="973"/>
      <c r="AY261" s="973"/>
      <c r="AZ261" s="973"/>
      <c r="BA261" s="974">
        <f t="shared" si="267"/>
        <v>0</v>
      </c>
      <c r="BB261" s="976">
        <f t="shared" si="252"/>
        <v>15</v>
      </c>
      <c r="BC261" s="959">
        <f t="shared" si="253"/>
        <v>147</v>
      </c>
      <c r="BD261" s="959">
        <f t="shared" si="254"/>
        <v>126</v>
      </c>
      <c r="BE261" s="959">
        <f t="shared" si="255"/>
        <v>123</v>
      </c>
      <c r="BF261" s="959">
        <f t="shared" si="256"/>
        <v>396</v>
      </c>
      <c r="BG261" s="959">
        <f t="shared" si="257"/>
        <v>0</v>
      </c>
      <c r="BH261" s="959">
        <f t="shared" si="258"/>
        <v>0</v>
      </c>
      <c r="BI261" s="959">
        <f t="shared" si="259"/>
        <v>0</v>
      </c>
      <c r="BJ261" s="959">
        <f t="shared" si="260"/>
        <v>0</v>
      </c>
      <c r="BK261" s="959">
        <f t="shared" si="261"/>
        <v>0</v>
      </c>
      <c r="BL261" s="55"/>
    </row>
    <row r="262" spans="1:64" s="43" customFormat="1" ht="17.100000000000001" customHeight="1">
      <c r="A262" s="762" t="s">
        <v>1530</v>
      </c>
      <c r="B262" s="751" t="s">
        <v>8</v>
      </c>
      <c r="C262" s="751" t="s">
        <v>8</v>
      </c>
      <c r="D262" s="751" t="s">
        <v>1630</v>
      </c>
      <c r="E262" s="55" t="s">
        <v>2529</v>
      </c>
      <c r="F262" s="1017" t="s">
        <v>1622</v>
      </c>
      <c r="G262" s="1018">
        <v>40234</v>
      </c>
      <c r="H262" s="50" t="s">
        <v>1854</v>
      </c>
      <c r="I262" s="760">
        <v>1089</v>
      </c>
      <c r="J262" s="52">
        <v>21685</v>
      </c>
      <c r="K262" s="55" t="s">
        <v>3812</v>
      </c>
      <c r="L262" s="56" t="s">
        <v>3813</v>
      </c>
      <c r="M262" s="64">
        <v>16</v>
      </c>
      <c r="N262" s="65">
        <v>0</v>
      </c>
      <c r="O262" s="66">
        <v>491</v>
      </c>
      <c r="P262" s="67">
        <v>5</v>
      </c>
      <c r="Q262" s="68">
        <v>91</v>
      </c>
      <c r="R262" s="68">
        <v>5</v>
      </c>
      <c r="S262" s="68">
        <v>103</v>
      </c>
      <c r="T262" s="68">
        <v>6</v>
      </c>
      <c r="U262" s="69">
        <v>142</v>
      </c>
      <c r="V262" s="67"/>
      <c r="W262" s="68"/>
      <c r="X262" s="68"/>
      <c r="Y262" s="68"/>
      <c r="Z262" s="68"/>
      <c r="AA262" s="69"/>
      <c r="AB262" s="70"/>
      <c r="AC262" s="68"/>
      <c r="AD262" s="68"/>
      <c r="AE262" s="68"/>
      <c r="AF262" s="68">
        <f t="shared" si="262"/>
        <v>0</v>
      </c>
      <c r="AG262" s="68"/>
      <c r="AH262" s="68"/>
      <c r="AI262" s="69">
        <f t="shared" si="263"/>
        <v>0</v>
      </c>
      <c r="AJ262" s="70"/>
      <c r="AK262" s="68"/>
      <c r="AL262" s="68"/>
      <c r="AM262" s="68"/>
      <c r="AN262" s="68">
        <f t="shared" si="264"/>
        <v>0</v>
      </c>
      <c r="AO262" s="68"/>
      <c r="AP262" s="68"/>
      <c r="AQ262" s="69">
        <f t="shared" si="265"/>
        <v>0</v>
      </c>
      <c r="AR262" s="972"/>
      <c r="AS262" s="973"/>
      <c r="AT262" s="68"/>
      <c r="AU262" s="68"/>
      <c r="AV262" s="68"/>
      <c r="AW262" s="973">
        <f t="shared" si="266"/>
        <v>0</v>
      </c>
      <c r="AX262" s="973"/>
      <c r="AY262" s="973"/>
      <c r="AZ262" s="973"/>
      <c r="BA262" s="974">
        <f t="shared" si="267"/>
        <v>0</v>
      </c>
      <c r="BB262" s="975">
        <f t="shared" si="252"/>
        <v>16</v>
      </c>
      <c r="BC262" s="959">
        <f t="shared" si="253"/>
        <v>91</v>
      </c>
      <c r="BD262" s="959">
        <f t="shared" si="254"/>
        <v>103</v>
      </c>
      <c r="BE262" s="959">
        <f t="shared" si="255"/>
        <v>142</v>
      </c>
      <c r="BF262" s="959">
        <f t="shared" si="256"/>
        <v>336</v>
      </c>
      <c r="BG262" s="959">
        <f t="shared" si="257"/>
        <v>0</v>
      </c>
      <c r="BH262" s="959">
        <f t="shared" si="258"/>
        <v>0</v>
      </c>
      <c r="BI262" s="959">
        <f t="shared" si="259"/>
        <v>0</v>
      </c>
      <c r="BJ262" s="959">
        <f t="shared" si="260"/>
        <v>0</v>
      </c>
      <c r="BK262" s="959">
        <f t="shared" si="261"/>
        <v>0</v>
      </c>
      <c r="BL262" s="55"/>
    </row>
    <row r="263" spans="1:64" s="43" customFormat="1" ht="17.100000000000001" customHeight="1">
      <c r="A263" s="762" t="s">
        <v>1530</v>
      </c>
      <c r="B263" s="751" t="s">
        <v>8</v>
      </c>
      <c r="C263" s="751" t="s">
        <v>8</v>
      </c>
      <c r="D263" s="751" t="s">
        <v>3814</v>
      </c>
      <c r="E263" s="55" t="s">
        <v>2529</v>
      </c>
      <c r="F263" s="1017" t="s">
        <v>3815</v>
      </c>
      <c r="G263" s="1018">
        <v>40603</v>
      </c>
      <c r="H263" s="50" t="s">
        <v>3816</v>
      </c>
      <c r="I263" s="760">
        <v>644</v>
      </c>
      <c r="J263" s="52">
        <v>21588</v>
      </c>
      <c r="K263" s="55" t="s">
        <v>3817</v>
      </c>
      <c r="L263" s="56" t="s">
        <v>3818</v>
      </c>
      <c r="M263" s="64">
        <v>11</v>
      </c>
      <c r="N263" s="65">
        <v>0</v>
      </c>
      <c r="O263" s="66">
        <v>193</v>
      </c>
      <c r="P263" s="67">
        <v>4</v>
      </c>
      <c r="Q263" s="68">
        <v>58</v>
      </c>
      <c r="R263" s="68">
        <v>2</v>
      </c>
      <c r="S263" s="68">
        <v>49</v>
      </c>
      <c r="T263" s="68">
        <v>3</v>
      </c>
      <c r="U263" s="69">
        <v>61</v>
      </c>
      <c r="V263" s="67"/>
      <c r="W263" s="68"/>
      <c r="X263" s="68"/>
      <c r="Y263" s="68"/>
      <c r="Z263" s="68"/>
      <c r="AA263" s="69"/>
      <c r="AB263" s="70"/>
      <c r="AC263" s="68"/>
      <c r="AD263" s="68"/>
      <c r="AE263" s="68"/>
      <c r="AF263" s="68">
        <f t="shared" si="262"/>
        <v>0</v>
      </c>
      <c r="AG263" s="68"/>
      <c r="AH263" s="68"/>
      <c r="AI263" s="69">
        <f t="shared" si="263"/>
        <v>0</v>
      </c>
      <c r="AJ263" s="70"/>
      <c r="AK263" s="68"/>
      <c r="AL263" s="68"/>
      <c r="AM263" s="68"/>
      <c r="AN263" s="68">
        <f t="shared" si="264"/>
        <v>0</v>
      </c>
      <c r="AO263" s="68"/>
      <c r="AP263" s="68"/>
      <c r="AQ263" s="69">
        <f t="shared" si="265"/>
        <v>0</v>
      </c>
      <c r="AR263" s="972"/>
      <c r="AS263" s="973"/>
      <c r="AT263" s="68"/>
      <c r="AU263" s="68"/>
      <c r="AV263" s="68"/>
      <c r="AW263" s="973">
        <f t="shared" si="266"/>
        <v>0</v>
      </c>
      <c r="AX263" s="973"/>
      <c r="AY263" s="973"/>
      <c r="AZ263" s="973"/>
      <c r="BA263" s="974">
        <f t="shared" si="267"/>
        <v>0</v>
      </c>
      <c r="BB263" s="975">
        <f t="shared" si="252"/>
        <v>9</v>
      </c>
      <c r="BC263" s="959">
        <f t="shared" si="253"/>
        <v>58</v>
      </c>
      <c r="BD263" s="959">
        <f t="shared" si="254"/>
        <v>49</v>
      </c>
      <c r="BE263" s="959">
        <f t="shared" si="255"/>
        <v>61</v>
      </c>
      <c r="BF263" s="959">
        <f t="shared" si="256"/>
        <v>168</v>
      </c>
      <c r="BG263" s="959">
        <f t="shared" si="257"/>
        <v>0</v>
      </c>
      <c r="BH263" s="959">
        <f t="shared" si="258"/>
        <v>0</v>
      </c>
      <c r="BI263" s="959">
        <f t="shared" si="259"/>
        <v>0</v>
      </c>
      <c r="BJ263" s="959">
        <f t="shared" si="260"/>
        <v>0</v>
      </c>
      <c r="BK263" s="959">
        <f t="shared" si="261"/>
        <v>0</v>
      </c>
      <c r="BL263" s="55"/>
    </row>
    <row r="264" spans="1:64" s="43" customFormat="1" ht="17.100000000000001" customHeight="1">
      <c r="A264" s="1614" t="s">
        <v>427</v>
      </c>
      <c r="B264" s="1615"/>
      <c r="C264" s="1615"/>
      <c r="D264" s="1616"/>
      <c r="E264" s="418">
        <f>COUNTA(E231:E263)</f>
        <v>33</v>
      </c>
      <c r="F264" s="294"/>
      <c r="G264" s="419"/>
      <c r="H264" s="190"/>
      <c r="I264" s="420"/>
      <c r="J264" s="296"/>
      <c r="K264" s="294"/>
      <c r="L264" s="297"/>
      <c r="M264" s="421">
        <f t="shared" ref="M264:AR264" si="268">SUM(M231:M263)</f>
        <v>300</v>
      </c>
      <c r="N264" s="422">
        <f t="shared" si="268"/>
        <v>0</v>
      </c>
      <c r="O264" s="423">
        <f t="shared" si="268"/>
        <v>7587</v>
      </c>
      <c r="P264" s="424">
        <f t="shared" si="268"/>
        <v>82</v>
      </c>
      <c r="Q264" s="425">
        <f t="shared" si="268"/>
        <v>1338</v>
      </c>
      <c r="R264" s="425">
        <f t="shared" si="268"/>
        <v>73</v>
      </c>
      <c r="S264" s="425">
        <f t="shared" si="268"/>
        <v>1475</v>
      </c>
      <c r="T264" s="425">
        <f t="shared" si="268"/>
        <v>73</v>
      </c>
      <c r="U264" s="426">
        <f t="shared" si="268"/>
        <v>1678</v>
      </c>
      <c r="V264" s="427">
        <f t="shared" si="268"/>
        <v>0</v>
      </c>
      <c r="W264" s="425">
        <f t="shared" si="268"/>
        <v>0</v>
      </c>
      <c r="X264" s="425">
        <f t="shared" si="268"/>
        <v>0</v>
      </c>
      <c r="Y264" s="425">
        <f t="shared" si="268"/>
        <v>0</v>
      </c>
      <c r="Z264" s="425">
        <f t="shared" si="268"/>
        <v>0</v>
      </c>
      <c r="AA264" s="426">
        <f t="shared" si="268"/>
        <v>0</v>
      </c>
      <c r="AB264" s="424">
        <f t="shared" si="268"/>
        <v>2</v>
      </c>
      <c r="AC264" s="425">
        <f t="shared" si="268"/>
        <v>0</v>
      </c>
      <c r="AD264" s="425">
        <f t="shared" si="268"/>
        <v>9</v>
      </c>
      <c r="AE264" s="425">
        <f t="shared" si="268"/>
        <v>20</v>
      </c>
      <c r="AF264" s="425">
        <f t="shared" si="268"/>
        <v>29</v>
      </c>
      <c r="AG264" s="425">
        <f t="shared" si="268"/>
        <v>0</v>
      </c>
      <c r="AH264" s="425">
        <f t="shared" si="268"/>
        <v>0</v>
      </c>
      <c r="AI264" s="426">
        <f t="shared" si="268"/>
        <v>0</v>
      </c>
      <c r="AJ264" s="424">
        <f t="shared" si="268"/>
        <v>2</v>
      </c>
      <c r="AK264" s="425">
        <f t="shared" si="268"/>
        <v>0</v>
      </c>
      <c r="AL264" s="425">
        <f t="shared" si="268"/>
        <v>5</v>
      </c>
      <c r="AM264" s="425">
        <f t="shared" si="268"/>
        <v>17</v>
      </c>
      <c r="AN264" s="425">
        <f t="shared" si="268"/>
        <v>22</v>
      </c>
      <c r="AO264" s="425">
        <f t="shared" si="268"/>
        <v>0</v>
      </c>
      <c r="AP264" s="425">
        <f t="shared" si="268"/>
        <v>0</v>
      </c>
      <c r="AQ264" s="459">
        <f t="shared" si="268"/>
        <v>0</v>
      </c>
      <c r="AR264" s="460">
        <f t="shared" si="268"/>
        <v>0</v>
      </c>
      <c r="AS264" s="429">
        <f t="shared" ref="AS264:BK264" si="269">SUM(AS231:AS263)</f>
        <v>0</v>
      </c>
      <c r="AT264" s="429">
        <f t="shared" si="269"/>
        <v>0</v>
      </c>
      <c r="AU264" s="429">
        <f t="shared" si="269"/>
        <v>0</v>
      </c>
      <c r="AV264" s="429">
        <f t="shared" si="269"/>
        <v>0</v>
      </c>
      <c r="AW264" s="429">
        <f t="shared" si="269"/>
        <v>0</v>
      </c>
      <c r="AX264" s="429">
        <f t="shared" si="269"/>
        <v>0</v>
      </c>
      <c r="AY264" s="429">
        <f t="shared" si="269"/>
        <v>0</v>
      </c>
      <c r="AZ264" s="429">
        <f t="shared" si="269"/>
        <v>0</v>
      </c>
      <c r="BA264" s="461">
        <f t="shared" si="269"/>
        <v>0</v>
      </c>
      <c r="BB264" s="431">
        <f t="shared" si="269"/>
        <v>232</v>
      </c>
      <c r="BC264" s="432">
        <f t="shared" si="269"/>
        <v>1347</v>
      </c>
      <c r="BD264" s="432">
        <f t="shared" si="269"/>
        <v>1500</v>
      </c>
      <c r="BE264" s="432">
        <f t="shared" si="269"/>
        <v>1695</v>
      </c>
      <c r="BF264" s="432">
        <f t="shared" si="269"/>
        <v>4542</v>
      </c>
      <c r="BG264" s="432">
        <f t="shared" si="269"/>
        <v>0</v>
      </c>
      <c r="BH264" s="432">
        <f t="shared" si="269"/>
        <v>0</v>
      </c>
      <c r="BI264" s="432">
        <f t="shared" si="269"/>
        <v>0</v>
      </c>
      <c r="BJ264" s="432">
        <f t="shared" si="269"/>
        <v>0</v>
      </c>
      <c r="BK264" s="433">
        <f t="shared" si="269"/>
        <v>0</v>
      </c>
      <c r="BL264" s="434"/>
    </row>
    <row r="265" spans="1:64" s="43" customFormat="1" ht="17.100000000000001" customHeight="1">
      <c r="A265" s="1568" t="s">
        <v>1807</v>
      </c>
      <c r="B265" s="1569"/>
      <c r="C265" s="1569"/>
      <c r="D265" s="1569"/>
      <c r="E265" s="1570"/>
      <c r="F265" s="435">
        <f>E230+E264</f>
        <v>61</v>
      </c>
      <c r="G265" s="436"/>
      <c r="H265" s="222"/>
      <c r="I265" s="437"/>
      <c r="J265" s="305"/>
      <c r="K265" s="303"/>
      <c r="L265" s="306"/>
      <c r="M265" s="438">
        <f t="shared" ref="M265:AR265" si="270">M230+M264</f>
        <v>386</v>
      </c>
      <c r="N265" s="439">
        <f t="shared" si="270"/>
        <v>16</v>
      </c>
      <c r="O265" s="440">
        <f t="shared" si="270"/>
        <v>9018</v>
      </c>
      <c r="P265" s="441">
        <f t="shared" si="270"/>
        <v>101</v>
      </c>
      <c r="Q265" s="442">
        <f t="shared" si="270"/>
        <v>1519</v>
      </c>
      <c r="R265" s="442">
        <f t="shared" si="270"/>
        <v>96</v>
      </c>
      <c r="S265" s="442">
        <f t="shared" si="270"/>
        <v>1762</v>
      </c>
      <c r="T265" s="442">
        <f t="shared" si="270"/>
        <v>99</v>
      </c>
      <c r="U265" s="443">
        <f t="shared" si="270"/>
        <v>1963</v>
      </c>
      <c r="V265" s="444">
        <f t="shared" si="270"/>
        <v>1</v>
      </c>
      <c r="W265" s="442">
        <f t="shared" si="270"/>
        <v>4</v>
      </c>
      <c r="X265" s="442">
        <f t="shared" si="270"/>
        <v>2</v>
      </c>
      <c r="Y265" s="442">
        <f t="shared" si="270"/>
        <v>8</v>
      </c>
      <c r="Z265" s="442">
        <f t="shared" si="270"/>
        <v>5</v>
      </c>
      <c r="AA265" s="443">
        <f t="shared" si="270"/>
        <v>19</v>
      </c>
      <c r="AB265" s="441">
        <f t="shared" si="270"/>
        <v>5</v>
      </c>
      <c r="AC265" s="442">
        <f t="shared" si="270"/>
        <v>0</v>
      </c>
      <c r="AD265" s="442">
        <f t="shared" si="270"/>
        <v>13</v>
      </c>
      <c r="AE265" s="442">
        <f t="shared" si="270"/>
        <v>40</v>
      </c>
      <c r="AF265" s="442">
        <f t="shared" si="270"/>
        <v>53</v>
      </c>
      <c r="AG265" s="442">
        <f t="shared" si="270"/>
        <v>0</v>
      </c>
      <c r="AH265" s="442">
        <f t="shared" si="270"/>
        <v>0</v>
      </c>
      <c r="AI265" s="443">
        <f t="shared" si="270"/>
        <v>0</v>
      </c>
      <c r="AJ265" s="441">
        <f t="shared" si="270"/>
        <v>5</v>
      </c>
      <c r="AK265" s="442">
        <f t="shared" si="270"/>
        <v>6</v>
      </c>
      <c r="AL265" s="442">
        <f t="shared" si="270"/>
        <v>22</v>
      </c>
      <c r="AM265" s="442">
        <f t="shared" si="270"/>
        <v>33</v>
      </c>
      <c r="AN265" s="442">
        <f t="shared" si="270"/>
        <v>55</v>
      </c>
      <c r="AO265" s="442">
        <f t="shared" si="270"/>
        <v>8</v>
      </c>
      <c r="AP265" s="442">
        <f t="shared" si="270"/>
        <v>13</v>
      </c>
      <c r="AQ265" s="443">
        <f t="shared" si="270"/>
        <v>21</v>
      </c>
      <c r="AR265" s="445">
        <f t="shared" si="270"/>
        <v>1</v>
      </c>
      <c r="AS265" s="446">
        <f t="shared" ref="AS265:BK265" si="271">AS230+AS264</f>
        <v>1</v>
      </c>
      <c r="AT265" s="446">
        <f t="shared" si="271"/>
        <v>0</v>
      </c>
      <c r="AU265" s="446">
        <f t="shared" si="271"/>
        <v>1</v>
      </c>
      <c r="AV265" s="446">
        <f t="shared" si="271"/>
        <v>7</v>
      </c>
      <c r="AW265" s="446">
        <f t="shared" si="271"/>
        <v>8</v>
      </c>
      <c r="AX265" s="446">
        <f t="shared" si="271"/>
        <v>0</v>
      </c>
      <c r="AY265" s="446">
        <f t="shared" si="271"/>
        <v>1</v>
      </c>
      <c r="AZ265" s="446">
        <f t="shared" si="271"/>
        <v>2</v>
      </c>
      <c r="BA265" s="447">
        <f t="shared" si="271"/>
        <v>3</v>
      </c>
      <c r="BB265" s="448">
        <f t="shared" si="271"/>
        <v>308</v>
      </c>
      <c r="BC265" s="449">
        <f t="shared" si="271"/>
        <v>1532</v>
      </c>
      <c r="BD265" s="449">
        <f t="shared" si="271"/>
        <v>1825</v>
      </c>
      <c r="BE265" s="449">
        <f t="shared" si="271"/>
        <v>2003</v>
      </c>
      <c r="BF265" s="449">
        <f t="shared" si="271"/>
        <v>5360</v>
      </c>
      <c r="BG265" s="449">
        <f t="shared" si="271"/>
        <v>15</v>
      </c>
      <c r="BH265" s="449">
        <f t="shared" si="271"/>
        <v>4</v>
      </c>
      <c r="BI265" s="449">
        <f t="shared" si="271"/>
        <v>17</v>
      </c>
      <c r="BJ265" s="449">
        <f t="shared" si="271"/>
        <v>34</v>
      </c>
      <c r="BK265" s="450">
        <f t="shared" si="271"/>
        <v>55</v>
      </c>
      <c r="BL265" s="451"/>
    </row>
    <row r="266" spans="1:64" s="400" customFormat="1" ht="17.100000000000001" customHeight="1">
      <c r="A266" s="761" t="s">
        <v>2733</v>
      </c>
      <c r="B266" s="55" t="s">
        <v>9</v>
      </c>
      <c r="C266" s="55" t="s">
        <v>9</v>
      </c>
      <c r="D266" s="53" t="s">
        <v>2734</v>
      </c>
      <c r="E266" s="55" t="s">
        <v>4</v>
      </c>
      <c r="F266" s="55" t="s">
        <v>2735</v>
      </c>
      <c r="G266" s="71">
        <v>31107</v>
      </c>
      <c r="H266" s="50" t="s">
        <v>1831</v>
      </c>
      <c r="I266" s="51">
        <v>15981</v>
      </c>
      <c r="J266" s="52">
        <v>21969</v>
      </c>
      <c r="K266" s="53" t="s">
        <v>3645</v>
      </c>
      <c r="L266" s="54" t="s">
        <v>2736</v>
      </c>
      <c r="M266" s="57">
        <v>3</v>
      </c>
      <c r="N266" s="58">
        <v>0</v>
      </c>
      <c r="O266" s="59">
        <v>48</v>
      </c>
      <c r="P266" s="982">
        <v>1</v>
      </c>
      <c r="Q266" s="68">
        <v>11</v>
      </c>
      <c r="R266" s="68">
        <v>1</v>
      </c>
      <c r="S266" s="68">
        <v>8</v>
      </c>
      <c r="T266" s="68">
        <v>1</v>
      </c>
      <c r="U266" s="983">
        <v>4</v>
      </c>
      <c r="V266" s="60">
        <v>0</v>
      </c>
      <c r="W266" s="61">
        <v>0</v>
      </c>
      <c r="X266" s="61">
        <v>0</v>
      </c>
      <c r="Y266" s="61">
        <v>0</v>
      </c>
      <c r="Z266" s="61">
        <v>0</v>
      </c>
      <c r="AA266" s="62">
        <v>0</v>
      </c>
      <c r="AB266" s="63">
        <v>0</v>
      </c>
      <c r="AC266" s="61">
        <v>0</v>
      </c>
      <c r="AD266" s="61">
        <v>0</v>
      </c>
      <c r="AE266" s="61">
        <v>0</v>
      </c>
      <c r="AF266" s="61">
        <f t="shared" ref="AF266:AF272" si="272">SUM(AD266:AE266)</f>
        <v>0</v>
      </c>
      <c r="AG266" s="61">
        <v>0</v>
      </c>
      <c r="AH266" s="61">
        <v>0</v>
      </c>
      <c r="AI266" s="62">
        <f>SUM(AG266:AH266)</f>
        <v>0</v>
      </c>
      <c r="AJ266" s="63">
        <v>0</v>
      </c>
      <c r="AK266" s="61">
        <v>0</v>
      </c>
      <c r="AL266" s="61">
        <v>0</v>
      </c>
      <c r="AM266" s="61">
        <v>0</v>
      </c>
      <c r="AN266" s="61">
        <f t="shared" ref="AN266:AN272" si="273">SUM(AL266:AM266)</f>
        <v>0</v>
      </c>
      <c r="AO266" s="61">
        <v>0</v>
      </c>
      <c r="AP266" s="61">
        <v>0</v>
      </c>
      <c r="AQ266" s="62">
        <f t="shared" ref="AQ266:AQ272" si="274">SUM(AO266:AP266)</f>
        <v>0</v>
      </c>
      <c r="AR266" s="955">
        <v>0</v>
      </c>
      <c r="AS266" s="956">
        <v>0</v>
      </c>
      <c r="AT266" s="61">
        <v>0</v>
      </c>
      <c r="AU266" s="61">
        <v>0</v>
      </c>
      <c r="AV266" s="61">
        <v>0</v>
      </c>
      <c r="AW266" s="973">
        <f t="shared" ref="AW266:AW270" si="275">SUM(AT266:AV266)</f>
        <v>0</v>
      </c>
      <c r="AX266" s="956">
        <v>0</v>
      </c>
      <c r="AY266" s="956">
        <v>0</v>
      </c>
      <c r="AZ266" s="956">
        <v>0</v>
      </c>
      <c r="BA266" s="957">
        <f t="shared" ref="BA266:BA272" si="276">SUM(AX266:AZ266)</f>
        <v>0</v>
      </c>
      <c r="BB266" s="958">
        <f t="shared" ref="BB266:BB272" si="277">SUM(P266,R266,T266,AB266,AJ266,AR266)</f>
        <v>3</v>
      </c>
      <c r="BC266" s="959">
        <f>SUM(Q266,AD266,AT266)</f>
        <v>11</v>
      </c>
      <c r="BD266" s="959">
        <f>SUM(S266,AE266,AL266,AU266)</f>
        <v>8</v>
      </c>
      <c r="BE266" s="959">
        <f>SUM(U266,AM266,AV266)</f>
        <v>4</v>
      </c>
      <c r="BF266" s="959">
        <f>SUM(BC266:BE266)</f>
        <v>23</v>
      </c>
      <c r="BG266" s="959">
        <f>SUM(V266,X266,Z266,AC266,AK266,AS266)</f>
        <v>0</v>
      </c>
      <c r="BH266" s="959">
        <f>SUM(W266,AG266,AX266)</f>
        <v>0</v>
      </c>
      <c r="BI266" s="959">
        <f>SUM(Y266,AH266,AO266,AY266)</f>
        <v>0</v>
      </c>
      <c r="BJ266" s="959">
        <f>SUM(AA266,AP266,AZ266)</f>
        <v>0</v>
      </c>
      <c r="BK266" s="959">
        <f>SUM(BH266:BJ266)</f>
        <v>0</v>
      </c>
      <c r="BL266" s="53"/>
    </row>
    <row r="267" spans="1:64" s="400" customFormat="1" ht="17.100000000000001" customHeight="1">
      <c r="A267" s="457" t="s">
        <v>2733</v>
      </c>
      <c r="B267" s="53" t="s">
        <v>9</v>
      </c>
      <c r="C267" s="53" t="s">
        <v>9</v>
      </c>
      <c r="D267" s="53" t="s">
        <v>2734</v>
      </c>
      <c r="E267" s="55" t="s">
        <v>4</v>
      </c>
      <c r="F267" s="53" t="s">
        <v>2737</v>
      </c>
      <c r="G267" s="71">
        <v>44075</v>
      </c>
      <c r="H267" s="50" t="s">
        <v>1896</v>
      </c>
      <c r="I267" s="51">
        <v>10639</v>
      </c>
      <c r="J267" s="52">
        <v>21980</v>
      </c>
      <c r="K267" s="53" t="s">
        <v>2738</v>
      </c>
      <c r="L267" s="54" t="s">
        <v>2739</v>
      </c>
      <c r="M267" s="57">
        <v>3</v>
      </c>
      <c r="N267" s="58">
        <v>0</v>
      </c>
      <c r="O267" s="59">
        <v>48</v>
      </c>
      <c r="P267" s="60">
        <v>1</v>
      </c>
      <c r="Q267" s="61">
        <v>12</v>
      </c>
      <c r="R267" s="61">
        <v>1</v>
      </c>
      <c r="S267" s="61">
        <v>17</v>
      </c>
      <c r="T267" s="61">
        <v>1</v>
      </c>
      <c r="U267" s="62">
        <v>19</v>
      </c>
      <c r="V267" s="60">
        <v>0</v>
      </c>
      <c r="W267" s="61">
        <v>0</v>
      </c>
      <c r="X267" s="61">
        <v>0</v>
      </c>
      <c r="Y267" s="61">
        <v>0</v>
      </c>
      <c r="Z267" s="61">
        <v>0</v>
      </c>
      <c r="AA267" s="62">
        <v>0</v>
      </c>
      <c r="AB267" s="63">
        <v>0</v>
      </c>
      <c r="AC267" s="61">
        <v>0</v>
      </c>
      <c r="AD267" s="61">
        <v>0</v>
      </c>
      <c r="AE267" s="61">
        <v>0</v>
      </c>
      <c r="AF267" s="61">
        <f t="shared" si="272"/>
        <v>0</v>
      </c>
      <c r="AG267" s="61">
        <v>0</v>
      </c>
      <c r="AH267" s="61">
        <v>0</v>
      </c>
      <c r="AI267" s="62">
        <f>SUM(AG267:AH267)</f>
        <v>0</v>
      </c>
      <c r="AJ267" s="63">
        <v>0</v>
      </c>
      <c r="AK267" s="61">
        <v>0</v>
      </c>
      <c r="AL267" s="61">
        <v>0</v>
      </c>
      <c r="AM267" s="61">
        <v>0</v>
      </c>
      <c r="AN267" s="61">
        <f t="shared" si="273"/>
        <v>0</v>
      </c>
      <c r="AO267" s="61">
        <v>0</v>
      </c>
      <c r="AP267" s="61">
        <v>0</v>
      </c>
      <c r="AQ267" s="62">
        <f t="shared" si="274"/>
        <v>0</v>
      </c>
      <c r="AR267" s="955">
        <v>0</v>
      </c>
      <c r="AS267" s="956">
        <v>0</v>
      </c>
      <c r="AT267" s="61">
        <v>0</v>
      </c>
      <c r="AU267" s="61">
        <v>0</v>
      </c>
      <c r="AV267" s="61">
        <v>0</v>
      </c>
      <c r="AW267" s="973">
        <f t="shared" si="275"/>
        <v>0</v>
      </c>
      <c r="AX267" s="956"/>
      <c r="AY267" s="956"/>
      <c r="AZ267" s="956"/>
      <c r="BA267" s="957">
        <f t="shared" si="276"/>
        <v>0</v>
      </c>
      <c r="BB267" s="958">
        <f t="shared" si="277"/>
        <v>3</v>
      </c>
      <c r="BC267" s="959">
        <f>SUM(Q267,AD267,AT267)</f>
        <v>12</v>
      </c>
      <c r="BD267" s="959">
        <f>SUM(S267,AE267,AL267,AU267)</f>
        <v>17</v>
      </c>
      <c r="BE267" s="959">
        <f>SUM(U267,AM267,AV267)</f>
        <v>19</v>
      </c>
      <c r="BF267" s="959">
        <f>SUM(BC267:BE267)</f>
        <v>48</v>
      </c>
      <c r="BG267" s="959">
        <f>SUM(V267,X267,Z267,AC267,AK267,AS267)</f>
        <v>0</v>
      </c>
      <c r="BH267" s="959">
        <f>SUM(W267,AG267,AX267)</f>
        <v>0</v>
      </c>
      <c r="BI267" s="959">
        <f>SUM(Y267,AH267,AO267,AY267)</f>
        <v>0</v>
      </c>
      <c r="BJ267" s="959">
        <f>SUM(AA267,AP267,AZ267)</f>
        <v>0</v>
      </c>
      <c r="BK267" s="959">
        <f>SUM(BH267:BJ267)</f>
        <v>0</v>
      </c>
      <c r="BL267" s="53"/>
    </row>
    <row r="268" spans="1:64" s="400" customFormat="1" ht="17.100000000000001" customHeight="1">
      <c r="A268" s="457" t="s">
        <v>2740</v>
      </c>
      <c r="B268" s="53" t="s">
        <v>9</v>
      </c>
      <c r="C268" s="53" t="s">
        <v>9</v>
      </c>
      <c r="D268" s="53" t="s">
        <v>2741</v>
      </c>
      <c r="E268" s="55" t="s">
        <v>4</v>
      </c>
      <c r="F268" s="53" t="s">
        <v>2742</v>
      </c>
      <c r="G268" s="71">
        <v>31486</v>
      </c>
      <c r="H268" s="50" t="s">
        <v>2743</v>
      </c>
      <c r="I268" s="51">
        <v>14866</v>
      </c>
      <c r="J268" s="52">
        <v>21941</v>
      </c>
      <c r="K268" s="53" t="s">
        <v>2744</v>
      </c>
      <c r="L268" s="54" t="s">
        <v>2745</v>
      </c>
      <c r="M268" s="57">
        <v>2</v>
      </c>
      <c r="N268" s="58">
        <v>0</v>
      </c>
      <c r="O268" s="59">
        <v>36</v>
      </c>
      <c r="P268" s="60">
        <v>0</v>
      </c>
      <c r="Q268" s="61">
        <v>0</v>
      </c>
      <c r="R268" s="61">
        <v>1</v>
      </c>
      <c r="S268" s="61">
        <v>2</v>
      </c>
      <c r="T268" s="61">
        <v>1</v>
      </c>
      <c r="U268" s="62">
        <v>18</v>
      </c>
      <c r="V268" s="60">
        <v>0</v>
      </c>
      <c r="W268" s="61">
        <v>0</v>
      </c>
      <c r="X268" s="61">
        <v>0</v>
      </c>
      <c r="Y268" s="61">
        <v>0</v>
      </c>
      <c r="Z268" s="61">
        <v>0</v>
      </c>
      <c r="AA268" s="62">
        <v>0</v>
      </c>
      <c r="AB268" s="63">
        <v>0</v>
      </c>
      <c r="AC268" s="61">
        <v>0</v>
      </c>
      <c r="AD268" s="61">
        <v>0</v>
      </c>
      <c r="AE268" s="61">
        <v>0</v>
      </c>
      <c r="AF268" s="61">
        <f t="shared" si="272"/>
        <v>0</v>
      </c>
      <c r="AG268" s="61">
        <v>0</v>
      </c>
      <c r="AH268" s="61">
        <v>0</v>
      </c>
      <c r="AI268" s="62">
        <v>0</v>
      </c>
      <c r="AJ268" s="63">
        <v>0</v>
      </c>
      <c r="AK268" s="61">
        <v>0</v>
      </c>
      <c r="AL268" s="61">
        <v>0</v>
      </c>
      <c r="AM268" s="61">
        <v>0</v>
      </c>
      <c r="AN268" s="61">
        <f t="shared" si="273"/>
        <v>0</v>
      </c>
      <c r="AO268" s="61">
        <v>0</v>
      </c>
      <c r="AP268" s="61">
        <v>0</v>
      </c>
      <c r="AQ268" s="62">
        <f t="shared" si="274"/>
        <v>0</v>
      </c>
      <c r="AR268" s="955">
        <v>0</v>
      </c>
      <c r="AS268" s="956">
        <v>0</v>
      </c>
      <c r="AT268" s="61">
        <v>0</v>
      </c>
      <c r="AU268" s="61">
        <v>0</v>
      </c>
      <c r="AV268" s="61">
        <v>0</v>
      </c>
      <c r="AW268" s="956">
        <f>SUM(AT268:AV268)</f>
        <v>0</v>
      </c>
      <c r="AX268" s="956"/>
      <c r="AY268" s="956">
        <v>0</v>
      </c>
      <c r="AZ268" s="956">
        <v>0</v>
      </c>
      <c r="BA268" s="957">
        <f t="shared" si="276"/>
        <v>0</v>
      </c>
      <c r="BB268" s="958">
        <f t="shared" si="277"/>
        <v>2</v>
      </c>
      <c r="BC268" s="959">
        <f>SUM(Q268,AD268,AT268)</f>
        <v>0</v>
      </c>
      <c r="BD268" s="959">
        <f>SUM(S268,AE268,AL268,AU268)</f>
        <v>2</v>
      </c>
      <c r="BE268" s="959">
        <f>SUM(U268,AM268,AV268)</f>
        <v>18</v>
      </c>
      <c r="BF268" s="959">
        <f>SUM(BC268:BE268)</f>
        <v>20</v>
      </c>
      <c r="BG268" s="959">
        <f>SUM(V268,X268,Z268,AC268,AK268,AS268)</f>
        <v>0</v>
      </c>
      <c r="BH268" s="959">
        <f>SUM(W268,AG268,AX268)</f>
        <v>0</v>
      </c>
      <c r="BI268" s="959">
        <f>SUM(Y268,AH268,AO268,AY268)</f>
        <v>0</v>
      </c>
      <c r="BJ268" s="959">
        <f>SUM(AA268,AP268,AZ268)</f>
        <v>0</v>
      </c>
      <c r="BK268" s="959">
        <f>SUM(BH268:BJ268)</f>
        <v>0</v>
      </c>
      <c r="BL268" s="53"/>
    </row>
    <row r="269" spans="1:64" s="400" customFormat="1" ht="17.100000000000001" customHeight="1">
      <c r="A269" s="457" t="s">
        <v>2740</v>
      </c>
      <c r="B269" s="53" t="s">
        <v>9</v>
      </c>
      <c r="C269" s="53" t="s">
        <v>9</v>
      </c>
      <c r="D269" s="53" t="s">
        <v>2746</v>
      </c>
      <c r="E269" s="55" t="s">
        <v>4</v>
      </c>
      <c r="F269" s="53" t="s">
        <v>2747</v>
      </c>
      <c r="G269" s="71">
        <v>43770</v>
      </c>
      <c r="H269" s="50" t="s">
        <v>3646</v>
      </c>
      <c r="I269" s="51">
        <v>11878</v>
      </c>
      <c r="J269" s="52">
        <v>21915</v>
      </c>
      <c r="K269" s="53" t="s">
        <v>3647</v>
      </c>
      <c r="L269" s="54" t="s">
        <v>3648</v>
      </c>
      <c r="M269" s="57">
        <v>2</v>
      </c>
      <c r="N269" s="58">
        <v>0</v>
      </c>
      <c r="O269" s="59">
        <v>34</v>
      </c>
      <c r="P269" s="60">
        <v>0</v>
      </c>
      <c r="Q269" s="61">
        <v>0</v>
      </c>
      <c r="R269" s="61">
        <v>0</v>
      </c>
      <c r="S269" s="61">
        <v>0</v>
      </c>
      <c r="T269" s="61">
        <v>1</v>
      </c>
      <c r="U269" s="62">
        <v>8</v>
      </c>
      <c r="V269" s="60">
        <v>0</v>
      </c>
      <c r="W269" s="61">
        <v>0</v>
      </c>
      <c r="X269" s="61">
        <v>0</v>
      </c>
      <c r="Y269" s="61">
        <v>0</v>
      </c>
      <c r="Z269" s="61">
        <v>0</v>
      </c>
      <c r="AA269" s="62">
        <v>0</v>
      </c>
      <c r="AB269" s="63">
        <v>1</v>
      </c>
      <c r="AC269" s="61">
        <v>0</v>
      </c>
      <c r="AD269" s="61">
        <v>2</v>
      </c>
      <c r="AE269" s="61">
        <v>0</v>
      </c>
      <c r="AF269" s="61">
        <f t="shared" si="272"/>
        <v>2</v>
      </c>
      <c r="AG269" s="61">
        <v>0</v>
      </c>
      <c r="AH269" s="61">
        <v>0</v>
      </c>
      <c r="AI269" s="62">
        <f>SUM(AG269:AH269)</f>
        <v>0</v>
      </c>
      <c r="AJ269" s="63">
        <v>0</v>
      </c>
      <c r="AK269" s="61">
        <v>0</v>
      </c>
      <c r="AL269" s="61">
        <v>0</v>
      </c>
      <c r="AM269" s="61">
        <v>0</v>
      </c>
      <c r="AN269" s="61">
        <f t="shared" si="273"/>
        <v>0</v>
      </c>
      <c r="AO269" s="61">
        <v>0</v>
      </c>
      <c r="AP269" s="61">
        <v>0</v>
      </c>
      <c r="AQ269" s="62">
        <f t="shared" si="274"/>
        <v>0</v>
      </c>
      <c r="AR269" s="955">
        <v>0</v>
      </c>
      <c r="AS269" s="956">
        <v>0</v>
      </c>
      <c r="AT269" s="61">
        <v>0</v>
      </c>
      <c r="AU269" s="61">
        <v>0</v>
      </c>
      <c r="AV269" s="61">
        <v>0</v>
      </c>
      <c r="AW269" s="973">
        <f t="shared" si="275"/>
        <v>0</v>
      </c>
      <c r="AX269" s="973">
        <v>0</v>
      </c>
      <c r="AY269" s="973">
        <v>0</v>
      </c>
      <c r="AZ269" s="973">
        <v>0</v>
      </c>
      <c r="BA269" s="957">
        <f t="shared" si="276"/>
        <v>0</v>
      </c>
      <c r="BB269" s="958">
        <f t="shared" si="277"/>
        <v>2</v>
      </c>
      <c r="BC269" s="959">
        <f>SUM(Q269,AD269,AT269)</f>
        <v>2</v>
      </c>
      <c r="BD269" s="959">
        <f>SUM(S269,AE269,AL269,AU269)</f>
        <v>0</v>
      </c>
      <c r="BE269" s="959">
        <f>SUM(U269,AM269,AV269)</f>
        <v>8</v>
      </c>
      <c r="BF269" s="959">
        <f>SUM(BC269:BE269)</f>
        <v>10</v>
      </c>
      <c r="BG269" s="959">
        <f>SUM(V269,X269,Z269,AC269,AK269,AS269)</f>
        <v>0</v>
      </c>
      <c r="BH269" s="959">
        <f>SUM(W269,AG269,AX269)</f>
        <v>0</v>
      </c>
      <c r="BI269" s="959">
        <f>SUM(Y269,AH269,AO269,AY269)</f>
        <v>0</v>
      </c>
      <c r="BJ269" s="959">
        <f>SUM(AA269,AP269,AZ269)</f>
        <v>0</v>
      </c>
      <c r="BK269" s="959">
        <f>SUM(BH269:BJ269)</f>
        <v>0</v>
      </c>
      <c r="BL269" s="53"/>
    </row>
    <row r="270" spans="1:64" s="400" customFormat="1" ht="17.100000000000001" customHeight="1">
      <c r="A270" s="457" t="s">
        <v>2651</v>
      </c>
      <c r="B270" s="53" t="s">
        <v>9</v>
      </c>
      <c r="C270" s="53" t="s">
        <v>9</v>
      </c>
      <c r="D270" s="53" t="s">
        <v>2748</v>
      </c>
      <c r="E270" s="55" t="s">
        <v>4</v>
      </c>
      <c r="F270" s="53" t="s">
        <v>2749</v>
      </c>
      <c r="G270" s="71">
        <v>38443</v>
      </c>
      <c r="H270" s="50" t="s">
        <v>3649</v>
      </c>
      <c r="I270" s="760">
        <v>12503</v>
      </c>
      <c r="J270" s="52">
        <v>21996</v>
      </c>
      <c r="K270" s="55" t="s">
        <v>2750</v>
      </c>
      <c r="L270" s="56" t="s">
        <v>2751</v>
      </c>
      <c r="M270" s="64">
        <v>3</v>
      </c>
      <c r="N270" s="65">
        <v>0</v>
      </c>
      <c r="O270" s="66">
        <v>48</v>
      </c>
      <c r="P270" s="67">
        <v>1</v>
      </c>
      <c r="Q270" s="68">
        <v>12</v>
      </c>
      <c r="R270" s="68">
        <v>1</v>
      </c>
      <c r="S270" s="68">
        <v>17</v>
      </c>
      <c r="T270" s="68">
        <v>1</v>
      </c>
      <c r="U270" s="69">
        <v>14</v>
      </c>
      <c r="V270" s="67">
        <v>0</v>
      </c>
      <c r="W270" s="68">
        <v>0</v>
      </c>
      <c r="X270" s="68">
        <v>0</v>
      </c>
      <c r="Y270" s="68">
        <v>0</v>
      </c>
      <c r="Z270" s="68">
        <v>0</v>
      </c>
      <c r="AA270" s="69">
        <v>0</v>
      </c>
      <c r="AB270" s="70">
        <v>0</v>
      </c>
      <c r="AC270" s="68">
        <v>0</v>
      </c>
      <c r="AD270" s="68">
        <v>0</v>
      </c>
      <c r="AE270" s="68">
        <v>0</v>
      </c>
      <c r="AF270" s="68">
        <f t="shared" si="272"/>
        <v>0</v>
      </c>
      <c r="AG270" s="68">
        <v>0</v>
      </c>
      <c r="AH270" s="68">
        <v>0</v>
      </c>
      <c r="AI270" s="69">
        <f>SUM(AG270:AH270)</f>
        <v>0</v>
      </c>
      <c r="AJ270" s="70">
        <v>0</v>
      </c>
      <c r="AK270" s="68">
        <v>0</v>
      </c>
      <c r="AL270" s="68">
        <v>0</v>
      </c>
      <c r="AM270" s="68">
        <v>0</v>
      </c>
      <c r="AN270" s="68">
        <f t="shared" si="273"/>
        <v>0</v>
      </c>
      <c r="AO270" s="68">
        <v>0</v>
      </c>
      <c r="AP270" s="68">
        <v>0</v>
      </c>
      <c r="AQ270" s="69">
        <f t="shared" si="274"/>
        <v>0</v>
      </c>
      <c r="AR270" s="955">
        <v>0</v>
      </c>
      <c r="AS270" s="956">
        <v>0</v>
      </c>
      <c r="AT270" s="61">
        <v>0</v>
      </c>
      <c r="AU270" s="61">
        <v>0</v>
      </c>
      <c r="AV270" s="61">
        <v>0</v>
      </c>
      <c r="AW270" s="973">
        <f t="shared" si="275"/>
        <v>0</v>
      </c>
      <c r="AX270" s="973">
        <v>0</v>
      </c>
      <c r="AY270" s="973">
        <v>0</v>
      </c>
      <c r="AZ270" s="973">
        <v>0</v>
      </c>
      <c r="BA270" s="974">
        <f t="shared" si="276"/>
        <v>0</v>
      </c>
      <c r="BB270" s="975">
        <f t="shared" si="277"/>
        <v>3</v>
      </c>
      <c r="BC270" s="959">
        <f t="shared" ref="BC270" si="278">SUM(Q270,AD270,AT270)</f>
        <v>12</v>
      </c>
      <c r="BD270" s="959">
        <f t="shared" ref="BD270" si="279">SUM(S270,AE270,AL270,AU270)</f>
        <v>17</v>
      </c>
      <c r="BE270" s="959">
        <f t="shared" ref="BE270" si="280">SUM(U270,AM270,AV270)</f>
        <v>14</v>
      </c>
      <c r="BF270" s="959">
        <f t="shared" ref="BF270" si="281">SUM(BC270:BE270)</f>
        <v>43</v>
      </c>
      <c r="BG270" s="959">
        <f t="shared" ref="BG270" si="282">SUM(V270,X270,Z270,AC270,AK270,AS270)</f>
        <v>0</v>
      </c>
      <c r="BH270" s="959">
        <f t="shared" ref="BH270" si="283">SUM(W270,AG270,AX270)</f>
        <v>0</v>
      </c>
      <c r="BI270" s="959">
        <f t="shared" ref="BI270" si="284">SUM(Y270,AH270,AO270,AY270)</f>
        <v>0</v>
      </c>
      <c r="BJ270" s="959">
        <f t="shared" ref="BJ270" si="285">SUM(AA270,AP270,AZ270)</f>
        <v>0</v>
      </c>
      <c r="BK270" s="977">
        <f t="shared" ref="BK270" si="286">SUM(BH270:BJ270)</f>
        <v>0</v>
      </c>
      <c r="BL270" s="55"/>
    </row>
    <row r="271" spans="1:64" s="400" customFormat="1" ht="17.100000000000001" customHeight="1">
      <c r="A271" s="457" t="s">
        <v>2651</v>
      </c>
      <c r="B271" s="53" t="s">
        <v>9</v>
      </c>
      <c r="C271" s="53" t="s">
        <v>9</v>
      </c>
      <c r="D271" s="53" t="s">
        <v>1892</v>
      </c>
      <c r="E271" s="55" t="s">
        <v>4</v>
      </c>
      <c r="F271" s="53" t="s">
        <v>1535</v>
      </c>
      <c r="G271" s="71">
        <v>38777</v>
      </c>
      <c r="H271" s="50" t="s">
        <v>2752</v>
      </c>
      <c r="I271" s="51">
        <v>12500</v>
      </c>
      <c r="J271" s="52">
        <v>21996</v>
      </c>
      <c r="K271" s="53" t="s">
        <v>3650</v>
      </c>
      <c r="L271" s="54" t="s">
        <v>2753</v>
      </c>
      <c r="M271" s="57">
        <v>4</v>
      </c>
      <c r="N271" s="58">
        <v>0</v>
      </c>
      <c r="O271" s="59">
        <v>67</v>
      </c>
      <c r="P271" s="60">
        <v>1</v>
      </c>
      <c r="Q271" s="61">
        <v>12</v>
      </c>
      <c r="R271" s="61">
        <v>2</v>
      </c>
      <c r="S271" s="61">
        <v>24</v>
      </c>
      <c r="T271" s="61">
        <v>1</v>
      </c>
      <c r="U271" s="62">
        <v>19</v>
      </c>
      <c r="V271" s="60">
        <v>0</v>
      </c>
      <c r="W271" s="61">
        <v>0</v>
      </c>
      <c r="X271" s="61">
        <v>0</v>
      </c>
      <c r="Y271" s="61">
        <v>0</v>
      </c>
      <c r="Z271" s="61">
        <v>0</v>
      </c>
      <c r="AA271" s="62">
        <v>0</v>
      </c>
      <c r="AB271" s="63">
        <v>0</v>
      </c>
      <c r="AC271" s="61">
        <v>0</v>
      </c>
      <c r="AD271" s="61">
        <v>0</v>
      </c>
      <c r="AE271" s="61">
        <v>0</v>
      </c>
      <c r="AF271" s="61">
        <f t="shared" si="272"/>
        <v>0</v>
      </c>
      <c r="AG271" s="61">
        <v>0</v>
      </c>
      <c r="AH271" s="61">
        <v>0</v>
      </c>
      <c r="AI271" s="62">
        <f>SUM(AG271:AH271)</f>
        <v>0</v>
      </c>
      <c r="AJ271" s="63">
        <v>0</v>
      </c>
      <c r="AK271" s="61">
        <v>0</v>
      </c>
      <c r="AL271" s="61">
        <v>0</v>
      </c>
      <c r="AM271" s="61">
        <v>0</v>
      </c>
      <c r="AN271" s="61">
        <f t="shared" si="273"/>
        <v>0</v>
      </c>
      <c r="AO271" s="61">
        <v>0</v>
      </c>
      <c r="AP271" s="61">
        <v>0</v>
      </c>
      <c r="AQ271" s="62">
        <f t="shared" si="274"/>
        <v>0</v>
      </c>
      <c r="AR271" s="955">
        <v>0</v>
      </c>
      <c r="AS271" s="956">
        <v>0</v>
      </c>
      <c r="AT271" s="61">
        <v>0</v>
      </c>
      <c r="AU271" s="61">
        <v>0</v>
      </c>
      <c r="AV271" s="61">
        <v>0</v>
      </c>
      <c r="AW271" s="956">
        <f>SUM(AT271:AV271)</f>
        <v>0</v>
      </c>
      <c r="AX271" s="956">
        <v>0</v>
      </c>
      <c r="AY271" s="956">
        <v>0</v>
      </c>
      <c r="AZ271" s="956">
        <v>0</v>
      </c>
      <c r="BA271" s="957">
        <f t="shared" si="276"/>
        <v>0</v>
      </c>
      <c r="BB271" s="958">
        <f t="shared" si="277"/>
        <v>4</v>
      </c>
      <c r="BC271" s="959">
        <f>SUM(Q271,AD271,AT271)</f>
        <v>12</v>
      </c>
      <c r="BD271" s="959">
        <f>SUM(S271,AE271,AL271,AU271)</f>
        <v>24</v>
      </c>
      <c r="BE271" s="959">
        <f>SUM(U271,AM271,AV271)</f>
        <v>19</v>
      </c>
      <c r="BF271" s="959">
        <f>SUM(BC271:BE271)</f>
        <v>55</v>
      </c>
      <c r="BG271" s="959">
        <f>SUM(V271,X271,Z271,AC271,AK271,AS271)</f>
        <v>0</v>
      </c>
      <c r="BH271" s="959">
        <f>SUM(W271,AG271,AX271)</f>
        <v>0</v>
      </c>
      <c r="BI271" s="959">
        <f>SUM(Y271,AH271,AO271,AY271)</f>
        <v>0</v>
      </c>
      <c r="BJ271" s="959">
        <f>SUM(AA271,AP271,AZ271)</f>
        <v>0</v>
      </c>
      <c r="BK271" s="977">
        <f>SUM(BH271:BJ271)</f>
        <v>0</v>
      </c>
      <c r="BL271" s="55"/>
    </row>
    <row r="272" spans="1:64" s="400" customFormat="1" ht="17.100000000000001" customHeight="1">
      <c r="A272" s="457" t="s">
        <v>2651</v>
      </c>
      <c r="B272" s="53" t="s">
        <v>9</v>
      </c>
      <c r="C272" s="53" t="s">
        <v>9</v>
      </c>
      <c r="D272" s="53" t="s">
        <v>2748</v>
      </c>
      <c r="E272" s="55" t="s">
        <v>4</v>
      </c>
      <c r="F272" s="53" t="s">
        <v>2754</v>
      </c>
      <c r="G272" s="71">
        <v>39326</v>
      </c>
      <c r="H272" s="50" t="s">
        <v>3651</v>
      </c>
      <c r="I272" s="51">
        <v>12500</v>
      </c>
      <c r="J272" s="52">
        <v>22000</v>
      </c>
      <c r="K272" s="53" t="s">
        <v>3652</v>
      </c>
      <c r="L272" s="54" t="s">
        <v>3652</v>
      </c>
      <c r="M272" s="57">
        <v>3</v>
      </c>
      <c r="N272" s="58">
        <v>1</v>
      </c>
      <c r="O272" s="59">
        <v>48</v>
      </c>
      <c r="P272" s="60">
        <v>1</v>
      </c>
      <c r="Q272" s="61">
        <v>12</v>
      </c>
      <c r="R272" s="61">
        <v>1</v>
      </c>
      <c r="S272" s="61">
        <v>15</v>
      </c>
      <c r="T272" s="61">
        <v>1</v>
      </c>
      <c r="U272" s="62">
        <v>17</v>
      </c>
      <c r="V272" s="60">
        <v>0</v>
      </c>
      <c r="W272" s="61">
        <v>0</v>
      </c>
      <c r="X272" s="61">
        <v>0</v>
      </c>
      <c r="Y272" s="61">
        <v>0</v>
      </c>
      <c r="Z272" s="61">
        <v>0</v>
      </c>
      <c r="AA272" s="62">
        <v>0</v>
      </c>
      <c r="AB272" s="63">
        <v>0</v>
      </c>
      <c r="AC272" s="61">
        <v>0</v>
      </c>
      <c r="AD272" s="61">
        <v>0</v>
      </c>
      <c r="AE272" s="61">
        <v>0</v>
      </c>
      <c r="AF272" s="61">
        <f t="shared" si="272"/>
        <v>0</v>
      </c>
      <c r="AG272" s="61">
        <v>0</v>
      </c>
      <c r="AH272" s="61">
        <v>0</v>
      </c>
      <c r="AI272" s="62">
        <f>SUM(AG272:AH272)</f>
        <v>0</v>
      </c>
      <c r="AJ272" s="63">
        <v>0</v>
      </c>
      <c r="AK272" s="61">
        <v>1</v>
      </c>
      <c r="AL272" s="61">
        <v>0</v>
      </c>
      <c r="AM272" s="61">
        <v>0</v>
      </c>
      <c r="AN272" s="61">
        <f t="shared" si="273"/>
        <v>0</v>
      </c>
      <c r="AO272" s="61">
        <v>1</v>
      </c>
      <c r="AP272" s="61">
        <v>1</v>
      </c>
      <c r="AQ272" s="62">
        <f t="shared" si="274"/>
        <v>2</v>
      </c>
      <c r="AR272" s="955">
        <v>0</v>
      </c>
      <c r="AS272" s="956">
        <v>0</v>
      </c>
      <c r="AT272" s="61">
        <v>0</v>
      </c>
      <c r="AU272" s="61">
        <v>0</v>
      </c>
      <c r="AV272" s="61">
        <v>0</v>
      </c>
      <c r="AW272" s="956">
        <f>SUM(AT272:AV272)</f>
        <v>0</v>
      </c>
      <c r="AX272" s="973">
        <v>0</v>
      </c>
      <c r="AY272" s="973">
        <v>0</v>
      </c>
      <c r="AZ272" s="973">
        <v>0</v>
      </c>
      <c r="BA272" s="957">
        <f t="shared" si="276"/>
        <v>0</v>
      </c>
      <c r="BB272" s="958">
        <f t="shared" si="277"/>
        <v>3</v>
      </c>
      <c r="BC272" s="959">
        <f>SUM(Q272,AD272,AT272)</f>
        <v>12</v>
      </c>
      <c r="BD272" s="959">
        <f>SUM(S272,AE272,AL272,AU272)</f>
        <v>15</v>
      </c>
      <c r="BE272" s="959">
        <f>SUM(U272,AM272,AV272)</f>
        <v>17</v>
      </c>
      <c r="BF272" s="959">
        <f>SUM(BC272:BE272)</f>
        <v>44</v>
      </c>
      <c r="BG272" s="959">
        <f>SUM(V272,X272,Z272,AC272,AK272,AS272)</f>
        <v>1</v>
      </c>
      <c r="BH272" s="959">
        <f>SUM(W272,AG272,AX272)</f>
        <v>0</v>
      </c>
      <c r="BI272" s="959">
        <f>SUM(Y272,AH272,AO272,AY272)</f>
        <v>1</v>
      </c>
      <c r="BJ272" s="959">
        <f>SUM(AA272,AP272,AZ272)</f>
        <v>1</v>
      </c>
      <c r="BK272" s="959">
        <f>SUM(BH272:BJ272)</f>
        <v>2</v>
      </c>
      <c r="BL272" s="53"/>
    </row>
    <row r="273" spans="1:64" s="400" customFormat="1" ht="17.100000000000001" customHeight="1">
      <c r="A273" s="761" t="s">
        <v>2651</v>
      </c>
      <c r="B273" s="55" t="s">
        <v>9</v>
      </c>
      <c r="C273" s="55" t="s">
        <v>9</v>
      </c>
      <c r="D273" s="53" t="s">
        <v>2755</v>
      </c>
      <c r="E273" s="55" t="s">
        <v>4</v>
      </c>
      <c r="F273" s="55" t="s">
        <v>2756</v>
      </c>
      <c r="G273" s="71">
        <v>40969</v>
      </c>
      <c r="H273" s="50" t="s">
        <v>2757</v>
      </c>
      <c r="I273" s="51">
        <v>12000</v>
      </c>
      <c r="J273" s="52">
        <v>22001</v>
      </c>
      <c r="K273" s="53" t="s">
        <v>2758</v>
      </c>
      <c r="L273" s="54" t="s">
        <v>3653</v>
      </c>
      <c r="M273" s="57">
        <v>3</v>
      </c>
      <c r="N273" s="58">
        <v>0</v>
      </c>
      <c r="O273" s="59">
        <v>48</v>
      </c>
      <c r="P273" s="60">
        <v>1</v>
      </c>
      <c r="Q273" s="61">
        <v>12</v>
      </c>
      <c r="R273" s="61">
        <v>1</v>
      </c>
      <c r="S273" s="61">
        <v>17</v>
      </c>
      <c r="T273" s="61">
        <v>1</v>
      </c>
      <c r="U273" s="62">
        <v>18</v>
      </c>
      <c r="V273" s="60">
        <v>0</v>
      </c>
      <c r="W273" s="61">
        <v>0</v>
      </c>
      <c r="X273" s="61">
        <v>0</v>
      </c>
      <c r="Y273" s="61">
        <v>0</v>
      </c>
      <c r="Z273" s="61">
        <v>0</v>
      </c>
      <c r="AA273" s="62">
        <v>0</v>
      </c>
      <c r="AB273" s="63">
        <v>0</v>
      </c>
      <c r="AC273" s="61">
        <v>0</v>
      </c>
      <c r="AD273" s="61">
        <v>0</v>
      </c>
      <c r="AE273" s="61">
        <v>0</v>
      </c>
      <c r="AF273" s="61">
        <v>0</v>
      </c>
      <c r="AG273" s="61">
        <v>0</v>
      </c>
      <c r="AH273" s="61">
        <v>0</v>
      </c>
      <c r="AI273" s="62">
        <v>0</v>
      </c>
      <c r="AJ273" s="63">
        <v>0</v>
      </c>
      <c r="AK273" s="61">
        <v>0</v>
      </c>
      <c r="AL273" s="61">
        <v>0</v>
      </c>
      <c r="AM273" s="61">
        <v>0</v>
      </c>
      <c r="AN273" s="61">
        <v>0</v>
      </c>
      <c r="AO273" s="61">
        <v>0</v>
      </c>
      <c r="AP273" s="61">
        <v>0</v>
      </c>
      <c r="AQ273" s="62">
        <v>0</v>
      </c>
      <c r="AR273" s="955">
        <v>0</v>
      </c>
      <c r="AS273" s="956">
        <v>0</v>
      </c>
      <c r="AT273" s="61">
        <v>0</v>
      </c>
      <c r="AU273" s="61">
        <v>0</v>
      </c>
      <c r="AV273" s="61">
        <v>0</v>
      </c>
      <c r="AW273" s="956">
        <v>0</v>
      </c>
      <c r="AX273" s="956">
        <v>0</v>
      </c>
      <c r="AY273" s="956">
        <v>0</v>
      </c>
      <c r="AZ273" s="956">
        <v>0</v>
      </c>
      <c r="BA273" s="957">
        <v>0</v>
      </c>
      <c r="BB273" s="958">
        <v>3</v>
      </c>
      <c r="BC273" s="959">
        <f>SUM(Q273,AD273,AT273)</f>
        <v>12</v>
      </c>
      <c r="BD273" s="959">
        <f>SUM(S273,AE273,AL273,AU273)</f>
        <v>17</v>
      </c>
      <c r="BE273" s="959">
        <f>SUM(U273,AM273,AV273)</f>
        <v>18</v>
      </c>
      <c r="BF273" s="959">
        <f>SUM(BC273:BE273)</f>
        <v>47</v>
      </c>
      <c r="BG273" s="959">
        <f>SUM(V273,X273,Z273,AC273,AK273,AS273)</f>
        <v>0</v>
      </c>
      <c r="BH273" s="959">
        <f>SUM(W273,AG273,AX273)</f>
        <v>0</v>
      </c>
      <c r="BI273" s="959">
        <f>SUM(Y273,AH273,AO273,AY273)</f>
        <v>0</v>
      </c>
      <c r="BJ273" s="959">
        <f>SUM(AA273,AP273,AZ273)</f>
        <v>0</v>
      </c>
      <c r="BK273" s="959">
        <f>SUM(BH273:BJ273)</f>
        <v>0</v>
      </c>
      <c r="BL273" s="53"/>
    </row>
    <row r="274" spans="1:64" s="400" customFormat="1" ht="17.100000000000001" customHeight="1">
      <c r="A274" s="457" t="s">
        <v>2651</v>
      </c>
      <c r="B274" s="53" t="s">
        <v>9</v>
      </c>
      <c r="C274" s="53" t="s">
        <v>9</v>
      </c>
      <c r="D274" s="53" t="s">
        <v>2755</v>
      </c>
      <c r="E274" s="55" t="s">
        <v>4</v>
      </c>
      <c r="F274" s="53" t="s">
        <v>2759</v>
      </c>
      <c r="G274" s="71">
        <v>40422</v>
      </c>
      <c r="H274" s="50" t="s">
        <v>3654</v>
      </c>
      <c r="I274" s="51">
        <v>12518</v>
      </c>
      <c r="J274" s="52">
        <v>22002</v>
      </c>
      <c r="K274" s="53" t="s">
        <v>3655</v>
      </c>
      <c r="L274" s="54" t="s">
        <v>3656</v>
      </c>
      <c r="M274" s="57">
        <v>3</v>
      </c>
      <c r="N274" s="58">
        <v>1</v>
      </c>
      <c r="O274" s="59">
        <v>55</v>
      </c>
      <c r="P274" s="60">
        <v>0</v>
      </c>
      <c r="Q274" s="61">
        <v>0</v>
      </c>
      <c r="R274" s="61">
        <v>1</v>
      </c>
      <c r="S274" s="61">
        <v>17</v>
      </c>
      <c r="T274" s="61">
        <v>2</v>
      </c>
      <c r="U274" s="62">
        <v>34</v>
      </c>
      <c r="V274" s="60">
        <v>0</v>
      </c>
      <c r="W274" s="61">
        <v>0</v>
      </c>
      <c r="X274" s="61">
        <v>0</v>
      </c>
      <c r="Y274" s="61">
        <v>0</v>
      </c>
      <c r="Z274" s="61">
        <v>0</v>
      </c>
      <c r="AA274" s="62">
        <v>0</v>
      </c>
      <c r="AB274" s="70">
        <v>0</v>
      </c>
      <c r="AC274" s="68">
        <v>0</v>
      </c>
      <c r="AD274" s="68">
        <v>0</v>
      </c>
      <c r="AE274" s="68">
        <v>0</v>
      </c>
      <c r="AF274" s="68">
        <f t="shared" ref="AF274" si="287">SUM(AD274:AE274)</f>
        <v>0</v>
      </c>
      <c r="AG274" s="68">
        <v>0</v>
      </c>
      <c r="AH274" s="68">
        <v>0</v>
      </c>
      <c r="AI274" s="69">
        <f t="shared" ref="AI274" si="288">SUM(AG274:AH274)</f>
        <v>0</v>
      </c>
      <c r="AJ274" s="63"/>
      <c r="AK274" s="61">
        <v>1</v>
      </c>
      <c r="AL274" s="61"/>
      <c r="AM274" s="61"/>
      <c r="AN274" s="61">
        <f>SUM(AL274:AM274)</f>
        <v>0</v>
      </c>
      <c r="AO274" s="61">
        <v>2</v>
      </c>
      <c r="AP274" s="61">
        <v>1</v>
      </c>
      <c r="AQ274" s="62">
        <f>SUM(AO274:AP274)</f>
        <v>3</v>
      </c>
      <c r="AR274" s="955">
        <v>0</v>
      </c>
      <c r="AS274" s="956">
        <v>0</v>
      </c>
      <c r="AT274" s="61">
        <v>0</v>
      </c>
      <c r="AU274" s="61">
        <v>0</v>
      </c>
      <c r="AV274" s="61">
        <v>0</v>
      </c>
      <c r="AW274" s="956">
        <v>0</v>
      </c>
      <c r="AX274" s="956">
        <v>0</v>
      </c>
      <c r="AY274" s="956">
        <v>0</v>
      </c>
      <c r="AZ274" s="956">
        <v>0</v>
      </c>
      <c r="BA274" s="957">
        <v>0</v>
      </c>
      <c r="BB274" s="958">
        <f>SUM(P274,R274,T274,AB274,AJ274,AR274)</f>
        <v>3</v>
      </c>
      <c r="BC274" s="959">
        <f>SUM(Q274,AD274,AT274)</f>
        <v>0</v>
      </c>
      <c r="BD274" s="959">
        <f>SUM(S274,AE274,AL274,AU274)</f>
        <v>17</v>
      </c>
      <c r="BE274" s="959">
        <f>SUM(U274,AM274,AV274)</f>
        <v>34</v>
      </c>
      <c r="BF274" s="959">
        <f>SUM(BC274:BE274)</f>
        <v>51</v>
      </c>
      <c r="BG274" s="959">
        <f>SUM(V274,X274,Z274,AC274,AK274,AS274)</f>
        <v>1</v>
      </c>
      <c r="BH274" s="959">
        <f>SUM(W274,AG274,AX274)</f>
        <v>0</v>
      </c>
      <c r="BI274" s="959">
        <f>SUM(Y274,AH274,AO274,AY274)</f>
        <v>2</v>
      </c>
      <c r="BJ274" s="959">
        <f>SUM(AA274,AP274,AZ274)</f>
        <v>1</v>
      </c>
      <c r="BK274" s="959">
        <f>SUM(BH274:BJ274)</f>
        <v>3</v>
      </c>
      <c r="BL274" s="53"/>
    </row>
    <row r="275" spans="1:64" s="400" customFormat="1" ht="17.100000000000001" customHeight="1">
      <c r="A275" s="457" t="s">
        <v>2651</v>
      </c>
      <c r="B275" s="53" t="s">
        <v>9</v>
      </c>
      <c r="C275" s="53" t="s">
        <v>9</v>
      </c>
      <c r="D275" s="55" t="s">
        <v>1893</v>
      </c>
      <c r="E275" s="55" t="s">
        <v>4</v>
      </c>
      <c r="F275" s="55" t="s">
        <v>1538</v>
      </c>
      <c r="G275" s="71">
        <v>44256</v>
      </c>
      <c r="H275" s="50" t="s">
        <v>2760</v>
      </c>
      <c r="I275" s="51">
        <v>4000</v>
      </c>
      <c r="J275" s="52">
        <v>21987</v>
      </c>
      <c r="K275" s="53" t="s">
        <v>2761</v>
      </c>
      <c r="L275" s="54" t="s">
        <v>2762</v>
      </c>
      <c r="M275" s="394">
        <v>18</v>
      </c>
      <c r="N275" s="395">
        <v>3</v>
      </c>
      <c r="O275" s="396">
        <v>288</v>
      </c>
      <c r="P275" s="67">
        <v>6</v>
      </c>
      <c r="Q275" s="68">
        <v>68</v>
      </c>
      <c r="R275" s="68">
        <v>6</v>
      </c>
      <c r="S275" s="68">
        <v>98</v>
      </c>
      <c r="T275" s="68">
        <v>6</v>
      </c>
      <c r="U275" s="69">
        <v>110</v>
      </c>
      <c r="V275" s="67">
        <v>1</v>
      </c>
      <c r="W275" s="68">
        <v>4</v>
      </c>
      <c r="X275" s="68">
        <v>1</v>
      </c>
      <c r="Y275" s="68">
        <v>4</v>
      </c>
      <c r="Z275" s="68">
        <v>1</v>
      </c>
      <c r="AA275" s="69">
        <v>4</v>
      </c>
      <c r="AB275" s="70">
        <v>0</v>
      </c>
      <c r="AC275" s="68">
        <v>0</v>
      </c>
      <c r="AD275" s="68">
        <v>0</v>
      </c>
      <c r="AE275" s="68">
        <v>0</v>
      </c>
      <c r="AF275" s="68">
        <v>0</v>
      </c>
      <c r="AG275" s="68">
        <v>0</v>
      </c>
      <c r="AH275" s="68">
        <v>0</v>
      </c>
      <c r="AI275" s="69">
        <f>SUM(AG275:AH275)</f>
        <v>0</v>
      </c>
      <c r="AJ275" s="70">
        <v>0</v>
      </c>
      <c r="AK275" s="68">
        <v>0</v>
      </c>
      <c r="AL275" s="68">
        <v>0</v>
      </c>
      <c r="AM275" s="68">
        <v>0</v>
      </c>
      <c r="AN275" s="68">
        <f>SUM(AL275:AM275)</f>
        <v>0</v>
      </c>
      <c r="AO275" s="68">
        <v>0</v>
      </c>
      <c r="AP275" s="68">
        <v>0</v>
      </c>
      <c r="AQ275" s="69">
        <f>SUM(AO275:AP275)</f>
        <v>0</v>
      </c>
      <c r="AR275" s="972">
        <v>0</v>
      </c>
      <c r="AS275" s="973">
        <v>0</v>
      </c>
      <c r="AT275" s="68">
        <v>0</v>
      </c>
      <c r="AU275" s="68">
        <v>0</v>
      </c>
      <c r="AV275" s="68">
        <v>0</v>
      </c>
      <c r="AW275" s="973">
        <f>SUM(AT275:AV275)</f>
        <v>0</v>
      </c>
      <c r="AX275" s="973">
        <v>0</v>
      </c>
      <c r="AY275" s="973">
        <v>0</v>
      </c>
      <c r="AZ275" s="973">
        <v>0</v>
      </c>
      <c r="BA275" s="974">
        <f>SUM(AX275:AZ275)</f>
        <v>0</v>
      </c>
      <c r="BB275" s="976">
        <f>SUM(P275,R275,T275,AB275,AJ275,AR275)</f>
        <v>18</v>
      </c>
      <c r="BC275" s="959">
        <f t="shared" ref="BC275" si="289">SUM(Q275,AD275,AT275)</f>
        <v>68</v>
      </c>
      <c r="BD275" s="959">
        <f t="shared" ref="BD275" si="290">SUM(S275,AE275,AL275,AU275)</f>
        <v>98</v>
      </c>
      <c r="BE275" s="959">
        <f t="shared" ref="BE275:BE282" si="291">SUM(U275,AM275,AV275)</f>
        <v>110</v>
      </c>
      <c r="BF275" s="959">
        <f t="shared" ref="BF275:BF282" si="292">SUM(BC275:BE275)</f>
        <v>276</v>
      </c>
      <c r="BG275" s="959">
        <f t="shared" ref="BG275:BG282" si="293">SUM(V275,X275,Z275,AC275,AK275,AS275)</f>
        <v>3</v>
      </c>
      <c r="BH275" s="959">
        <f t="shared" ref="BH275:BH282" si="294">SUM(W275,AG275,AX275)</f>
        <v>4</v>
      </c>
      <c r="BI275" s="959">
        <f t="shared" ref="BI275:BI282" si="295">SUM(Y275,AH275,AO275,AY275)</f>
        <v>4</v>
      </c>
      <c r="BJ275" s="959">
        <f t="shared" ref="BJ275:BJ282" si="296">SUM(AA275,AP275,AZ275)</f>
        <v>4</v>
      </c>
      <c r="BK275" s="977">
        <f t="shared" ref="BK275:BK282" si="297">SUM(BH275:BJ275)</f>
        <v>12</v>
      </c>
      <c r="BL275" s="55"/>
    </row>
    <row r="276" spans="1:64" s="400" customFormat="1" ht="17.100000000000001" customHeight="1">
      <c r="A276" s="457" t="s">
        <v>2651</v>
      </c>
      <c r="B276" s="53" t="s">
        <v>9</v>
      </c>
      <c r="C276" s="53" t="s">
        <v>9</v>
      </c>
      <c r="D276" s="55" t="s">
        <v>1893</v>
      </c>
      <c r="E276" s="55" t="s">
        <v>4</v>
      </c>
      <c r="F276" s="55" t="s">
        <v>1539</v>
      </c>
      <c r="G276" s="71">
        <v>41699</v>
      </c>
      <c r="H276" s="50" t="s">
        <v>2763</v>
      </c>
      <c r="I276" s="51">
        <v>12242</v>
      </c>
      <c r="J276" s="52">
        <v>21986</v>
      </c>
      <c r="K276" s="53" t="s">
        <v>2764</v>
      </c>
      <c r="L276" s="54" t="s">
        <v>2765</v>
      </c>
      <c r="M276" s="57">
        <v>3</v>
      </c>
      <c r="N276" s="58">
        <v>0</v>
      </c>
      <c r="O276" s="59">
        <v>48</v>
      </c>
      <c r="P276" s="60">
        <v>1</v>
      </c>
      <c r="Q276" s="61">
        <v>12</v>
      </c>
      <c r="R276" s="61">
        <v>1</v>
      </c>
      <c r="S276" s="61">
        <v>17</v>
      </c>
      <c r="T276" s="61">
        <v>1</v>
      </c>
      <c r="U276" s="62">
        <v>19</v>
      </c>
      <c r="V276" s="60">
        <v>0</v>
      </c>
      <c r="W276" s="61">
        <v>0</v>
      </c>
      <c r="X276" s="61">
        <v>0</v>
      </c>
      <c r="Y276" s="61">
        <v>0</v>
      </c>
      <c r="Z276" s="61">
        <v>0</v>
      </c>
      <c r="AA276" s="62">
        <v>0</v>
      </c>
      <c r="AB276" s="63">
        <v>0</v>
      </c>
      <c r="AC276" s="61">
        <v>0</v>
      </c>
      <c r="AD276" s="61">
        <v>0</v>
      </c>
      <c r="AE276" s="61">
        <v>0</v>
      </c>
      <c r="AF276" s="61">
        <f>SUM(AD276:AE276)</f>
        <v>0</v>
      </c>
      <c r="AG276" s="61">
        <v>0</v>
      </c>
      <c r="AH276" s="61">
        <v>0</v>
      </c>
      <c r="AI276" s="62">
        <f>SUM(AG276:AH276)</f>
        <v>0</v>
      </c>
      <c r="AJ276" s="63">
        <v>0</v>
      </c>
      <c r="AK276" s="61">
        <v>0</v>
      </c>
      <c r="AL276" s="61">
        <v>0</v>
      </c>
      <c r="AM276" s="61">
        <v>0</v>
      </c>
      <c r="AN276" s="61">
        <f>SUM(AL276:AM276)</f>
        <v>0</v>
      </c>
      <c r="AO276" s="61">
        <v>0</v>
      </c>
      <c r="AP276" s="61">
        <v>0</v>
      </c>
      <c r="AQ276" s="62">
        <f>SUM(AO276:AP276)</f>
        <v>0</v>
      </c>
      <c r="AR276" s="955">
        <v>0</v>
      </c>
      <c r="AS276" s="956">
        <v>0</v>
      </c>
      <c r="AT276" s="61">
        <v>0</v>
      </c>
      <c r="AU276" s="61">
        <v>0</v>
      </c>
      <c r="AV276" s="61">
        <v>0</v>
      </c>
      <c r="AW276" s="956">
        <f>SUM(AT276:AV276)</f>
        <v>0</v>
      </c>
      <c r="AX276" s="956">
        <v>0</v>
      </c>
      <c r="AY276" s="956">
        <v>0</v>
      </c>
      <c r="AZ276" s="956">
        <v>0</v>
      </c>
      <c r="BA276" s="957">
        <f>SUM(AX276:AZ276)</f>
        <v>0</v>
      </c>
      <c r="BB276" s="958">
        <f>SUM(P276,R276,T276,AB276,AJ276,AR276)</f>
        <v>3</v>
      </c>
      <c r="BC276" s="959">
        <f>SUM(Q276,AD276,AT276)</f>
        <v>12</v>
      </c>
      <c r="BD276" s="959">
        <f>SUM(S276,AE276,AL276,AU276)</f>
        <v>17</v>
      </c>
      <c r="BE276" s="959">
        <f t="shared" si="291"/>
        <v>19</v>
      </c>
      <c r="BF276" s="959">
        <f t="shared" si="292"/>
        <v>48</v>
      </c>
      <c r="BG276" s="959">
        <f t="shared" si="293"/>
        <v>0</v>
      </c>
      <c r="BH276" s="959">
        <f t="shared" si="294"/>
        <v>0</v>
      </c>
      <c r="BI276" s="959">
        <f t="shared" si="295"/>
        <v>0</v>
      </c>
      <c r="BJ276" s="959">
        <f t="shared" si="296"/>
        <v>0</v>
      </c>
      <c r="BK276" s="959">
        <f t="shared" si="297"/>
        <v>0</v>
      </c>
      <c r="BL276" s="53"/>
    </row>
    <row r="277" spans="1:64" s="400" customFormat="1" ht="17.100000000000001" customHeight="1">
      <c r="A277" s="457" t="s">
        <v>2651</v>
      </c>
      <c r="B277" s="53" t="s">
        <v>2766</v>
      </c>
      <c r="C277" s="53" t="s">
        <v>2766</v>
      </c>
      <c r="D277" s="53" t="s">
        <v>2767</v>
      </c>
      <c r="E277" s="55" t="s">
        <v>4</v>
      </c>
      <c r="F277" s="53" t="s">
        <v>2768</v>
      </c>
      <c r="G277" s="71">
        <v>41334</v>
      </c>
      <c r="H277" s="50" t="s">
        <v>3657</v>
      </c>
      <c r="I277" s="51">
        <v>16460</v>
      </c>
      <c r="J277" s="52">
        <v>21983</v>
      </c>
      <c r="K277" s="53" t="s">
        <v>2769</v>
      </c>
      <c r="L277" s="54" t="s">
        <v>2770</v>
      </c>
      <c r="M277" s="57">
        <v>3</v>
      </c>
      <c r="N277" s="58">
        <v>0</v>
      </c>
      <c r="O277" s="59">
        <v>48</v>
      </c>
      <c r="P277" s="60">
        <v>1</v>
      </c>
      <c r="Q277" s="61">
        <v>12</v>
      </c>
      <c r="R277" s="61">
        <v>1</v>
      </c>
      <c r="S277" s="61">
        <v>17</v>
      </c>
      <c r="T277" s="61">
        <v>1</v>
      </c>
      <c r="U277" s="62">
        <v>19</v>
      </c>
      <c r="V277" s="60">
        <v>0</v>
      </c>
      <c r="W277" s="61">
        <v>0</v>
      </c>
      <c r="X277" s="61">
        <v>0</v>
      </c>
      <c r="Y277" s="61">
        <v>0</v>
      </c>
      <c r="Z277" s="61">
        <v>0</v>
      </c>
      <c r="AA277" s="62">
        <v>0</v>
      </c>
      <c r="AB277" s="63">
        <v>0</v>
      </c>
      <c r="AC277" s="61">
        <v>0</v>
      </c>
      <c r="AD277" s="61">
        <v>0</v>
      </c>
      <c r="AE277" s="61">
        <v>0</v>
      </c>
      <c r="AF277" s="61">
        <f>SUM(AD277:AE277)</f>
        <v>0</v>
      </c>
      <c r="AG277" s="61">
        <v>0</v>
      </c>
      <c r="AH277" s="61">
        <v>0</v>
      </c>
      <c r="AI277" s="62">
        <f>SUM(AG277:AH277)</f>
        <v>0</v>
      </c>
      <c r="AJ277" s="63">
        <v>0</v>
      </c>
      <c r="AK277" s="61">
        <v>0</v>
      </c>
      <c r="AL277" s="61">
        <v>0</v>
      </c>
      <c r="AM277" s="61">
        <v>0</v>
      </c>
      <c r="AN277" s="61">
        <f>SUM(AL277:AM277)</f>
        <v>0</v>
      </c>
      <c r="AO277" s="61">
        <v>0</v>
      </c>
      <c r="AP277" s="61">
        <v>0</v>
      </c>
      <c r="AQ277" s="62">
        <f>SUM(AO277:AP277)</f>
        <v>0</v>
      </c>
      <c r="AR277" s="955">
        <v>0</v>
      </c>
      <c r="AS277" s="956">
        <v>0</v>
      </c>
      <c r="AT277" s="61">
        <v>0</v>
      </c>
      <c r="AU277" s="61">
        <v>0</v>
      </c>
      <c r="AV277" s="61">
        <v>0</v>
      </c>
      <c r="AW277" s="956">
        <f>SUM(AT277:AV277)</f>
        <v>0</v>
      </c>
      <c r="AX277" s="956">
        <v>0</v>
      </c>
      <c r="AY277" s="956">
        <v>0</v>
      </c>
      <c r="AZ277" s="956">
        <v>0</v>
      </c>
      <c r="BA277" s="957">
        <f>SUM(AX277:AZ277)</f>
        <v>0</v>
      </c>
      <c r="BB277" s="958">
        <f>SUM(P277,R277,T277,AB277,AJ277,AR277)</f>
        <v>3</v>
      </c>
      <c r="BC277" s="959">
        <f>SUM(Q277,AD277,AT277)</f>
        <v>12</v>
      </c>
      <c r="BD277" s="959">
        <f>SUM(S277,AE277,AL277,AU277)</f>
        <v>17</v>
      </c>
      <c r="BE277" s="959">
        <f t="shared" si="291"/>
        <v>19</v>
      </c>
      <c r="BF277" s="959">
        <f t="shared" si="292"/>
        <v>48</v>
      </c>
      <c r="BG277" s="959">
        <f t="shared" si="293"/>
        <v>0</v>
      </c>
      <c r="BH277" s="959">
        <f t="shared" si="294"/>
        <v>0</v>
      </c>
      <c r="BI277" s="959">
        <f t="shared" si="295"/>
        <v>0</v>
      </c>
      <c r="BJ277" s="959">
        <f t="shared" si="296"/>
        <v>0</v>
      </c>
      <c r="BK277" s="977">
        <f t="shared" si="297"/>
        <v>0</v>
      </c>
      <c r="BL277" s="55"/>
    </row>
    <row r="278" spans="1:64" s="400" customFormat="1" ht="17.100000000000001" customHeight="1">
      <c r="A278" s="457" t="s">
        <v>2651</v>
      </c>
      <c r="B278" s="53" t="s">
        <v>9</v>
      </c>
      <c r="C278" s="53" t="s">
        <v>9</v>
      </c>
      <c r="D278" s="53" t="s">
        <v>2767</v>
      </c>
      <c r="E278" s="55" t="s">
        <v>4</v>
      </c>
      <c r="F278" s="53" t="s">
        <v>2771</v>
      </c>
      <c r="G278" s="71">
        <v>42795</v>
      </c>
      <c r="H278" s="50" t="s">
        <v>1128</v>
      </c>
      <c r="I278" s="51">
        <v>12242</v>
      </c>
      <c r="J278" s="52">
        <v>21986</v>
      </c>
      <c r="K278" s="55" t="s">
        <v>1540</v>
      </c>
      <c r="L278" s="1004" t="s">
        <v>1540</v>
      </c>
      <c r="M278" s="57">
        <v>5</v>
      </c>
      <c r="N278" s="58">
        <f>-N340</f>
        <v>0</v>
      </c>
      <c r="O278" s="59">
        <v>84</v>
      </c>
      <c r="P278" s="60">
        <v>1</v>
      </c>
      <c r="Q278" s="61">
        <v>12</v>
      </c>
      <c r="R278" s="61">
        <v>2</v>
      </c>
      <c r="S278" s="61">
        <v>34</v>
      </c>
      <c r="T278" s="61">
        <v>2</v>
      </c>
      <c r="U278" s="62">
        <v>37</v>
      </c>
      <c r="V278" s="60">
        <v>0</v>
      </c>
      <c r="W278" s="61">
        <v>0</v>
      </c>
      <c r="X278" s="61">
        <v>0</v>
      </c>
      <c r="Y278" s="61">
        <v>0</v>
      </c>
      <c r="Z278" s="61">
        <v>0</v>
      </c>
      <c r="AA278" s="62">
        <v>0</v>
      </c>
      <c r="AB278" s="63">
        <v>0</v>
      </c>
      <c r="AC278" s="61">
        <v>0</v>
      </c>
      <c r="AD278" s="61">
        <v>0</v>
      </c>
      <c r="AE278" s="61">
        <v>0</v>
      </c>
      <c r="AF278" s="61">
        <v>0</v>
      </c>
      <c r="AG278" s="61">
        <v>0</v>
      </c>
      <c r="AH278" s="61">
        <v>0</v>
      </c>
      <c r="AI278" s="62">
        <v>0</v>
      </c>
      <c r="AJ278" s="63">
        <v>0</v>
      </c>
      <c r="AK278" s="61">
        <v>0</v>
      </c>
      <c r="AL278" s="61">
        <v>0</v>
      </c>
      <c r="AM278" s="61">
        <v>0</v>
      </c>
      <c r="AN278" s="61">
        <v>0</v>
      </c>
      <c r="AO278" s="61">
        <v>0</v>
      </c>
      <c r="AP278" s="61">
        <v>0</v>
      </c>
      <c r="AQ278" s="62">
        <v>0</v>
      </c>
      <c r="AR278" s="955">
        <v>0</v>
      </c>
      <c r="AS278" s="956">
        <v>0</v>
      </c>
      <c r="AT278" s="61">
        <v>0</v>
      </c>
      <c r="AU278" s="61">
        <v>0</v>
      </c>
      <c r="AV278" s="61">
        <v>0</v>
      </c>
      <c r="AW278" s="956">
        <v>0</v>
      </c>
      <c r="AX278" s="956">
        <v>0</v>
      </c>
      <c r="AY278" s="956">
        <v>0</v>
      </c>
      <c r="AZ278" s="956">
        <v>0</v>
      </c>
      <c r="BA278" s="957">
        <v>0</v>
      </c>
      <c r="BB278" s="958">
        <v>5</v>
      </c>
      <c r="BC278" s="959">
        <f>SUM(Q278,AD278,AT278)</f>
        <v>12</v>
      </c>
      <c r="BD278" s="959">
        <f>SUM(S278,AE278,AL278,AU278)</f>
        <v>34</v>
      </c>
      <c r="BE278" s="959">
        <f>SUM(U278,AM278,AV278)</f>
        <v>37</v>
      </c>
      <c r="BF278" s="959">
        <f>SUM(BC278:BE278)</f>
        <v>83</v>
      </c>
      <c r="BG278" s="959">
        <f>SUM(V278,X278,Z278,AC278,AK278,AS278)</f>
        <v>0</v>
      </c>
      <c r="BH278" s="959">
        <f>SUM(W278,AG278,AX278)</f>
        <v>0</v>
      </c>
      <c r="BI278" s="959">
        <f>SUM(Y278,AH278,AO278,AY278)</f>
        <v>0</v>
      </c>
      <c r="BJ278" s="959">
        <f>SUM(AA278,AP278,AZ278)</f>
        <v>0</v>
      </c>
      <c r="BK278" s="959">
        <f>SUM(BH278:BJ278)</f>
        <v>0</v>
      </c>
      <c r="BL278" s="53"/>
    </row>
    <row r="279" spans="1:64" s="400" customFormat="1" ht="20.100000000000001" customHeight="1">
      <c r="A279" s="457" t="s">
        <v>2651</v>
      </c>
      <c r="B279" s="53" t="s">
        <v>9</v>
      </c>
      <c r="C279" s="53" t="s">
        <v>9</v>
      </c>
      <c r="D279" s="55" t="s">
        <v>1894</v>
      </c>
      <c r="E279" s="55" t="s">
        <v>4</v>
      </c>
      <c r="F279" s="53" t="s">
        <v>2652</v>
      </c>
      <c r="G279" s="71">
        <v>45536</v>
      </c>
      <c r="H279" s="50" t="s">
        <v>3658</v>
      </c>
      <c r="I279" s="51">
        <v>14000</v>
      </c>
      <c r="J279" s="52">
        <v>22025</v>
      </c>
      <c r="K279" s="53" t="s">
        <v>3659</v>
      </c>
      <c r="L279" s="54" t="s">
        <v>2653</v>
      </c>
      <c r="M279" s="57">
        <v>4</v>
      </c>
      <c r="N279" s="58">
        <v>1</v>
      </c>
      <c r="O279" s="59">
        <v>67</v>
      </c>
      <c r="P279" s="60">
        <v>1</v>
      </c>
      <c r="Q279" s="61">
        <v>10</v>
      </c>
      <c r="R279" s="61">
        <v>1</v>
      </c>
      <c r="S279" s="61">
        <v>15</v>
      </c>
      <c r="T279" s="61">
        <v>2</v>
      </c>
      <c r="U279" s="62">
        <v>38</v>
      </c>
      <c r="V279" s="60">
        <v>0</v>
      </c>
      <c r="W279" s="61">
        <v>0</v>
      </c>
      <c r="X279" s="61">
        <v>0</v>
      </c>
      <c r="Y279" s="61">
        <v>0</v>
      </c>
      <c r="Z279" s="61">
        <v>0</v>
      </c>
      <c r="AA279" s="62">
        <v>0</v>
      </c>
      <c r="AB279" s="63">
        <v>0</v>
      </c>
      <c r="AC279" s="61">
        <v>1</v>
      </c>
      <c r="AD279" s="61">
        <v>0</v>
      </c>
      <c r="AE279" s="61">
        <v>0</v>
      </c>
      <c r="AF279" s="61">
        <f>SUM(AD279:AE279)</f>
        <v>0</v>
      </c>
      <c r="AG279" s="61">
        <v>2</v>
      </c>
      <c r="AH279" s="61">
        <v>1</v>
      </c>
      <c r="AI279" s="62">
        <v>0</v>
      </c>
      <c r="AJ279" s="63">
        <v>0</v>
      </c>
      <c r="AK279" s="61">
        <v>0</v>
      </c>
      <c r="AL279" s="61">
        <v>0</v>
      </c>
      <c r="AM279" s="61">
        <v>0</v>
      </c>
      <c r="AN279" s="61">
        <f t="shared" ref="AN279:AN286" si="298">SUM(AL279:AM279)</f>
        <v>0</v>
      </c>
      <c r="AO279" s="61">
        <v>0</v>
      </c>
      <c r="AP279" s="61">
        <v>0</v>
      </c>
      <c r="AQ279" s="62">
        <f t="shared" ref="AQ279:AQ286" si="299">SUM(AO279:AP279)</f>
        <v>0</v>
      </c>
      <c r="AR279" s="955">
        <v>0</v>
      </c>
      <c r="AS279" s="956">
        <v>0</v>
      </c>
      <c r="AT279" s="61">
        <v>0</v>
      </c>
      <c r="AU279" s="61">
        <v>0</v>
      </c>
      <c r="AV279" s="61">
        <v>0</v>
      </c>
      <c r="AW279" s="956">
        <f>SUM(AT279:AV279)</f>
        <v>0</v>
      </c>
      <c r="AX279" s="973">
        <v>0</v>
      </c>
      <c r="AY279" s="973">
        <v>0</v>
      </c>
      <c r="AZ279" s="973">
        <v>0</v>
      </c>
      <c r="BA279" s="957">
        <f>SUM(AX279:AZ279)</f>
        <v>0</v>
      </c>
      <c r="BB279" s="958">
        <f>SUM(P279,R279,T279,AB279,AJ279,AR279)</f>
        <v>4</v>
      </c>
      <c r="BC279" s="959">
        <v>10</v>
      </c>
      <c r="BD279" s="959">
        <v>15</v>
      </c>
      <c r="BE279" s="959">
        <f t="shared" si="291"/>
        <v>38</v>
      </c>
      <c r="BF279" s="959">
        <f t="shared" si="292"/>
        <v>63</v>
      </c>
      <c r="BG279" s="959">
        <f t="shared" si="293"/>
        <v>1</v>
      </c>
      <c r="BH279" s="959">
        <f t="shared" si="294"/>
        <v>2</v>
      </c>
      <c r="BI279" s="959">
        <f t="shared" si="295"/>
        <v>1</v>
      </c>
      <c r="BJ279" s="959">
        <f t="shared" si="296"/>
        <v>0</v>
      </c>
      <c r="BK279" s="977">
        <f t="shared" si="297"/>
        <v>3</v>
      </c>
      <c r="BL279" s="55"/>
    </row>
    <row r="280" spans="1:64" s="400" customFormat="1" ht="17.100000000000001" customHeight="1">
      <c r="A280" s="457" t="s">
        <v>2651</v>
      </c>
      <c r="B280" s="53" t="s">
        <v>9</v>
      </c>
      <c r="C280" s="53" t="s">
        <v>9</v>
      </c>
      <c r="D280" s="53" t="s">
        <v>2772</v>
      </c>
      <c r="E280" s="55" t="s">
        <v>4</v>
      </c>
      <c r="F280" s="53" t="s">
        <v>2773</v>
      </c>
      <c r="G280" s="71">
        <v>42233</v>
      </c>
      <c r="H280" s="50" t="s">
        <v>3660</v>
      </c>
      <c r="I280" s="51">
        <v>12687</v>
      </c>
      <c r="J280" s="52">
        <v>22009</v>
      </c>
      <c r="K280" s="53" t="s">
        <v>3661</v>
      </c>
      <c r="L280" s="54" t="s">
        <v>3662</v>
      </c>
      <c r="M280" s="57">
        <v>5</v>
      </c>
      <c r="N280" s="58">
        <v>0</v>
      </c>
      <c r="O280" s="59">
        <v>84</v>
      </c>
      <c r="P280" s="60">
        <v>1</v>
      </c>
      <c r="Q280" s="61">
        <v>12</v>
      </c>
      <c r="R280" s="61">
        <v>2</v>
      </c>
      <c r="S280" s="61">
        <v>34</v>
      </c>
      <c r="T280" s="61">
        <v>2</v>
      </c>
      <c r="U280" s="62">
        <v>29</v>
      </c>
      <c r="V280" s="60">
        <v>0</v>
      </c>
      <c r="W280" s="61">
        <v>0</v>
      </c>
      <c r="X280" s="61">
        <v>0</v>
      </c>
      <c r="Y280" s="61">
        <v>0</v>
      </c>
      <c r="Z280" s="61">
        <v>0</v>
      </c>
      <c r="AA280" s="62">
        <v>0</v>
      </c>
      <c r="AB280" s="63">
        <v>0</v>
      </c>
      <c r="AC280" s="61">
        <v>0</v>
      </c>
      <c r="AD280" s="61">
        <v>0</v>
      </c>
      <c r="AE280" s="61">
        <v>0</v>
      </c>
      <c r="AF280" s="61">
        <f>SUM(AD280:AE280)</f>
        <v>0</v>
      </c>
      <c r="AG280" s="61">
        <v>0</v>
      </c>
      <c r="AH280" s="61">
        <v>0</v>
      </c>
      <c r="AI280" s="62">
        <f>SUM(AG280:AH280)</f>
        <v>0</v>
      </c>
      <c r="AJ280" s="63">
        <v>0</v>
      </c>
      <c r="AK280" s="61">
        <v>0</v>
      </c>
      <c r="AL280" s="61">
        <v>0</v>
      </c>
      <c r="AM280" s="61">
        <v>0</v>
      </c>
      <c r="AN280" s="61">
        <f t="shared" si="298"/>
        <v>0</v>
      </c>
      <c r="AO280" s="61">
        <v>0</v>
      </c>
      <c r="AP280" s="61">
        <v>0</v>
      </c>
      <c r="AQ280" s="62">
        <f t="shared" si="299"/>
        <v>0</v>
      </c>
      <c r="AR280" s="955">
        <v>0</v>
      </c>
      <c r="AS280" s="956">
        <v>0</v>
      </c>
      <c r="AT280" s="61">
        <v>0</v>
      </c>
      <c r="AU280" s="61">
        <v>0</v>
      </c>
      <c r="AV280" s="61">
        <v>0</v>
      </c>
      <c r="AW280" s="956">
        <f>SUM(AT280:AV280)</f>
        <v>0</v>
      </c>
      <c r="AX280" s="956">
        <v>0</v>
      </c>
      <c r="AY280" s="956">
        <v>0</v>
      </c>
      <c r="AZ280" s="956">
        <v>0</v>
      </c>
      <c r="BA280" s="957">
        <f>SUM(AX280:AZ280)</f>
        <v>0</v>
      </c>
      <c r="BB280" s="958">
        <f>SUM(P280,R280,T280,AB280,AJ280,AR280)</f>
        <v>5</v>
      </c>
      <c r="BC280" s="959">
        <f>SUM(Q280,AD280,AT280)</f>
        <v>12</v>
      </c>
      <c r="BD280" s="959">
        <f>SUM(S280,AE280,AL280,AU280)</f>
        <v>34</v>
      </c>
      <c r="BE280" s="959">
        <f t="shared" si="291"/>
        <v>29</v>
      </c>
      <c r="BF280" s="959">
        <f t="shared" si="292"/>
        <v>75</v>
      </c>
      <c r="BG280" s="959">
        <f t="shared" si="293"/>
        <v>0</v>
      </c>
      <c r="BH280" s="959">
        <f t="shared" si="294"/>
        <v>0</v>
      </c>
      <c r="BI280" s="959">
        <f t="shared" si="295"/>
        <v>0</v>
      </c>
      <c r="BJ280" s="959">
        <f t="shared" si="296"/>
        <v>0</v>
      </c>
      <c r="BK280" s="977">
        <f t="shared" si="297"/>
        <v>0</v>
      </c>
      <c r="BL280" s="55"/>
    </row>
    <row r="281" spans="1:64" s="400" customFormat="1" ht="17.100000000000001" customHeight="1">
      <c r="A281" s="457" t="s">
        <v>2651</v>
      </c>
      <c r="B281" s="53" t="s">
        <v>9</v>
      </c>
      <c r="C281" s="53" t="s">
        <v>9</v>
      </c>
      <c r="D281" s="53" t="s">
        <v>2772</v>
      </c>
      <c r="E281" s="55" t="s">
        <v>4</v>
      </c>
      <c r="F281" s="53" t="s">
        <v>2774</v>
      </c>
      <c r="G281" s="71">
        <v>42614</v>
      </c>
      <c r="H281" s="50" t="s">
        <v>3663</v>
      </c>
      <c r="I281" s="51">
        <v>4611</v>
      </c>
      <c r="J281" s="52">
        <v>22009</v>
      </c>
      <c r="K281" s="53" t="s">
        <v>2775</v>
      </c>
      <c r="L281" s="54" t="s">
        <v>2776</v>
      </c>
      <c r="M281" s="773">
        <v>12</v>
      </c>
      <c r="N281" s="718">
        <v>4</v>
      </c>
      <c r="O281" s="774">
        <v>192</v>
      </c>
      <c r="P281" s="60">
        <v>4</v>
      </c>
      <c r="Q281" s="61">
        <v>44</v>
      </c>
      <c r="R281" s="61">
        <v>4</v>
      </c>
      <c r="S281" s="61">
        <v>60</v>
      </c>
      <c r="T281" s="61">
        <v>4</v>
      </c>
      <c r="U281" s="62">
        <v>71</v>
      </c>
      <c r="V281" s="60">
        <v>1</v>
      </c>
      <c r="W281" s="61">
        <v>4</v>
      </c>
      <c r="X281" s="61">
        <v>2</v>
      </c>
      <c r="Y281" s="61">
        <v>7</v>
      </c>
      <c r="Z281" s="61">
        <v>1</v>
      </c>
      <c r="AA281" s="62">
        <v>3</v>
      </c>
      <c r="AB281" s="63">
        <v>0</v>
      </c>
      <c r="AC281" s="61">
        <v>0</v>
      </c>
      <c r="AD281" s="61">
        <v>0</v>
      </c>
      <c r="AE281" s="61">
        <v>0</v>
      </c>
      <c r="AF281" s="61">
        <f t="shared" ref="AF281:AF286" si="300">SUM(AD281:AE281)</f>
        <v>0</v>
      </c>
      <c r="AG281" s="61">
        <v>0</v>
      </c>
      <c r="AH281" s="61">
        <v>0</v>
      </c>
      <c r="AI281" s="62">
        <f t="shared" ref="AI281:AI285" si="301">SUM(AG281:AH281)</f>
        <v>0</v>
      </c>
      <c r="AJ281" s="63">
        <v>0</v>
      </c>
      <c r="AK281" s="61">
        <v>0</v>
      </c>
      <c r="AL281" s="61">
        <v>0</v>
      </c>
      <c r="AM281" s="61">
        <v>0</v>
      </c>
      <c r="AN281" s="61">
        <f t="shared" si="298"/>
        <v>0</v>
      </c>
      <c r="AO281" s="61">
        <v>0</v>
      </c>
      <c r="AP281" s="61">
        <v>0</v>
      </c>
      <c r="AQ281" s="62">
        <f t="shared" si="299"/>
        <v>0</v>
      </c>
      <c r="AR281" s="955">
        <v>0</v>
      </c>
      <c r="AS281" s="956">
        <v>0</v>
      </c>
      <c r="AT281" s="61">
        <v>0</v>
      </c>
      <c r="AU281" s="61">
        <v>0</v>
      </c>
      <c r="AV281" s="61">
        <v>0</v>
      </c>
      <c r="AW281" s="956">
        <f>SUM(AT281:AV281)</f>
        <v>0</v>
      </c>
      <c r="AX281" s="973">
        <v>0</v>
      </c>
      <c r="AY281" s="973">
        <v>0</v>
      </c>
      <c r="AZ281" s="973">
        <v>0</v>
      </c>
      <c r="BA281" s="957">
        <f>SUM(AX281:AZ281)</f>
        <v>0</v>
      </c>
      <c r="BB281" s="958">
        <f>SUM(P281,R281,T281,AB281,AJ281,AR281)</f>
        <v>12</v>
      </c>
      <c r="BC281" s="959">
        <f>SUM(Q281,AD281,AT281)</f>
        <v>44</v>
      </c>
      <c r="BD281" s="959">
        <f>SUM(S281,AE281,AL281,AU281)</f>
        <v>60</v>
      </c>
      <c r="BE281" s="959">
        <f t="shared" si="291"/>
        <v>71</v>
      </c>
      <c r="BF281" s="959">
        <f t="shared" si="292"/>
        <v>175</v>
      </c>
      <c r="BG281" s="959">
        <f t="shared" si="293"/>
        <v>4</v>
      </c>
      <c r="BH281" s="959">
        <f t="shared" si="294"/>
        <v>4</v>
      </c>
      <c r="BI281" s="959">
        <f t="shared" si="295"/>
        <v>7</v>
      </c>
      <c r="BJ281" s="959">
        <f t="shared" si="296"/>
        <v>3</v>
      </c>
      <c r="BK281" s="977">
        <f t="shared" si="297"/>
        <v>14</v>
      </c>
      <c r="BL281" s="55"/>
    </row>
    <row r="282" spans="1:64" s="400" customFormat="1" ht="17.100000000000001" customHeight="1">
      <c r="A282" s="457" t="s">
        <v>2651</v>
      </c>
      <c r="B282" s="53" t="s">
        <v>9</v>
      </c>
      <c r="C282" s="53" t="s">
        <v>9</v>
      </c>
      <c r="D282" s="55" t="s">
        <v>1894</v>
      </c>
      <c r="E282" s="55" t="s">
        <v>4</v>
      </c>
      <c r="F282" s="55" t="s">
        <v>1541</v>
      </c>
      <c r="G282" s="130">
        <v>43160</v>
      </c>
      <c r="H282" s="154" t="s">
        <v>2777</v>
      </c>
      <c r="I282" s="760">
        <v>1080</v>
      </c>
      <c r="J282" s="719">
        <v>22009</v>
      </c>
      <c r="K282" s="55" t="s">
        <v>2778</v>
      </c>
      <c r="L282" s="720" t="s">
        <v>1542</v>
      </c>
      <c r="M282" s="1008">
        <v>5</v>
      </c>
      <c r="N282" s="1009">
        <v>1</v>
      </c>
      <c r="O282" s="1010">
        <v>84</v>
      </c>
      <c r="P282" s="70">
        <v>1</v>
      </c>
      <c r="Q282" s="68">
        <v>12</v>
      </c>
      <c r="R282" s="68">
        <v>2</v>
      </c>
      <c r="S282" s="68">
        <v>32</v>
      </c>
      <c r="T282" s="68">
        <v>2</v>
      </c>
      <c r="U282" s="1011">
        <v>36</v>
      </c>
      <c r="V282" s="70">
        <v>0</v>
      </c>
      <c r="W282" s="61">
        <v>0</v>
      </c>
      <c r="X282" s="61">
        <v>0</v>
      </c>
      <c r="Y282" s="61">
        <v>0</v>
      </c>
      <c r="Z282" s="61">
        <v>0</v>
      </c>
      <c r="AA282" s="62">
        <v>0</v>
      </c>
      <c r="AB282" s="63">
        <v>0</v>
      </c>
      <c r="AC282" s="61">
        <v>0</v>
      </c>
      <c r="AD282" s="61">
        <v>0</v>
      </c>
      <c r="AE282" s="61">
        <v>0</v>
      </c>
      <c r="AF282" s="61">
        <f t="shared" si="300"/>
        <v>0</v>
      </c>
      <c r="AG282" s="61">
        <v>0</v>
      </c>
      <c r="AH282" s="61">
        <v>0</v>
      </c>
      <c r="AI282" s="62">
        <f t="shared" si="301"/>
        <v>0</v>
      </c>
      <c r="AJ282" s="63">
        <v>0</v>
      </c>
      <c r="AK282" s="61">
        <v>0</v>
      </c>
      <c r="AL282" s="61">
        <v>0</v>
      </c>
      <c r="AM282" s="61">
        <v>0</v>
      </c>
      <c r="AN282" s="61">
        <f t="shared" si="298"/>
        <v>0</v>
      </c>
      <c r="AO282" s="61">
        <v>0</v>
      </c>
      <c r="AP282" s="61">
        <v>0</v>
      </c>
      <c r="AQ282" s="62">
        <f t="shared" si="299"/>
        <v>0</v>
      </c>
      <c r="AR282" s="973">
        <v>0</v>
      </c>
      <c r="AS282" s="973">
        <v>1</v>
      </c>
      <c r="AT282" s="68">
        <v>0</v>
      </c>
      <c r="AU282" s="68">
        <v>0</v>
      </c>
      <c r="AV282" s="68">
        <v>0</v>
      </c>
      <c r="AW282" s="973">
        <f t="shared" ref="AW282" si="302">SUM(AT282:AV282)</f>
        <v>0</v>
      </c>
      <c r="AX282" s="973">
        <v>0</v>
      </c>
      <c r="AY282" s="973">
        <v>2</v>
      </c>
      <c r="AZ282" s="973">
        <v>1</v>
      </c>
      <c r="BA282" s="1012">
        <f t="shared" ref="BA282" si="303">SUM(AX282:AZ282)</f>
        <v>3</v>
      </c>
      <c r="BB282" s="1005">
        <f t="shared" ref="BB282" si="304">SUM(P282,R282,T282,AB282,AJ282,AR282)</f>
        <v>5</v>
      </c>
      <c r="BC282" s="985">
        <f t="shared" ref="BC282" si="305">SUM(Q282,AD282,AT282)</f>
        <v>12</v>
      </c>
      <c r="BD282" s="985">
        <f t="shared" ref="BD282" si="306">SUM(S282,AE282,AL282,AU282)</f>
        <v>32</v>
      </c>
      <c r="BE282" s="985">
        <f t="shared" si="291"/>
        <v>36</v>
      </c>
      <c r="BF282" s="985">
        <f t="shared" si="292"/>
        <v>80</v>
      </c>
      <c r="BG282" s="985">
        <f t="shared" si="293"/>
        <v>1</v>
      </c>
      <c r="BH282" s="985">
        <f t="shared" si="294"/>
        <v>0</v>
      </c>
      <c r="BI282" s="985">
        <f t="shared" si="295"/>
        <v>2</v>
      </c>
      <c r="BJ282" s="985">
        <f t="shared" si="296"/>
        <v>1</v>
      </c>
      <c r="BK282" s="1013">
        <f t="shared" si="297"/>
        <v>3</v>
      </c>
      <c r="BL282" s="55"/>
    </row>
    <row r="283" spans="1:64" s="400" customFormat="1" ht="17.100000000000001" customHeight="1">
      <c r="A283" s="457" t="s">
        <v>2651</v>
      </c>
      <c r="B283" s="53" t="s">
        <v>9</v>
      </c>
      <c r="C283" s="53" t="s">
        <v>9</v>
      </c>
      <c r="D283" s="55" t="s">
        <v>1894</v>
      </c>
      <c r="E283" s="55" t="s">
        <v>4</v>
      </c>
      <c r="F283" s="55" t="s">
        <v>1543</v>
      </c>
      <c r="G283" s="71">
        <v>44256</v>
      </c>
      <c r="H283" s="50" t="s">
        <v>3664</v>
      </c>
      <c r="I283" s="51">
        <v>12683</v>
      </c>
      <c r="J283" s="52">
        <v>22026</v>
      </c>
      <c r="K283" s="53" t="s">
        <v>2779</v>
      </c>
      <c r="L283" s="54" t="s">
        <v>2780</v>
      </c>
      <c r="M283" s="804">
        <v>4</v>
      </c>
      <c r="N283" s="754">
        <v>1</v>
      </c>
      <c r="O283" s="801">
        <v>67</v>
      </c>
      <c r="P283" s="60">
        <v>1</v>
      </c>
      <c r="Q283" s="61">
        <v>12</v>
      </c>
      <c r="R283" s="61">
        <v>1</v>
      </c>
      <c r="S283" s="61">
        <v>17</v>
      </c>
      <c r="T283" s="61">
        <v>2</v>
      </c>
      <c r="U283" s="62">
        <v>34</v>
      </c>
      <c r="V283" s="60">
        <v>0</v>
      </c>
      <c r="W283" s="61">
        <v>0</v>
      </c>
      <c r="X283" s="61">
        <v>0</v>
      </c>
      <c r="Y283" s="61">
        <v>0</v>
      </c>
      <c r="Z283" s="61">
        <v>1</v>
      </c>
      <c r="AA283" s="62">
        <v>2</v>
      </c>
      <c r="AB283" s="63">
        <v>0</v>
      </c>
      <c r="AC283" s="61">
        <v>0</v>
      </c>
      <c r="AD283" s="61">
        <v>0</v>
      </c>
      <c r="AE283" s="61">
        <v>0</v>
      </c>
      <c r="AF283" s="61">
        <f t="shared" si="300"/>
        <v>0</v>
      </c>
      <c r="AG283" s="61">
        <v>0</v>
      </c>
      <c r="AH283" s="61">
        <v>0</v>
      </c>
      <c r="AI283" s="62">
        <f t="shared" si="301"/>
        <v>0</v>
      </c>
      <c r="AJ283" s="63">
        <v>0</v>
      </c>
      <c r="AK283" s="61">
        <v>0</v>
      </c>
      <c r="AL283" s="61">
        <v>0</v>
      </c>
      <c r="AM283" s="61">
        <v>0</v>
      </c>
      <c r="AN283" s="61">
        <f t="shared" si="298"/>
        <v>0</v>
      </c>
      <c r="AO283" s="61">
        <v>0</v>
      </c>
      <c r="AP283" s="61">
        <v>0</v>
      </c>
      <c r="AQ283" s="62">
        <f t="shared" si="299"/>
        <v>0</v>
      </c>
      <c r="AR283" s="955">
        <v>0</v>
      </c>
      <c r="AS283" s="956">
        <v>0</v>
      </c>
      <c r="AT283" s="61">
        <v>0</v>
      </c>
      <c r="AU283" s="61">
        <v>0</v>
      </c>
      <c r="AV283" s="61">
        <v>0</v>
      </c>
      <c r="AW283" s="956">
        <f>SUM(AT283:AV283)</f>
        <v>0</v>
      </c>
      <c r="AX283" s="973">
        <v>0</v>
      </c>
      <c r="AY283" s="973">
        <v>0</v>
      </c>
      <c r="AZ283" s="973">
        <v>0</v>
      </c>
      <c r="BA283" s="957">
        <f>SUM(AX283:AZ283)</f>
        <v>0</v>
      </c>
      <c r="BB283" s="958">
        <f>SUM(P283,R283,T283,AB283,AJ283,AR283)</f>
        <v>4</v>
      </c>
      <c r="BC283" s="959">
        <f>SUM(Q283,AD283,AT283)</f>
        <v>12</v>
      </c>
      <c r="BD283" s="959">
        <f>SUM(S283,AE283,AL283,AU283)</f>
        <v>17</v>
      </c>
      <c r="BE283" s="959">
        <f>SUM(U283,AM283,AV283)</f>
        <v>34</v>
      </c>
      <c r="BF283" s="959">
        <f>SUM(BC283:BE283)</f>
        <v>63</v>
      </c>
      <c r="BG283" s="959">
        <f>SUM(V283,X283,Z283,AC283,AK283,AS283)</f>
        <v>1</v>
      </c>
      <c r="BH283" s="959">
        <f>SUM(W283,AG283,AX283)</f>
        <v>0</v>
      </c>
      <c r="BI283" s="959">
        <f>SUM(Y283,AH283,AO283,AY283)</f>
        <v>0</v>
      </c>
      <c r="BJ283" s="959">
        <f>SUM(AA283,AP283,AZ283)</f>
        <v>2</v>
      </c>
      <c r="BK283" s="977">
        <f>SUM(BH283:BJ283)</f>
        <v>2</v>
      </c>
      <c r="BL283" s="55"/>
    </row>
    <row r="284" spans="1:64" s="400" customFormat="1" ht="17.100000000000001" customHeight="1">
      <c r="A284" s="457" t="s">
        <v>2651</v>
      </c>
      <c r="B284" s="53" t="s">
        <v>9</v>
      </c>
      <c r="C284" s="53" t="s">
        <v>9</v>
      </c>
      <c r="D284" s="55" t="s">
        <v>1895</v>
      </c>
      <c r="E284" s="55" t="s">
        <v>4</v>
      </c>
      <c r="F284" s="55" t="s">
        <v>1544</v>
      </c>
      <c r="G284" s="71">
        <v>44621</v>
      </c>
      <c r="H284" s="50" t="s">
        <v>2781</v>
      </c>
      <c r="I284" s="1014">
        <v>4100.3</v>
      </c>
      <c r="J284" s="52">
        <v>22017</v>
      </c>
      <c r="K284" s="53" t="s">
        <v>2782</v>
      </c>
      <c r="L284" s="54" t="s">
        <v>2783</v>
      </c>
      <c r="M284" s="1015">
        <v>18</v>
      </c>
      <c r="N284" s="737">
        <v>3</v>
      </c>
      <c r="O284" s="1016">
        <v>288</v>
      </c>
      <c r="P284" s="60">
        <v>6</v>
      </c>
      <c r="Q284" s="61">
        <v>68</v>
      </c>
      <c r="R284" s="61">
        <v>6</v>
      </c>
      <c r="S284" s="61">
        <v>98</v>
      </c>
      <c r="T284" s="61">
        <v>6</v>
      </c>
      <c r="U284" s="62">
        <v>110</v>
      </c>
      <c r="V284" s="60">
        <v>1</v>
      </c>
      <c r="W284" s="61">
        <v>4</v>
      </c>
      <c r="X284" s="61">
        <v>1</v>
      </c>
      <c r="Y284" s="61">
        <v>4</v>
      </c>
      <c r="Z284" s="61">
        <v>1</v>
      </c>
      <c r="AA284" s="62">
        <v>4</v>
      </c>
      <c r="AB284" s="989">
        <v>0</v>
      </c>
      <c r="AC284" s="68">
        <v>0</v>
      </c>
      <c r="AD284" s="68">
        <v>0</v>
      </c>
      <c r="AE284" s="60">
        <v>0</v>
      </c>
      <c r="AF284" s="61">
        <f t="shared" si="300"/>
        <v>0</v>
      </c>
      <c r="AG284" s="61">
        <v>0</v>
      </c>
      <c r="AH284" s="61">
        <v>0</v>
      </c>
      <c r="AI284" s="62">
        <f t="shared" si="301"/>
        <v>0</v>
      </c>
      <c r="AJ284" s="63">
        <v>0</v>
      </c>
      <c r="AK284" s="61">
        <v>0</v>
      </c>
      <c r="AL284" s="61">
        <v>0</v>
      </c>
      <c r="AM284" s="61">
        <v>0</v>
      </c>
      <c r="AN284" s="61">
        <f t="shared" si="298"/>
        <v>0</v>
      </c>
      <c r="AO284" s="61">
        <v>0</v>
      </c>
      <c r="AP284" s="61">
        <v>0</v>
      </c>
      <c r="AQ284" s="62">
        <f t="shared" si="299"/>
        <v>0</v>
      </c>
      <c r="AR284" s="955">
        <v>0</v>
      </c>
      <c r="AS284" s="956">
        <v>0</v>
      </c>
      <c r="AT284" s="61">
        <v>0</v>
      </c>
      <c r="AU284" s="61">
        <v>0</v>
      </c>
      <c r="AV284" s="61">
        <v>0</v>
      </c>
      <c r="AW284" s="955">
        <v>0</v>
      </c>
      <c r="AX284" s="955">
        <v>0</v>
      </c>
      <c r="AY284" s="955">
        <v>0</v>
      </c>
      <c r="AZ284" s="955">
        <v>0</v>
      </c>
      <c r="BA284" s="1000">
        <v>0</v>
      </c>
      <c r="BB284" s="1005">
        <f>SUM(P284,R284,T284,AB284,AJ284,AR284)</f>
        <v>18</v>
      </c>
      <c r="BC284" s="959">
        <f>SUM(Q284,AD284,AT284)</f>
        <v>68</v>
      </c>
      <c r="BD284" s="959">
        <f>SUM(S284,AE284,AL284,AU284)</f>
        <v>98</v>
      </c>
      <c r="BE284" s="959">
        <f>SUM(U284,AM284,AV284)</f>
        <v>110</v>
      </c>
      <c r="BF284" s="959">
        <f>SUM(BC284:BE284)</f>
        <v>276</v>
      </c>
      <c r="BG284" s="959">
        <f>SUM(V284,X284,Z284,AC284,AK284,AS284)</f>
        <v>3</v>
      </c>
      <c r="BH284" s="959">
        <f>SUM(W284,AG284,AX284)</f>
        <v>4</v>
      </c>
      <c r="BI284" s="959">
        <f>SUM(Y284,AH284,AO284,AY284)</f>
        <v>4</v>
      </c>
      <c r="BJ284" s="959">
        <f>SUM(AA284,AP284,AZ284)</f>
        <v>4</v>
      </c>
      <c r="BK284" s="977">
        <f>SUM(BH284:BJ284)</f>
        <v>12</v>
      </c>
      <c r="BL284" s="55"/>
    </row>
    <row r="285" spans="1:64" s="400" customFormat="1" ht="17.100000000000001" customHeight="1">
      <c r="A285" s="457" t="s">
        <v>2651</v>
      </c>
      <c r="B285" s="53" t="s">
        <v>9</v>
      </c>
      <c r="C285" s="53" t="s">
        <v>9</v>
      </c>
      <c r="D285" s="53" t="s">
        <v>1547</v>
      </c>
      <c r="E285" s="55" t="s">
        <v>4</v>
      </c>
      <c r="F285" s="53" t="s">
        <v>1545</v>
      </c>
      <c r="G285" s="71">
        <v>43525</v>
      </c>
      <c r="H285" s="50" t="s">
        <v>3665</v>
      </c>
      <c r="I285" s="51">
        <v>17986</v>
      </c>
      <c r="J285" s="52">
        <v>22017</v>
      </c>
      <c r="K285" s="53" t="s">
        <v>3666</v>
      </c>
      <c r="L285" s="54" t="s">
        <v>3667</v>
      </c>
      <c r="M285" s="57">
        <v>5</v>
      </c>
      <c r="N285" s="58">
        <v>0</v>
      </c>
      <c r="O285" s="59">
        <v>84</v>
      </c>
      <c r="P285" s="60">
        <v>1</v>
      </c>
      <c r="Q285" s="61">
        <v>12</v>
      </c>
      <c r="R285" s="61">
        <v>2</v>
      </c>
      <c r="S285" s="61">
        <v>34</v>
      </c>
      <c r="T285" s="61">
        <v>2</v>
      </c>
      <c r="U285" s="62">
        <v>38</v>
      </c>
      <c r="V285" s="60">
        <v>0</v>
      </c>
      <c r="W285" s="61">
        <v>0</v>
      </c>
      <c r="X285" s="61">
        <v>0</v>
      </c>
      <c r="Y285" s="61">
        <v>0</v>
      </c>
      <c r="Z285" s="61">
        <v>0</v>
      </c>
      <c r="AA285" s="62">
        <v>0</v>
      </c>
      <c r="AB285" s="63">
        <v>0</v>
      </c>
      <c r="AC285" s="61">
        <v>0</v>
      </c>
      <c r="AD285" s="61">
        <v>0</v>
      </c>
      <c r="AE285" s="61">
        <v>0</v>
      </c>
      <c r="AF285" s="61">
        <f t="shared" si="300"/>
        <v>0</v>
      </c>
      <c r="AG285" s="61">
        <v>0</v>
      </c>
      <c r="AH285" s="61">
        <v>0</v>
      </c>
      <c r="AI285" s="62">
        <f t="shared" si="301"/>
        <v>0</v>
      </c>
      <c r="AJ285" s="63">
        <v>0</v>
      </c>
      <c r="AK285" s="61">
        <v>0</v>
      </c>
      <c r="AL285" s="61">
        <v>0</v>
      </c>
      <c r="AM285" s="61">
        <v>0</v>
      </c>
      <c r="AN285" s="61">
        <f t="shared" si="298"/>
        <v>0</v>
      </c>
      <c r="AO285" s="61">
        <v>0</v>
      </c>
      <c r="AP285" s="61">
        <v>0</v>
      </c>
      <c r="AQ285" s="62">
        <f t="shared" si="299"/>
        <v>0</v>
      </c>
      <c r="AR285" s="955">
        <v>0</v>
      </c>
      <c r="AS285" s="956">
        <v>0</v>
      </c>
      <c r="AT285" s="61">
        <v>0</v>
      </c>
      <c r="AU285" s="61">
        <v>0</v>
      </c>
      <c r="AV285" s="61">
        <v>0</v>
      </c>
      <c r="AW285" s="956">
        <f>SUM(AT285:AV285)</f>
        <v>0</v>
      </c>
      <c r="AX285" s="955">
        <v>0</v>
      </c>
      <c r="AY285" s="955">
        <v>0</v>
      </c>
      <c r="AZ285" s="955">
        <v>0</v>
      </c>
      <c r="BA285" s="957">
        <f>SUM(AX285:AZ285)</f>
        <v>0</v>
      </c>
      <c r="BB285" s="958">
        <f>SUM(P285,R285,T285,AB285,AJ285,AR285)</f>
        <v>5</v>
      </c>
      <c r="BC285" s="959">
        <f>SUM(Q285,AD285,AT285)</f>
        <v>12</v>
      </c>
      <c r="BD285" s="959">
        <f>SUM(S285,AE285,AL285,AU285)</f>
        <v>34</v>
      </c>
      <c r="BE285" s="959">
        <f>SUM(U285,AM285,AV285)</f>
        <v>38</v>
      </c>
      <c r="BF285" s="959">
        <f>SUM(BC285:BE285)</f>
        <v>84</v>
      </c>
      <c r="BG285" s="959">
        <f>SUM(V285,X285,Z285,AC285,AK285,AS285)</f>
        <v>0</v>
      </c>
      <c r="BH285" s="959">
        <f>SUM(W285,AG285,AX285)</f>
        <v>0</v>
      </c>
      <c r="BI285" s="959">
        <f>SUM(Y285,AH285,AO285,AY285)</f>
        <v>0</v>
      </c>
      <c r="BJ285" s="959">
        <f>SUM(AA285,AP285,AZ285)</f>
        <v>0</v>
      </c>
      <c r="BK285" s="977">
        <f>SUM(BH285:BJ285)</f>
        <v>0</v>
      </c>
      <c r="BL285" s="55"/>
    </row>
    <row r="286" spans="1:64" s="400" customFormat="1" ht="17.100000000000001" customHeight="1">
      <c r="A286" s="457" t="s">
        <v>2651</v>
      </c>
      <c r="B286" s="53" t="s">
        <v>2766</v>
      </c>
      <c r="C286" s="53" t="s">
        <v>2766</v>
      </c>
      <c r="D286" s="53" t="s">
        <v>2784</v>
      </c>
      <c r="E286" s="55" t="s">
        <v>4</v>
      </c>
      <c r="F286" s="53" t="s">
        <v>2785</v>
      </c>
      <c r="G286" s="71">
        <v>44256</v>
      </c>
      <c r="H286" s="50" t="s">
        <v>3668</v>
      </c>
      <c r="I286" s="51">
        <v>16623</v>
      </c>
      <c r="J286" s="52">
        <v>22023</v>
      </c>
      <c r="K286" s="53" t="s">
        <v>3669</v>
      </c>
      <c r="L286" s="54" t="s">
        <v>3670</v>
      </c>
      <c r="M286" s="57">
        <v>4</v>
      </c>
      <c r="N286" s="58">
        <v>1</v>
      </c>
      <c r="O286" s="59">
        <v>67</v>
      </c>
      <c r="P286" s="60">
        <v>1</v>
      </c>
      <c r="Q286" s="61">
        <v>10</v>
      </c>
      <c r="R286" s="61">
        <v>1</v>
      </c>
      <c r="S286" s="61">
        <v>15</v>
      </c>
      <c r="T286" s="61">
        <v>2</v>
      </c>
      <c r="U286" s="62">
        <v>33</v>
      </c>
      <c r="V286" s="60">
        <v>0</v>
      </c>
      <c r="W286" s="61">
        <v>0</v>
      </c>
      <c r="X286" s="61">
        <v>0</v>
      </c>
      <c r="Y286" s="61">
        <v>0</v>
      </c>
      <c r="Z286" s="61">
        <v>0</v>
      </c>
      <c r="AA286" s="62">
        <v>0</v>
      </c>
      <c r="AB286" s="63">
        <v>0</v>
      </c>
      <c r="AC286" s="61">
        <v>1</v>
      </c>
      <c r="AD286" s="61">
        <v>0</v>
      </c>
      <c r="AE286" s="61">
        <v>0</v>
      </c>
      <c r="AF286" s="61">
        <f t="shared" si="300"/>
        <v>0</v>
      </c>
      <c r="AG286" s="61">
        <v>2</v>
      </c>
      <c r="AH286" s="61">
        <v>1</v>
      </c>
      <c r="AI286" s="62">
        <f>SUM(AG286:AH286)</f>
        <v>3</v>
      </c>
      <c r="AJ286" s="63">
        <v>0</v>
      </c>
      <c r="AK286" s="61">
        <v>0</v>
      </c>
      <c r="AL286" s="61">
        <v>0</v>
      </c>
      <c r="AM286" s="61">
        <v>0</v>
      </c>
      <c r="AN286" s="61">
        <f t="shared" si="298"/>
        <v>0</v>
      </c>
      <c r="AO286" s="61">
        <v>0</v>
      </c>
      <c r="AP286" s="61">
        <v>0</v>
      </c>
      <c r="AQ286" s="62">
        <f t="shared" si="299"/>
        <v>0</v>
      </c>
      <c r="AR286" s="955">
        <v>0</v>
      </c>
      <c r="AS286" s="956">
        <v>0</v>
      </c>
      <c r="AT286" s="61">
        <v>0</v>
      </c>
      <c r="AU286" s="61">
        <v>0</v>
      </c>
      <c r="AV286" s="61">
        <v>0</v>
      </c>
      <c r="AW286" s="956">
        <f>SUM(AT286:AV286)</f>
        <v>0</v>
      </c>
      <c r="AX286" s="955">
        <v>0</v>
      </c>
      <c r="AY286" s="955">
        <v>0</v>
      </c>
      <c r="AZ286" s="955">
        <v>0</v>
      </c>
      <c r="BA286" s="957">
        <f>SUM(AX286:AZ286)</f>
        <v>0</v>
      </c>
      <c r="BB286" s="958">
        <f>SUM(P286,R286,T286,AB286,AJ286,AR286)</f>
        <v>4</v>
      </c>
      <c r="BC286" s="959">
        <f>SUM(Q286,AD286,AT286)</f>
        <v>10</v>
      </c>
      <c r="BD286" s="959">
        <f>SUM(S286,AE286,AL286,AU286)</f>
        <v>15</v>
      </c>
      <c r="BE286" s="959">
        <f>SUM(U286,AM286,AV286)</f>
        <v>33</v>
      </c>
      <c r="BF286" s="959">
        <f>SUM(BC286:BE286)</f>
        <v>58</v>
      </c>
      <c r="BG286" s="959">
        <v>1</v>
      </c>
      <c r="BH286" s="959">
        <v>2</v>
      </c>
      <c r="BI286" s="959">
        <v>1</v>
      </c>
      <c r="BJ286" s="959">
        <f>SUM(AA286,AP286,AZ286)</f>
        <v>0</v>
      </c>
      <c r="BK286" s="977">
        <f>SUM(BH286:BJ286)</f>
        <v>3</v>
      </c>
      <c r="BL286" s="55"/>
    </row>
    <row r="287" spans="1:64" s="400" customFormat="1" ht="17.100000000000001" customHeight="1">
      <c r="A287" s="457" t="s">
        <v>2651</v>
      </c>
      <c r="B287" s="53" t="s">
        <v>9</v>
      </c>
      <c r="C287" s="53" t="s">
        <v>9</v>
      </c>
      <c r="D287" s="53" t="s">
        <v>2784</v>
      </c>
      <c r="E287" s="55" t="s">
        <v>4</v>
      </c>
      <c r="F287" s="53" t="s">
        <v>2786</v>
      </c>
      <c r="G287" s="392">
        <v>43891</v>
      </c>
      <c r="H287" s="50" t="s">
        <v>2787</v>
      </c>
      <c r="I287" s="51">
        <v>17767</v>
      </c>
      <c r="J287" s="52">
        <v>22019</v>
      </c>
      <c r="K287" s="53" t="s">
        <v>2788</v>
      </c>
      <c r="L287" s="54" t="s">
        <v>3671</v>
      </c>
      <c r="M287" s="57">
        <v>4</v>
      </c>
      <c r="N287" s="58">
        <v>1</v>
      </c>
      <c r="O287" s="59">
        <v>67</v>
      </c>
      <c r="P287" s="60">
        <v>1</v>
      </c>
      <c r="Q287" s="61">
        <v>12</v>
      </c>
      <c r="R287" s="61">
        <v>1</v>
      </c>
      <c r="S287" s="61">
        <v>15</v>
      </c>
      <c r="T287" s="61">
        <v>2</v>
      </c>
      <c r="U287" s="62">
        <v>36</v>
      </c>
      <c r="V287" s="60">
        <v>0</v>
      </c>
      <c r="W287" s="61">
        <v>0</v>
      </c>
      <c r="X287" s="61">
        <v>0</v>
      </c>
      <c r="Y287" s="61">
        <v>0</v>
      </c>
      <c r="Z287" s="61">
        <v>0</v>
      </c>
      <c r="AA287" s="62">
        <v>0</v>
      </c>
      <c r="AB287" s="63">
        <v>0</v>
      </c>
      <c r="AC287" s="61">
        <v>0</v>
      </c>
      <c r="AD287" s="61">
        <v>0</v>
      </c>
      <c r="AE287" s="61">
        <v>0</v>
      </c>
      <c r="AF287" s="61">
        <f>SUM(AD287:AE287)</f>
        <v>0</v>
      </c>
      <c r="AG287" s="61">
        <v>0</v>
      </c>
      <c r="AH287" s="61">
        <v>0</v>
      </c>
      <c r="AI287" s="62">
        <f>SUM(AG287:AH287)</f>
        <v>0</v>
      </c>
      <c r="AJ287" s="63">
        <v>0</v>
      </c>
      <c r="AK287" s="61">
        <v>1</v>
      </c>
      <c r="AL287" s="61">
        <v>0</v>
      </c>
      <c r="AM287" s="61">
        <v>0</v>
      </c>
      <c r="AN287" s="61">
        <f>SUM(AL287:AM287)</f>
        <v>0</v>
      </c>
      <c r="AO287" s="61">
        <v>2</v>
      </c>
      <c r="AP287" s="61">
        <v>2</v>
      </c>
      <c r="AQ287" s="62">
        <f>SUM(AO287:AP287)</f>
        <v>4</v>
      </c>
      <c r="AR287" s="955">
        <v>0</v>
      </c>
      <c r="AS287" s="956">
        <v>0</v>
      </c>
      <c r="AT287" s="61">
        <v>0</v>
      </c>
      <c r="AU287" s="61">
        <v>0</v>
      </c>
      <c r="AV287" s="61">
        <v>0</v>
      </c>
      <c r="AW287" s="956">
        <f>SUM(AT287:AV287)</f>
        <v>0</v>
      </c>
      <c r="AX287" s="955">
        <v>0</v>
      </c>
      <c r="AY287" s="955">
        <v>0</v>
      </c>
      <c r="AZ287" s="955">
        <v>0</v>
      </c>
      <c r="BA287" s="957">
        <f>SUM(AX287:AZ287)</f>
        <v>0</v>
      </c>
      <c r="BB287" s="958">
        <f>SUM(P287,R287,T287,AB287,AJ287,AR287)</f>
        <v>4</v>
      </c>
      <c r="BC287" s="959">
        <f>SUM(Q287,AD287,AT287)</f>
        <v>12</v>
      </c>
      <c r="BD287" s="959">
        <f>SUM(S287,AE287,AL287,AU287)</f>
        <v>15</v>
      </c>
      <c r="BE287" s="959">
        <f>SUM(U287,AM287,AV287)</f>
        <v>36</v>
      </c>
      <c r="BF287" s="959">
        <f>SUM(BC287:BE287)</f>
        <v>63</v>
      </c>
      <c r="BG287" s="959">
        <f>SUM(V287,X287,Z287,AC287,AK287,AS287)</f>
        <v>1</v>
      </c>
      <c r="BH287" s="959">
        <f>SUM(W287,AG287,AX287)</f>
        <v>0</v>
      </c>
      <c r="BI287" s="959">
        <f>SUM(Y287,AH287,AO287,AY287)</f>
        <v>2</v>
      </c>
      <c r="BJ287" s="959">
        <f>SUM(AA287,AP287,AZ287)</f>
        <v>2</v>
      </c>
      <c r="BK287" s="959">
        <f>SUM(BH287:BJ287)</f>
        <v>4</v>
      </c>
      <c r="BL287" s="53"/>
    </row>
    <row r="288" spans="1:64" s="43" customFormat="1" ht="17.100000000000001" customHeight="1">
      <c r="A288" s="1611" t="s">
        <v>1546</v>
      </c>
      <c r="B288" s="1612"/>
      <c r="C288" s="1612"/>
      <c r="D288" s="1613"/>
      <c r="E288" s="401">
        <f>COUNTA(E266:E287)</f>
        <v>22</v>
      </c>
      <c r="F288" s="285"/>
      <c r="G288" s="402"/>
      <c r="H288" s="181"/>
      <c r="I288" s="403"/>
      <c r="J288" s="287"/>
      <c r="K288" s="285"/>
      <c r="L288" s="288"/>
      <c r="M288" s="404">
        <f t="shared" ref="M288:AR288" si="307">SUM(M266:M287)</f>
        <v>116</v>
      </c>
      <c r="N288" s="405">
        <f t="shared" si="307"/>
        <v>17</v>
      </c>
      <c r="O288" s="406">
        <f t="shared" si="307"/>
        <v>1900</v>
      </c>
      <c r="P288" s="407">
        <f t="shared" si="307"/>
        <v>32</v>
      </c>
      <c r="Q288" s="408">
        <f t="shared" si="307"/>
        <v>367</v>
      </c>
      <c r="R288" s="408">
        <f t="shared" si="307"/>
        <v>39</v>
      </c>
      <c r="S288" s="408">
        <f t="shared" si="307"/>
        <v>603</v>
      </c>
      <c r="T288" s="408">
        <f t="shared" si="307"/>
        <v>44</v>
      </c>
      <c r="U288" s="409">
        <f t="shared" si="307"/>
        <v>761</v>
      </c>
      <c r="V288" s="410">
        <f t="shared" si="307"/>
        <v>3</v>
      </c>
      <c r="W288" s="408">
        <f t="shared" si="307"/>
        <v>12</v>
      </c>
      <c r="X288" s="408">
        <f t="shared" si="307"/>
        <v>4</v>
      </c>
      <c r="Y288" s="408">
        <f t="shared" si="307"/>
        <v>15</v>
      </c>
      <c r="Z288" s="408">
        <f t="shared" si="307"/>
        <v>4</v>
      </c>
      <c r="AA288" s="408">
        <f t="shared" si="307"/>
        <v>13</v>
      </c>
      <c r="AB288" s="407">
        <f t="shared" si="307"/>
        <v>1</v>
      </c>
      <c r="AC288" s="408">
        <f t="shared" si="307"/>
        <v>2</v>
      </c>
      <c r="AD288" s="408">
        <f t="shared" si="307"/>
        <v>2</v>
      </c>
      <c r="AE288" s="408">
        <f t="shared" si="307"/>
        <v>0</v>
      </c>
      <c r="AF288" s="408">
        <f t="shared" si="307"/>
        <v>2</v>
      </c>
      <c r="AG288" s="408">
        <f t="shared" si="307"/>
        <v>4</v>
      </c>
      <c r="AH288" s="408">
        <f t="shared" si="307"/>
        <v>2</v>
      </c>
      <c r="AI288" s="409">
        <f t="shared" si="307"/>
        <v>3</v>
      </c>
      <c r="AJ288" s="407">
        <f t="shared" si="307"/>
        <v>0</v>
      </c>
      <c r="AK288" s="408">
        <f t="shared" si="307"/>
        <v>3</v>
      </c>
      <c r="AL288" s="408">
        <f t="shared" si="307"/>
        <v>0</v>
      </c>
      <c r="AM288" s="408">
        <f t="shared" si="307"/>
        <v>0</v>
      </c>
      <c r="AN288" s="408">
        <f t="shared" si="307"/>
        <v>0</v>
      </c>
      <c r="AO288" s="408">
        <f t="shared" si="307"/>
        <v>5</v>
      </c>
      <c r="AP288" s="408">
        <f t="shared" si="307"/>
        <v>4</v>
      </c>
      <c r="AQ288" s="409">
        <f t="shared" si="307"/>
        <v>9</v>
      </c>
      <c r="AR288" s="411">
        <f t="shared" si="307"/>
        <v>0</v>
      </c>
      <c r="AS288" s="412">
        <f t="shared" ref="AS288:BK288" si="308">SUM(AS266:AS287)</f>
        <v>1</v>
      </c>
      <c r="AT288" s="412">
        <f t="shared" si="308"/>
        <v>0</v>
      </c>
      <c r="AU288" s="412">
        <f t="shared" si="308"/>
        <v>0</v>
      </c>
      <c r="AV288" s="412">
        <f t="shared" si="308"/>
        <v>0</v>
      </c>
      <c r="AW288" s="412">
        <f t="shared" si="308"/>
        <v>0</v>
      </c>
      <c r="AX288" s="412">
        <f t="shared" si="308"/>
        <v>0</v>
      </c>
      <c r="AY288" s="412">
        <f t="shared" si="308"/>
        <v>2</v>
      </c>
      <c r="AZ288" s="412">
        <f t="shared" si="308"/>
        <v>1</v>
      </c>
      <c r="BA288" s="413">
        <f t="shared" si="308"/>
        <v>3</v>
      </c>
      <c r="BB288" s="414">
        <f t="shared" si="308"/>
        <v>116</v>
      </c>
      <c r="BC288" s="415">
        <f t="shared" si="308"/>
        <v>369</v>
      </c>
      <c r="BD288" s="415">
        <f t="shared" si="308"/>
        <v>603</v>
      </c>
      <c r="BE288" s="415">
        <f t="shared" si="308"/>
        <v>761</v>
      </c>
      <c r="BF288" s="415">
        <f t="shared" si="308"/>
        <v>1733</v>
      </c>
      <c r="BG288" s="415">
        <f t="shared" si="308"/>
        <v>17</v>
      </c>
      <c r="BH288" s="415">
        <f t="shared" si="308"/>
        <v>16</v>
      </c>
      <c r="BI288" s="415">
        <f t="shared" si="308"/>
        <v>24</v>
      </c>
      <c r="BJ288" s="415">
        <f t="shared" si="308"/>
        <v>18</v>
      </c>
      <c r="BK288" s="416">
        <f t="shared" si="308"/>
        <v>58</v>
      </c>
      <c r="BL288" s="417"/>
    </row>
    <row r="289" spans="1:64" s="43" customFormat="1" ht="17.100000000000001" customHeight="1">
      <c r="A289" s="762" t="s">
        <v>1531</v>
      </c>
      <c r="B289" s="751" t="s">
        <v>9</v>
      </c>
      <c r="C289" s="751" t="s">
        <v>9</v>
      </c>
      <c r="D289" s="751" t="s">
        <v>1661</v>
      </c>
      <c r="E289" s="53" t="s">
        <v>5</v>
      </c>
      <c r="F289" s="1017" t="s">
        <v>1635</v>
      </c>
      <c r="G289" s="1018">
        <v>35125</v>
      </c>
      <c r="H289" s="50" t="s">
        <v>1864</v>
      </c>
      <c r="I289" s="51">
        <v>720</v>
      </c>
      <c r="J289" s="52">
        <v>21969</v>
      </c>
      <c r="K289" s="53" t="s">
        <v>3672</v>
      </c>
      <c r="L289" s="54" t="s">
        <v>3673</v>
      </c>
      <c r="M289" s="57">
        <v>4</v>
      </c>
      <c r="N289" s="58">
        <v>0</v>
      </c>
      <c r="O289" s="59">
        <v>130</v>
      </c>
      <c r="P289" s="60">
        <v>2</v>
      </c>
      <c r="Q289" s="61">
        <v>23</v>
      </c>
      <c r="R289" s="61">
        <v>1</v>
      </c>
      <c r="S289" s="61">
        <v>28</v>
      </c>
      <c r="T289" s="61">
        <v>1</v>
      </c>
      <c r="U289" s="62">
        <v>34</v>
      </c>
      <c r="V289" s="60"/>
      <c r="W289" s="61"/>
      <c r="X289" s="61"/>
      <c r="Y289" s="61"/>
      <c r="Z289" s="61"/>
      <c r="AA289" s="62"/>
      <c r="AB289" s="63"/>
      <c r="AC289" s="61"/>
      <c r="AD289" s="61"/>
      <c r="AE289" s="61"/>
      <c r="AF289" s="61">
        <f t="shared" ref="AF289:AF316" si="309">SUM(AD289:AE289)</f>
        <v>0</v>
      </c>
      <c r="AG289" s="61"/>
      <c r="AH289" s="61"/>
      <c r="AI289" s="62">
        <f t="shared" ref="AI289:AI316" si="310">SUM(AG289:AH289)</f>
        <v>0</v>
      </c>
      <c r="AJ289" s="63"/>
      <c r="AK289" s="61"/>
      <c r="AL289" s="61"/>
      <c r="AM289" s="61"/>
      <c r="AN289" s="61">
        <f t="shared" ref="AN289:AN316" si="311">SUM(AL289:AM289)</f>
        <v>0</v>
      </c>
      <c r="AO289" s="61"/>
      <c r="AP289" s="61"/>
      <c r="AQ289" s="62">
        <f t="shared" ref="AQ289:AQ316" si="312">SUM(AO289:AP289)</f>
        <v>0</v>
      </c>
      <c r="AR289" s="955"/>
      <c r="AS289" s="956"/>
      <c r="AT289" s="61"/>
      <c r="AU289" s="61"/>
      <c r="AV289" s="61"/>
      <c r="AW289" s="956">
        <f t="shared" ref="AW289:AW316" si="313">SUM(AT289:AV289)</f>
        <v>0</v>
      </c>
      <c r="AX289" s="956"/>
      <c r="AY289" s="956"/>
      <c r="AZ289" s="956"/>
      <c r="BA289" s="957">
        <f t="shared" ref="BA289:BA316" si="314">SUM(AX289:AZ289)</f>
        <v>0</v>
      </c>
      <c r="BB289" s="958">
        <f t="shared" ref="BB289:BB316" si="315">SUM(P289,R289,T289,AB289,AJ289,AR289)</f>
        <v>4</v>
      </c>
      <c r="BC289" s="959">
        <f>SUM(Q289,AD289,AT289)</f>
        <v>23</v>
      </c>
      <c r="BD289" s="959">
        <f>SUM(S289,AE289,AL289,AU289)</f>
        <v>28</v>
      </c>
      <c r="BE289" s="959">
        <f>SUM(U289,AM289,AV289)</f>
        <v>34</v>
      </c>
      <c r="BF289" s="959">
        <f>SUM(BC289:BE289)</f>
        <v>85</v>
      </c>
      <c r="BG289" s="959">
        <f>SUM(V289,X289,Z289,AC289,AK289,AS289)</f>
        <v>0</v>
      </c>
      <c r="BH289" s="959">
        <f>SUM(W289,AG289,AX289)</f>
        <v>0</v>
      </c>
      <c r="BI289" s="959">
        <f>SUM(Y289,AH289,AO289,AY289)</f>
        <v>0</v>
      </c>
      <c r="BJ289" s="959">
        <f>SUM(AA289,AP289,AZ289)</f>
        <v>0</v>
      </c>
      <c r="BK289" s="959">
        <f>SUM(BH289:BJ289)</f>
        <v>0</v>
      </c>
      <c r="BL289" s="53"/>
    </row>
    <row r="290" spans="1:64" s="43" customFormat="1" ht="17.100000000000001" customHeight="1">
      <c r="A290" s="762" t="s">
        <v>1531</v>
      </c>
      <c r="B290" s="751" t="s">
        <v>9</v>
      </c>
      <c r="C290" s="751" t="s">
        <v>9</v>
      </c>
      <c r="D290" s="751" t="s">
        <v>1661</v>
      </c>
      <c r="E290" s="55" t="s">
        <v>2529</v>
      </c>
      <c r="F290" s="751" t="s">
        <v>1636</v>
      </c>
      <c r="G290" s="1018">
        <v>39873</v>
      </c>
      <c r="H290" s="50" t="s">
        <v>1865</v>
      </c>
      <c r="I290" s="760">
        <v>518</v>
      </c>
      <c r="J290" s="52">
        <v>21966</v>
      </c>
      <c r="K290" s="55" t="s">
        <v>3674</v>
      </c>
      <c r="L290" s="56" t="s">
        <v>3675</v>
      </c>
      <c r="M290" s="64">
        <v>9</v>
      </c>
      <c r="N290" s="65">
        <v>0</v>
      </c>
      <c r="O290" s="66">
        <v>146</v>
      </c>
      <c r="P290" s="67">
        <v>1</v>
      </c>
      <c r="Q290" s="68">
        <v>13</v>
      </c>
      <c r="R290" s="68">
        <v>3</v>
      </c>
      <c r="S290" s="68">
        <v>65</v>
      </c>
      <c r="T290" s="68">
        <v>3</v>
      </c>
      <c r="U290" s="69">
        <v>61</v>
      </c>
      <c r="V290" s="67"/>
      <c r="W290" s="68"/>
      <c r="X290" s="68"/>
      <c r="Y290" s="68"/>
      <c r="Z290" s="68"/>
      <c r="AA290" s="69"/>
      <c r="AB290" s="70"/>
      <c r="AC290" s="68"/>
      <c r="AD290" s="68"/>
      <c r="AE290" s="68"/>
      <c r="AF290" s="68">
        <f t="shared" si="309"/>
        <v>0</v>
      </c>
      <c r="AG290" s="68"/>
      <c r="AH290" s="68"/>
      <c r="AI290" s="69">
        <f t="shared" si="310"/>
        <v>0</v>
      </c>
      <c r="AJ290" s="70"/>
      <c r="AK290" s="68"/>
      <c r="AL290" s="68"/>
      <c r="AM290" s="68"/>
      <c r="AN290" s="68">
        <f t="shared" si="311"/>
        <v>0</v>
      </c>
      <c r="AO290" s="68"/>
      <c r="AP290" s="68"/>
      <c r="AQ290" s="69">
        <f t="shared" si="312"/>
        <v>0</v>
      </c>
      <c r="AR290" s="972"/>
      <c r="AS290" s="973"/>
      <c r="AT290" s="68"/>
      <c r="AU290" s="68"/>
      <c r="AV290" s="68"/>
      <c r="AW290" s="973">
        <f t="shared" si="313"/>
        <v>0</v>
      </c>
      <c r="AX290" s="973"/>
      <c r="AY290" s="973"/>
      <c r="AZ290" s="973"/>
      <c r="BA290" s="974">
        <f t="shared" si="314"/>
        <v>0</v>
      </c>
      <c r="BB290" s="975">
        <f t="shared" si="315"/>
        <v>7</v>
      </c>
      <c r="BC290" s="959">
        <f t="shared" ref="BC290:BC316" si="316">SUM(Q290,AD290,AT290)</f>
        <v>13</v>
      </c>
      <c r="BD290" s="959">
        <f t="shared" ref="BD290:BD316" si="317">SUM(S290,AE290,AL290,AU290)</f>
        <v>65</v>
      </c>
      <c r="BE290" s="959">
        <f t="shared" ref="BE290:BE316" si="318">SUM(U290,AM290,AV290)</f>
        <v>61</v>
      </c>
      <c r="BF290" s="959">
        <f t="shared" ref="BF290:BF316" si="319">SUM(BC290:BE290)</f>
        <v>139</v>
      </c>
      <c r="BG290" s="959">
        <f t="shared" ref="BG290:BG316" si="320">SUM(V290,X290,Z290,AC290,AK290,AS290)</f>
        <v>0</v>
      </c>
      <c r="BH290" s="959">
        <f t="shared" ref="BH290:BH316" si="321">SUM(W290,AG290,AX290)</f>
        <v>0</v>
      </c>
      <c r="BI290" s="959">
        <f t="shared" ref="BI290:BI316" si="322">SUM(Y290,AH290,AO290,AY290)</f>
        <v>0</v>
      </c>
      <c r="BJ290" s="959">
        <f t="shared" ref="BJ290:BJ316" si="323">SUM(AA290,AP290,AZ290)</f>
        <v>0</v>
      </c>
      <c r="BK290" s="959">
        <f t="shared" ref="BK290:BK316" si="324">SUM(BH290:BJ290)</f>
        <v>0</v>
      </c>
      <c r="BL290" s="55"/>
    </row>
    <row r="291" spans="1:64" s="43" customFormat="1" ht="17.100000000000001" customHeight="1">
      <c r="A291" s="762" t="s">
        <v>1531</v>
      </c>
      <c r="B291" s="751" t="s">
        <v>9</v>
      </c>
      <c r="C291" s="751" t="s">
        <v>9</v>
      </c>
      <c r="D291" s="751" t="s">
        <v>1662</v>
      </c>
      <c r="E291" s="55" t="s">
        <v>2529</v>
      </c>
      <c r="F291" s="1017" t="s">
        <v>1638</v>
      </c>
      <c r="G291" s="1018">
        <v>34759</v>
      </c>
      <c r="H291" s="50" t="s">
        <v>3676</v>
      </c>
      <c r="I291" s="760">
        <v>965</v>
      </c>
      <c r="J291" s="52">
        <v>21977</v>
      </c>
      <c r="K291" s="55" t="s">
        <v>3677</v>
      </c>
      <c r="L291" s="56" t="s">
        <v>1863</v>
      </c>
      <c r="M291" s="64">
        <v>5</v>
      </c>
      <c r="N291" s="65">
        <v>0</v>
      </c>
      <c r="O291" s="66">
        <v>160</v>
      </c>
      <c r="P291" s="67">
        <v>2</v>
      </c>
      <c r="Q291" s="68">
        <v>28</v>
      </c>
      <c r="R291" s="68">
        <v>2</v>
      </c>
      <c r="S291" s="68">
        <v>36</v>
      </c>
      <c r="T291" s="68">
        <v>1</v>
      </c>
      <c r="U291" s="69">
        <v>28</v>
      </c>
      <c r="V291" s="67"/>
      <c r="W291" s="68"/>
      <c r="X291" s="68"/>
      <c r="Y291" s="68"/>
      <c r="Z291" s="68"/>
      <c r="AA291" s="69"/>
      <c r="AB291" s="70"/>
      <c r="AC291" s="68"/>
      <c r="AD291" s="68"/>
      <c r="AE291" s="68"/>
      <c r="AF291" s="68">
        <f t="shared" si="309"/>
        <v>0</v>
      </c>
      <c r="AG291" s="68"/>
      <c r="AH291" s="68"/>
      <c r="AI291" s="69">
        <f t="shared" si="310"/>
        <v>0</v>
      </c>
      <c r="AJ291" s="70"/>
      <c r="AK291" s="68"/>
      <c r="AL291" s="68"/>
      <c r="AM291" s="68"/>
      <c r="AN291" s="68">
        <f t="shared" si="311"/>
        <v>0</v>
      </c>
      <c r="AO291" s="68"/>
      <c r="AP291" s="68"/>
      <c r="AQ291" s="69">
        <f t="shared" si="312"/>
        <v>0</v>
      </c>
      <c r="AR291" s="972"/>
      <c r="AS291" s="973"/>
      <c r="AT291" s="68"/>
      <c r="AU291" s="68"/>
      <c r="AV291" s="68"/>
      <c r="AW291" s="973">
        <f t="shared" si="313"/>
        <v>0</v>
      </c>
      <c r="AX291" s="973"/>
      <c r="AY291" s="973"/>
      <c r="AZ291" s="973"/>
      <c r="BA291" s="974">
        <f t="shared" si="314"/>
        <v>0</v>
      </c>
      <c r="BB291" s="975">
        <f t="shared" si="315"/>
        <v>5</v>
      </c>
      <c r="BC291" s="959">
        <f t="shared" si="316"/>
        <v>28</v>
      </c>
      <c r="BD291" s="959">
        <f t="shared" si="317"/>
        <v>36</v>
      </c>
      <c r="BE291" s="959">
        <f t="shared" si="318"/>
        <v>28</v>
      </c>
      <c r="BF291" s="959">
        <f t="shared" si="319"/>
        <v>92</v>
      </c>
      <c r="BG291" s="959">
        <f t="shared" si="320"/>
        <v>0</v>
      </c>
      <c r="BH291" s="959">
        <f t="shared" si="321"/>
        <v>0</v>
      </c>
      <c r="BI291" s="959">
        <f t="shared" si="322"/>
        <v>0</v>
      </c>
      <c r="BJ291" s="959">
        <f t="shared" si="323"/>
        <v>0</v>
      </c>
      <c r="BK291" s="959">
        <f t="shared" si="324"/>
        <v>0</v>
      </c>
      <c r="BL291" s="55"/>
    </row>
    <row r="292" spans="1:64" s="43" customFormat="1" ht="17.100000000000001" customHeight="1">
      <c r="A292" s="762" t="s">
        <v>1531</v>
      </c>
      <c r="B292" s="751" t="s">
        <v>9</v>
      </c>
      <c r="C292" s="751" t="s">
        <v>9</v>
      </c>
      <c r="D292" s="751" t="s">
        <v>1662</v>
      </c>
      <c r="E292" s="55" t="s">
        <v>2529</v>
      </c>
      <c r="F292" s="1017" t="s">
        <v>1637</v>
      </c>
      <c r="G292" s="1018">
        <v>34030</v>
      </c>
      <c r="H292" s="50" t="s">
        <v>3678</v>
      </c>
      <c r="I292" s="760">
        <v>1178</v>
      </c>
      <c r="J292" s="52">
        <v>21976</v>
      </c>
      <c r="K292" s="55" t="s">
        <v>3679</v>
      </c>
      <c r="L292" s="56" t="s">
        <v>3680</v>
      </c>
      <c r="M292" s="64">
        <v>5</v>
      </c>
      <c r="N292" s="65">
        <v>0</v>
      </c>
      <c r="O292" s="66">
        <v>135</v>
      </c>
      <c r="P292" s="67">
        <v>2</v>
      </c>
      <c r="Q292" s="68">
        <v>43</v>
      </c>
      <c r="R292" s="68">
        <v>2</v>
      </c>
      <c r="S292" s="68">
        <v>33</v>
      </c>
      <c r="T292" s="68">
        <v>1</v>
      </c>
      <c r="U292" s="69">
        <v>24</v>
      </c>
      <c r="V292" s="67"/>
      <c r="W292" s="68"/>
      <c r="X292" s="68"/>
      <c r="Y292" s="68"/>
      <c r="Z292" s="68"/>
      <c r="AA292" s="69"/>
      <c r="AB292" s="70"/>
      <c r="AC292" s="68"/>
      <c r="AD292" s="68"/>
      <c r="AE292" s="68"/>
      <c r="AF292" s="68">
        <f t="shared" si="309"/>
        <v>0</v>
      </c>
      <c r="AG292" s="68"/>
      <c r="AH292" s="68"/>
      <c r="AI292" s="69">
        <f t="shared" si="310"/>
        <v>0</v>
      </c>
      <c r="AJ292" s="70"/>
      <c r="AK292" s="68"/>
      <c r="AL292" s="68"/>
      <c r="AM292" s="68"/>
      <c r="AN292" s="68">
        <f t="shared" si="311"/>
        <v>0</v>
      </c>
      <c r="AO292" s="68"/>
      <c r="AP292" s="68"/>
      <c r="AQ292" s="69">
        <f t="shared" si="312"/>
        <v>0</v>
      </c>
      <c r="AR292" s="972"/>
      <c r="AS292" s="973"/>
      <c r="AT292" s="68"/>
      <c r="AU292" s="68"/>
      <c r="AV292" s="68"/>
      <c r="AW292" s="973">
        <f t="shared" si="313"/>
        <v>0</v>
      </c>
      <c r="AX292" s="973"/>
      <c r="AY292" s="973"/>
      <c r="AZ292" s="973"/>
      <c r="BA292" s="974">
        <f t="shared" si="314"/>
        <v>0</v>
      </c>
      <c r="BB292" s="976">
        <f t="shared" si="315"/>
        <v>5</v>
      </c>
      <c r="BC292" s="959">
        <f t="shared" si="316"/>
        <v>43</v>
      </c>
      <c r="BD292" s="959">
        <f t="shared" si="317"/>
        <v>33</v>
      </c>
      <c r="BE292" s="959">
        <f t="shared" si="318"/>
        <v>24</v>
      </c>
      <c r="BF292" s="959">
        <f t="shared" si="319"/>
        <v>100</v>
      </c>
      <c r="BG292" s="959">
        <f t="shared" si="320"/>
        <v>0</v>
      </c>
      <c r="BH292" s="959">
        <f t="shared" si="321"/>
        <v>0</v>
      </c>
      <c r="BI292" s="959">
        <f t="shared" si="322"/>
        <v>0</v>
      </c>
      <c r="BJ292" s="959">
        <f t="shared" si="323"/>
        <v>0</v>
      </c>
      <c r="BK292" s="959">
        <f t="shared" si="324"/>
        <v>0</v>
      </c>
      <c r="BL292" s="55"/>
    </row>
    <row r="293" spans="1:64" s="43" customFormat="1" ht="17.100000000000001" customHeight="1">
      <c r="A293" s="762" t="s">
        <v>1531</v>
      </c>
      <c r="B293" s="751" t="s">
        <v>9</v>
      </c>
      <c r="C293" s="751" t="s">
        <v>9</v>
      </c>
      <c r="D293" s="751" t="s">
        <v>1663</v>
      </c>
      <c r="E293" s="55" t="s">
        <v>2529</v>
      </c>
      <c r="F293" s="1017" t="s">
        <v>1639</v>
      </c>
      <c r="G293" s="1018">
        <v>35039</v>
      </c>
      <c r="H293" s="50" t="s">
        <v>1866</v>
      </c>
      <c r="I293" s="760">
        <v>633</v>
      </c>
      <c r="J293" s="52">
        <v>21974</v>
      </c>
      <c r="K293" s="55" t="s">
        <v>3681</v>
      </c>
      <c r="L293" s="56" t="s">
        <v>3682</v>
      </c>
      <c r="M293" s="64">
        <v>5</v>
      </c>
      <c r="N293" s="65">
        <v>0</v>
      </c>
      <c r="O293" s="66">
        <v>170</v>
      </c>
      <c r="P293" s="67">
        <v>2</v>
      </c>
      <c r="Q293" s="68">
        <v>31</v>
      </c>
      <c r="R293" s="68">
        <v>2</v>
      </c>
      <c r="S293" s="68">
        <v>41</v>
      </c>
      <c r="T293" s="68">
        <v>1</v>
      </c>
      <c r="U293" s="69">
        <v>34</v>
      </c>
      <c r="V293" s="67"/>
      <c r="W293" s="68"/>
      <c r="X293" s="68"/>
      <c r="Y293" s="68"/>
      <c r="Z293" s="68"/>
      <c r="AA293" s="69"/>
      <c r="AB293" s="70"/>
      <c r="AC293" s="68"/>
      <c r="AD293" s="68"/>
      <c r="AE293" s="68"/>
      <c r="AF293" s="68">
        <f t="shared" si="309"/>
        <v>0</v>
      </c>
      <c r="AG293" s="68"/>
      <c r="AH293" s="68"/>
      <c r="AI293" s="69">
        <f t="shared" si="310"/>
        <v>0</v>
      </c>
      <c r="AJ293" s="70"/>
      <c r="AK293" s="68"/>
      <c r="AL293" s="68"/>
      <c r="AM293" s="68"/>
      <c r="AN293" s="68">
        <f t="shared" si="311"/>
        <v>0</v>
      </c>
      <c r="AO293" s="68"/>
      <c r="AP293" s="68"/>
      <c r="AQ293" s="69">
        <f t="shared" si="312"/>
        <v>0</v>
      </c>
      <c r="AR293" s="972"/>
      <c r="AS293" s="973"/>
      <c r="AT293" s="68"/>
      <c r="AU293" s="68"/>
      <c r="AV293" s="68"/>
      <c r="AW293" s="973">
        <f t="shared" si="313"/>
        <v>0</v>
      </c>
      <c r="AX293" s="973"/>
      <c r="AY293" s="973"/>
      <c r="AZ293" s="973"/>
      <c r="BA293" s="974">
        <f t="shared" si="314"/>
        <v>0</v>
      </c>
      <c r="BB293" s="975">
        <f t="shared" si="315"/>
        <v>5</v>
      </c>
      <c r="BC293" s="959">
        <f t="shared" si="316"/>
        <v>31</v>
      </c>
      <c r="BD293" s="959">
        <f t="shared" si="317"/>
        <v>41</v>
      </c>
      <c r="BE293" s="959">
        <f t="shared" si="318"/>
        <v>34</v>
      </c>
      <c r="BF293" s="959">
        <f t="shared" si="319"/>
        <v>106</v>
      </c>
      <c r="BG293" s="959">
        <f t="shared" si="320"/>
        <v>0</v>
      </c>
      <c r="BH293" s="959">
        <f t="shared" si="321"/>
        <v>0</v>
      </c>
      <c r="BI293" s="959">
        <f t="shared" si="322"/>
        <v>0</v>
      </c>
      <c r="BJ293" s="959">
        <f t="shared" si="323"/>
        <v>0</v>
      </c>
      <c r="BK293" s="959">
        <f t="shared" si="324"/>
        <v>0</v>
      </c>
      <c r="BL293" s="55"/>
    </row>
    <row r="294" spans="1:64" s="43" customFormat="1" ht="17.100000000000001" customHeight="1">
      <c r="A294" s="762" t="s">
        <v>1531</v>
      </c>
      <c r="B294" s="751" t="s">
        <v>9</v>
      </c>
      <c r="C294" s="751" t="s">
        <v>9</v>
      </c>
      <c r="D294" s="751" t="s">
        <v>1663</v>
      </c>
      <c r="E294" s="55" t="s">
        <v>2529</v>
      </c>
      <c r="F294" s="751" t="s">
        <v>1640</v>
      </c>
      <c r="G294" s="1018">
        <v>34338</v>
      </c>
      <c r="H294" s="50" t="s">
        <v>1867</v>
      </c>
      <c r="I294" s="760">
        <v>762</v>
      </c>
      <c r="J294" s="52">
        <v>21967</v>
      </c>
      <c r="K294" s="55" t="s">
        <v>3683</v>
      </c>
      <c r="L294" s="56" t="s">
        <v>3684</v>
      </c>
      <c r="M294" s="64">
        <v>7</v>
      </c>
      <c r="N294" s="65">
        <v>0</v>
      </c>
      <c r="O294" s="66">
        <v>150</v>
      </c>
      <c r="P294" s="67">
        <v>2</v>
      </c>
      <c r="Q294" s="68">
        <v>43</v>
      </c>
      <c r="R294" s="68">
        <v>2</v>
      </c>
      <c r="S294" s="68">
        <v>40</v>
      </c>
      <c r="T294" s="68">
        <v>2</v>
      </c>
      <c r="U294" s="69">
        <v>47</v>
      </c>
      <c r="V294" s="67"/>
      <c r="W294" s="68"/>
      <c r="X294" s="68"/>
      <c r="Y294" s="68"/>
      <c r="Z294" s="68"/>
      <c r="AA294" s="69"/>
      <c r="AB294" s="70"/>
      <c r="AC294" s="68"/>
      <c r="AD294" s="68"/>
      <c r="AE294" s="68"/>
      <c r="AF294" s="68">
        <f t="shared" si="309"/>
        <v>0</v>
      </c>
      <c r="AG294" s="68"/>
      <c r="AH294" s="68"/>
      <c r="AI294" s="69">
        <f t="shared" si="310"/>
        <v>0</v>
      </c>
      <c r="AJ294" s="70"/>
      <c r="AK294" s="68"/>
      <c r="AL294" s="68"/>
      <c r="AM294" s="68"/>
      <c r="AN294" s="68">
        <f t="shared" si="311"/>
        <v>0</v>
      </c>
      <c r="AO294" s="68"/>
      <c r="AP294" s="68"/>
      <c r="AQ294" s="69">
        <f t="shared" si="312"/>
        <v>0</v>
      </c>
      <c r="AR294" s="972"/>
      <c r="AS294" s="973"/>
      <c r="AT294" s="68"/>
      <c r="AU294" s="68"/>
      <c r="AV294" s="68"/>
      <c r="AW294" s="973">
        <f t="shared" si="313"/>
        <v>0</v>
      </c>
      <c r="AX294" s="973"/>
      <c r="AY294" s="973"/>
      <c r="AZ294" s="973"/>
      <c r="BA294" s="974">
        <f t="shared" si="314"/>
        <v>0</v>
      </c>
      <c r="BB294" s="975">
        <f t="shared" si="315"/>
        <v>6</v>
      </c>
      <c r="BC294" s="959">
        <f t="shared" si="316"/>
        <v>43</v>
      </c>
      <c r="BD294" s="959">
        <f t="shared" si="317"/>
        <v>40</v>
      </c>
      <c r="BE294" s="959">
        <f t="shared" si="318"/>
        <v>47</v>
      </c>
      <c r="BF294" s="959">
        <f t="shared" si="319"/>
        <v>130</v>
      </c>
      <c r="BG294" s="959">
        <f t="shared" si="320"/>
        <v>0</v>
      </c>
      <c r="BH294" s="959">
        <f t="shared" si="321"/>
        <v>0</v>
      </c>
      <c r="BI294" s="959">
        <f t="shared" si="322"/>
        <v>0</v>
      </c>
      <c r="BJ294" s="959">
        <f t="shared" si="323"/>
        <v>0</v>
      </c>
      <c r="BK294" s="959">
        <f t="shared" si="324"/>
        <v>0</v>
      </c>
      <c r="BL294" s="55"/>
    </row>
    <row r="295" spans="1:64" s="43" customFormat="1" ht="17.100000000000001" customHeight="1">
      <c r="A295" s="762" t="s">
        <v>1531</v>
      </c>
      <c r="B295" s="751" t="s">
        <v>9</v>
      </c>
      <c r="C295" s="751" t="s">
        <v>9</v>
      </c>
      <c r="D295" s="751" t="s">
        <v>1663</v>
      </c>
      <c r="E295" s="55" t="s">
        <v>2529</v>
      </c>
      <c r="F295" s="1017" t="s">
        <v>1550</v>
      </c>
      <c r="G295" s="1018">
        <v>34737</v>
      </c>
      <c r="H295" s="50" t="s">
        <v>1868</v>
      </c>
      <c r="I295" s="760">
        <v>1100</v>
      </c>
      <c r="J295" s="52">
        <v>21974</v>
      </c>
      <c r="K295" s="55" t="s">
        <v>3685</v>
      </c>
      <c r="L295" s="56" t="s">
        <v>3686</v>
      </c>
      <c r="M295" s="64">
        <v>9</v>
      </c>
      <c r="N295" s="65">
        <v>0</v>
      </c>
      <c r="O295" s="66">
        <v>270</v>
      </c>
      <c r="P295" s="67">
        <v>3</v>
      </c>
      <c r="Q295" s="68">
        <v>32</v>
      </c>
      <c r="R295" s="68">
        <v>2</v>
      </c>
      <c r="S295" s="68">
        <v>25</v>
      </c>
      <c r="T295" s="68">
        <v>1</v>
      </c>
      <c r="U295" s="69">
        <v>18</v>
      </c>
      <c r="V295" s="67"/>
      <c r="W295" s="68"/>
      <c r="X295" s="68"/>
      <c r="Y295" s="68"/>
      <c r="Z295" s="68"/>
      <c r="AA295" s="69"/>
      <c r="AB295" s="70"/>
      <c r="AC295" s="68"/>
      <c r="AD295" s="68"/>
      <c r="AE295" s="68"/>
      <c r="AF295" s="68">
        <f t="shared" si="309"/>
        <v>0</v>
      </c>
      <c r="AG295" s="68"/>
      <c r="AH295" s="68"/>
      <c r="AI295" s="69">
        <f t="shared" si="310"/>
        <v>0</v>
      </c>
      <c r="AJ295" s="70"/>
      <c r="AK295" s="68"/>
      <c r="AL295" s="68"/>
      <c r="AM295" s="68"/>
      <c r="AN295" s="68">
        <f t="shared" si="311"/>
        <v>0</v>
      </c>
      <c r="AO295" s="68"/>
      <c r="AP295" s="68"/>
      <c r="AQ295" s="69">
        <f t="shared" si="312"/>
        <v>0</v>
      </c>
      <c r="AR295" s="972"/>
      <c r="AS295" s="973"/>
      <c r="AT295" s="68"/>
      <c r="AU295" s="68"/>
      <c r="AV295" s="68"/>
      <c r="AW295" s="973">
        <f t="shared" si="313"/>
        <v>0</v>
      </c>
      <c r="AX295" s="973"/>
      <c r="AY295" s="973"/>
      <c r="AZ295" s="973"/>
      <c r="BA295" s="974">
        <f t="shared" si="314"/>
        <v>0</v>
      </c>
      <c r="BB295" s="976">
        <f t="shared" si="315"/>
        <v>6</v>
      </c>
      <c r="BC295" s="959">
        <f t="shared" si="316"/>
        <v>32</v>
      </c>
      <c r="BD295" s="959">
        <f t="shared" si="317"/>
        <v>25</v>
      </c>
      <c r="BE295" s="959">
        <f t="shared" si="318"/>
        <v>18</v>
      </c>
      <c r="BF295" s="959">
        <f t="shared" si="319"/>
        <v>75</v>
      </c>
      <c r="BG295" s="959">
        <f t="shared" si="320"/>
        <v>0</v>
      </c>
      <c r="BH295" s="959">
        <f t="shared" si="321"/>
        <v>0</v>
      </c>
      <c r="BI295" s="959">
        <f t="shared" si="322"/>
        <v>0</v>
      </c>
      <c r="BJ295" s="959">
        <f t="shared" si="323"/>
        <v>0</v>
      </c>
      <c r="BK295" s="959">
        <f t="shared" si="324"/>
        <v>0</v>
      </c>
      <c r="BL295" s="55"/>
    </row>
    <row r="296" spans="1:64" s="43" customFormat="1" ht="17.100000000000001" customHeight="1">
      <c r="A296" s="762" t="s">
        <v>1531</v>
      </c>
      <c r="B296" s="751" t="s">
        <v>9</v>
      </c>
      <c r="C296" s="751" t="s">
        <v>9</v>
      </c>
      <c r="D296" s="751" t="s">
        <v>1663</v>
      </c>
      <c r="E296" s="55" t="s">
        <v>2529</v>
      </c>
      <c r="F296" s="1017" t="s">
        <v>1641</v>
      </c>
      <c r="G296" s="1018">
        <v>34275</v>
      </c>
      <c r="H296" s="50" t="s">
        <v>3687</v>
      </c>
      <c r="I296" s="760">
        <v>688</v>
      </c>
      <c r="J296" s="52">
        <v>21968</v>
      </c>
      <c r="K296" s="55" t="s">
        <v>3688</v>
      </c>
      <c r="L296" s="56" t="s">
        <v>3689</v>
      </c>
      <c r="M296" s="64">
        <v>6</v>
      </c>
      <c r="N296" s="65">
        <v>0</v>
      </c>
      <c r="O296" s="66">
        <v>220</v>
      </c>
      <c r="P296" s="67">
        <v>2</v>
      </c>
      <c r="Q296" s="68">
        <v>45</v>
      </c>
      <c r="R296" s="68">
        <v>2</v>
      </c>
      <c r="S296" s="68">
        <v>69</v>
      </c>
      <c r="T296" s="68">
        <v>2</v>
      </c>
      <c r="U296" s="69">
        <v>59</v>
      </c>
      <c r="V296" s="67"/>
      <c r="W296" s="68"/>
      <c r="X296" s="68"/>
      <c r="Y296" s="68"/>
      <c r="Z296" s="68"/>
      <c r="AA296" s="69"/>
      <c r="AB296" s="70"/>
      <c r="AC296" s="68"/>
      <c r="AD296" s="68"/>
      <c r="AE296" s="68"/>
      <c r="AF296" s="68">
        <f t="shared" si="309"/>
        <v>0</v>
      </c>
      <c r="AG296" s="68"/>
      <c r="AH296" s="68"/>
      <c r="AI296" s="69">
        <f t="shared" si="310"/>
        <v>0</v>
      </c>
      <c r="AJ296" s="70"/>
      <c r="AK296" s="68"/>
      <c r="AL296" s="68"/>
      <c r="AM296" s="68"/>
      <c r="AN296" s="68">
        <f t="shared" si="311"/>
        <v>0</v>
      </c>
      <c r="AO296" s="68"/>
      <c r="AP296" s="68"/>
      <c r="AQ296" s="69">
        <f t="shared" si="312"/>
        <v>0</v>
      </c>
      <c r="AR296" s="972"/>
      <c r="AS296" s="973"/>
      <c r="AT296" s="68"/>
      <c r="AU296" s="68"/>
      <c r="AV296" s="68"/>
      <c r="AW296" s="973">
        <f t="shared" si="313"/>
        <v>0</v>
      </c>
      <c r="AX296" s="973"/>
      <c r="AY296" s="973"/>
      <c r="AZ296" s="973"/>
      <c r="BA296" s="974">
        <f t="shared" si="314"/>
        <v>0</v>
      </c>
      <c r="BB296" s="975">
        <f t="shared" si="315"/>
        <v>6</v>
      </c>
      <c r="BC296" s="959">
        <f t="shared" si="316"/>
        <v>45</v>
      </c>
      <c r="BD296" s="959">
        <f t="shared" si="317"/>
        <v>69</v>
      </c>
      <c r="BE296" s="959">
        <f t="shared" si="318"/>
        <v>59</v>
      </c>
      <c r="BF296" s="959">
        <f t="shared" si="319"/>
        <v>173</v>
      </c>
      <c r="BG296" s="959">
        <f t="shared" si="320"/>
        <v>0</v>
      </c>
      <c r="BH296" s="959">
        <f t="shared" si="321"/>
        <v>0</v>
      </c>
      <c r="BI296" s="959">
        <f t="shared" si="322"/>
        <v>0</v>
      </c>
      <c r="BJ296" s="959">
        <f t="shared" si="323"/>
        <v>0</v>
      </c>
      <c r="BK296" s="959">
        <f t="shared" si="324"/>
        <v>0</v>
      </c>
      <c r="BL296" s="55"/>
    </row>
    <row r="297" spans="1:64" s="43" customFormat="1" ht="17.100000000000001" customHeight="1">
      <c r="A297" s="762" t="s">
        <v>1531</v>
      </c>
      <c r="B297" s="751" t="s">
        <v>9</v>
      </c>
      <c r="C297" s="751" t="s">
        <v>9</v>
      </c>
      <c r="D297" s="751" t="s">
        <v>1642</v>
      </c>
      <c r="E297" s="55" t="s">
        <v>2529</v>
      </c>
      <c r="F297" s="751" t="s">
        <v>1643</v>
      </c>
      <c r="G297" s="1018">
        <v>34017</v>
      </c>
      <c r="H297" s="50" t="s">
        <v>1869</v>
      </c>
      <c r="I297" s="760">
        <v>626</v>
      </c>
      <c r="J297" s="52">
        <v>21910</v>
      </c>
      <c r="K297" s="55" t="s">
        <v>3690</v>
      </c>
      <c r="L297" s="56" t="s">
        <v>3691</v>
      </c>
      <c r="M297" s="64">
        <v>6</v>
      </c>
      <c r="N297" s="65">
        <v>0</v>
      </c>
      <c r="O297" s="66">
        <v>118</v>
      </c>
      <c r="P297" s="67">
        <v>2</v>
      </c>
      <c r="Q297" s="68">
        <v>30</v>
      </c>
      <c r="R297" s="68">
        <v>1</v>
      </c>
      <c r="S297" s="68">
        <v>21</v>
      </c>
      <c r="T297" s="68">
        <v>2</v>
      </c>
      <c r="U297" s="69">
        <v>42</v>
      </c>
      <c r="V297" s="67"/>
      <c r="W297" s="68"/>
      <c r="X297" s="68"/>
      <c r="Y297" s="68"/>
      <c r="Z297" s="68"/>
      <c r="AA297" s="69"/>
      <c r="AB297" s="70"/>
      <c r="AC297" s="68"/>
      <c r="AD297" s="68"/>
      <c r="AE297" s="68"/>
      <c r="AF297" s="68">
        <f t="shared" si="309"/>
        <v>0</v>
      </c>
      <c r="AG297" s="68"/>
      <c r="AH297" s="68"/>
      <c r="AI297" s="69">
        <f t="shared" si="310"/>
        <v>0</v>
      </c>
      <c r="AJ297" s="70"/>
      <c r="AK297" s="68"/>
      <c r="AL297" s="68"/>
      <c r="AM297" s="68"/>
      <c r="AN297" s="68">
        <f t="shared" si="311"/>
        <v>0</v>
      </c>
      <c r="AO297" s="68"/>
      <c r="AP297" s="68"/>
      <c r="AQ297" s="69">
        <f t="shared" si="312"/>
        <v>0</v>
      </c>
      <c r="AR297" s="972"/>
      <c r="AS297" s="973"/>
      <c r="AT297" s="68"/>
      <c r="AU297" s="68"/>
      <c r="AV297" s="68"/>
      <c r="AW297" s="973">
        <f t="shared" si="313"/>
        <v>0</v>
      </c>
      <c r="AX297" s="973"/>
      <c r="AY297" s="973"/>
      <c r="AZ297" s="973"/>
      <c r="BA297" s="974">
        <f t="shared" si="314"/>
        <v>0</v>
      </c>
      <c r="BB297" s="975">
        <f t="shared" si="315"/>
        <v>5</v>
      </c>
      <c r="BC297" s="959">
        <f t="shared" si="316"/>
        <v>30</v>
      </c>
      <c r="BD297" s="959">
        <f t="shared" si="317"/>
        <v>21</v>
      </c>
      <c r="BE297" s="959">
        <f t="shared" si="318"/>
        <v>42</v>
      </c>
      <c r="BF297" s="959">
        <f t="shared" si="319"/>
        <v>93</v>
      </c>
      <c r="BG297" s="959">
        <f t="shared" si="320"/>
        <v>0</v>
      </c>
      <c r="BH297" s="959">
        <f t="shared" si="321"/>
        <v>0</v>
      </c>
      <c r="BI297" s="959">
        <f t="shared" si="322"/>
        <v>0</v>
      </c>
      <c r="BJ297" s="959">
        <f t="shared" si="323"/>
        <v>0</v>
      </c>
      <c r="BK297" s="959">
        <f t="shared" si="324"/>
        <v>0</v>
      </c>
      <c r="BL297" s="55"/>
    </row>
    <row r="298" spans="1:64" s="43" customFormat="1" ht="17.100000000000001" customHeight="1">
      <c r="A298" s="762" t="s">
        <v>1531</v>
      </c>
      <c r="B298" s="751" t="s">
        <v>9</v>
      </c>
      <c r="C298" s="751" t="s">
        <v>9</v>
      </c>
      <c r="D298" s="751" t="s">
        <v>1664</v>
      </c>
      <c r="E298" s="55" t="s">
        <v>2529</v>
      </c>
      <c r="F298" s="1017" t="s">
        <v>1644</v>
      </c>
      <c r="G298" s="1018">
        <v>34288</v>
      </c>
      <c r="H298" s="50" t="s">
        <v>1870</v>
      </c>
      <c r="I298" s="760">
        <v>956</v>
      </c>
      <c r="J298" s="52">
        <v>21924</v>
      </c>
      <c r="K298" s="55" t="s">
        <v>3692</v>
      </c>
      <c r="L298" s="56" t="s">
        <v>3693</v>
      </c>
      <c r="M298" s="64">
        <v>4</v>
      </c>
      <c r="N298" s="65">
        <v>0</v>
      </c>
      <c r="O298" s="66">
        <v>120</v>
      </c>
      <c r="P298" s="67">
        <v>1</v>
      </c>
      <c r="Q298" s="68">
        <v>18</v>
      </c>
      <c r="R298" s="68">
        <v>1</v>
      </c>
      <c r="S298" s="68">
        <v>19</v>
      </c>
      <c r="T298" s="68">
        <v>1</v>
      </c>
      <c r="U298" s="69">
        <v>22</v>
      </c>
      <c r="V298" s="67"/>
      <c r="W298" s="68"/>
      <c r="X298" s="68"/>
      <c r="Y298" s="68"/>
      <c r="Z298" s="68"/>
      <c r="AA298" s="69"/>
      <c r="AB298" s="70"/>
      <c r="AC298" s="68"/>
      <c r="AD298" s="68"/>
      <c r="AE298" s="68"/>
      <c r="AF298" s="68">
        <f t="shared" si="309"/>
        <v>0</v>
      </c>
      <c r="AG298" s="68"/>
      <c r="AH298" s="68"/>
      <c r="AI298" s="69">
        <f t="shared" si="310"/>
        <v>0</v>
      </c>
      <c r="AJ298" s="70">
        <v>1</v>
      </c>
      <c r="AK298" s="68"/>
      <c r="AL298" s="68">
        <v>13</v>
      </c>
      <c r="AM298" s="68">
        <v>9</v>
      </c>
      <c r="AN298" s="68">
        <f t="shared" si="311"/>
        <v>22</v>
      </c>
      <c r="AO298" s="68"/>
      <c r="AP298" s="68"/>
      <c r="AQ298" s="69">
        <f t="shared" si="312"/>
        <v>0</v>
      </c>
      <c r="AR298" s="972"/>
      <c r="AS298" s="973"/>
      <c r="AT298" s="68"/>
      <c r="AU298" s="68"/>
      <c r="AV298" s="68"/>
      <c r="AW298" s="973">
        <f t="shared" si="313"/>
        <v>0</v>
      </c>
      <c r="AX298" s="973"/>
      <c r="AY298" s="973"/>
      <c r="AZ298" s="973"/>
      <c r="BA298" s="974">
        <f t="shared" si="314"/>
        <v>0</v>
      </c>
      <c r="BB298" s="976">
        <f t="shared" si="315"/>
        <v>4</v>
      </c>
      <c r="BC298" s="959">
        <f t="shared" si="316"/>
        <v>18</v>
      </c>
      <c r="BD298" s="959">
        <f t="shared" si="317"/>
        <v>32</v>
      </c>
      <c r="BE298" s="959">
        <f t="shared" si="318"/>
        <v>31</v>
      </c>
      <c r="BF298" s="959">
        <f t="shared" si="319"/>
        <v>81</v>
      </c>
      <c r="BG298" s="959">
        <f t="shared" si="320"/>
        <v>0</v>
      </c>
      <c r="BH298" s="959">
        <f t="shared" si="321"/>
        <v>0</v>
      </c>
      <c r="BI298" s="959">
        <f t="shared" si="322"/>
        <v>0</v>
      </c>
      <c r="BJ298" s="959">
        <f t="shared" si="323"/>
        <v>0</v>
      </c>
      <c r="BK298" s="959">
        <f t="shared" si="324"/>
        <v>0</v>
      </c>
      <c r="BL298" s="55"/>
    </row>
    <row r="299" spans="1:64" s="43" customFormat="1" ht="17.100000000000001" customHeight="1">
      <c r="A299" s="762" t="s">
        <v>1531</v>
      </c>
      <c r="B299" s="751" t="s">
        <v>9</v>
      </c>
      <c r="C299" s="751" t="s">
        <v>9</v>
      </c>
      <c r="D299" s="751" t="s">
        <v>1664</v>
      </c>
      <c r="E299" s="55" t="s">
        <v>2529</v>
      </c>
      <c r="F299" s="751" t="s">
        <v>1645</v>
      </c>
      <c r="G299" s="1018">
        <v>39873</v>
      </c>
      <c r="H299" s="50" t="s">
        <v>3694</v>
      </c>
      <c r="I299" s="760">
        <v>1260</v>
      </c>
      <c r="J299" s="52">
        <v>21912</v>
      </c>
      <c r="K299" s="55" t="s">
        <v>3695</v>
      </c>
      <c r="L299" s="56" t="s">
        <v>3696</v>
      </c>
      <c r="M299" s="64">
        <v>10</v>
      </c>
      <c r="N299" s="65">
        <v>0</v>
      </c>
      <c r="O299" s="66">
        <v>266</v>
      </c>
      <c r="P299" s="67">
        <v>3</v>
      </c>
      <c r="Q299" s="68">
        <v>82</v>
      </c>
      <c r="R299" s="68">
        <v>3</v>
      </c>
      <c r="S299" s="68">
        <v>84</v>
      </c>
      <c r="T299" s="68">
        <v>4</v>
      </c>
      <c r="U299" s="69">
        <v>100</v>
      </c>
      <c r="V299" s="67"/>
      <c r="W299" s="68"/>
      <c r="X299" s="68"/>
      <c r="Y299" s="68"/>
      <c r="Z299" s="68"/>
      <c r="AA299" s="69"/>
      <c r="AB299" s="70"/>
      <c r="AC299" s="68"/>
      <c r="AD299" s="68"/>
      <c r="AE299" s="68"/>
      <c r="AF299" s="68">
        <f t="shared" si="309"/>
        <v>0</v>
      </c>
      <c r="AG299" s="68"/>
      <c r="AH299" s="68"/>
      <c r="AI299" s="69">
        <f t="shared" si="310"/>
        <v>0</v>
      </c>
      <c r="AJ299" s="70"/>
      <c r="AK299" s="68"/>
      <c r="AL299" s="68"/>
      <c r="AM299" s="68"/>
      <c r="AN299" s="68">
        <f t="shared" si="311"/>
        <v>0</v>
      </c>
      <c r="AO299" s="68"/>
      <c r="AP299" s="68"/>
      <c r="AQ299" s="69">
        <f t="shared" si="312"/>
        <v>0</v>
      </c>
      <c r="AR299" s="972"/>
      <c r="AS299" s="973"/>
      <c r="AT299" s="68"/>
      <c r="AU299" s="68"/>
      <c r="AV299" s="68"/>
      <c r="AW299" s="973">
        <f t="shared" si="313"/>
        <v>0</v>
      </c>
      <c r="AX299" s="973"/>
      <c r="AY299" s="973"/>
      <c r="AZ299" s="973"/>
      <c r="BA299" s="974">
        <f t="shared" si="314"/>
        <v>0</v>
      </c>
      <c r="BB299" s="975">
        <f t="shared" si="315"/>
        <v>10</v>
      </c>
      <c r="BC299" s="959">
        <f t="shared" si="316"/>
        <v>82</v>
      </c>
      <c r="BD299" s="959">
        <f t="shared" si="317"/>
        <v>84</v>
      </c>
      <c r="BE299" s="959">
        <f t="shared" si="318"/>
        <v>100</v>
      </c>
      <c r="BF299" s="959">
        <f t="shared" si="319"/>
        <v>266</v>
      </c>
      <c r="BG299" s="959">
        <f t="shared" si="320"/>
        <v>0</v>
      </c>
      <c r="BH299" s="959">
        <f t="shared" si="321"/>
        <v>0</v>
      </c>
      <c r="BI299" s="959">
        <f t="shared" si="322"/>
        <v>0</v>
      </c>
      <c r="BJ299" s="959">
        <f t="shared" si="323"/>
        <v>0</v>
      </c>
      <c r="BK299" s="959">
        <f t="shared" si="324"/>
        <v>0</v>
      </c>
      <c r="BL299" s="55"/>
    </row>
    <row r="300" spans="1:64" s="43" customFormat="1" ht="17.100000000000001" customHeight="1">
      <c r="A300" s="762" t="s">
        <v>1531</v>
      </c>
      <c r="B300" s="751" t="s">
        <v>9</v>
      </c>
      <c r="C300" s="751" t="s">
        <v>9</v>
      </c>
      <c r="D300" s="751" t="s">
        <v>1664</v>
      </c>
      <c r="E300" s="55" t="s">
        <v>2529</v>
      </c>
      <c r="F300" s="751" t="s">
        <v>1646</v>
      </c>
      <c r="G300" s="1018">
        <v>34396</v>
      </c>
      <c r="H300" s="50" t="s">
        <v>1871</v>
      </c>
      <c r="I300" s="760">
        <v>503</v>
      </c>
      <c r="J300" s="52">
        <v>21920</v>
      </c>
      <c r="K300" s="55" t="s">
        <v>3697</v>
      </c>
      <c r="L300" s="56" t="s">
        <v>3698</v>
      </c>
      <c r="M300" s="64">
        <v>6</v>
      </c>
      <c r="N300" s="65">
        <v>0</v>
      </c>
      <c r="O300" s="66">
        <v>210</v>
      </c>
      <c r="P300" s="67">
        <v>2</v>
      </c>
      <c r="Q300" s="68">
        <v>50</v>
      </c>
      <c r="R300" s="68">
        <v>2</v>
      </c>
      <c r="S300" s="68">
        <v>53</v>
      </c>
      <c r="T300" s="68">
        <v>2</v>
      </c>
      <c r="U300" s="69">
        <v>56</v>
      </c>
      <c r="V300" s="67"/>
      <c r="W300" s="68"/>
      <c r="X300" s="68"/>
      <c r="Y300" s="68"/>
      <c r="Z300" s="68"/>
      <c r="AA300" s="69"/>
      <c r="AB300" s="70"/>
      <c r="AC300" s="68"/>
      <c r="AD300" s="68"/>
      <c r="AE300" s="68"/>
      <c r="AF300" s="68">
        <f t="shared" si="309"/>
        <v>0</v>
      </c>
      <c r="AG300" s="68"/>
      <c r="AH300" s="68"/>
      <c r="AI300" s="69">
        <f t="shared" si="310"/>
        <v>0</v>
      </c>
      <c r="AJ300" s="70"/>
      <c r="AK300" s="68"/>
      <c r="AL300" s="68"/>
      <c r="AM300" s="68"/>
      <c r="AN300" s="68">
        <f t="shared" si="311"/>
        <v>0</v>
      </c>
      <c r="AO300" s="68"/>
      <c r="AP300" s="68"/>
      <c r="AQ300" s="69">
        <f t="shared" si="312"/>
        <v>0</v>
      </c>
      <c r="AR300" s="972"/>
      <c r="AS300" s="973"/>
      <c r="AT300" s="68"/>
      <c r="AU300" s="68"/>
      <c r="AV300" s="68"/>
      <c r="AW300" s="973">
        <f t="shared" si="313"/>
        <v>0</v>
      </c>
      <c r="AX300" s="973"/>
      <c r="AY300" s="973"/>
      <c r="AZ300" s="973"/>
      <c r="BA300" s="974">
        <f t="shared" si="314"/>
        <v>0</v>
      </c>
      <c r="BB300" s="975">
        <f t="shared" si="315"/>
        <v>6</v>
      </c>
      <c r="BC300" s="959">
        <f t="shared" si="316"/>
        <v>50</v>
      </c>
      <c r="BD300" s="959">
        <f t="shared" si="317"/>
        <v>53</v>
      </c>
      <c r="BE300" s="959">
        <f t="shared" si="318"/>
        <v>56</v>
      </c>
      <c r="BF300" s="959">
        <f t="shared" si="319"/>
        <v>159</v>
      </c>
      <c r="BG300" s="959">
        <f t="shared" si="320"/>
        <v>0</v>
      </c>
      <c r="BH300" s="959">
        <f t="shared" si="321"/>
        <v>0</v>
      </c>
      <c r="BI300" s="959">
        <f t="shared" si="322"/>
        <v>0</v>
      </c>
      <c r="BJ300" s="959">
        <f t="shared" si="323"/>
        <v>0</v>
      </c>
      <c r="BK300" s="959">
        <f t="shared" si="324"/>
        <v>0</v>
      </c>
      <c r="BL300" s="55"/>
    </row>
    <row r="301" spans="1:64" s="43" customFormat="1" ht="17.100000000000001" customHeight="1">
      <c r="A301" s="762" t="s">
        <v>1531</v>
      </c>
      <c r="B301" s="751" t="s">
        <v>9</v>
      </c>
      <c r="C301" s="751" t="s">
        <v>9</v>
      </c>
      <c r="D301" s="751" t="s">
        <v>1665</v>
      </c>
      <c r="E301" s="55" t="s">
        <v>2529</v>
      </c>
      <c r="F301" s="751" t="s">
        <v>1648</v>
      </c>
      <c r="G301" s="1018">
        <v>35208</v>
      </c>
      <c r="H301" s="50" t="s">
        <v>1873</v>
      </c>
      <c r="I301" s="760">
        <v>424</v>
      </c>
      <c r="J301" s="52">
        <v>21934</v>
      </c>
      <c r="K301" s="55" t="s">
        <v>3699</v>
      </c>
      <c r="L301" s="56" t="s">
        <v>1862</v>
      </c>
      <c r="M301" s="64">
        <v>3</v>
      </c>
      <c r="N301" s="65">
        <v>0</v>
      </c>
      <c r="O301" s="66">
        <v>90</v>
      </c>
      <c r="P301" s="67">
        <v>1</v>
      </c>
      <c r="Q301" s="68">
        <v>24</v>
      </c>
      <c r="R301" s="68">
        <v>1</v>
      </c>
      <c r="S301" s="68">
        <v>24</v>
      </c>
      <c r="T301" s="68">
        <v>1</v>
      </c>
      <c r="U301" s="69">
        <v>20</v>
      </c>
      <c r="V301" s="67"/>
      <c r="W301" s="68"/>
      <c r="X301" s="68"/>
      <c r="Y301" s="68"/>
      <c r="Z301" s="68"/>
      <c r="AA301" s="69"/>
      <c r="AB301" s="70"/>
      <c r="AC301" s="68"/>
      <c r="AD301" s="68"/>
      <c r="AE301" s="68"/>
      <c r="AF301" s="68">
        <f t="shared" si="309"/>
        <v>0</v>
      </c>
      <c r="AG301" s="68"/>
      <c r="AH301" s="68"/>
      <c r="AI301" s="69">
        <f t="shared" si="310"/>
        <v>0</v>
      </c>
      <c r="AJ301" s="70"/>
      <c r="AK301" s="68"/>
      <c r="AL301" s="68"/>
      <c r="AM301" s="68"/>
      <c r="AN301" s="68">
        <f t="shared" si="311"/>
        <v>0</v>
      </c>
      <c r="AO301" s="68"/>
      <c r="AP301" s="68"/>
      <c r="AQ301" s="69">
        <f t="shared" si="312"/>
        <v>0</v>
      </c>
      <c r="AR301" s="972"/>
      <c r="AS301" s="973"/>
      <c r="AT301" s="68"/>
      <c r="AU301" s="68"/>
      <c r="AV301" s="68"/>
      <c r="AW301" s="973">
        <f t="shared" si="313"/>
        <v>0</v>
      </c>
      <c r="AX301" s="973"/>
      <c r="AY301" s="973"/>
      <c r="AZ301" s="973"/>
      <c r="BA301" s="974">
        <f t="shared" si="314"/>
        <v>0</v>
      </c>
      <c r="BB301" s="976">
        <f t="shared" si="315"/>
        <v>3</v>
      </c>
      <c r="BC301" s="959">
        <f t="shared" si="316"/>
        <v>24</v>
      </c>
      <c r="BD301" s="959">
        <f t="shared" si="317"/>
        <v>24</v>
      </c>
      <c r="BE301" s="959">
        <f t="shared" si="318"/>
        <v>20</v>
      </c>
      <c r="BF301" s="959">
        <f t="shared" si="319"/>
        <v>68</v>
      </c>
      <c r="BG301" s="959">
        <f t="shared" si="320"/>
        <v>0</v>
      </c>
      <c r="BH301" s="959">
        <f t="shared" si="321"/>
        <v>0</v>
      </c>
      <c r="BI301" s="959">
        <f t="shared" si="322"/>
        <v>0</v>
      </c>
      <c r="BJ301" s="959">
        <f t="shared" si="323"/>
        <v>0</v>
      </c>
      <c r="BK301" s="959">
        <f t="shared" si="324"/>
        <v>0</v>
      </c>
      <c r="BL301" s="55"/>
    </row>
    <row r="302" spans="1:64" s="43" customFormat="1" ht="17.100000000000001" customHeight="1">
      <c r="A302" s="762" t="s">
        <v>1531</v>
      </c>
      <c r="B302" s="751" t="s">
        <v>9</v>
      </c>
      <c r="C302" s="751" t="s">
        <v>9</v>
      </c>
      <c r="D302" s="751" t="s">
        <v>1665</v>
      </c>
      <c r="E302" s="55" t="s">
        <v>2529</v>
      </c>
      <c r="F302" s="751" t="s">
        <v>1647</v>
      </c>
      <c r="G302" s="1018">
        <v>34757</v>
      </c>
      <c r="H302" s="50" t="s">
        <v>1872</v>
      </c>
      <c r="I302" s="760">
        <v>654</v>
      </c>
      <c r="J302" s="52">
        <v>21931</v>
      </c>
      <c r="K302" s="55" t="s">
        <v>3700</v>
      </c>
      <c r="L302" s="56" t="s">
        <v>3701</v>
      </c>
      <c r="M302" s="64">
        <v>3</v>
      </c>
      <c r="N302" s="65">
        <v>0</v>
      </c>
      <c r="O302" s="66">
        <v>120</v>
      </c>
      <c r="P302" s="67">
        <v>1</v>
      </c>
      <c r="Q302" s="68">
        <v>17</v>
      </c>
      <c r="R302" s="68">
        <v>1</v>
      </c>
      <c r="S302" s="68">
        <v>17</v>
      </c>
      <c r="T302" s="68">
        <v>1</v>
      </c>
      <c r="U302" s="69">
        <v>30</v>
      </c>
      <c r="V302" s="67"/>
      <c r="W302" s="68"/>
      <c r="X302" s="68"/>
      <c r="Y302" s="68"/>
      <c r="Z302" s="68"/>
      <c r="AA302" s="69"/>
      <c r="AB302" s="70"/>
      <c r="AC302" s="68"/>
      <c r="AD302" s="68"/>
      <c r="AE302" s="68"/>
      <c r="AF302" s="68">
        <f t="shared" si="309"/>
        <v>0</v>
      </c>
      <c r="AG302" s="68"/>
      <c r="AH302" s="68"/>
      <c r="AI302" s="69">
        <f t="shared" si="310"/>
        <v>0</v>
      </c>
      <c r="AJ302" s="70"/>
      <c r="AK302" s="68"/>
      <c r="AL302" s="68"/>
      <c r="AM302" s="68"/>
      <c r="AN302" s="68">
        <f t="shared" si="311"/>
        <v>0</v>
      </c>
      <c r="AO302" s="68"/>
      <c r="AP302" s="68"/>
      <c r="AQ302" s="69">
        <f t="shared" si="312"/>
        <v>0</v>
      </c>
      <c r="AR302" s="972"/>
      <c r="AS302" s="973"/>
      <c r="AT302" s="68"/>
      <c r="AU302" s="68"/>
      <c r="AV302" s="68"/>
      <c r="AW302" s="973">
        <f t="shared" si="313"/>
        <v>0</v>
      </c>
      <c r="AX302" s="973"/>
      <c r="AY302" s="973"/>
      <c r="AZ302" s="973"/>
      <c r="BA302" s="974">
        <f t="shared" si="314"/>
        <v>0</v>
      </c>
      <c r="BB302" s="975">
        <f t="shared" si="315"/>
        <v>3</v>
      </c>
      <c r="BC302" s="959">
        <f t="shared" si="316"/>
        <v>17</v>
      </c>
      <c r="BD302" s="959">
        <f t="shared" si="317"/>
        <v>17</v>
      </c>
      <c r="BE302" s="959">
        <f t="shared" si="318"/>
        <v>30</v>
      </c>
      <c r="BF302" s="959">
        <f t="shared" si="319"/>
        <v>64</v>
      </c>
      <c r="BG302" s="959">
        <f t="shared" si="320"/>
        <v>0</v>
      </c>
      <c r="BH302" s="959">
        <f t="shared" si="321"/>
        <v>0</v>
      </c>
      <c r="BI302" s="959">
        <f t="shared" si="322"/>
        <v>0</v>
      </c>
      <c r="BJ302" s="959">
        <f t="shared" si="323"/>
        <v>0</v>
      </c>
      <c r="BK302" s="959">
        <f t="shared" si="324"/>
        <v>0</v>
      </c>
      <c r="BL302" s="55"/>
    </row>
    <row r="303" spans="1:64" s="43" customFormat="1" ht="17.100000000000001" customHeight="1">
      <c r="A303" s="762" t="s">
        <v>1531</v>
      </c>
      <c r="B303" s="751" t="s">
        <v>9</v>
      </c>
      <c r="C303" s="751" t="s">
        <v>9</v>
      </c>
      <c r="D303" s="751" t="s">
        <v>1666</v>
      </c>
      <c r="E303" s="55" t="s">
        <v>2529</v>
      </c>
      <c r="F303" s="1017" t="s">
        <v>1650</v>
      </c>
      <c r="G303" s="1018">
        <v>35977</v>
      </c>
      <c r="H303" s="50" t="s">
        <v>3702</v>
      </c>
      <c r="I303" s="760">
        <v>561</v>
      </c>
      <c r="J303" s="52">
        <v>21928</v>
      </c>
      <c r="K303" s="55" t="s">
        <v>3703</v>
      </c>
      <c r="L303" s="56" t="s">
        <v>3704</v>
      </c>
      <c r="M303" s="64">
        <v>6</v>
      </c>
      <c r="N303" s="65">
        <v>0</v>
      </c>
      <c r="O303" s="66">
        <v>200</v>
      </c>
      <c r="P303" s="67">
        <v>2</v>
      </c>
      <c r="Q303" s="68">
        <v>22</v>
      </c>
      <c r="R303" s="68">
        <v>2</v>
      </c>
      <c r="S303" s="68">
        <v>26</v>
      </c>
      <c r="T303" s="68">
        <v>2</v>
      </c>
      <c r="U303" s="69">
        <v>37</v>
      </c>
      <c r="V303" s="67"/>
      <c r="W303" s="68"/>
      <c r="X303" s="68"/>
      <c r="Y303" s="68"/>
      <c r="Z303" s="68"/>
      <c r="AA303" s="69"/>
      <c r="AB303" s="70"/>
      <c r="AC303" s="68"/>
      <c r="AD303" s="68"/>
      <c r="AE303" s="68"/>
      <c r="AF303" s="68">
        <f t="shared" si="309"/>
        <v>0</v>
      </c>
      <c r="AG303" s="68"/>
      <c r="AH303" s="68"/>
      <c r="AI303" s="69">
        <f t="shared" si="310"/>
        <v>0</v>
      </c>
      <c r="AJ303" s="70"/>
      <c r="AK303" s="68"/>
      <c r="AL303" s="68"/>
      <c r="AM303" s="68"/>
      <c r="AN303" s="68">
        <f t="shared" si="311"/>
        <v>0</v>
      </c>
      <c r="AO303" s="68"/>
      <c r="AP303" s="68"/>
      <c r="AQ303" s="69">
        <f t="shared" si="312"/>
        <v>0</v>
      </c>
      <c r="AR303" s="972"/>
      <c r="AS303" s="973"/>
      <c r="AT303" s="68"/>
      <c r="AU303" s="68"/>
      <c r="AV303" s="68"/>
      <c r="AW303" s="973">
        <f t="shared" si="313"/>
        <v>0</v>
      </c>
      <c r="AX303" s="973"/>
      <c r="AY303" s="973"/>
      <c r="AZ303" s="973"/>
      <c r="BA303" s="974">
        <f t="shared" si="314"/>
        <v>0</v>
      </c>
      <c r="BB303" s="975">
        <f t="shared" si="315"/>
        <v>6</v>
      </c>
      <c r="BC303" s="959">
        <f t="shared" si="316"/>
        <v>22</v>
      </c>
      <c r="BD303" s="959">
        <f t="shared" si="317"/>
        <v>26</v>
      </c>
      <c r="BE303" s="959">
        <f t="shared" si="318"/>
        <v>37</v>
      </c>
      <c r="BF303" s="959">
        <f t="shared" si="319"/>
        <v>85</v>
      </c>
      <c r="BG303" s="959">
        <f t="shared" si="320"/>
        <v>0</v>
      </c>
      <c r="BH303" s="959">
        <f t="shared" si="321"/>
        <v>0</v>
      </c>
      <c r="BI303" s="959">
        <f t="shared" si="322"/>
        <v>0</v>
      </c>
      <c r="BJ303" s="959">
        <f t="shared" si="323"/>
        <v>0</v>
      </c>
      <c r="BK303" s="959">
        <f t="shared" si="324"/>
        <v>0</v>
      </c>
      <c r="BL303" s="55"/>
    </row>
    <row r="304" spans="1:64" s="43" customFormat="1" ht="17.100000000000001" customHeight="1">
      <c r="A304" s="762" t="s">
        <v>1531</v>
      </c>
      <c r="B304" s="751" t="s">
        <v>9</v>
      </c>
      <c r="C304" s="751" t="s">
        <v>9</v>
      </c>
      <c r="D304" s="751" t="s">
        <v>1666</v>
      </c>
      <c r="E304" s="55" t="s">
        <v>2529</v>
      </c>
      <c r="F304" s="751" t="s">
        <v>1651</v>
      </c>
      <c r="G304" s="1018">
        <v>34029</v>
      </c>
      <c r="H304" s="50" t="s">
        <v>1875</v>
      </c>
      <c r="I304" s="760">
        <v>868</v>
      </c>
      <c r="J304" s="52">
        <v>21933</v>
      </c>
      <c r="K304" s="55" t="s">
        <v>1860</v>
      </c>
      <c r="L304" s="56" t="s">
        <v>1861</v>
      </c>
      <c r="M304" s="64">
        <v>6</v>
      </c>
      <c r="N304" s="65">
        <v>0</v>
      </c>
      <c r="O304" s="66">
        <v>156</v>
      </c>
      <c r="P304" s="67">
        <v>2</v>
      </c>
      <c r="Q304" s="68">
        <v>34</v>
      </c>
      <c r="R304" s="68">
        <v>2</v>
      </c>
      <c r="S304" s="68">
        <v>39</v>
      </c>
      <c r="T304" s="68">
        <v>2</v>
      </c>
      <c r="U304" s="69">
        <v>26</v>
      </c>
      <c r="V304" s="67"/>
      <c r="W304" s="68"/>
      <c r="X304" s="68"/>
      <c r="Y304" s="68"/>
      <c r="Z304" s="68"/>
      <c r="AA304" s="69"/>
      <c r="AB304" s="70"/>
      <c r="AC304" s="68"/>
      <c r="AD304" s="68"/>
      <c r="AE304" s="68"/>
      <c r="AF304" s="68">
        <f t="shared" si="309"/>
        <v>0</v>
      </c>
      <c r="AG304" s="68"/>
      <c r="AH304" s="68"/>
      <c r="AI304" s="69">
        <f t="shared" si="310"/>
        <v>0</v>
      </c>
      <c r="AJ304" s="70"/>
      <c r="AK304" s="68"/>
      <c r="AL304" s="68"/>
      <c r="AM304" s="68"/>
      <c r="AN304" s="68">
        <f t="shared" si="311"/>
        <v>0</v>
      </c>
      <c r="AO304" s="68"/>
      <c r="AP304" s="68"/>
      <c r="AQ304" s="69">
        <f t="shared" si="312"/>
        <v>0</v>
      </c>
      <c r="AR304" s="972"/>
      <c r="AS304" s="973"/>
      <c r="AT304" s="68"/>
      <c r="AU304" s="68"/>
      <c r="AV304" s="68"/>
      <c r="AW304" s="973">
        <f t="shared" si="313"/>
        <v>0</v>
      </c>
      <c r="AX304" s="973"/>
      <c r="AY304" s="973"/>
      <c r="AZ304" s="973"/>
      <c r="BA304" s="974">
        <f t="shared" si="314"/>
        <v>0</v>
      </c>
      <c r="BB304" s="976">
        <f t="shared" si="315"/>
        <v>6</v>
      </c>
      <c r="BC304" s="959">
        <f t="shared" si="316"/>
        <v>34</v>
      </c>
      <c r="BD304" s="959">
        <f t="shared" si="317"/>
        <v>39</v>
      </c>
      <c r="BE304" s="959">
        <f t="shared" si="318"/>
        <v>26</v>
      </c>
      <c r="BF304" s="959">
        <f t="shared" si="319"/>
        <v>99</v>
      </c>
      <c r="BG304" s="959">
        <f t="shared" si="320"/>
        <v>0</v>
      </c>
      <c r="BH304" s="959">
        <f t="shared" si="321"/>
        <v>0</v>
      </c>
      <c r="BI304" s="959">
        <f t="shared" si="322"/>
        <v>0</v>
      </c>
      <c r="BJ304" s="959">
        <f t="shared" si="323"/>
        <v>0</v>
      </c>
      <c r="BK304" s="959">
        <f t="shared" si="324"/>
        <v>0</v>
      </c>
      <c r="BL304" s="55"/>
    </row>
    <row r="305" spans="1:64" s="43" customFormat="1" ht="17.100000000000001" customHeight="1">
      <c r="A305" s="762" t="s">
        <v>1531</v>
      </c>
      <c r="B305" s="751" t="s">
        <v>9</v>
      </c>
      <c r="C305" s="751" t="s">
        <v>9</v>
      </c>
      <c r="D305" s="751" t="s">
        <v>1666</v>
      </c>
      <c r="E305" s="55" t="s">
        <v>2529</v>
      </c>
      <c r="F305" s="1017" t="s">
        <v>1649</v>
      </c>
      <c r="G305" s="1018">
        <v>34394</v>
      </c>
      <c r="H305" s="50" t="s">
        <v>1874</v>
      </c>
      <c r="I305" s="760">
        <v>186</v>
      </c>
      <c r="J305" s="52">
        <v>21937</v>
      </c>
      <c r="K305" s="55" t="s">
        <v>3705</v>
      </c>
      <c r="L305" s="56" t="s">
        <v>3706</v>
      </c>
      <c r="M305" s="64">
        <v>4</v>
      </c>
      <c r="N305" s="65">
        <v>0</v>
      </c>
      <c r="O305" s="66">
        <v>120</v>
      </c>
      <c r="P305" s="67">
        <v>1</v>
      </c>
      <c r="Q305" s="68">
        <v>12</v>
      </c>
      <c r="R305" s="68">
        <v>1</v>
      </c>
      <c r="S305" s="68">
        <v>20</v>
      </c>
      <c r="T305" s="68">
        <v>1</v>
      </c>
      <c r="U305" s="69">
        <v>16</v>
      </c>
      <c r="V305" s="67"/>
      <c r="W305" s="68"/>
      <c r="X305" s="68"/>
      <c r="Y305" s="68"/>
      <c r="Z305" s="68"/>
      <c r="AA305" s="69"/>
      <c r="AB305" s="70"/>
      <c r="AC305" s="68"/>
      <c r="AD305" s="68"/>
      <c r="AE305" s="68"/>
      <c r="AF305" s="68">
        <f t="shared" si="309"/>
        <v>0</v>
      </c>
      <c r="AG305" s="68"/>
      <c r="AH305" s="68"/>
      <c r="AI305" s="69">
        <f t="shared" si="310"/>
        <v>0</v>
      </c>
      <c r="AJ305" s="70"/>
      <c r="AK305" s="68"/>
      <c r="AL305" s="68"/>
      <c r="AM305" s="68"/>
      <c r="AN305" s="68">
        <f t="shared" si="311"/>
        <v>0</v>
      </c>
      <c r="AO305" s="68"/>
      <c r="AP305" s="68"/>
      <c r="AQ305" s="69">
        <f t="shared" si="312"/>
        <v>0</v>
      </c>
      <c r="AR305" s="972"/>
      <c r="AS305" s="973"/>
      <c r="AT305" s="68"/>
      <c r="AU305" s="68"/>
      <c r="AV305" s="68"/>
      <c r="AW305" s="973">
        <f t="shared" si="313"/>
        <v>0</v>
      </c>
      <c r="AX305" s="973"/>
      <c r="AY305" s="973"/>
      <c r="AZ305" s="973"/>
      <c r="BA305" s="974">
        <f t="shared" si="314"/>
        <v>0</v>
      </c>
      <c r="BB305" s="975">
        <f t="shared" si="315"/>
        <v>3</v>
      </c>
      <c r="BC305" s="959">
        <f t="shared" si="316"/>
        <v>12</v>
      </c>
      <c r="BD305" s="959">
        <f t="shared" si="317"/>
        <v>20</v>
      </c>
      <c r="BE305" s="959">
        <f t="shared" si="318"/>
        <v>16</v>
      </c>
      <c r="BF305" s="959">
        <f t="shared" si="319"/>
        <v>48</v>
      </c>
      <c r="BG305" s="959">
        <f t="shared" si="320"/>
        <v>0</v>
      </c>
      <c r="BH305" s="959">
        <f t="shared" si="321"/>
        <v>0</v>
      </c>
      <c r="BI305" s="959">
        <f t="shared" si="322"/>
        <v>0</v>
      </c>
      <c r="BJ305" s="959">
        <f t="shared" si="323"/>
        <v>0</v>
      </c>
      <c r="BK305" s="959">
        <f t="shared" si="324"/>
        <v>0</v>
      </c>
      <c r="BL305" s="55"/>
    </row>
    <row r="306" spans="1:64" s="43" customFormat="1" ht="17.100000000000001" customHeight="1">
      <c r="A306" s="762" t="s">
        <v>1532</v>
      </c>
      <c r="B306" s="751" t="s">
        <v>9</v>
      </c>
      <c r="C306" s="751" t="s">
        <v>9</v>
      </c>
      <c r="D306" s="751" t="s">
        <v>1667</v>
      </c>
      <c r="E306" s="55" t="s">
        <v>2529</v>
      </c>
      <c r="F306" s="1017" t="s">
        <v>1652</v>
      </c>
      <c r="G306" s="1018">
        <v>34779</v>
      </c>
      <c r="H306" s="50" t="s">
        <v>1876</v>
      </c>
      <c r="I306" s="760">
        <v>686</v>
      </c>
      <c r="J306" s="52">
        <v>21945</v>
      </c>
      <c r="K306" s="55" t="s">
        <v>3707</v>
      </c>
      <c r="L306" s="56" t="s">
        <v>3708</v>
      </c>
      <c r="M306" s="64">
        <v>7</v>
      </c>
      <c r="N306" s="65">
        <v>0</v>
      </c>
      <c r="O306" s="66">
        <v>210</v>
      </c>
      <c r="P306" s="67">
        <v>2</v>
      </c>
      <c r="Q306" s="68">
        <v>27</v>
      </c>
      <c r="R306" s="68">
        <v>2</v>
      </c>
      <c r="S306" s="68">
        <v>47</v>
      </c>
      <c r="T306" s="68">
        <v>2</v>
      </c>
      <c r="U306" s="69">
        <v>26</v>
      </c>
      <c r="V306" s="67"/>
      <c r="W306" s="68"/>
      <c r="X306" s="68"/>
      <c r="Y306" s="68"/>
      <c r="Z306" s="68"/>
      <c r="AA306" s="69"/>
      <c r="AB306" s="70"/>
      <c r="AC306" s="68"/>
      <c r="AD306" s="68"/>
      <c r="AE306" s="68"/>
      <c r="AF306" s="68">
        <f t="shared" si="309"/>
        <v>0</v>
      </c>
      <c r="AG306" s="68"/>
      <c r="AH306" s="68"/>
      <c r="AI306" s="69">
        <f t="shared" si="310"/>
        <v>0</v>
      </c>
      <c r="AJ306" s="70"/>
      <c r="AK306" s="68"/>
      <c r="AL306" s="68"/>
      <c r="AM306" s="68"/>
      <c r="AN306" s="68">
        <f t="shared" si="311"/>
        <v>0</v>
      </c>
      <c r="AO306" s="68"/>
      <c r="AP306" s="68"/>
      <c r="AQ306" s="69">
        <f t="shared" si="312"/>
        <v>0</v>
      </c>
      <c r="AR306" s="972"/>
      <c r="AS306" s="973"/>
      <c r="AT306" s="68"/>
      <c r="AU306" s="68"/>
      <c r="AV306" s="68"/>
      <c r="AW306" s="973">
        <f t="shared" si="313"/>
        <v>0</v>
      </c>
      <c r="AX306" s="973"/>
      <c r="AY306" s="973"/>
      <c r="AZ306" s="973"/>
      <c r="BA306" s="974">
        <f t="shared" si="314"/>
        <v>0</v>
      </c>
      <c r="BB306" s="975">
        <f t="shared" si="315"/>
        <v>6</v>
      </c>
      <c r="BC306" s="959">
        <f t="shared" si="316"/>
        <v>27</v>
      </c>
      <c r="BD306" s="959">
        <f t="shared" si="317"/>
        <v>47</v>
      </c>
      <c r="BE306" s="959">
        <f t="shared" si="318"/>
        <v>26</v>
      </c>
      <c r="BF306" s="959">
        <f t="shared" si="319"/>
        <v>100</v>
      </c>
      <c r="BG306" s="959">
        <f t="shared" si="320"/>
        <v>0</v>
      </c>
      <c r="BH306" s="959">
        <f t="shared" si="321"/>
        <v>0</v>
      </c>
      <c r="BI306" s="959">
        <f t="shared" si="322"/>
        <v>0</v>
      </c>
      <c r="BJ306" s="959">
        <f t="shared" si="323"/>
        <v>0</v>
      </c>
      <c r="BK306" s="959">
        <f t="shared" si="324"/>
        <v>0</v>
      </c>
      <c r="BL306" s="55"/>
    </row>
    <row r="307" spans="1:64" s="43" customFormat="1" ht="17.100000000000001" customHeight="1">
      <c r="A307" s="762" t="s">
        <v>1532</v>
      </c>
      <c r="B307" s="751" t="s">
        <v>9</v>
      </c>
      <c r="C307" s="751" t="s">
        <v>9</v>
      </c>
      <c r="D307" s="751" t="s">
        <v>1667</v>
      </c>
      <c r="E307" s="55" t="s">
        <v>2529</v>
      </c>
      <c r="F307" s="1017" t="s">
        <v>3709</v>
      </c>
      <c r="G307" s="1018">
        <v>40343</v>
      </c>
      <c r="H307" s="50" t="s">
        <v>3710</v>
      </c>
      <c r="I307" s="760">
        <v>370</v>
      </c>
      <c r="J307" s="52">
        <v>21953</v>
      </c>
      <c r="K307" s="55" t="s">
        <v>3711</v>
      </c>
      <c r="L307" s="56" t="s">
        <v>3712</v>
      </c>
      <c r="M307" s="64">
        <v>6</v>
      </c>
      <c r="N307" s="65">
        <v>0</v>
      </c>
      <c r="O307" s="66">
        <v>144</v>
      </c>
      <c r="P307" s="67">
        <v>2</v>
      </c>
      <c r="Q307" s="68">
        <v>48</v>
      </c>
      <c r="R307" s="68">
        <v>2</v>
      </c>
      <c r="S307" s="68">
        <v>47</v>
      </c>
      <c r="T307" s="68">
        <v>2</v>
      </c>
      <c r="U307" s="69">
        <v>42</v>
      </c>
      <c r="V307" s="67"/>
      <c r="W307" s="68"/>
      <c r="X307" s="68"/>
      <c r="Y307" s="68"/>
      <c r="Z307" s="68"/>
      <c r="AA307" s="69"/>
      <c r="AB307" s="70"/>
      <c r="AC307" s="68"/>
      <c r="AD307" s="68"/>
      <c r="AE307" s="68"/>
      <c r="AF307" s="68">
        <f t="shared" si="309"/>
        <v>0</v>
      </c>
      <c r="AG307" s="68"/>
      <c r="AH307" s="68"/>
      <c r="AI307" s="69">
        <f t="shared" si="310"/>
        <v>0</v>
      </c>
      <c r="AJ307" s="70"/>
      <c r="AK307" s="68"/>
      <c r="AL307" s="68"/>
      <c r="AM307" s="68"/>
      <c r="AN307" s="68">
        <f t="shared" si="311"/>
        <v>0</v>
      </c>
      <c r="AO307" s="68"/>
      <c r="AP307" s="68"/>
      <c r="AQ307" s="69">
        <f t="shared" si="312"/>
        <v>0</v>
      </c>
      <c r="AR307" s="972"/>
      <c r="AS307" s="973"/>
      <c r="AT307" s="68"/>
      <c r="AU307" s="68"/>
      <c r="AV307" s="68"/>
      <c r="AW307" s="973">
        <f t="shared" si="313"/>
        <v>0</v>
      </c>
      <c r="AX307" s="973"/>
      <c r="AY307" s="973"/>
      <c r="AZ307" s="973"/>
      <c r="BA307" s="974">
        <f t="shared" si="314"/>
        <v>0</v>
      </c>
      <c r="BB307" s="976">
        <f t="shared" si="315"/>
        <v>6</v>
      </c>
      <c r="BC307" s="959">
        <f t="shared" si="316"/>
        <v>48</v>
      </c>
      <c r="BD307" s="959">
        <f t="shared" si="317"/>
        <v>47</v>
      </c>
      <c r="BE307" s="959">
        <f t="shared" si="318"/>
        <v>42</v>
      </c>
      <c r="BF307" s="959">
        <f t="shared" si="319"/>
        <v>137</v>
      </c>
      <c r="BG307" s="959">
        <f t="shared" si="320"/>
        <v>0</v>
      </c>
      <c r="BH307" s="959">
        <f t="shared" si="321"/>
        <v>0</v>
      </c>
      <c r="BI307" s="959">
        <f t="shared" si="322"/>
        <v>0</v>
      </c>
      <c r="BJ307" s="959">
        <f t="shared" si="323"/>
        <v>0</v>
      </c>
      <c r="BK307" s="959">
        <f t="shared" si="324"/>
        <v>0</v>
      </c>
      <c r="BL307" s="55"/>
    </row>
    <row r="308" spans="1:64" s="43" customFormat="1" ht="17.100000000000001" customHeight="1">
      <c r="A308" s="762" t="s">
        <v>1532</v>
      </c>
      <c r="B308" s="751" t="s">
        <v>9</v>
      </c>
      <c r="C308" s="751" t="s">
        <v>9</v>
      </c>
      <c r="D308" s="751" t="s">
        <v>1667</v>
      </c>
      <c r="E308" s="55" t="s">
        <v>2529</v>
      </c>
      <c r="F308" s="1017" t="s">
        <v>1653</v>
      </c>
      <c r="G308" s="1018">
        <v>35132</v>
      </c>
      <c r="H308" s="50" t="s">
        <v>1877</v>
      </c>
      <c r="I308" s="760">
        <v>496</v>
      </c>
      <c r="J308" s="52">
        <v>21952</v>
      </c>
      <c r="K308" s="55" t="s">
        <v>3713</v>
      </c>
      <c r="L308" s="56" t="s">
        <v>3714</v>
      </c>
      <c r="M308" s="64">
        <v>5</v>
      </c>
      <c r="N308" s="65">
        <v>0</v>
      </c>
      <c r="O308" s="66">
        <v>103</v>
      </c>
      <c r="P308" s="67">
        <v>2</v>
      </c>
      <c r="Q308" s="68">
        <v>28</v>
      </c>
      <c r="R308" s="68">
        <v>2</v>
      </c>
      <c r="S308" s="68">
        <v>34</v>
      </c>
      <c r="T308" s="68">
        <v>1</v>
      </c>
      <c r="U308" s="69">
        <v>23</v>
      </c>
      <c r="V308" s="67"/>
      <c r="W308" s="68"/>
      <c r="X308" s="68"/>
      <c r="Y308" s="68"/>
      <c r="Z308" s="68"/>
      <c r="AA308" s="69"/>
      <c r="AB308" s="70"/>
      <c r="AC308" s="68"/>
      <c r="AD308" s="68"/>
      <c r="AE308" s="68"/>
      <c r="AF308" s="68">
        <f t="shared" si="309"/>
        <v>0</v>
      </c>
      <c r="AG308" s="68"/>
      <c r="AH308" s="68"/>
      <c r="AI308" s="69">
        <f t="shared" si="310"/>
        <v>0</v>
      </c>
      <c r="AJ308" s="70"/>
      <c r="AK308" s="68"/>
      <c r="AL308" s="68"/>
      <c r="AM308" s="68"/>
      <c r="AN308" s="68">
        <f t="shared" si="311"/>
        <v>0</v>
      </c>
      <c r="AO308" s="68"/>
      <c r="AP308" s="68"/>
      <c r="AQ308" s="69">
        <f t="shared" si="312"/>
        <v>0</v>
      </c>
      <c r="AR308" s="972"/>
      <c r="AS308" s="973"/>
      <c r="AT308" s="68"/>
      <c r="AU308" s="68"/>
      <c r="AV308" s="68"/>
      <c r="AW308" s="973">
        <f t="shared" si="313"/>
        <v>0</v>
      </c>
      <c r="AX308" s="973"/>
      <c r="AY308" s="973"/>
      <c r="AZ308" s="973"/>
      <c r="BA308" s="974">
        <f t="shared" si="314"/>
        <v>0</v>
      </c>
      <c r="BB308" s="975">
        <f t="shared" si="315"/>
        <v>5</v>
      </c>
      <c r="BC308" s="959">
        <f t="shared" si="316"/>
        <v>28</v>
      </c>
      <c r="BD308" s="959">
        <f t="shared" si="317"/>
        <v>34</v>
      </c>
      <c r="BE308" s="959">
        <f t="shared" si="318"/>
        <v>23</v>
      </c>
      <c r="BF308" s="959">
        <f t="shared" si="319"/>
        <v>85</v>
      </c>
      <c r="BG308" s="959">
        <f t="shared" si="320"/>
        <v>0</v>
      </c>
      <c r="BH308" s="959">
        <f t="shared" si="321"/>
        <v>0</v>
      </c>
      <c r="BI308" s="959">
        <f t="shared" si="322"/>
        <v>0</v>
      </c>
      <c r="BJ308" s="959">
        <f t="shared" si="323"/>
        <v>0</v>
      </c>
      <c r="BK308" s="959">
        <f t="shared" si="324"/>
        <v>0</v>
      </c>
      <c r="BL308" s="55"/>
    </row>
    <row r="309" spans="1:64" s="43" customFormat="1" ht="17.100000000000001" customHeight="1">
      <c r="A309" s="762" t="s">
        <v>1532</v>
      </c>
      <c r="B309" s="751" t="s">
        <v>9</v>
      </c>
      <c r="C309" s="751" t="s">
        <v>9</v>
      </c>
      <c r="D309" s="751" t="s">
        <v>1668</v>
      </c>
      <c r="E309" s="55" t="s">
        <v>2529</v>
      </c>
      <c r="F309" s="751" t="s">
        <v>1654</v>
      </c>
      <c r="G309" s="1018">
        <v>32933</v>
      </c>
      <c r="H309" s="50" t="s">
        <v>1878</v>
      </c>
      <c r="I309" s="760">
        <v>567</v>
      </c>
      <c r="J309" s="52">
        <v>21955</v>
      </c>
      <c r="K309" s="55" t="s">
        <v>3715</v>
      </c>
      <c r="L309" s="56" t="s">
        <v>3716</v>
      </c>
      <c r="M309" s="64">
        <v>6</v>
      </c>
      <c r="N309" s="65">
        <v>0</v>
      </c>
      <c r="O309" s="66">
        <v>139</v>
      </c>
      <c r="P309" s="67">
        <v>2</v>
      </c>
      <c r="Q309" s="68">
        <v>46</v>
      </c>
      <c r="R309" s="68">
        <v>2</v>
      </c>
      <c r="S309" s="68">
        <v>52</v>
      </c>
      <c r="T309" s="68">
        <v>2</v>
      </c>
      <c r="U309" s="69">
        <v>34</v>
      </c>
      <c r="V309" s="67"/>
      <c r="W309" s="68"/>
      <c r="X309" s="68"/>
      <c r="Y309" s="68"/>
      <c r="Z309" s="68"/>
      <c r="AA309" s="69"/>
      <c r="AB309" s="70"/>
      <c r="AC309" s="68"/>
      <c r="AD309" s="68"/>
      <c r="AE309" s="68"/>
      <c r="AF309" s="68">
        <f t="shared" si="309"/>
        <v>0</v>
      </c>
      <c r="AG309" s="68"/>
      <c r="AH309" s="68"/>
      <c r="AI309" s="69">
        <f t="shared" si="310"/>
        <v>0</v>
      </c>
      <c r="AJ309" s="70"/>
      <c r="AK309" s="68"/>
      <c r="AL309" s="68"/>
      <c r="AM309" s="68"/>
      <c r="AN309" s="68">
        <f t="shared" si="311"/>
        <v>0</v>
      </c>
      <c r="AO309" s="68"/>
      <c r="AP309" s="68"/>
      <c r="AQ309" s="69">
        <f t="shared" si="312"/>
        <v>0</v>
      </c>
      <c r="AR309" s="972"/>
      <c r="AS309" s="973"/>
      <c r="AT309" s="68"/>
      <c r="AU309" s="68"/>
      <c r="AV309" s="68"/>
      <c r="AW309" s="973">
        <f t="shared" si="313"/>
        <v>0</v>
      </c>
      <c r="AX309" s="973"/>
      <c r="AY309" s="973"/>
      <c r="AZ309" s="973"/>
      <c r="BA309" s="974">
        <f t="shared" si="314"/>
        <v>0</v>
      </c>
      <c r="BB309" s="975">
        <f t="shared" si="315"/>
        <v>6</v>
      </c>
      <c r="BC309" s="959">
        <f t="shared" si="316"/>
        <v>46</v>
      </c>
      <c r="BD309" s="959">
        <f t="shared" si="317"/>
        <v>52</v>
      </c>
      <c r="BE309" s="959">
        <f t="shared" si="318"/>
        <v>34</v>
      </c>
      <c r="BF309" s="959">
        <f t="shared" si="319"/>
        <v>132</v>
      </c>
      <c r="BG309" s="959">
        <f t="shared" si="320"/>
        <v>0</v>
      </c>
      <c r="BH309" s="959">
        <f t="shared" si="321"/>
        <v>0</v>
      </c>
      <c r="BI309" s="959">
        <f t="shared" si="322"/>
        <v>0</v>
      </c>
      <c r="BJ309" s="959">
        <f t="shared" si="323"/>
        <v>0</v>
      </c>
      <c r="BK309" s="959">
        <f t="shared" si="324"/>
        <v>0</v>
      </c>
      <c r="BL309" s="55"/>
    </row>
    <row r="310" spans="1:64" s="43" customFormat="1" ht="17.100000000000001" customHeight="1">
      <c r="A310" s="762" t="s">
        <v>1532</v>
      </c>
      <c r="B310" s="751" t="s">
        <v>9</v>
      </c>
      <c r="C310" s="751" t="s">
        <v>9</v>
      </c>
      <c r="D310" s="751" t="s">
        <v>1668</v>
      </c>
      <c r="E310" s="55" t="s">
        <v>2529</v>
      </c>
      <c r="F310" s="1017" t="s">
        <v>1655</v>
      </c>
      <c r="G310" s="1018">
        <v>34687</v>
      </c>
      <c r="H310" s="50" t="s">
        <v>1879</v>
      </c>
      <c r="I310" s="760">
        <v>683</v>
      </c>
      <c r="J310" s="52">
        <v>21957</v>
      </c>
      <c r="K310" s="55" t="s">
        <v>3717</v>
      </c>
      <c r="L310" s="56" t="s">
        <v>3718</v>
      </c>
      <c r="M310" s="64">
        <v>6</v>
      </c>
      <c r="N310" s="65">
        <v>0</v>
      </c>
      <c r="O310" s="66">
        <v>210</v>
      </c>
      <c r="P310" s="67">
        <v>2</v>
      </c>
      <c r="Q310" s="68">
        <v>48</v>
      </c>
      <c r="R310" s="68">
        <v>2</v>
      </c>
      <c r="S310" s="68">
        <v>54</v>
      </c>
      <c r="T310" s="68">
        <v>2</v>
      </c>
      <c r="U310" s="69">
        <v>56</v>
      </c>
      <c r="V310" s="67"/>
      <c r="W310" s="68"/>
      <c r="X310" s="68"/>
      <c r="Y310" s="68"/>
      <c r="Z310" s="68"/>
      <c r="AA310" s="69"/>
      <c r="AB310" s="70"/>
      <c r="AC310" s="68"/>
      <c r="AD310" s="68"/>
      <c r="AE310" s="68"/>
      <c r="AF310" s="68">
        <f t="shared" si="309"/>
        <v>0</v>
      </c>
      <c r="AG310" s="68"/>
      <c r="AH310" s="68"/>
      <c r="AI310" s="69">
        <f t="shared" si="310"/>
        <v>0</v>
      </c>
      <c r="AJ310" s="70"/>
      <c r="AK310" s="68"/>
      <c r="AL310" s="68"/>
      <c r="AM310" s="68"/>
      <c r="AN310" s="68">
        <f t="shared" si="311"/>
        <v>0</v>
      </c>
      <c r="AO310" s="68"/>
      <c r="AP310" s="68"/>
      <c r="AQ310" s="69">
        <f t="shared" si="312"/>
        <v>0</v>
      </c>
      <c r="AR310" s="972"/>
      <c r="AS310" s="973"/>
      <c r="AT310" s="68"/>
      <c r="AU310" s="68"/>
      <c r="AV310" s="68"/>
      <c r="AW310" s="973">
        <f t="shared" si="313"/>
        <v>0</v>
      </c>
      <c r="AX310" s="973"/>
      <c r="AY310" s="973"/>
      <c r="AZ310" s="973"/>
      <c r="BA310" s="974">
        <f t="shared" si="314"/>
        <v>0</v>
      </c>
      <c r="BB310" s="976">
        <f t="shared" si="315"/>
        <v>6</v>
      </c>
      <c r="BC310" s="959">
        <f t="shared" si="316"/>
        <v>48</v>
      </c>
      <c r="BD310" s="959">
        <f t="shared" si="317"/>
        <v>54</v>
      </c>
      <c r="BE310" s="959">
        <f t="shared" si="318"/>
        <v>56</v>
      </c>
      <c r="BF310" s="959">
        <f t="shared" si="319"/>
        <v>158</v>
      </c>
      <c r="BG310" s="959">
        <f t="shared" si="320"/>
        <v>0</v>
      </c>
      <c r="BH310" s="959">
        <f t="shared" si="321"/>
        <v>0</v>
      </c>
      <c r="BI310" s="959">
        <f t="shared" si="322"/>
        <v>0</v>
      </c>
      <c r="BJ310" s="959">
        <f t="shared" si="323"/>
        <v>0</v>
      </c>
      <c r="BK310" s="959">
        <f t="shared" si="324"/>
        <v>0</v>
      </c>
      <c r="BL310" s="55"/>
    </row>
    <row r="311" spans="1:64" s="43" customFormat="1" ht="17.100000000000001" customHeight="1">
      <c r="A311" s="762" t="s">
        <v>1532</v>
      </c>
      <c r="B311" s="751" t="s">
        <v>9</v>
      </c>
      <c r="C311" s="751" t="s">
        <v>9</v>
      </c>
      <c r="D311" s="751" t="s">
        <v>1533</v>
      </c>
      <c r="E311" s="55" t="s">
        <v>2529</v>
      </c>
      <c r="F311" s="751" t="s">
        <v>1657</v>
      </c>
      <c r="G311" s="1018">
        <v>34734</v>
      </c>
      <c r="H311" s="50" t="s">
        <v>1881</v>
      </c>
      <c r="I311" s="760">
        <v>745</v>
      </c>
      <c r="J311" s="52">
        <v>21916</v>
      </c>
      <c r="K311" s="55" t="s">
        <v>3719</v>
      </c>
      <c r="L311" s="56" t="s">
        <v>3720</v>
      </c>
      <c r="M311" s="64">
        <v>8</v>
      </c>
      <c r="N311" s="65">
        <v>0</v>
      </c>
      <c r="O311" s="66">
        <v>168</v>
      </c>
      <c r="P311" s="67">
        <v>3</v>
      </c>
      <c r="Q311" s="68">
        <v>61</v>
      </c>
      <c r="R311" s="68">
        <v>3</v>
      </c>
      <c r="S311" s="68">
        <v>64</v>
      </c>
      <c r="T311" s="68">
        <v>2</v>
      </c>
      <c r="U311" s="69">
        <v>43</v>
      </c>
      <c r="V311" s="67"/>
      <c r="W311" s="68"/>
      <c r="X311" s="68"/>
      <c r="Y311" s="68"/>
      <c r="Z311" s="68"/>
      <c r="AA311" s="69"/>
      <c r="AB311" s="70"/>
      <c r="AC311" s="68"/>
      <c r="AD311" s="68"/>
      <c r="AE311" s="68"/>
      <c r="AF311" s="68">
        <f t="shared" si="309"/>
        <v>0</v>
      </c>
      <c r="AG311" s="68"/>
      <c r="AH311" s="68"/>
      <c r="AI311" s="69">
        <f t="shared" si="310"/>
        <v>0</v>
      </c>
      <c r="AJ311" s="70"/>
      <c r="AK311" s="68"/>
      <c r="AL311" s="68"/>
      <c r="AM311" s="68"/>
      <c r="AN311" s="68">
        <f t="shared" si="311"/>
        <v>0</v>
      </c>
      <c r="AO311" s="68"/>
      <c r="AP311" s="68"/>
      <c r="AQ311" s="69">
        <f t="shared" si="312"/>
        <v>0</v>
      </c>
      <c r="AR311" s="972"/>
      <c r="AS311" s="973"/>
      <c r="AT311" s="68"/>
      <c r="AU311" s="68"/>
      <c r="AV311" s="68"/>
      <c r="AW311" s="973">
        <f t="shared" si="313"/>
        <v>0</v>
      </c>
      <c r="AX311" s="973"/>
      <c r="AY311" s="973"/>
      <c r="AZ311" s="973"/>
      <c r="BA311" s="974">
        <f t="shared" si="314"/>
        <v>0</v>
      </c>
      <c r="BB311" s="975">
        <f t="shared" si="315"/>
        <v>8</v>
      </c>
      <c r="BC311" s="959">
        <f t="shared" si="316"/>
        <v>61</v>
      </c>
      <c r="BD311" s="959">
        <f t="shared" si="317"/>
        <v>64</v>
      </c>
      <c r="BE311" s="959">
        <f t="shared" si="318"/>
        <v>43</v>
      </c>
      <c r="BF311" s="959">
        <f t="shared" si="319"/>
        <v>168</v>
      </c>
      <c r="BG311" s="959">
        <f t="shared" si="320"/>
        <v>0</v>
      </c>
      <c r="BH311" s="959">
        <f t="shared" si="321"/>
        <v>0</v>
      </c>
      <c r="BI311" s="959">
        <f t="shared" si="322"/>
        <v>0</v>
      </c>
      <c r="BJ311" s="959">
        <f t="shared" si="323"/>
        <v>0</v>
      </c>
      <c r="BK311" s="959">
        <f t="shared" si="324"/>
        <v>0</v>
      </c>
      <c r="BL311" s="55"/>
    </row>
    <row r="312" spans="1:64" s="43" customFormat="1" ht="17.100000000000001" customHeight="1">
      <c r="A312" s="762" t="s">
        <v>1532</v>
      </c>
      <c r="B312" s="751" t="s">
        <v>9</v>
      </c>
      <c r="C312" s="751" t="s">
        <v>9</v>
      </c>
      <c r="D312" s="751" t="s">
        <v>1533</v>
      </c>
      <c r="E312" s="55" t="s">
        <v>2529</v>
      </c>
      <c r="F312" s="751" t="s">
        <v>3721</v>
      </c>
      <c r="G312" s="1018">
        <v>38848</v>
      </c>
      <c r="H312" s="50" t="s">
        <v>1882</v>
      </c>
      <c r="I312" s="760">
        <v>1110</v>
      </c>
      <c r="J312" s="52">
        <v>21917</v>
      </c>
      <c r="K312" s="55" t="s">
        <v>3722</v>
      </c>
      <c r="L312" s="56" t="s">
        <v>3723</v>
      </c>
      <c r="M312" s="64">
        <v>6</v>
      </c>
      <c r="N312" s="65">
        <v>0</v>
      </c>
      <c r="O312" s="66">
        <v>180</v>
      </c>
      <c r="P312" s="67"/>
      <c r="Q312" s="68"/>
      <c r="R312" s="68"/>
      <c r="S312" s="68"/>
      <c r="T312" s="68"/>
      <c r="U312" s="69"/>
      <c r="V312" s="67"/>
      <c r="W312" s="68"/>
      <c r="X312" s="68"/>
      <c r="Y312" s="68"/>
      <c r="Z312" s="68"/>
      <c r="AA312" s="69"/>
      <c r="AB312" s="70"/>
      <c r="AC312" s="68"/>
      <c r="AD312" s="68"/>
      <c r="AE312" s="68"/>
      <c r="AF312" s="68">
        <f t="shared" si="309"/>
        <v>0</v>
      </c>
      <c r="AG312" s="68"/>
      <c r="AH312" s="68"/>
      <c r="AI312" s="69">
        <f t="shared" si="310"/>
        <v>0</v>
      </c>
      <c r="AJ312" s="70"/>
      <c r="AK312" s="68"/>
      <c r="AL312" s="68"/>
      <c r="AM312" s="68"/>
      <c r="AN312" s="68">
        <f t="shared" si="311"/>
        <v>0</v>
      </c>
      <c r="AO312" s="68"/>
      <c r="AP312" s="68"/>
      <c r="AQ312" s="69">
        <f t="shared" si="312"/>
        <v>0</v>
      </c>
      <c r="AR312" s="972"/>
      <c r="AS312" s="973"/>
      <c r="AT312" s="68"/>
      <c r="AU312" s="68"/>
      <c r="AV312" s="68"/>
      <c r="AW312" s="973">
        <f t="shared" si="313"/>
        <v>0</v>
      </c>
      <c r="AX312" s="973"/>
      <c r="AY312" s="973"/>
      <c r="AZ312" s="973"/>
      <c r="BA312" s="974">
        <f t="shared" si="314"/>
        <v>0</v>
      </c>
      <c r="BB312" s="975">
        <f t="shared" si="315"/>
        <v>0</v>
      </c>
      <c r="BC312" s="959">
        <f t="shared" si="316"/>
        <v>0</v>
      </c>
      <c r="BD312" s="959">
        <f t="shared" si="317"/>
        <v>0</v>
      </c>
      <c r="BE312" s="959">
        <f t="shared" si="318"/>
        <v>0</v>
      </c>
      <c r="BF312" s="959">
        <f t="shared" si="319"/>
        <v>0</v>
      </c>
      <c r="BG312" s="959">
        <f t="shared" si="320"/>
        <v>0</v>
      </c>
      <c r="BH312" s="959">
        <f t="shared" si="321"/>
        <v>0</v>
      </c>
      <c r="BI312" s="959">
        <f t="shared" si="322"/>
        <v>0</v>
      </c>
      <c r="BJ312" s="959">
        <f t="shared" si="323"/>
        <v>0</v>
      </c>
      <c r="BK312" s="959">
        <f t="shared" si="324"/>
        <v>0</v>
      </c>
      <c r="BL312" s="55"/>
    </row>
    <row r="313" spans="1:64" s="43" customFormat="1" ht="17.100000000000001" customHeight="1">
      <c r="A313" s="762" t="s">
        <v>1532</v>
      </c>
      <c r="B313" s="751" t="s">
        <v>9</v>
      </c>
      <c r="C313" s="751" t="s">
        <v>9</v>
      </c>
      <c r="D313" s="751" t="s">
        <v>1533</v>
      </c>
      <c r="E313" s="55" t="s">
        <v>2529</v>
      </c>
      <c r="F313" s="1017" t="s">
        <v>1656</v>
      </c>
      <c r="G313" s="1018">
        <v>30316</v>
      </c>
      <c r="H313" s="50" t="s">
        <v>1880</v>
      </c>
      <c r="I313" s="760">
        <v>2644</v>
      </c>
      <c r="J313" s="52">
        <v>21902</v>
      </c>
      <c r="K313" s="55" t="s">
        <v>3724</v>
      </c>
      <c r="L313" s="56" t="s">
        <v>3725</v>
      </c>
      <c r="M313" s="64">
        <v>10</v>
      </c>
      <c r="N313" s="65">
        <v>0</v>
      </c>
      <c r="O313" s="66">
        <v>390</v>
      </c>
      <c r="P313" s="67">
        <v>3</v>
      </c>
      <c r="Q313" s="68">
        <v>78</v>
      </c>
      <c r="R313" s="68">
        <v>3</v>
      </c>
      <c r="S313" s="68">
        <v>84</v>
      </c>
      <c r="T313" s="68">
        <v>4</v>
      </c>
      <c r="U313" s="69">
        <v>118</v>
      </c>
      <c r="V313" s="67"/>
      <c r="W313" s="68"/>
      <c r="X313" s="68"/>
      <c r="Y313" s="68"/>
      <c r="Z313" s="68"/>
      <c r="AA313" s="69"/>
      <c r="AB313" s="70"/>
      <c r="AC313" s="68"/>
      <c r="AD313" s="68"/>
      <c r="AE313" s="68"/>
      <c r="AF313" s="68">
        <f t="shared" si="309"/>
        <v>0</v>
      </c>
      <c r="AG313" s="68"/>
      <c r="AH313" s="68"/>
      <c r="AI313" s="69">
        <f t="shared" si="310"/>
        <v>0</v>
      </c>
      <c r="AJ313" s="70"/>
      <c r="AK313" s="68"/>
      <c r="AL313" s="68"/>
      <c r="AM313" s="68"/>
      <c r="AN313" s="68">
        <f t="shared" si="311"/>
        <v>0</v>
      </c>
      <c r="AO313" s="68"/>
      <c r="AP313" s="68"/>
      <c r="AQ313" s="69">
        <f t="shared" si="312"/>
        <v>0</v>
      </c>
      <c r="AR313" s="972"/>
      <c r="AS313" s="973"/>
      <c r="AT313" s="68"/>
      <c r="AU313" s="68"/>
      <c r="AV313" s="68"/>
      <c r="AW313" s="973">
        <f t="shared" si="313"/>
        <v>0</v>
      </c>
      <c r="AX313" s="973"/>
      <c r="AY313" s="973"/>
      <c r="AZ313" s="973"/>
      <c r="BA313" s="974">
        <f t="shared" si="314"/>
        <v>0</v>
      </c>
      <c r="BB313" s="976">
        <f t="shared" si="315"/>
        <v>10</v>
      </c>
      <c r="BC313" s="959">
        <f t="shared" si="316"/>
        <v>78</v>
      </c>
      <c r="BD313" s="959">
        <f t="shared" si="317"/>
        <v>84</v>
      </c>
      <c r="BE313" s="959">
        <f t="shared" si="318"/>
        <v>118</v>
      </c>
      <c r="BF313" s="959">
        <f t="shared" si="319"/>
        <v>280</v>
      </c>
      <c r="BG313" s="959">
        <f t="shared" si="320"/>
        <v>0</v>
      </c>
      <c r="BH313" s="959">
        <f t="shared" si="321"/>
        <v>0</v>
      </c>
      <c r="BI313" s="959">
        <f t="shared" si="322"/>
        <v>0</v>
      </c>
      <c r="BJ313" s="959">
        <f t="shared" si="323"/>
        <v>0</v>
      </c>
      <c r="BK313" s="959">
        <f t="shared" si="324"/>
        <v>0</v>
      </c>
      <c r="BL313" s="55"/>
    </row>
    <row r="314" spans="1:64" s="43" customFormat="1" ht="17.100000000000001" customHeight="1">
      <c r="A314" s="762" t="s">
        <v>1534</v>
      </c>
      <c r="B314" s="751" t="s">
        <v>9</v>
      </c>
      <c r="C314" s="751" t="s">
        <v>9</v>
      </c>
      <c r="D314" s="751" t="s">
        <v>1549</v>
      </c>
      <c r="E314" s="55" t="s">
        <v>2529</v>
      </c>
      <c r="F314" s="1017" t="s">
        <v>1658</v>
      </c>
      <c r="G314" s="1018">
        <v>42248</v>
      </c>
      <c r="H314" s="50" t="s">
        <v>1883</v>
      </c>
      <c r="I314" s="760">
        <v>1700</v>
      </c>
      <c r="J314" s="52">
        <v>22004</v>
      </c>
      <c r="K314" s="55" t="s">
        <v>3726</v>
      </c>
      <c r="L314" s="56" t="s">
        <v>2991</v>
      </c>
      <c r="M314" s="64">
        <v>26</v>
      </c>
      <c r="N314" s="65">
        <v>0</v>
      </c>
      <c r="O314" s="66">
        <v>605</v>
      </c>
      <c r="P314" s="67">
        <v>9</v>
      </c>
      <c r="Q314" s="68">
        <v>211</v>
      </c>
      <c r="R314" s="68">
        <v>9</v>
      </c>
      <c r="S314" s="68">
        <v>221</v>
      </c>
      <c r="T314" s="68">
        <v>7</v>
      </c>
      <c r="U314" s="69">
        <v>171</v>
      </c>
      <c r="V314" s="67"/>
      <c r="W314" s="68"/>
      <c r="X314" s="68"/>
      <c r="Y314" s="68"/>
      <c r="Z314" s="68"/>
      <c r="AA314" s="69"/>
      <c r="AB314" s="70"/>
      <c r="AC314" s="68"/>
      <c r="AD314" s="68"/>
      <c r="AE314" s="68"/>
      <c r="AF314" s="68">
        <f t="shared" si="309"/>
        <v>0</v>
      </c>
      <c r="AG314" s="68"/>
      <c r="AH314" s="68"/>
      <c r="AI314" s="69">
        <f t="shared" si="310"/>
        <v>0</v>
      </c>
      <c r="AJ314" s="70"/>
      <c r="AK314" s="68"/>
      <c r="AL314" s="68"/>
      <c r="AM314" s="68"/>
      <c r="AN314" s="68">
        <f t="shared" si="311"/>
        <v>0</v>
      </c>
      <c r="AO314" s="68"/>
      <c r="AP314" s="68"/>
      <c r="AQ314" s="69">
        <f t="shared" si="312"/>
        <v>0</v>
      </c>
      <c r="AR314" s="972"/>
      <c r="AS314" s="973"/>
      <c r="AT314" s="68"/>
      <c r="AU314" s="68"/>
      <c r="AV314" s="68"/>
      <c r="AW314" s="973">
        <f t="shared" si="313"/>
        <v>0</v>
      </c>
      <c r="AX314" s="973"/>
      <c r="AY314" s="973"/>
      <c r="AZ314" s="973"/>
      <c r="BA314" s="974">
        <f t="shared" si="314"/>
        <v>0</v>
      </c>
      <c r="BB314" s="975">
        <f t="shared" si="315"/>
        <v>25</v>
      </c>
      <c r="BC314" s="959">
        <f t="shared" si="316"/>
        <v>211</v>
      </c>
      <c r="BD314" s="959">
        <f t="shared" si="317"/>
        <v>221</v>
      </c>
      <c r="BE314" s="959">
        <f t="shared" si="318"/>
        <v>171</v>
      </c>
      <c r="BF314" s="959">
        <f t="shared" si="319"/>
        <v>603</v>
      </c>
      <c r="BG314" s="959">
        <f t="shared" si="320"/>
        <v>0</v>
      </c>
      <c r="BH314" s="959">
        <f t="shared" si="321"/>
        <v>0</v>
      </c>
      <c r="BI314" s="959">
        <f t="shared" si="322"/>
        <v>0</v>
      </c>
      <c r="BJ314" s="959">
        <f t="shared" si="323"/>
        <v>0</v>
      </c>
      <c r="BK314" s="959">
        <f t="shared" si="324"/>
        <v>0</v>
      </c>
      <c r="BL314" s="55"/>
    </row>
    <row r="315" spans="1:64" s="43" customFormat="1" ht="17.100000000000001" customHeight="1">
      <c r="A315" s="762" t="s">
        <v>1534</v>
      </c>
      <c r="B315" s="751" t="s">
        <v>9</v>
      </c>
      <c r="C315" s="751" t="s">
        <v>9</v>
      </c>
      <c r="D315" s="751" t="s">
        <v>1548</v>
      </c>
      <c r="E315" s="55" t="s">
        <v>2529</v>
      </c>
      <c r="F315" s="1017" t="s">
        <v>1659</v>
      </c>
      <c r="G315" s="1018">
        <v>42064</v>
      </c>
      <c r="H315" s="50" t="s">
        <v>3727</v>
      </c>
      <c r="I315" s="760">
        <v>1995</v>
      </c>
      <c r="J315" s="52">
        <v>21986</v>
      </c>
      <c r="K315" s="55" t="s">
        <v>3728</v>
      </c>
      <c r="L315" s="56" t="s">
        <v>3729</v>
      </c>
      <c r="M315" s="64">
        <v>20</v>
      </c>
      <c r="N315" s="65">
        <v>0</v>
      </c>
      <c r="O315" s="66">
        <v>532</v>
      </c>
      <c r="P315" s="67">
        <v>7</v>
      </c>
      <c r="Q315" s="68">
        <v>182</v>
      </c>
      <c r="R315" s="68">
        <v>7</v>
      </c>
      <c r="S315" s="68">
        <v>157</v>
      </c>
      <c r="T315" s="68">
        <v>6</v>
      </c>
      <c r="U315" s="69">
        <v>148</v>
      </c>
      <c r="V315" s="67"/>
      <c r="W315" s="68"/>
      <c r="X315" s="68"/>
      <c r="Y315" s="68"/>
      <c r="Z315" s="68"/>
      <c r="AA315" s="69"/>
      <c r="AB315" s="70"/>
      <c r="AC315" s="68"/>
      <c r="AD315" s="68"/>
      <c r="AE315" s="68"/>
      <c r="AF315" s="68">
        <f t="shared" si="309"/>
        <v>0</v>
      </c>
      <c r="AG315" s="68"/>
      <c r="AH315" s="68"/>
      <c r="AI315" s="69">
        <f t="shared" si="310"/>
        <v>0</v>
      </c>
      <c r="AJ315" s="70"/>
      <c r="AK315" s="68"/>
      <c r="AL315" s="68"/>
      <c r="AM315" s="68"/>
      <c r="AN315" s="68">
        <f t="shared" si="311"/>
        <v>0</v>
      </c>
      <c r="AO315" s="68"/>
      <c r="AP315" s="68"/>
      <c r="AQ315" s="69">
        <f t="shared" si="312"/>
        <v>0</v>
      </c>
      <c r="AR315" s="972"/>
      <c r="AS315" s="973"/>
      <c r="AT315" s="68"/>
      <c r="AU315" s="68"/>
      <c r="AV315" s="68"/>
      <c r="AW315" s="973">
        <f t="shared" si="313"/>
        <v>0</v>
      </c>
      <c r="AX315" s="973"/>
      <c r="AY315" s="973"/>
      <c r="AZ315" s="973"/>
      <c r="BA315" s="974">
        <f t="shared" si="314"/>
        <v>0</v>
      </c>
      <c r="BB315" s="975">
        <f t="shared" si="315"/>
        <v>20</v>
      </c>
      <c r="BC315" s="959">
        <f t="shared" si="316"/>
        <v>182</v>
      </c>
      <c r="BD315" s="959">
        <f t="shared" si="317"/>
        <v>157</v>
      </c>
      <c r="BE315" s="959">
        <f t="shared" si="318"/>
        <v>148</v>
      </c>
      <c r="BF315" s="959">
        <f t="shared" si="319"/>
        <v>487</v>
      </c>
      <c r="BG315" s="959">
        <f t="shared" si="320"/>
        <v>0</v>
      </c>
      <c r="BH315" s="959">
        <f t="shared" si="321"/>
        <v>0</v>
      </c>
      <c r="BI315" s="959">
        <f t="shared" si="322"/>
        <v>0</v>
      </c>
      <c r="BJ315" s="959">
        <f t="shared" si="323"/>
        <v>0</v>
      </c>
      <c r="BK315" s="959">
        <f t="shared" si="324"/>
        <v>0</v>
      </c>
      <c r="BL315" s="55"/>
    </row>
    <row r="316" spans="1:64" s="43" customFormat="1" ht="17.100000000000001" customHeight="1">
      <c r="A316" s="762" t="s">
        <v>1534</v>
      </c>
      <c r="B316" s="751" t="s">
        <v>9</v>
      </c>
      <c r="C316" s="751" t="s">
        <v>9</v>
      </c>
      <c r="D316" s="751" t="s">
        <v>1547</v>
      </c>
      <c r="E316" s="55" t="s">
        <v>2529</v>
      </c>
      <c r="F316" s="1017" t="s">
        <v>1660</v>
      </c>
      <c r="G316" s="1018">
        <v>43525</v>
      </c>
      <c r="H316" s="50" t="s">
        <v>3730</v>
      </c>
      <c r="I316" s="760">
        <v>2549</v>
      </c>
      <c r="J316" s="52">
        <v>22021</v>
      </c>
      <c r="K316" s="55" t="s">
        <v>3731</v>
      </c>
      <c r="L316" s="56" t="s">
        <v>3732</v>
      </c>
      <c r="M316" s="64">
        <v>17</v>
      </c>
      <c r="N316" s="65">
        <v>0</v>
      </c>
      <c r="O316" s="66">
        <v>370</v>
      </c>
      <c r="P316" s="67">
        <v>5</v>
      </c>
      <c r="Q316" s="68">
        <v>110</v>
      </c>
      <c r="R316" s="68">
        <v>5</v>
      </c>
      <c r="S316" s="68">
        <v>125</v>
      </c>
      <c r="T316" s="68">
        <v>5</v>
      </c>
      <c r="U316" s="69">
        <v>115</v>
      </c>
      <c r="V316" s="67"/>
      <c r="W316" s="68"/>
      <c r="X316" s="68"/>
      <c r="Y316" s="68"/>
      <c r="Z316" s="68"/>
      <c r="AA316" s="69"/>
      <c r="AB316" s="70"/>
      <c r="AC316" s="68"/>
      <c r="AD316" s="68"/>
      <c r="AE316" s="68"/>
      <c r="AF316" s="68">
        <f t="shared" si="309"/>
        <v>0</v>
      </c>
      <c r="AG316" s="68"/>
      <c r="AH316" s="68"/>
      <c r="AI316" s="69">
        <f t="shared" si="310"/>
        <v>0</v>
      </c>
      <c r="AJ316" s="70"/>
      <c r="AK316" s="68"/>
      <c r="AL316" s="68"/>
      <c r="AM316" s="68"/>
      <c r="AN316" s="68">
        <f t="shared" si="311"/>
        <v>0</v>
      </c>
      <c r="AO316" s="68"/>
      <c r="AP316" s="68"/>
      <c r="AQ316" s="69">
        <f t="shared" si="312"/>
        <v>0</v>
      </c>
      <c r="AR316" s="972">
        <v>2</v>
      </c>
      <c r="AS316" s="973">
        <v>0</v>
      </c>
      <c r="AT316" s="68">
        <v>9</v>
      </c>
      <c r="AU316" s="68">
        <v>5</v>
      </c>
      <c r="AV316" s="68">
        <v>6</v>
      </c>
      <c r="AW316" s="973">
        <f t="shared" si="313"/>
        <v>20</v>
      </c>
      <c r="AX316" s="973"/>
      <c r="AY316" s="973"/>
      <c r="AZ316" s="973"/>
      <c r="BA316" s="974">
        <f t="shared" si="314"/>
        <v>0</v>
      </c>
      <c r="BB316" s="976">
        <f t="shared" si="315"/>
        <v>17</v>
      </c>
      <c r="BC316" s="959">
        <f t="shared" si="316"/>
        <v>119</v>
      </c>
      <c r="BD316" s="959">
        <f t="shared" si="317"/>
        <v>130</v>
      </c>
      <c r="BE316" s="959">
        <f t="shared" si="318"/>
        <v>121</v>
      </c>
      <c r="BF316" s="959">
        <f t="shared" si="319"/>
        <v>370</v>
      </c>
      <c r="BG316" s="959">
        <f t="shared" si="320"/>
        <v>0</v>
      </c>
      <c r="BH316" s="959">
        <f t="shared" si="321"/>
        <v>0</v>
      </c>
      <c r="BI316" s="959">
        <f t="shared" si="322"/>
        <v>0</v>
      </c>
      <c r="BJ316" s="959">
        <f t="shared" si="323"/>
        <v>0</v>
      </c>
      <c r="BK316" s="959">
        <f t="shared" si="324"/>
        <v>0</v>
      </c>
      <c r="BL316" s="55"/>
    </row>
    <row r="317" spans="1:64" s="43" customFormat="1" ht="17.100000000000001" customHeight="1">
      <c r="A317" s="1614" t="s">
        <v>1808</v>
      </c>
      <c r="B317" s="1615"/>
      <c r="C317" s="1615"/>
      <c r="D317" s="1616"/>
      <c r="E317" s="418">
        <f>COUNTA(E289:E316)</f>
        <v>28</v>
      </c>
      <c r="F317" s="294"/>
      <c r="G317" s="419"/>
      <c r="H317" s="190"/>
      <c r="I317" s="420"/>
      <c r="J317" s="296"/>
      <c r="K317" s="294"/>
      <c r="L317" s="297"/>
      <c r="M317" s="421">
        <f t="shared" ref="M317:AR317" si="325">SUM(M289:M316)</f>
        <v>215</v>
      </c>
      <c r="N317" s="422">
        <f t="shared" si="325"/>
        <v>0</v>
      </c>
      <c r="O317" s="423">
        <f t="shared" si="325"/>
        <v>5832</v>
      </c>
      <c r="P317" s="424">
        <f t="shared" si="325"/>
        <v>68</v>
      </c>
      <c r="Q317" s="425">
        <f t="shared" si="325"/>
        <v>1386</v>
      </c>
      <c r="R317" s="425">
        <f t="shared" si="325"/>
        <v>67</v>
      </c>
      <c r="S317" s="425">
        <f t="shared" si="325"/>
        <v>1525</v>
      </c>
      <c r="T317" s="425">
        <f t="shared" si="325"/>
        <v>61</v>
      </c>
      <c r="U317" s="426">
        <f t="shared" si="325"/>
        <v>1430</v>
      </c>
      <c r="V317" s="427">
        <f t="shared" si="325"/>
        <v>0</v>
      </c>
      <c r="W317" s="425">
        <f t="shared" si="325"/>
        <v>0</v>
      </c>
      <c r="X317" s="425">
        <f t="shared" si="325"/>
        <v>0</v>
      </c>
      <c r="Y317" s="425">
        <f t="shared" si="325"/>
        <v>0</v>
      </c>
      <c r="Z317" s="425">
        <f t="shared" si="325"/>
        <v>0</v>
      </c>
      <c r="AA317" s="426">
        <f t="shared" si="325"/>
        <v>0</v>
      </c>
      <c r="AB317" s="424">
        <f t="shared" si="325"/>
        <v>0</v>
      </c>
      <c r="AC317" s="425">
        <f t="shared" si="325"/>
        <v>0</v>
      </c>
      <c r="AD317" s="425">
        <f t="shared" si="325"/>
        <v>0</v>
      </c>
      <c r="AE317" s="425">
        <f t="shared" si="325"/>
        <v>0</v>
      </c>
      <c r="AF317" s="425">
        <f t="shared" si="325"/>
        <v>0</v>
      </c>
      <c r="AG317" s="425">
        <f t="shared" si="325"/>
        <v>0</v>
      </c>
      <c r="AH317" s="425">
        <f t="shared" si="325"/>
        <v>0</v>
      </c>
      <c r="AI317" s="426">
        <f t="shared" si="325"/>
        <v>0</v>
      </c>
      <c r="AJ317" s="424">
        <f t="shared" si="325"/>
        <v>1</v>
      </c>
      <c r="AK317" s="425">
        <f t="shared" si="325"/>
        <v>0</v>
      </c>
      <c r="AL317" s="425">
        <f t="shared" si="325"/>
        <v>13</v>
      </c>
      <c r="AM317" s="425">
        <f t="shared" si="325"/>
        <v>9</v>
      </c>
      <c r="AN317" s="425">
        <f t="shared" si="325"/>
        <v>22</v>
      </c>
      <c r="AO317" s="425">
        <f t="shared" si="325"/>
        <v>0</v>
      </c>
      <c r="AP317" s="425">
        <f t="shared" si="325"/>
        <v>0</v>
      </c>
      <c r="AQ317" s="459">
        <f t="shared" si="325"/>
        <v>0</v>
      </c>
      <c r="AR317" s="460">
        <f t="shared" si="325"/>
        <v>2</v>
      </c>
      <c r="AS317" s="429">
        <f t="shared" ref="AS317:BK317" si="326">SUM(AS289:AS316)</f>
        <v>0</v>
      </c>
      <c r="AT317" s="429">
        <f t="shared" si="326"/>
        <v>9</v>
      </c>
      <c r="AU317" s="429">
        <f t="shared" si="326"/>
        <v>5</v>
      </c>
      <c r="AV317" s="429">
        <f t="shared" si="326"/>
        <v>6</v>
      </c>
      <c r="AW317" s="429">
        <f t="shared" si="326"/>
        <v>20</v>
      </c>
      <c r="AX317" s="429">
        <f t="shared" si="326"/>
        <v>0</v>
      </c>
      <c r="AY317" s="429">
        <f t="shared" si="326"/>
        <v>0</v>
      </c>
      <c r="AZ317" s="429">
        <f t="shared" si="326"/>
        <v>0</v>
      </c>
      <c r="BA317" s="461">
        <f t="shared" si="326"/>
        <v>0</v>
      </c>
      <c r="BB317" s="431">
        <f t="shared" si="326"/>
        <v>199</v>
      </c>
      <c r="BC317" s="432">
        <f t="shared" si="326"/>
        <v>1395</v>
      </c>
      <c r="BD317" s="432">
        <f t="shared" si="326"/>
        <v>1543</v>
      </c>
      <c r="BE317" s="432">
        <f t="shared" si="326"/>
        <v>1445</v>
      </c>
      <c r="BF317" s="432">
        <f t="shared" si="326"/>
        <v>4383</v>
      </c>
      <c r="BG317" s="432">
        <f t="shared" si="326"/>
        <v>0</v>
      </c>
      <c r="BH317" s="432">
        <f t="shared" si="326"/>
        <v>0</v>
      </c>
      <c r="BI317" s="432">
        <f t="shared" si="326"/>
        <v>0</v>
      </c>
      <c r="BJ317" s="432">
        <f t="shared" si="326"/>
        <v>0</v>
      </c>
      <c r="BK317" s="433">
        <f t="shared" si="326"/>
        <v>0</v>
      </c>
      <c r="BL317" s="434"/>
    </row>
    <row r="318" spans="1:64" s="43" customFormat="1" ht="17.100000000000001" customHeight="1">
      <c r="A318" s="1568" t="s">
        <v>1809</v>
      </c>
      <c r="B318" s="1569"/>
      <c r="C318" s="1569"/>
      <c r="D318" s="1569"/>
      <c r="E318" s="1570"/>
      <c r="F318" s="435">
        <f>E288+E317</f>
        <v>50</v>
      </c>
      <c r="G318" s="436"/>
      <c r="H318" s="222"/>
      <c r="I318" s="437"/>
      <c r="J318" s="305"/>
      <c r="K318" s="303"/>
      <c r="L318" s="306"/>
      <c r="M318" s="438">
        <f t="shared" ref="M318:AR318" si="327">M288+M317</f>
        <v>331</v>
      </c>
      <c r="N318" s="439">
        <f t="shared" si="327"/>
        <v>17</v>
      </c>
      <c r="O318" s="440">
        <f t="shared" si="327"/>
        <v>7732</v>
      </c>
      <c r="P318" s="441">
        <f t="shared" si="327"/>
        <v>100</v>
      </c>
      <c r="Q318" s="442">
        <f t="shared" si="327"/>
        <v>1753</v>
      </c>
      <c r="R318" s="442">
        <f t="shared" si="327"/>
        <v>106</v>
      </c>
      <c r="S318" s="442">
        <f t="shared" si="327"/>
        <v>2128</v>
      </c>
      <c r="T318" s="442">
        <f t="shared" si="327"/>
        <v>105</v>
      </c>
      <c r="U318" s="443">
        <f t="shared" si="327"/>
        <v>2191</v>
      </c>
      <c r="V318" s="444">
        <f t="shared" si="327"/>
        <v>3</v>
      </c>
      <c r="W318" s="442">
        <f t="shared" si="327"/>
        <v>12</v>
      </c>
      <c r="X318" s="442">
        <f t="shared" si="327"/>
        <v>4</v>
      </c>
      <c r="Y318" s="442">
        <f t="shared" si="327"/>
        <v>15</v>
      </c>
      <c r="Z318" s="442">
        <f t="shared" si="327"/>
        <v>4</v>
      </c>
      <c r="AA318" s="443">
        <f t="shared" si="327"/>
        <v>13</v>
      </c>
      <c r="AB318" s="441">
        <f t="shared" si="327"/>
        <v>1</v>
      </c>
      <c r="AC318" s="442">
        <f t="shared" si="327"/>
        <v>2</v>
      </c>
      <c r="AD318" s="442">
        <f t="shared" si="327"/>
        <v>2</v>
      </c>
      <c r="AE318" s="442">
        <f t="shared" si="327"/>
        <v>0</v>
      </c>
      <c r="AF318" s="442">
        <f t="shared" si="327"/>
        <v>2</v>
      </c>
      <c r="AG318" s="442">
        <f t="shared" si="327"/>
        <v>4</v>
      </c>
      <c r="AH318" s="442">
        <f t="shared" si="327"/>
        <v>2</v>
      </c>
      <c r="AI318" s="443">
        <f t="shared" si="327"/>
        <v>3</v>
      </c>
      <c r="AJ318" s="441">
        <f t="shared" si="327"/>
        <v>1</v>
      </c>
      <c r="AK318" s="442">
        <f t="shared" si="327"/>
        <v>3</v>
      </c>
      <c r="AL318" s="442">
        <f t="shared" si="327"/>
        <v>13</v>
      </c>
      <c r="AM318" s="442">
        <f t="shared" si="327"/>
        <v>9</v>
      </c>
      <c r="AN318" s="442">
        <f t="shared" si="327"/>
        <v>22</v>
      </c>
      <c r="AO318" s="442">
        <f t="shared" si="327"/>
        <v>5</v>
      </c>
      <c r="AP318" s="442">
        <f t="shared" si="327"/>
        <v>4</v>
      </c>
      <c r="AQ318" s="443">
        <f t="shared" si="327"/>
        <v>9</v>
      </c>
      <c r="AR318" s="445">
        <f t="shared" si="327"/>
        <v>2</v>
      </c>
      <c r="AS318" s="446">
        <f t="shared" ref="AS318:BK318" si="328">AS288+AS317</f>
        <v>1</v>
      </c>
      <c r="AT318" s="446">
        <f t="shared" si="328"/>
        <v>9</v>
      </c>
      <c r="AU318" s="446">
        <f t="shared" si="328"/>
        <v>5</v>
      </c>
      <c r="AV318" s="446">
        <f t="shared" si="328"/>
        <v>6</v>
      </c>
      <c r="AW318" s="446">
        <f t="shared" si="328"/>
        <v>20</v>
      </c>
      <c r="AX318" s="446">
        <f t="shared" si="328"/>
        <v>0</v>
      </c>
      <c r="AY318" s="446">
        <f t="shared" si="328"/>
        <v>2</v>
      </c>
      <c r="AZ318" s="446">
        <f t="shared" si="328"/>
        <v>1</v>
      </c>
      <c r="BA318" s="447">
        <f t="shared" si="328"/>
        <v>3</v>
      </c>
      <c r="BB318" s="448">
        <f t="shared" si="328"/>
        <v>315</v>
      </c>
      <c r="BC318" s="449">
        <f t="shared" si="328"/>
        <v>1764</v>
      </c>
      <c r="BD318" s="449">
        <f t="shared" si="328"/>
        <v>2146</v>
      </c>
      <c r="BE318" s="449">
        <f t="shared" si="328"/>
        <v>2206</v>
      </c>
      <c r="BF318" s="449">
        <f t="shared" si="328"/>
        <v>6116</v>
      </c>
      <c r="BG318" s="449">
        <f t="shared" si="328"/>
        <v>17</v>
      </c>
      <c r="BH318" s="449">
        <f t="shared" si="328"/>
        <v>16</v>
      </c>
      <c r="BI318" s="449">
        <f t="shared" si="328"/>
        <v>24</v>
      </c>
      <c r="BJ318" s="449">
        <f t="shared" si="328"/>
        <v>18</v>
      </c>
      <c r="BK318" s="450">
        <f t="shared" si="328"/>
        <v>58</v>
      </c>
      <c r="BL318" s="451"/>
    </row>
    <row r="319" spans="1:64" s="400" customFormat="1" ht="17.100000000000001" customHeight="1">
      <c r="A319" s="457" t="s">
        <v>3819</v>
      </c>
      <c r="B319" s="53" t="s">
        <v>142</v>
      </c>
      <c r="C319" s="53" t="s">
        <v>103</v>
      </c>
      <c r="D319" s="53" t="s">
        <v>1698</v>
      </c>
      <c r="E319" s="53" t="s">
        <v>4</v>
      </c>
      <c r="F319" s="53" t="s">
        <v>3820</v>
      </c>
      <c r="G319" s="71">
        <v>42430</v>
      </c>
      <c r="H319" s="50" t="s">
        <v>1710</v>
      </c>
      <c r="I319" s="51">
        <v>8850</v>
      </c>
      <c r="J319" s="52">
        <v>22858</v>
      </c>
      <c r="K319" s="53" t="s">
        <v>1263</v>
      </c>
      <c r="L319" s="54" t="s">
        <v>3821</v>
      </c>
      <c r="M319" s="57">
        <v>5</v>
      </c>
      <c r="N319" s="58">
        <v>1</v>
      </c>
      <c r="O319" s="59">
        <v>84</v>
      </c>
      <c r="P319" s="60">
        <v>1</v>
      </c>
      <c r="Q319" s="61">
        <v>12</v>
      </c>
      <c r="R319" s="61">
        <v>2</v>
      </c>
      <c r="S319" s="61">
        <v>32</v>
      </c>
      <c r="T319" s="61">
        <v>2</v>
      </c>
      <c r="U319" s="62">
        <v>31</v>
      </c>
      <c r="V319" s="60"/>
      <c r="W319" s="61"/>
      <c r="X319" s="61"/>
      <c r="Y319" s="61"/>
      <c r="Z319" s="61">
        <v>1</v>
      </c>
      <c r="AA319" s="62">
        <v>4</v>
      </c>
      <c r="AB319" s="63"/>
      <c r="AC319" s="61"/>
      <c r="AD319" s="61"/>
      <c r="AE319" s="61"/>
      <c r="AF319" s="61">
        <f>SUM(AD319:AE319)</f>
        <v>0</v>
      </c>
      <c r="AG319" s="61"/>
      <c r="AH319" s="61"/>
      <c r="AI319" s="62">
        <f>SUM(AG319:AH319)</f>
        <v>0</v>
      </c>
      <c r="AJ319" s="63"/>
      <c r="AK319" s="61"/>
      <c r="AL319" s="61"/>
      <c r="AM319" s="61"/>
      <c r="AN319" s="61">
        <f>SUM(AL319:AM319)</f>
        <v>0</v>
      </c>
      <c r="AO319" s="61"/>
      <c r="AP319" s="61"/>
      <c r="AQ319" s="62">
        <f>SUM(AO319:AP319)</f>
        <v>0</v>
      </c>
      <c r="AR319" s="955"/>
      <c r="AS319" s="956"/>
      <c r="AT319" s="61"/>
      <c r="AU319" s="61"/>
      <c r="AV319" s="61"/>
      <c r="AW319" s="956">
        <f>SUM(AT319:AV319)</f>
        <v>0</v>
      </c>
      <c r="AX319" s="956"/>
      <c r="AY319" s="956"/>
      <c r="AZ319" s="956"/>
      <c r="BA319" s="957">
        <f>SUM(AX319:AZ319)</f>
        <v>0</v>
      </c>
      <c r="BB319" s="958">
        <f>SUM(P319,R319,T319,AB319,AJ319,AR319)</f>
        <v>5</v>
      </c>
      <c r="BC319" s="959">
        <f>SUM(Q319,AD319,AT319)</f>
        <v>12</v>
      </c>
      <c r="BD319" s="959">
        <f>SUM(S319,AE319,AL319,AU319)</f>
        <v>32</v>
      </c>
      <c r="BE319" s="959">
        <f>SUM(U319,AM319,AV319)</f>
        <v>31</v>
      </c>
      <c r="BF319" s="959">
        <f>SUM(BC319:BE319)</f>
        <v>75</v>
      </c>
      <c r="BG319" s="959">
        <f>SUM(V319,X319,Z319,AC319,AK319,AS319)</f>
        <v>1</v>
      </c>
      <c r="BH319" s="959">
        <f>SUM(W319,AG319,AX319)</f>
        <v>0</v>
      </c>
      <c r="BI319" s="959">
        <f>SUM(Y319,AH319,AO319,AY319)</f>
        <v>0</v>
      </c>
      <c r="BJ319" s="959">
        <f>SUM(AA319,AP319,AZ319)</f>
        <v>4</v>
      </c>
      <c r="BK319" s="959">
        <f>SUM(BH319:BJ319)</f>
        <v>4</v>
      </c>
      <c r="BL319" s="53"/>
    </row>
    <row r="320" spans="1:64" s="400" customFormat="1" ht="17.100000000000001" customHeight="1">
      <c r="A320" s="457" t="s">
        <v>3819</v>
      </c>
      <c r="B320" s="55" t="s">
        <v>142</v>
      </c>
      <c r="C320" s="53" t="s">
        <v>103</v>
      </c>
      <c r="D320" s="53" t="s">
        <v>3822</v>
      </c>
      <c r="E320" s="55" t="s">
        <v>4</v>
      </c>
      <c r="F320" s="55" t="s">
        <v>3823</v>
      </c>
      <c r="G320" s="71">
        <v>41348</v>
      </c>
      <c r="H320" s="50" t="s">
        <v>3824</v>
      </c>
      <c r="I320" s="760">
        <v>14099</v>
      </c>
      <c r="J320" s="52">
        <v>22715</v>
      </c>
      <c r="K320" s="55" t="s">
        <v>3825</v>
      </c>
      <c r="L320" s="56" t="s">
        <v>3826</v>
      </c>
      <c r="M320" s="64">
        <v>3</v>
      </c>
      <c r="N320" s="65"/>
      <c r="O320" s="66">
        <v>48</v>
      </c>
      <c r="P320" s="67">
        <v>1</v>
      </c>
      <c r="Q320" s="68">
        <v>12</v>
      </c>
      <c r="R320" s="68">
        <v>1</v>
      </c>
      <c r="S320" s="68">
        <v>17</v>
      </c>
      <c r="T320" s="68">
        <v>1</v>
      </c>
      <c r="U320" s="69">
        <v>19</v>
      </c>
      <c r="V320" s="67"/>
      <c r="W320" s="68"/>
      <c r="X320" s="68"/>
      <c r="Y320" s="68"/>
      <c r="Z320" s="68"/>
      <c r="AA320" s="69"/>
      <c r="AB320" s="70"/>
      <c r="AC320" s="68"/>
      <c r="AD320" s="68"/>
      <c r="AE320" s="68"/>
      <c r="AF320" s="68">
        <f t="shared" ref="AF320:AF347" si="329">SUM(AD320:AE320)</f>
        <v>0</v>
      </c>
      <c r="AG320" s="68"/>
      <c r="AH320" s="68"/>
      <c r="AI320" s="69">
        <f t="shared" ref="AI320:AI347" si="330">SUM(AG320:AH320)</f>
        <v>0</v>
      </c>
      <c r="AJ320" s="70"/>
      <c r="AK320" s="68"/>
      <c r="AL320" s="68"/>
      <c r="AM320" s="68"/>
      <c r="AN320" s="68">
        <f t="shared" ref="AN320:AN347" si="331">SUM(AL320:AM320)</f>
        <v>0</v>
      </c>
      <c r="AO320" s="68"/>
      <c r="AP320" s="68"/>
      <c r="AQ320" s="69">
        <f t="shared" ref="AQ320:AQ347" si="332">SUM(AO320:AP320)</f>
        <v>0</v>
      </c>
      <c r="AR320" s="972"/>
      <c r="AS320" s="973"/>
      <c r="AT320" s="68"/>
      <c r="AU320" s="68"/>
      <c r="AV320" s="68"/>
      <c r="AW320" s="973">
        <f t="shared" ref="AW320:AW347" si="333">SUM(AT320:AV320)</f>
        <v>0</v>
      </c>
      <c r="AX320" s="973"/>
      <c r="AY320" s="973"/>
      <c r="AZ320" s="973"/>
      <c r="BA320" s="974">
        <f t="shared" ref="BA320:BA347" si="334">SUM(AX320:AZ320)</f>
        <v>0</v>
      </c>
      <c r="BB320" s="975">
        <f t="shared" ref="BB320:BB369" si="335">SUM(P320,R320,T320,AB320,AJ320,AR320)</f>
        <v>3</v>
      </c>
      <c r="BC320" s="959">
        <f t="shared" ref="BC320:BC338" si="336">SUM(Q320,AD320,AT320)</f>
        <v>12</v>
      </c>
      <c r="BD320" s="959">
        <f t="shared" ref="BD320:BD338" si="337">SUM(S320,AE320,AL320,AU320)</f>
        <v>17</v>
      </c>
      <c r="BE320" s="959">
        <f t="shared" ref="BE320:BE338" si="338">SUM(U320,AM320,AV320)</f>
        <v>19</v>
      </c>
      <c r="BF320" s="959">
        <f t="shared" ref="BF320:BF338" si="339">SUM(BC320:BE320)</f>
        <v>48</v>
      </c>
      <c r="BG320" s="959">
        <f t="shared" ref="BG320:BG371" si="340">SUM(V320,X320,Z320,AC320,AK320,AS320)</f>
        <v>0</v>
      </c>
      <c r="BH320" s="959">
        <f t="shared" ref="BH320:BH371" si="341">SUM(W320,AG320,AX320)</f>
        <v>0</v>
      </c>
      <c r="BI320" s="959">
        <f t="shared" ref="BI320:BI371" si="342">SUM(Y320,AH320,AO320,AY320)</f>
        <v>0</v>
      </c>
      <c r="BJ320" s="959">
        <f t="shared" ref="BJ320:BJ371" si="343">SUM(AA320,AP320,AZ320)</f>
        <v>0</v>
      </c>
      <c r="BK320" s="959">
        <f t="shared" ref="BK320:BK371" si="344">SUM(BH320:BJ320)</f>
        <v>0</v>
      </c>
      <c r="BL320" s="55"/>
    </row>
    <row r="321" spans="1:64" s="400" customFormat="1" ht="17.100000000000001" customHeight="1">
      <c r="A321" s="457" t="s">
        <v>3819</v>
      </c>
      <c r="B321" s="55" t="s">
        <v>142</v>
      </c>
      <c r="C321" s="53" t="s">
        <v>103</v>
      </c>
      <c r="D321" s="53" t="s">
        <v>1697</v>
      </c>
      <c r="E321" s="55" t="s">
        <v>4</v>
      </c>
      <c r="F321" s="55" t="s">
        <v>3827</v>
      </c>
      <c r="G321" s="71">
        <v>44470</v>
      </c>
      <c r="H321" s="50" t="s">
        <v>2394</v>
      </c>
      <c r="I321" s="760">
        <v>10057</v>
      </c>
      <c r="J321" s="52">
        <v>22799</v>
      </c>
      <c r="K321" s="55" t="s">
        <v>3828</v>
      </c>
      <c r="L321" s="56" t="s">
        <v>3829</v>
      </c>
      <c r="M321" s="64">
        <v>5</v>
      </c>
      <c r="N321" s="65">
        <v>1</v>
      </c>
      <c r="O321" s="1229">
        <v>84</v>
      </c>
      <c r="P321" s="67"/>
      <c r="Q321" s="68"/>
      <c r="R321" s="68"/>
      <c r="S321" s="68"/>
      <c r="T321" s="68">
        <v>1</v>
      </c>
      <c r="U321" s="69">
        <v>5</v>
      </c>
      <c r="V321" s="67"/>
      <c r="W321" s="68"/>
      <c r="X321" s="68"/>
      <c r="Y321" s="68"/>
      <c r="Z321" s="68"/>
      <c r="AA321" s="69"/>
      <c r="AB321" s="70">
        <v>1</v>
      </c>
      <c r="AC321" s="68"/>
      <c r="AD321" s="68">
        <v>1</v>
      </c>
      <c r="AE321" s="68">
        <v>4</v>
      </c>
      <c r="AF321" s="68">
        <f t="shared" si="329"/>
        <v>5</v>
      </c>
      <c r="AG321" s="68"/>
      <c r="AH321" s="68"/>
      <c r="AI321" s="69">
        <f t="shared" si="330"/>
        <v>0</v>
      </c>
      <c r="AJ321" s="70"/>
      <c r="AK321" s="68"/>
      <c r="AL321" s="68"/>
      <c r="AM321" s="68"/>
      <c r="AN321" s="68">
        <f t="shared" si="331"/>
        <v>0</v>
      </c>
      <c r="AO321" s="68"/>
      <c r="AP321" s="68"/>
      <c r="AQ321" s="69">
        <f t="shared" si="332"/>
        <v>0</v>
      </c>
      <c r="AR321" s="972"/>
      <c r="AS321" s="973">
        <v>1</v>
      </c>
      <c r="AT321" s="68"/>
      <c r="AU321" s="68"/>
      <c r="AV321" s="68"/>
      <c r="AW321" s="973">
        <f t="shared" si="333"/>
        <v>0</v>
      </c>
      <c r="AX321" s="973"/>
      <c r="AY321" s="973">
        <v>1</v>
      </c>
      <c r="AZ321" s="973">
        <v>1</v>
      </c>
      <c r="BA321" s="974">
        <f t="shared" si="334"/>
        <v>2</v>
      </c>
      <c r="BB321" s="975">
        <f t="shared" si="335"/>
        <v>2</v>
      </c>
      <c r="BC321" s="959">
        <f t="shared" si="336"/>
        <v>1</v>
      </c>
      <c r="BD321" s="959">
        <f t="shared" si="337"/>
        <v>4</v>
      </c>
      <c r="BE321" s="959">
        <f t="shared" si="338"/>
        <v>5</v>
      </c>
      <c r="BF321" s="959">
        <f t="shared" si="339"/>
        <v>10</v>
      </c>
      <c r="BG321" s="959">
        <f t="shared" si="340"/>
        <v>1</v>
      </c>
      <c r="BH321" s="959">
        <f t="shared" si="341"/>
        <v>0</v>
      </c>
      <c r="BI321" s="959">
        <f t="shared" si="342"/>
        <v>1</v>
      </c>
      <c r="BJ321" s="959">
        <f t="shared" si="343"/>
        <v>1</v>
      </c>
      <c r="BK321" s="959">
        <f t="shared" si="344"/>
        <v>2</v>
      </c>
      <c r="BL321" s="55"/>
    </row>
    <row r="322" spans="1:64" s="400" customFormat="1" ht="17.100000000000001" customHeight="1">
      <c r="A322" s="457" t="s">
        <v>3819</v>
      </c>
      <c r="B322" s="55" t="s">
        <v>142</v>
      </c>
      <c r="C322" s="53" t="s">
        <v>103</v>
      </c>
      <c r="D322" s="53" t="s">
        <v>3830</v>
      </c>
      <c r="E322" s="55" t="s">
        <v>4</v>
      </c>
      <c r="F322" s="55" t="s">
        <v>3831</v>
      </c>
      <c r="G322" s="71">
        <v>38412</v>
      </c>
      <c r="H322" s="50" t="s">
        <v>3832</v>
      </c>
      <c r="I322" s="760">
        <v>12096</v>
      </c>
      <c r="J322" s="52">
        <v>22835</v>
      </c>
      <c r="K322" s="55" t="s">
        <v>3833</v>
      </c>
      <c r="L322" s="56" t="s">
        <v>3834</v>
      </c>
      <c r="M322" s="1225">
        <v>2</v>
      </c>
      <c r="N322" s="1226"/>
      <c r="O322" s="1232">
        <v>8</v>
      </c>
      <c r="P322" s="60"/>
      <c r="Q322" s="61"/>
      <c r="R322" s="61">
        <v>1</v>
      </c>
      <c r="S322" s="61">
        <v>4</v>
      </c>
      <c r="T322" s="61">
        <v>1</v>
      </c>
      <c r="U322" s="62">
        <v>4</v>
      </c>
      <c r="V322" s="60"/>
      <c r="W322" s="61"/>
      <c r="X322" s="61"/>
      <c r="Y322" s="61"/>
      <c r="Z322" s="61"/>
      <c r="AA322" s="62"/>
      <c r="AB322" s="63"/>
      <c r="AC322" s="61"/>
      <c r="AD322" s="61"/>
      <c r="AE322" s="61"/>
      <c r="AF322" s="61">
        <f t="shared" si="329"/>
        <v>0</v>
      </c>
      <c r="AG322" s="61"/>
      <c r="AH322" s="61"/>
      <c r="AI322" s="62">
        <f t="shared" si="330"/>
        <v>0</v>
      </c>
      <c r="AJ322" s="63"/>
      <c r="AK322" s="61"/>
      <c r="AL322" s="61"/>
      <c r="AM322" s="61"/>
      <c r="AN322" s="61">
        <f t="shared" si="331"/>
        <v>0</v>
      </c>
      <c r="AO322" s="61"/>
      <c r="AP322" s="61"/>
      <c r="AQ322" s="62">
        <f t="shared" si="332"/>
        <v>0</v>
      </c>
      <c r="AR322" s="955"/>
      <c r="AS322" s="956"/>
      <c r="AT322" s="61"/>
      <c r="AU322" s="61"/>
      <c r="AV322" s="61"/>
      <c r="AW322" s="956">
        <f t="shared" si="333"/>
        <v>0</v>
      </c>
      <c r="AX322" s="956"/>
      <c r="AY322" s="956"/>
      <c r="AZ322" s="956"/>
      <c r="BA322" s="957">
        <f t="shared" si="334"/>
        <v>0</v>
      </c>
      <c r="BB322" s="958">
        <f t="shared" si="335"/>
        <v>2</v>
      </c>
      <c r="BC322" s="959">
        <f>SUM(Q322,AD322,AT322)</f>
        <v>0</v>
      </c>
      <c r="BD322" s="959">
        <f>SUM(S322,AE322,AL322,AU322)</f>
        <v>4</v>
      </c>
      <c r="BE322" s="959">
        <f>SUM(U322,AM322,AV322)</f>
        <v>4</v>
      </c>
      <c r="BF322" s="959">
        <f>SUM(BC322:BE322)</f>
        <v>8</v>
      </c>
      <c r="BG322" s="959">
        <f t="shared" si="340"/>
        <v>0</v>
      </c>
      <c r="BH322" s="959">
        <f t="shared" si="341"/>
        <v>0</v>
      </c>
      <c r="BI322" s="959">
        <f t="shared" si="342"/>
        <v>0</v>
      </c>
      <c r="BJ322" s="959">
        <f t="shared" si="343"/>
        <v>0</v>
      </c>
      <c r="BK322" s="959">
        <f t="shared" si="344"/>
        <v>0</v>
      </c>
      <c r="BL322" s="55"/>
    </row>
    <row r="323" spans="1:64" s="400" customFormat="1" ht="17.100000000000001" customHeight="1">
      <c r="A323" s="457" t="s">
        <v>3819</v>
      </c>
      <c r="B323" s="55" t="s">
        <v>142</v>
      </c>
      <c r="C323" s="53" t="s">
        <v>103</v>
      </c>
      <c r="D323" s="53" t="s">
        <v>1696</v>
      </c>
      <c r="E323" s="55" t="s">
        <v>4</v>
      </c>
      <c r="F323" s="55" t="s">
        <v>3835</v>
      </c>
      <c r="G323" s="71">
        <v>38412</v>
      </c>
      <c r="H323" s="50" t="s">
        <v>3836</v>
      </c>
      <c r="I323" s="760">
        <v>10851</v>
      </c>
      <c r="J323" s="52">
        <v>22820</v>
      </c>
      <c r="K323" s="55" t="s">
        <v>1669</v>
      </c>
      <c r="L323" s="54" t="s">
        <v>3837</v>
      </c>
      <c r="M323" s="1225">
        <v>2</v>
      </c>
      <c r="N323" s="1226">
        <v>1</v>
      </c>
      <c r="O323" s="1232">
        <v>34</v>
      </c>
      <c r="P323" s="60"/>
      <c r="Q323" s="61"/>
      <c r="R323" s="61"/>
      <c r="S323" s="61"/>
      <c r="T323" s="61">
        <v>1</v>
      </c>
      <c r="U323" s="62">
        <v>10</v>
      </c>
      <c r="V323" s="60"/>
      <c r="W323" s="61"/>
      <c r="X323" s="61"/>
      <c r="Y323" s="61"/>
      <c r="Z323" s="61"/>
      <c r="AA323" s="62"/>
      <c r="AB323" s="63">
        <v>1</v>
      </c>
      <c r="AC323" s="61"/>
      <c r="AD323" s="61">
        <v>3</v>
      </c>
      <c r="AE323" s="61">
        <v>2</v>
      </c>
      <c r="AF323" s="61">
        <f t="shared" si="329"/>
        <v>5</v>
      </c>
      <c r="AG323" s="61"/>
      <c r="AH323" s="61"/>
      <c r="AI323" s="62">
        <f t="shared" si="330"/>
        <v>0</v>
      </c>
      <c r="AJ323" s="63"/>
      <c r="AK323" s="61"/>
      <c r="AL323" s="61"/>
      <c r="AM323" s="61"/>
      <c r="AN323" s="61">
        <f t="shared" si="331"/>
        <v>0</v>
      </c>
      <c r="AO323" s="61"/>
      <c r="AP323" s="61"/>
      <c r="AQ323" s="62">
        <f t="shared" si="332"/>
        <v>0</v>
      </c>
      <c r="AR323" s="955"/>
      <c r="AS323" s="956">
        <v>1</v>
      </c>
      <c r="AT323" s="61"/>
      <c r="AU323" s="61"/>
      <c r="AV323" s="61"/>
      <c r="AW323" s="956">
        <f t="shared" si="333"/>
        <v>0</v>
      </c>
      <c r="AX323" s="956"/>
      <c r="AY323" s="956">
        <v>1</v>
      </c>
      <c r="AZ323" s="956">
        <v>1</v>
      </c>
      <c r="BA323" s="957">
        <f t="shared" si="334"/>
        <v>2</v>
      </c>
      <c r="BB323" s="958">
        <f t="shared" si="335"/>
        <v>2</v>
      </c>
      <c r="BC323" s="959">
        <f>SUM(Q323,AD323,AT323)</f>
        <v>3</v>
      </c>
      <c r="BD323" s="959">
        <f>SUM(S323,AE323,AL323,AU323)</f>
        <v>2</v>
      </c>
      <c r="BE323" s="959">
        <f>SUM(U323,AM323,AV323)</f>
        <v>10</v>
      </c>
      <c r="BF323" s="959">
        <f>SUM(BC323:BE323)</f>
        <v>15</v>
      </c>
      <c r="BG323" s="928">
        <f>SUM(V323,X323,Z323,AC323,AK323,AS323)</f>
        <v>1</v>
      </c>
      <c r="BH323" s="959">
        <f t="shared" si="341"/>
        <v>0</v>
      </c>
      <c r="BI323" s="959">
        <f>SUM(Y323,AH323,AO323,AY323)</f>
        <v>1</v>
      </c>
      <c r="BJ323" s="959">
        <f>SUM(AA323,AP323,AZ323)</f>
        <v>1</v>
      </c>
      <c r="BK323" s="959">
        <f>SUM(BH323:BJ323)</f>
        <v>2</v>
      </c>
      <c r="BL323" s="55"/>
    </row>
    <row r="324" spans="1:64" s="400" customFormat="1" ht="17.100000000000001" customHeight="1">
      <c r="A324" s="457" t="s">
        <v>3819</v>
      </c>
      <c r="B324" s="55" t="s">
        <v>142</v>
      </c>
      <c r="C324" s="53" t="s">
        <v>103</v>
      </c>
      <c r="D324" s="53" t="s">
        <v>3838</v>
      </c>
      <c r="E324" s="55" t="s">
        <v>4</v>
      </c>
      <c r="F324" s="55" t="s">
        <v>3839</v>
      </c>
      <c r="G324" s="71">
        <v>40969</v>
      </c>
      <c r="H324" s="50" t="s">
        <v>3840</v>
      </c>
      <c r="I324" s="760">
        <v>15696</v>
      </c>
      <c r="J324" s="52">
        <v>22816</v>
      </c>
      <c r="K324" s="55" t="s">
        <v>1193</v>
      </c>
      <c r="L324" s="56" t="s">
        <v>3841</v>
      </c>
      <c r="M324" s="57">
        <v>3</v>
      </c>
      <c r="N324" s="58">
        <v>3</v>
      </c>
      <c r="O324" s="59">
        <v>48</v>
      </c>
      <c r="P324" s="60">
        <v>1</v>
      </c>
      <c r="Q324" s="61">
        <v>7</v>
      </c>
      <c r="R324" s="61">
        <v>1</v>
      </c>
      <c r="S324" s="61">
        <v>4</v>
      </c>
      <c r="T324" s="61">
        <v>1</v>
      </c>
      <c r="U324" s="62">
        <v>11</v>
      </c>
      <c r="V324" s="60">
        <v>1</v>
      </c>
      <c r="W324" s="61">
        <v>3</v>
      </c>
      <c r="X324" s="61">
        <v>1</v>
      </c>
      <c r="Y324" s="61">
        <v>4</v>
      </c>
      <c r="Z324" s="61">
        <v>1</v>
      </c>
      <c r="AA324" s="62">
        <v>3</v>
      </c>
      <c r="AB324" s="63"/>
      <c r="AC324" s="61"/>
      <c r="AD324" s="61"/>
      <c r="AE324" s="61"/>
      <c r="AF324" s="61">
        <f t="shared" si="329"/>
        <v>0</v>
      </c>
      <c r="AG324" s="61"/>
      <c r="AH324" s="61"/>
      <c r="AI324" s="62">
        <f t="shared" si="330"/>
        <v>0</v>
      </c>
      <c r="AJ324" s="63"/>
      <c r="AK324" s="61"/>
      <c r="AL324" s="61"/>
      <c r="AM324" s="61"/>
      <c r="AN324" s="61">
        <f t="shared" si="331"/>
        <v>0</v>
      </c>
      <c r="AO324" s="61"/>
      <c r="AP324" s="61"/>
      <c r="AQ324" s="62">
        <f t="shared" si="332"/>
        <v>0</v>
      </c>
      <c r="AR324" s="955"/>
      <c r="AS324" s="956"/>
      <c r="AT324" s="61"/>
      <c r="AU324" s="61"/>
      <c r="AV324" s="61"/>
      <c r="AW324" s="956">
        <f t="shared" si="333"/>
        <v>0</v>
      </c>
      <c r="AX324" s="956"/>
      <c r="AY324" s="956"/>
      <c r="AZ324" s="956"/>
      <c r="BA324" s="957">
        <f t="shared" si="334"/>
        <v>0</v>
      </c>
      <c r="BB324" s="958">
        <f t="shared" si="335"/>
        <v>3</v>
      </c>
      <c r="BC324" s="959">
        <f>SUM(Q324,AD324,AT324)</f>
        <v>7</v>
      </c>
      <c r="BD324" s="959">
        <f>SUM(S324,AE324,AL324,AU324)</f>
        <v>4</v>
      </c>
      <c r="BE324" s="959">
        <f>SUM(U324,AM324,AV324)</f>
        <v>11</v>
      </c>
      <c r="BF324" s="959">
        <f>SUM(BC324:BE324)</f>
        <v>22</v>
      </c>
      <c r="BG324" s="959">
        <f>SUM(V324,X324,Z324,AC324,AK324,AS324)</f>
        <v>3</v>
      </c>
      <c r="BH324" s="959">
        <f>SUM(W324,AG324,AX324)</f>
        <v>3</v>
      </c>
      <c r="BI324" s="959">
        <f>SUM(Y324,AH324,AO324,AY324)</f>
        <v>4</v>
      </c>
      <c r="BJ324" s="959">
        <f>SUM(AA324,AP324,AZ324)</f>
        <v>3</v>
      </c>
      <c r="BK324" s="959">
        <f>SUM(BH324:BJ324)</f>
        <v>10</v>
      </c>
      <c r="BL324" s="55"/>
    </row>
    <row r="325" spans="1:64" s="400" customFormat="1" ht="17.100000000000001" customHeight="1">
      <c r="A325" s="457" t="s">
        <v>3819</v>
      </c>
      <c r="B325" s="55" t="s">
        <v>142</v>
      </c>
      <c r="C325" s="53" t="s">
        <v>103</v>
      </c>
      <c r="D325" s="53" t="s">
        <v>3842</v>
      </c>
      <c r="E325" s="55" t="s">
        <v>4</v>
      </c>
      <c r="F325" s="55" t="s">
        <v>3843</v>
      </c>
      <c r="G325" s="71">
        <v>41334</v>
      </c>
      <c r="H325" s="50" t="s">
        <v>3844</v>
      </c>
      <c r="I325" s="760">
        <v>23291</v>
      </c>
      <c r="J325" s="52">
        <v>22811</v>
      </c>
      <c r="K325" s="55" t="s">
        <v>3845</v>
      </c>
      <c r="L325" s="56" t="s">
        <v>1175</v>
      </c>
      <c r="M325" s="1225">
        <v>2</v>
      </c>
      <c r="N325" s="1226"/>
      <c r="O325" s="1232">
        <v>36</v>
      </c>
      <c r="P325" s="60"/>
      <c r="Q325" s="61"/>
      <c r="R325" s="61"/>
      <c r="S325" s="61"/>
      <c r="T325" s="61">
        <v>1</v>
      </c>
      <c r="U325" s="62">
        <v>15</v>
      </c>
      <c r="V325" s="60"/>
      <c r="W325" s="61"/>
      <c r="X325" s="61"/>
      <c r="Y325" s="61"/>
      <c r="Z325" s="61"/>
      <c r="AA325" s="62"/>
      <c r="AB325" s="63"/>
      <c r="AC325" s="61"/>
      <c r="AD325" s="61"/>
      <c r="AE325" s="61"/>
      <c r="AF325" s="61">
        <f t="shared" si="329"/>
        <v>0</v>
      </c>
      <c r="AG325" s="61"/>
      <c r="AH325" s="61"/>
      <c r="AI325" s="62">
        <f t="shared" si="330"/>
        <v>0</v>
      </c>
      <c r="AJ325" s="63"/>
      <c r="AK325" s="61"/>
      <c r="AL325" s="61"/>
      <c r="AM325" s="61"/>
      <c r="AN325" s="61">
        <f t="shared" si="331"/>
        <v>0</v>
      </c>
      <c r="AO325" s="61"/>
      <c r="AP325" s="61"/>
      <c r="AQ325" s="62">
        <f t="shared" si="332"/>
        <v>0</v>
      </c>
      <c r="AR325" s="955"/>
      <c r="AS325" s="956"/>
      <c r="AT325" s="61"/>
      <c r="AU325" s="61"/>
      <c r="AV325" s="61"/>
      <c r="AW325" s="956">
        <f t="shared" si="333"/>
        <v>0</v>
      </c>
      <c r="AX325" s="956"/>
      <c r="AY325" s="956"/>
      <c r="AZ325" s="956"/>
      <c r="BA325" s="957">
        <f t="shared" si="334"/>
        <v>0</v>
      </c>
      <c r="BB325" s="958">
        <f t="shared" si="335"/>
        <v>1</v>
      </c>
      <c r="BC325" s="959">
        <f>SUM(Q325,AD325,AT325)</f>
        <v>0</v>
      </c>
      <c r="BD325" s="959">
        <f>SUM(S325,AE325,AL325,AU325)</f>
        <v>0</v>
      </c>
      <c r="BE325" s="959">
        <f>SUM(U325,AM325,AV325)</f>
        <v>15</v>
      </c>
      <c r="BF325" s="959">
        <f>SUM(BC325:BE325)</f>
        <v>15</v>
      </c>
      <c r="BG325" s="959">
        <f t="shared" si="340"/>
        <v>0</v>
      </c>
      <c r="BH325" s="959">
        <f t="shared" si="341"/>
        <v>0</v>
      </c>
      <c r="BI325" s="959">
        <f t="shared" si="342"/>
        <v>0</v>
      </c>
      <c r="BJ325" s="959">
        <f t="shared" si="343"/>
        <v>0</v>
      </c>
      <c r="BK325" s="959">
        <f t="shared" si="344"/>
        <v>0</v>
      </c>
      <c r="BL325" s="55"/>
    </row>
    <row r="326" spans="1:64" s="400" customFormat="1" ht="17.100000000000001" customHeight="1">
      <c r="A326" s="457" t="s">
        <v>3819</v>
      </c>
      <c r="B326" s="55" t="s">
        <v>142</v>
      </c>
      <c r="C326" s="53" t="s">
        <v>103</v>
      </c>
      <c r="D326" s="53" t="s">
        <v>3846</v>
      </c>
      <c r="E326" s="55" t="s">
        <v>4</v>
      </c>
      <c r="F326" s="55" t="s">
        <v>3847</v>
      </c>
      <c r="G326" s="71">
        <v>38047</v>
      </c>
      <c r="H326" s="50" t="s">
        <v>3848</v>
      </c>
      <c r="I326" s="760">
        <v>15224</v>
      </c>
      <c r="J326" s="52">
        <v>22787</v>
      </c>
      <c r="K326" s="55" t="s">
        <v>3849</v>
      </c>
      <c r="L326" s="56" t="s">
        <v>1185</v>
      </c>
      <c r="M326" s="1227">
        <v>2</v>
      </c>
      <c r="N326" s="1228">
        <v>1</v>
      </c>
      <c r="O326" s="1229" ph="1">
        <v>36</v>
      </c>
      <c r="P326" s="67"/>
      <c r="Q326" s="68"/>
      <c r="R326" s="68"/>
      <c r="S326" s="68"/>
      <c r="T326" s="68"/>
      <c r="U326" s="69"/>
      <c r="V326" s="67"/>
      <c r="W326" s="68"/>
      <c r="X326" s="68"/>
      <c r="Y326" s="68"/>
      <c r="Z326" s="68"/>
      <c r="AA326" s="69"/>
      <c r="AB326" s="70"/>
      <c r="AC326" s="68"/>
      <c r="AD326" s="68"/>
      <c r="AE326" s="68"/>
      <c r="AF326" s="68">
        <f t="shared" si="329"/>
        <v>0</v>
      </c>
      <c r="AG326" s="68"/>
      <c r="AH326" s="68"/>
      <c r="AI326" s="69">
        <f t="shared" si="330"/>
        <v>0</v>
      </c>
      <c r="AJ326" s="70"/>
      <c r="AK326" s="68"/>
      <c r="AL326" s="68"/>
      <c r="AM326" s="68"/>
      <c r="AN326" s="68">
        <f t="shared" si="331"/>
        <v>0</v>
      </c>
      <c r="AO326" s="68"/>
      <c r="AP326" s="68"/>
      <c r="AQ326" s="69">
        <f t="shared" si="332"/>
        <v>0</v>
      </c>
      <c r="AR326" s="972">
        <v>1</v>
      </c>
      <c r="AS326" s="973">
        <v>1</v>
      </c>
      <c r="AT326" s="68">
        <v>4</v>
      </c>
      <c r="AU326" s="68">
        <v>2</v>
      </c>
      <c r="AV326" s="68">
        <v>3</v>
      </c>
      <c r="AW326" s="973">
        <f t="shared" si="333"/>
        <v>9</v>
      </c>
      <c r="AX326" s="973"/>
      <c r="AY326" s="973"/>
      <c r="AZ326" s="973">
        <v>1</v>
      </c>
      <c r="BA326" s="974">
        <f t="shared" si="334"/>
        <v>1</v>
      </c>
      <c r="BB326" s="975">
        <f t="shared" si="335"/>
        <v>1</v>
      </c>
      <c r="BC326" s="959">
        <f t="shared" ref="BC326" si="345">SUM(Q326,AD326,AT326)</f>
        <v>4</v>
      </c>
      <c r="BD326" s="959">
        <f t="shared" ref="BD326" si="346">SUM(S326,AE326,AL326,AU326)</f>
        <v>2</v>
      </c>
      <c r="BE326" s="959">
        <f t="shared" ref="BE326" si="347">SUM(U326,AM326,AV326)</f>
        <v>3</v>
      </c>
      <c r="BF326" s="959">
        <f t="shared" ref="BF326" si="348">SUM(BC326:BE326)</f>
        <v>9</v>
      </c>
      <c r="BG326" s="959">
        <f t="shared" si="340"/>
        <v>1</v>
      </c>
      <c r="BH326" s="959">
        <f t="shared" si="341"/>
        <v>0</v>
      </c>
      <c r="BI326" s="959">
        <f t="shared" si="342"/>
        <v>0</v>
      </c>
      <c r="BJ326" s="959">
        <f t="shared" si="343"/>
        <v>1</v>
      </c>
      <c r="BK326" s="959">
        <f t="shared" si="344"/>
        <v>1</v>
      </c>
      <c r="BL326" s="55"/>
    </row>
    <row r="327" spans="1:64" s="400" customFormat="1" ht="17.100000000000001" customHeight="1">
      <c r="A327" s="457" t="s">
        <v>3819</v>
      </c>
      <c r="B327" s="55" t="s">
        <v>142</v>
      </c>
      <c r="C327" s="53" t="s">
        <v>103</v>
      </c>
      <c r="D327" s="53" t="s">
        <v>3850</v>
      </c>
      <c r="E327" s="55" t="s">
        <v>4</v>
      </c>
      <c r="F327" s="55" t="s">
        <v>3851</v>
      </c>
      <c r="G327" s="71">
        <v>31837</v>
      </c>
      <c r="H327" s="50" t="s">
        <v>3852</v>
      </c>
      <c r="I327" s="760">
        <v>14730</v>
      </c>
      <c r="J327" s="52">
        <v>22801</v>
      </c>
      <c r="K327" s="55" t="s">
        <v>3853</v>
      </c>
      <c r="L327" s="56" t="s">
        <v>1173</v>
      </c>
      <c r="M327" s="57">
        <v>1</v>
      </c>
      <c r="N327" s="58"/>
      <c r="O327" s="59">
        <v>19</v>
      </c>
      <c r="P327" s="60"/>
      <c r="Q327" s="61"/>
      <c r="R327" s="61"/>
      <c r="S327" s="61"/>
      <c r="T327" s="61"/>
      <c r="U327" s="62"/>
      <c r="V327" s="60"/>
      <c r="W327" s="61"/>
      <c r="X327" s="61"/>
      <c r="Y327" s="61"/>
      <c r="Z327" s="61"/>
      <c r="AA327" s="62"/>
      <c r="AB327" s="63"/>
      <c r="AC327" s="61"/>
      <c r="AD327" s="61"/>
      <c r="AE327" s="61"/>
      <c r="AF327" s="61">
        <f t="shared" si="329"/>
        <v>0</v>
      </c>
      <c r="AG327" s="61"/>
      <c r="AH327" s="61"/>
      <c r="AI327" s="62">
        <f t="shared" si="330"/>
        <v>0</v>
      </c>
      <c r="AJ327" s="63">
        <v>1</v>
      </c>
      <c r="AK327" s="61"/>
      <c r="AL327" s="61">
        <v>1</v>
      </c>
      <c r="AM327" s="61">
        <v>7</v>
      </c>
      <c r="AN327" s="61">
        <f t="shared" si="331"/>
        <v>8</v>
      </c>
      <c r="AO327" s="61"/>
      <c r="AP327" s="61"/>
      <c r="AQ327" s="62">
        <f t="shared" si="332"/>
        <v>0</v>
      </c>
      <c r="AR327" s="955"/>
      <c r="AS327" s="956"/>
      <c r="AT327" s="61"/>
      <c r="AU327" s="61"/>
      <c r="AV327" s="61"/>
      <c r="AW327" s="956">
        <f t="shared" si="333"/>
        <v>0</v>
      </c>
      <c r="AX327" s="956"/>
      <c r="AY327" s="956"/>
      <c r="AZ327" s="956"/>
      <c r="BA327" s="957">
        <f t="shared" si="334"/>
        <v>0</v>
      </c>
      <c r="BB327" s="958">
        <f t="shared" si="335"/>
        <v>1</v>
      </c>
      <c r="BC327" s="959">
        <f>SUM(Q327,AD327,AT327)</f>
        <v>0</v>
      </c>
      <c r="BD327" s="959">
        <f>SUM(S327,AE327,AL327,AU327)</f>
        <v>1</v>
      </c>
      <c r="BE327" s="959">
        <f>SUM(U327,AM327,AV327)</f>
        <v>7</v>
      </c>
      <c r="BF327" s="959">
        <f>SUM(BC327:BE327)</f>
        <v>8</v>
      </c>
      <c r="BG327" s="959">
        <f t="shared" si="340"/>
        <v>0</v>
      </c>
      <c r="BH327" s="959">
        <f t="shared" si="341"/>
        <v>0</v>
      </c>
      <c r="BI327" s="959">
        <f t="shared" si="342"/>
        <v>0</v>
      </c>
      <c r="BJ327" s="959">
        <f t="shared" si="343"/>
        <v>0</v>
      </c>
      <c r="BK327" s="959">
        <f t="shared" si="344"/>
        <v>0</v>
      </c>
      <c r="BL327" s="55"/>
    </row>
    <row r="328" spans="1:64" s="400" customFormat="1" ht="17.100000000000001" customHeight="1">
      <c r="A328" s="457" t="s">
        <v>1670</v>
      </c>
      <c r="B328" s="55" t="s">
        <v>142</v>
      </c>
      <c r="C328" s="53" t="s">
        <v>103</v>
      </c>
      <c r="D328" s="53" t="s">
        <v>1693</v>
      </c>
      <c r="E328" s="55" t="s">
        <v>4</v>
      </c>
      <c r="F328" s="55" t="s">
        <v>3854</v>
      </c>
      <c r="G328" s="71">
        <v>38056</v>
      </c>
      <c r="H328" s="50" t="s">
        <v>3855</v>
      </c>
      <c r="I328" s="760">
        <v>11048.7</v>
      </c>
      <c r="J328" s="52">
        <v>22697</v>
      </c>
      <c r="K328" s="55" t="s">
        <v>3856</v>
      </c>
      <c r="L328" s="56" t="s">
        <v>3857</v>
      </c>
      <c r="M328" s="1227">
        <v>2</v>
      </c>
      <c r="N328" s="1228"/>
      <c r="O328" s="1229">
        <v>36</v>
      </c>
      <c r="P328" s="67"/>
      <c r="Q328" s="68"/>
      <c r="R328" s="68"/>
      <c r="S328" s="68"/>
      <c r="T328" s="68"/>
      <c r="U328" s="69"/>
      <c r="V328" s="67"/>
      <c r="W328" s="68"/>
      <c r="X328" s="68"/>
      <c r="Y328" s="68"/>
      <c r="Z328" s="68"/>
      <c r="AA328" s="69"/>
      <c r="AB328" s="70"/>
      <c r="AC328" s="68"/>
      <c r="AD328" s="68"/>
      <c r="AE328" s="68"/>
      <c r="AF328" s="68">
        <f t="shared" si="329"/>
        <v>0</v>
      </c>
      <c r="AG328" s="68"/>
      <c r="AH328" s="68"/>
      <c r="AI328" s="69">
        <f t="shared" si="330"/>
        <v>0</v>
      </c>
      <c r="AJ328" s="70"/>
      <c r="AK328" s="68"/>
      <c r="AL328" s="68"/>
      <c r="AM328" s="68"/>
      <c r="AN328" s="68">
        <f t="shared" si="331"/>
        <v>0</v>
      </c>
      <c r="AO328" s="68"/>
      <c r="AP328" s="68"/>
      <c r="AQ328" s="69">
        <f t="shared" si="332"/>
        <v>0</v>
      </c>
      <c r="AR328" s="972"/>
      <c r="AS328" s="973"/>
      <c r="AT328" s="68"/>
      <c r="AU328" s="68"/>
      <c r="AV328" s="68"/>
      <c r="AW328" s="973">
        <f t="shared" si="333"/>
        <v>0</v>
      </c>
      <c r="AX328" s="973"/>
      <c r="AY328" s="973"/>
      <c r="AZ328" s="973"/>
      <c r="BA328" s="974">
        <f t="shared" si="334"/>
        <v>0</v>
      </c>
      <c r="BB328" s="976">
        <f t="shared" si="335"/>
        <v>0</v>
      </c>
      <c r="BC328" s="959">
        <f t="shared" si="336"/>
        <v>0</v>
      </c>
      <c r="BD328" s="959">
        <f t="shared" si="337"/>
        <v>0</v>
      </c>
      <c r="BE328" s="959">
        <f t="shared" si="338"/>
        <v>0</v>
      </c>
      <c r="BF328" s="959">
        <f t="shared" si="339"/>
        <v>0</v>
      </c>
      <c r="BG328" s="959">
        <f t="shared" si="340"/>
        <v>0</v>
      </c>
      <c r="BH328" s="959">
        <f t="shared" si="341"/>
        <v>0</v>
      </c>
      <c r="BI328" s="959">
        <f t="shared" si="342"/>
        <v>0</v>
      </c>
      <c r="BJ328" s="959">
        <f t="shared" si="343"/>
        <v>0</v>
      </c>
      <c r="BK328" s="959">
        <f t="shared" si="344"/>
        <v>0</v>
      </c>
      <c r="BL328" s="55" t="s">
        <v>1748</v>
      </c>
    </row>
    <row r="329" spans="1:64" s="400" customFormat="1" ht="17.100000000000001" customHeight="1">
      <c r="A329" s="457" t="s">
        <v>1670</v>
      </c>
      <c r="B329" s="55" t="s">
        <v>142</v>
      </c>
      <c r="C329" s="53" t="s">
        <v>103</v>
      </c>
      <c r="D329" s="53" t="s">
        <v>1693</v>
      </c>
      <c r="E329" s="55" t="s">
        <v>4</v>
      </c>
      <c r="F329" s="55" t="s">
        <v>3858</v>
      </c>
      <c r="G329" s="71">
        <v>41883</v>
      </c>
      <c r="H329" s="50" t="s">
        <v>3859</v>
      </c>
      <c r="I329" s="760">
        <v>10395</v>
      </c>
      <c r="J329" s="52">
        <v>22704</v>
      </c>
      <c r="K329" s="55" t="s">
        <v>3860</v>
      </c>
      <c r="L329" s="56" t="s">
        <v>3861</v>
      </c>
      <c r="M329" s="57">
        <v>5</v>
      </c>
      <c r="N329" s="58">
        <v>2</v>
      </c>
      <c r="O329" s="59">
        <v>84</v>
      </c>
      <c r="P329" s="60">
        <v>2</v>
      </c>
      <c r="Q329" s="61">
        <v>21</v>
      </c>
      <c r="R329" s="61">
        <v>2</v>
      </c>
      <c r="S329" s="61">
        <v>32</v>
      </c>
      <c r="T329" s="61">
        <v>1</v>
      </c>
      <c r="U329" s="62">
        <v>15</v>
      </c>
      <c r="V329" s="60"/>
      <c r="W329" s="61"/>
      <c r="X329" s="61"/>
      <c r="Y329" s="61"/>
      <c r="Z329" s="61">
        <v>1</v>
      </c>
      <c r="AA329" s="62">
        <v>3</v>
      </c>
      <c r="AB329" s="63"/>
      <c r="AC329" s="61">
        <v>1</v>
      </c>
      <c r="AD329" s="61"/>
      <c r="AE329" s="61"/>
      <c r="AF329" s="61">
        <f>SUM(AD329:AE329)</f>
        <v>0</v>
      </c>
      <c r="AG329" s="61">
        <v>3</v>
      </c>
      <c r="AH329" s="61">
        <v>1</v>
      </c>
      <c r="AI329" s="62">
        <f>SUM(AG329:AH329)</f>
        <v>4</v>
      </c>
      <c r="AJ329" s="63"/>
      <c r="AK329" s="61"/>
      <c r="AL329" s="61"/>
      <c r="AM329" s="61"/>
      <c r="AN329" s="61">
        <f>SUM(AL329:AM329)</f>
        <v>0</v>
      </c>
      <c r="AO329" s="61"/>
      <c r="AP329" s="61"/>
      <c r="AQ329" s="62">
        <f t="shared" si="332"/>
        <v>0</v>
      </c>
      <c r="AR329" s="955"/>
      <c r="AS329" s="956"/>
      <c r="AT329" s="61"/>
      <c r="AU329" s="61"/>
      <c r="AV329" s="61"/>
      <c r="AW329" s="956">
        <f>SUM(AT329:AV329)</f>
        <v>0</v>
      </c>
      <c r="AX329" s="956"/>
      <c r="AY329" s="956"/>
      <c r="AZ329" s="956"/>
      <c r="BA329" s="957">
        <f>SUM(AX329:AZ329)</f>
        <v>0</v>
      </c>
      <c r="BB329" s="958">
        <f t="shared" si="335"/>
        <v>5</v>
      </c>
      <c r="BC329" s="959">
        <f t="shared" si="336"/>
        <v>21</v>
      </c>
      <c r="BD329" s="959">
        <f t="shared" si="337"/>
        <v>32</v>
      </c>
      <c r="BE329" s="959">
        <f t="shared" si="338"/>
        <v>15</v>
      </c>
      <c r="BF329" s="959">
        <f t="shared" si="339"/>
        <v>68</v>
      </c>
      <c r="BG329" s="959">
        <f>SUM(V329,X329,Z329,AC329,AK329,AS329)</f>
        <v>2</v>
      </c>
      <c r="BH329" s="959">
        <f>SUM(W329,AG329,AX329)</f>
        <v>3</v>
      </c>
      <c r="BI329" s="959">
        <f>SUM(Y329,AH329,AO329,AY329)</f>
        <v>1</v>
      </c>
      <c r="BJ329" s="959">
        <f>SUM(AA329,AP329,AZ329)</f>
        <v>3</v>
      </c>
      <c r="BK329" s="959">
        <f>SUM(BH329:BJ329)</f>
        <v>7</v>
      </c>
      <c r="BL329" s="55"/>
    </row>
    <row r="330" spans="1:64" s="400" customFormat="1" ht="17.100000000000001" customHeight="1">
      <c r="A330" s="457" t="s">
        <v>1670</v>
      </c>
      <c r="B330" s="55" t="s">
        <v>142</v>
      </c>
      <c r="C330" s="53" t="s">
        <v>103</v>
      </c>
      <c r="D330" s="53" t="s">
        <v>1693</v>
      </c>
      <c r="E330" s="55" t="s">
        <v>4</v>
      </c>
      <c r="F330" s="55" t="s">
        <v>3862</v>
      </c>
      <c r="G330" s="71">
        <v>38473</v>
      </c>
      <c r="H330" s="50" t="s">
        <v>3863</v>
      </c>
      <c r="I330" s="760">
        <v>12549</v>
      </c>
      <c r="J330" s="52">
        <v>22692</v>
      </c>
      <c r="K330" s="55" t="s">
        <v>3864</v>
      </c>
      <c r="L330" s="56" t="s">
        <v>3865</v>
      </c>
      <c r="M330" s="57">
        <v>4</v>
      </c>
      <c r="N330" s="58"/>
      <c r="O330" s="59">
        <v>67</v>
      </c>
      <c r="P330" s="60">
        <v>2</v>
      </c>
      <c r="Q330" s="61">
        <v>20</v>
      </c>
      <c r="R330" s="61">
        <v>1</v>
      </c>
      <c r="S330" s="61">
        <v>11</v>
      </c>
      <c r="T330" s="61">
        <v>1</v>
      </c>
      <c r="U330" s="62">
        <v>16</v>
      </c>
      <c r="V330" s="60"/>
      <c r="W330" s="61"/>
      <c r="X330" s="61"/>
      <c r="Y330" s="61"/>
      <c r="Z330" s="61"/>
      <c r="AA330" s="62"/>
      <c r="AB330" s="63"/>
      <c r="AC330" s="61"/>
      <c r="AD330" s="61"/>
      <c r="AE330" s="61"/>
      <c r="AF330" s="61">
        <f>SUM(AD330:AE330)</f>
        <v>0</v>
      </c>
      <c r="AG330" s="61"/>
      <c r="AH330" s="61"/>
      <c r="AI330" s="62">
        <f>SUM(AG330:AH330)</f>
        <v>0</v>
      </c>
      <c r="AJ330" s="63"/>
      <c r="AK330" s="61"/>
      <c r="AL330" s="61"/>
      <c r="AM330" s="61"/>
      <c r="AN330" s="61">
        <v>0</v>
      </c>
      <c r="AO330" s="61"/>
      <c r="AP330" s="61"/>
      <c r="AQ330" s="62">
        <f t="shared" si="332"/>
        <v>0</v>
      </c>
      <c r="AR330" s="955"/>
      <c r="AS330" s="956"/>
      <c r="AT330" s="61"/>
      <c r="AU330" s="61"/>
      <c r="AV330" s="61"/>
      <c r="AW330" s="956">
        <f>SUM(AT330:AV330)</f>
        <v>0</v>
      </c>
      <c r="AX330" s="956"/>
      <c r="AY330" s="956"/>
      <c r="AZ330" s="956"/>
      <c r="BA330" s="957">
        <f>SUM(AX330:AZ330)</f>
        <v>0</v>
      </c>
      <c r="BB330" s="958">
        <f t="shared" si="335"/>
        <v>4</v>
      </c>
      <c r="BC330" s="959">
        <f t="shared" si="336"/>
        <v>20</v>
      </c>
      <c r="BD330" s="959">
        <f t="shared" si="337"/>
        <v>11</v>
      </c>
      <c r="BE330" s="959">
        <f t="shared" si="338"/>
        <v>16</v>
      </c>
      <c r="BF330" s="959">
        <f t="shared" si="339"/>
        <v>47</v>
      </c>
      <c r="BG330" s="959">
        <f t="shared" si="340"/>
        <v>0</v>
      </c>
      <c r="BH330" s="959">
        <f t="shared" si="341"/>
        <v>0</v>
      </c>
      <c r="BI330" s="959">
        <f t="shared" si="342"/>
        <v>0</v>
      </c>
      <c r="BJ330" s="959">
        <f t="shared" si="343"/>
        <v>0</v>
      </c>
      <c r="BK330" s="959">
        <f t="shared" si="344"/>
        <v>0</v>
      </c>
      <c r="BL330" s="55"/>
    </row>
    <row r="331" spans="1:64" s="400" customFormat="1" ht="17.100000000000001" customHeight="1">
      <c r="A331" s="457" t="s">
        <v>1670</v>
      </c>
      <c r="B331" s="55" t="s">
        <v>142</v>
      </c>
      <c r="C331" s="53" t="s">
        <v>103</v>
      </c>
      <c r="D331" s="53" t="s">
        <v>1693</v>
      </c>
      <c r="E331" s="55" t="s">
        <v>4</v>
      </c>
      <c r="F331" s="55" t="s">
        <v>3866</v>
      </c>
      <c r="G331" s="71">
        <v>38419</v>
      </c>
      <c r="H331" s="50" t="s">
        <v>3867</v>
      </c>
      <c r="I331" s="760">
        <v>11791</v>
      </c>
      <c r="J331" s="52">
        <v>22705</v>
      </c>
      <c r="K331" s="55" t="s">
        <v>3868</v>
      </c>
      <c r="L331" s="56" t="s">
        <v>3869</v>
      </c>
      <c r="M331" s="773">
        <v>3</v>
      </c>
      <c r="N331" s="718"/>
      <c r="O331" s="774">
        <v>48</v>
      </c>
      <c r="P331" s="60">
        <v>1</v>
      </c>
      <c r="Q331" s="61">
        <v>12</v>
      </c>
      <c r="R331" s="61">
        <v>1</v>
      </c>
      <c r="S331" s="61">
        <v>7</v>
      </c>
      <c r="T331" s="61">
        <v>1</v>
      </c>
      <c r="U331" s="62">
        <v>18</v>
      </c>
      <c r="V331" s="60"/>
      <c r="W331" s="61"/>
      <c r="X331" s="61"/>
      <c r="Y331" s="61"/>
      <c r="Z331" s="61"/>
      <c r="AA331" s="62"/>
      <c r="AB331" s="63"/>
      <c r="AC331" s="61"/>
      <c r="AD331" s="61"/>
      <c r="AE331" s="61"/>
      <c r="AF331" s="61">
        <v>0</v>
      </c>
      <c r="AG331" s="61"/>
      <c r="AH331" s="61"/>
      <c r="AI331" s="62">
        <v>0</v>
      </c>
      <c r="AJ331" s="63"/>
      <c r="AK331" s="61"/>
      <c r="AL331" s="61"/>
      <c r="AM331" s="61"/>
      <c r="AN331" s="61">
        <f>SUM(AL331:AM331)</f>
        <v>0</v>
      </c>
      <c r="AO331" s="61"/>
      <c r="AP331" s="61"/>
      <c r="AQ331" s="62">
        <f t="shared" si="332"/>
        <v>0</v>
      </c>
      <c r="AR331" s="955"/>
      <c r="AS331" s="956"/>
      <c r="AT331" s="61"/>
      <c r="AU331" s="61"/>
      <c r="AV331" s="61"/>
      <c r="AW331" s="956">
        <f>SUM(AT331:AV331)</f>
        <v>0</v>
      </c>
      <c r="AX331" s="956"/>
      <c r="AY331" s="956"/>
      <c r="AZ331" s="956"/>
      <c r="BA331" s="957">
        <f>SUM(AX331:AZ331)</f>
        <v>0</v>
      </c>
      <c r="BB331" s="958">
        <f t="shared" si="335"/>
        <v>3</v>
      </c>
      <c r="BC331" s="959">
        <f t="shared" si="336"/>
        <v>12</v>
      </c>
      <c r="BD331" s="959">
        <f t="shared" si="337"/>
        <v>7</v>
      </c>
      <c r="BE331" s="959">
        <f t="shared" si="338"/>
        <v>18</v>
      </c>
      <c r="BF331" s="959">
        <f t="shared" si="339"/>
        <v>37</v>
      </c>
      <c r="BG331" s="959">
        <f t="shared" si="340"/>
        <v>0</v>
      </c>
      <c r="BH331" s="959">
        <f t="shared" si="341"/>
        <v>0</v>
      </c>
      <c r="BI331" s="959">
        <f t="shared" si="342"/>
        <v>0</v>
      </c>
      <c r="BJ331" s="959">
        <f t="shared" si="343"/>
        <v>0</v>
      </c>
      <c r="BK331" s="959">
        <f t="shared" si="344"/>
        <v>0</v>
      </c>
      <c r="BL331" s="55"/>
    </row>
    <row r="332" spans="1:64" s="400" customFormat="1" ht="17.100000000000001" customHeight="1">
      <c r="A332" s="457" t="s">
        <v>1670</v>
      </c>
      <c r="B332" s="55" t="s">
        <v>142</v>
      </c>
      <c r="C332" s="53" t="s">
        <v>103</v>
      </c>
      <c r="D332" s="53" t="s">
        <v>1693</v>
      </c>
      <c r="E332" s="55" t="s">
        <v>4</v>
      </c>
      <c r="F332" s="55" t="s">
        <v>3870</v>
      </c>
      <c r="G332" s="71">
        <v>45170</v>
      </c>
      <c r="H332" s="50" t="s">
        <v>3871</v>
      </c>
      <c r="I332" s="760">
        <v>13000</v>
      </c>
      <c r="J332" s="52">
        <v>22687</v>
      </c>
      <c r="K332" s="55" t="s">
        <v>3872</v>
      </c>
      <c r="L332" s="56" t="s">
        <v>3873</v>
      </c>
      <c r="M332" s="773">
        <v>6</v>
      </c>
      <c r="N332" s="718">
        <v>1</v>
      </c>
      <c r="O332" s="774">
        <v>96</v>
      </c>
      <c r="P332" s="60">
        <v>2</v>
      </c>
      <c r="Q332" s="61">
        <v>23</v>
      </c>
      <c r="R332" s="61">
        <v>2</v>
      </c>
      <c r="S332" s="61">
        <v>34</v>
      </c>
      <c r="T332" s="61">
        <v>2</v>
      </c>
      <c r="U332" s="62">
        <v>34</v>
      </c>
      <c r="V332" s="60"/>
      <c r="W332" s="61"/>
      <c r="X332" s="61"/>
      <c r="Y332" s="61"/>
      <c r="Z332" s="61"/>
      <c r="AA332" s="62"/>
      <c r="AB332" s="63"/>
      <c r="AC332" s="61"/>
      <c r="AD332" s="61"/>
      <c r="AE332" s="61"/>
      <c r="AF332" s="61">
        <f>SUM(AD332:AE332)</f>
        <v>0</v>
      </c>
      <c r="AG332" s="61"/>
      <c r="AH332" s="61"/>
      <c r="AI332" s="62">
        <f>SUM(AG332:AH332)</f>
        <v>0</v>
      </c>
      <c r="AJ332" s="63"/>
      <c r="AK332" s="61"/>
      <c r="AL332" s="61"/>
      <c r="AM332" s="61"/>
      <c r="AN332" s="61">
        <f>SUM(AL332:AM332)</f>
        <v>0</v>
      </c>
      <c r="AO332" s="61"/>
      <c r="AP332" s="61"/>
      <c r="AQ332" s="62">
        <f t="shared" si="332"/>
        <v>0</v>
      </c>
      <c r="AR332" s="955"/>
      <c r="AS332" s="956">
        <v>1</v>
      </c>
      <c r="AT332" s="61"/>
      <c r="AU332" s="61"/>
      <c r="AV332" s="61"/>
      <c r="AW332" s="956">
        <f>SUM(AT332:AV332)</f>
        <v>0</v>
      </c>
      <c r="AX332" s="956">
        <v>1</v>
      </c>
      <c r="AY332" s="956"/>
      <c r="AZ332" s="956">
        <v>3</v>
      </c>
      <c r="BA332" s="957">
        <f>SUM(AX332:AZ332)</f>
        <v>4</v>
      </c>
      <c r="BB332" s="958">
        <f t="shared" si="335"/>
        <v>6</v>
      </c>
      <c r="BC332" s="959">
        <f t="shared" si="336"/>
        <v>23</v>
      </c>
      <c r="BD332" s="959">
        <f t="shared" si="337"/>
        <v>34</v>
      </c>
      <c r="BE332" s="959">
        <f t="shared" si="338"/>
        <v>34</v>
      </c>
      <c r="BF332" s="959">
        <f t="shared" si="339"/>
        <v>91</v>
      </c>
      <c r="BG332" s="959">
        <v>1</v>
      </c>
      <c r="BH332" s="959">
        <f>SUM(W332,AG332,AX332)</f>
        <v>1</v>
      </c>
      <c r="BI332" s="959">
        <f>SUM(Y332,AH332,AO332,AY332)</f>
        <v>0</v>
      </c>
      <c r="BJ332" s="959">
        <f>SUM(AA332,AP332,AZ332)</f>
        <v>3</v>
      </c>
      <c r="BK332" s="959">
        <f>SUM(BH332:BJ332)</f>
        <v>4</v>
      </c>
      <c r="BL332" s="55"/>
    </row>
    <row r="333" spans="1:64" s="400" customFormat="1" ht="17.100000000000001" customHeight="1">
      <c r="A333" s="457" t="s">
        <v>1670</v>
      </c>
      <c r="B333" s="55" t="s">
        <v>142</v>
      </c>
      <c r="C333" s="53" t="s">
        <v>103</v>
      </c>
      <c r="D333" s="53" t="s">
        <v>1695</v>
      </c>
      <c r="E333" s="55" t="s">
        <v>4</v>
      </c>
      <c r="F333" s="55" t="s">
        <v>3874</v>
      </c>
      <c r="G333" s="71">
        <v>36951</v>
      </c>
      <c r="H333" s="50" t="s">
        <v>3875</v>
      </c>
      <c r="I333" s="760">
        <v>13449</v>
      </c>
      <c r="J333" s="52">
        <v>22779</v>
      </c>
      <c r="K333" s="55" t="s">
        <v>1702</v>
      </c>
      <c r="L333" s="56" t="s">
        <v>1211</v>
      </c>
      <c r="M333" s="773">
        <v>3</v>
      </c>
      <c r="N333" s="718"/>
      <c r="O333" s="774">
        <v>48</v>
      </c>
      <c r="P333" s="60">
        <v>1</v>
      </c>
      <c r="Q333" s="61">
        <v>12</v>
      </c>
      <c r="R333" s="61">
        <v>1</v>
      </c>
      <c r="S333" s="61">
        <v>17</v>
      </c>
      <c r="T333" s="61">
        <v>1</v>
      </c>
      <c r="U333" s="62">
        <v>19</v>
      </c>
      <c r="V333" s="60"/>
      <c r="W333" s="61"/>
      <c r="X333" s="61"/>
      <c r="Y333" s="61"/>
      <c r="Z333" s="61"/>
      <c r="AA333" s="62"/>
      <c r="AB333" s="63"/>
      <c r="AC333" s="61"/>
      <c r="AD333" s="61"/>
      <c r="AE333" s="61"/>
      <c r="AF333" s="61">
        <f t="shared" ref="AF333:AF339" si="349">SUM(AD333:AE333)</f>
        <v>0</v>
      </c>
      <c r="AG333" s="61"/>
      <c r="AH333" s="61"/>
      <c r="AI333" s="62">
        <f t="shared" ref="AI333:AI339" si="350">SUM(AG333:AH333)</f>
        <v>0</v>
      </c>
      <c r="AJ333" s="63"/>
      <c r="AK333" s="61"/>
      <c r="AL333" s="61"/>
      <c r="AM333" s="61"/>
      <c r="AN333" s="61">
        <f>SUM(AL333:AM333)</f>
        <v>0</v>
      </c>
      <c r="AO333" s="61"/>
      <c r="AP333" s="61"/>
      <c r="AQ333" s="62">
        <f t="shared" si="332"/>
        <v>0</v>
      </c>
      <c r="AR333" s="955"/>
      <c r="AS333" s="956"/>
      <c r="AT333" s="61"/>
      <c r="AU333" s="61"/>
      <c r="AV333" s="61"/>
      <c r="AW333" s="956">
        <f t="shared" ref="AW333:AW339" si="351">SUM(AT333:AV333)</f>
        <v>0</v>
      </c>
      <c r="AX333" s="956"/>
      <c r="AY333" s="956"/>
      <c r="AZ333" s="956"/>
      <c r="BA333" s="957">
        <f t="shared" ref="BA333:BA339" si="352">SUM(AX333:AZ333)</f>
        <v>0</v>
      </c>
      <c r="BB333" s="958">
        <f t="shared" si="335"/>
        <v>3</v>
      </c>
      <c r="BC333" s="959">
        <f t="shared" si="336"/>
        <v>12</v>
      </c>
      <c r="BD333" s="959">
        <f t="shared" si="337"/>
        <v>17</v>
      </c>
      <c r="BE333" s="959">
        <f t="shared" si="338"/>
        <v>19</v>
      </c>
      <c r="BF333" s="959">
        <f t="shared" si="339"/>
        <v>48</v>
      </c>
      <c r="BG333" s="959">
        <f>SUM(V333,X333,Z333,AC333,AK333,AS333)</f>
        <v>0</v>
      </c>
      <c r="BH333" s="959">
        <f>SUM(W333,AG333,AX333)</f>
        <v>0</v>
      </c>
      <c r="BI333" s="959">
        <f>SUM(Y333,AH333,AO333,AY333)</f>
        <v>0</v>
      </c>
      <c r="BJ333" s="959">
        <f>SUM(AA333,AP333,AZ333)</f>
        <v>0</v>
      </c>
      <c r="BK333" s="959">
        <f>SUM(BH333:BJ333)</f>
        <v>0</v>
      </c>
      <c r="BL333" s="55"/>
    </row>
    <row r="334" spans="1:64" s="400" customFormat="1" ht="17.100000000000001" customHeight="1">
      <c r="A334" s="457" t="s">
        <v>1670</v>
      </c>
      <c r="B334" s="55" t="s">
        <v>142</v>
      </c>
      <c r="C334" s="53" t="s">
        <v>103</v>
      </c>
      <c r="D334" s="53" t="s">
        <v>1695</v>
      </c>
      <c r="E334" s="55" t="s">
        <v>4</v>
      </c>
      <c r="F334" s="55" t="s">
        <v>1671</v>
      </c>
      <c r="G334" s="71">
        <v>42795</v>
      </c>
      <c r="H334" s="50" t="s">
        <v>1700</v>
      </c>
      <c r="I334" s="760">
        <v>2699</v>
      </c>
      <c r="J334" s="52">
        <v>22779</v>
      </c>
      <c r="K334" s="55" t="s">
        <v>1672</v>
      </c>
      <c r="L334" s="56" t="s">
        <v>1673</v>
      </c>
      <c r="M334" s="773">
        <v>9</v>
      </c>
      <c r="N334" s="718">
        <v>3</v>
      </c>
      <c r="O334" s="774">
        <v>144</v>
      </c>
      <c r="P334" s="60">
        <v>3</v>
      </c>
      <c r="Q334" s="61">
        <v>32</v>
      </c>
      <c r="R334" s="61">
        <v>3</v>
      </c>
      <c r="S334" s="61">
        <v>47</v>
      </c>
      <c r="T334" s="61">
        <v>3</v>
      </c>
      <c r="U334" s="62">
        <v>53</v>
      </c>
      <c r="V334" s="60">
        <v>1</v>
      </c>
      <c r="W334" s="61">
        <v>4</v>
      </c>
      <c r="X334" s="61">
        <v>1</v>
      </c>
      <c r="Y334" s="61">
        <v>4</v>
      </c>
      <c r="Z334" s="61">
        <v>1</v>
      </c>
      <c r="AA334" s="62">
        <v>4</v>
      </c>
      <c r="AB334" s="63"/>
      <c r="AC334" s="61"/>
      <c r="AD334" s="61"/>
      <c r="AE334" s="61"/>
      <c r="AF334" s="61">
        <f t="shared" si="349"/>
        <v>0</v>
      </c>
      <c r="AG334" s="61"/>
      <c r="AH334" s="61"/>
      <c r="AI334" s="62">
        <f t="shared" si="350"/>
        <v>0</v>
      </c>
      <c r="AJ334" s="63"/>
      <c r="AK334" s="61"/>
      <c r="AL334" s="61"/>
      <c r="AM334" s="61"/>
      <c r="AN334" s="61">
        <f>SUM(AL334:AM334)</f>
        <v>0</v>
      </c>
      <c r="AO334" s="61"/>
      <c r="AP334" s="61"/>
      <c r="AQ334" s="62">
        <f t="shared" si="332"/>
        <v>0</v>
      </c>
      <c r="AR334" s="955"/>
      <c r="AS334" s="956"/>
      <c r="AT334" s="61"/>
      <c r="AU334" s="61"/>
      <c r="AV334" s="61"/>
      <c r="AW334" s="956">
        <f t="shared" si="351"/>
        <v>0</v>
      </c>
      <c r="AX334" s="956"/>
      <c r="AY334" s="956"/>
      <c r="AZ334" s="956"/>
      <c r="BA334" s="957">
        <f t="shared" si="352"/>
        <v>0</v>
      </c>
      <c r="BB334" s="958">
        <f t="shared" si="335"/>
        <v>9</v>
      </c>
      <c r="BC334" s="959">
        <f t="shared" si="336"/>
        <v>32</v>
      </c>
      <c r="BD334" s="959">
        <f t="shared" si="337"/>
        <v>47</v>
      </c>
      <c r="BE334" s="959">
        <f t="shared" si="338"/>
        <v>53</v>
      </c>
      <c r="BF334" s="959">
        <f t="shared" si="339"/>
        <v>132</v>
      </c>
      <c r="BG334" s="959">
        <f>SUM(V334,X334,Z334,AC334,AK334,AS334)</f>
        <v>3</v>
      </c>
      <c r="BH334" s="959">
        <f>SUM(W334,AG334,AX334)</f>
        <v>4</v>
      </c>
      <c r="BI334" s="959">
        <f>SUM(Y334,AH334,AO334,AY334)</f>
        <v>4</v>
      </c>
      <c r="BJ334" s="959">
        <f>SUM(AA334,AP334,AZ334)</f>
        <v>4</v>
      </c>
      <c r="BK334" s="959">
        <f>SUM(BH334:BJ334)</f>
        <v>12</v>
      </c>
      <c r="BL334" s="55"/>
    </row>
    <row r="335" spans="1:64" s="400" customFormat="1" ht="17.100000000000001" customHeight="1">
      <c r="A335" s="457" t="s">
        <v>1670</v>
      </c>
      <c r="B335" s="55" t="s">
        <v>142</v>
      </c>
      <c r="C335" s="53" t="s">
        <v>103</v>
      </c>
      <c r="D335" s="53" t="s">
        <v>1695</v>
      </c>
      <c r="E335" s="55" t="s">
        <v>4</v>
      </c>
      <c r="F335" s="55" t="s">
        <v>3876</v>
      </c>
      <c r="G335" s="71">
        <v>41334</v>
      </c>
      <c r="H335" s="50" t="s">
        <v>2408</v>
      </c>
      <c r="I335" s="760">
        <v>13703</v>
      </c>
      <c r="J335" s="52">
        <v>22779</v>
      </c>
      <c r="K335" s="55" t="s">
        <v>1674</v>
      </c>
      <c r="L335" s="56" t="s">
        <v>1178</v>
      </c>
      <c r="M335" s="773">
        <v>1</v>
      </c>
      <c r="N335" s="718"/>
      <c r="O335" s="774">
        <v>19</v>
      </c>
      <c r="P335" s="60"/>
      <c r="Q335" s="61"/>
      <c r="R335" s="61"/>
      <c r="S335" s="61"/>
      <c r="T335" s="61"/>
      <c r="U335" s="62"/>
      <c r="V335" s="60"/>
      <c r="W335" s="61"/>
      <c r="X335" s="61"/>
      <c r="Y335" s="61"/>
      <c r="Z335" s="61"/>
      <c r="AA335" s="62"/>
      <c r="AB335" s="63"/>
      <c r="AC335" s="61"/>
      <c r="AD335" s="61"/>
      <c r="AE335" s="61"/>
      <c r="AF335" s="61">
        <f t="shared" si="349"/>
        <v>0</v>
      </c>
      <c r="AG335" s="61"/>
      <c r="AH335" s="61"/>
      <c r="AI335" s="62">
        <f t="shared" si="350"/>
        <v>0</v>
      </c>
      <c r="AJ335" s="63">
        <v>1</v>
      </c>
      <c r="AK335" s="61"/>
      <c r="AL335" s="61"/>
      <c r="AM335" s="61">
        <v>6</v>
      </c>
      <c r="AN335" s="61">
        <f>SUM(AL335:AM335)</f>
        <v>6</v>
      </c>
      <c r="AO335" s="61"/>
      <c r="AP335" s="61"/>
      <c r="AQ335" s="62">
        <f t="shared" si="332"/>
        <v>0</v>
      </c>
      <c r="AR335" s="955"/>
      <c r="AS335" s="956"/>
      <c r="AT335" s="61"/>
      <c r="AU335" s="61"/>
      <c r="AV335" s="61"/>
      <c r="AW335" s="956">
        <f t="shared" si="351"/>
        <v>0</v>
      </c>
      <c r="AX335" s="956"/>
      <c r="AY335" s="956"/>
      <c r="AZ335" s="956"/>
      <c r="BA335" s="957">
        <f t="shared" si="352"/>
        <v>0</v>
      </c>
      <c r="BB335" s="958">
        <f t="shared" si="335"/>
        <v>1</v>
      </c>
      <c r="BC335" s="959">
        <f t="shared" si="336"/>
        <v>0</v>
      </c>
      <c r="BD335" s="959">
        <f t="shared" si="337"/>
        <v>0</v>
      </c>
      <c r="BE335" s="959">
        <f t="shared" si="338"/>
        <v>6</v>
      </c>
      <c r="BF335" s="959">
        <f t="shared" si="339"/>
        <v>6</v>
      </c>
      <c r="BG335" s="959">
        <f>SUM(V335,X335,Z335,AC335,AK335,AS335)</f>
        <v>0</v>
      </c>
      <c r="BH335" s="959">
        <f>SUM(W335,AG335,AX335)</f>
        <v>0</v>
      </c>
      <c r="BI335" s="959">
        <f>SUM(Y335,AH335,AO335,AY335)</f>
        <v>0</v>
      </c>
      <c r="BJ335" s="959">
        <f>SUM(AA335,AP335,AZ335)</f>
        <v>0</v>
      </c>
      <c r="BK335" s="959">
        <f>SUM(BH335:BJ335)</f>
        <v>0</v>
      </c>
      <c r="BL335" s="55"/>
    </row>
    <row r="336" spans="1:64" s="400" customFormat="1" ht="17.100000000000001" customHeight="1">
      <c r="A336" s="457" t="s">
        <v>1670</v>
      </c>
      <c r="B336" s="55" t="s">
        <v>142</v>
      </c>
      <c r="C336" s="53" t="s">
        <v>103</v>
      </c>
      <c r="D336" s="53" t="s">
        <v>3877</v>
      </c>
      <c r="E336" s="55" t="s">
        <v>4</v>
      </c>
      <c r="F336" s="55" t="s">
        <v>1675</v>
      </c>
      <c r="G336" s="71">
        <v>40969</v>
      </c>
      <c r="H336" s="50" t="s">
        <v>1282</v>
      </c>
      <c r="I336" s="760">
        <v>16062</v>
      </c>
      <c r="J336" s="52">
        <v>22709</v>
      </c>
      <c r="K336" s="55" t="s">
        <v>1676</v>
      </c>
      <c r="L336" s="56" t="s">
        <v>1252</v>
      </c>
      <c r="M336" s="773">
        <v>2</v>
      </c>
      <c r="N336" s="718"/>
      <c r="O336" s="774">
        <v>36</v>
      </c>
      <c r="P336" s="60"/>
      <c r="Q336" s="61"/>
      <c r="R336" s="61"/>
      <c r="S336" s="61"/>
      <c r="T336" s="61">
        <v>1</v>
      </c>
      <c r="U336" s="62">
        <v>11</v>
      </c>
      <c r="V336" s="60"/>
      <c r="W336" s="61"/>
      <c r="X336" s="61"/>
      <c r="Y336" s="61"/>
      <c r="Z336" s="61"/>
      <c r="AA336" s="62"/>
      <c r="AB336" s="63">
        <v>1</v>
      </c>
      <c r="AC336" s="61"/>
      <c r="AD336" s="61">
        <v>5</v>
      </c>
      <c r="AE336" s="61">
        <v>4</v>
      </c>
      <c r="AF336" s="61">
        <f t="shared" si="349"/>
        <v>9</v>
      </c>
      <c r="AG336" s="61"/>
      <c r="AH336" s="61"/>
      <c r="AI336" s="62">
        <f t="shared" si="350"/>
        <v>0</v>
      </c>
      <c r="AJ336" s="63"/>
      <c r="AK336" s="61"/>
      <c r="AL336" s="61"/>
      <c r="AM336" s="61"/>
      <c r="AN336" s="61">
        <v>0</v>
      </c>
      <c r="AO336" s="61"/>
      <c r="AP336" s="61"/>
      <c r="AQ336" s="62">
        <v>0</v>
      </c>
      <c r="AR336" s="955"/>
      <c r="AS336" s="956"/>
      <c r="AT336" s="61"/>
      <c r="AU336" s="61"/>
      <c r="AV336" s="61"/>
      <c r="AW336" s="956">
        <f t="shared" si="351"/>
        <v>0</v>
      </c>
      <c r="AX336" s="956"/>
      <c r="AY336" s="956"/>
      <c r="AZ336" s="956"/>
      <c r="BA336" s="957">
        <f t="shared" si="352"/>
        <v>0</v>
      </c>
      <c r="BB336" s="958">
        <f t="shared" si="335"/>
        <v>2</v>
      </c>
      <c r="BC336" s="959">
        <f t="shared" si="336"/>
        <v>5</v>
      </c>
      <c r="BD336" s="959">
        <f t="shared" si="337"/>
        <v>4</v>
      </c>
      <c r="BE336" s="959">
        <f t="shared" si="338"/>
        <v>11</v>
      </c>
      <c r="BF336" s="959">
        <f t="shared" si="339"/>
        <v>20</v>
      </c>
      <c r="BG336" s="959">
        <f t="shared" si="340"/>
        <v>0</v>
      </c>
      <c r="BH336" s="959">
        <f t="shared" si="341"/>
        <v>0</v>
      </c>
      <c r="BI336" s="959">
        <f t="shared" si="342"/>
        <v>0</v>
      </c>
      <c r="BJ336" s="959">
        <f t="shared" si="343"/>
        <v>0</v>
      </c>
      <c r="BK336" s="959">
        <f t="shared" si="344"/>
        <v>0</v>
      </c>
      <c r="BL336" s="55"/>
    </row>
    <row r="337" spans="1:64" s="400" customFormat="1" ht="17.100000000000001" customHeight="1">
      <c r="A337" s="457" t="s">
        <v>1670</v>
      </c>
      <c r="B337" s="55" t="s">
        <v>142</v>
      </c>
      <c r="C337" s="53" t="s">
        <v>103</v>
      </c>
      <c r="D337" s="53" t="s">
        <v>3877</v>
      </c>
      <c r="E337" s="55" t="s">
        <v>4</v>
      </c>
      <c r="F337" s="55" t="s">
        <v>3878</v>
      </c>
      <c r="G337" s="71">
        <v>43770</v>
      </c>
      <c r="H337" s="50" t="s">
        <v>1677</v>
      </c>
      <c r="I337" s="760">
        <v>10234</v>
      </c>
      <c r="J337" s="52">
        <v>22723</v>
      </c>
      <c r="K337" s="55" t="s">
        <v>1678</v>
      </c>
      <c r="L337" s="56" t="s">
        <v>1171</v>
      </c>
      <c r="M337" s="773">
        <v>2</v>
      </c>
      <c r="N337" s="718"/>
      <c r="O337" s="774">
        <v>36</v>
      </c>
      <c r="P337" s="60"/>
      <c r="Q337" s="61"/>
      <c r="R337" s="61"/>
      <c r="S337" s="61"/>
      <c r="T337" s="61">
        <v>1</v>
      </c>
      <c r="U337" s="62">
        <v>11</v>
      </c>
      <c r="V337" s="60"/>
      <c r="W337" s="61"/>
      <c r="X337" s="61"/>
      <c r="Y337" s="61"/>
      <c r="Z337" s="61"/>
      <c r="AA337" s="62"/>
      <c r="AB337" s="63">
        <v>1</v>
      </c>
      <c r="AC337" s="61"/>
      <c r="AD337" s="781">
        <v>3</v>
      </c>
      <c r="AE337" s="61">
        <v>6</v>
      </c>
      <c r="AF337" s="61">
        <f t="shared" si="349"/>
        <v>9</v>
      </c>
      <c r="AG337" s="61"/>
      <c r="AH337" s="61"/>
      <c r="AI337" s="62">
        <f t="shared" si="350"/>
        <v>0</v>
      </c>
      <c r="AJ337" s="63"/>
      <c r="AK337" s="61"/>
      <c r="AL337" s="61"/>
      <c r="AM337" s="61"/>
      <c r="AN337" s="61">
        <f>SUM(AL337:AM337)</f>
        <v>0</v>
      </c>
      <c r="AO337" s="61"/>
      <c r="AP337" s="61"/>
      <c r="AQ337" s="62">
        <f>SUM(AO337:AP337)</f>
        <v>0</v>
      </c>
      <c r="AR337" s="955"/>
      <c r="AS337" s="956"/>
      <c r="AT337" s="61"/>
      <c r="AU337" s="61"/>
      <c r="AV337" s="61"/>
      <c r="AW337" s="956">
        <f t="shared" si="351"/>
        <v>0</v>
      </c>
      <c r="AX337" s="956"/>
      <c r="AY337" s="956"/>
      <c r="AZ337" s="956"/>
      <c r="BA337" s="957">
        <f t="shared" si="352"/>
        <v>0</v>
      </c>
      <c r="BB337" s="958">
        <f t="shared" si="335"/>
        <v>2</v>
      </c>
      <c r="BC337" s="959">
        <f t="shared" si="336"/>
        <v>3</v>
      </c>
      <c r="BD337" s="959">
        <f t="shared" si="337"/>
        <v>6</v>
      </c>
      <c r="BE337" s="959">
        <f t="shared" si="338"/>
        <v>11</v>
      </c>
      <c r="BF337" s="959">
        <f t="shared" si="339"/>
        <v>20</v>
      </c>
      <c r="BG337" s="959">
        <f t="shared" si="340"/>
        <v>0</v>
      </c>
      <c r="BH337" s="959">
        <f t="shared" si="341"/>
        <v>0</v>
      </c>
      <c r="BI337" s="959">
        <f t="shared" si="342"/>
        <v>0</v>
      </c>
      <c r="BJ337" s="959">
        <f t="shared" si="343"/>
        <v>0</v>
      </c>
      <c r="BK337" s="959">
        <f t="shared" si="344"/>
        <v>0</v>
      </c>
      <c r="BL337" s="55"/>
    </row>
    <row r="338" spans="1:64" s="400" customFormat="1" ht="17.100000000000001" customHeight="1">
      <c r="A338" s="457" t="s">
        <v>1670</v>
      </c>
      <c r="B338" s="55" t="s">
        <v>142</v>
      </c>
      <c r="C338" s="53" t="s">
        <v>103</v>
      </c>
      <c r="D338" s="53" t="s">
        <v>3877</v>
      </c>
      <c r="E338" s="55" t="s">
        <v>4</v>
      </c>
      <c r="F338" s="55" t="s">
        <v>3879</v>
      </c>
      <c r="G338" s="71">
        <v>37681</v>
      </c>
      <c r="H338" s="50" t="s">
        <v>3880</v>
      </c>
      <c r="I338" s="760">
        <v>8748</v>
      </c>
      <c r="J338" s="52">
        <v>22729</v>
      </c>
      <c r="K338" s="55" t="s">
        <v>3881</v>
      </c>
      <c r="L338" s="56" t="s">
        <v>1215</v>
      </c>
      <c r="M338" s="394">
        <v>2</v>
      </c>
      <c r="N338" s="395">
        <v>1</v>
      </c>
      <c r="O338" s="396">
        <v>36</v>
      </c>
      <c r="P338" s="67"/>
      <c r="Q338" s="68"/>
      <c r="R338" s="68"/>
      <c r="S338" s="68"/>
      <c r="T338" s="68">
        <v>1</v>
      </c>
      <c r="U338" s="69">
        <v>1</v>
      </c>
      <c r="V338" s="67"/>
      <c r="W338" s="68"/>
      <c r="X338" s="68"/>
      <c r="Y338" s="68"/>
      <c r="Z338" s="68"/>
      <c r="AA338" s="69"/>
      <c r="AB338" s="70">
        <v>1</v>
      </c>
      <c r="AC338" s="68"/>
      <c r="AD338" s="68"/>
      <c r="AE338" s="68">
        <v>3</v>
      </c>
      <c r="AF338" s="68">
        <f t="shared" si="349"/>
        <v>3</v>
      </c>
      <c r="AG338" s="68"/>
      <c r="AH338" s="68"/>
      <c r="AI338" s="69">
        <f t="shared" si="350"/>
        <v>0</v>
      </c>
      <c r="AJ338" s="70"/>
      <c r="AK338" s="68"/>
      <c r="AL338" s="68"/>
      <c r="AM338" s="68"/>
      <c r="AN338" s="68">
        <f>SUM(AL338:AM338)</f>
        <v>0</v>
      </c>
      <c r="AO338" s="68"/>
      <c r="AP338" s="68"/>
      <c r="AQ338" s="69">
        <f>SUM(AO338:AP338)</f>
        <v>0</v>
      </c>
      <c r="AR338" s="972"/>
      <c r="AS338" s="973">
        <v>1</v>
      </c>
      <c r="AT338" s="68"/>
      <c r="AU338" s="68"/>
      <c r="AV338" s="68"/>
      <c r="AW338" s="973">
        <f t="shared" si="351"/>
        <v>0</v>
      </c>
      <c r="AX338" s="973">
        <v>1</v>
      </c>
      <c r="AY338" s="973">
        <v>1</v>
      </c>
      <c r="AZ338" s="973">
        <v>2</v>
      </c>
      <c r="BA338" s="974">
        <f t="shared" si="352"/>
        <v>4</v>
      </c>
      <c r="BB338" s="976">
        <f t="shared" si="335"/>
        <v>2</v>
      </c>
      <c r="BC338" s="959">
        <f t="shared" si="336"/>
        <v>0</v>
      </c>
      <c r="BD338" s="959">
        <f t="shared" si="337"/>
        <v>3</v>
      </c>
      <c r="BE338" s="959">
        <f t="shared" si="338"/>
        <v>1</v>
      </c>
      <c r="BF338" s="959">
        <f t="shared" si="339"/>
        <v>4</v>
      </c>
      <c r="BG338" s="959">
        <f t="shared" si="340"/>
        <v>1</v>
      </c>
      <c r="BH338" s="959">
        <f t="shared" si="341"/>
        <v>1</v>
      </c>
      <c r="BI338" s="959">
        <f t="shared" si="342"/>
        <v>1</v>
      </c>
      <c r="BJ338" s="959">
        <f t="shared" si="343"/>
        <v>2</v>
      </c>
      <c r="BK338" s="959">
        <f t="shared" si="344"/>
        <v>4</v>
      </c>
      <c r="BL338" s="55"/>
    </row>
    <row r="339" spans="1:64" s="400" customFormat="1" ht="17.100000000000001" customHeight="1">
      <c r="A339" s="457" t="s">
        <v>1670</v>
      </c>
      <c r="B339" s="55" t="s">
        <v>142</v>
      </c>
      <c r="C339" s="53" t="s">
        <v>103</v>
      </c>
      <c r="D339" s="53" t="s">
        <v>3882</v>
      </c>
      <c r="E339" s="55" t="s">
        <v>4</v>
      </c>
      <c r="F339" s="55" t="s">
        <v>3883</v>
      </c>
      <c r="G339" s="71">
        <v>40422</v>
      </c>
      <c r="H339" s="50" t="s">
        <v>3884</v>
      </c>
      <c r="I339" s="760">
        <v>11999</v>
      </c>
      <c r="J339" s="52">
        <v>22735</v>
      </c>
      <c r="K339" s="55" t="s">
        <v>3885</v>
      </c>
      <c r="L339" s="56" t="s">
        <v>3886</v>
      </c>
      <c r="M339" s="395">
        <v>4</v>
      </c>
      <c r="N339" s="395"/>
      <c r="O339" s="396">
        <v>67</v>
      </c>
      <c r="P339" s="68">
        <v>1</v>
      </c>
      <c r="Q339" s="68">
        <v>12</v>
      </c>
      <c r="R339" s="68">
        <v>1</v>
      </c>
      <c r="S339" s="68">
        <v>17</v>
      </c>
      <c r="T339" s="68">
        <v>2</v>
      </c>
      <c r="U339" s="69">
        <v>25</v>
      </c>
      <c r="V339" s="68"/>
      <c r="W339" s="68"/>
      <c r="X339" s="68"/>
      <c r="Y339" s="68"/>
      <c r="Z339" s="68"/>
      <c r="AA339" s="69"/>
      <c r="AB339" s="68"/>
      <c r="AC339" s="68"/>
      <c r="AD339" s="68"/>
      <c r="AE339" s="68"/>
      <c r="AF339" s="68">
        <f t="shared" si="349"/>
        <v>0</v>
      </c>
      <c r="AG339" s="68"/>
      <c r="AH339" s="68"/>
      <c r="AI339" s="69">
        <f t="shared" si="350"/>
        <v>0</v>
      </c>
      <c r="AJ339" s="68"/>
      <c r="AK339" s="68"/>
      <c r="AL339" s="68"/>
      <c r="AM339" s="68"/>
      <c r="AN339" s="68">
        <f>SUM(AL339:AM339)</f>
        <v>0</v>
      </c>
      <c r="AO339" s="68"/>
      <c r="AP339" s="68"/>
      <c r="AQ339" s="69">
        <f>SUM(AO339:AP339)</f>
        <v>0</v>
      </c>
      <c r="AR339" s="973"/>
      <c r="AS339" s="973"/>
      <c r="AT339" s="68"/>
      <c r="AU339" s="68"/>
      <c r="AV339" s="68"/>
      <c r="AW339" s="973">
        <f t="shared" si="351"/>
        <v>0</v>
      </c>
      <c r="AX339" s="973"/>
      <c r="AY339" s="973"/>
      <c r="AZ339" s="973"/>
      <c r="BA339" s="974">
        <f t="shared" si="352"/>
        <v>0</v>
      </c>
      <c r="BB339" s="985">
        <f t="shared" si="335"/>
        <v>4</v>
      </c>
      <c r="BC339" s="985">
        <f>SUM(Q339,AD339,AT339)</f>
        <v>12</v>
      </c>
      <c r="BD339" s="985">
        <f>SUM(S339,AE339,AL339,AU339)</f>
        <v>17</v>
      </c>
      <c r="BE339" s="985">
        <f>SUM(U339,AM339,AV339)</f>
        <v>25</v>
      </c>
      <c r="BF339" s="985">
        <f>SUM(BC339:BE339)</f>
        <v>54</v>
      </c>
      <c r="BG339" s="985">
        <f>SUM(V339,X339,Z339,AC339,AK339,AS339)</f>
        <v>0</v>
      </c>
      <c r="BH339" s="985">
        <f>SUM(W339,AG339,AX339)</f>
        <v>0</v>
      </c>
      <c r="BI339" s="985">
        <f>SUM(Y339,AH339,AO339,AY339)</f>
        <v>0</v>
      </c>
      <c r="BJ339" s="985">
        <f>SUM(AA339,AP339,AZ339)</f>
        <v>0</v>
      </c>
      <c r="BK339" s="985">
        <f>SUM(BH339:BJ339)</f>
        <v>0</v>
      </c>
      <c r="BL339" s="55"/>
    </row>
    <row r="340" spans="1:64" s="400" customFormat="1" ht="17.100000000000001" customHeight="1">
      <c r="A340" s="457" t="s">
        <v>1670</v>
      </c>
      <c r="B340" s="55" t="s">
        <v>142</v>
      </c>
      <c r="C340" s="53" t="s">
        <v>103</v>
      </c>
      <c r="D340" s="53" t="s">
        <v>3882</v>
      </c>
      <c r="E340" s="55" t="s">
        <v>4</v>
      </c>
      <c r="F340" s="55" t="s">
        <v>3887</v>
      </c>
      <c r="G340" s="71">
        <v>40664</v>
      </c>
      <c r="H340" s="50" t="s">
        <v>3888</v>
      </c>
      <c r="I340" s="760">
        <v>7353</v>
      </c>
      <c r="J340" s="52">
        <v>22740</v>
      </c>
      <c r="K340" s="55" t="s">
        <v>3889</v>
      </c>
      <c r="L340" s="56" t="s">
        <v>1249</v>
      </c>
      <c r="M340" s="773">
        <v>4</v>
      </c>
      <c r="N340" s="718"/>
      <c r="O340" s="774">
        <v>67</v>
      </c>
      <c r="P340" s="60">
        <v>1</v>
      </c>
      <c r="Q340" s="61">
        <v>12</v>
      </c>
      <c r="R340" s="61">
        <v>2</v>
      </c>
      <c r="S340" s="61">
        <v>25</v>
      </c>
      <c r="T340" s="61">
        <v>1</v>
      </c>
      <c r="U340" s="62">
        <v>19</v>
      </c>
      <c r="V340" s="60"/>
      <c r="W340" s="61"/>
      <c r="X340" s="61"/>
      <c r="Y340" s="61"/>
      <c r="Z340" s="61"/>
      <c r="AA340" s="62"/>
      <c r="AB340" s="63"/>
      <c r="AC340" s="61"/>
      <c r="AD340" s="61"/>
      <c r="AE340" s="61"/>
      <c r="AF340" s="61"/>
      <c r="AG340" s="61"/>
      <c r="AH340" s="61"/>
      <c r="AI340" s="62"/>
      <c r="AJ340" s="63"/>
      <c r="AK340" s="61"/>
      <c r="AL340" s="61"/>
      <c r="AM340" s="61"/>
      <c r="AN340" s="61"/>
      <c r="AO340" s="61"/>
      <c r="AP340" s="61"/>
      <c r="AQ340" s="62"/>
      <c r="AR340" s="955"/>
      <c r="AS340" s="956"/>
      <c r="AT340" s="61"/>
      <c r="AU340" s="61"/>
      <c r="AV340" s="61"/>
      <c r="AW340" s="956"/>
      <c r="AX340" s="956"/>
      <c r="AY340" s="956"/>
      <c r="AZ340" s="956"/>
      <c r="BA340" s="957"/>
      <c r="BB340" s="958">
        <f t="shared" si="335"/>
        <v>4</v>
      </c>
      <c r="BC340" s="959">
        <f>SUM(Q340,AD340,AT340)</f>
        <v>12</v>
      </c>
      <c r="BD340" s="959">
        <f>SUM(S340,AE340,AL340,AU340)</f>
        <v>25</v>
      </c>
      <c r="BE340" s="959">
        <f>SUM(U340,AM340,AV340)</f>
        <v>19</v>
      </c>
      <c r="BF340" s="959">
        <f>SUM(BC340:BE340)</f>
        <v>56</v>
      </c>
      <c r="BG340" s="959">
        <f>SUM(V340,X340,Z340,AC340,AK340,AS340)</f>
        <v>0</v>
      </c>
      <c r="BH340" s="959">
        <f>SUM(W340,AG340,AX340)</f>
        <v>0</v>
      </c>
      <c r="BI340" s="959">
        <f>SUM(Y340,AH340,AO340,AY340)</f>
        <v>0</v>
      </c>
      <c r="BJ340" s="959">
        <f>SUM(AA340,AP340,AZ340)</f>
        <v>0</v>
      </c>
      <c r="BK340" s="959">
        <f>SUM(BH340:BJ340)</f>
        <v>0</v>
      </c>
      <c r="BL340" s="55"/>
    </row>
    <row r="341" spans="1:64" s="400" customFormat="1" ht="17.100000000000001" customHeight="1">
      <c r="A341" s="457" t="s">
        <v>1670</v>
      </c>
      <c r="B341" s="55" t="s">
        <v>142</v>
      </c>
      <c r="C341" s="53" t="s">
        <v>103</v>
      </c>
      <c r="D341" s="53" t="s">
        <v>1694</v>
      </c>
      <c r="E341" s="55" t="s">
        <v>4</v>
      </c>
      <c r="F341" s="55" t="s">
        <v>3890</v>
      </c>
      <c r="G341" s="71">
        <v>41040</v>
      </c>
      <c r="H341" s="50" t="s">
        <v>3891</v>
      </c>
      <c r="I341" s="760">
        <v>11850</v>
      </c>
      <c r="J341" s="52">
        <v>22750</v>
      </c>
      <c r="K341" s="55" t="s">
        <v>3892</v>
      </c>
      <c r="L341" s="56" t="s">
        <v>3893</v>
      </c>
      <c r="M341" s="773">
        <v>4</v>
      </c>
      <c r="N341" s="718"/>
      <c r="O341" s="774">
        <v>67</v>
      </c>
      <c r="P341" s="60">
        <v>1</v>
      </c>
      <c r="Q341" s="61">
        <v>12</v>
      </c>
      <c r="R341" s="61">
        <v>1</v>
      </c>
      <c r="S341" s="61">
        <v>16</v>
      </c>
      <c r="T341" s="61">
        <v>2</v>
      </c>
      <c r="U341" s="62">
        <v>25</v>
      </c>
      <c r="V341" s="60"/>
      <c r="W341" s="61"/>
      <c r="X341" s="61"/>
      <c r="Y341" s="61"/>
      <c r="Z341" s="61"/>
      <c r="AA341" s="62"/>
      <c r="AB341" s="63"/>
      <c r="AC341" s="61"/>
      <c r="AD341" s="61"/>
      <c r="AE341" s="61"/>
      <c r="AF341" s="61"/>
      <c r="AG341" s="61"/>
      <c r="AH341" s="61"/>
      <c r="AI341" s="62">
        <f>SUM(AG341:AH341)</f>
        <v>0</v>
      </c>
      <c r="AJ341" s="63"/>
      <c r="AK341" s="61"/>
      <c r="AL341" s="61"/>
      <c r="AM341" s="61"/>
      <c r="AN341" s="61"/>
      <c r="AO341" s="61"/>
      <c r="AP341" s="61"/>
      <c r="AQ341" s="62">
        <f>SUM(AO341:AP341)</f>
        <v>0</v>
      </c>
      <c r="AR341" s="955"/>
      <c r="AS341" s="956"/>
      <c r="AT341" s="61"/>
      <c r="AU341" s="61"/>
      <c r="AV341" s="61"/>
      <c r="AW341" s="956">
        <f>SUM(AT341:AV341)</f>
        <v>0</v>
      </c>
      <c r="AX341" s="956"/>
      <c r="AY341" s="956"/>
      <c r="AZ341" s="956"/>
      <c r="BA341" s="957">
        <f>SUM(AX341:AZ341)</f>
        <v>0</v>
      </c>
      <c r="BB341" s="958">
        <f t="shared" si="335"/>
        <v>4</v>
      </c>
      <c r="BC341" s="959">
        <f>SUM(Q341,AD341,AT341)</f>
        <v>12</v>
      </c>
      <c r="BD341" s="959">
        <f>SUM(S341,AE341,AL341,AU341)</f>
        <v>16</v>
      </c>
      <c r="BE341" s="959">
        <f>SUM(U341,AM341,AV341)</f>
        <v>25</v>
      </c>
      <c r="BF341" s="959">
        <f>SUM(BC341:BE341)</f>
        <v>53</v>
      </c>
      <c r="BG341" s="959">
        <f t="shared" si="340"/>
        <v>0</v>
      </c>
      <c r="BH341" s="959">
        <f t="shared" si="341"/>
        <v>0</v>
      </c>
      <c r="BI341" s="959">
        <f t="shared" si="342"/>
        <v>0</v>
      </c>
      <c r="BJ341" s="959">
        <f t="shared" si="343"/>
        <v>0</v>
      </c>
      <c r="BK341" s="959">
        <f t="shared" si="344"/>
        <v>0</v>
      </c>
      <c r="BL341" s="55"/>
    </row>
    <row r="342" spans="1:64" s="400" customFormat="1" ht="17.100000000000001" customHeight="1">
      <c r="A342" s="457" t="s">
        <v>1670</v>
      </c>
      <c r="B342" s="55" t="s">
        <v>142</v>
      </c>
      <c r="C342" s="53" t="s">
        <v>103</v>
      </c>
      <c r="D342" s="53" t="s">
        <v>1694</v>
      </c>
      <c r="E342" s="55" t="s">
        <v>4</v>
      </c>
      <c r="F342" s="55" t="s">
        <v>3894</v>
      </c>
      <c r="G342" s="71">
        <v>42064</v>
      </c>
      <c r="H342" s="50" t="s">
        <v>3895</v>
      </c>
      <c r="I342" s="760">
        <v>10000</v>
      </c>
      <c r="J342" s="52">
        <v>22763</v>
      </c>
      <c r="K342" s="55" t="s">
        <v>1261</v>
      </c>
      <c r="L342" s="56" t="s">
        <v>3896</v>
      </c>
      <c r="M342" s="773">
        <v>5</v>
      </c>
      <c r="N342" s="718"/>
      <c r="O342" s="774">
        <v>84</v>
      </c>
      <c r="P342" s="60">
        <v>1</v>
      </c>
      <c r="Q342" s="61">
        <v>11</v>
      </c>
      <c r="R342" s="61">
        <v>2</v>
      </c>
      <c r="S342" s="61">
        <v>17</v>
      </c>
      <c r="T342" s="61">
        <v>2</v>
      </c>
      <c r="U342" s="62">
        <v>21</v>
      </c>
      <c r="V342" s="60"/>
      <c r="W342" s="61"/>
      <c r="X342" s="61"/>
      <c r="Y342" s="61"/>
      <c r="Z342" s="61"/>
      <c r="AA342" s="62"/>
      <c r="AB342" s="63"/>
      <c r="AC342" s="61"/>
      <c r="AD342" s="61"/>
      <c r="AE342" s="61"/>
      <c r="AF342" s="61">
        <f>SUM(AD342:AE342)</f>
        <v>0</v>
      </c>
      <c r="AG342" s="61"/>
      <c r="AH342" s="61"/>
      <c r="AI342" s="62">
        <f>SUM(AG342:AH342)</f>
        <v>0</v>
      </c>
      <c r="AJ342" s="63"/>
      <c r="AK342" s="61"/>
      <c r="AL342" s="61"/>
      <c r="AM342" s="61"/>
      <c r="AN342" s="61">
        <f>SUM(AL342:AM342)</f>
        <v>0</v>
      </c>
      <c r="AO342" s="61"/>
      <c r="AP342" s="61"/>
      <c r="AQ342" s="62">
        <f>SUM(AO342:AP342)</f>
        <v>0</v>
      </c>
      <c r="AR342" s="955"/>
      <c r="AS342" s="956"/>
      <c r="AT342" s="61"/>
      <c r="AU342" s="61"/>
      <c r="AV342" s="61"/>
      <c r="AW342" s="956">
        <f>SUM(AT342:AV342)</f>
        <v>0</v>
      </c>
      <c r="AX342" s="956"/>
      <c r="AY342" s="956"/>
      <c r="AZ342" s="956"/>
      <c r="BA342" s="957">
        <f>SUM(AX342:AZ342)</f>
        <v>0</v>
      </c>
      <c r="BB342" s="958">
        <f t="shared" si="335"/>
        <v>5</v>
      </c>
      <c r="BC342" s="959">
        <f>SUM(Q342,AD342,AT342)</f>
        <v>11</v>
      </c>
      <c r="BD342" s="959">
        <f>SUM(S342,AE342,AL342,AU342)</f>
        <v>17</v>
      </c>
      <c r="BE342" s="959">
        <f>SUM(U342,AM342,AV342)</f>
        <v>21</v>
      </c>
      <c r="BF342" s="959">
        <f>SUM(BC342:BE342)</f>
        <v>49</v>
      </c>
      <c r="BG342" s="959">
        <f t="shared" si="340"/>
        <v>0</v>
      </c>
      <c r="BH342" s="959">
        <f t="shared" si="341"/>
        <v>0</v>
      </c>
      <c r="BI342" s="959">
        <f t="shared" si="342"/>
        <v>0</v>
      </c>
      <c r="BJ342" s="959">
        <f t="shared" si="343"/>
        <v>0</v>
      </c>
      <c r="BK342" s="959">
        <f t="shared" si="344"/>
        <v>0</v>
      </c>
      <c r="BL342" s="55"/>
    </row>
    <row r="343" spans="1:64" s="400" customFormat="1" ht="17.100000000000001" customHeight="1">
      <c r="A343" s="457" t="s">
        <v>1670</v>
      </c>
      <c r="B343" s="55" t="s">
        <v>142</v>
      </c>
      <c r="C343" s="53" t="s">
        <v>103</v>
      </c>
      <c r="D343" s="53" t="s">
        <v>1694</v>
      </c>
      <c r="E343" s="55" t="s">
        <v>4</v>
      </c>
      <c r="F343" s="55" t="s">
        <v>3897</v>
      </c>
      <c r="G343" s="71">
        <v>41334</v>
      </c>
      <c r="H343" s="50" t="s">
        <v>1257</v>
      </c>
      <c r="I343" s="760">
        <v>10564.6</v>
      </c>
      <c r="J343" s="52">
        <v>22747</v>
      </c>
      <c r="K343" s="55" t="s">
        <v>1258</v>
      </c>
      <c r="L343" s="56" t="s">
        <v>1259</v>
      </c>
      <c r="M343" s="773">
        <v>4</v>
      </c>
      <c r="N343" s="718"/>
      <c r="O343" s="774">
        <v>67</v>
      </c>
      <c r="P343" s="60">
        <v>2</v>
      </c>
      <c r="Q343" s="61">
        <v>20</v>
      </c>
      <c r="R343" s="61">
        <v>1</v>
      </c>
      <c r="S343" s="61">
        <v>10</v>
      </c>
      <c r="T343" s="61">
        <v>1</v>
      </c>
      <c r="U343" s="62">
        <v>17</v>
      </c>
      <c r="V343" s="60"/>
      <c r="W343" s="61"/>
      <c r="X343" s="61"/>
      <c r="Y343" s="61"/>
      <c r="Z343" s="61"/>
      <c r="AA343" s="62"/>
      <c r="AB343" s="63"/>
      <c r="AC343" s="61"/>
      <c r="AD343" s="61"/>
      <c r="AE343" s="61"/>
      <c r="AF343" s="61">
        <f>SUM(AD343:AE343)</f>
        <v>0</v>
      </c>
      <c r="AG343" s="61"/>
      <c r="AH343" s="61"/>
      <c r="AI343" s="62">
        <f>SUM(AG343:AH343)</f>
        <v>0</v>
      </c>
      <c r="AJ343" s="63"/>
      <c r="AK343" s="61"/>
      <c r="AL343" s="61"/>
      <c r="AM343" s="61"/>
      <c r="AN343" s="61">
        <f>SUM(AL343:AM343)</f>
        <v>0</v>
      </c>
      <c r="AO343" s="61"/>
      <c r="AP343" s="61"/>
      <c r="AQ343" s="62">
        <f>SUM(AO343:AP343)</f>
        <v>0</v>
      </c>
      <c r="AR343" s="955"/>
      <c r="AS343" s="956"/>
      <c r="AT343" s="61"/>
      <c r="AU343" s="61"/>
      <c r="AV343" s="61"/>
      <c r="AW343" s="956">
        <f>SUM(AT343:AV343)</f>
        <v>0</v>
      </c>
      <c r="AX343" s="956"/>
      <c r="AY343" s="956"/>
      <c r="AZ343" s="956"/>
      <c r="BA343" s="957">
        <f>SUM(AX343:AZ343)</f>
        <v>0</v>
      </c>
      <c r="BB343" s="958">
        <f t="shared" si="335"/>
        <v>4</v>
      </c>
      <c r="BC343" s="959">
        <f>SUM(Q343,AD343,AT343)</f>
        <v>20</v>
      </c>
      <c r="BD343" s="959">
        <f>SUM(S343,AE343,AL343,AU343)</f>
        <v>10</v>
      </c>
      <c r="BE343" s="959">
        <f>SUM(U343,AM343,AV343)</f>
        <v>17</v>
      </c>
      <c r="BF343" s="959">
        <f>SUM(BC343:BE343)</f>
        <v>47</v>
      </c>
      <c r="BG343" s="959">
        <f>SUM(V343,X343,Z343,AC343,AK343,AS343)</f>
        <v>0</v>
      </c>
      <c r="BH343" s="959">
        <f>SUM(W343,AG343,AX343)</f>
        <v>0</v>
      </c>
      <c r="BI343" s="959">
        <f>SUM(Y343,AH343,AO343,AY343)</f>
        <v>0</v>
      </c>
      <c r="BJ343" s="959">
        <f>SUM(AA343,AP343,AZ343)</f>
        <v>0</v>
      </c>
      <c r="BK343" s="959">
        <f>SUM(BH343:BJ343)</f>
        <v>0</v>
      </c>
      <c r="BL343" s="55"/>
    </row>
    <row r="344" spans="1:64" s="400" customFormat="1" ht="17.100000000000001" customHeight="1">
      <c r="A344" s="457" t="s">
        <v>1670</v>
      </c>
      <c r="B344" s="55" t="s">
        <v>142</v>
      </c>
      <c r="C344" s="53" t="s">
        <v>103</v>
      </c>
      <c r="D344" s="53" t="s">
        <v>1694</v>
      </c>
      <c r="E344" s="55" t="s">
        <v>4</v>
      </c>
      <c r="F344" s="55" t="s">
        <v>3898</v>
      </c>
      <c r="G344" s="71">
        <v>41153</v>
      </c>
      <c r="H344" s="50" t="s">
        <v>3899</v>
      </c>
      <c r="I344" s="760">
        <v>11849</v>
      </c>
      <c r="J344" s="52">
        <v>22764</v>
      </c>
      <c r="K344" s="55" t="s">
        <v>3900</v>
      </c>
      <c r="L344" s="56" t="s">
        <v>1256</v>
      </c>
      <c r="M344" s="773">
        <v>4</v>
      </c>
      <c r="N344" s="718"/>
      <c r="O344" s="774">
        <v>67</v>
      </c>
      <c r="P344" s="60">
        <v>2</v>
      </c>
      <c r="Q344" s="61">
        <v>24</v>
      </c>
      <c r="R344" s="61">
        <v>1</v>
      </c>
      <c r="S344" s="61">
        <v>11</v>
      </c>
      <c r="T344" s="61">
        <v>1</v>
      </c>
      <c r="U344" s="62">
        <v>19</v>
      </c>
      <c r="V344" s="67"/>
      <c r="W344" s="68"/>
      <c r="X344" s="68"/>
      <c r="Y344" s="68"/>
      <c r="Z344" s="68"/>
      <c r="AA344" s="69"/>
      <c r="AB344" s="70"/>
      <c r="AC344" s="68"/>
      <c r="AD344" s="68"/>
      <c r="AE344" s="68"/>
      <c r="AF344" s="68">
        <f t="shared" si="329"/>
        <v>0</v>
      </c>
      <c r="AG344" s="68"/>
      <c r="AH344" s="68"/>
      <c r="AI344" s="69">
        <f t="shared" si="330"/>
        <v>0</v>
      </c>
      <c r="AJ344" s="70"/>
      <c r="AK344" s="68"/>
      <c r="AL344" s="68"/>
      <c r="AM344" s="68"/>
      <c r="AN344" s="68">
        <f t="shared" si="331"/>
        <v>0</v>
      </c>
      <c r="AO344" s="68"/>
      <c r="AP344" s="68"/>
      <c r="AQ344" s="69">
        <f t="shared" si="332"/>
        <v>0</v>
      </c>
      <c r="AR344" s="972"/>
      <c r="AS344" s="973"/>
      <c r="AT344" s="68"/>
      <c r="AU344" s="68"/>
      <c r="AV344" s="68"/>
      <c r="AW344" s="973">
        <f t="shared" si="333"/>
        <v>0</v>
      </c>
      <c r="AX344" s="973"/>
      <c r="AY344" s="973"/>
      <c r="AZ344" s="973"/>
      <c r="BA344" s="974">
        <f t="shared" si="334"/>
        <v>0</v>
      </c>
      <c r="BB344" s="975">
        <f t="shared" si="335"/>
        <v>4</v>
      </c>
      <c r="BC344" s="959">
        <f t="shared" ref="BC344:BC359" si="353">SUM(Q344,AD344,AT344)</f>
        <v>24</v>
      </c>
      <c r="BD344" s="959">
        <f t="shared" ref="BD344:BD351" si="354">SUM(S344,AE344,AL344,AU344)</f>
        <v>11</v>
      </c>
      <c r="BE344" s="959">
        <f t="shared" ref="BE344:BE351" si="355">SUM(U344,AM344,AV344)</f>
        <v>19</v>
      </c>
      <c r="BF344" s="959">
        <f t="shared" ref="BF344:BF351" si="356">SUM(BC344:BE344)</f>
        <v>54</v>
      </c>
      <c r="BG344" s="959">
        <f t="shared" ref="BG344:BG353" si="357">SUM(V344,X344,Z344,AC344,AK344,AS344)</f>
        <v>0</v>
      </c>
      <c r="BH344" s="959">
        <f t="shared" ref="BH344:BH353" si="358">SUM(W344,AG344,AX344)</f>
        <v>0</v>
      </c>
      <c r="BI344" s="959">
        <f t="shared" ref="BI344:BI353" si="359">SUM(Y344,AH344,AO344,AY344)</f>
        <v>0</v>
      </c>
      <c r="BJ344" s="959">
        <f t="shared" ref="BJ344:BJ353" si="360">SUM(AA344,AP344,AZ344)</f>
        <v>0</v>
      </c>
      <c r="BK344" s="959">
        <f t="shared" ref="BK344:BK353" si="361">SUM(BH344:BJ344)</f>
        <v>0</v>
      </c>
      <c r="BL344" s="55"/>
    </row>
    <row r="345" spans="1:64" s="400" customFormat="1" ht="17.100000000000001" customHeight="1">
      <c r="A345" s="457" t="s">
        <v>1670</v>
      </c>
      <c r="B345" s="55" t="s">
        <v>142</v>
      </c>
      <c r="C345" s="53" t="s">
        <v>103</v>
      </c>
      <c r="D345" s="53" t="s">
        <v>1701</v>
      </c>
      <c r="E345" s="55" t="s">
        <v>4</v>
      </c>
      <c r="F345" s="55" t="s">
        <v>3901</v>
      </c>
      <c r="G345" s="71">
        <v>43891</v>
      </c>
      <c r="H345" s="50" t="s">
        <v>703</v>
      </c>
      <c r="I345" s="760">
        <v>21000</v>
      </c>
      <c r="J345" s="52">
        <v>22753</v>
      </c>
      <c r="K345" s="55" t="s">
        <v>3902</v>
      </c>
      <c r="L345" s="56" t="s">
        <v>1269</v>
      </c>
      <c r="M345" s="773">
        <v>3</v>
      </c>
      <c r="N345" s="718"/>
      <c r="O345" s="774">
        <v>48</v>
      </c>
      <c r="P345" s="60">
        <v>1</v>
      </c>
      <c r="Q345" s="61">
        <v>12</v>
      </c>
      <c r="R345" s="61">
        <v>1</v>
      </c>
      <c r="S345" s="61">
        <v>17</v>
      </c>
      <c r="T345" s="61">
        <v>1</v>
      </c>
      <c r="U345" s="62">
        <v>18</v>
      </c>
      <c r="V345" s="60"/>
      <c r="W345" s="61"/>
      <c r="X345" s="61"/>
      <c r="Y345" s="61"/>
      <c r="Z345" s="61"/>
      <c r="AA345" s="62"/>
      <c r="AB345" s="63"/>
      <c r="AC345" s="61"/>
      <c r="AD345" s="61"/>
      <c r="AE345" s="61"/>
      <c r="AF345" s="61">
        <f>SUM(AD345:AE345)</f>
        <v>0</v>
      </c>
      <c r="AG345" s="61"/>
      <c r="AH345" s="61"/>
      <c r="AI345" s="62">
        <f>SUM(AG345:AH345)</f>
        <v>0</v>
      </c>
      <c r="AJ345" s="63"/>
      <c r="AK345" s="61"/>
      <c r="AL345" s="61"/>
      <c r="AM345" s="61"/>
      <c r="AN345" s="61">
        <f>SUM(AL345:AM345)</f>
        <v>0</v>
      </c>
      <c r="AO345" s="61"/>
      <c r="AP345" s="61"/>
      <c r="AQ345" s="62">
        <f>SUM(AO345:AP345)</f>
        <v>0</v>
      </c>
      <c r="AR345" s="955"/>
      <c r="AS345" s="956"/>
      <c r="AT345" s="61"/>
      <c r="AU345" s="61"/>
      <c r="AV345" s="61"/>
      <c r="AW345" s="956">
        <f>SUM(AT345:AV345)</f>
        <v>0</v>
      </c>
      <c r="AX345" s="956"/>
      <c r="AY345" s="956"/>
      <c r="AZ345" s="956"/>
      <c r="BA345" s="957">
        <f>SUM(AX345:AZ345)</f>
        <v>0</v>
      </c>
      <c r="BB345" s="958">
        <f>SUM(P345,R345,T345,AB345,AJ345,AR345)</f>
        <v>3</v>
      </c>
      <c r="BC345" s="959">
        <f>SUM(Q345,AD345,AT345)</f>
        <v>12</v>
      </c>
      <c r="BD345" s="959">
        <f>SUM(S345,AE345,AL345,AU345)</f>
        <v>17</v>
      </c>
      <c r="BE345" s="959">
        <f>SUM(U345,AM345,AV345)</f>
        <v>18</v>
      </c>
      <c r="BF345" s="959">
        <f>SUM(BC345:BE345)</f>
        <v>47</v>
      </c>
      <c r="BG345" s="959">
        <f>SUM(V345,X345,Z345,AC345,AK345,AS345)</f>
        <v>0</v>
      </c>
      <c r="BH345" s="959">
        <f>SUM(W345,AG345,AX345)</f>
        <v>0</v>
      </c>
      <c r="BI345" s="959">
        <f>SUM(Y345,AH345,AO345,AY345)</f>
        <v>0</v>
      </c>
      <c r="BJ345" s="959">
        <f>SUM(AA345,AP345,AZ345)</f>
        <v>0</v>
      </c>
      <c r="BK345" s="959">
        <f>SUM(BH345:BJ345)</f>
        <v>0</v>
      </c>
      <c r="BL345" s="55"/>
    </row>
    <row r="346" spans="1:64" s="400" customFormat="1" ht="17.100000000000001" customHeight="1">
      <c r="A346" s="457" t="s">
        <v>1670</v>
      </c>
      <c r="B346" s="55" t="s">
        <v>142</v>
      </c>
      <c r="C346" s="53" t="s">
        <v>103</v>
      </c>
      <c r="D346" s="53" t="s">
        <v>1701</v>
      </c>
      <c r="E346" s="55" t="s">
        <v>4</v>
      </c>
      <c r="F346" s="55" t="s">
        <v>3903</v>
      </c>
      <c r="G346" s="71">
        <v>44256</v>
      </c>
      <c r="H346" s="50" t="s">
        <v>3904</v>
      </c>
      <c r="I346" s="760">
        <v>19826.599999999999</v>
      </c>
      <c r="J346" s="52">
        <v>22753</v>
      </c>
      <c r="K346" s="55" t="s">
        <v>3905</v>
      </c>
      <c r="L346" s="56" t="s">
        <v>3906</v>
      </c>
      <c r="M346" s="773">
        <v>9</v>
      </c>
      <c r="N346" s="718">
        <v>3</v>
      </c>
      <c r="O346" s="774">
        <v>144</v>
      </c>
      <c r="P346" s="60">
        <v>3</v>
      </c>
      <c r="Q346" s="61">
        <v>32</v>
      </c>
      <c r="R346" s="61">
        <v>3</v>
      </c>
      <c r="S346" s="61">
        <v>47</v>
      </c>
      <c r="T346" s="61">
        <v>3</v>
      </c>
      <c r="U346" s="62">
        <v>53</v>
      </c>
      <c r="V346" s="60">
        <v>1</v>
      </c>
      <c r="W346" s="61">
        <v>4</v>
      </c>
      <c r="X346" s="61">
        <v>1</v>
      </c>
      <c r="Y346" s="61">
        <v>4</v>
      </c>
      <c r="Z346" s="61">
        <v>1</v>
      </c>
      <c r="AA346" s="62">
        <v>4</v>
      </c>
      <c r="AB346" s="63"/>
      <c r="AC346" s="61"/>
      <c r="AD346" s="61"/>
      <c r="AE346" s="61"/>
      <c r="AF346" s="61">
        <f>SUM(AD346:AE346)</f>
        <v>0</v>
      </c>
      <c r="AG346" s="61"/>
      <c r="AH346" s="61"/>
      <c r="AI346" s="62">
        <f>SUM(AG346:AH346)</f>
        <v>0</v>
      </c>
      <c r="AJ346" s="63"/>
      <c r="AK346" s="61"/>
      <c r="AL346" s="61"/>
      <c r="AM346" s="61"/>
      <c r="AN346" s="61">
        <f>SUM(AL346:AM346)</f>
        <v>0</v>
      </c>
      <c r="AO346" s="61"/>
      <c r="AP346" s="61"/>
      <c r="AQ346" s="62">
        <f>SUM(AO346:AP346)</f>
        <v>0</v>
      </c>
      <c r="AR346" s="955"/>
      <c r="AS346" s="956"/>
      <c r="AT346" s="61"/>
      <c r="AU346" s="61"/>
      <c r="AV346" s="61"/>
      <c r="AW346" s="956">
        <f>SUM(AT346:AV346)</f>
        <v>0</v>
      </c>
      <c r="AX346" s="956"/>
      <c r="AY346" s="956"/>
      <c r="AZ346" s="956"/>
      <c r="BA346" s="957">
        <f>SUM(AX346:AZ346)</f>
        <v>0</v>
      </c>
      <c r="BB346" s="958">
        <f>SUM(P346,R346,T346,AB346,AJ346,AR346)</f>
        <v>9</v>
      </c>
      <c r="BC346" s="959">
        <f>SUM(Q346,AD346,AT346)</f>
        <v>32</v>
      </c>
      <c r="BD346" s="959">
        <f>SUM(S346,AE346,AL346,AU346)</f>
        <v>47</v>
      </c>
      <c r="BE346" s="959">
        <f>SUM(U346,AM346,AV346)</f>
        <v>53</v>
      </c>
      <c r="BF346" s="959">
        <f>SUM(BC346:BE346)</f>
        <v>132</v>
      </c>
      <c r="BG346" s="959">
        <f>SUM(V346,X346,Z346,AC346,AK346,AS346)</f>
        <v>3</v>
      </c>
      <c r="BH346" s="959">
        <f>SUM(W346,AG346,AX346)</f>
        <v>4</v>
      </c>
      <c r="BI346" s="959">
        <f>SUM(Y346,AH346,AO346,AY346)</f>
        <v>4</v>
      </c>
      <c r="BJ346" s="959">
        <f>SUM(AA346,AP346,AZ346)</f>
        <v>4</v>
      </c>
      <c r="BK346" s="959">
        <f>SUM(BH346:BJ346)</f>
        <v>12</v>
      </c>
      <c r="BL346" s="55"/>
    </row>
    <row r="347" spans="1:64" s="400" customFormat="1" ht="17.100000000000001" customHeight="1">
      <c r="A347" s="457" t="s">
        <v>1670</v>
      </c>
      <c r="B347" s="55" t="s">
        <v>142</v>
      </c>
      <c r="C347" s="53" t="s">
        <v>103</v>
      </c>
      <c r="D347" s="53" t="s">
        <v>1701</v>
      </c>
      <c r="E347" s="55" t="s">
        <v>4</v>
      </c>
      <c r="F347" s="55" t="s">
        <v>3907</v>
      </c>
      <c r="G347" s="71">
        <v>40969</v>
      </c>
      <c r="H347" s="50" t="s">
        <v>3908</v>
      </c>
      <c r="I347" s="760">
        <v>11000</v>
      </c>
      <c r="J347" s="52">
        <v>22765</v>
      </c>
      <c r="K347" s="55" t="s">
        <v>3909</v>
      </c>
      <c r="L347" s="56" t="s">
        <v>3910</v>
      </c>
      <c r="M347" s="394">
        <v>4</v>
      </c>
      <c r="N347" s="395">
        <v>1</v>
      </c>
      <c r="O347" s="396">
        <v>67</v>
      </c>
      <c r="P347" s="67">
        <v>1</v>
      </c>
      <c r="Q347" s="68">
        <v>12</v>
      </c>
      <c r="R347" s="68">
        <v>1</v>
      </c>
      <c r="S347" s="68">
        <v>17</v>
      </c>
      <c r="T347" s="68">
        <v>2</v>
      </c>
      <c r="U347" s="69">
        <v>30</v>
      </c>
      <c r="V347" s="67"/>
      <c r="W347" s="68"/>
      <c r="X347" s="68"/>
      <c r="Y347" s="68"/>
      <c r="Z347" s="68">
        <v>1</v>
      </c>
      <c r="AA347" s="69">
        <v>4</v>
      </c>
      <c r="AB347" s="70"/>
      <c r="AC347" s="68"/>
      <c r="AD347" s="68"/>
      <c r="AE347" s="68"/>
      <c r="AF347" s="68">
        <f t="shared" si="329"/>
        <v>0</v>
      </c>
      <c r="AG347" s="68"/>
      <c r="AH347" s="68"/>
      <c r="AI347" s="69">
        <f t="shared" si="330"/>
        <v>0</v>
      </c>
      <c r="AJ347" s="70"/>
      <c r="AK347" s="68"/>
      <c r="AL347" s="68"/>
      <c r="AM347" s="68"/>
      <c r="AN347" s="68">
        <f t="shared" si="331"/>
        <v>0</v>
      </c>
      <c r="AO347" s="68"/>
      <c r="AP347" s="68"/>
      <c r="AQ347" s="69">
        <f t="shared" si="332"/>
        <v>0</v>
      </c>
      <c r="AR347" s="972"/>
      <c r="AS347" s="973"/>
      <c r="AT347" s="68"/>
      <c r="AU347" s="68"/>
      <c r="AV347" s="68"/>
      <c r="AW347" s="973">
        <f t="shared" si="333"/>
        <v>0</v>
      </c>
      <c r="AX347" s="973"/>
      <c r="AY347" s="973"/>
      <c r="AZ347" s="973"/>
      <c r="BA347" s="974">
        <f t="shared" si="334"/>
        <v>0</v>
      </c>
      <c r="BB347" s="975">
        <f t="shared" si="335"/>
        <v>4</v>
      </c>
      <c r="BC347" s="959">
        <f t="shared" si="353"/>
        <v>12</v>
      </c>
      <c r="BD347" s="959">
        <f t="shared" si="354"/>
        <v>17</v>
      </c>
      <c r="BE347" s="959">
        <f t="shared" si="355"/>
        <v>30</v>
      </c>
      <c r="BF347" s="959">
        <f t="shared" si="356"/>
        <v>59</v>
      </c>
      <c r="BG347" s="959">
        <f t="shared" si="357"/>
        <v>1</v>
      </c>
      <c r="BH347" s="959">
        <f t="shared" si="358"/>
        <v>0</v>
      </c>
      <c r="BI347" s="959">
        <f t="shared" si="359"/>
        <v>0</v>
      </c>
      <c r="BJ347" s="959">
        <f t="shared" si="360"/>
        <v>4</v>
      </c>
      <c r="BK347" s="959">
        <f t="shared" si="361"/>
        <v>4</v>
      </c>
      <c r="BL347" s="55"/>
    </row>
    <row r="348" spans="1:64" s="400" customFormat="1" ht="17.100000000000001" customHeight="1">
      <c r="A348" s="457" t="s">
        <v>1670</v>
      </c>
      <c r="B348" s="55" t="s">
        <v>142</v>
      </c>
      <c r="C348" s="53" t="s">
        <v>103</v>
      </c>
      <c r="D348" s="53" t="s">
        <v>1701</v>
      </c>
      <c r="E348" s="55" t="s">
        <v>4</v>
      </c>
      <c r="F348" s="55" t="s">
        <v>1699</v>
      </c>
      <c r="G348" s="71">
        <v>41334</v>
      </c>
      <c r="H348" s="50" t="s">
        <v>2801</v>
      </c>
      <c r="I348" s="760">
        <v>1985</v>
      </c>
      <c r="J348" s="52">
        <v>22765</v>
      </c>
      <c r="K348" s="55" t="s">
        <v>1679</v>
      </c>
      <c r="L348" s="56" t="s">
        <v>1680</v>
      </c>
      <c r="M348" s="773">
        <v>9</v>
      </c>
      <c r="N348" s="718">
        <v>3</v>
      </c>
      <c r="O348" s="774">
        <v>144</v>
      </c>
      <c r="P348" s="60">
        <v>3</v>
      </c>
      <c r="Q348" s="61">
        <v>32</v>
      </c>
      <c r="R348" s="61">
        <v>3</v>
      </c>
      <c r="S348" s="61">
        <v>47</v>
      </c>
      <c r="T348" s="61">
        <v>3</v>
      </c>
      <c r="U348" s="62">
        <v>53</v>
      </c>
      <c r="V348" s="60">
        <v>1</v>
      </c>
      <c r="W348" s="61">
        <v>4</v>
      </c>
      <c r="X348" s="61">
        <v>1</v>
      </c>
      <c r="Y348" s="61">
        <v>4</v>
      </c>
      <c r="Z348" s="61">
        <v>1</v>
      </c>
      <c r="AA348" s="62">
        <v>4</v>
      </c>
      <c r="AB348" s="63"/>
      <c r="AC348" s="61"/>
      <c r="AD348" s="61"/>
      <c r="AE348" s="61"/>
      <c r="AF348" s="61">
        <f>SUM(AD348:AE348)</f>
        <v>0</v>
      </c>
      <c r="AG348" s="61"/>
      <c r="AH348" s="61"/>
      <c r="AI348" s="62">
        <f>SUM(AG348:AH348)</f>
        <v>0</v>
      </c>
      <c r="AJ348" s="63"/>
      <c r="AK348" s="61"/>
      <c r="AL348" s="61"/>
      <c r="AM348" s="61"/>
      <c r="AN348" s="61">
        <f>SUM(AL348:AM348)</f>
        <v>0</v>
      </c>
      <c r="AO348" s="61"/>
      <c r="AP348" s="61"/>
      <c r="AQ348" s="62">
        <f>SUM(AO348:AP348)</f>
        <v>0</v>
      </c>
      <c r="AR348" s="955"/>
      <c r="AS348" s="956"/>
      <c r="AT348" s="61"/>
      <c r="AU348" s="61"/>
      <c r="AV348" s="61"/>
      <c r="AW348" s="956">
        <f>SUM(AT348:AV348)</f>
        <v>0</v>
      </c>
      <c r="AX348" s="956"/>
      <c r="AY348" s="956"/>
      <c r="AZ348" s="956"/>
      <c r="BA348" s="957">
        <f>SUM(AX348:AZ348)</f>
        <v>0</v>
      </c>
      <c r="BB348" s="958">
        <f t="shared" si="335"/>
        <v>9</v>
      </c>
      <c r="BC348" s="959">
        <f>SUM(Q348,AD348,AT348)</f>
        <v>32</v>
      </c>
      <c r="BD348" s="959">
        <f>SUM(S348,AE348,AL348,AU348)</f>
        <v>47</v>
      </c>
      <c r="BE348" s="959">
        <f>SUM(U348,AM348,AV348)</f>
        <v>53</v>
      </c>
      <c r="BF348" s="959">
        <f>SUM(BC348:BE348)</f>
        <v>132</v>
      </c>
      <c r="BG348" s="959">
        <f>SUM(V348,X348,Z348,AC348,AK348,AS348)</f>
        <v>3</v>
      </c>
      <c r="BH348" s="959">
        <f>SUM(W348,AG348,AX348)</f>
        <v>4</v>
      </c>
      <c r="BI348" s="959">
        <f>SUM(Y348,AH348,AO348,AY348)</f>
        <v>4</v>
      </c>
      <c r="BJ348" s="959">
        <f>SUM(AA348,AP348,AZ348)</f>
        <v>4</v>
      </c>
      <c r="BK348" s="959">
        <f>SUM(BH348:BJ348)</f>
        <v>12</v>
      </c>
      <c r="BL348" s="55"/>
    </row>
    <row r="349" spans="1:64" s="400" customFormat="1" ht="17.100000000000001" customHeight="1">
      <c r="A349" s="457" t="s">
        <v>1681</v>
      </c>
      <c r="B349" s="55" t="s">
        <v>142</v>
      </c>
      <c r="C349" s="53" t="s">
        <v>2825</v>
      </c>
      <c r="D349" s="53" t="s">
        <v>3911</v>
      </c>
      <c r="E349" s="55" t="s">
        <v>4</v>
      </c>
      <c r="F349" s="55" t="s">
        <v>3912</v>
      </c>
      <c r="G349" s="71">
        <v>36586</v>
      </c>
      <c r="H349" s="50" t="s">
        <v>3913</v>
      </c>
      <c r="I349" s="760">
        <v>12949</v>
      </c>
      <c r="J349" s="52">
        <v>22613</v>
      </c>
      <c r="K349" s="55" t="s">
        <v>3914</v>
      </c>
      <c r="L349" s="56" t="s">
        <v>3915</v>
      </c>
      <c r="M349" s="773">
        <v>3</v>
      </c>
      <c r="N349" s="718">
        <v>1</v>
      </c>
      <c r="O349" s="774">
        <v>48</v>
      </c>
      <c r="P349" s="60">
        <v>1</v>
      </c>
      <c r="Q349" s="781">
        <v>4</v>
      </c>
      <c r="R349" s="61">
        <v>1</v>
      </c>
      <c r="S349" s="61">
        <v>7</v>
      </c>
      <c r="T349" s="61">
        <v>1</v>
      </c>
      <c r="U349" s="62">
        <v>12</v>
      </c>
      <c r="V349" s="60"/>
      <c r="W349" s="61">
        <v>1</v>
      </c>
      <c r="X349" s="61"/>
      <c r="Y349" s="61"/>
      <c r="Z349" s="61"/>
      <c r="AA349" s="62">
        <v>3</v>
      </c>
      <c r="AB349" s="63"/>
      <c r="AC349" s="61"/>
      <c r="AD349" s="61"/>
      <c r="AE349" s="61"/>
      <c r="AF349" s="61">
        <f>SUM(AD349:AE349)</f>
        <v>0</v>
      </c>
      <c r="AG349" s="61"/>
      <c r="AH349" s="61"/>
      <c r="AI349" s="62">
        <f>SUM(AG349:AH349)</f>
        <v>0</v>
      </c>
      <c r="AJ349" s="63"/>
      <c r="AK349" s="61"/>
      <c r="AL349" s="61"/>
      <c r="AM349" s="61"/>
      <c r="AN349" s="61">
        <f>SUM(AL349:AM349)</f>
        <v>0</v>
      </c>
      <c r="AO349" s="61"/>
      <c r="AP349" s="61"/>
      <c r="AQ349" s="62">
        <f>SUM(AO349:AP349)</f>
        <v>0</v>
      </c>
      <c r="AR349" s="955"/>
      <c r="AS349" s="956"/>
      <c r="AT349" s="61"/>
      <c r="AU349" s="61"/>
      <c r="AV349" s="61"/>
      <c r="AW349" s="956">
        <f>SUM(AT349:AV349)</f>
        <v>0</v>
      </c>
      <c r="AX349" s="956"/>
      <c r="AY349" s="956"/>
      <c r="AZ349" s="956"/>
      <c r="BA349" s="957">
        <f>SUM(AX349:AZ349)</f>
        <v>0</v>
      </c>
      <c r="BB349" s="958">
        <f t="shared" si="335"/>
        <v>3</v>
      </c>
      <c r="BC349" s="959">
        <f>SUM(Q349,AD349,AT349)</f>
        <v>4</v>
      </c>
      <c r="BD349" s="959">
        <f>SUM(S349,AE349,AL349,AU349)</f>
        <v>7</v>
      </c>
      <c r="BE349" s="959">
        <f>SUM(U349,AM349,AV349)</f>
        <v>12</v>
      </c>
      <c r="BF349" s="959">
        <f>SUM(BC349:BE349)</f>
        <v>23</v>
      </c>
      <c r="BG349" s="959">
        <v>1</v>
      </c>
      <c r="BH349" s="959">
        <f>SUM(W349,AG349,AX349)</f>
        <v>1</v>
      </c>
      <c r="BI349" s="959">
        <f>SUM(Y349,AH349,AO349,AY349)</f>
        <v>0</v>
      </c>
      <c r="BJ349" s="959">
        <f>SUM(AA349,AP349,AZ349)</f>
        <v>3</v>
      </c>
      <c r="BK349" s="959">
        <f>SUM(BH349:BJ349)</f>
        <v>4</v>
      </c>
      <c r="BL349" s="55"/>
    </row>
    <row r="350" spans="1:64" s="400" customFormat="1" ht="17.100000000000001" customHeight="1">
      <c r="A350" s="457" t="s">
        <v>1681</v>
      </c>
      <c r="B350" s="55" t="s">
        <v>142</v>
      </c>
      <c r="C350" s="53" t="s">
        <v>2825</v>
      </c>
      <c r="D350" s="53" t="s">
        <v>1682</v>
      </c>
      <c r="E350" s="55" t="s">
        <v>4</v>
      </c>
      <c r="F350" s="55" t="s">
        <v>3916</v>
      </c>
      <c r="G350" s="71">
        <v>36586</v>
      </c>
      <c r="H350" s="50" t="s">
        <v>1706</v>
      </c>
      <c r="I350" s="760">
        <v>12770</v>
      </c>
      <c r="J350" s="52">
        <v>22678</v>
      </c>
      <c r="K350" s="55" t="s">
        <v>3917</v>
      </c>
      <c r="L350" s="56" t="s">
        <v>3918</v>
      </c>
      <c r="M350" s="394">
        <v>2</v>
      </c>
      <c r="N350" s="395"/>
      <c r="O350" s="396">
        <v>36</v>
      </c>
      <c r="P350" s="67"/>
      <c r="Q350" s="68"/>
      <c r="R350" s="68"/>
      <c r="S350" s="68"/>
      <c r="T350" s="68"/>
      <c r="U350" s="69"/>
      <c r="V350" s="67"/>
      <c r="W350" s="68"/>
      <c r="X350" s="68"/>
      <c r="Y350" s="68"/>
      <c r="Z350" s="68"/>
      <c r="AA350" s="69"/>
      <c r="AB350" s="70"/>
      <c r="AC350" s="68"/>
      <c r="AD350" s="68"/>
      <c r="AE350" s="68"/>
      <c r="AF350" s="68">
        <f>SUM(AD350:AE350)</f>
        <v>0</v>
      </c>
      <c r="AG350" s="68"/>
      <c r="AH350" s="68"/>
      <c r="AI350" s="69">
        <f>SUM(AG350:AH350)</f>
        <v>0</v>
      </c>
      <c r="AJ350" s="70">
        <v>1</v>
      </c>
      <c r="AK350" s="68"/>
      <c r="AL350" s="68">
        <v>4</v>
      </c>
      <c r="AM350" s="68">
        <v>8</v>
      </c>
      <c r="AN350" s="68">
        <v>12</v>
      </c>
      <c r="AO350" s="68"/>
      <c r="AP350" s="68"/>
      <c r="AQ350" s="69">
        <f>SUM(AO350:AP350)</f>
        <v>0</v>
      </c>
      <c r="AR350" s="972"/>
      <c r="AS350" s="973"/>
      <c r="AT350" s="68"/>
      <c r="AU350" s="68"/>
      <c r="AV350" s="68"/>
      <c r="AW350" s="973">
        <f>SUM(AT350:AV350)</f>
        <v>0</v>
      </c>
      <c r="AX350" s="973"/>
      <c r="AY350" s="973"/>
      <c r="AZ350" s="973"/>
      <c r="BA350" s="974">
        <f>SUM(AX350:AZ350)</f>
        <v>0</v>
      </c>
      <c r="BB350" s="975">
        <f t="shared" si="335"/>
        <v>1</v>
      </c>
      <c r="BC350" s="959">
        <f t="shared" si="353"/>
        <v>0</v>
      </c>
      <c r="BD350" s="959">
        <f t="shared" si="354"/>
        <v>4</v>
      </c>
      <c r="BE350" s="959">
        <f t="shared" si="355"/>
        <v>8</v>
      </c>
      <c r="BF350" s="959">
        <f t="shared" si="356"/>
        <v>12</v>
      </c>
      <c r="BG350" s="959">
        <f t="shared" si="357"/>
        <v>0</v>
      </c>
      <c r="BH350" s="959">
        <f t="shared" si="358"/>
        <v>0</v>
      </c>
      <c r="BI350" s="959">
        <f t="shared" si="359"/>
        <v>0</v>
      </c>
      <c r="BJ350" s="959">
        <f t="shared" si="360"/>
        <v>0</v>
      </c>
      <c r="BK350" s="959">
        <f t="shared" si="361"/>
        <v>0</v>
      </c>
      <c r="BL350" s="55"/>
    </row>
    <row r="351" spans="1:64" s="400" customFormat="1" ht="17.100000000000001" customHeight="1">
      <c r="A351" s="457" t="s">
        <v>1681</v>
      </c>
      <c r="B351" s="55" t="s">
        <v>142</v>
      </c>
      <c r="C351" s="53" t="s">
        <v>2825</v>
      </c>
      <c r="D351" s="53" t="s">
        <v>1682</v>
      </c>
      <c r="E351" s="55" t="s">
        <v>4</v>
      </c>
      <c r="F351" s="55" t="s">
        <v>3919</v>
      </c>
      <c r="G351" s="71">
        <v>42430</v>
      </c>
      <c r="H351" s="50" t="s">
        <v>3920</v>
      </c>
      <c r="I351" s="760">
        <v>502</v>
      </c>
      <c r="J351" s="52">
        <v>22675</v>
      </c>
      <c r="K351" s="55" t="s">
        <v>1683</v>
      </c>
      <c r="L351" s="56" t="s">
        <v>1684</v>
      </c>
      <c r="M351" s="394">
        <v>3</v>
      </c>
      <c r="N351" s="395"/>
      <c r="O351" s="396">
        <v>48</v>
      </c>
      <c r="P351" s="67">
        <v>1</v>
      </c>
      <c r="Q351" s="68">
        <v>3</v>
      </c>
      <c r="R351" s="68">
        <v>1</v>
      </c>
      <c r="S351" s="68">
        <v>12</v>
      </c>
      <c r="T351" s="68">
        <v>1</v>
      </c>
      <c r="U351" s="69">
        <v>15</v>
      </c>
      <c r="V351" s="67"/>
      <c r="W351" s="68"/>
      <c r="X351" s="68"/>
      <c r="Y351" s="68"/>
      <c r="Z351" s="68"/>
      <c r="AA351" s="69"/>
      <c r="AB351" s="70"/>
      <c r="AC351" s="68"/>
      <c r="AD351" s="68"/>
      <c r="AE351" s="68"/>
      <c r="AF351" s="68">
        <f>SUM(AD351:AE351)</f>
        <v>0</v>
      </c>
      <c r="AG351" s="68"/>
      <c r="AH351" s="68"/>
      <c r="AI351" s="69">
        <f>SUM(AG351:AH351)</f>
        <v>0</v>
      </c>
      <c r="AJ351" s="70"/>
      <c r="AK351" s="68"/>
      <c r="AL351" s="68"/>
      <c r="AM351" s="68"/>
      <c r="AN351" s="68">
        <f t="shared" ref="AN351:AN358" si="362">SUM(AL351:AM351)</f>
        <v>0</v>
      </c>
      <c r="AO351" s="68"/>
      <c r="AP351" s="68"/>
      <c r="AQ351" s="69">
        <f>SUM(AO351:AP351)</f>
        <v>0</v>
      </c>
      <c r="AR351" s="972"/>
      <c r="AS351" s="973"/>
      <c r="AT351" s="68"/>
      <c r="AU351" s="68"/>
      <c r="AV351" s="68"/>
      <c r="AW351" s="973">
        <f>SUM(AT351:AV351)</f>
        <v>0</v>
      </c>
      <c r="AX351" s="973"/>
      <c r="AY351" s="973"/>
      <c r="AZ351" s="973"/>
      <c r="BA351" s="974">
        <f>SUM(AX351:AZ351)</f>
        <v>0</v>
      </c>
      <c r="BB351" s="975">
        <f t="shared" si="335"/>
        <v>3</v>
      </c>
      <c r="BC351" s="959">
        <f t="shared" si="353"/>
        <v>3</v>
      </c>
      <c r="BD351" s="959">
        <f t="shared" si="354"/>
        <v>12</v>
      </c>
      <c r="BE351" s="959">
        <f t="shared" si="355"/>
        <v>15</v>
      </c>
      <c r="BF351" s="959">
        <f t="shared" si="356"/>
        <v>30</v>
      </c>
      <c r="BG351" s="959">
        <f t="shared" si="357"/>
        <v>0</v>
      </c>
      <c r="BH351" s="959">
        <f t="shared" si="358"/>
        <v>0</v>
      </c>
      <c r="BI351" s="959">
        <f t="shared" si="359"/>
        <v>0</v>
      </c>
      <c r="BJ351" s="959">
        <f t="shared" si="360"/>
        <v>0</v>
      </c>
      <c r="BK351" s="959">
        <f t="shared" si="361"/>
        <v>0</v>
      </c>
      <c r="BL351" s="55"/>
    </row>
    <row r="352" spans="1:64" s="400" customFormat="1" ht="17.100000000000001" customHeight="1">
      <c r="A352" s="457" t="s">
        <v>1681</v>
      </c>
      <c r="B352" s="55" t="s">
        <v>142</v>
      </c>
      <c r="C352" s="53" t="s">
        <v>2825</v>
      </c>
      <c r="D352" s="53" t="s">
        <v>1687</v>
      </c>
      <c r="E352" s="55" t="s">
        <v>4</v>
      </c>
      <c r="F352" s="55" t="s">
        <v>3921</v>
      </c>
      <c r="G352" s="71">
        <v>29646</v>
      </c>
      <c r="H352" s="50" t="s">
        <v>3922</v>
      </c>
      <c r="I352" s="760">
        <v>6391</v>
      </c>
      <c r="J352" s="52">
        <v>22601</v>
      </c>
      <c r="K352" s="55" t="s">
        <v>3923</v>
      </c>
      <c r="L352" s="56" t="s">
        <v>1200</v>
      </c>
      <c r="M352" s="773">
        <v>3</v>
      </c>
      <c r="N352" s="718"/>
      <c r="O352" s="774">
        <v>48</v>
      </c>
      <c r="P352" s="60">
        <v>1</v>
      </c>
      <c r="Q352" s="61">
        <v>12</v>
      </c>
      <c r="R352" s="61">
        <v>1</v>
      </c>
      <c r="S352" s="61">
        <v>15</v>
      </c>
      <c r="T352" s="61">
        <v>1</v>
      </c>
      <c r="U352" s="62">
        <v>16</v>
      </c>
      <c r="V352" s="60"/>
      <c r="W352" s="61"/>
      <c r="X352" s="61"/>
      <c r="Y352" s="61"/>
      <c r="Z352" s="61"/>
      <c r="AA352" s="62"/>
      <c r="AB352" s="63"/>
      <c r="AC352" s="61"/>
      <c r="AD352" s="61"/>
      <c r="AE352" s="61"/>
      <c r="AF352" s="61">
        <f>SUM(AD352:AE352)</f>
        <v>0</v>
      </c>
      <c r="AG352" s="61"/>
      <c r="AH352" s="61"/>
      <c r="AI352" s="62">
        <f>SUM(AG352:AH352)</f>
        <v>0</v>
      </c>
      <c r="AJ352" s="63"/>
      <c r="AK352" s="61"/>
      <c r="AL352" s="61"/>
      <c r="AM352" s="61"/>
      <c r="AN352" s="61">
        <f t="shared" si="362"/>
        <v>0</v>
      </c>
      <c r="AO352" s="61"/>
      <c r="AP352" s="61"/>
      <c r="AQ352" s="62">
        <f>SUM(AO352:AP352)</f>
        <v>0</v>
      </c>
      <c r="AR352" s="955"/>
      <c r="AS352" s="956"/>
      <c r="AT352" s="61"/>
      <c r="AU352" s="61"/>
      <c r="AV352" s="61"/>
      <c r="AW352" s="956">
        <f>SUM(AT352:AV352)</f>
        <v>0</v>
      </c>
      <c r="AX352" s="956"/>
      <c r="AY352" s="956"/>
      <c r="AZ352" s="956"/>
      <c r="BA352" s="957">
        <f>SUM(AX352:AZ352)</f>
        <v>0</v>
      </c>
      <c r="BB352" s="958">
        <f t="shared" si="335"/>
        <v>3</v>
      </c>
      <c r="BC352" s="959">
        <f t="shared" si="353"/>
        <v>12</v>
      </c>
      <c r="BD352" s="959">
        <f>SUM(S352,AE352,AL352,AU352)</f>
        <v>15</v>
      </c>
      <c r="BE352" s="959">
        <f>SUM(U352,AM352,AV352)</f>
        <v>16</v>
      </c>
      <c r="BF352" s="959">
        <f>SUM(BC352:BE352)</f>
        <v>43</v>
      </c>
      <c r="BG352" s="959">
        <f>SUM(V352,X352,Z352,AC352,AK352,AS352)</f>
        <v>0</v>
      </c>
      <c r="BH352" s="959">
        <f>SUM(W352,AG352,AX352)</f>
        <v>0</v>
      </c>
      <c r="BI352" s="959">
        <f>SUM(Y352,AH352,AO352,AY352)</f>
        <v>0</v>
      </c>
      <c r="BJ352" s="959">
        <f>SUM(AA352,AP352,AZ352)</f>
        <v>0</v>
      </c>
      <c r="BK352" s="959">
        <f>SUM(BH352:BJ352)</f>
        <v>0</v>
      </c>
      <c r="BL352" s="55"/>
    </row>
    <row r="353" spans="1:64" s="400" customFormat="1" ht="17.100000000000001" customHeight="1">
      <c r="A353" s="457" t="s">
        <v>1681</v>
      </c>
      <c r="B353" s="55" t="s">
        <v>142</v>
      </c>
      <c r="C353" s="53" t="s">
        <v>2825</v>
      </c>
      <c r="D353" s="53" t="s">
        <v>1687</v>
      </c>
      <c r="E353" s="55" t="s">
        <v>4</v>
      </c>
      <c r="F353" s="55" t="s">
        <v>3924</v>
      </c>
      <c r="G353" s="71">
        <v>39142</v>
      </c>
      <c r="H353" s="50" t="s">
        <v>1281</v>
      </c>
      <c r="I353" s="760">
        <v>885</v>
      </c>
      <c r="J353" s="52">
        <v>22633</v>
      </c>
      <c r="K353" s="55" t="s">
        <v>3925</v>
      </c>
      <c r="L353" s="56" t="s">
        <v>1242</v>
      </c>
      <c r="M353" s="773">
        <v>2</v>
      </c>
      <c r="N353" s="718"/>
      <c r="O353" s="774">
        <v>36</v>
      </c>
      <c r="P353" s="60"/>
      <c r="Q353" s="61"/>
      <c r="R353" s="61"/>
      <c r="S353" s="61"/>
      <c r="T353" s="61"/>
      <c r="U353" s="62"/>
      <c r="V353" s="60"/>
      <c r="W353" s="61"/>
      <c r="X353" s="61"/>
      <c r="Y353" s="61"/>
      <c r="Z353" s="61"/>
      <c r="AA353" s="62"/>
      <c r="AB353" s="63"/>
      <c r="AC353" s="61"/>
      <c r="AD353" s="61"/>
      <c r="AE353" s="61"/>
      <c r="AF353" s="61">
        <v>0</v>
      </c>
      <c r="AG353" s="61"/>
      <c r="AH353" s="61"/>
      <c r="AI353" s="62">
        <v>0</v>
      </c>
      <c r="AJ353" s="63">
        <v>1</v>
      </c>
      <c r="AK353" s="61"/>
      <c r="AL353" s="61">
        <v>6</v>
      </c>
      <c r="AM353" s="61"/>
      <c r="AN353" s="61">
        <f t="shared" si="362"/>
        <v>6</v>
      </c>
      <c r="AO353" s="61"/>
      <c r="AP353" s="61"/>
      <c r="AQ353" s="62">
        <v>0</v>
      </c>
      <c r="AR353" s="955"/>
      <c r="AS353" s="956"/>
      <c r="AT353" s="61"/>
      <c r="AU353" s="61"/>
      <c r="AV353" s="61"/>
      <c r="AW353" s="956">
        <v>0</v>
      </c>
      <c r="AX353" s="956"/>
      <c r="AY353" s="956"/>
      <c r="AZ353" s="956"/>
      <c r="BA353" s="957">
        <v>0</v>
      </c>
      <c r="BB353" s="958">
        <f t="shared" si="335"/>
        <v>1</v>
      </c>
      <c r="BC353" s="959">
        <f t="shared" si="353"/>
        <v>0</v>
      </c>
      <c r="BD353" s="959">
        <f>SUM(S353,AE353,AL353,AU353)</f>
        <v>6</v>
      </c>
      <c r="BE353" s="959">
        <f>SUM(U353,AM353,AV353)</f>
        <v>0</v>
      </c>
      <c r="BF353" s="959">
        <f>SUM(BC353:BE353)</f>
        <v>6</v>
      </c>
      <c r="BG353" s="959">
        <f t="shared" si="357"/>
        <v>0</v>
      </c>
      <c r="BH353" s="959">
        <f t="shared" si="358"/>
        <v>0</v>
      </c>
      <c r="BI353" s="959">
        <f t="shared" si="359"/>
        <v>0</v>
      </c>
      <c r="BJ353" s="959">
        <f t="shared" si="360"/>
        <v>0</v>
      </c>
      <c r="BK353" s="959">
        <f t="shared" si="361"/>
        <v>0</v>
      </c>
      <c r="BL353" s="55"/>
    </row>
    <row r="354" spans="1:64" s="400" customFormat="1" ht="17.100000000000001" customHeight="1">
      <c r="A354" s="457" t="s">
        <v>1681</v>
      </c>
      <c r="B354" s="55" t="s">
        <v>142</v>
      </c>
      <c r="C354" s="53" t="s">
        <v>2825</v>
      </c>
      <c r="D354" s="53" t="s">
        <v>1687</v>
      </c>
      <c r="E354" s="55" t="s">
        <v>4</v>
      </c>
      <c r="F354" s="55" t="s">
        <v>3926</v>
      </c>
      <c r="G354" s="71">
        <v>37681</v>
      </c>
      <c r="H354" s="50" t="s">
        <v>3927</v>
      </c>
      <c r="I354" s="760">
        <v>12040</v>
      </c>
      <c r="J354" s="52">
        <v>22640</v>
      </c>
      <c r="K354" s="55" t="s">
        <v>3928</v>
      </c>
      <c r="L354" s="56" t="s">
        <v>3929</v>
      </c>
      <c r="M354" s="773">
        <v>2</v>
      </c>
      <c r="N354" s="718"/>
      <c r="O354" s="774">
        <v>36</v>
      </c>
      <c r="P354" s="60"/>
      <c r="Q354" s="61"/>
      <c r="R354" s="61">
        <v>1</v>
      </c>
      <c r="S354" s="61">
        <v>3</v>
      </c>
      <c r="T354" s="61">
        <v>1</v>
      </c>
      <c r="U354" s="62">
        <v>7</v>
      </c>
      <c r="V354" s="60"/>
      <c r="W354" s="61"/>
      <c r="X354" s="61"/>
      <c r="Y354" s="61"/>
      <c r="Z354" s="61"/>
      <c r="AA354" s="62"/>
      <c r="AB354" s="63"/>
      <c r="AC354" s="61"/>
      <c r="AD354" s="61"/>
      <c r="AE354" s="61"/>
      <c r="AF354" s="61">
        <f>SUM(AD354:AE354)</f>
        <v>0</v>
      </c>
      <c r="AG354" s="61"/>
      <c r="AH354" s="61"/>
      <c r="AI354" s="62">
        <f>SUM(AG354:AH354)</f>
        <v>0</v>
      </c>
      <c r="AJ354" s="63"/>
      <c r="AK354" s="61"/>
      <c r="AL354" s="61"/>
      <c r="AM354" s="61"/>
      <c r="AN354" s="61">
        <f t="shared" si="362"/>
        <v>0</v>
      </c>
      <c r="AO354" s="61"/>
      <c r="AP354" s="61"/>
      <c r="AQ354" s="62">
        <f>SUM(AO354:AP354)</f>
        <v>0</v>
      </c>
      <c r="AR354" s="955"/>
      <c r="AS354" s="956"/>
      <c r="AT354" s="61"/>
      <c r="AU354" s="61"/>
      <c r="AV354" s="61"/>
      <c r="AW354" s="956">
        <f>SUM(AT354:AV354)</f>
        <v>0</v>
      </c>
      <c r="AX354" s="956"/>
      <c r="AY354" s="956"/>
      <c r="AZ354" s="956"/>
      <c r="BA354" s="957">
        <f>SUM(AX354:AZ354)</f>
        <v>0</v>
      </c>
      <c r="BB354" s="958">
        <f t="shared" si="335"/>
        <v>2</v>
      </c>
      <c r="BC354" s="959">
        <f t="shared" si="353"/>
        <v>0</v>
      </c>
      <c r="BD354" s="959">
        <f>SUM(S354,AE354,AL354,AU354)</f>
        <v>3</v>
      </c>
      <c r="BE354" s="959">
        <f>SUM(U354,AM354,AV354)</f>
        <v>7</v>
      </c>
      <c r="BF354" s="959">
        <f>SUM(BC354:BE354)</f>
        <v>10</v>
      </c>
      <c r="BG354" s="959">
        <f>SUM(V354,X354,Z354,AC354,AK354,AS354)</f>
        <v>0</v>
      </c>
      <c r="BH354" s="959">
        <f>SUM(W354,AG354,AX354)</f>
        <v>0</v>
      </c>
      <c r="BI354" s="959">
        <f>SUM(Y354,AH354,AO354,AY354)</f>
        <v>0</v>
      </c>
      <c r="BJ354" s="959">
        <f>SUM(AA354,AP354,AZ354)</f>
        <v>0</v>
      </c>
      <c r="BK354" s="959">
        <f>SUM(BH354:BJ354)</f>
        <v>0</v>
      </c>
      <c r="BL354" s="55"/>
    </row>
    <row r="355" spans="1:64" s="400" customFormat="1" ht="17.100000000000001" customHeight="1">
      <c r="A355" s="457" t="s">
        <v>1681</v>
      </c>
      <c r="B355" s="55" t="s">
        <v>142</v>
      </c>
      <c r="C355" s="53" t="s">
        <v>2825</v>
      </c>
      <c r="D355" s="53" t="s">
        <v>1687</v>
      </c>
      <c r="E355" s="55" t="s">
        <v>4</v>
      </c>
      <c r="F355" s="55" t="s">
        <v>3930</v>
      </c>
      <c r="G355" s="71">
        <v>39330</v>
      </c>
      <c r="H355" s="50" t="s">
        <v>3931</v>
      </c>
      <c r="I355" s="760">
        <v>11869</v>
      </c>
      <c r="J355" s="52">
        <v>22636</v>
      </c>
      <c r="K355" s="55" t="s">
        <v>1243</v>
      </c>
      <c r="L355" s="56" t="s">
        <v>1245</v>
      </c>
      <c r="M355" s="773">
        <v>3</v>
      </c>
      <c r="N355" s="718"/>
      <c r="O355" s="774">
        <v>48</v>
      </c>
      <c r="P355" s="60"/>
      <c r="Q355" s="61"/>
      <c r="R355" s="61"/>
      <c r="S355" s="61"/>
      <c r="T355" s="61">
        <v>1</v>
      </c>
      <c r="U355" s="62">
        <v>14</v>
      </c>
      <c r="V355" s="60"/>
      <c r="W355" s="61"/>
      <c r="X355" s="61"/>
      <c r="Y355" s="61"/>
      <c r="Z355" s="61"/>
      <c r="AA355" s="62"/>
      <c r="AB355" s="63">
        <v>1</v>
      </c>
      <c r="AC355" s="61"/>
      <c r="AD355" s="61">
        <v>3</v>
      </c>
      <c r="AE355" s="61">
        <v>11</v>
      </c>
      <c r="AF355" s="61">
        <f>SUM(AD355:AE355)</f>
        <v>14</v>
      </c>
      <c r="AG355" s="61"/>
      <c r="AH355" s="61"/>
      <c r="AI355" s="62">
        <f>SUM(AG355:AH355)</f>
        <v>0</v>
      </c>
      <c r="AJ355" s="63"/>
      <c r="AK355" s="61"/>
      <c r="AL355" s="61"/>
      <c r="AM355" s="61"/>
      <c r="AN355" s="61">
        <f t="shared" si="362"/>
        <v>0</v>
      </c>
      <c r="AO355" s="61"/>
      <c r="AP355" s="61"/>
      <c r="AQ355" s="62">
        <f>SUM(AO355:AP355)</f>
        <v>0</v>
      </c>
      <c r="AR355" s="955"/>
      <c r="AS355" s="956"/>
      <c r="AT355" s="61"/>
      <c r="AU355" s="61"/>
      <c r="AV355" s="61"/>
      <c r="AW355" s="956">
        <f>SUM(AT355:AV355)</f>
        <v>0</v>
      </c>
      <c r="AX355" s="956"/>
      <c r="AY355" s="956"/>
      <c r="AZ355" s="956"/>
      <c r="BA355" s="957">
        <f t="shared" ref="BA355:BA369" si="363">SUM(AX355:AZ355)</f>
        <v>0</v>
      </c>
      <c r="BB355" s="958">
        <f t="shared" si="335"/>
        <v>2</v>
      </c>
      <c r="BC355" s="959">
        <f t="shared" si="353"/>
        <v>3</v>
      </c>
      <c r="BD355" s="959">
        <f t="shared" ref="BD355:BD369" si="364">SUM(S355,AE355,AL355,AU355)</f>
        <v>11</v>
      </c>
      <c r="BE355" s="959">
        <f t="shared" ref="BE355:BE369" si="365">SUM(U355,AM355,AV355)</f>
        <v>14</v>
      </c>
      <c r="BF355" s="959">
        <f t="shared" ref="BF355:BF369" si="366">SUM(BC355:BE355)</f>
        <v>28</v>
      </c>
      <c r="BG355" s="959">
        <f>SUM(V355,X355,Z355,AC355,AK355,AS355)</f>
        <v>0</v>
      </c>
      <c r="BH355" s="959">
        <f>SUM(W355,AG355,AX355)</f>
        <v>0</v>
      </c>
      <c r="BI355" s="959">
        <f>SUM(Y355,AH355,AO355,AY355)</f>
        <v>0</v>
      </c>
      <c r="BJ355" s="959">
        <f>SUM(AA355,AP355,AZ355)</f>
        <v>0</v>
      </c>
      <c r="BK355" s="959">
        <f>SUM(BH355:BJ355)</f>
        <v>0</v>
      </c>
      <c r="BL355" s="55"/>
    </row>
    <row r="356" spans="1:64" s="400" customFormat="1" ht="20.100000000000001" customHeight="1">
      <c r="A356" s="457" t="s">
        <v>1681</v>
      </c>
      <c r="B356" s="55" t="s">
        <v>142</v>
      </c>
      <c r="C356" s="53" t="s">
        <v>2825</v>
      </c>
      <c r="D356" s="53" t="s">
        <v>3932</v>
      </c>
      <c r="E356" s="55" t="s">
        <v>4</v>
      </c>
      <c r="F356" s="55" t="s">
        <v>3933</v>
      </c>
      <c r="G356" s="71">
        <v>45717</v>
      </c>
      <c r="H356" s="50" t="s">
        <v>3934</v>
      </c>
      <c r="I356" s="760">
        <v>5340</v>
      </c>
      <c r="J356" s="52">
        <v>22889</v>
      </c>
      <c r="K356" s="55" t="s">
        <v>3935</v>
      </c>
      <c r="L356" s="56" t="s">
        <v>3936</v>
      </c>
      <c r="M356" s="394">
        <v>15</v>
      </c>
      <c r="N356" s="395">
        <v>3</v>
      </c>
      <c r="O356" s="396">
        <v>240</v>
      </c>
      <c r="P356" s="67">
        <v>5</v>
      </c>
      <c r="Q356" s="68">
        <v>56</v>
      </c>
      <c r="R356" s="68">
        <v>5</v>
      </c>
      <c r="S356" s="68">
        <v>81</v>
      </c>
      <c r="T356" s="68">
        <v>5</v>
      </c>
      <c r="U356" s="69">
        <v>91</v>
      </c>
      <c r="V356" s="67">
        <v>1</v>
      </c>
      <c r="W356" s="68">
        <v>3</v>
      </c>
      <c r="X356" s="68">
        <v>1</v>
      </c>
      <c r="Y356" s="68">
        <v>4</v>
      </c>
      <c r="Z356" s="68">
        <v>1</v>
      </c>
      <c r="AA356" s="69">
        <v>4</v>
      </c>
      <c r="AB356" s="63"/>
      <c r="AC356" s="61"/>
      <c r="AD356" s="61"/>
      <c r="AE356" s="61"/>
      <c r="AF356" s="61">
        <f>SUM(AD356:AE356)</f>
        <v>0</v>
      </c>
      <c r="AG356" s="61"/>
      <c r="AH356" s="61"/>
      <c r="AI356" s="62">
        <f>SUM(AG356:AH356)</f>
        <v>0</v>
      </c>
      <c r="AJ356" s="63"/>
      <c r="AK356" s="61"/>
      <c r="AL356" s="61"/>
      <c r="AM356" s="61"/>
      <c r="AN356" s="61">
        <f t="shared" si="362"/>
        <v>0</v>
      </c>
      <c r="AO356" s="61"/>
      <c r="AP356" s="61"/>
      <c r="AQ356" s="62">
        <f>SUM(AO356:AP356)</f>
        <v>0</v>
      </c>
      <c r="AR356" s="955"/>
      <c r="AS356" s="956"/>
      <c r="AT356" s="61"/>
      <c r="AU356" s="61"/>
      <c r="AV356" s="61"/>
      <c r="AW356" s="956">
        <f>SUM(AT356:AV356)</f>
        <v>0</v>
      </c>
      <c r="AX356" s="956"/>
      <c r="AY356" s="956"/>
      <c r="AZ356" s="956"/>
      <c r="BA356" s="957">
        <f t="shared" si="363"/>
        <v>0</v>
      </c>
      <c r="BB356" s="958">
        <f t="shared" si="335"/>
        <v>15</v>
      </c>
      <c r="BC356" s="959">
        <f t="shared" si="353"/>
        <v>56</v>
      </c>
      <c r="BD356" s="959">
        <f t="shared" si="364"/>
        <v>81</v>
      </c>
      <c r="BE356" s="959">
        <f t="shared" si="365"/>
        <v>91</v>
      </c>
      <c r="BF356" s="959">
        <f t="shared" si="366"/>
        <v>228</v>
      </c>
      <c r="BG356" s="959">
        <f>SUM(V356,X356,Z356,AC356,AK356,AS356)</f>
        <v>3</v>
      </c>
      <c r="BH356" s="959">
        <f>SUM(W356,AG356,AX356)</f>
        <v>3</v>
      </c>
      <c r="BI356" s="959">
        <f>SUM(Y356,AH356,AO356,AY356)</f>
        <v>4</v>
      </c>
      <c r="BJ356" s="959">
        <f>SUM(AA356,AP356,AZ356)</f>
        <v>4</v>
      </c>
      <c r="BK356" s="959">
        <f>SUM(BH356:BJ356)</f>
        <v>11</v>
      </c>
      <c r="BL356" s="55"/>
    </row>
    <row r="357" spans="1:64" s="400" customFormat="1" ht="17.100000000000001" customHeight="1">
      <c r="A357" s="457" t="s">
        <v>1681</v>
      </c>
      <c r="B357" s="55" t="s">
        <v>142</v>
      </c>
      <c r="C357" s="53" t="s">
        <v>2825</v>
      </c>
      <c r="D357" s="53" t="s">
        <v>1707</v>
      </c>
      <c r="E357" s="55" t="s">
        <v>4</v>
      </c>
      <c r="F357" s="55" t="s">
        <v>3937</v>
      </c>
      <c r="G357" s="71">
        <v>46082</v>
      </c>
      <c r="H357" s="50" t="s">
        <v>3938</v>
      </c>
      <c r="I357" s="760">
        <v>15000</v>
      </c>
      <c r="J357" s="52">
        <v>22884</v>
      </c>
      <c r="K357" s="55" t="s">
        <v>3939</v>
      </c>
      <c r="L357" s="56" t="s">
        <v>3940</v>
      </c>
      <c r="M357" s="773">
        <v>4</v>
      </c>
      <c r="N357" s="718">
        <v>1</v>
      </c>
      <c r="O357" s="774">
        <v>67</v>
      </c>
      <c r="P357" s="60">
        <v>1</v>
      </c>
      <c r="Q357" s="61">
        <v>11</v>
      </c>
      <c r="R357" s="61">
        <v>1</v>
      </c>
      <c r="S357" s="61">
        <v>15</v>
      </c>
      <c r="T357" s="61">
        <v>2</v>
      </c>
      <c r="U357" s="62">
        <v>23</v>
      </c>
      <c r="V357" s="60"/>
      <c r="W357" s="61"/>
      <c r="X357" s="61"/>
      <c r="Y357" s="61"/>
      <c r="Z357" s="61"/>
      <c r="AA357" s="62"/>
      <c r="AB357" s="63"/>
      <c r="AC357" s="61"/>
      <c r="AD357" s="61"/>
      <c r="AE357" s="61"/>
      <c r="AF357" s="61">
        <f>SUM(AD357:AE357)</f>
        <v>0</v>
      </c>
      <c r="AG357" s="61"/>
      <c r="AH357" s="61"/>
      <c r="AI357" s="62">
        <f>SUM(AG357:AH357)</f>
        <v>0</v>
      </c>
      <c r="AJ357" s="63"/>
      <c r="AK357" s="61"/>
      <c r="AL357" s="61"/>
      <c r="AM357" s="61"/>
      <c r="AN357" s="61">
        <f t="shared" si="362"/>
        <v>0</v>
      </c>
      <c r="AO357" s="61"/>
      <c r="AP357" s="61"/>
      <c r="AQ357" s="62">
        <f>SUM(AO357:AP357)</f>
        <v>0</v>
      </c>
      <c r="AR357" s="955"/>
      <c r="AS357" s="956">
        <v>1</v>
      </c>
      <c r="AT357" s="61"/>
      <c r="AU357" s="61"/>
      <c r="AV357" s="61"/>
      <c r="AW357" s="956">
        <f>SUM(AT357:AV357)</f>
        <v>0</v>
      </c>
      <c r="AX357" s="956">
        <v>1</v>
      </c>
      <c r="AY357" s="956">
        <v>1</v>
      </c>
      <c r="AZ357" s="956">
        <v>1</v>
      </c>
      <c r="BA357" s="957">
        <f t="shared" si="363"/>
        <v>3</v>
      </c>
      <c r="BB357" s="958">
        <f t="shared" si="335"/>
        <v>4</v>
      </c>
      <c r="BC357" s="959">
        <f t="shared" si="353"/>
        <v>11</v>
      </c>
      <c r="BD357" s="959">
        <f t="shared" si="364"/>
        <v>15</v>
      </c>
      <c r="BE357" s="959">
        <f t="shared" si="365"/>
        <v>23</v>
      </c>
      <c r="BF357" s="959">
        <f t="shared" si="366"/>
        <v>49</v>
      </c>
      <c r="BG357" s="959">
        <f>SUM(V357,X357,Z357,AC357,AK357,AS357)</f>
        <v>1</v>
      </c>
      <c r="BH357" s="959">
        <f>SUM(W357,AG357,AX357)</f>
        <v>1</v>
      </c>
      <c r="BI357" s="959">
        <f>SUM(Y357,AH357,AO357,AY357)</f>
        <v>1</v>
      </c>
      <c r="BJ357" s="959">
        <f>SUM(AA357,AP357,AZ357)</f>
        <v>1</v>
      </c>
      <c r="BK357" s="959">
        <f>SUM(BH357:BJ357)</f>
        <v>3</v>
      </c>
      <c r="BL357" s="55"/>
    </row>
    <row r="358" spans="1:64" s="400" customFormat="1" ht="17.100000000000001" customHeight="1">
      <c r="A358" s="457" t="s">
        <v>1681</v>
      </c>
      <c r="B358" s="55" t="s">
        <v>142</v>
      </c>
      <c r="C358" s="53" t="s">
        <v>2825</v>
      </c>
      <c r="D358" s="53" t="s">
        <v>1707</v>
      </c>
      <c r="E358" s="55" t="s">
        <v>4</v>
      </c>
      <c r="F358" s="55" t="s">
        <v>3941</v>
      </c>
      <c r="G358" s="71">
        <v>37681</v>
      </c>
      <c r="H358" s="50" t="s">
        <v>3942</v>
      </c>
      <c r="I358" s="760">
        <v>12360</v>
      </c>
      <c r="J358" s="52">
        <v>22628</v>
      </c>
      <c r="K358" s="55" t="s">
        <v>3943</v>
      </c>
      <c r="L358" s="56" t="s">
        <v>3944</v>
      </c>
      <c r="M358" s="773">
        <v>2</v>
      </c>
      <c r="N358" s="718">
        <v>2</v>
      </c>
      <c r="O358" s="774">
        <v>36</v>
      </c>
      <c r="P358" s="60"/>
      <c r="Q358" s="61"/>
      <c r="R358" s="61">
        <v>1</v>
      </c>
      <c r="S358" s="61">
        <v>10</v>
      </c>
      <c r="T358" s="61">
        <v>1</v>
      </c>
      <c r="U358" s="62">
        <v>14</v>
      </c>
      <c r="V358" s="60"/>
      <c r="W358" s="61"/>
      <c r="X358" s="61">
        <v>1</v>
      </c>
      <c r="Y358" s="61">
        <v>1</v>
      </c>
      <c r="Z358" s="61">
        <v>1</v>
      </c>
      <c r="AA358" s="62">
        <v>4</v>
      </c>
      <c r="AB358" s="63"/>
      <c r="AC358" s="61"/>
      <c r="AD358" s="61"/>
      <c r="AE358" s="61"/>
      <c r="AF358" s="61">
        <f>SUM(AD358:AE358)</f>
        <v>0</v>
      </c>
      <c r="AG358" s="61"/>
      <c r="AH358" s="61"/>
      <c r="AI358" s="62">
        <f>SUM(AG358:AH358)</f>
        <v>0</v>
      </c>
      <c r="AJ358" s="63"/>
      <c r="AK358" s="61"/>
      <c r="AL358" s="61"/>
      <c r="AM358" s="61"/>
      <c r="AN358" s="61">
        <f t="shared" si="362"/>
        <v>0</v>
      </c>
      <c r="AO358" s="61"/>
      <c r="AP358" s="61"/>
      <c r="AQ358" s="62">
        <f>SUM(AO358:AP358)</f>
        <v>0</v>
      </c>
      <c r="AR358" s="955"/>
      <c r="AS358" s="956"/>
      <c r="AT358" s="61"/>
      <c r="AU358" s="61"/>
      <c r="AV358" s="61"/>
      <c r="AW358" s="956">
        <f>SUM(AT358:AV358)</f>
        <v>0</v>
      </c>
      <c r="AX358" s="956"/>
      <c r="AY358" s="956"/>
      <c r="AZ358" s="956"/>
      <c r="BA358" s="957">
        <f t="shared" si="363"/>
        <v>0</v>
      </c>
      <c r="BB358" s="958">
        <f t="shared" si="335"/>
        <v>2</v>
      </c>
      <c r="BC358" s="959">
        <f t="shared" si="353"/>
        <v>0</v>
      </c>
      <c r="BD358" s="959">
        <f t="shared" si="364"/>
        <v>10</v>
      </c>
      <c r="BE358" s="959">
        <f t="shared" si="365"/>
        <v>14</v>
      </c>
      <c r="BF358" s="959">
        <f t="shared" si="366"/>
        <v>24</v>
      </c>
      <c r="BG358" s="959">
        <f>SUM(V358,X358,Z358,AC358,AK358,AS358)</f>
        <v>2</v>
      </c>
      <c r="BH358" s="959">
        <f>SUM(W358,AG358,AX358)</f>
        <v>0</v>
      </c>
      <c r="BI358" s="959">
        <f>SUM(Y358,AH358,AO358,AY358)</f>
        <v>1</v>
      </c>
      <c r="BJ358" s="959">
        <f>SUM(AA358,AP358,AZ358)</f>
        <v>4</v>
      </c>
      <c r="BK358" s="959">
        <f>SUM(BH358:BJ358)</f>
        <v>5</v>
      </c>
      <c r="BL358" s="55"/>
    </row>
    <row r="359" spans="1:64" s="400" customFormat="1" ht="17.100000000000001" customHeight="1">
      <c r="A359" s="457" t="s">
        <v>1681</v>
      </c>
      <c r="B359" s="55" t="s">
        <v>142</v>
      </c>
      <c r="C359" s="53" t="s">
        <v>2825</v>
      </c>
      <c r="D359" s="53" t="s">
        <v>1707</v>
      </c>
      <c r="E359" s="55" t="s">
        <v>4</v>
      </c>
      <c r="F359" s="55" t="s">
        <v>3945</v>
      </c>
      <c r="G359" s="71">
        <v>36586</v>
      </c>
      <c r="H359" s="50" t="s">
        <v>3946</v>
      </c>
      <c r="I359" s="760">
        <v>12290</v>
      </c>
      <c r="J359" s="52">
        <v>22631</v>
      </c>
      <c r="K359" s="53" t="s">
        <v>3947</v>
      </c>
      <c r="L359" s="54" t="s">
        <v>3948</v>
      </c>
      <c r="M359" s="773">
        <v>2</v>
      </c>
      <c r="N359" s="718"/>
      <c r="O359" s="774">
        <v>36</v>
      </c>
      <c r="P359" s="60"/>
      <c r="Q359" s="61"/>
      <c r="R359" s="61">
        <v>1</v>
      </c>
      <c r="S359" s="61">
        <v>7</v>
      </c>
      <c r="T359" s="61">
        <v>1</v>
      </c>
      <c r="U359" s="62">
        <v>17</v>
      </c>
      <c r="V359" s="60"/>
      <c r="W359" s="61"/>
      <c r="X359" s="61"/>
      <c r="Y359" s="61"/>
      <c r="Z359" s="61"/>
      <c r="AA359" s="62"/>
      <c r="AB359" s="63"/>
      <c r="AC359" s="61"/>
      <c r="AD359" s="61"/>
      <c r="AE359" s="61"/>
      <c r="AF359" s="61">
        <v>0</v>
      </c>
      <c r="AG359" s="61"/>
      <c r="AH359" s="61"/>
      <c r="AI359" s="62">
        <v>0</v>
      </c>
      <c r="AJ359" s="63"/>
      <c r="AK359" s="61"/>
      <c r="AL359" s="61"/>
      <c r="AM359" s="61"/>
      <c r="AN359" s="61">
        <v>0</v>
      </c>
      <c r="AO359" s="61"/>
      <c r="AP359" s="61"/>
      <c r="AQ359" s="62">
        <v>0</v>
      </c>
      <c r="AR359" s="955"/>
      <c r="AS359" s="956"/>
      <c r="AT359" s="61"/>
      <c r="AU359" s="61"/>
      <c r="AV359" s="61"/>
      <c r="AW359" s="956">
        <v>0</v>
      </c>
      <c r="AX359" s="956"/>
      <c r="AY359" s="956"/>
      <c r="AZ359" s="956"/>
      <c r="BA359" s="957">
        <f t="shared" si="363"/>
        <v>0</v>
      </c>
      <c r="BB359" s="958">
        <f t="shared" si="335"/>
        <v>2</v>
      </c>
      <c r="BC359" s="959">
        <f t="shared" si="353"/>
        <v>0</v>
      </c>
      <c r="BD359" s="959">
        <f t="shared" si="364"/>
        <v>7</v>
      </c>
      <c r="BE359" s="959">
        <f t="shared" si="365"/>
        <v>17</v>
      </c>
      <c r="BF359" s="959">
        <f t="shared" si="366"/>
        <v>24</v>
      </c>
      <c r="BG359" s="959">
        <f t="shared" si="340"/>
        <v>0</v>
      </c>
      <c r="BH359" s="959">
        <f t="shared" si="341"/>
        <v>0</v>
      </c>
      <c r="BI359" s="959">
        <f t="shared" si="342"/>
        <v>0</v>
      </c>
      <c r="BJ359" s="959">
        <f t="shared" si="343"/>
        <v>0</v>
      </c>
      <c r="BK359" s="959">
        <f t="shared" si="344"/>
        <v>0</v>
      </c>
      <c r="BL359" s="55"/>
    </row>
    <row r="360" spans="1:64" s="400" customFormat="1" ht="17.100000000000001" customHeight="1">
      <c r="A360" s="457" t="s">
        <v>1681</v>
      </c>
      <c r="B360" s="55" t="s">
        <v>142</v>
      </c>
      <c r="C360" s="53" t="s">
        <v>2825</v>
      </c>
      <c r="D360" s="53" t="s">
        <v>3949</v>
      </c>
      <c r="E360" s="55" t="s">
        <v>4</v>
      </c>
      <c r="F360" s="55" t="s">
        <v>3950</v>
      </c>
      <c r="G360" s="71">
        <v>45352</v>
      </c>
      <c r="H360" s="50" t="s">
        <v>3951</v>
      </c>
      <c r="I360" s="760">
        <v>4202</v>
      </c>
      <c r="J360" s="52">
        <v>22876</v>
      </c>
      <c r="K360" s="55" t="s">
        <v>1703</v>
      </c>
      <c r="L360" s="56" t="s">
        <v>1704</v>
      </c>
      <c r="M360" s="773">
        <v>15</v>
      </c>
      <c r="N360" s="718">
        <v>3</v>
      </c>
      <c r="O360" s="774">
        <v>240</v>
      </c>
      <c r="P360" s="60">
        <v>5</v>
      </c>
      <c r="Q360" s="61">
        <v>56</v>
      </c>
      <c r="R360" s="61">
        <v>5</v>
      </c>
      <c r="S360" s="61">
        <v>81</v>
      </c>
      <c r="T360" s="61">
        <v>5</v>
      </c>
      <c r="U360" s="62">
        <v>91</v>
      </c>
      <c r="V360" s="60">
        <v>1</v>
      </c>
      <c r="W360" s="61">
        <v>3</v>
      </c>
      <c r="X360" s="61">
        <v>1</v>
      </c>
      <c r="Y360" s="61">
        <v>4</v>
      </c>
      <c r="Z360" s="61">
        <v>1</v>
      </c>
      <c r="AA360" s="62">
        <v>4</v>
      </c>
      <c r="AB360" s="63"/>
      <c r="AC360" s="61"/>
      <c r="AD360" s="61"/>
      <c r="AE360" s="61"/>
      <c r="AF360" s="61">
        <f t="shared" ref="AF360:AF369" si="367">SUM(AD360:AE360)</f>
        <v>0</v>
      </c>
      <c r="AG360" s="61"/>
      <c r="AH360" s="61"/>
      <c r="AI360" s="62">
        <f t="shared" ref="AI360:AI369" si="368">SUM(AG360:AH360)</f>
        <v>0</v>
      </c>
      <c r="AJ360" s="63"/>
      <c r="AK360" s="61"/>
      <c r="AL360" s="61"/>
      <c r="AM360" s="61"/>
      <c r="AN360" s="61">
        <f t="shared" ref="AN360:AN367" si="369">SUM(AL360:AM360)</f>
        <v>0</v>
      </c>
      <c r="AO360" s="61"/>
      <c r="AP360" s="61"/>
      <c r="AQ360" s="62">
        <f t="shared" ref="AQ360:AQ369" si="370">SUM(AO360:AP360)</f>
        <v>0</v>
      </c>
      <c r="AR360" s="955"/>
      <c r="AS360" s="956"/>
      <c r="AT360" s="61"/>
      <c r="AU360" s="61"/>
      <c r="AV360" s="61"/>
      <c r="AW360" s="956">
        <f t="shared" ref="AW360:AW369" si="371">SUM(AT360:AV360)</f>
        <v>0</v>
      </c>
      <c r="AX360" s="956"/>
      <c r="AY360" s="956"/>
      <c r="AZ360" s="956"/>
      <c r="BA360" s="957">
        <f t="shared" si="363"/>
        <v>0</v>
      </c>
      <c r="BB360" s="958">
        <f t="shared" si="335"/>
        <v>15</v>
      </c>
      <c r="BC360" s="959">
        <v>56</v>
      </c>
      <c r="BD360" s="959">
        <f t="shared" si="364"/>
        <v>81</v>
      </c>
      <c r="BE360" s="959">
        <f t="shared" si="365"/>
        <v>91</v>
      </c>
      <c r="BF360" s="959">
        <f t="shared" si="366"/>
        <v>228</v>
      </c>
      <c r="BG360" s="959">
        <f t="shared" si="340"/>
        <v>3</v>
      </c>
      <c r="BH360" s="959">
        <f t="shared" si="341"/>
        <v>3</v>
      </c>
      <c r="BI360" s="959">
        <f t="shared" si="342"/>
        <v>4</v>
      </c>
      <c r="BJ360" s="959">
        <f t="shared" si="343"/>
        <v>4</v>
      </c>
      <c r="BK360" s="959">
        <f t="shared" si="344"/>
        <v>11</v>
      </c>
      <c r="BL360" s="55"/>
    </row>
    <row r="361" spans="1:64" s="400" customFormat="1" ht="17.100000000000001" customHeight="1">
      <c r="A361" s="457" t="s">
        <v>1681</v>
      </c>
      <c r="B361" s="55" t="s">
        <v>142</v>
      </c>
      <c r="C361" s="53" t="s">
        <v>2825</v>
      </c>
      <c r="D361" s="53" t="s">
        <v>3949</v>
      </c>
      <c r="E361" s="55" t="s">
        <v>4</v>
      </c>
      <c r="F361" s="55" t="s">
        <v>3952</v>
      </c>
      <c r="G361" s="71">
        <v>44986</v>
      </c>
      <c r="H361" s="50" t="s">
        <v>3953</v>
      </c>
      <c r="I361" s="760">
        <v>2700</v>
      </c>
      <c r="J361" s="52">
        <v>22862</v>
      </c>
      <c r="K361" s="55" t="s">
        <v>3954</v>
      </c>
      <c r="L361" s="56" t="s">
        <v>3955</v>
      </c>
      <c r="M361" s="773">
        <v>15</v>
      </c>
      <c r="N361" s="718">
        <v>3</v>
      </c>
      <c r="O361" s="774">
        <v>240</v>
      </c>
      <c r="P361" s="60">
        <v>5</v>
      </c>
      <c r="Q361" s="61">
        <v>56</v>
      </c>
      <c r="R361" s="61">
        <v>5</v>
      </c>
      <c r="S361" s="61">
        <v>81</v>
      </c>
      <c r="T361" s="61">
        <v>5</v>
      </c>
      <c r="U361" s="62">
        <v>91</v>
      </c>
      <c r="V361" s="60">
        <v>1</v>
      </c>
      <c r="W361" s="61">
        <v>4</v>
      </c>
      <c r="X361" s="61">
        <v>1</v>
      </c>
      <c r="Y361" s="61">
        <v>4</v>
      </c>
      <c r="Z361" s="61">
        <v>1</v>
      </c>
      <c r="AA361" s="62">
        <v>4</v>
      </c>
      <c r="AB361" s="63"/>
      <c r="AC361" s="61"/>
      <c r="AD361" s="61"/>
      <c r="AE361" s="61"/>
      <c r="AF361" s="61">
        <f t="shared" si="367"/>
        <v>0</v>
      </c>
      <c r="AG361" s="61"/>
      <c r="AH361" s="61"/>
      <c r="AI361" s="62">
        <f t="shared" si="368"/>
        <v>0</v>
      </c>
      <c r="AJ361" s="63"/>
      <c r="AK361" s="61"/>
      <c r="AL361" s="61"/>
      <c r="AM361" s="61"/>
      <c r="AN361" s="61">
        <f t="shared" si="369"/>
        <v>0</v>
      </c>
      <c r="AO361" s="61"/>
      <c r="AP361" s="61"/>
      <c r="AQ361" s="62">
        <f t="shared" si="370"/>
        <v>0</v>
      </c>
      <c r="AR361" s="955"/>
      <c r="AS361" s="956"/>
      <c r="AT361" s="61"/>
      <c r="AU361" s="61"/>
      <c r="AV361" s="61"/>
      <c r="AW361" s="956">
        <f t="shared" si="371"/>
        <v>0</v>
      </c>
      <c r="AX361" s="956"/>
      <c r="AY361" s="956"/>
      <c r="AZ361" s="956"/>
      <c r="BA361" s="957">
        <f t="shared" si="363"/>
        <v>0</v>
      </c>
      <c r="BB361" s="958">
        <f t="shared" si="335"/>
        <v>15</v>
      </c>
      <c r="BC361" s="959">
        <f t="shared" ref="BC361:BC369" si="372">SUM(Q361,AD361,AT361)</f>
        <v>56</v>
      </c>
      <c r="BD361" s="959">
        <f t="shared" si="364"/>
        <v>81</v>
      </c>
      <c r="BE361" s="959">
        <f t="shared" si="365"/>
        <v>91</v>
      </c>
      <c r="BF361" s="959">
        <f t="shared" si="366"/>
        <v>228</v>
      </c>
      <c r="BG361" s="959">
        <f t="shared" si="340"/>
        <v>3</v>
      </c>
      <c r="BH361" s="959">
        <f t="shared" si="341"/>
        <v>4</v>
      </c>
      <c r="BI361" s="959">
        <f t="shared" si="342"/>
        <v>4</v>
      </c>
      <c r="BJ361" s="959">
        <f t="shared" si="343"/>
        <v>4</v>
      </c>
      <c r="BK361" s="959">
        <f t="shared" si="344"/>
        <v>12</v>
      </c>
      <c r="BL361" s="55"/>
    </row>
    <row r="362" spans="1:64" s="400" customFormat="1" ht="17.100000000000001" customHeight="1">
      <c r="A362" s="457" t="s">
        <v>1681</v>
      </c>
      <c r="B362" s="55" t="s">
        <v>142</v>
      </c>
      <c r="C362" s="53" t="s">
        <v>2825</v>
      </c>
      <c r="D362" s="53" t="s">
        <v>3949</v>
      </c>
      <c r="E362" s="55" t="s">
        <v>4</v>
      </c>
      <c r="F362" s="55" t="s">
        <v>3956</v>
      </c>
      <c r="G362" s="71">
        <v>44621</v>
      </c>
      <c r="H362" s="50" t="s">
        <v>3957</v>
      </c>
      <c r="I362" s="760">
        <v>5340</v>
      </c>
      <c r="J362" s="52">
        <v>22874</v>
      </c>
      <c r="K362" s="55" t="s">
        <v>3958</v>
      </c>
      <c r="L362" s="56" t="s">
        <v>3959</v>
      </c>
      <c r="M362" s="773">
        <v>21</v>
      </c>
      <c r="N362" s="718">
        <v>3</v>
      </c>
      <c r="O362" s="774">
        <v>336</v>
      </c>
      <c r="P362" s="60">
        <v>7</v>
      </c>
      <c r="Q362" s="61">
        <v>80</v>
      </c>
      <c r="R362" s="61">
        <v>7</v>
      </c>
      <c r="S362" s="61">
        <v>115</v>
      </c>
      <c r="T362" s="61">
        <v>7</v>
      </c>
      <c r="U362" s="62">
        <v>129</v>
      </c>
      <c r="V362" s="60">
        <v>1</v>
      </c>
      <c r="W362" s="61">
        <v>4</v>
      </c>
      <c r="X362" s="61">
        <v>1</v>
      </c>
      <c r="Y362" s="61">
        <v>4</v>
      </c>
      <c r="Z362" s="61">
        <v>1</v>
      </c>
      <c r="AA362" s="62">
        <v>4</v>
      </c>
      <c r="AB362" s="63"/>
      <c r="AC362" s="61"/>
      <c r="AD362" s="61"/>
      <c r="AE362" s="61"/>
      <c r="AF362" s="61">
        <f t="shared" si="367"/>
        <v>0</v>
      </c>
      <c r="AG362" s="61"/>
      <c r="AH362" s="61"/>
      <c r="AI362" s="62">
        <f t="shared" si="368"/>
        <v>0</v>
      </c>
      <c r="AJ362" s="63"/>
      <c r="AK362" s="61"/>
      <c r="AL362" s="61"/>
      <c r="AM362" s="61"/>
      <c r="AN362" s="61">
        <f t="shared" si="369"/>
        <v>0</v>
      </c>
      <c r="AO362" s="61"/>
      <c r="AP362" s="61"/>
      <c r="AQ362" s="62">
        <f t="shared" si="370"/>
        <v>0</v>
      </c>
      <c r="AR362" s="955"/>
      <c r="AS362" s="956"/>
      <c r="AT362" s="61"/>
      <c r="AU362" s="61"/>
      <c r="AV362" s="61"/>
      <c r="AW362" s="956">
        <f t="shared" si="371"/>
        <v>0</v>
      </c>
      <c r="AX362" s="956"/>
      <c r="AY362" s="956"/>
      <c r="AZ362" s="956"/>
      <c r="BA362" s="957">
        <f t="shared" si="363"/>
        <v>0</v>
      </c>
      <c r="BB362" s="958">
        <f t="shared" si="335"/>
        <v>21</v>
      </c>
      <c r="BC362" s="959">
        <f t="shared" si="372"/>
        <v>80</v>
      </c>
      <c r="BD362" s="959">
        <f t="shared" si="364"/>
        <v>115</v>
      </c>
      <c r="BE362" s="959">
        <f t="shared" si="365"/>
        <v>129</v>
      </c>
      <c r="BF362" s="959">
        <f t="shared" si="366"/>
        <v>324</v>
      </c>
      <c r="BG362" s="959">
        <f t="shared" si="340"/>
        <v>3</v>
      </c>
      <c r="BH362" s="959">
        <f t="shared" si="341"/>
        <v>4</v>
      </c>
      <c r="BI362" s="959">
        <f t="shared" si="342"/>
        <v>4</v>
      </c>
      <c r="BJ362" s="959">
        <f t="shared" si="343"/>
        <v>4</v>
      </c>
      <c r="BK362" s="959">
        <f t="shared" si="344"/>
        <v>12</v>
      </c>
      <c r="BL362" s="55"/>
    </row>
    <row r="363" spans="1:64" s="400" customFormat="1" ht="17.100000000000001" customHeight="1">
      <c r="A363" s="457" t="s">
        <v>1681</v>
      </c>
      <c r="B363" s="55" t="s">
        <v>142</v>
      </c>
      <c r="C363" s="53" t="s">
        <v>2825</v>
      </c>
      <c r="D363" s="53" t="s">
        <v>3949</v>
      </c>
      <c r="E363" s="55" t="s">
        <v>4</v>
      </c>
      <c r="F363" s="55" t="s">
        <v>3960</v>
      </c>
      <c r="G363" s="71">
        <v>45170</v>
      </c>
      <c r="H363" s="50" t="s">
        <v>2409</v>
      </c>
      <c r="I363" s="760">
        <v>807.71</v>
      </c>
      <c r="J363" s="52">
        <v>22874</v>
      </c>
      <c r="K363" s="55" t="s">
        <v>1708</v>
      </c>
      <c r="L363" s="56" t="s">
        <v>1284</v>
      </c>
      <c r="M363" s="394">
        <v>4</v>
      </c>
      <c r="N363" s="395">
        <v>1</v>
      </c>
      <c r="O363" s="396">
        <v>67</v>
      </c>
      <c r="P363" s="60">
        <v>1</v>
      </c>
      <c r="Q363" s="61">
        <v>10</v>
      </c>
      <c r="R363" s="61">
        <v>1</v>
      </c>
      <c r="S363" s="61">
        <v>15</v>
      </c>
      <c r="T363" s="61">
        <v>2</v>
      </c>
      <c r="U363" s="62">
        <v>32</v>
      </c>
      <c r="V363" s="60"/>
      <c r="W363" s="61"/>
      <c r="X363" s="61"/>
      <c r="Y363" s="61"/>
      <c r="Z363" s="61"/>
      <c r="AA363" s="62"/>
      <c r="AB363" s="63"/>
      <c r="AC363" s="781">
        <v>1</v>
      </c>
      <c r="AD363" s="61"/>
      <c r="AE363" s="61"/>
      <c r="AF363" s="61">
        <f t="shared" si="367"/>
        <v>0</v>
      </c>
      <c r="AG363" s="61">
        <v>2</v>
      </c>
      <c r="AH363" s="61">
        <v>2</v>
      </c>
      <c r="AI363" s="62">
        <f t="shared" si="368"/>
        <v>4</v>
      </c>
      <c r="AJ363" s="63"/>
      <c r="AK363" s="61"/>
      <c r="AL363" s="61"/>
      <c r="AM363" s="61"/>
      <c r="AN363" s="61">
        <f t="shared" si="369"/>
        <v>0</v>
      </c>
      <c r="AO363" s="61"/>
      <c r="AP363" s="61"/>
      <c r="AQ363" s="62">
        <f t="shared" si="370"/>
        <v>0</v>
      </c>
      <c r="AR363" s="955"/>
      <c r="AS363" s="956"/>
      <c r="AT363" s="61"/>
      <c r="AU363" s="61"/>
      <c r="AV363" s="61"/>
      <c r="AW363" s="956">
        <f t="shared" si="371"/>
        <v>0</v>
      </c>
      <c r="AX363" s="956"/>
      <c r="AY363" s="956"/>
      <c r="AZ363" s="956"/>
      <c r="BA363" s="957">
        <f t="shared" si="363"/>
        <v>0</v>
      </c>
      <c r="BB363" s="958">
        <f t="shared" si="335"/>
        <v>4</v>
      </c>
      <c r="BC363" s="959">
        <f t="shared" si="372"/>
        <v>10</v>
      </c>
      <c r="BD363" s="959">
        <f t="shared" si="364"/>
        <v>15</v>
      </c>
      <c r="BE363" s="959">
        <f t="shared" si="365"/>
        <v>32</v>
      </c>
      <c r="BF363" s="959">
        <f t="shared" si="366"/>
        <v>57</v>
      </c>
      <c r="BG363" s="959">
        <f t="shared" si="340"/>
        <v>1</v>
      </c>
      <c r="BH363" s="959">
        <f t="shared" si="341"/>
        <v>2</v>
      </c>
      <c r="BI363" s="959">
        <f t="shared" si="342"/>
        <v>2</v>
      </c>
      <c r="BJ363" s="959">
        <f t="shared" si="343"/>
        <v>0</v>
      </c>
      <c r="BK363" s="959">
        <f t="shared" si="344"/>
        <v>4</v>
      </c>
      <c r="BL363" s="55"/>
    </row>
    <row r="364" spans="1:64" s="400" customFormat="1" ht="17.100000000000001" customHeight="1">
      <c r="A364" s="457" t="s">
        <v>1681</v>
      </c>
      <c r="B364" s="55" t="s">
        <v>142</v>
      </c>
      <c r="C364" s="53" t="s">
        <v>2825</v>
      </c>
      <c r="D364" s="53" t="s">
        <v>3949</v>
      </c>
      <c r="E364" s="55" t="s">
        <v>4</v>
      </c>
      <c r="F364" s="55" t="s">
        <v>3961</v>
      </c>
      <c r="G364" s="71">
        <v>44986</v>
      </c>
      <c r="H364" s="50" t="s">
        <v>3962</v>
      </c>
      <c r="I364" s="760">
        <v>14001</v>
      </c>
      <c r="J364" s="52">
        <v>22878</v>
      </c>
      <c r="K364" s="55" t="s">
        <v>3963</v>
      </c>
      <c r="L364" s="56" t="s">
        <v>3964</v>
      </c>
      <c r="M364" s="773">
        <v>4</v>
      </c>
      <c r="N364" s="718">
        <v>1</v>
      </c>
      <c r="O364" s="774">
        <v>67</v>
      </c>
      <c r="P364" s="60">
        <v>1</v>
      </c>
      <c r="Q364" s="61">
        <v>12</v>
      </c>
      <c r="R364" s="61">
        <v>1</v>
      </c>
      <c r="S364" s="61">
        <v>15</v>
      </c>
      <c r="T364" s="61">
        <v>2</v>
      </c>
      <c r="U364" s="62">
        <v>33</v>
      </c>
      <c r="V364" s="60"/>
      <c r="W364" s="61"/>
      <c r="X364" s="61"/>
      <c r="Y364" s="61"/>
      <c r="Z364" s="61"/>
      <c r="AA364" s="62"/>
      <c r="AB364" s="63"/>
      <c r="AC364" s="61"/>
      <c r="AD364" s="61"/>
      <c r="AE364" s="61"/>
      <c r="AF364" s="61">
        <f t="shared" si="367"/>
        <v>0</v>
      </c>
      <c r="AG364" s="61"/>
      <c r="AH364" s="61"/>
      <c r="AI364" s="62">
        <f t="shared" si="368"/>
        <v>0</v>
      </c>
      <c r="AJ364" s="63"/>
      <c r="AK364" s="61"/>
      <c r="AL364" s="61"/>
      <c r="AM364" s="61"/>
      <c r="AN364" s="61">
        <f t="shared" si="369"/>
        <v>0</v>
      </c>
      <c r="AO364" s="61"/>
      <c r="AP364" s="61"/>
      <c r="AQ364" s="62">
        <f t="shared" si="370"/>
        <v>0</v>
      </c>
      <c r="AR364" s="955"/>
      <c r="AS364" s="956">
        <v>1</v>
      </c>
      <c r="AT364" s="61"/>
      <c r="AU364" s="61"/>
      <c r="AV364" s="61"/>
      <c r="AW364" s="956">
        <f t="shared" si="371"/>
        <v>0</v>
      </c>
      <c r="AX364" s="956"/>
      <c r="AY364" s="956">
        <v>1</v>
      </c>
      <c r="AZ364" s="956">
        <v>1</v>
      </c>
      <c r="BA364" s="957">
        <f t="shared" si="363"/>
        <v>2</v>
      </c>
      <c r="BB364" s="958">
        <f t="shared" si="335"/>
        <v>4</v>
      </c>
      <c r="BC364" s="959">
        <f t="shared" si="372"/>
        <v>12</v>
      </c>
      <c r="BD364" s="959">
        <f t="shared" si="364"/>
        <v>15</v>
      </c>
      <c r="BE364" s="959">
        <f t="shared" si="365"/>
        <v>33</v>
      </c>
      <c r="BF364" s="959">
        <f t="shared" si="366"/>
        <v>60</v>
      </c>
      <c r="BG364" s="959">
        <f t="shared" si="340"/>
        <v>1</v>
      </c>
      <c r="BH364" s="959">
        <f t="shared" si="341"/>
        <v>0</v>
      </c>
      <c r="BI364" s="959">
        <f t="shared" si="342"/>
        <v>1</v>
      </c>
      <c r="BJ364" s="959">
        <f t="shared" si="343"/>
        <v>1</v>
      </c>
      <c r="BK364" s="959">
        <f t="shared" si="344"/>
        <v>2</v>
      </c>
      <c r="BL364" s="55"/>
    </row>
    <row r="365" spans="1:64" s="400" customFormat="1" ht="17.100000000000001" customHeight="1">
      <c r="A365" s="457" t="s">
        <v>1681</v>
      </c>
      <c r="B365" s="55" t="s">
        <v>142</v>
      </c>
      <c r="C365" s="53" t="s">
        <v>2825</v>
      </c>
      <c r="D365" s="53" t="s">
        <v>3949</v>
      </c>
      <c r="E365" s="55" t="s">
        <v>4</v>
      </c>
      <c r="F365" s="55" t="s">
        <v>3965</v>
      </c>
      <c r="G365" s="71">
        <v>44805</v>
      </c>
      <c r="H365" s="50" t="s">
        <v>1709</v>
      </c>
      <c r="I365" s="760">
        <v>14000</v>
      </c>
      <c r="J365" s="52">
        <v>22861</v>
      </c>
      <c r="K365" s="55" t="s">
        <v>3966</v>
      </c>
      <c r="L365" s="56" t="s">
        <v>3967</v>
      </c>
      <c r="M365" s="773">
        <v>6</v>
      </c>
      <c r="N365" s="718">
        <v>1</v>
      </c>
      <c r="O365" s="774">
        <v>96</v>
      </c>
      <c r="P365" s="60">
        <v>2</v>
      </c>
      <c r="Q365" s="61">
        <v>22</v>
      </c>
      <c r="R365" s="61">
        <v>2</v>
      </c>
      <c r="S365" s="61">
        <v>34</v>
      </c>
      <c r="T365" s="61">
        <v>2</v>
      </c>
      <c r="U365" s="62">
        <v>36</v>
      </c>
      <c r="V365" s="60"/>
      <c r="W365" s="61"/>
      <c r="X365" s="61"/>
      <c r="Y365" s="61"/>
      <c r="Z365" s="61"/>
      <c r="AA365" s="62"/>
      <c r="AB365" s="63"/>
      <c r="AC365" s="61"/>
      <c r="AD365" s="61"/>
      <c r="AE365" s="61"/>
      <c r="AF365" s="61">
        <f t="shared" si="367"/>
        <v>0</v>
      </c>
      <c r="AG365" s="61"/>
      <c r="AH365" s="61"/>
      <c r="AI365" s="62">
        <f t="shared" si="368"/>
        <v>0</v>
      </c>
      <c r="AJ365" s="63"/>
      <c r="AK365" s="61"/>
      <c r="AL365" s="61"/>
      <c r="AM365" s="61"/>
      <c r="AN365" s="61">
        <f t="shared" si="369"/>
        <v>0</v>
      </c>
      <c r="AO365" s="61"/>
      <c r="AP365" s="61"/>
      <c r="AQ365" s="62">
        <f t="shared" si="370"/>
        <v>0</v>
      </c>
      <c r="AR365" s="955"/>
      <c r="AS365" s="956">
        <v>1</v>
      </c>
      <c r="AT365" s="61"/>
      <c r="AU365" s="61"/>
      <c r="AV365" s="61"/>
      <c r="AW365" s="956">
        <f t="shared" si="371"/>
        <v>0</v>
      </c>
      <c r="AX365" s="956">
        <v>2</v>
      </c>
      <c r="AY365" s="956"/>
      <c r="AZ365" s="956">
        <v>2</v>
      </c>
      <c r="BA365" s="957">
        <f t="shared" si="363"/>
        <v>4</v>
      </c>
      <c r="BB365" s="958">
        <f t="shared" si="335"/>
        <v>6</v>
      </c>
      <c r="BC365" s="959">
        <f t="shared" si="372"/>
        <v>22</v>
      </c>
      <c r="BD365" s="959">
        <f t="shared" si="364"/>
        <v>34</v>
      </c>
      <c r="BE365" s="959">
        <f t="shared" si="365"/>
        <v>36</v>
      </c>
      <c r="BF365" s="959">
        <f t="shared" si="366"/>
        <v>92</v>
      </c>
      <c r="BG365" s="959">
        <f t="shared" si="340"/>
        <v>1</v>
      </c>
      <c r="BH365" s="959">
        <f t="shared" si="341"/>
        <v>2</v>
      </c>
      <c r="BI365" s="959">
        <f t="shared" si="342"/>
        <v>0</v>
      </c>
      <c r="BJ365" s="959">
        <f t="shared" si="343"/>
        <v>2</v>
      </c>
      <c r="BK365" s="959">
        <f t="shared" si="344"/>
        <v>4</v>
      </c>
      <c r="BL365" s="55"/>
    </row>
    <row r="366" spans="1:64" s="400" customFormat="1" ht="17.100000000000001" customHeight="1">
      <c r="A366" s="457" t="s">
        <v>1681</v>
      </c>
      <c r="B366" s="55" t="s">
        <v>142</v>
      </c>
      <c r="C366" s="53" t="s">
        <v>2825</v>
      </c>
      <c r="D366" s="53" t="s">
        <v>3949</v>
      </c>
      <c r="E366" s="55" t="s">
        <v>4</v>
      </c>
      <c r="F366" s="55" t="s">
        <v>3968</v>
      </c>
      <c r="G366" s="71">
        <v>44445</v>
      </c>
      <c r="H366" s="50" t="s">
        <v>3969</v>
      </c>
      <c r="I366" s="760">
        <v>14000</v>
      </c>
      <c r="J366" s="52">
        <v>22859</v>
      </c>
      <c r="K366" s="55" t="s">
        <v>1283</v>
      </c>
      <c r="L366" s="56" t="s">
        <v>3970</v>
      </c>
      <c r="M366" s="773">
        <v>4</v>
      </c>
      <c r="N366" s="718">
        <v>1</v>
      </c>
      <c r="O366" s="774">
        <v>67</v>
      </c>
      <c r="P366" s="60">
        <v>1</v>
      </c>
      <c r="Q366" s="61">
        <v>10</v>
      </c>
      <c r="R366" s="61">
        <v>1</v>
      </c>
      <c r="S366" s="61">
        <v>15</v>
      </c>
      <c r="T366" s="61">
        <v>2</v>
      </c>
      <c r="U366" s="62">
        <v>37</v>
      </c>
      <c r="V366" s="60"/>
      <c r="W366" s="61"/>
      <c r="X366" s="61"/>
      <c r="Y366" s="61"/>
      <c r="Z366" s="61"/>
      <c r="AA366" s="62"/>
      <c r="AB366" s="63"/>
      <c r="AC366" s="61"/>
      <c r="AD366" s="61"/>
      <c r="AE366" s="61"/>
      <c r="AF366" s="61">
        <f t="shared" si="367"/>
        <v>0</v>
      </c>
      <c r="AG366" s="61"/>
      <c r="AH366" s="61"/>
      <c r="AI366" s="62">
        <f t="shared" si="368"/>
        <v>0</v>
      </c>
      <c r="AJ366" s="63"/>
      <c r="AK366" s="61"/>
      <c r="AL366" s="61"/>
      <c r="AM366" s="61"/>
      <c r="AN366" s="61">
        <f t="shared" si="369"/>
        <v>0</v>
      </c>
      <c r="AO366" s="61"/>
      <c r="AP366" s="61"/>
      <c r="AQ366" s="62">
        <f t="shared" si="370"/>
        <v>0</v>
      </c>
      <c r="AR366" s="955"/>
      <c r="AS366" s="956">
        <v>1</v>
      </c>
      <c r="AT366" s="61"/>
      <c r="AU366" s="61"/>
      <c r="AV366" s="61"/>
      <c r="AW366" s="956">
        <f t="shared" si="371"/>
        <v>0</v>
      </c>
      <c r="AX366" s="956">
        <v>2</v>
      </c>
      <c r="AY366" s="956">
        <v>2</v>
      </c>
      <c r="AZ366" s="956"/>
      <c r="BA366" s="957">
        <f t="shared" si="363"/>
        <v>4</v>
      </c>
      <c r="BB366" s="958">
        <f t="shared" si="335"/>
        <v>4</v>
      </c>
      <c r="BC366" s="959">
        <f t="shared" si="372"/>
        <v>10</v>
      </c>
      <c r="BD366" s="959">
        <f t="shared" si="364"/>
        <v>15</v>
      </c>
      <c r="BE366" s="959">
        <f t="shared" si="365"/>
        <v>37</v>
      </c>
      <c r="BF366" s="959">
        <f t="shared" si="366"/>
        <v>62</v>
      </c>
      <c r="BG366" s="959">
        <f t="shared" si="340"/>
        <v>1</v>
      </c>
      <c r="BH366" s="959">
        <f t="shared" si="341"/>
        <v>2</v>
      </c>
      <c r="BI366" s="959">
        <f t="shared" si="342"/>
        <v>2</v>
      </c>
      <c r="BJ366" s="959">
        <f t="shared" si="343"/>
        <v>0</v>
      </c>
      <c r="BK366" s="959">
        <f t="shared" si="344"/>
        <v>4</v>
      </c>
      <c r="BL366" s="55"/>
    </row>
    <row r="367" spans="1:64" s="400" customFormat="1" ht="17.100000000000001" customHeight="1">
      <c r="A367" s="457" t="s">
        <v>1681</v>
      </c>
      <c r="B367" s="55" t="s">
        <v>142</v>
      </c>
      <c r="C367" s="53" t="s">
        <v>2825</v>
      </c>
      <c r="D367" s="53" t="s">
        <v>3949</v>
      </c>
      <c r="E367" s="55" t="s">
        <v>4</v>
      </c>
      <c r="F367" s="55" t="s">
        <v>3971</v>
      </c>
      <c r="G367" s="71">
        <v>44445</v>
      </c>
      <c r="H367" s="50" t="s">
        <v>3972</v>
      </c>
      <c r="I367" s="760">
        <v>737</v>
      </c>
      <c r="J367" s="52">
        <v>22871</v>
      </c>
      <c r="K367" s="55" t="s">
        <v>3973</v>
      </c>
      <c r="L367" s="56" t="s">
        <v>3974</v>
      </c>
      <c r="M367" s="773">
        <v>4</v>
      </c>
      <c r="N367" s="718">
        <v>1</v>
      </c>
      <c r="O367" s="774">
        <v>67</v>
      </c>
      <c r="P367" s="60">
        <v>1</v>
      </c>
      <c r="Q367" s="61">
        <v>12</v>
      </c>
      <c r="R367" s="61">
        <v>1</v>
      </c>
      <c r="S367" s="61">
        <v>15</v>
      </c>
      <c r="T367" s="61">
        <v>2</v>
      </c>
      <c r="U367" s="62">
        <v>36</v>
      </c>
      <c r="V367" s="60"/>
      <c r="W367" s="61"/>
      <c r="X367" s="61"/>
      <c r="Y367" s="61"/>
      <c r="Z367" s="61"/>
      <c r="AA367" s="62"/>
      <c r="AB367" s="63"/>
      <c r="AC367" s="61"/>
      <c r="AD367" s="61"/>
      <c r="AE367" s="61"/>
      <c r="AF367" s="61">
        <f t="shared" si="367"/>
        <v>0</v>
      </c>
      <c r="AG367" s="61"/>
      <c r="AH367" s="61"/>
      <c r="AI367" s="62">
        <f t="shared" si="368"/>
        <v>0</v>
      </c>
      <c r="AJ367" s="63"/>
      <c r="AK367" s="61"/>
      <c r="AL367" s="61"/>
      <c r="AM367" s="61"/>
      <c r="AN367" s="61">
        <f t="shared" si="369"/>
        <v>0</v>
      </c>
      <c r="AO367" s="61"/>
      <c r="AP367" s="61"/>
      <c r="AQ367" s="62">
        <f t="shared" si="370"/>
        <v>0</v>
      </c>
      <c r="AR367" s="955"/>
      <c r="AS367" s="956">
        <v>1</v>
      </c>
      <c r="AT367" s="61"/>
      <c r="AU367" s="61"/>
      <c r="AV367" s="61"/>
      <c r="AW367" s="956">
        <f t="shared" si="371"/>
        <v>0</v>
      </c>
      <c r="AX367" s="956"/>
      <c r="AY367" s="956">
        <v>2</v>
      </c>
      <c r="AZ367" s="956">
        <v>2</v>
      </c>
      <c r="BA367" s="957">
        <f t="shared" si="363"/>
        <v>4</v>
      </c>
      <c r="BB367" s="958">
        <f t="shared" si="335"/>
        <v>4</v>
      </c>
      <c r="BC367" s="959">
        <f t="shared" si="372"/>
        <v>12</v>
      </c>
      <c r="BD367" s="959">
        <f t="shared" si="364"/>
        <v>15</v>
      </c>
      <c r="BE367" s="959">
        <f t="shared" si="365"/>
        <v>36</v>
      </c>
      <c r="BF367" s="959">
        <f t="shared" si="366"/>
        <v>63</v>
      </c>
      <c r="BG367" s="959">
        <f t="shared" si="340"/>
        <v>1</v>
      </c>
      <c r="BH367" s="959">
        <f t="shared" si="341"/>
        <v>0</v>
      </c>
      <c r="BI367" s="959">
        <f t="shared" si="342"/>
        <v>2</v>
      </c>
      <c r="BJ367" s="959">
        <f t="shared" si="343"/>
        <v>2</v>
      </c>
      <c r="BK367" s="959">
        <f t="shared" si="344"/>
        <v>4</v>
      </c>
      <c r="BL367" s="55"/>
    </row>
    <row r="368" spans="1:64" s="400" customFormat="1" ht="17.100000000000001" customHeight="1">
      <c r="A368" s="457" t="s">
        <v>3975</v>
      </c>
      <c r="B368" s="55" t="s">
        <v>142</v>
      </c>
      <c r="C368" s="53" t="s">
        <v>2825</v>
      </c>
      <c r="D368" s="53" t="s">
        <v>1705</v>
      </c>
      <c r="E368" s="55" t="s">
        <v>4</v>
      </c>
      <c r="F368" s="55" t="s">
        <v>3976</v>
      </c>
      <c r="G368" s="71">
        <v>29650</v>
      </c>
      <c r="H368" s="50" t="s">
        <v>1201</v>
      </c>
      <c r="I368" s="760">
        <v>14632</v>
      </c>
      <c r="J368" s="52">
        <v>22651</v>
      </c>
      <c r="K368" s="55" t="s">
        <v>3977</v>
      </c>
      <c r="L368" s="56" t="s">
        <v>3978</v>
      </c>
      <c r="M368" s="773">
        <v>5</v>
      </c>
      <c r="N368" s="169"/>
      <c r="O368" s="774">
        <v>84</v>
      </c>
      <c r="P368" s="60">
        <v>2</v>
      </c>
      <c r="Q368" s="61">
        <v>22</v>
      </c>
      <c r="R368" s="61">
        <v>2</v>
      </c>
      <c r="S368" s="61">
        <v>22</v>
      </c>
      <c r="T368" s="61">
        <v>1</v>
      </c>
      <c r="U368" s="62">
        <v>19</v>
      </c>
      <c r="V368" s="78"/>
      <c r="W368" s="78"/>
      <c r="X368" s="78"/>
      <c r="Y368" s="78"/>
      <c r="Z368" s="78"/>
      <c r="AA368" s="62"/>
      <c r="AB368" s="78"/>
      <c r="AC368" s="78"/>
      <c r="AD368" s="78"/>
      <c r="AE368" s="78"/>
      <c r="AF368" s="61">
        <f t="shared" si="367"/>
        <v>0</v>
      </c>
      <c r="AG368" s="78"/>
      <c r="AH368" s="78"/>
      <c r="AI368" s="62">
        <f t="shared" si="368"/>
        <v>0</v>
      </c>
      <c r="AJ368" s="78"/>
      <c r="AK368" s="78"/>
      <c r="AL368" s="78"/>
      <c r="AM368" s="78"/>
      <c r="AN368" s="78">
        <v>0</v>
      </c>
      <c r="AO368" s="78"/>
      <c r="AP368" s="78"/>
      <c r="AQ368" s="62">
        <f t="shared" si="370"/>
        <v>0</v>
      </c>
      <c r="AR368" s="78"/>
      <c r="AS368" s="78"/>
      <c r="AT368" s="78"/>
      <c r="AU368" s="78"/>
      <c r="AV368" s="78"/>
      <c r="AW368" s="956">
        <f t="shared" si="371"/>
        <v>0</v>
      </c>
      <c r="AX368" s="78"/>
      <c r="AY368" s="78"/>
      <c r="AZ368" s="78"/>
      <c r="BA368" s="957">
        <f t="shared" si="363"/>
        <v>0</v>
      </c>
      <c r="BB368" s="958">
        <f t="shared" si="335"/>
        <v>5</v>
      </c>
      <c r="BC368" s="959">
        <f t="shared" si="372"/>
        <v>22</v>
      </c>
      <c r="BD368" s="959">
        <f t="shared" si="364"/>
        <v>22</v>
      </c>
      <c r="BE368" s="959">
        <f t="shared" si="365"/>
        <v>19</v>
      </c>
      <c r="BF368" s="959">
        <f t="shared" si="366"/>
        <v>63</v>
      </c>
      <c r="BG368" s="959">
        <f t="shared" si="340"/>
        <v>0</v>
      </c>
      <c r="BH368" s="959">
        <f t="shared" si="341"/>
        <v>0</v>
      </c>
      <c r="BI368" s="959">
        <f t="shared" si="342"/>
        <v>0</v>
      </c>
      <c r="BJ368" s="959">
        <f t="shared" si="343"/>
        <v>0</v>
      </c>
      <c r="BK368" s="959">
        <f t="shared" si="344"/>
        <v>0</v>
      </c>
      <c r="BL368" s="55"/>
    </row>
    <row r="369" spans="1:64" s="400" customFormat="1" ht="17.100000000000001" customHeight="1">
      <c r="A369" s="457" t="s">
        <v>1681</v>
      </c>
      <c r="B369" s="55" t="s">
        <v>142</v>
      </c>
      <c r="C369" s="53" t="s">
        <v>2825</v>
      </c>
      <c r="D369" s="53" t="s">
        <v>1705</v>
      </c>
      <c r="E369" s="55" t="s">
        <v>4</v>
      </c>
      <c r="F369" s="55" t="s">
        <v>3979</v>
      </c>
      <c r="G369" s="71">
        <v>38412</v>
      </c>
      <c r="H369" s="50" t="s">
        <v>3980</v>
      </c>
      <c r="I369" s="760">
        <v>11833</v>
      </c>
      <c r="J369" s="52">
        <v>22615</v>
      </c>
      <c r="K369" s="55" t="s">
        <v>1688</v>
      </c>
      <c r="L369" s="56" t="s">
        <v>1689</v>
      </c>
      <c r="M369" s="773">
        <v>3</v>
      </c>
      <c r="N369" s="718">
        <v>1</v>
      </c>
      <c r="O369" s="774">
        <v>48</v>
      </c>
      <c r="P369" s="60">
        <v>1</v>
      </c>
      <c r="Q369" s="61">
        <v>7</v>
      </c>
      <c r="R369" s="61">
        <v>1</v>
      </c>
      <c r="S369" s="61">
        <v>12</v>
      </c>
      <c r="T369" s="61">
        <v>1</v>
      </c>
      <c r="U369" s="62">
        <v>12</v>
      </c>
      <c r="V369" s="60"/>
      <c r="W369" s="61"/>
      <c r="X369" s="61"/>
      <c r="Y369" s="61"/>
      <c r="Z369" s="61"/>
      <c r="AA369" s="62"/>
      <c r="AB369" s="70"/>
      <c r="AC369" s="68"/>
      <c r="AD369" s="68"/>
      <c r="AE369" s="68"/>
      <c r="AF369" s="68">
        <f t="shared" si="367"/>
        <v>0</v>
      </c>
      <c r="AG369" s="68"/>
      <c r="AH369" s="68"/>
      <c r="AI369" s="69">
        <f t="shared" si="368"/>
        <v>0</v>
      </c>
      <c r="AJ369" s="70"/>
      <c r="AK369" s="68"/>
      <c r="AL369" s="68"/>
      <c r="AM369" s="68"/>
      <c r="AN369" s="68">
        <f>SUM(AL369:AM369)</f>
        <v>0</v>
      </c>
      <c r="AO369" s="68"/>
      <c r="AP369" s="68"/>
      <c r="AQ369" s="69">
        <f t="shared" si="370"/>
        <v>0</v>
      </c>
      <c r="AR369" s="972"/>
      <c r="AS369" s="973">
        <v>1</v>
      </c>
      <c r="AT369" s="68"/>
      <c r="AU369" s="68"/>
      <c r="AV369" s="68"/>
      <c r="AW369" s="973">
        <f t="shared" si="371"/>
        <v>0</v>
      </c>
      <c r="AX369" s="973">
        <v>1</v>
      </c>
      <c r="AY369" s="973"/>
      <c r="AZ369" s="973">
        <v>2</v>
      </c>
      <c r="BA369" s="974">
        <f t="shared" si="363"/>
        <v>3</v>
      </c>
      <c r="BB369" s="975">
        <f t="shared" si="335"/>
        <v>3</v>
      </c>
      <c r="BC369" s="959">
        <f t="shared" si="372"/>
        <v>7</v>
      </c>
      <c r="BD369" s="959">
        <f t="shared" si="364"/>
        <v>12</v>
      </c>
      <c r="BE369" s="959">
        <f t="shared" si="365"/>
        <v>12</v>
      </c>
      <c r="BF369" s="959">
        <f t="shared" si="366"/>
        <v>31</v>
      </c>
      <c r="BG369" s="959">
        <f t="shared" si="340"/>
        <v>1</v>
      </c>
      <c r="BH369" s="959">
        <f t="shared" si="341"/>
        <v>1</v>
      </c>
      <c r="BI369" s="959">
        <f t="shared" si="342"/>
        <v>0</v>
      </c>
      <c r="BJ369" s="959">
        <v>3</v>
      </c>
      <c r="BK369" s="959">
        <f t="shared" si="344"/>
        <v>4</v>
      </c>
      <c r="BL369" s="55"/>
    </row>
    <row r="370" spans="1:64" s="400" customFormat="1" ht="17.100000000000001" customHeight="1">
      <c r="A370" s="457" t="s">
        <v>1681</v>
      </c>
      <c r="B370" s="55" t="s">
        <v>142</v>
      </c>
      <c r="C370" s="53" t="s">
        <v>2825</v>
      </c>
      <c r="D370" s="53" t="s">
        <v>2803</v>
      </c>
      <c r="E370" s="55" t="s">
        <v>4</v>
      </c>
      <c r="F370" s="55" t="s">
        <v>3981</v>
      </c>
      <c r="G370" s="71">
        <v>38097</v>
      </c>
      <c r="H370" s="50" t="s">
        <v>2807</v>
      </c>
      <c r="I370" s="760">
        <v>14784</v>
      </c>
      <c r="J370" s="52">
        <v>22683</v>
      </c>
      <c r="K370" s="55" t="s">
        <v>3982</v>
      </c>
      <c r="L370" s="56" t="s">
        <v>1229</v>
      </c>
      <c r="M370" s="773">
        <v>3</v>
      </c>
      <c r="N370" s="718"/>
      <c r="O370" s="774">
        <v>48</v>
      </c>
      <c r="P370" s="60">
        <v>1</v>
      </c>
      <c r="Q370" s="61">
        <v>12</v>
      </c>
      <c r="R370" s="61">
        <v>1</v>
      </c>
      <c r="S370" s="61">
        <v>17</v>
      </c>
      <c r="T370" s="61">
        <v>1</v>
      </c>
      <c r="U370" s="62">
        <v>11</v>
      </c>
      <c r="V370" s="60"/>
      <c r="W370" s="61"/>
      <c r="X370" s="61"/>
      <c r="Y370" s="61"/>
      <c r="Z370" s="61"/>
      <c r="AA370" s="62"/>
      <c r="AB370" s="63"/>
      <c r="AC370" s="61"/>
      <c r="AD370" s="61"/>
      <c r="AE370" s="61"/>
      <c r="AF370" s="61">
        <f>SUM(AD370:AE370)</f>
        <v>0</v>
      </c>
      <c r="AG370" s="61"/>
      <c r="AH370" s="61"/>
      <c r="AI370" s="62">
        <f>SUM(AG370:AH370)</f>
        <v>0</v>
      </c>
      <c r="AJ370" s="63"/>
      <c r="AK370" s="61"/>
      <c r="AL370" s="61"/>
      <c r="AM370" s="61"/>
      <c r="AN370" s="61">
        <f>SUM(AL370:AM370)</f>
        <v>0</v>
      </c>
      <c r="AO370" s="61"/>
      <c r="AP370" s="61"/>
      <c r="AQ370" s="62">
        <f>SUM(AO370:AP370)</f>
        <v>0</v>
      </c>
      <c r="AR370" s="955"/>
      <c r="AS370" s="956"/>
      <c r="AT370" s="61"/>
      <c r="AU370" s="61"/>
      <c r="AV370" s="61"/>
      <c r="AW370" s="956">
        <f>SUM(AT370:AV370)</f>
        <v>0</v>
      </c>
      <c r="AX370" s="956"/>
      <c r="AY370" s="956"/>
      <c r="AZ370" s="956"/>
      <c r="BA370" s="957">
        <f>SUM(AX370:AZ370)</f>
        <v>0</v>
      </c>
      <c r="BB370" s="958">
        <f>SUM(P370,R370,T370,AB370,AJ370,AR370)</f>
        <v>3</v>
      </c>
      <c r="BC370" s="959">
        <f>SUM(Q370,AD370,AT370)</f>
        <v>12</v>
      </c>
      <c r="BD370" s="959">
        <f>SUM(S370,AE370,AL370,AU370)</f>
        <v>17</v>
      </c>
      <c r="BE370" s="959">
        <f>SUM(U370,AM370,AV370)</f>
        <v>11</v>
      </c>
      <c r="BF370" s="959">
        <f>SUM(BC370:BE370)</f>
        <v>40</v>
      </c>
      <c r="BG370" s="959">
        <f t="shared" si="340"/>
        <v>0</v>
      </c>
      <c r="BH370" s="959">
        <f t="shared" si="341"/>
        <v>0</v>
      </c>
      <c r="BI370" s="959">
        <f t="shared" si="342"/>
        <v>0</v>
      </c>
      <c r="BJ370" s="959">
        <f t="shared" si="343"/>
        <v>0</v>
      </c>
      <c r="BK370" s="959">
        <f t="shared" si="344"/>
        <v>0</v>
      </c>
      <c r="BL370" s="55"/>
    </row>
    <row r="371" spans="1:64" s="400" customFormat="1" ht="17.100000000000001" customHeight="1">
      <c r="A371" s="457" t="s">
        <v>1681</v>
      </c>
      <c r="B371" s="55" t="s">
        <v>142</v>
      </c>
      <c r="C371" s="53" t="s">
        <v>2825</v>
      </c>
      <c r="D371" s="53" t="s">
        <v>1690</v>
      </c>
      <c r="E371" s="55" t="s">
        <v>4</v>
      </c>
      <c r="F371" s="55" t="s">
        <v>3983</v>
      </c>
      <c r="G371" s="71">
        <v>38618</v>
      </c>
      <c r="H371" s="50" t="s">
        <v>1685</v>
      </c>
      <c r="I371" s="760">
        <v>11247</v>
      </c>
      <c r="J371" s="52">
        <v>22681</v>
      </c>
      <c r="K371" s="55" t="s">
        <v>1686</v>
      </c>
      <c r="L371" s="56" t="s">
        <v>1280</v>
      </c>
      <c r="M371" s="773">
        <v>3</v>
      </c>
      <c r="N371" s="718"/>
      <c r="O371" s="774">
        <v>48</v>
      </c>
      <c r="P371" s="60">
        <v>1</v>
      </c>
      <c r="Q371" s="61">
        <v>12</v>
      </c>
      <c r="R371" s="61">
        <v>1</v>
      </c>
      <c r="S371" s="61">
        <v>17</v>
      </c>
      <c r="T371" s="61">
        <v>1</v>
      </c>
      <c r="U371" s="62">
        <v>9</v>
      </c>
      <c r="V371" s="60"/>
      <c r="W371" s="61"/>
      <c r="X371" s="61"/>
      <c r="Y371" s="61"/>
      <c r="Z371" s="61"/>
      <c r="AA371" s="62"/>
      <c r="AB371" s="63"/>
      <c r="AC371" s="61"/>
      <c r="AD371" s="61"/>
      <c r="AE371" s="61"/>
      <c r="AF371" s="61">
        <v>0</v>
      </c>
      <c r="AG371" s="61"/>
      <c r="AH371" s="61"/>
      <c r="AI371" s="62">
        <v>0</v>
      </c>
      <c r="AJ371" s="63"/>
      <c r="AK371" s="61"/>
      <c r="AL371" s="61"/>
      <c r="AM371" s="61"/>
      <c r="AN371" s="61">
        <v>0</v>
      </c>
      <c r="AO371" s="61"/>
      <c r="AP371" s="61"/>
      <c r="AQ371" s="62">
        <v>0</v>
      </c>
      <c r="AR371" s="955"/>
      <c r="AS371" s="956"/>
      <c r="AT371" s="61"/>
      <c r="AU371" s="61"/>
      <c r="AV371" s="61"/>
      <c r="AW371" s="956">
        <v>0</v>
      </c>
      <c r="AX371" s="956"/>
      <c r="AY371" s="956"/>
      <c r="AZ371" s="956"/>
      <c r="BA371" s="957">
        <v>0</v>
      </c>
      <c r="BB371" s="958">
        <f>SUM(P371,R371,T371,AB371,AJ371,AR371)</f>
        <v>3</v>
      </c>
      <c r="BC371" s="959">
        <f>SUM(Q371,AD371,AT371)</f>
        <v>12</v>
      </c>
      <c r="BD371" s="959">
        <f>SUM(S371,AE371,AL371,AU371)</f>
        <v>17</v>
      </c>
      <c r="BE371" s="959">
        <f>SUM(U371,AM371,AV371)</f>
        <v>9</v>
      </c>
      <c r="BF371" s="959">
        <f>SUM(BC371:BE371)</f>
        <v>38</v>
      </c>
      <c r="BG371" s="959">
        <f t="shared" si="340"/>
        <v>0</v>
      </c>
      <c r="BH371" s="959">
        <f t="shared" si="341"/>
        <v>0</v>
      </c>
      <c r="BI371" s="959">
        <f t="shared" si="342"/>
        <v>0</v>
      </c>
      <c r="BJ371" s="959">
        <f t="shared" si="343"/>
        <v>0</v>
      </c>
      <c r="BK371" s="959">
        <f t="shared" si="344"/>
        <v>0</v>
      </c>
      <c r="BL371" s="55"/>
    </row>
    <row r="372" spans="1:64" s="400" customFormat="1" ht="17.100000000000001" customHeight="1">
      <c r="A372" s="457" t="s">
        <v>1681</v>
      </c>
      <c r="B372" s="55" t="s">
        <v>142</v>
      </c>
      <c r="C372" s="53" t="s">
        <v>2825</v>
      </c>
      <c r="D372" s="53" t="s">
        <v>1690</v>
      </c>
      <c r="E372" s="55" t="s">
        <v>444</v>
      </c>
      <c r="F372" s="55" t="s">
        <v>3984</v>
      </c>
      <c r="G372" s="71">
        <v>29646</v>
      </c>
      <c r="H372" s="50" t="s">
        <v>3985</v>
      </c>
      <c r="I372" s="760">
        <v>12215</v>
      </c>
      <c r="J372" s="52">
        <v>22646</v>
      </c>
      <c r="K372" s="55" t="s">
        <v>1691</v>
      </c>
      <c r="L372" s="56" t="s">
        <v>1274</v>
      </c>
      <c r="M372" s="773">
        <v>3</v>
      </c>
      <c r="N372" s="718"/>
      <c r="O372" s="774">
        <v>48</v>
      </c>
      <c r="P372" s="60">
        <v>1</v>
      </c>
      <c r="Q372" s="61">
        <v>12</v>
      </c>
      <c r="R372" s="61">
        <v>1</v>
      </c>
      <c r="S372" s="61">
        <v>17</v>
      </c>
      <c r="T372" s="61">
        <v>1</v>
      </c>
      <c r="U372" s="62">
        <v>14</v>
      </c>
      <c r="V372" s="60"/>
      <c r="W372" s="61"/>
      <c r="X372" s="61"/>
      <c r="Y372" s="61"/>
      <c r="Z372" s="61"/>
      <c r="AA372" s="62"/>
      <c r="AB372" s="63"/>
      <c r="AC372" s="61"/>
      <c r="AD372" s="61"/>
      <c r="AE372" s="61"/>
      <c r="AF372" s="61">
        <f>SUM(AD372:AE372)</f>
        <v>0</v>
      </c>
      <c r="AG372" s="61"/>
      <c r="AH372" s="61"/>
      <c r="AI372" s="62">
        <f>SUM(AG372:AH372)</f>
        <v>0</v>
      </c>
      <c r="AJ372" s="63"/>
      <c r="AK372" s="61"/>
      <c r="AL372" s="61"/>
      <c r="AM372" s="61"/>
      <c r="AN372" s="61">
        <f>SUM(AL372:AM372)</f>
        <v>0</v>
      </c>
      <c r="AO372" s="61"/>
      <c r="AP372" s="61"/>
      <c r="AQ372" s="62">
        <f>SUM(AO372:AP372)</f>
        <v>0</v>
      </c>
      <c r="AR372" s="955"/>
      <c r="AS372" s="956"/>
      <c r="AT372" s="61"/>
      <c r="AU372" s="61"/>
      <c r="AV372" s="61"/>
      <c r="AW372" s="956">
        <f>SUM(AT372:AV372)</f>
        <v>0</v>
      </c>
      <c r="AX372" s="956"/>
      <c r="AY372" s="956"/>
      <c r="AZ372" s="956"/>
      <c r="BA372" s="957">
        <f>SUM(AX372:AZ372)</f>
        <v>0</v>
      </c>
      <c r="BB372" s="958">
        <f>SUM(P372,R372,T372,AB372,AJ372,AR372)</f>
        <v>3</v>
      </c>
      <c r="BC372" s="959">
        <f>SUM(Q372,AD372,AT372)</f>
        <v>12</v>
      </c>
      <c r="BD372" s="959">
        <f>SUM(S372,AE372,AL372,AU372)</f>
        <v>17</v>
      </c>
      <c r="BE372" s="959">
        <f>SUM(U372,AM372,AV372)</f>
        <v>14</v>
      </c>
      <c r="BF372" s="959">
        <f>SUM(BC372:BE372)</f>
        <v>43</v>
      </c>
      <c r="BG372" s="959">
        <f>SUM(V372,X372,Z372,AC372,AK372,AS372)</f>
        <v>0</v>
      </c>
      <c r="BH372" s="959">
        <f>SUM(W372,AG372,AX372)</f>
        <v>0</v>
      </c>
      <c r="BI372" s="959">
        <f>SUM(Y372,AH372,AO372,AY372)</f>
        <v>0</v>
      </c>
      <c r="BJ372" s="959">
        <f>SUM(AA372,AP372,AZ372)</f>
        <v>0</v>
      </c>
      <c r="BK372" s="959">
        <f>SUM(BH372:BJ372)</f>
        <v>0</v>
      </c>
      <c r="BL372" s="55"/>
    </row>
    <row r="373" spans="1:64" s="43" customFormat="1" ht="17.100000000000001" customHeight="1">
      <c r="A373" s="1611" t="s">
        <v>432</v>
      </c>
      <c r="B373" s="1612"/>
      <c r="C373" s="1612"/>
      <c r="D373" s="1613"/>
      <c r="E373" s="401">
        <f>COUNTA(E319:E372)</f>
        <v>54</v>
      </c>
      <c r="F373" s="285"/>
      <c r="G373" s="402"/>
      <c r="H373" s="181"/>
      <c r="I373" s="403"/>
      <c r="J373" s="287"/>
      <c r="K373" s="285"/>
      <c r="L373" s="288"/>
      <c r="M373" s="404">
        <f t="shared" ref="M373:AR373" si="373">SUM(M319:M372)</f>
        <v>245</v>
      </c>
      <c r="N373" s="405">
        <f t="shared" si="373"/>
        <v>43</v>
      </c>
      <c r="O373" s="406">
        <f t="shared" si="373"/>
        <v>4004</v>
      </c>
      <c r="P373" s="407">
        <f t="shared" si="373"/>
        <v>68</v>
      </c>
      <c r="Q373" s="408">
        <f t="shared" si="373"/>
        <v>739</v>
      </c>
      <c r="R373" s="408">
        <f t="shared" si="373"/>
        <v>72</v>
      </c>
      <c r="S373" s="408">
        <f t="shared" si="373"/>
        <v>1035</v>
      </c>
      <c r="T373" s="408">
        <f t="shared" si="373"/>
        <v>84</v>
      </c>
      <c r="U373" s="409">
        <f t="shared" si="373"/>
        <v>1312</v>
      </c>
      <c r="V373" s="410">
        <f t="shared" si="373"/>
        <v>8</v>
      </c>
      <c r="W373" s="408">
        <f t="shared" si="373"/>
        <v>30</v>
      </c>
      <c r="X373" s="408">
        <f t="shared" si="373"/>
        <v>9</v>
      </c>
      <c r="Y373" s="408">
        <f t="shared" si="373"/>
        <v>33</v>
      </c>
      <c r="Z373" s="408">
        <f t="shared" si="373"/>
        <v>12</v>
      </c>
      <c r="AA373" s="408">
        <f t="shared" si="373"/>
        <v>49</v>
      </c>
      <c r="AB373" s="407">
        <f t="shared" si="373"/>
        <v>6</v>
      </c>
      <c r="AC373" s="408">
        <f t="shared" si="373"/>
        <v>2</v>
      </c>
      <c r="AD373" s="408">
        <f t="shared" si="373"/>
        <v>15</v>
      </c>
      <c r="AE373" s="408">
        <f t="shared" si="373"/>
        <v>30</v>
      </c>
      <c r="AF373" s="408">
        <f t="shared" si="373"/>
        <v>45</v>
      </c>
      <c r="AG373" s="408">
        <f t="shared" si="373"/>
        <v>5</v>
      </c>
      <c r="AH373" s="408">
        <f t="shared" si="373"/>
        <v>3</v>
      </c>
      <c r="AI373" s="409">
        <f t="shared" si="373"/>
        <v>8</v>
      </c>
      <c r="AJ373" s="407">
        <f t="shared" si="373"/>
        <v>4</v>
      </c>
      <c r="AK373" s="408">
        <f t="shared" si="373"/>
        <v>0</v>
      </c>
      <c r="AL373" s="408">
        <f t="shared" si="373"/>
        <v>11</v>
      </c>
      <c r="AM373" s="408">
        <f t="shared" si="373"/>
        <v>21</v>
      </c>
      <c r="AN373" s="408">
        <f t="shared" si="373"/>
        <v>32</v>
      </c>
      <c r="AO373" s="408">
        <f t="shared" si="373"/>
        <v>0</v>
      </c>
      <c r="AP373" s="408">
        <f t="shared" si="373"/>
        <v>0</v>
      </c>
      <c r="AQ373" s="409">
        <f t="shared" si="373"/>
        <v>0</v>
      </c>
      <c r="AR373" s="411">
        <f t="shared" si="373"/>
        <v>1</v>
      </c>
      <c r="AS373" s="412">
        <f t="shared" ref="AS373:BK373" si="374">SUM(AS319:AS372)</f>
        <v>11</v>
      </c>
      <c r="AT373" s="412">
        <f t="shared" si="374"/>
        <v>4</v>
      </c>
      <c r="AU373" s="412">
        <f t="shared" si="374"/>
        <v>2</v>
      </c>
      <c r="AV373" s="412">
        <f t="shared" si="374"/>
        <v>3</v>
      </c>
      <c r="AW373" s="412">
        <f t="shared" si="374"/>
        <v>9</v>
      </c>
      <c r="AX373" s="412">
        <f t="shared" si="374"/>
        <v>8</v>
      </c>
      <c r="AY373" s="412">
        <f t="shared" si="374"/>
        <v>9</v>
      </c>
      <c r="AZ373" s="412">
        <f t="shared" si="374"/>
        <v>16</v>
      </c>
      <c r="BA373" s="413">
        <f t="shared" si="374"/>
        <v>33</v>
      </c>
      <c r="BB373" s="414">
        <f t="shared" si="374"/>
        <v>235</v>
      </c>
      <c r="BC373" s="415">
        <f t="shared" si="374"/>
        <v>758</v>
      </c>
      <c r="BD373" s="415">
        <f t="shared" si="374"/>
        <v>1078</v>
      </c>
      <c r="BE373" s="415">
        <f t="shared" si="374"/>
        <v>1336</v>
      </c>
      <c r="BF373" s="415">
        <f t="shared" si="374"/>
        <v>3172</v>
      </c>
      <c r="BG373" s="415">
        <f t="shared" si="374"/>
        <v>43</v>
      </c>
      <c r="BH373" s="415">
        <f t="shared" si="374"/>
        <v>43</v>
      </c>
      <c r="BI373" s="415">
        <f t="shared" si="374"/>
        <v>45</v>
      </c>
      <c r="BJ373" s="415">
        <f t="shared" si="374"/>
        <v>66</v>
      </c>
      <c r="BK373" s="416">
        <f t="shared" si="374"/>
        <v>154</v>
      </c>
      <c r="BL373" s="417"/>
    </row>
    <row r="374" spans="1:64" s="43" customFormat="1" ht="17.100000000000001" customHeight="1">
      <c r="A374" s="457" t="s">
        <v>2792</v>
      </c>
      <c r="B374" s="53" t="s">
        <v>142</v>
      </c>
      <c r="C374" s="53" t="s">
        <v>142</v>
      </c>
      <c r="D374" s="53" t="s">
        <v>2793</v>
      </c>
      <c r="E374" s="53" t="s">
        <v>2529</v>
      </c>
      <c r="F374" s="53" t="s">
        <v>3987</v>
      </c>
      <c r="G374" s="71">
        <v>41699</v>
      </c>
      <c r="H374" s="50" t="s">
        <v>3988</v>
      </c>
      <c r="I374" s="51">
        <v>576</v>
      </c>
      <c r="J374" s="52">
        <v>22858</v>
      </c>
      <c r="K374" s="53" t="s">
        <v>3989</v>
      </c>
      <c r="L374" s="54" t="s">
        <v>3990</v>
      </c>
      <c r="M374" s="773">
        <v>11</v>
      </c>
      <c r="N374" s="718"/>
      <c r="O374" s="774">
        <v>266</v>
      </c>
      <c r="P374" s="60">
        <v>4</v>
      </c>
      <c r="Q374" s="61">
        <v>95</v>
      </c>
      <c r="R374" s="61">
        <v>4</v>
      </c>
      <c r="S374" s="61">
        <v>83</v>
      </c>
      <c r="T374" s="61">
        <v>3</v>
      </c>
      <c r="U374" s="62">
        <v>80</v>
      </c>
      <c r="V374" s="60"/>
      <c r="W374" s="61"/>
      <c r="X374" s="61"/>
      <c r="Y374" s="61"/>
      <c r="Z374" s="61"/>
      <c r="AA374" s="62"/>
      <c r="AB374" s="63"/>
      <c r="AC374" s="61"/>
      <c r="AD374" s="61"/>
      <c r="AE374" s="61"/>
      <c r="AF374" s="61">
        <f t="shared" ref="AF374:AF391" si="375">SUM(AD374:AE374)</f>
        <v>0</v>
      </c>
      <c r="AG374" s="61"/>
      <c r="AH374" s="61"/>
      <c r="AI374" s="62">
        <f t="shared" ref="AI374:AI392" si="376">SUM(AG374:AH374)</f>
        <v>0</v>
      </c>
      <c r="AJ374" s="63"/>
      <c r="AK374" s="61"/>
      <c r="AL374" s="61"/>
      <c r="AM374" s="61"/>
      <c r="AN374" s="61">
        <f t="shared" ref="AN374:AN392" si="377">SUM(AL374:AM374)</f>
        <v>0</v>
      </c>
      <c r="AO374" s="61"/>
      <c r="AP374" s="61"/>
      <c r="AQ374" s="62">
        <f t="shared" ref="AQ374:AQ392" si="378">SUM(AO374:AP374)</f>
        <v>0</v>
      </c>
      <c r="AR374" s="955"/>
      <c r="AS374" s="956"/>
      <c r="AT374" s="61"/>
      <c r="AU374" s="61"/>
      <c r="AV374" s="61"/>
      <c r="AW374" s="956">
        <f t="shared" ref="AW374:AW392" si="379">SUM(AT374:AV374)</f>
        <v>0</v>
      </c>
      <c r="AX374" s="956"/>
      <c r="AY374" s="956"/>
      <c r="AZ374" s="956"/>
      <c r="BA374" s="957">
        <f t="shared" ref="BA374:BA392" si="380">SUM(AX374:AZ374)</f>
        <v>0</v>
      </c>
      <c r="BB374" s="958">
        <f>SUM(P374,R374,T374,AB374,AJ374,AR374)</f>
        <v>11</v>
      </c>
      <c r="BC374" s="959">
        <f>SUM(Q374,AD374,AT374)</f>
        <v>95</v>
      </c>
      <c r="BD374" s="959">
        <f>SUM(S374,AE374,AL374,AU374)</f>
        <v>83</v>
      </c>
      <c r="BE374" s="959">
        <f>SUM(U374,AM374,AV374)</f>
        <v>80</v>
      </c>
      <c r="BF374" s="959">
        <f t="shared" ref="BF374:BF392" si="381">SUM(BC374:BE374)</f>
        <v>258</v>
      </c>
      <c r="BG374" s="959">
        <f>SUM(V374,X374,Z374,AC374,AK374,AS374)</f>
        <v>0</v>
      </c>
      <c r="BH374" s="959">
        <f>SUM(W374,AG374,AX374)</f>
        <v>0</v>
      </c>
      <c r="BI374" s="959">
        <f>SUM(Y374,AH374,AO374,AY374)</f>
        <v>0</v>
      </c>
      <c r="BJ374" s="959">
        <f>SUM(AA374,AP374,AZ374)</f>
        <v>0</v>
      </c>
      <c r="BK374" s="959">
        <f>SUM(BH374:BJ374)</f>
        <v>0</v>
      </c>
      <c r="BL374" s="53"/>
    </row>
    <row r="375" spans="1:64" s="43" customFormat="1" ht="17.100000000000001" customHeight="1">
      <c r="A375" s="761" t="s">
        <v>2792</v>
      </c>
      <c r="B375" s="55" t="s">
        <v>142</v>
      </c>
      <c r="C375" s="53" t="s">
        <v>142</v>
      </c>
      <c r="D375" s="53" t="s">
        <v>2794</v>
      </c>
      <c r="E375" s="55" t="s">
        <v>2529</v>
      </c>
      <c r="F375" s="55" t="s">
        <v>2583</v>
      </c>
      <c r="G375" s="71">
        <v>39148</v>
      </c>
      <c r="H375" s="50" t="s">
        <v>1711</v>
      </c>
      <c r="I375" s="760">
        <v>902</v>
      </c>
      <c r="J375" s="52">
        <v>22799</v>
      </c>
      <c r="K375" s="55" t="s">
        <v>3991</v>
      </c>
      <c r="L375" s="56" t="s">
        <v>3992</v>
      </c>
      <c r="M375" s="394">
        <v>9</v>
      </c>
      <c r="N375" s="395"/>
      <c r="O375" s="396">
        <v>261</v>
      </c>
      <c r="P375" s="67">
        <v>3</v>
      </c>
      <c r="Q375" s="68">
        <v>78</v>
      </c>
      <c r="R375" s="68">
        <v>3</v>
      </c>
      <c r="S375" s="68">
        <v>84</v>
      </c>
      <c r="T375" s="68">
        <v>3</v>
      </c>
      <c r="U375" s="69">
        <v>96</v>
      </c>
      <c r="V375" s="67"/>
      <c r="W375" s="68"/>
      <c r="X375" s="68"/>
      <c r="Y375" s="68"/>
      <c r="Z375" s="68"/>
      <c r="AA375" s="69"/>
      <c r="AB375" s="70"/>
      <c r="AC375" s="68"/>
      <c r="AD375" s="68"/>
      <c r="AE375" s="68"/>
      <c r="AF375" s="68">
        <f t="shared" si="375"/>
        <v>0</v>
      </c>
      <c r="AG375" s="68"/>
      <c r="AH375" s="68"/>
      <c r="AI375" s="69">
        <f t="shared" si="376"/>
        <v>0</v>
      </c>
      <c r="AJ375" s="70"/>
      <c r="AK375" s="68"/>
      <c r="AL375" s="68"/>
      <c r="AM375" s="68"/>
      <c r="AN375" s="68">
        <f t="shared" si="377"/>
        <v>0</v>
      </c>
      <c r="AO375" s="68"/>
      <c r="AP375" s="68"/>
      <c r="AQ375" s="69">
        <f t="shared" si="378"/>
        <v>0</v>
      </c>
      <c r="AR375" s="972"/>
      <c r="AS375" s="973"/>
      <c r="AT375" s="68"/>
      <c r="AU375" s="68"/>
      <c r="AV375" s="68"/>
      <c r="AW375" s="973">
        <f t="shared" si="379"/>
        <v>0</v>
      </c>
      <c r="AX375" s="973"/>
      <c r="AY375" s="973"/>
      <c r="AZ375" s="973"/>
      <c r="BA375" s="974">
        <f t="shared" si="380"/>
        <v>0</v>
      </c>
      <c r="BB375" s="975">
        <f>SUM(P375,R375,T375,AB375,AJ375,AR375)</f>
        <v>9</v>
      </c>
      <c r="BC375" s="959">
        <f>SUM(Q375,AD375,AT375)</f>
        <v>78</v>
      </c>
      <c r="BD375" s="959">
        <f>SUM(S375,AE375,AL375,AU375)</f>
        <v>84</v>
      </c>
      <c r="BE375" s="959">
        <f>SUM(U375,AM375,AV375)</f>
        <v>96</v>
      </c>
      <c r="BF375" s="959">
        <f t="shared" si="381"/>
        <v>258</v>
      </c>
      <c r="BG375" s="959">
        <f>SUM(V375,X375,Z375,AC375,AK375,AS375)</f>
        <v>0</v>
      </c>
      <c r="BH375" s="959">
        <f>SUM(W375,AG375,AX375)</f>
        <v>0</v>
      </c>
      <c r="BI375" s="959">
        <f>SUM(Y375,AH375,AO375,AY375)</f>
        <v>0</v>
      </c>
      <c r="BJ375" s="959">
        <f>SUM(AA375,AP375,AZ375)</f>
        <v>0</v>
      </c>
      <c r="BK375" s="959">
        <f>SUM(BH375:BJ375)</f>
        <v>0</v>
      </c>
      <c r="BL375" s="55"/>
    </row>
    <row r="376" spans="1:64" s="43" customFormat="1" ht="17.100000000000001" customHeight="1">
      <c r="A376" s="761" t="s">
        <v>2792</v>
      </c>
      <c r="B376" s="55" t="s">
        <v>142</v>
      </c>
      <c r="C376" s="53" t="s">
        <v>142</v>
      </c>
      <c r="D376" s="53" t="s">
        <v>2795</v>
      </c>
      <c r="E376" s="55" t="s">
        <v>2529</v>
      </c>
      <c r="F376" s="55" t="s">
        <v>3993</v>
      </c>
      <c r="G376" s="71">
        <v>35490</v>
      </c>
      <c r="H376" s="50" t="s">
        <v>3994</v>
      </c>
      <c r="I376" s="760">
        <v>721</v>
      </c>
      <c r="J376" s="52">
        <v>22807</v>
      </c>
      <c r="K376" s="55" t="s">
        <v>3995</v>
      </c>
      <c r="L376" s="56" t="s">
        <v>3996</v>
      </c>
      <c r="M376" s="394">
        <v>8</v>
      </c>
      <c r="N376" s="395"/>
      <c r="O376" s="396">
        <v>224</v>
      </c>
      <c r="P376" s="67">
        <v>3</v>
      </c>
      <c r="Q376" s="68">
        <v>71</v>
      </c>
      <c r="R376" s="68">
        <v>3</v>
      </c>
      <c r="S376" s="68">
        <v>77</v>
      </c>
      <c r="T376" s="68">
        <v>2</v>
      </c>
      <c r="U376" s="69">
        <v>67</v>
      </c>
      <c r="V376" s="67"/>
      <c r="W376" s="68"/>
      <c r="X376" s="68"/>
      <c r="Y376" s="68"/>
      <c r="Z376" s="68"/>
      <c r="AA376" s="69"/>
      <c r="AB376" s="70"/>
      <c r="AC376" s="68"/>
      <c r="AD376" s="68"/>
      <c r="AE376" s="68"/>
      <c r="AF376" s="68">
        <f t="shared" si="375"/>
        <v>0</v>
      </c>
      <c r="AG376" s="68"/>
      <c r="AH376" s="68"/>
      <c r="AI376" s="69">
        <f t="shared" si="376"/>
        <v>0</v>
      </c>
      <c r="AJ376" s="70"/>
      <c r="AK376" s="68"/>
      <c r="AL376" s="68"/>
      <c r="AM376" s="68"/>
      <c r="AN376" s="68">
        <f t="shared" si="377"/>
        <v>0</v>
      </c>
      <c r="AO376" s="68"/>
      <c r="AP376" s="68"/>
      <c r="AQ376" s="69">
        <f t="shared" si="378"/>
        <v>0</v>
      </c>
      <c r="AR376" s="972"/>
      <c r="AS376" s="973"/>
      <c r="AT376" s="68"/>
      <c r="AU376" s="68"/>
      <c r="AV376" s="68"/>
      <c r="AW376" s="973">
        <f t="shared" si="379"/>
        <v>0</v>
      </c>
      <c r="AX376" s="973"/>
      <c r="AY376" s="973"/>
      <c r="AZ376" s="973"/>
      <c r="BA376" s="974">
        <f t="shared" si="380"/>
        <v>0</v>
      </c>
      <c r="BB376" s="975">
        <f>SUM(P376,R376,T376,AB376,AJ376,AR376)</f>
        <v>8</v>
      </c>
      <c r="BC376" s="959">
        <f>SUM(Q376,AD376,AT376)</f>
        <v>71</v>
      </c>
      <c r="BD376" s="959">
        <f>SUM(S376,AE376,AL376,AU376)</f>
        <v>77</v>
      </c>
      <c r="BE376" s="959">
        <f>SUM(U376,AM376,AV376)</f>
        <v>67</v>
      </c>
      <c r="BF376" s="959">
        <f t="shared" si="381"/>
        <v>215</v>
      </c>
      <c r="BG376" s="959">
        <f>SUM(V376,X376,Z376,AC376,AK376,AS376)</f>
        <v>0</v>
      </c>
      <c r="BH376" s="959">
        <f>SUM(W376,AG376,AX376)</f>
        <v>0</v>
      </c>
      <c r="BI376" s="959">
        <f>SUM(Y376,AH376,AO376,AY376)</f>
        <v>0</v>
      </c>
      <c r="BJ376" s="959">
        <f>SUM(AA376,AP376,AZ376)</f>
        <v>0</v>
      </c>
      <c r="BK376" s="959">
        <f>SUM(BH376:BJ376)</f>
        <v>0</v>
      </c>
      <c r="BL376" s="55"/>
    </row>
    <row r="377" spans="1:64" s="43" customFormat="1" ht="17.100000000000001" customHeight="1">
      <c r="A377" s="457" t="s">
        <v>2792</v>
      </c>
      <c r="B377" s="53" t="s">
        <v>142</v>
      </c>
      <c r="C377" s="53" t="s">
        <v>142</v>
      </c>
      <c r="D377" s="53" t="s">
        <v>2795</v>
      </c>
      <c r="E377" s="53" t="s">
        <v>2529</v>
      </c>
      <c r="F377" s="53" t="s">
        <v>3997</v>
      </c>
      <c r="G377" s="71">
        <v>30742</v>
      </c>
      <c r="H377" s="50" t="s">
        <v>3998</v>
      </c>
      <c r="I377" s="51">
        <v>1060</v>
      </c>
      <c r="J377" s="52">
        <v>22810</v>
      </c>
      <c r="K377" s="53" t="s">
        <v>3999</v>
      </c>
      <c r="L377" s="54" t="s">
        <v>4000</v>
      </c>
      <c r="M377" s="773">
        <v>7</v>
      </c>
      <c r="N377" s="718"/>
      <c r="O377" s="774">
        <v>187</v>
      </c>
      <c r="P377" s="60">
        <v>2</v>
      </c>
      <c r="Q377" s="61">
        <v>50</v>
      </c>
      <c r="R377" s="61">
        <v>3</v>
      </c>
      <c r="S377" s="61">
        <v>78</v>
      </c>
      <c r="T377" s="61">
        <v>2</v>
      </c>
      <c r="U377" s="62">
        <v>54</v>
      </c>
      <c r="V377" s="60"/>
      <c r="W377" s="61"/>
      <c r="X377" s="61"/>
      <c r="Y377" s="61"/>
      <c r="Z377" s="61"/>
      <c r="AA377" s="62"/>
      <c r="AB377" s="63"/>
      <c r="AC377" s="61"/>
      <c r="AD377" s="61"/>
      <c r="AE377" s="61"/>
      <c r="AF377" s="61">
        <f t="shared" si="375"/>
        <v>0</v>
      </c>
      <c r="AG377" s="61"/>
      <c r="AH377" s="61"/>
      <c r="AI377" s="62">
        <f t="shared" si="376"/>
        <v>0</v>
      </c>
      <c r="AJ377" s="63"/>
      <c r="AK377" s="61"/>
      <c r="AL377" s="61"/>
      <c r="AM377" s="61"/>
      <c r="AN377" s="61">
        <f t="shared" si="377"/>
        <v>0</v>
      </c>
      <c r="AO377" s="61"/>
      <c r="AP377" s="61"/>
      <c r="AQ377" s="62">
        <f t="shared" si="378"/>
        <v>0</v>
      </c>
      <c r="AR377" s="955"/>
      <c r="AS377" s="956"/>
      <c r="AT377" s="61"/>
      <c r="AU377" s="61"/>
      <c r="AV377" s="61"/>
      <c r="AW377" s="956">
        <f t="shared" si="379"/>
        <v>0</v>
      </c>
      <c r="AX377" s="956"/>
      <c r="AY377" s="956"/>
      <c r="AZ377" s="956"/>
      <c r="BA377" s="957">
        <f t="shared" si="380"/>
        <v>0</v>
      </c>
      <c r="BB377" s="958">
        <f>SUM(P377,R377,T377,AB377,AJ377,AR377)</f>
        <v>7</v>
      </c>
      <c r="BC377" s="959">
        <f>SUM(Q377,AD377,AT377)</f>
        <v>50</v>
      </c>
      <c r="BD377" s="959">
        <f>SUM(S377,AE377,AL377,AU377)</f>
        <v>78</v>
      </c>
      <c r="BE377" s="959">
        <f>SUM(U377,AM377,AV377)</f>
        <v>54</v>
      </c>
      <c r="BF377" s="959">
        <f t="shared" si="381"/>
        <v>182</v>
      </c>
      <c r="BG377" s="959">
        <f>SUM(V377,X377,Z377,AC377,AK377,AS377)</f>
        <v>0</v>
      </c>
      <c r="BH377" s="959">
        <f>SUM(W377,AG377,AX377)</f>
        <v>0</v>
      </c>
      <c r="BI377" s="959">
        <f>SUM(Y377,AH377,AO377,AY377)</f>
        <v>0</v>
      </c>
      <c r="BJ377" s="959">
        <f>SUM(AA377,AP377,AZ377)</f>
        <v>0</v>
      </c>
      <c r="BK377" s="959">
        <f>SUM(BH377:BJ377)</f>
        <v>0</v>
      </c>
      <c r="BL377" s="53"/>
    </row>
    <row r="378" spans="1:64" s="43" customFormat="1" ht="17.100000000000001" customHeight="1">
      <c r="A378" s="457" t="s">
        <v>2792</v>
      </c>
      <c r="B378" s="53" t="s">
        <v>142</v>
      </c>
      <c r="C378" s="53" t="s">
        <v>4001</v>
      </c>
      <c r="D378" s="53" t="s">
        <v>4002</v>
      </c>
      <c r="E378" s="55" t="s">
        <v>2529</v>
      </c>
      <c r="F378" s="53" t="s">
        <v>4003</v>
      </c>
      <c r="G378" s="71">
        <v>39902</v>
      </c>
      <c r="H378" s="50" t="s">
        <v>4004</v>
      </c>
      <c r="I378" s="726">
        <v>271</v>
      </c>
      <c r="J378" s="52">
        <v>22821</v>
      </c>
      <c r="K378" s="53" t="s">
        <v>4005</v>
      </c>
      <c r="L378" s="54" t="s">
        <v>4006</v>
      </c>
      <c r="M378" s="773">
        <v>3</v>
      </c>
      <c r="N378" s="718"/>
      <c r="O378" s="774">
        <v>80</v>
      </c>
      <c r="P378" s="60">
        <v>1</v>
      </c>
      <c r="Q378" s="61">
        <v>16</v>
      </c>
      <c r="R378" s="61">
        <v>1</v>
      </c>
      <c r="S378" s="61">
        <v>11</v>
      </c>
      <c r="T378" s="61">
        <v>1</v>
      </c>
      <c r="U378" s="62">
        <v>20</v>
      </c>
      <c r="V378" s="60"/>
      <c r="W378" s="61"/>
      <c r="X378" s="61"/>
      <c r="Y378" s="61"/>
      <c r="Z378" s="61"/>
      <c r="AA378" s="62"/>
      <c r="AB378" s="63"/>
      <c r="AC378" s="61"/>
      <c r="AD378" s="61"/>
      <c r="AE378" s="61"/>
      <c r="AF378" s="61">
        <f t="shared" si="375"/>
        <v>0</v>
      </c>
      <c r="AG378" s="61"/>
      <c r="AH378" s="61"/>
      <c r="AI378" s="62">
        <f t="shared" si="376"/>
        <v>0</v>
      </c>
      <c r="AJ378" s="63"/>
      <c r="AK378" s="61"/>
      <c r="AL378" s="61"/>
      <c r="AM378" s="61"/>
      <c r="AN378" s="61">
        <f t="shared" si="377"/>
        <v>0</v>
      </c>
      <c r="AO378" s="61"/>
      <c r="AP378" s="61"/>
      <c r="AQ378" s="62">
        <f t="shared" si="378"/>
        <v>0</v>
      </c>
      <c r="AR378" s="955"/>
      <c r="AS378" s="956"/>
      <c r="AT378" s="61"/>
      <c r="AU378" s="61"/>
      <c r="AV378" s="61"/>
      <c r="AW378" s="956">
        <f t="shared" si="379"/>
        <v>0</v>
      </c>
      <c r="AX378" s="956"/>
      <c r="AY378" s="956"/>
      <c r="AZ378" s="956"/>
      <c r="BA378" s="957">
        <f t="shared" si="380"/>
        <v>0</v>
      </c>
      <c r="BB378" s="958">
        <v>3</v>
      </c>
      <c r="BC378" s="959">
        <v>16</v>
      </c>
      <c r="BD378" s="959">
        <v>11</v>
      </c>
      <c r="BE378" s="959">
        <v>20</v>
      </c>
      <c r="BF378" s="959">
        <f t="shared" si="381"/>
        <v>47</v>
      </c>
      <c r="BG378" s="959"/>
      <c r="BH378" s="959"/>
      <c r="BI378" s="959"/>
      <c r="BJ378" s="959"/>
      <c r="BK378" s="959"/>
      <c r="BL378" s="1020"/>
    </row>
    <row r="379" spans="1:64" s="43" customFormat="1" ht="17.100000000000001" customHeight="1">
      <c r="A379" s="457" t="s">
        <v>2792</v>
      </c>
      <c r="B379" s="53" t="s">
        <v>142</v>
      </c>
      <c r="C379" s="53" t="s">
        <v>142</v>
      </c>
      <c r="D379" s="53" t="s">
        <v>4007</v>
      </c>
      <c r="E379" s="53" t="s">
        <v>5</v>
      </c>
      <c r="F379" s="53" t="s">
        <v>4008</v>
      </c>
      <c r="G379" s="392">
        <v>36586</v>
      </c>
      <c r="H379" s="50" t="s">
        <v>4009</v>
      </c>
      <c r="I379" s="51">
        <v>949</v>
      </c>
      <c r="J379" s="52">
        <v>22814</v>
      </c>
      <c r="K379" s="53" t="s">
        <v>4010</v>
      </c>
      <c r="L379" s="54" t="s">
        <v>4011</v>
      </c>
      <c r="M379" s="773">
        <v>7</v>
      </c>
      <c r="N379" s="718"/>
      <c r="O379" s="774">
        <v>170</v>
      </c>
      <c r="P379" s="60">
        <v>3</v>
      </c>
      <c r="Q379" s="61">
        <v>60</v>
      </c>
      <c r="R379" s="61">
        <v>2</v>
      </c>
      <c r="S379" s="61">
        <v>56</v>
      </c>
      <c r="T379" s="61">
        <v>2</v>
      </c>
      <c r="U379" s="62">
        <v>54</v>
      </c>
      <c r="V379" s="60"/>
      <c r="W379" s="61"/>
      <c r="X379" s="61"/>
      <c r="Y379" s="61"/>
      <c r="Z379" s="61"/>
      <c r="AA379" s="62"/>
      <c r="AB379" s="63"/>
      <c r="AC379" s="61"/>
      <c r="AD379" s="61"/>
      <c r="AE379" s="61"/>
      <c r="AF379" s="61">
        <f t="shared" si="375"/>
        <v>0</v>
      </c>
      <c r="AG379" s="61"/>
      <c r="AH379" s="61"/>
      <c r="AI379" s="62">
        <f t="shared" si="376"/>
        <v>0</v>
      </c>
      <c r="AJ379" s="63"/>
      <c r="AK379" s="61"/>
      <c r="AL379" s="61"/>
      <c r="AM379" s="61"/>
      <c r="AN379" s="61">
        <f t="shared" si="377"/>
        <v>0</v>
      </c>
      <c r="AO379" s="61"/>
      <c r="AP379" s="61"/>
      <c r="AQ379" s="62">
        <f t="shared" si="378"/>
        <v>0</v>
      </c>
      <c r="AR379" s="955"/>
      <c r="AS379" s="956"/>
      <c r="AT379" s="61"/>
      <c r="AU379" s="61"/>
      <c r="AV379" s="61"/>
      <c r="AW379" s="956">
        <f t="shared" si="379"/>
        <v>0</v>
      </c>
      <c r="AX379" s="956"/>
      <c r="AY379" s="956"/>
      <c r="AZ379" s="956"/>
      <c r="BA379" s="957">
        <f t="shared" si="380"/>
        <v>0</v>
      </c>
      <c r="BB379" s="958">
        <f t="shared" ref="BB379:BB392" si="382">SUM(P379,R379,T379,AB379,AJ379,AR379)</f>
        <v>7</v>
      </c>
      <c r="BC379" s="959">
        <f>SUM(Q379,AD379,AT379)</f>
        <v>60</v>
      </c>
      <c r="BD379" s="959">
        <f>SUM(S379,AE379,AL379,AU379)</f>
        <v>56</v>
      </c>
      <c r="BE379" s="959">
        <f>SUM(U379,AM379,AV379)</f>
        <v>54</v>
      </c>
      <c r="BF379" s="959">
        <f t="shared" si="381"/>
        <v>170</v>
      </c>
      <c r="BG379" s="959">
        <f t="shared" ref="BG379:BG392" si="383">SUM(V379,X379,Z379,AC379,AK379,AS379)</f>
        <v>0</v>
      </c>
      <c r="BH379" s="959">
        <f t="shared" ref="BH379:BH392" si="384">SUM(W379,AG379,AX379)</f>
        <v>0</v>
      </c>
      <c r="BI379" s="959">
        <f t="shared" ref="BI379:BI392" si="385">SUM(Y379,AH379,AO379,AY379)</f>
        <v>0</v>
      </c>
      <c r="BJ379" s="959">
        <f t="shared" ref="BJ379:BJ392" si="386">SUM(AA379,AP379,AZ379)</f>
        <v>0</v>
      </c>
      <c r="BK379" s="959">
        <f>SUM(BH379:BJ379)</f>
        <v>0</v>
      </c>
      <c r="BL379" s="53"/>
    </row>
    <row r="380" spans="1:64" s="43" customFormat="1" ht="17.100000000000001" customHeight="1">
      <c r="A380" s="761" t="s">
        <v>3819</v>
      </c>
      <c r="B380" s="55" t="s">
        <v>142</v>
      </c>
      <c r="C380" s="53" t="s">
        <v>142</v>
      </c>
      <c r="D380" s="53" t="s">
        <v>4012</v>
      </c>
      <c r="E380" s="55" t="s">
        <v>5</v>
      </c>
      <c r="F380" s="55" t="s">
        <v>1712</v>
      </c>
      <c r="G380" s="71">
        <v>39514</v>
      </c>
      <c r="H380" s="50" t="s">
        <v>1713</v>
      </c>
      <c r="I380" s="760">
        <v>470</v>
      </c>
      <c r="J380" s="52">
        <v>22786</v>
      </c>
      <c r="K380" s="55" t="s">
        <v>1714</v>
      </c>
      <c r="L380" s="56" t="s">
        <v>1715</v>
      </c>
      <c r="M380" s="394">
        <v>3</v>
      </c>
      <c r="N380" s="395"/>
      <c r="O380" s="396">
        <v>82</v>
      </c>
      <c r="P380" s="67">
        <v>1</v>
      </c>
      <c r="Q380" s="68">
        <v>24</v>
      </c>
      <c r="R380" s="68">
        <v>1</v>
      </c>
      <c r="S380" s="68">
        <v>28</v>
      </c>
      <c r="T380" s="68">
        <v>1</v>
      </c>
      <c r="U380" s="69">
        <v>30</v>
      </c>
      <c r="V380" s="67"/>
      <c r="W380" s="68"/>
      <c r="X380" s="68"/>
      <c r="Y380" s="68"/>
      <c r="Z380" s="68"/>
      <c r="AA380" s="69"/>
      <c r="AB380" s="70"/>
      <c r="AC380" s="68"/>
      <c r="AD380" s="68"/>
      <c r="AE380" s="68"/>
      <c r="AF380" s="68">
        <f t="shared" si="375"/>
        <v>0</v>
      </c>
      <c r="AG380" s="68"/>
      <c r="AH380" s="68"/>
      <c r="AI380" s="69">
        <f t="shared" si="376"/>
        <v>0</v>
      </c>
      <c r="AJ380" s="70"/>
      <c r="AK380" s="68"/>
      <c r="AL380" s="68"/>
      <c r="AM380" s="68"/>
      <c r="AN380" s="68">
        <f t="shared" si="377"/>
        <v>0</v>
      </c>
      <c r="AO380" s="68"/>
      <c r="AP380" s="68"/>
      <c r="AQ380" s="69">
        <f t="shared" si="378"/>
        <v>0</v>
      </c>
      <c r="AR380" s="972"/>
      <c r="AS380" s="973"/>
      <c r="AT380" s="68"/>
      <c r="AU380" s="68"/>
      <c r="AV380" s="68"/>
      <c r="AW380" s="973">
        <f t="shared" si="379"/>
        <v>0</v>
      </c>
      <c r="AX380" s="973"/>
      <c r="AY380" s="973"/>
      <c r="AZ380" s="973"/>
      <c r="BA380" s="974">
        <f t="shared" si="380"/>
        <v>0</v>
      </c>
      <c r="BB380" s="975">
        <f t="shared" si="382"/>
        <v>3</v>
      </c>
      <c r="BC380" s="959">
        <f t="shared" ref="BC380:BC392" si="387">SUM(Q380,AD380,AT380)</f>
        <v>24</v>
      </c>
      <c r="BD380" s="959">
        <f t="shared" ref="BD380" si="388">SUM(S380,AE380,AL380,AU380)</f>
        <v>28</v>
      </c>
      <c r="BE380" s="959">
        <f t="shared" ref="BE380:BE391" si="389">SUM(U380,AM380,AV380)</f>
        <v>30</v>
      </c>
      <c r="BF380" s="959">
        <f t="shared" si="381"/>
        <v>82</v>
      </c>
      <c r="BG380" s="959">
        <f t="shared" si="383"/>
        <v>0</v>
      </c>
      <c r="BH380" s="959">
        <f t="shared" si="384"/>
        <v>0</v>
      </c>
      <c r="BI380" s="959">
        <f t="shared" si="385"/>
        <v>0</v>
      </c>
      <c r="BJ380" s="959">
        <f t="shared" si="386"/>
        <v>0</v>
      </c>
      <c r="BK380" s="959">
        <f t="shared" ref="BK380:BK392" si="390">SUM(BH380:BJ380)</f>
        <v>0</v>
      </c>
      <c r="BL380" s="55"/>
    </row>
    <row r="381" spans="1:64" s="43" customFormat="1" ht="17.100000000000001" customHeight="1">
      <c r="A381" s="761" t="s">
        <v>2796</v>
      </c>
      <c r="B381" s="55" t="s">
        <v>142</v>
      </c>
      <c r="C381" s="53" t="s">
        <v>142</v>
      </c>
      <c r="D381" s="53" t="s">
        <v>2797</v>
      </c>
      <c r="E381" s="55" t="s">
        <v>2529</v>
      </c>
      <c r="F381" s="55" t="s">
        <v>4013</v>
      </c>
      <c r="G381" s="71">
        <v>42979</v>
      </c>
      <c r="H381" s="50" t="s">
        <v>4014</v>
      </c>
      <c r="I381" s="760">
        <v>657</v>
      </c>
      <c r="J381" s="52">
        <v>22691</v>
      </c>
      <c r="K381" s="55" t="s">
        <v>4015</v>
      </c>
      <c r="L381" s="56" t="s">
        <v>4016</v>
      </c>
      <c r="M381" s="394">
        <v>11</v>
      </c>
      <c r="N381" s="395">
        <v>0</v>
      </c>
      <c r="O381" s="396">
        <v>247</v>
      </c>
      <c r="P381" s="67">
        <v>4</v>
      </c>
      <c r="Q381" s="68">
        <v>76</v>
      </c>
      <c r="R381" s="68">
        <v>4</v>
      </c>
      <c r="S381" s="68">
        <v>96</v>
      </c>
      <c r="T381" s="68">
        <v>3</v>
      </c>
      <c r="U381" s="69">
        <v>75</v>
      </c>
      <c r="V381" s="67">
        <v>0</v>
      </c>
      <c r="W381" s="68">
        <v>0</v>
      </c>
      <c r="X381" s="68">
        <v>0</v>
      </c>
      <c r="Y381" s="68">
        <v>0</v>
      </c>
      <c r="Z381" s="68">
        <v>0</v>
      </c>
      <c r="AA381" s="69">
        <v>0</v>
      </c>
      <c r="AB381" s="70">
        <v>0</v>
      </c>
      <c r="AC381" s="68">
        <v>0</v>
      </c>
      <c r="AD381" s="68">
        <v>0</v>
      </c>
      <c r="AE381" s="68">
        <v>0</v>
      </c>
      <c r="AF381" s="68">
        <f t="shared" si="375"/>
        <v>0</v>
      </c>
      <c r="AG381" s="68">
        <v>0</v>
      </c>
      <c r="AH381" s="68">
        <v>0</v>
      </c>
      <c r="AI381" s="69">
        <f t="shared" si="376"/>
        <v>0</v>
      </c>
      <c r="AJ381" s="70">
        <v>0</v>
      </c>
      <c r="AK381" s="68">
        <v>0</v>
      </c>
      <c r="AL381" s="68">
        <v>0</v>
      </c>
      <c r="AM381" s="68">
        <v>0</v>
      </c>
      <c r="AN381" s="68">
        <f t="shared" si="377"/>
        <v>0</v>
      </c>
      <c r="AO381" s="68">
        <v>0</v>
      </c>
      <c r="AP381" s="68">
        <v>0</v>
      </c>
      <c r="AQ381" s="69">
        <f t="shared" si="378"/>
        <v>0</v>
      </c>
      <c r="AR381" s="972">
        <v>0</v>
      </c>
      <c r="AS381" s="973">
        <v>0</v>
      </c>
      <c r="AT381" s="68">
        <v>0</v>
      </c>
      <c r="AU381" s="68">
        <v>0</v>
      </c>
      <c r="AV381" s="68">
        <v>0</v>
      </c>
      <c r="AW381" s="973">
        <f t="shared" si="379"/>
        <v>0</v>
      </c>
      <c r="AX381" s="973">
        <v>0</v>
      </c>
      <c r="AY381" s="973">
        <v>0</v>
      </c>
      <c r="AZ381" s="973">
        <v>0</v>
      </c>
      <c r="BA381" s="974">
        <f t="shared" si="380"/>
        <v>0</v>
      </c>
      <c r="BB381" s="975">
        <f t="shared" si="382"/>
        <v>11</v>
      </c>
      <c r="BC381" s="959">
        <f t="shared" si="387"/>
        <v>76</v>
      </c>
      <c r="BD381" s="959">
        <f>SUM(S381,AE381,AL381,AU381)</f>
        <v>96</v>
      </c>
      <c r="BE381" s="959">
        <f t="shared" si="389"/>
        <v>75</v>
      </c>
      <c r="BF381" s="959">
        <f t="shared" si="381"/>
        <v>247</v>
      </c>
      <c r="BG381" s="959">
        <f t="shared" si="383"/>
        <v>0</v>
      </c>
      <c r="BH381" s="959">
        <f t="shared" si="384"/>
        <v>0</v>
      </c>
      <c r="BI381" s="959">
        <f t="shared" si="385"/>
        <v>0</v>
      </c>
      <c r="BJ381" s="959">
        <f t="shared" si="386"/>
        <v>0</v>
      </c>
      <c r="BK381" s="959">
        <f t="shared" si="390"/>
        <v>0</v>
      </c>
      <c r="BL381" s="55"/>
    </row>
    <row r="382" spans="1:64" s="43" customFormat="1" ht="17.100000000000001" customHeight="1">
      <c r="A382" s="761" t="s">
        <v>2796</v>
      </c>
      <c r="B382" s="55" t="s">
        <v>142</v>
      </c>
      <c r="C382" s="53" t="s">
        <v>142</v>
      </c>
      <c r="D382" s="53" t="s">
        <v>2797</v>
      </c>
      <c r="E382" s="55" t="s">
        <v>2529</v>
      </c>
      <c r="F382" s="55" t="s">
        <v>4017</v>
      </c>
      <c r="G382" s="392">
        <v>42453</v>
      </c>
      <c r="H382" s="50" t="s">
        <v>4018</v>
      </c>
      <c r="I382" s="760">
        <v>442</v>
      </c>
      <c r="J382" s="52">
        <v>22693</v>
      </c>
      <c r="K382" s="55" t="s">
        <v>1716</v>
      </c>
      <c r="L382" s="56" t="s">
        <v>1717</v>
      </c>
      <c r="M382" s="394">
        <v>8</v>
      </c>
      <c r="N382" s="395"/>
      <c r="O382" s="396">
        <v>182</v>
      </c>
      <c r="P382" s="67">
        <v>2</v>
      </c>
      <c r="Q382" s="68">
        <v>46</v>
      </c>
      <c r="R382" s="68">
        <v>3</v>
      </c>
      <c r="S382" s="68">
        <v>57</v>
      </c>
      <c r="T382" s="68">
        <v>3</v>
      </c>
      <c r="U382" s="69">
        <v>74</v>
      </c>
      <c r="V382" s="67"/>
      <c r="W382" s="68"/>
      <c r="X382" s="68"/>
      <c r="Y382" s="68"/>
      <c r="Z382" s="68"/>
      <c r="AA382" s="69"/>
      <c r="AB382" s="70"/>
      <c r="AC382" s="68"/>
      <c r="AD382" s="68"/>
      <c r="AE382" s="68"/>
      <c r="AF382" s="68">
        <f t="shared" si="375"/>
        <v>0</v>
      </c>
      <c r="AG382" s="68"/>
      <c r="AH382" s="68"/>
      <c r="AI382" s="69">
        <f t="shared" si="376"/>
        <v>0</v>
      </c>
      <c r="AJ382" s="70"/>
      <c r="AK382" s="68"/>
      <c r="AL382" s="68"/>
      <c r="AM382" s="68"/>
      <c r="AN382" s="68">
        <f t="shared" si="377"/>
        <v>0</v>
      </c>
      <c r="AO382" s="68"/>
      <c r="AP382" s="68"/>
      <c r="AQ382" s="69">
        <f t="shared" si="378"/>
        <v>0</v>
      </c>
      <c r="AR382" s="972"/>
      <c r="AS382" s="973"/>
      <c r="AT382" s="68"/>
      <c r="AU382" s="68"/>
      <c r="AV382" s="68"/>
      <c r="AW382" s="973">
        <f t="shared" si="379"/>
        <v>0</v>
      </c>
      <c r="AX382" s="973"/>
      <c r="AY382" s="973"/>
      <c r="AZ382" s="973"/>
      <c r="BA382" s="974">
        <f t="shared" si="380"/>
        <v>0</v>
      </c>
      <c r="BB382" s="975">
        <f t="shared" si="382"/>
        <v>8</v>
      </c>
      <c r="BC382" s="959">
        <f t="shared" si="387"/>
        <v>46</v>
      </c>
      <c r="BD382" s="959">
        <f>SUM(S382,AE382,AL382,AU382)</f>
        <v>57</v>
      </c>
      <c r="BE382" s="959">
        <f t="shared" si="389"/>
        <v>74</v>
      </c>
      <c r="BF382" s="959">
        <f t="shared" si="381"/>
        <v>177</v>
      </c>
      <c r="BG382" s="959">
        <f t="shared" si="383"/>
        <v>0</v>
      </c>
      <c r="BH382" s="959">
        <f t="shared" si="384"/>
        <v>0</v>
      </c>
      <c r="BI382" s="959">
        <f t="shared" si="385"/>
        <v>0</v>
      </c>
      <c r="BJ382" s="959">
        <f t="shared" si="386"/>
        <v>0</v>
      </c>
      <c r="BK382" s="959">
        <f t="shared" si="390"/>
        <v>0</v>
      </c>
      <c r="BL382" s="55"/>
    </row>
    <row r="383" spans="1:64" s="43" customFormat="1" ht="17.100000000000001" customHeight="1">
      <c r="A383" s="761" t="s">
        <v>2796</v>
      </c>
      <c r="B383" s="55" t="s">
        <v>142</v>
      </c>
      <c r="C383" s="53" t="s">
        <v>142</v>
      </c>
      <c r="D383" s="53" t="s">
        <v>2797</v>
      </c>
      <c r="E383" s="53" t="s">
        <v>2529</v>
      </c>
      <c r="F383" s="53" t="s">
        <v>4019</v>
      </c>
      <c r="G383" s="71">
        <v>41883</v>
      </c>
      <c r="H383" s="50" t="s">
        <v>4020</v>
      </c>
      <c r="I383" s="51">
        <v>530</v>
      </c>
      <c r="J383" s="52">
        <v>22693</v>
      </c>
      <c r="K383" s="53" t="s">
        <v>4021</v>
      </c>
      <c r="L383" s="54" t="s">
        <v>4022</v>
      </c>
      <c r="M383" s="773">
        <v>9</v>
      </c>
      <c r="N383" s="718"/>
      <c r="O383" s="774">
        <v>189</v>
      </c>
      <c r="P383" s="60">
        <v>2</v>
      </c>
      <c r="Q383" s="61">
        <v>47</v>
      </c>
      <c r="R383" s="61">
        <v>3</v>
      </c>
      <c r="S383" s="61">
        <v>66</v>
      </c>
      <c r="T383" s="61">
        <v>3</v>
      </c>
      <c r="U383" s="62">
        <v>76</v>
      </c>
      <c r="V383" s="60"/>
      <c r="W383" s="61"/>
      <c r="X383" s="61"/>
      <c r="Y383" s="61"/>
      <c r="Z383" s="61"/>
      <c r="AA383" s="62"/>
      <c r="AB383" s="63"/>
      <c r="AC383" s="61"/>
      <c r="AD383" s="61"/>
      <c r="AE383" s="61"/>
      <c r="AF383" s="61">
        <f t="shared" si="375"/>
        <v>0</v>
      </c>
      <c r="AG383" s="61"/>
      <c r="AH383" s="61"/>
      <c r="AI383" s="62">
        <f t="shared" si="376"/>
        <v>0</v>
      </c>
      <c r="AJ383" s="63"/>
      <c r="AK383" s="61"/>
      <c r="AL383" s="61"/>
      <c r="AM383" s="61"/>
      <c r="AN383" s="61">
        <f t="shared" si="377"/>
        <v>0</v>
      </c>
      <c r="AO383" s="61"/>
      <c r="AP383" s="61"/>
      <c r="AQ383" s="62">
        <f t="shared" si="378"/>
        <v>0</v>
      </c>
      <c r="AR383" s="955"/>
      <c r="AS383" s="956"/>
      <c r="AT383" s="61"/>
      <c r="AU383" s="61"/>
      <c r="AV383" s="61"/>
      <c r="AW383" s="956">
        <f t="shared" si="379"/>
        <v>0</v>
      </c>
      <c r="AX383" s="956"/>
      <c r="AY383" s="956"/>
      <c r="AZ383" s="956"/>
      <c r="BA383" s="957">
        <f t="shared" si="380"/>
        <v>0</v>
      </c>
      <c r="BB383" s="958">
        <f t="shared" si="382"/>
        <v>8</v>
      </c>
      <c r="BC383" s="959">
        <f t="shared" si="387"/>
        <v>47</v>
      </c>
      <c r="BD383" s="959">
        <f>SUM(S383,AE383,AL383,AU383)</f>
        <v>66</v>
      </c>
      <c r="BE383" s="959">
        <f t="shared" si="389"/>
        <v>76</v>
      </c>
      <c r="BF383" s="959">
        <f t="shared" si="381"/>
        <v>189</v>
      </c>
      <c r="BG383" s="959">
        <f t="shared" si="383"/>
        <v>0</v>
      </c>
      <c r="BH383" s="959">
        <f t="shared" si="384"/>
        <v>0</v>
      </c>
      <c r="BI383" s="959">
        <f t="shared" si="385"/>
        <v>0</v>
      </c>
      <c r="BJ383" s="959">
        <f t="shared" si="386"/>
        <v>0</v>
      </c>
      <c r="BK383" s="959">
        <f t="shared" si="390"/>
        <v>0</v>
      </c>
      <c r="BL383" s="53"/>
    </row>
    <row r="384" spans="1:64" s="43" customFormat="1" ht="17.100000000000001" customHeight="1">
      <c r="A384" s="761" t="s">
        <v>2796</v>
      </c>
      <c r="B384" s="55" t="s">
        <v>142</v>
      </c>
      <c r="C384" s="53" t="s">
        <v>142</v>
      </c>
      <c r="D384" s="53" t="s">
        <v>2797</v>
      </c>
      <c r="E384" s="55" t="s">
        <v>5</v>
      </c>
      <c r="F384" s="55" t="s">
        <v>4023</v>
      </c>
      <c r="G384" s="71">
        <v>39264</v>
      </c>
      <c r="H384" s="50" t="s">
        <v>2810</v>
      </c>
      <c r="I384" s="760">
        <v>1097</v>
      </c>
      <c r="J384" s="52">
        <v>22697</v>
      </c>
      <c r="K384" s="53" t="s">
        <v>4024</v>
      </c>
      <c r="L384" s="54" t="s">
        <v>4025</v>
      </c>
      <c r="M384" s="394">
        <v>9</v>
      </c>
      <c r="N384" s="395"/>
      <c r="O384" s="396">
        <v>249</v>
      </c>
      <c r="P384" s="67">
        <v>3</v>
      </c>
      <c r="Q384" s="68">
        <v>73</v>
      </c>
      <c r="R384" s="68">
        <v>3</v>
      </c>
      <c r="S384" s="68">
        <v>90</v>
      </c>
      <c r="T384" s="68">
        <v>3</v>
      </c>
      <c r="U384" s="69">
        <v>79</v>
      </c>
      <c r="V384" s="67"/>
      <c r="W384" s="68"/>
      <c r="X384" s="68"/>
      <c r="Y384" s="68"/>
      <c r="Z384" s="68"/>
      <c r="AA384" s="69"/>
      <c r="AB384" s="70"/>
      <c r="AC384" s="68"/>
      <c r="AD384" s="68"/>
      <c r="AE384" s="68"/>
      <c r="AF384" s="68">
        <f t="shared" si="375"/>
        <v>0</v>
      </c>
      <c r="AG384" s="68"/>
      <c r="AH384" s="68"/>
      <c r="AI384" s="69">
        <f t="shared" si="376"/>
        <v>0</v>
      </c>
      <c r="AJ384" s="70"/>
      <c r="AK384" s="68"/>
      <c r="AL384" s="68"/>
      <c r="AM384" s="68"/>
      <c r="AN384" s="68">
        <f t="shared" si="377"/>
        <v>0</v>
      </c>
      <c r="AO384" s="68"/>
      <c r="AP384" s="68"/>
      <c r="AQ384" s="69">
        <f t="shared" si="378"/>
        <v>0</v>
      </c>
      <c r="AR384" s="972"/>
      <c r="AS384" s="973"/>
      <c r="AT384" s="68"/>
      <c r="AU384" s="68"/>
      <c r="AV384" s="68"/>
      <c r="AW384" s="973">
        <f t="shared" si="379"/>
        <v>0</v>
      </c>
      <c r="AX384" s="973"/>
      <c r="AY384" s="973"/>
      <c r="AZ384" s="973"/>
      <c r="BA384" s="974">
        <f t="shared" si="380"/>
        <v>0</v>
      </c>
      <c r="BB384" s="975">
        <f t="shared" si="382"/>
        <v>9</v>
      </c>
      <c r="BC384" s="959">
        <f t="shared" si="387"/>
        <v>73</v>
      </c>
      <c r="BD384" s="959">
        <f>SUM(S384,AE384,AL384,AU384)</f>
        <v>90</v>
      </c>
      <c r="BE384" s="959">
        <f t="shared" si="389"/>
        <v>79</v>
      </c>
      <c r="BF384" s="959">
        <f t="shared" si="381"/>
        <v>242</v>
      </c>
      <c r="BG384" s="959">
        <f t="shared" si="383"/>
        <v>0</v>
      </c>
      <c r="BH384" s="959">
        <f t="shared" si="384"/>
        <v>0</v>
      </c>
      <c r="BI384" s="959">
        <f t="shared" si="385"/>
        <v>0</v>
      </c>
      <c r="BJ384" s="959">
        <f t="shared" si="386"/>
        <v>0</v>
      </c>
      <c r="BK384" s="959">
        <f t="shared" si="390"/>
        <v>0</v>
      </c>
      <c r="BL384" s="55"/>
    </row>
    <row r="385" spans="1:64" s="43" customFormat="1" ht="17.100000000000001" customHeight="1">
      <c r="A385" s="949" t="s">
        <v>2796</v>
      </c>
      <c r="B385" s="1021" t="s">
        <v>142</v>
      </c>
      <c r="C385" s="726" t="s">
        <v>142</v>
      </c>
      <c r="D385" s="726" t="s">
        <v>2798</v>
      </c>
      <c r="E385" s="1021" t="s">
        <v>2529</v>
      </c>
      <c r="F385" s="1021" t="s">
        <v>4026</v>
      </c>
      <c r="G385" s="725">
        <v>38825</v>
      </c>
      <c r="H385" s="727" t="s">
        <v>4027</v>
      </c>
      <c r="I385" s="770">
        <v>445</v>
      </c>
      <c r="J385" s="740">
        <v>22780</v>
      </c>
      <c r="K385" s="1021" t="s">
        <v>4028</v>
      </c>
      <c r="L385" s="1022" t="s">
        <v>4029</v>
      </c>
      <c r="M385" s="394">
        <v>6</v>
      </c>
      <c r="N385" s="395"/>
      <c r="O385" s="396">
        <v>172</v>
      </c>
      <c r="P385" s="786">
        <v>2</v>
      </c>
      <c r="Q385" s="784">
        <v>43</v>
      </c>
      <c r="R385" s="784">
        <v>2</v>
      </c>
      <c r="S385" s="784">
        <v>48</v>
      </c>
      <c r="T385" s="784">
        <v>2</v>
      </c>
      <c r="U385" s="785">
        <v>56</v>
      </c>
      <c r="V385" s="786"/>
      <c r="W385" s="784"/>
      <c r="X385" s="784"/>
      <c r="Y385" s="784"/>
      <c r="Z385" s="784"/>
      <c r="AA385" s="785"/>
      <c r="AB385" s="783"/>
      <c r="AC385" s="784"/>
      <c r="AD385" s="784"/>
      <c r="AE385" s="784"/>
      <c r="AF385" s="784">
        <f t="shared" si="375"/>
        <v>0</v>
      </c>
      <c r="AG385" s="784"/>
      <c r="AH385" s="784"/>
      <c r="AI385" s="785">
        <f t="shared" si="376"/>
        <v>0</v>
      </c>
      <c r="AJ385" s="783"/>
      <c r="AK385" s="784"/>
      <c r="AL385" s="784"/>
      <c r="AM385" s="784"/>
      <c r="AN385" s="784">
        <f t="shared" si="377"/>
        <v>0</v>
      </c>
      <c r="AO385" s="784"/>
      <c r="AP385" s="784"/>
      <c r="AQ385" s="785">
        <f t="shared" si="378"/>
        <v>0</v>
      </c>
      <c r="AR385" s="1025"/>
      <c r="AS385" s="1026"/>
      <c r="AT385" s="784"/>
      <c r="AU385" s="784"/>
      <c r="AV385" s="784"/>
      <c r="AW385" s="1026">
        <f t="shared" si="379"/>
        <v>0</v>
      </c>
      <c r="AX385" s="1026"/>
      <c r="AY385" s="1026"/>
      <c r="AZ385" s="1026"/>
      <c r="BA385" s="1027">
        <f t="shared" si="380"/>
        <v>0</v>
      </c>
      <c r="BB385" s="1028">
        <f t="shared" si="382"/>
        <v>6</v>
      </c>
      <c r="BC385" s="1029">
        <f t="shared" si="387"/>
        <v>43</v>
      </c>
      <c r="BD385" s="1029">
        <v>48</v>
      </c>
      <c r="BE385" s="1029">
        <f t="shared" si="389"/>
        <v>56</v>
      </c>
      <c r="BF385" s="1029">
        <f t="shared" si="381"/>
        <v>147</v>
      </c>
      <c r="BG385" s="1029">
        <f t="shared" si="383"/>
        <v>0</v>
      </c>
      <c r="BH385" s="1029">
        <f t="shared" si="384"/>
        <v>0</v>
      </c>
      <c r="BI385" s="1029">
        <f t="shared" si="385"/>
        <v>0</v>
      </c>
      <c r="BJ385" s="1029">
        <f t="shared" si="386"/>
        <v>0</v>
      </c>
      <c r="BK385" s="1029">
        <f t="shared" si="390"/>
        <v>0</v>
      </c>
      <c r="BL385" s="1021"/>
    </row>
    <row r="386" spans="1:64" s="43" customFormat="1" ht="17.100000000000001" customHeight="1">
      <c r="A386" s="457" t="s">
        <v>2796</v>
      </c>
      <c r="B386" s="53" t="s">
        <v>142</v>
      </c>
      <c r="C386" s="53" t="s">
        <v>142</v>
      </c>
      <c r="D386" s="53" t="s">
        <v>2799</v>
      </c>
      <c r="E386" s="53" t="s">
        <v>2529</v>
      </c>
      <c r="F386" s="53" t="s">
        <v>4030</v>
      </c>
      <c r="G386" s="71">
        <v>35184</v>
      </c>
      <c r="H386" s="50" t="s">
        <v>4031</v>
      </c>
      <c r="I386" s="51">
        <v>657</v>
      </c>
      <c r="J386" s="52">
        <v>22714</v>
      </c>
      <c r="K386" s="53" t="s">
        <v>4032</v>
      </c>
      <c r="L386" s="54" t="s">
        <v>4033</v>
      </c>
      <c r="M386" s="773">
        <v>5</v>
      </c>
      <c r="N386" s="718"/>
      <c r="O386" s="774">
        <v>167</v>
      </c>
      <c r="P386" s="60">
        <v>1</v>
      </c>
      <c r="Q386" s="61">
        <v>24</v>
      </c>
      <c r="R386" s="61">
        <v>2</v>
      </c>
      <c r="S386" s="61">
        <v>29</v>
      </c>
      <c r="T386" s="61">
        <v>2</v>
      </c>
      <c r="U386" s="62">
        <v>54</v>
      </c>
      <c r="V386" s="60"/>
      <c r="W386" s="61"/>
      <c r="X386" s="61"/>
      <c r="Y386" s="61"/>
      <c r="Z386" s="61"/>
      <c r="AA386" s="62"/>
      <c r="AB386" s="63"/>
      <c r="AC386" s="61"/>
      <c r="AD386" s="61"/>
      <c r="AE386" s="61"/>
      <c r="AF386" s="61">
        <f t="shared" si="375"/>
        <v>0</v>
      </c>
      <c r="AG386" s="61"/>
      <c r="AH386" s="61"/>
      <c r="AI386" s="62">
        <f t="shared" si="376"/>
        <v>0</v>
      </c>
      <c r="AJ386" s="63"/>
      <c r="AK386" s="61"/>
      <c r="AL386" s="61"/>
      <c r="AM386" s="61"/>
      <c r="AN386" s="61">
        <f t="shared" si="377"/>
        <v>0</v>
      </c>
      <c r="AO386" s="61"/>
      <c r="AP386" s="61"/>
      <c r="AQ386" s="62">
        <f t="shared" si="378"/>
        <v>0</v>
      </c>
      <c r="AR386" s="955"/>
      <c r="AS386" s="956"/>
      <c r="AT386" s="61"/>
      <c r="AU386" s="61"/>
      <c r="AV386" s="61"/>
      <c r="AW386" s="956">
        <f t="shared" si="379"/>
        <v>0</v>
      </c>
      <c r="AX386" s="956"/>
      <c r="AY386" s="956"/>
      <c r="AZ386" s="956"/>
      <c r="BA386" s="957">
        <f t="shared" si="380"/>
        <v>0</v>
      </c>
      <c r="BB386" s="958">
        <f t="shared" si="382"/>
        <v>5</v>
      </c>
      <c r="BC386" s="959">
        <f t="shared" si="387"/>
        <v>24</v>
      </c>
      <c r="BD386" s="959">
        <f t="shared" ref="BD386:BD392" si="391">SUM(S386,AE386,AL386,AU386)</f>
        <v>29</v>
      </c>
      <c r="BE386" s="959">
        <f t="shared" si="389"/>
        <v>54</v>
      </c>
      <c r="BF386" s="959">
        <f t="shared" si="381"/>
        <v>107</v>
      </c>
      <c r="BG386" s="959">
        <f t="shared" si="383"/>
        <v>0</v>
      </c>
      <c r="BH386" s="959">
        <f t="shared" si="384"/>
        <v>0</v>
      </c>
      <c r="BI386" s="959">
        <f t="shared" si="385"/>
        <v>0</v>
      </c>
      <c r="BJ386" s="959">
        <f t="shared" si="386"/>
        <v>0</v>
      </c>
      <c r="BK386" s="959">
        <f t="shared" si="390"/>
        <v>0</v>
      </c>
      <c r="BL386" s="53"/>
    </row>
    <row r="387" spans="1:64" s="43" customFormat="1" ht="17.100000000000001" customHeight="1">
      <c r="A387" s="457" t="s">
        <v>2796</v>
      </c>
      <c r="B387" s="53" t="s">
        <v>142</v>
      </c>
      <c r="C387" s="53" t="s">
        <v>4034</v>
      </c>
      <c r="D387" s="53" t="s">
        <v>2799</v>
      </c>
      <c r="E387" s="53" t="s">
        <v>2529</v>
      </c>
      <c r="F387" s="53" t="s">
        <v>4035</v>
      </c>
      <c r="G387" s="71">
        <v>39499</v>
      </c>
      <c r="H387" s="50" t="s">
        <v>4036</v>
      </c>
      <c r="I387" s="51">
        <v>1321</v>
      </c>
      <c r="J387" s="52">
        <v>22724</v>
      </c>
      <c r="K387" s="53" t="s">
        <v>4037</v>
      </c>
      <c r="L387" s="54" t="s">
        <v>4038</v>
      </c>
      <c r="M387" s="773">
        <v>14</v>
      </c>
      <c r="N387" s="718"/>
      <c r="O387" s="774">
        <v>350</v>
      </c>
      <c r="P387" s="60">
        <v>5</v>
      </c>
      <c r="Q387" s="61">
        <v>102</v>
      </c>
      <c r="R387" s="61">
        <v>5</v>
      </c>
      <c r="S387" s="61">
        <v>110</v>
      </c>
      <c r="T387" s="61">
        <v>4</v>
      </c>
      <c r="U387" s="62">
        <v>113</v>
      </c>
      <c r="V387" s="60"/>
      <c r="W387" s="61"/>
      <c r="X387" s="61"/>
      <c r="Y387" s="61"/>
      <c r="Z387" s="61"/>
      <c r="AA387" s="62"/>
      <c r="AB387" s="63"/>
      <c r="AC387" s="61"/>
      <c r="AD387" s="61"/>
      <c r="AE387" s="61"/>
      <c r="AF387" s="61">
        <f t="shared" si="375"/>
        <v>0</v>
      </c>
      <c r="AG387" s="61"/>
      <c r="AH387" s="61"/>
      <c r="AI387" s="62">
        <f t="shared" si="376"/>
        <v>0</v>
      </c>
      <c r="AJ387" s="63"/>
      <c r="AK387" s="61"/>
      <c r="AL387" s="61"/>
      <c r="AM387" s="61"/>
      <c r="AN387" s="61">
        <f t="shared" si="377"/>
        <v>0</v>
      </c>
      <c r="AO387" s="61"/>
      <c r="AP387" s="61"/>
      <c r="AQ387" s="62">
        <f t="shared" si="378"/>
        <v>0</v>
      </c>
      <c r="AR387" s="955"/>
      <c r="AS387" s="956"/>
      <c r="AT387" s="61"/>
      <c r="AU387" s="61"/>
      <c r="AV387" s="61"/>
      <c r="AW387" s="956">
        <f t="shared" si="379"/>
        <v>0</v>
      </c>
      <c r="AX387" s="956"/>
      <c r="AY387" s="956"/>
      <c r="AZ387" s="956"/>
      <c r="BA387" s="957">
        <f t="shared" si="380"/>
        <v>0</v>
      </c>
      <c r="BB387" s="958">
        <f t="shared" si="382"/>
        <v>14</v>
      </c>
      <c r="BC387" s="959">
        <f t="shared" si="387"/>
        <v>102</v>
      </c>
      <c r="BD387" s="959">
        <f t="shared" si="391"/>
        <v>110</v>
      </c>
      <c r="BE387" s="959">
        <f t="shared" si="389"/>
        <v>113</v>
      </c>
      <c r="BF387" s="959">
        <f t="shared" si="381"/>
        <v>325</v>
      </c>
      <c r="BG387" s="959">
        <f t="shared" si="383"/>
        <v>0</v>
      </c>
      <c r="BH387" s="959">
        <f t="shared" si="384"/>
        <v>0</v>
      </c>
      <c r="BI387" s="959">
        <f t="shared" si="385"/>
        <v>0</v>
      </c>
      <c r="BJ387" s="959">
        <f t="shared" si="386"/>
        <v>0</v>
      </c>
      <c r="BK387" s="959">
        <f t="shared" si="390"/>
        <v>0</v>
      </c>
      <c r="BL387" s="53"/>
    </row>
    <row r="388" spans="1:64" s="43" customFormat="1" ht="17.100000000000001" customHeight="1">
      <c r="A388" s="457" t="s">
        <v>2796</v>
      </c>
      <c r="B388" s="53" t="s">
        <v>142</v>
      </c>
      <c r="C388" s="53" t="s">
        <v>142</v>
      </c>
      <c r="D388" s="53" t="s">
        <v>2800</v>
      </c>
      <c r="E388" s="53" t="s">
        <v>5</v>
      </c>
      <c r="F388" s="53" t="s">
        <v>2634</v>
      </c>
      <c r="G388" s="71">
        <v>41165</v>
      </c>
      <c r="H388" s="50" t="s">
        <v>4039</v>
      </c>
      <c r="I388" s="51">
        <v>799</v>
      </c>
      <c r="J388" s="52">
        <v>22763</v>
      </c>
      <c r="K388" s="53" t="s">
        <v>4040</v>
      </c>
      <c r="L388" s="54" t="s">
        <v>4040</v>
      </c>
      <c r="M388" s="773">
        <v>16</v>
      </c>
      <c r="N388" s="718"/>
      <c r="O388" s="774">
        <v>370</v>
      </c>
      <c r="P388" s="60">
        <v>5</v>
      </c>
      <c r="Q388" s="61">
        <v>117</v>
      </c>
      <c r="R388" s="61">
        <v>5</v>
      </c>
      <c r="S388" s="61">
        <v>125</v>
      </c>
      <c r="T388" s="61">
        <v>5</v>
      </c>
      <c r="U388" s="62">
        <v>127</v>
      </c>
      <c r="V388" s="60"/>
      <c r="W388" s="61"/>
      <c r="X388" s="61"/>
      <c r="Y388" s="61"/>
      <c r="Z388" s="61"/>
      <c r="AA388" s="62"/>
      <c r="AB388" s="63"/>
      <c r="AC388" s="61"/>
      <c r="AD388" s="61"/>
      <c r="AE388" s="61"/>
      <c r="AF388" s="61">
        <f t="shared" si="375"/>
        <v>0</v>
      </c>
      <c r="AG388" s="61"/>
      <c r="AH388" s="61"/>
      <c r="AI388" s="62">
        <f t="shared" si="376"/>
        <v>0</v>
      </c>
      <c r="AJ388" s="63"/>
      <c r="AK388" s="61"/>
      <c r="AL388" s="61"/>
      <c r="AM388" s="61"/>
      <c r="AN388" s="61">
        <f t="shared" si="377"/>
        <v>0</v>
      </c>
      <c r="AO388" s="61"/>
      <c r="AP388" s="61"/>
      <c r="AQ388" s="62">
        <f t="shared" si="378"/>
        <v>0</v>
      </c>
      <c r="AR388" s="955"/>
      <c r="AS388" s="956"/>
      <c r="AT388" s="61"/>
      <c r="AU388" s="61"/>
      <c r="AV388" s="61"/>
      <c r="AW388" s="956">
        <f t="shared" si="379"/>
        <v>0</v>
      </c>
      <c r="AX388" s="956"/>
      <c r="AY388" s="956"/>
      <c r="AZ388" s="956"/>
      <c r="BA388" s="957">
        <f t="shared" si="380"/>
        <v>0</v>
      </c>
      <c r="BB388" s="958">
        <f t="shared" si="382"/>
        <v>15</v>
      </c>
      <c r="BC388" s="959">
        <f t="shared" si="387"/>
        <v>117</v>
      </c>
      <c r="BD388" s="959">
        <f t="shared" si="391"/>
        <v>125</v>
      </c>
      <c r="BE388" s="959">
        <f t="shared" si="389"/>
        <v>127</v>
      </c>
      <c r="BF388" s="959">
        <f t="shared" si="381"/>
        <v>369</v>
      </c>
      <c r="BG388" s="959">
        <f t="shared" si="383"/>
        <v>0</v>
      </c>
      <c r="BH388" s="959">
        <f t="shared" si="384"/>
        <v>0</v>
      </c>
      <c r="BI388" s="959">
        <f t="shared" si="385"/>
        <v>0</v>
      </c>
      <c r="BJ388" s="959">
        <f t="shared" si="386"/>
        <v>0</v>
      </c>
      <c r="BK388" s="959">
        <f t="shared" si="390"/>
        <v>0</v>
      </c>
      <c r="BL388" s="53"/>
    </row>
    <row r="389" spans="1:64" s="43" customFormat="1" ht="17.100000000000001" customHeight="1">
      <c r="A389" s="457" t="s">
        <v>2796</v>
      </c>
      <c r="B389" s="53" t="s">
        <v>142</v>
      </c>
      <c r="C389" s="53" t="s">
        <v>142</v>
      </c>
      <c r="D389" s="53" t="s">
        <v>2800</v>
      </c>
      <c r="E389" s="53" t="s">
        <v>5</v>
      </c>
      <c r="F389" s="53" t="s">
        <v>4041</v>
      </c>
      <c r="G389" s="71">
        <v>41149</v>
      </c>
      <c r="H389" s="50" t="s">
        <v>1718</v>
      </c>
      <c r="I389" s="51">
        <v>689</v>
      </c>
      <c r="J389" s="52">
        <v>22764</v>
      </c>
      <c r="K389" s="53" t="s">
        <v>4042</v>
      </c>
      <c r="L389" s="54" t="s">
        <v>4043</v>
      </c>
      <c r="M389" s="773">
        <v>5</v>
      </c>
      <c r="N389" s="718"/>
      <c r="O389" s="774">
        <v>122</v>
      </c>
      <c r="P389" s="60">
        <v>1</v>
      </c>
      <c r="Q389" s="61">
        <v>24</v>
      </c>
      <c r="R389" s="61">
        <v>2</v>
      </c>
      <c r="S389" s="61">
        <v>48</v>
      </c>
      <c r="T389" s="61">
        <v>2</v>
      </c>
      <c r="U389" s="62">
        <v>48</v>
      </c>
      <c r="V389" s="60"/>
      <c r="W389" s="61"/>
      <c r="X389" s="61"/>
      <c r="Y389" s="61"/>
      <c r="Z389" s="61"/>
      <c r="AA389" s="62"/>
      <c r="AB389" s="63"/>
      <c r="AC389" s="61"/>
      <c r="AD389" s="61"/>
      <c r="AE389" s="61"/>
      <c r="AF389" s="61">
        <f t="shared" si="375"/>
        <v>0</v>
      </c>
      <c r="AG389" s="61"/>
      <c r="AH389" s="61"/>
      <c r="AI389" s="62">
        <f t="shared" si="376"/>
        <v>0</v>
      </c>
      <c r="AJ389" s="63"/>
      <c r="AK389" s="61"/>
      <c r="AL389" s="61"/>
      <c r="AM389" s="61"/>
      <c r="AN389" s="61">
        <f t="shared" si="377"/>
        <v>0</v>
      </c>
      <c r="AO389" s="61"/>
      <c r="AP389" s="61"/>
      <c r="AQ389" s="62">
        <f t="shared" si="378"/>
        <v>0</v>
      </c>
      <c r="AR389" s="955"/>
      <c r="AS389" s="956"/>
      <c r="AT389" s="61"/>
      <c r="AU389" s="61"/>
      <c r="AV389" s="61"/>
      <c r="AW389" s="956">
        <f t="shared" si="379"/>
        <v>0</v>
      </c>
      <c r="AX389" s="956"/>
      <c r="AY389" s="956"/>
      <c r="AZ389" s="956"/>
      <c r="BA389" s="957">
        <f t="shared" si="380"/>
        <v>0</v>
      </c>
      <c r="BB389" s="958">
        <f t="shared" si="382"/>
        <v>5</v>
      </c>
      <c r="BC389" s="959">
        <f t="shared" si="387"/>
        <v>24</v>
      </c>
      <c r="BD389" s="959">
        <f t="shared" si="391"/>
        <v>48</v>
      </c>
      <c r="BE389" s="959">
        <f t="shared" si="389"/>
        <v>48</v>
      </c>
      <c r="BF389" s="959">
        <f t="shared" si="381"/>
        <v>120</v>
      </c>
      <c r="BG389" s="959">
        <f t="shared" si="383"/>
        <v>0</v>
      </c>
      <c r="BH389" s="959">
        <f t="shared" si="384"/>
        <v>0</v>
      </c>
      <c r="BI389" s="959">
        <f t="shared" si="385"/>
        <v>0</v>
      </c>
      <c r="BJ389" s="959">
        <f t="shared" si="386"/>
        <v>0</v>
      </c>
      <c r="BK389" s="959">
        <f t="shared" si="390"/>
        <v>0</v>
      </c>
      <c r="BL389" s="53"/>
    </row>
    <row r="390" spans="1:64" s="43" customFormat="1" ht="17.100000000000001" customHeight="1">
      <c r="A390" s="457" t="s">
        <v>2796</v>
      </c>
      <c r="B390" s="53" t="s">
        <v>142</v>
      </c>
      <c r="C390" s="53" t="s">
        <v>142</v>
      </c>
      <c r="D390" s="53" t="s">
        <v>2800</v>
      </c>
      <c r="E390" s="55" t="s">
        <v>2529</v>
      </c>
      <c r="F390" s="55" t="s">
        <v>4044</v>
      </c>
      <c r="G390" s="71">
        <v>41060</v>
      </c>
      <c r="H390" s="50" t="s">
        <v>4045</v>
      </c>
      <c r="I390" s="760">
        <v>1385</v>
      </c>
      <c r="J390" s="52">
        <v>22748</v>
      </c>
      <c r="K390" s="55" t="s">
        <v>4046</v>
      </c>
      <c r="L390" s="56" t="s">
        <v>4047</v>
      </c>
      <c r="M390" s="773">
        <v>14</v>
      </c>
      <c r="N390" s="718">
        <v>0</v>
      </c>
      <c r="O390" s="774">
        <v>337</v>
      </c>
      <c r="P390" s="60">
        <v>4</v>
      </c>
      <c r="Q390" s="61">
        <v>88</v>
      </c>
      <c r="R390" s="61">
        <v>4</v>
      </c>
      <c r="S390" s="61">
        <v>89</v>
      </c>
      <c r="T390" s="61">
        <v>4</v>
      </c>
      <c r="U390" s="62">
        <v>77</v>
      </c>
      <c r="V390" s="60">
        <v>0</v>
      </c>
      <c r="W390" s="61">
        <v>0</v>
      </c>
      <c r="X390" s="61">
        <v>0</v>
      </c>
      <c r="Y390" s="61">
        <v>0</v>
      </c>
      <c r="Z390" s="61">
        <v>0</v>
      </c>
      <c r="AA390" s="62">
        <v>0</v>
      </c>
      <c r="AB390" s="63"/>
      <c r="AC390" s="61"/>
      <c r="AD390" s="61"/>
      <c r="AE390" s="61"/>
      <c r="AF390" s="61">
        <f t="shared" si="375"/>
        <v>0</v>
      </c>
      <c r="AG390" s="61"/>
      <c r="AH390" s="61"/>
      <c r="AI390" s="62">
        <f t="shared" si="376"/>
        <v>0</v>
      </c>
      <c r="AJ390" s="63"/>
      <c r="AK390" s="61"/>
      <c r="AL390" s="61"/>
      <c r="AM390" s="61"/>
      <c r="AN390" s="61">
        <f t="shared" si="377"/>
        <v>0</v>
      </c>
      <c r="AO390" s="61"/>
      <c r="AP390" s="61"/>
      <c r="AQ390" s="62">
        <f t="shared" si="378"/>
        <v>0</v>
      </c>
      <c r="AR390" s="955"/>
      <c r="AS390" s="956"/>
      <c r="AT390" s="61"/>
      <c r="AU390" s="61"/>
      <c r="AV390" s="61"/>
      <c r="AW390" s="956">
        <f t="shared" si="379"/>
        <v>0</v>
      </c>
      <c r="AX390" s="956"/>
      <c r="AY390" s="956"/>
      <c r="AZ390" s="956"/>
      <c r="BA390" s="957">
        <f t="shared" si="380"/>
        <v>0</v>
      </c>
      <c r="BB390" s="958">
        <f t="shared" si="382"/>
        <v>12</v>
      </c>
      <c r="BC390" s="959">
        <f t="shared" si="387"/>
        <v>88</v>
      </c>
      <c r="BD390" s="959">
        <f t="shared" si="391"/>
        <v>89</v>
      </c>
      <c r="BE390" s="959">
        <f t="shared" si="389"/>
        <v>77</v>
      </c>
      <c r="BF390" s="959">
        <f t="shared" si="381"/>
        <v>254</v>
      </c>
      <c r="BG390" s="959">
        <f t="shared" si="383"/>
        <v>0</v>
      </c>
      <c r="BH390" s="959">
        <f t="shared" si="384"/>
        <v>0</v>
      </c>
      <c r="BI390" s="959">
        <f t="shared" si="385"/>
        <v>0</v>
      </c>
      <c r="BJ390" s="959">
        <f t="shared" si="386"/>
        <v>0</v>
      </c>
      <c r="BK390" s="959">
        <f t="shared" si="390"/>
        <v>0</v>
      </c>
      <c r="BL390" s="53"/>
    </row>
    <row r="391" spans="1:64" s="43" customFormat="1" ht="17.100000000000001" customHeight="1">
      <c r="A391" s="457" t="s">
        <v>2790</v>
      </c>
      <c r="B391" s="53" t="s">
        <v>142</v>
      </c>
      <c r="C391" s="53" t="s">
        <v>2824</v>
      </c>
      <c r="D391" s="53" t="s">
        <v>4048</v>
      </c>
      <c r="E391" s="53" t="s">
        <v>5</v>
      </c>
      <c r="F391" s="53" t="s">
        <v>4049</v>
      </c>
      <c r="G391" s="71">
        <v>35440</v>
      </c>
      <c r="H391" s="50" t="s">
        <v>4050</v>
      </c>
      <c r="I391" s="51">
        <v>1183</v>
      </c>
      <c r="J391" s="52">
        <v>22607</v>
      </c>
      <c r="K391" s="53" t="s">
        <v>4051</v>
      </c>
      <c r="L391" s="54" t="s">
        <v>4052</v>
      </c>
      <c r="M391" s="773">
        <v>2</v>
      </c>
      <c r="N391" s="718">
        <v>0</v>
      </c>
      <c r="O391" s="774">
        <v>70</v>
      </c>
      <c r="P391" s="60"/>
      <c r="Q391" s="61"/>
      <c r="R391" s="61"/>
      <c r="S391" s="61"/>
      <c r="T391" s="61"/>
      <c r="U391" s="62"/>
      <c r="V391" s="60"/>
      <c r="W391" s="61"/>
      <c r="X391" s="61"/>
      <c r="Y391" s="61"/>
      <c r="Z391" s="61"/>
      <c r="AA391" s="62"/>
      <c r="AB391" s="63"/>
      <c r="AC391" s="61"/>
      <c r="AD391" s="61"/>
      <c r="AE391" s="61"/>
      <c r="AF391" s="61">
        <f t="shared" si="375"/>
        <v>0</v>
      </c>
      <c r="AG391" s="61"/>
      <c r="AH391" s="61"/>
      <c r="AI391" s="62">
        <f t="shared" si="376"/>
        <v>0</v>
      </c>
      <c r="AJ391" s="63"/>
      <c r="AK391" s="61"/>
      <c r="AL391" s="61"/>
      <c r="AM391" s="61"/>
      <c r="AN391" s="61">
        <f t="shared" si="377"/>
        <v>0</v>
      </c>
      <c r="AO391" s="61"/>
      <c r="AP391" s="61"/>
      <c r="AQ391" s="62">
        <f t="shared" si="378"/>
        <v>0</v>
      </c>
      <c r="AR391" s="955">
        <v>2</v>
      </c>
      <c r="AS391" s="956">
        <v>0</v>
      </c>
      <c r="AT391" s="61">
        <v>16</v>
      </c>
      <c r="AU391" s="61">
        <v>4</v>
      </c>
      <c r="AV391" s="61">
        <v>13</v>
      </c>
      <c r="AW391" s="956">
        <f t="shared" si="379"/>
        <v>33</v>
      </c>
      <c r="AX391" s="956">
        <v>0</v>
      </c>
      <c r="AY391" s="956">
        <v>0</v>
      </c>
      <c r="AZ391" s="956">
        <v>0</v>
      </c>
      <c r="BA391" s="957">
        <f t="shared" si="380"/>
        <v>0</v>
      </c>
      <c r="BB391" s="958">
        <f t="shared" si="382"/>
        <v>2</v>
      </c>
      <c r="BC391" s="959">
        <f t="shared" si="387"/>
        <v>16</v>
      </c>
      <c r="BD391" s="959">
        <f t="shared" si="391"/>
        <v>4</v>
      </c>
      <c r="BE391" s="959">
        <f t="shared" si="389"/>
        <v>13</v>
      </c>
      <c r="BF391" s="959">
        <f t="shared" si="381"/>
        <v>33</v>
      </c>
      <c r="BG391" s="959">
        <f t="shared" si="383"/>
        <v>0</v>
      </c>
      <c r="BH391" s="959">
        <f t="shared" si="384"/>
        <v>0</v>
      </c>
      <c r="BI391" s="959">
        <f t="shared" si="385"/>
        <v>0</v>
      </c>
      <c r="BJ391" s="959">
        <f t="shared" si="386"/>
        <v>0</v>
      </c>
      <c r="BK391" s="959">
        <f t="shared" si="390"/>
        <v>0</v>
      </c>
      <c r="BL391" s="53"/>
    </row>
    <row r="392" spans="1:64" s="43" customFormat="1" ht="17.100000000000001" customHeight="1">
      <c r="A392" s="457" t="s">
        <v>2790</v>
      </c>
      <c r="B392" s="53" t="s">
        <v>103</v>
      </c>
      <c r="C392" s="53" t="s">
        <v>2824</v>
      </c>
      <c r="D392" s="53" t="s">
        <v>2802</v>
      </c>
      <c r="E392" s="53" t="s">
        <v>5</v>
      </c>
      <c r="F392" s="53" t="s">
        <v>4053</v>
      </c>
      <c r="G392" s="71">
        <v>40956</v>
      </c>
      <c r="H392" s="50" t="s">
        <v>4054</v>
      </c>
      <c r="I392" s="51">
        <v>2630</v>
      </c>
      <c r="J392" s="52">
        <v>22681</v>
      </c>
      <c r="K392" s="53" t="s">
        <v>4055</v>
      </c>
      <c r="L392" s="54" t="s">
        <v>2809</v>
      </c>
      <c r="M392" s="773">
        <v>22</v>
      </c>
      <c r="N392" s="718">
        <v>0</v>
      </c>
      <c r="O392" s="774">
        <v>620</v>
      </c>
      <c r="P392" s="60">
        <v>5</v>
      </c>
      <c r="Q392" s="61">
        <v>125</v>
      </c>
      <c r="R392" s="61">
        <v>6</v>
      </c>
      <c r="S392" s="61">
        <v>155</v>
      </c>
      <c r="T392" s="61">
        <v>6</v>
      </c>
      <c r="U392" s="62">
        <v>170</v>
      </c>
      <c r="V392" s="60">
        <v>0</v>
      </c>
      <c r="W392" s="61">
        <v>0</v>
      </c>
      <c r="X392" s="61">
        <v>0</v>
      </c>
      <c r="Y392" s="61">
        <v>0</v>
      </c>
      <c r="Z392" s="61">
        <v>0</v>
      </c>
      <c r="AA392" s="62">
        <v>0</v>
      </c>
      <c r="AB392" s="63">
        <v>0</v>
      </c>
      <c r="AC392" s="61">
        <v>0</v>
      </c>
      <c r="AD392" s="61">
        <v>0</v>
      </c>
      <c r="AE392" s="61">
        <v>0</v>
      </c>
      <c r="AF392" s="61">
        <v>0</v>
      </c>
      <c r="AG392" s="61">
        <v>0</v>
      </c>
      <c r="AH392" s="61">
        <v>0</v>
      </c>
      <c r="AI392" s="62">
        <f t="shared" si="376"/>
        <v>0</v>
      </c>
      <c r="AJ392" s="63">
        <v>0</v>
      </c>
      <c r="AK392" s="61">
        <v>0</v>
      </c>
      <c r="AL392" s="61">
        <v>0</v>
      </c>
      <c r="AM392" s="61">
        <v>0</v>
      </c>
      <c r="AN392" s="61">
        <f t="shared" si="377"/>
        <v>0</v>
      </c>
      <c r="AO392" s="61">
        <v>0</v>
      </c>
      <c r="AP392" s="61">
        <v>0</v>
      </c>
      <c r="AQ392" s="62">
        <f t="shared" si="378"/>
        <v>0</v>
      </c>
      <c r="AR392" s="955">
        <v>0</v>
      </c>
      <c r="AS392" s="956">
        <v>0</v>
      </c>
      <c r="AT392" s="61">
        <v>0</v>
      </c>
      <c r="AU392" s="61">
        <v>0</v>
      </c>
      <c r="AV392" s="61">
        <v>0</v>
      </c>
      <c r="AW392" s="956">
        <f t="shared" si="379"/>
        <v>0</v>
      </c>
      <c r="AX392" s="956">
        <v>0</v>
      </c>
      <c r="AY392" s="956">
        <v>0</v>
      </c>
      <c r="AZ392" s="956">
        <v>0</v>
      </c>
      <c r="BA392" s="957">
        <f t="shared" si="380"/>
        <v>0</v>
      </c>
      <c r="BB392" s="958">
        <f t="shared" si="382"/>
        <v>17</v>
      </c>
      <c r="BC392" s="959">
        <f t="shared" si="387"/>
        <v>125</v>
      </c>
      <c r="BD392" s="959">
        <f t="shared" si="391"/>
        <v>155</v>
      </c>
      <c r="BE392" s="959">
        <v>170</v>
      </c>
      <c r="BF392" s="959">
        <f t="shared" si="381"/>
        <v>450</v>
      </c>
      <c r="BG392" s="959">
        <f t="shared" si="383"/>
        <v>0</v>
      </c>
      <c r="BH392" s="959">
        <f t="shared" si="384"/>
        <v>0</v>
      </c>
      <c r="BI392" s="959">
        <f t="shared" si="385"/>
        <v>0</v>
      </c>
      <c r="BJ392" s="959">
        <f t="shared" si="386"/>
        <v>0</v>
      </c>
      <c r="BK392" s="959">
        <f t="shared" si="390"/>
        <v>0</v>
      </c>
      <c r="BL392" s="53"/>
    </row>
    <row r="393" spans="1:64" s="43" customFormat="1" ht="17.100000000000001" customHeight="1">
      <c r="A393" s="457" t="s">
        <v>2790</v>
      </c>
      <c r="B393" s="53" t="s">
        <v>142</v>
      </c>
      <c r="C393" s="53" t="s">
        <v>2825</v>
      </c>
      <c r="D393" s="53" t="s">
        <v>2803</v>
      </c>
      <c r="E393" s="53" t="s">
        <v>5</v>
      </c>
      <c r="F393" s="53" t="s">
        <v>4056</v>
      </c>
      <c r="G393" s="71">
        <v>36586</v>
      </c>
      <c r="H393" s="50" t="s">
        <v>4057</v>
      </c>
      <c r="I393" s="51">
        <v>1007</v>
      </c>
      <c r="J393" s="52">
        <v>22677</v>
      </c>
      <c r="K393" s="53" t="s">
        <v>4058</v>
      </c>
      <c r="L393" s="54" t="s">
        <v>4059</v>
      </c>
      <c r="M393" s="773">
        <v>6</v>
      </c>
      <c r="N393" s="718"/>
      <c r="O393" s="774">
        <v>210</v>
      </c>
      <c r="P393" s="60">
        <v>2</v>
      </c>
      <c r="Q393" s="61">
        <v>46</v>
      </c>
      <c r="R393" s="61">
        <v>2</v>
      </c>
      <c r="S393" s="61">
        <v>54</v>
      </c>
      <c r="T393" s="61">
        <v>2</v>
      </c>
      <c r="U393" s="62">
        <v>57</v>
      </c>
      <c r="V393" s="60"/>
      <c r="W393" s="61"/>
      <c r="X393" s="61"/>
      <c r="Y393" s="61"/>
      <c r="Z393" s="61"/>
      <c r="AA393" s="62"/>
      <c r="AB393" s="63"/>
      <c r="AC393" s="61"/>
      <c r="AD393" s="61"/>
      <c r="AE393" s="61"/>
      <c r="AF393" s="61"/>
      <c r="AG393" s="61"/>
      <c r="AH393" s="61"/>
      <c r="AI393" s="62"/>
      <c r="AJ393" s="63"/>
      <c r="AK393" s="61"/>
      <c r="AL393" s="61"/>
      <c r="AM393" s="61"/>
      <c r="AN393" s="61"/>
      <c r="AO393" s="61"/>
      <c r="AP393" s="61"/>
      <c r="AQ393" s="62"/>
      <c r="AR393" s="955"/>
      <c r="AS393" s="956"/>
      <c r="AT393" s="61"/>
      <c r="AU393" s="61"/>
      <c r="AV393" s="61"/>
      <c r="AW393" s="956"/>
      <c r="AX393" s="956"/>
      <c r="AY393" s="956"/>
      <c r="AZ393" s="956"/>
      <c r="BA393" s="957"/>
      <c r="BB393" s="958">
        <v>6</v>
      </c>
      <c r="BC393" s="959">
        <v>46</v>
      </c>
      <c r="BD393" s="959">
        <v>54</v>
      </c>
      <c r="BE393" s="959">
        <v>57</v>
      </c>
      <c r="BF393" s="959">
        <v>157</v>
      </c>
      <c r="BG393" s="959"/>
      <c r="BH393" s="959"/>
      <c r="BI393" s="959"/>
      <c r="BJ393" s="959"/>
      <c r="BK393" s="959"/>
      <c r="BL393" s="53"/>
    </row>
    <row r="394" spans="1:64" s="43" customFormat="1" ht="17.100000000000001" customHeight="1">
      <c r="A394" s="457" t="s">
        <v>2790</v>
      </c>
      <c r="B394" s="53" t="s">
        <v>142</v>
      </c>
      <c r="C394" s="53" t="s">
        <v>2824</v>
      </c>
      <c r="D394" s="53" t="s">
        <v>2791</v>
      </c>
      <c r="E394" s="53" t="s">
        <v>5</v>
      </c>
      <c r="F394" s="53" t="s">
        <v>2610</v>
      </c>
      <c r="G394" s="392">
        <v>39142</v>
      </c>
      <c r="H394" s="50" t="s">
        <v>4060</v>
      </c>
      <c r="I394" s="51">
        <v>604</v>
      </c>
      <c r="J394" s="52">
        <v>22611</v>
      </c>
      <c r="K394" s="53" t="s">
        <v>1719</v>
      </c>
      <c r="L394" s="54" t="s">
        <v>1720</v>
      </c>
      <c r="M394" s="773">
        <v>10</v>
      </c>
      <c r="N394" s="718"/>
      <c r="O394" s="774">
        <v>293</v>
      </c>
      <c r="P394" s="60">
        <v>3</v>
      </c>
      <c r="Q394" s="61">
        <v>41</v>
      </c>
      <c r="R394" s="61">
        <v>2</v>
      </c>
      <c r="S394" s="61">
        <v>43</v>
      </c>
      <c r="T394" s="61">
        <v>3</v>
      </c>
      <c r="U394" s="62">
        <v>53</v>
      </c>
      <c r="V394" s="60"/>
      <c r="W394" s="61"/>
      <c r="X394" s="61"/>
      <c r="Y394" s="61"/>
      <c r="Z394" s="61"/>
      <c r="AA394" s="62"/>
      <c r="AB394" s="63"/>
      <c r="AC394" s="61"/>
      <c r="AD394" s="61"/>
      <c r="AE394" s="61"/>
      <c r="AF394" s="61">
        <f>SUM(AD394:AE394)</f>
        <v>0</v>
      </c>
      <c r="AG394" s="61"/>
      <c r="AH394" s="61"/>
      <c r="AI394" s="62">
        <f>SUM(AG394:AH394)</f>
        <v>0</v>
      </c>
      <c r="AJ394" s="63"/>
      <c r="AK394" s="61"/>
      <c r="AL394" s="61"/>
      <c r="AM394" s="61"/>
      <c r="AN394" s="61">
        <f>SUM(AL394:AM394)</f>
        <v>0</v>
      </c>
      <c r="AO394" s="61"/>
      <c r="AP394" s="61"/>
      <c r="AQ394" s="62">
        <f>SUM(AO394:AP394)</f>
        <v>0</v>
      </c>
      <c r="AR394" s="955"/>
      <c r="AS394" s="956"/>
      <c r="AT394" s="61"/>
      <c r="AU394" s="61"/>
      <c r="AV394" s="61"/>
      <c r="AW394" s="956">
        <f>SUM(AT394:AV394)</f>
        <v>0</v>
      </c>
      <c r="AX394" s="956"/>
      <c r="AY394" s="956"/>
      <c r="AZ394" s="956"/>
      <c r="BA394" s="957">
        <f>SUM(AX394:AZ394)</f>
        <v>0</v>
      </c>
      <c r="BB394" s="958">
        <f t="shared" ref="BB394:BB405" si="392">SUM(P394,R394,T394,AB394,AJ394,AR394)</f>
        <v>8</v>
      </c>
      <c r="BC394" s="959">
        <f t="shared" ref="BC394:BC405" si="393">SUM(Q394,AD394,AT394)</f>
        <v>41</v>
      </c>
      <c r="BD394" s="959">
        <f t="shared" ref="BD394:BD405" si="394">SUM(S394,AE394,AL394,AU394)</f>
        <v>43</v>
      </c>
      <c r="BE394" s="959">
        <f t="shared" ref="BE394:BE405" si="395">SUM(U394,AM394,AV394)</f>
        <v>53</v>
      </c>
      <c r="BF394" s="959">
        <f t="shared" ref="BF394:BF405" si="396">SUM(BC394:BE394)</f>
        <v>137</v>
      </c>
      <c r="BG394" s="959">
        <f t="shared" ref="BG394:BG405" si="397">SUM(V394,X394,Z394,AC394,AK394,AS394)</f>
        <v>0</v>
      </c>
      <c r="BH394" s="959">
        <f t="shared" ref="BH394:BH405" si="398">SUM(W394,AG394,AX394)</f>
        <v>0</v>
      </c>
      <c r="BI394" s="959">
        <f t="shared" ref="BI394:BI405" si="399">SUM(Y394,AH394,AO394,AY394)</f>
        <v>0</v>
      </c>
      <c r="BJ394" s="959">
        <f t="shared" ref="BJ394:BJ405" si="400">SUM(AA394,AP394,AZ394)</f>
        <v>0</v>
      </c>
      <c r="BK394" s="959">
        <f t="shared" ref="BK394:BK405" si="401">SUM(BH394:BJ394)</f>
        <v>0</v>
      </c>
      <c r="BL394" s="53"/>
    </row>
    <row r="395" spans="1:64" s="43" customFormat="1" ht="17.100000000000001" customHeight="1">
      <c r="A395" s="762" t="s">
        <v>1823</v>
      </c>
      <c r="B395" s="751" t="s">
        <v>142</v>
      </c>
      <c r="C395" s="751" t="s">
        <v>2824</v>
      </c>
      <c r="D395" s="751" t="s">
        <v>1687</v>
      </c>
      <c r="E395" s="751" t="s">
        <v>5</v>
      </c>
      <c r="F395" s="751" t="s">
        <v>1721</v>
      </c>
      <c r="G395" s="750">
        <v>33702</v>
      </c>
      <c r="H395" s="1030" t="s">
        <v>4061</v>
      </c>
      <c r="I395" s="763">
        <v>957</v>
      </c>
      <c r="J395" s="752">
        <v>22642</v>
      </c>
      <c r="K395" s="751" t="s">
        <v>1722</v>
      </c>
      <c r="L395" s="753" t="s">
        <v>1723</v>
      </c>
      <c r="M395" s="1237">
        <v>8</v>
      </c>
      <c r="N395" s="1238"/>
      <c r="O395" s="1239">
        <v>224</v>
      </c>
      <c r="P395" s="764">
        <v>3</v>
      </c>
      <c r="Q395" s="765">
        <v>75</v>
      </c>
      <c r="R395" s="765">
        <v>2</v>
      </c>
      <c r="S395" s="765">
        <v>54</v>
      </c>
      <c r="T395" s="765">
        <v>2</v>
      </c>
      <c r="U395" s="766">
        <v>56</v>
      </c>
      <c r="V395" s="764"/>
      <c r="W395" s="765"/>
      <c r="X395" s="765"/>
      <c r="Y395" s="765"/>
      <c r="Z395" s="765"/>
      <c r="AA395" s="766"/>
      <c r="AB395" s="767"/>
      <c r="AC395" s="765"/>
      <c r="AD395" s="765"/>
      <c r="AE395" s="765"/>
      <c r="AF395" s="765">
        <f>SUM(AD395:AE395)</f>
        <v>0</v>
      </c>
      <c r="AG395" s="765"/>
      <c r="AH395" s="765"/>
      <c r="AI395" s="766">
        <f>SUM(AG395:AH395)</f>
        <v>0</v>
      </c>
      <c r="AJ395" s="767"/>
      <c r="AK395" s="765"/>
      <c r="AL395" s="765"/>
      <c r="AM395" s="765"/>
      <c r="AN395" s="765">
        <f>SUM(AL395:AM395)</f>
        <v>0</v>
      </c>
      <c r="AO395" s="765"/>
      <c r="AP395" s="765"/>
      <c r="AQ395" s="766">
        <f>SUM(AO395:AP395)</f>
        <v>0</v>
      </c>
      <c r="AR395" s="970"/>
      <c r="AS395" s="971"/>
      <c r="AT395" s="765"/>
      <c r="AU395" s="765"/>
      <c r="AV395" s="765"/>
      <c r="AW395" s="971">
        <f>SUM(AT395:AV395)</f>
        <v>0</v>
      </c>
      <c r="AX395" s="971"/>
      <c r="AY395" s="971"/>
      <c r="AZ395" s="971"/>
      <c r="BA395" s="1031">
        <f>SUM(AX395:AZ395)</f>
        <v>0</v>
      </c>
      <c r="BB395" s="1032">
        <f t="shared" si="392"/>
        <v>7</v>
      </c>
      <c r="BC395" s="966">
        <f t="shared" si="393"/>
        <v>75</v>
      </c>
      <c r="BD395" s="966">
        <f t="shared" si="394"/>
        <v>54</v>
      </c>
      <c r="BE395" s="966">
        <f t="shared" si="395"/>
        <v>56</v>
      </c>
      <c r="BF395" s="966">
        <f t="shared" si="396"/>
        <v>185</v>
      </c>
      <c r="BG395" s="966">
        <f t="shared" si="397"/>
        <v>0</v>
      </c>
      <c r="BH395" s="966">
        <f t="shared" si="398"/>
        <v>0</v>
      </c>
      <c r="BI395" s="966">
        <f t="shared" si="399"/>
        <v>0</v>
      </c>
      <c r="BJ395" s="966">
        <f t="shared" si="400"/>
        <v>0</v>
      </c>
      <c r="BK395" s="966">
        <f t="shared" si="401"/>
        <v>0</v>
      </c>
      <c r="BL395" s="751"/>
    </row>
    <row r="396" spans="1:64" s="43" customFormat="1" ht="17.100000000000001" customHeight="1">
      <c r="A396" s="761" t="s">
        <v>2790</v>
      </c>
      <c r="B396" s="55" t="s">
        <v>142</v>
      </c>
      <c r="C396" s="53" t="s">
        <v>2824</v>
      </c>
      <c r="D396" s="53" t="s">
        <v>2791</v>
      </c>
      <c r="E396" s="55" t="s">
        <v>5</v>
      </c>
      <c r="F396" s="55" t="s">
        <v>4062</v>
      </c>
      <c r="G396" s="392">
        <v>40606</v>
      </c>
      <c r="H396" s="50" t="s">
        <v>4063</v>
      </c>
      <c r="I396" s="51">
        <v>423</v>
      </c>
      <c r="J396" s="52">
        <v>22642</v>
      </c>
      <c r="K396" s="55" t="s">
        <v>1724</v>
      </c>
      <c r="L396" s="56" t="s">
        <v>1725</v>
      </c>
      <c r="M396" s="394">
        <v>6</v>
      </c>
      <c r="N396" s="395">
        <v>0</v>
      </c>
      <c r="O396" s="396">
        <v>123</v>
      </c>
      <c r="P396" s="67">
        <v>2</v>
      </c>
      <c r="Q396" s="68">
        <v>32</v>
      </c>
      <c r="R396" s="68">
        <v>2</v>
      </c>
      <c r="S396" s="68">
        <v>43</v>
      </c>
      <c r="T396" s="68">
        <v>2</v>
      </c>
      <c r="U396" s="69">
        <v>37</v>
      </c>
      <c r="V396" s="67">
        <v>0</v>
      </c>
      <c r="W396" s="68">
        <v>0</v>
      </c>
      <c r="X396" s="68">
        <v>0</v>
      </c>
      <c r="Y396" s="68">
        <v>0</v>
      </c>
      <c r="Z396" s="68">
        <v>0</v>
      </c>
      <c r="AA396" s="69">
        <v>0</v>
      </c>
      <c r="AB396" s="70">
        <v>0</v>
      </c>
      <c r="AC396" s="68">
        <v>0</v>
      </c>
      <c r="AD396" s="68">
        <v>0</v>
      </c>
      <c r="AE396" s="68">
        <v>0</v>
      </c>
      <c r="AF396" s="68">
        <f>SUM(AD396:AE396)</f>
        <v>0</v>
      </c>
      <c r="AG396" s="68">
        <v>0</v>
      </c>
      <c r="AH396" s="68">
        <v>0</v>
      </c>
      <c r="AI396" s="69">
        <f>SUM(AG396:AH396)</f>
        <v>0</v>
      </c>
      <c r="AJ396" s="70">
        <v>0</v>
      </c>
      <c r="AK396" s="68">
        <v>0</v>
      </c>
      <c r="AL396" s="68">
        <v>0</v>
      </c>
      <c r="AM396" s="68">
        <v>0</v>
      </c>
      <c r="AN396" s="68">
        <f>SUM(AL396:AM396)</f>
        <v>0</v>
      </c>
      <c r="AO396" s="68">
        <v>0</v>
      </c>
      <c r="AP396" s="68">
        <v>0</v>
      </c>
      <c r="AQ396" s="69">
        <f>SUM(AO396:AP396)</f>
        <v>0</v>
      </c>
      <c r="AR396" s="972">
        <v>0</v>
      </c>
      <c r="AS396" s="973">
        <v>0</v>
      </c>
      <c r="AT396" s="68">
        <v>0</v>
      </c>
      <c r="AU396" s="68">
        <v>0</v>
      </c>
      <c r="AV396" s="68">
        <v>0</v>
      </c>
      <c r="AW396" s="973">
        <f>SUM(AT396:AV396)</f>
        <v>0</v>
      </c>
      <c r="AX396" s="973">
        <v>0</v>
      </c>
      <c r="AY396" s="973">
        <v>0</v>
      </c>
      <c r="AZ396" s="973">
        <v>0</v>
      </c>
      <c r="BA396" s="974">
        <f>SUM(AX396:AZ396)</f>
        <v>0</v>
      </c>
      <c r="BB396" s="975">
        <f t="shared" si="392"/>
        <v>6</v>
      </c>
      <c r="BC396" s="959">
        <f t="shared" si="393"/>
        <v>32</v>
      </c>
      <c r="BD396" s="959">
        <f t="shared" si="394"/>
        <v>43</v>
      </c>
      <c r="BE396" s="959">
        <f t="shared" si="395"/>
        <v>37</v>
      </c>
      <c r="BF396" s="959">
        <f t="shared" si="396"/>
        <v>112</v>
      </c>
      <c r="BG396" s="959">
        <f t="shared" si="397"/>
        <v>0</v>
      </c>
      <c r="BH396" s="959">
        <f t="shared" si="398"/>
        <v>0</v>
      </c>
      <c r="BI396" s="959">
        <f t="shared" si="399"/>
        <v>0</v>
      </c>
      <c r="BJ396" s="959">
        <f t="shared" si="400"/>
        <v>0</v>
      </c>
      <c r="BK396" s="959">
        <f t="shared" si="401"/>
        <v>0</v>
      </c>
      <c r="BL396" s="55"/>
    </row>
    <row r="397" spans="1:64" s="43" customFormat="1" ht="17.100000000000001" customHeight="1">
      <c r="A397" s="761" t="s">
        <v>2790</v>
      </c>
      <c r="B397" s="55" t="s">
        <v>103</v>
      </c>
      <c r="C397" s="53" t="s">
        <v>2824</v>
      </c>
      <c r="D397" s="53" t="s">
        <v>2791</v>
      </c>
      <c r="E397" s="55" t="s">
        <v>2529</v>
      </c>
      <c r="F397" s="55" t="s">
        <v>4064</v>
      </c>
      <c r="G397" s="71">
        <v>36951</v>
      </c>
      <c r="H397" s="50" t="s">
        <v>4065</v>
      </c>
      <c r="I397" s="760">
        <v>802</v>
      </c>
      <c r="J397" s="52">
        <v>22640</v>
      </c>
      <c r="K397" s="55" t="s">
        <v>4066</v>
      </c>
      <c r="L397" s="56" t="s">
        <v>4067</v>
      </c>
      <c r="M397" s="394">
        <v>8</v>
      </c>
      <c r="N397" s="395"/>
      <c r="O397" s="396">
        <v>224</v>
      </c>
      <c r="P397" s="67">
        <v>3</v>
      </c>
      <c r="Q397" s="68">
        <v>65</v>
      </c>
      <c r="R397" s="68">
        <v>3</v>
      </c>
      <c r="S397" s="68">
        <v>75</v>
      </c>
      <c r="T397" s="68">
        <v>2</v>
      </c>
      <c r="U397" s="69">
        <v>55</v>
      </c>
      <c r="V397" s="67">
        <v>0</v>
      </c>
      <c r="W397" s="68">
        <v>0</v>
      </c>
      <c r="X397" s="68">
        <v>0</v>
      </c>
      <c r="Y397" s="68">
        <v>0</v>
      </c>
      <c r="Z397" s="68">
        <v>0</v>
      </c>
      <c r="AA397" s="69">
        <v>0</v>
      </c>
      <c r="AB397" s="70">
        <v>0</v>
      </c>
      <c r="AC397" s="68">
        <v>0</v>
      </c>
      <c r="AD397" s="68">
        <v>0</v>
      </c>
      <c r="AE397" s="68">
        <v>0</v>
      </c>
      <c r="AF397" s="68">
        <f>SUM(AD397:AE397)</f>
        <v>0</v>
      </c>
      <c r="AG397" s="68">
        <v>0</v>
      </c>
      <c r="AH397" s="68">
        <v>0</v>
      </c>
      <c r="AI397" s="69">
        <f>SUM(AG397:AH397)</f>
        <v>0</v>
      </c>
      <c r="AJ397" s="70">
        <v>0</v>
      </c>
      <c r="AK397" s="68">
        <v>0</v>
      </c>
      <c r="AL397" s="68">
        <v>0</v>
      </c>
      <c r="AM397" s="68">
        <v>0</v>
      </c>
      <c r="AN397" s="68">
        <f>SUM(AL397:AM397)</f>
        <v>0</v>
      </c>
      <c r="AO397" s="68">
        <v>0</v>
      </c>
      <c r="AP397" s="68">
        <v>0</v>
      </c>
      <c r="AQ397" s="69">
        <f>SUM(AO397:AP397)</f>
        <v>0</v>
      </c>
      <c r="AR397" s="972">
        <v>0</v>
      </c>
      <c r="AS397" s="973">
        <v>0</v>
      </c>
      <c r="AT397" s="68">
        <v>0</v>
      </c>
      <c r="AU397" s="68">
        <v>0</v>
      </c>
      <c r="AV397" s="68">
        <v>0</v>
      </c>
      <c r="AW397" s="973">
        <f>SUM(AT397:AV397)</f>
        <v>0</v>
      </c>
      <c r="AX397" s="973">
        <v>0</v>
      </c>
      <c r="AY397" s="973">
        <v>0</v>
      </c>
      <c r="AZ397" s="973">
        <v>0</v>
      </c>
      <c r="BA397" s="974">
        <f>SUM(AX397:AZ397)</f>
        <v>0</v>
      </c>
      <c r="BB397" s="975">
        <f t="shared" si="392"/>
        <v>8</v>
      </c>
      <c r="BC397" s="959">
        <f t="shared" si="393"/>
        <v>65</v>
      </c>
      <c r="BD397" s="959">
        <f t="shared" si="394"/>
        <v>75</v>
      </c>
      <c r="BE397" s="959">
        <f t="shared" si="395"/>
        <v>55</v>
      </c>
      <c r="BF397" s="959">
        <f t="shared" si="396"/>
        <v>195</v>
      </c>
      <c r="BG397" s="959">
        <f t="shared" si="397"/>
        <v>0</v>
      </c>
      <c r="BH397" s="959">
        <f t="shared" si="398"/>
        <v>0</v>
      </c>
      <c r="BI397" s="959">
        <f t="shared" si="399"/>
        <v>0</v>
      </c>
      <c r="BJ397" s="959">
        <f t="shared" si="400"/>
        <v>0</v>
      </c>
      <c r="BK397" s="959">
        <f t="shared" si="401"/>
        <v>0</v>
      </c>
      <c r="BL397" s="55"/>
    </row>
    <row r="398" spans="1:64" s="43" customFormat="1" ht="17.100000000000001" customHeight="1">
      <c r="A398" s="457" t="s">
        <v>2790</v>
      </c>
      <c r="B398" s="53" t="s">
        <v>142</v>
      </c>
      <c r="C398" s="53" t="s">
        <v>2824</v>
      </c>
      <c r="D398" s="53" t="s">
        <v>2804</v>
      </c>
      <c r="E398" s="53" t="s">
        <v>5</v>
      </c>
      <c r="F398" s="53" t="s">
        <v>4068</v>
      </c>
      <c r="G398" s="71">
        <v>36040</v>
      </c>
      <c r="H398" s="50" t="s">
        <v>4069</v>
      </c>
      <c r="I398" s="51">
        <v>664.1</v>
      </c>
      <c r="J398" s="52">
        <v>22628</v>
      </c>
      <c r="K398" s="53" t="s">
        <v>1726</v>
      </c>
      <c r="L398" s="54" t="s">
        <v>4070</v>
      </c>
      <c r="M398" s="773">
        <v>8</v>
      </c>
      <c r="N398" s="718"/>
      <c r="O398" s="774">
        <v>178</v>
      </c>
      <c r="P398" s="60">
        <v>3</v>
      </c>
      <c r="Q398" s="61">
        <v>57</v>
      </c>
      <c r="R398" s="61">
        <v>3</v>
      </c>
      <c r="S398" s="61">
        <v>71</v>
      </c>
      <c r="T398" s="61">
        <v>2</v>
      </c>
      <c r="U398" s="62">
        <v>50</v>
      </c>
      <c r="V398" s="60"/>
      <c r="W398" s="61"/>
      <c r="X398" s="61"/>
      <c r="Y398" s="61"/>
      <c r="Z398" s="61"/>
      <c r="AA398" s="62"/>
      <c r="AB398" s="63"/>
      <c r="AC398" s="61"/>
      <c r="AD398" s="61"/>
      <c r="AE398" s="61"/>
      <c r="AF398" s="61">
        <f>SUM(AD398:AE398)</f>
        <v>0</v>
      </c>
      <c r="AG398" s="61"/>
      <c r="AH398" s="61"/>
      <c r="AI398" s="62">
        <f>SUM(AG398:AH398)</f>
        <v>0</v>
      </c>
      <c r="AJ398" s="63"/>
      <c r="AK398" s="61"/>
      <c r="AL398" s="61"/>
      <c r="AM398" s="61"/>
      <c r="AN398" s="61">
        <f>SUM(AL398:AM398)</f>
        <v>0</v>
      </c>
      <c r="AO398" s="61"/>
      <c r="AP398" s="61"/>
      <c r="AQ398" s="62">
        <f>SUM(AO398:AP398)</f>
        <v>0</v>
      </c>
      <c r="AR398" s="955"/>
      <c r="AS398" s="956"/>
      <c r="AT398" s="61"/>
      <c r="AU398" s="61"/>
      <c r="AV398" s="61"/>
      <c r="AW398" s="956">
        <f>SUM(AT398:AV398)</f>
        <v>0</v>
      </c>
      <c r="AX398" s="956"/>
      <c r="AY398" s="956"/>
      <c r="AZ398" s="956"/>
      <c r="BA398" s="957">
        <f>SUM(AX398:AZ398)</f>
        <v>0</v>
      </c>
      <c r="BB398" s="958">
        <f t="shared" si="392"/>
        <v>8</v>
      </c>
      <c r="BC398" s="959">
        <f t="shared" si="393"/>
        <v>57</v>
      </c>
      <c r="BD398" s="959">
        <f t="shared" si="394"/>
        <v>71</v>
      </c>
      <c r="BE398" s="959">
        <f t="shared" si="395"/>
        <v>50</v>
      </c>
      <c r="BF398" s="959">
        <f t="shared" si="396"/>
        <v>178</v>
      </c>
      <c r="BG398" s="959">
        <f t="shared" si="397"/>
        <v>0</v>
      </c>
      <c r="BH398" s="959">
        <f t="shared" si="398"/>
        <v>0</v>
      </c>
      <c r="BI398" s="959">
        <f t="shared" si="399"/>
        <v>0</v>
      </c>
      <c r="BJ398" s="959">
        <f t="shared" si="400"/>
        <v>0</v>
      </c>
      <c r="BK398" s="959">
        <f t="shared" si="401"/>
        <v>0</v>
      </c>
      <c r="BL398" s="53"/>
    </row>
    <row r="399" spans="1:64" s="43" customFormat="1" ht="17.100000000000001" customHeight="1">
      <c r="A399" s="457" t="s">
        <v>2790</v>
      </c>
      <c r="B399" s="53" t="s">
        <v>142</v>
      </c>
      <c r="C399" s="53" t="s">
        <v>2825</v>
      </c>
      <c r="D399" s="53" t="s">
        <v>2805</v>
      </c>
      <c r="E399" s="53" t="s">
        <v>5</v>
      </c>
      <c r="F399" s="53" t="s">
        <v>4071</v>
      </c>
      <c r="G399" s="71">
        <v>41699</v>
      </c>
      <c r="H399" s="50" t="s">
        <v>4072</v>
      </c>
      <c r="I399" s="51">
        <v>1054</v>
      </c>
      <c r="J399" s="52">
        <v>22626</v>
      </c>
      <c r="K399" s="53" t="s">
        <v>4073</v>
      </c>
      <c r="L399" s="54" t="s">
        <v>4074</v>
      </c>
      <c r="M399" s="773">
        <v>10</v>
      </c>
      <c r="N399" s="718">
        <v>0</v>
      </c>
      <c r="O399" s="774">
        <v>300</v>
      </c>
      <c r="P399" s="60">
        <v>3</v>
      </c>
      <c r="Q399" s="61">
        <v>67</v>
      </c>
      <c r="R399" s="61">
        <v>3</v>
      </c>
      <c r="S399" s="61">
        <v>60</v>
      </c>
      <c r="T399" s="61">
        <v>2</v>
      </c>
      <c r="U399" s="62">
        <v>53</v>
      </c>
      <c r="V399" s="60">
        <v>0</v>
      </c>
      <c r="W399" s="61">
        <v>0</v>
      </c>
      <c r="X399" s="61">
        <v>0</v>
      </c>
      <c r="Y399" s="61">
        <v>0</v>
      </c>
      <c r="Z399" s="61">
        <v>0</v>
      </c>
      <c r="AA399" s="62">
        <v>0</v>
      </c>
      <c r="AB399" s="63">
        <v>0</v>
      </c>
      <c r="AC399" s="61">
        <v>0</v>
      </c>
      <c r="AD399" s="61">
        <v>0</v>
      </c>
      <c r="AE399" s="61">
        <v>0</v>
      </c>
      <c r="AF399" s="61">
        <v>0</v>
      </c>
      <c r="AG399" s="61">
        <v>0</v>
      </c>
      <c r="AH399" s="61">
        <v>0</v>
      </c>
      <c r="AI399" s="62">
        <v>0</v>
      </c>
      <c r="AJ399" s="63">
        <v>0</v>
      </c>
      <c r="AK399" s="61">
        <v>0</v>
      </c>
      <c r="AL399" s="61">
        <v>0</v>
      </c>
      <c r="AM399" s="61">
        <v>0</v>
      </c>
      <c r="AN399" s="61">
        <v>0</v>
      </c>
      <c r="AO399" s="61">
        <v>0</v>
      </c>
      <c r="AP399" s="61">
        <v>0</v>
      </c>
      <c r="AQ399" s="62">
        <v>0</v>
      </c>
      <c r="AR399" s="955">
        <v>0</v>
      </c>
      <c r="AS399" s="956">
        <v>0</v>
      </c>
      <c r="AT399" s="61">
        <v>0</v>
      </c>
      <c r="AU399" s="61">
        <v>0</v>
      </c>
      <c r="AV399" s="61">
        <v>0</v>
      </c>
      <c r="AW399" s="956">
        <v>0</v>
      </c>
      <c r="AX399" s="956">
        <v>0</v>
      </c>
      <c r="AY399" s="956">
        <v>0</v>
      </c>
      <c r="AZ399" s="956">
        <v>0</v>
      </c>
      <c r="BA399" s="957">
        <v>0</v>
      </c>
      <c r="BB399" s="958">
        <f t="shared" si="392"/>
        <v>8</v>
      </c>
      <c r="BC399" s="959">
        <f t="shared" si="393"/>
        <v>67</v>
      </c>
      <c r="BD399" s="959">
        <f t="shared" si="394"/>
        <v>60</v>
      </c>
      <c r="BE399" s="959">
        <f t="shared" si="395"/>
        <v>53</v>
      </c>
      <c r="BF399" s="959">
        <f t="shared" si="396"/>
        <v>180</v>
      </c>
      <c r="BG399" s="959">
        <f t="shared" si="397"/>
        <v>0</v>
      </c>
      <c r="BH399" s="959">
        <f t="shared" si="398"/>
        <v>0</v>
      </c>
      <c r="BI399" s="959">
        <f t="shared" si="399"/>
        <v>0</v>
      </c>
      <c r="BJ399" s="959">
        <f t="shared" si="400"/>
        <v>0</v>
      </c>
      <c r="BK399" s="959">
        <f t="shared" si="401"/>
        <v>0</v>
      </c>
      <c r="BL399" s="53"/>
    </row>
    <row r="400" spans="1:64" s="43" customFormat="1" ht="17.100000000000001" customHeight="1">
      <c r="A400" s="761" t="s">
        <v>2790</v>
      </c>
      <c r="B400" s="55" t="s">
        <v>103</v>
      </c>
      <c r="C400" s="53" t="s">
        <v>2824</v>
      </c>
      <c r="D400" s="53" t="s">
        <v>2805</v>
      </c>
      <c r="E400" s="55" t="s">
        <v>2529</v>
      </c>
      <c r="F400" s="55" t="s">
        <v>4075</v>
      </c>
      <c r="G400" s="71">
        <v>35125</v>
      </c>
      <c r="H400" s="50" t="s">
        <v>4076</v>
      </c>
      <c r="I400" s="760">
        <v>626</v>
      </c>
      <c r="J400" s="52">
        <v>22656</v>
      </c>
      <c r="K400" s="55" t="s">
        <v>4077</v>
      </c>
      <c r="L400" s="1033" t="s">
        <v>4078</v>
      </c>
      <c r="M400" s="394">
        <v>9</v>
      </c>
      <c r="N400" s="395"/>
      <c r="O400" s="396">
        <v>230</v>
      </c>
      <c r="P400" s="67">
        <v>3</v>
      </c>
      <c r="Q400" s="68">
        <v>58</v>
      </c>
      <c r="R400" s="68">
        <v>3</v>
      </c>
      <c r="S400" s="68">
        <v>61</v>
      </c>
      <c r="T400" s="68">
        <v>3</v>
      </c>
      <c r="U400" s="69">
        <v>64</v>
      </c>
      <c r="V400" s="67"/>
      <c r="W400" s="68"/>
      <c r="X400" s="68"/>
      <c r="Y400" s="68"/>
      <c r="Z400" s="68"/>
      <c r="AA400" s="69"/>
      <c r="AB400" s="70"/>
      <c r="AC400" s="68"/>
      <c r="AD400" s="68"/>
      <c r="AE400" s="68"/>
      <c r="AF400" s="68">
        <f t="shared" ref="AF400:AF405" si="402">SUM(AD400:AE400)</f>
        <v>0</v>
      </c>
      <c r="AG400" s="68"/>
      <c r="AH400" s="68"/>
      <c r="AI400" s="69">
        <f t="shared" ref="AI400:AI405" si="403">SUM(AG400:AH400)</f>
        <v>0</v>
      </c>
      <c r="AJ400" s="70"/>
      <c r="AK400" s="68"/>
      <c r="AL400" s="68"/>
      <c r="AM400" s="68"/>
      <c r="AN400" s="68">
        <f t="shared" ref="AN400:AN405" si="404">SUM(AL400:AM400)</f>
        <v>0</v>
      </c>
      <c r="AO400" s="68"/>
      <c r="AP400" s="68"/>
      <c r="AQ400" s="69">
        <f t="shared" ref="AQ400:AQ405" si="405">SUM(AO400:AP400)</f>
        <v>0</v>
      </c>
      <c r="AR400" s="972"/>
      <c r="AS400" s="973"/>
      <c r="AT400" s="68"/>
      <c r="AU400" s="68"/>
      <c r="AV400" s="68"/>
      <c r="AW400" s="973">
        <f t="shared" ref="AW400:AW405" si="406">SUM(AT400:AV400)</f>
        <v>0</v>
      </c>
      <c r="AX400" s="973"/>
      <c r="AY400" s="973"/>
      <c r="AZ400" s="973"/>
      <c r="BA400" s="974">
        <f t="shared" ref="BA400:BA405" si="407">SUM(AX400:AZ400)</f>
        <v>0</v>
      </c>
      <c r="BB400" s="975">
        <f t="shared" si="392"/>
        <v>9</v>
      </c>
      <c r="BC400" s="959">
        <f t="shared" si="393"/>
        <v>58</v>
      </c>
      <c r="BD400" s="959">
        <f t="shared" si="394"/>
        <v>61</v>
      </c>
      <c r="BE400" s="959">
        <f t="shared" si="395"/>
        <v>64</v>
      </c>
      <c r="BF400" s="959">
        <f t="shared" si="396"/>
        <v>183</v>
      </c>
      <c r="BG400" s="959">
        <f t="shared" si="397"/>
        <v>0</v>
      </c>
      <c r="BH400" s="959">
        <f t="shared" si="398"/>
        <v>0</v>
      </c>
      <c r="BI400" s="959">
        <f t="shared" si="399"/>
        <v>0</v>
      </c>
      <c r="BJ400" s="959">
        <f t="shared" si="400"/>
        <v>0</v>
      </c>
      <c r="BK400" s="959">
        <f t="shared" si="401"/>
        <v>0</v>
      </c>
      <c r="BL400" s="55"/>
    </row>
    <row r="401" spans="1:64" s="43" customFormat="1" ht="17.100000000000001" customHeight="1">
      <c r="A401" s="1034" t="s">
        <v>1681</v>
      </c>
      <c r="B401" s="961" t="s">
        <v>142</v>
      </c>
      <c r="C401" s="751" t="s">
        <v>2825</v>
      </c>
      <c r="D401" s="751" t="s">
        <v>1690</v>
      </c>
      <c r="E401" s="961" t="s">
        <v>5</v>
      </c>
      <c r="F401" s="961" t="s">
        <v>1727</v>
      </c>
      <c r="G401" s="1018">
        <v>40353</v>
      </c>
      <c r="H401" s="751" t="s">
        <v>4079</v>
      </c>
      <c r="I401" s="962">
        <v>608</v>
      </c>
      <c r="J401" s="752">
        <v>22644</v>
      </c>
      <c r="K401" s="751" t="s">
        <v>1728</v>
      </c>
      <c r="L401" s="753" t="s">
        <v>1729</v>
      </c>
      <c r="M401" s="1237">
        <v>7</v>
      </c>
      <c r="N401" s="1238"/>
      <c r="O401" s="1239">
        <v>140</v>
      </c>
      <c r="P401" s="775">
        <v>2</v>
      </c>
      <c r="Q401" s="776">
        <v>30</v>
      </c>
      <c r="R401" s="776">
        <v>2</v>
      </c>
      <c r="S401" s="776">
        <v>44</v>
      </c>
      <c r="T401" s="776">
        <v>3</v>
      </c>
      <c r="U401" s="777">
        <v>66</v>
      </c>
      <c r="V401" s="775"/>
      <c r="W401" s="776"/>
      <c r="X401" s="776"/>
      <c r="Y401" s="776"/>
      <c r="Z401" s="776"/>
      <c r="AA401" s="777"/>
      <c r="AB401" s="778"/>
      <c r="AC401" s="776"/>
      <c r="AD401" s="776"/>
      <c r="AE401" s="776"/>
      <c r="AF401" s="776">
        <f t="shared" si="402"/>
        <v>0</v>
      </c>
      <c r="AG401" s="776"/>
      <c r="AH401" s="776"/>
      <c r="AI401" s="777">
        <f t="shared" si="403"/>
        <v>0</v>
      </c>
      <c r="AJ401" s="778"/>
      <c r="AK401" s="776"/>
      <c r="AL401" s="776"/>
      <c r="AM401" s="776"/>
      <c r="AN401" s="776">
        <f t="shared" si="404"/>
        <v>0</v>
      </c>
      <c r="AO401" s="776"/>
      <c r="AP401" s="776"/>
      <c r="AQ401" s="777">
        <f t="shared" si="405"/>
        <v>0</v>
      </c>
      <c r="AR401" s="964"/>
      <c r="AS401" s="965"/>
      <c r="AT401" s="776"/>
      <c r="AU401" s="776"/>
      <c r="AV401" s="776"/>
      <c r="AW401" s="965">
        <f t="shared" si="406"/>
        <v>0</v>
      </c>
      <c r="AX401" s="965"/>
      <c r="AY401" s="965"/>
      <c r="AZ401" s="965"/>
      <c r="BA401" s="1035">
        <f t="shared" si="407"/>
        <v>0</v>
      </c>
      <c r="BB401" s="1036">
        <f t="shared" si="392"/>
        <v>7</v>
      </c>
      <c r="BC401" s="966">
        <f t="shared" si="393"/>
        <v>30</v>
      </c>
      <c r="BD401" s="966">
        <f t="shared" si="394"/>
        <v>44</v>
      </c>
      <c r="BE401" s="966">
        <f t="shared" si="395"/>
        <v>66</v>
      </c>
      <c r="BF401" s="966">
        <f t="shared" si="396"/>
        <v>140</v>
      </c>
      <c r="BG401" s="966">
        <f t="shared" si="397"/>
        <v>0</v>
      </c>
      <c r="BH401" s="966">
        <f t="shared" si="398"/>
        <v>0</v>
      </c>
      <c r="BI401" s="966">
        <f t="shared" si="399"/>
        <v>0</v>
      </c>
      <c r="BJ401" s="966">
        <f t="shared" si="400"/>
        <v>0</v>
      </c>
      <c r="BK401" s="966">
        <f t="shared" si="401"/>
        <v>0</v>
      </c>
      <c r="BL401" s="961"/>
    </row>
    <row r="402" spans="1:64" s="43" customFormat="1" ht="17.100000000000001" customHeight="1">
      <c r="A402" s="761" t="s">
        <v>2790</v>
      </c>
      <c r="B402" s="55" t="s">
        <v>142</v>
      </c>
      <c r="C402" s="53" t="s">
        <v>2825</v>
      </c>
      <c r="D402" s="53" t="s">
        <v>2806</v>
      </c>
      <c r="E402" s="53" t="s">
        <v>5</v>
      </c>
      <c r="F402" s="53" t="s">
        <v>4080</v>
      </c>
      <c r="G402" s="71">
        <v>38777</v>
      </c>
      <c r="H402" s="50" t="s">
        <v>4081</v>
      </c>
      <c r="I402" s="51">
        <v>773</v>
      </c>
      <c r="J402" s="52">
        <v>22644</v>
      </c>
      <c r="K402" s="53" t="s">
        <v>4082</v>
      </c>
      <c r="L402" s="54" t="s">
        <v>4083</v>
      </c>
      <c r="M402" s="773">
        <v>12</v>
      </c>
      <c r="N402" s="718"/>
      <c r="O402" s="774">
        <v>311</v>
      </c>
      <c r="P402" s="60">
        <v>3</v>
      </c>
      <c r="Q402" s="61">
        <v>60</v>
      </c>
      <c r="R402" s="61">
        <v>5</v>
      </c>
      <c r="S402" s="61">
        <v>118</v>
      </c>
      <c r="T402" s="61">
        <v>4</v>
      </c>
      <c r="U402" s="62">
        <v>94</v>
      </c>
      <c r="V402" s="60"/>
      <c r="W402" s="61"/>
      <c r="X402" s="61"/>
      <c r="Y402" s="61"/>
      <c r="Z402" s="61"/>
      <c r="AA402" s="62"/>
      <c r="AB402" s="63"/>
      <c r="AC402" s="61"/>
      <c r="AD402" s="61"/>
      <c r="AE402" s="61"/>
      <c r="AF402" s="61">
        <f t="shared" si="402"/>
        <v>0</v>
      </c>
      <c r="AG402" s="61"/>
      <c r="AH402" s="61"/>
      <c r="AI402" s="62">
        <f t="shared" si="403"/>
        <v>0</v>
      </c>
      <c r="AJ402" s="63"/>
      <c r="AK402" s="61"/>
      <c r="AL402" s="61"/>
      <c r="AM402" s="61"/>
      <c r="AN402" s="61">
        <f t="shared" si="404"/>
        <v>0</v>
      </c>
      <c r="AO402" s="61"/>
      <c r="AP402" s="61"/>
      <c r="AQ402" s="62">
        <f t="shared" si="405"/>
        <v>0</v>
      </c>
      <c r="AR402" s="955"/>
      <c r="AS402" s="956"/>
      <c r="AT402" s="61"/>
      <c r="AU402" s="61"/>
      <c r="AV402" s="61"/>
      <c r="AW402" s="956">
        <f t="shared" si="406"/>
        <v>0</v>
      </c>
      <c r="AX402" s="956"/>
      <c r="AY402" s="956"/>
      <c r="AZ402" s="956"/>
      <c r="BA402" s="957">
        <f t="shared" si="407"/>
        <v>0</v>
      </c>
      <c r="BB402" s="958">
        <f t="shared" si="392"/>
        <v>12</v>
      </c>
      <c r="BC402" s="959">
        <f t="shared" si="393"/>
        <v>60</v>
      </c>
      <c r="BD402" s="959">
        <f t="shared" si="394"/>
        <v>118</v>
      </c>
      <c r="BE402" s="959">
        <f t="shared" si="395"/>
        <v>94</v>
      </c>
      <c r="BF402" s="959">
        <f t="shared" si="396"/>
        <v>272</v>
      </c>
      <c r="BG402" s="959">
        <f t="shared" si="397"/>
        <v>0</v>
      </c>
      <c r="BH402" s="959">
        <f t="shared" si="398"/>
        <v>0</v>
      </c>
      <c r="BI402" s="959">
        <f t="shared" si="399"/>
        <v>0</v>
      </c>
      <c r="BJ402" s="959">
        <f t="shared" si="400"/>
        <v>0</v>
      </c>
      <c r="BK402" s="959">
        <f t="shared" si="401"/>
        <v>0</v>
      </c>
      <c r="BL402" s="53"/>
    </row>
    <row r="403" spans="1:64" s="43" customFormat="1" ht="17.100000000000001" customHeight="1">
      <c r="A403" s="457" t="s">
        <v>2790</v>
      </c>
      <c r="B403" s="53" t="s">
        <v>142</v>
      </c>
      <c r="C403" s="53" t="s">
        <v>2824</v>
      </c>
      <c r="D403" s="53" t="s">
        <v>2806</v>
      </c>
      <c r="E403" s="53" t="s">
        <v>5</v>
      </c>
      <c r="F403" s="53" t="s">
        <v>4084</v>
      </c>
      <c r="G403" s="71">
        <v>33298</v>
      </c>
      <c r="H403" s="50" t="s">
        <v>4085</v>
      </c>
      <c r="I403" s="51">
        <v>325</v>
      </c>
      <c r="J403" s="52">
        <v>22625</v>
      </c>
      <c r="K403" s="53" t="s">
        <v>4086</v>
      </c>
      <c r="L403" s="54" t="s">
        <v>4087</v>
      </c>
      <c r="M403" s="773">
        <v>4</v>
      </c>
      <c r="N403" s="718"/>
      <c r="O403" s="774">
        <v>100</v>
      </c>
      <c r="P403" s="60">
        <v>2</v>
      </c>
      <c r="Q403" s="61">
        <v>48</v>
      </c>
      <c r="R403" s="61">
        <v>1</v>
      </c>
      <c r="S403" s="61">
        <v>25</v>
      </c>
      <c r="T403" s="61">
        <v>1</v>
      </c>
      <c r="U403" s="62">
        <v>26</v>
      </c>
      <c r="V403" s="60"/>
      <c r="W403" s="61"/>
      <c r="X403" s="61"/>
      <c r="Y403" s="61"/>
      <c r="Z403" s="61"/>
      <c r="AA403" s="62"/>
      <c r="AB403" s="63"/>
      <c r="AC403" s="61"/>
      <c r="AD403" s="61"/>
      <c r="AE403" s="61"/>
      <c r="AF403" s="61">
        <f t="shared" si="402"/>
        <v>0</v>
      </c>
      <c r="AG403" s="61"/>
      <c r="AH403" s="61"/>
      <c r="AI403" s="62">
        <f t="shared" si="403"/>
        <v>0</v>
      </c>
      <c r="AJ403" s="63"/>
      <c r="AK403" s="61"/>
      <c r="AL403" s="61"/>
      <c r="AM403" s="61"/>
      <c r="AN403" s="61">
        <f t="shared" si="404"/>
        <v>0</v>
      </c>
      <c r="AO403" s="61"/>
      <c r="AP403" s="61"/>
      <c r="AQ403" s="62">
        <f t="shared" si="405"/>
        <v>0</v>
      </c>
      <c r="AR403" s="955"/>
      <c r="AS403" s="956"/>
      <c r="AT403" s="61"/>
      <c r="AU403" s="61"/>
      <c r="AV403" s="61"/>
      <c r="AW403" s="956">
        <f t="shared" si="406"/>
        <v>0</v>
      </c>
      <c r="AX403" s="956"/>
      <c r="AY403" s="956"/>
      <c r="AZ403" s="956"/>
      <c r="BA403" s="957">
        <f t="shared" si="407"/>
        <v>0</v>
      </c>
      <c r="BB403" s="958">
        <f t="shared" si="392"/>
        <v>4</v>
      </c>
      <c r="BC403" s="959">
        <f t="shared" si="393"/>
        <v>48</v>
      </c>
      <c r="BD403" s="959">
        <f t="shared" si="394"/>
        <v>25</v>
      </c>
      <c r="BE403" s="959">
        <f t="shared" si="395"/>
        <v>26</v>
      </c>
      <c r="BF403" s="959">
        <f t="shared" si="396"/>
        <v>99</v>
      </c>
      <c r="BG403" s="959">
        <f t="shared" si="397"/>
        <v>0</v>
      </c>
      <c r="BH403" s="959">
        <f t="shared" si="398"/>
        <v>0</v>
      </c>
      <c r="BI403" s="959">
        <f t="shared" si="399"/>
        <v>0</v>
      </c>
      <c r="BJ403" s="959">
        <f t="shared" si="400"/>
        <v>0</v>
      </c>
      <c r="BK403" s="959">
        <f t="shared" si="401"/>
        <v>0</v>
      </c>
      <c r="BL403" s="53"/>
    </row>
    <row r="404" spans="1:64" s="43" customFormat="1" ht="17.100000000000001" customHeight="1">
      <c r="A404" s="1037" t="s">
        <v>2790</v>
      </c>
      <c r="B404" s="1038" t="s">
        <v>142</v>
      </c>
      <c r="C404" s="1038" t="s">
        <v>2824</v>
      </c>
      <c r="D404" s="1038" t="s">
        <v>2806</v>
      </c>
      <c r="E404" s="1038" t="s">
        <v>5</v>
      </c>
      <c r="F404" s="1038" t="s">
        <v>4088</v>
      </c>
      <c r="G404" s="1039">
        <v>41932</v>
      </c>
      <c r="H404" s="1040" t="s">
        <v>4089</v>
      </c>
      <c r="I404" s="1041">
        <v>779</v>
      </c>
      <c r="J404" s="1042">
        <v>22624</v>
      </c>
      <c r="K404" s="1038" t="s">
        <v>1730</v>
      </c>
      <c r="L404" s="1043" t="s">
        <v>1731</v>
      </c>
      <c r="M404" s="1240">
        <v>7</v>
      </c>
      <c r="N404" s="1241">
        <v>0</v>
      </c>
      <c r="O404" s="1242">
        <v>196</v>
      </c>
      <c r="P404" s="1044">
        <v>2</v>
      </c>
      <c r="Q404" s="1045">
        <v>50</v>
      </c>
      <c r="R404" s="1045">
        <v>2</v>
      </c>
      <c r="S404" s="1045">
        <v>52</v>
      </c>
      <c r="T404" s="1045">
        <v>3</v>
      </c>
      <c r="U404" s="1046">
        <v>81</v>
      </c>
      <c r="V404" s="1044"/>
      <c r="W404" s="1045"/>
      <c r="X404" s="1045"/>
      <c r="Y404" s="1045"/>
      <c r="Z404" s="1045"/>
      <c r="AA404" s="1046"/>
      <c r="AB404" s="1047"/>
      <c r="AC404" s="1045"/>
      <c r="AD404" s="1045"/>
      <c r="AE404" s="1045"/>
      <c r="AF404" s="1045">
        <f t="shared" si="402"/>
        <v>0</v>
      </c>
      <c r="AG404" s="1045"/>
      <c r="AH404" s="1045"/>
      <c r="AI404" s="1046">
        <f t="shared" si="403"/>
        <v>0</v>
      </c>
      <c r="AJ404" s="1047"/>
      <c r="AK404" s="1045"/>
      <c r="AL404" s="1045"/>
      <c r="AM404" s="1045"/>
      <c r="AN404" s="1045">
        <f t="shared" si="404"/>
        <v>0</v>
      </c>
      <c r="AO404" s="1045"/>
      <c r="AP404" s="1045"/>
      <c r="AQ404" s="1046">
        <f t="shared" si="405"/>
        <v>0</v>
      </c>
      <c r="AR404" s="1048"/>
      <c r="AS404" s="1049"/>
      <c r="AT404" s="1045"/>
      <c r="AU404" s="1045"/>
      <c r="AV404" s="1045"/>
      <c r="AW404" s="1049">
        <f t="shared" si="406"/>
        <v>0</v>
      </c>
      <c r="AX404" s="1049"/>
      <c r="AY404" s="1049"/>
      <c r="AZ404" s="1049"/>
      <c r="BA404" s="1050">
        <f t="shared" si="407"/>
        <v>0</v>
      </c>
      <c r="BB404" s="1051">
        <f t="shared" si="392"/>
        <v>7</v>
      </c>
      <c r="BC404" s="1052">
        <f t="shared" si="393"/>
        <v>50</v>
      </c>
      <c r="BD404" s="1052">
        <f t="shared" si="394"/>
        <v>52</v>
      </c>
      <c r="BE404" s="1052">
        <f t="shared" si="395"/>
        <v>81</v>
      </c>
      <c r="BF404" s="1052">
        <f t="shared" si="396"/>
        <v>183</v>
      </c>
      <c r="BG404" s="1052">
        <f t="shared" si="397"/>
        <v>0</v>
      </c>
      <c r="BH404" s="1052">
        <f t="shared" si="398"/>
        <v>0</v>
      </c>
      <c r="BI404" s="1052">
        <f t="shared" si="399"/>
        <v>0</v>
      </c>
      <c r="BJ404" s="1052">
        <f t="shared" si="400"/>
        <v>0</v>
      </c>
      <c r="BK404" s="1052">
        <f t="shared" si="401"/>
        <v>0</v>
      </c>
      <c r="BL404" s="1038"/>
    </row>
    <row r="405" spans="1:64" s="43" customFormat="1" ht="17.100000000000001" customHeight="1">
      <c r="A405" s="761" t="s">
        <v>2790</v>
      </c>
      <c r="B405" s="55" t="s">
        <v>103</v>
      </c>
      <c r="C405" s="55" t="s">
        <v>2824</v>
      </c>
      <c r="D405" s="1053" t="s">
        <v>2806</v>
      </c>
      <c r="E405" s="55" t="s">
        <v>5</v>
      </c>
      <c r="F405" s="55" t="s">
        <v>4090</v>
      </c>
      <c r="G405" s="130">
        <v>39873</v>
      </c>
      <c r="H405" s="154" t="s">
        <v>4091</v>
      </c>
      <c r="I405" s="1054">
        <v>927</v>
      </c>
      <c r="J405" s="719">
        <v>22646</v>
      </c>
      <c r="K405" s="55" t="s">
        <v>4092</v>
      </c>
      <c r="L405" s="56" t="s">
        <v>4093</v>
      </c>
      <c r="M405" s="394">
        <v>13</v>
      </c>
      <c r="N405" s="395"/>
      <c r="O405" s="396">
        <v>310</v>
      </c>
      <c r="P405" s="67">
        <v>5</v>
      </c>
      <c r="Q405" s="68">
        <v>110</v>
      </c>
      <c r="R405" s="68">
        <v>4</v>
      </c>
      <c r="S405" s="68">
        <v>95</v>
      </c>
      <c r="T405" s="68">
        <v>4</v>
      </c>
      <c r="U405" s="69">
        <v>104</v>
      </c>
      <c r="V405" s="67"/>
      <c r="W405" s="68"/>
      <c r="X405" s="68"/>
      <c r="Y405" s="68"/>
      <c r="Z405" s="68"/>
      <c r="AA405" s="69"/>
      <c r="AB405" s="70"/>
      <c r="AC405" s="68"/>
      <c r="AD405" s="68"/>
      <c r="AE405" s="68"/>
      <c r="AF405" s="68">
        <f t="shared" si="402"/>
        <v>0</v>
      </c>
      <c r="AG405" s="68"/>
      <c r="AH405" s="68"/>
      <c r="AI405" s="69">
        <f t="shared" si="403"/>
        <v>0</v>
      </c>
      <c r="AJ405" s="70"/>
      <c r="AK405" s="68"/>
      <c r="AL405" s="68"/>
      <c r="AM405" s="68"/>
      <c r="AN405" s="68">
        <f t="shared" si="404"/>
        <v>0</v>
      </c>
      <c r="AO405" s="68"/>
      <c r="AP405" s="68"/>
      <c r="AQ405" s="69">
        <f t="shared" si="405"/>
        <v>0</v>
      </c>
      <c r="AR405" s="972"/>
      <c r="AS405" s="973"/>
      <c r="AT405" s="68"/>
      <c r="AU405" s="68"/>
      <c r="AV405" s="68"/>
      <c r="AW405" s="973">
        <f t="shared" si="406"/>
        <v>0</v>
      </c>
      <c r="AX405" s="973"/>
      <c r="AY405" s="973"/>
      <c r="AZ405" s="973"/>
      <c r="BA405" s="974">
        <f t="shared" si="407"/>
        <v>0</v>
      </c>
      <c r="BB405" s="975">
        <f t="shared" si="392"/>
        <v>13</v>
      </c>
      <c r="BC405" s="959">
        <f t="shared" si="393"/>
        <v>110</v>
      </c>
      <c r="BD405" s="959">
        <f t="shared" si="394"/>
        <v>95</v>
      </c>
      <c r="BE405" s="959">
        <f t="shared" si="395"/>
        <v>104</v>
      </c>
      <c r="BF405" s="959">
        <f t="shared" si="396"/>
        <v>309</v>
      </c>
      <c r="BG405" s="959">
        <f t="shared" si="397"/>
        <v>0</v>
      </c>
      <c r="BH405" s="959">
        <f t="shared" si="398"/>
        <v>0</v>
      </c>
      <c r="BI405" s="959">
        <f t="shared" si="399"/>
        <v>0</v>
      </c>
      <c r="BJ405" s="959">
        <f t="shared" si="400"/>
        <v>0</v>
      </c>
      <c r="BK405" s="959">
        <f t="shared" si="401"/>
        <v>0</v>
      </c>
      <c r="BL405" s="55"/>
    </row>
    <row r="406" spans="1:64" s="43" customFormat="1" ht="17.100000000000001" customHeight="1">
      <c r="A406" s="1614" t="s">
        <v>1732</v>
      </c>
      <c r="B406" s="1615"/>
      <c r="C406" s="1615"/>
      <c r="D406" s="1616"/>
      <c r="E406" s="418">
        <f>COUNTA(E374:E405)</f>
        <v>32</v>
      </c>
      <c r="F406" s="294"/>
      <c r="G406" s="419"/>
      <c r="H406" s="190"/>
      <c r="I406" s="420"/>
      <c r="J406" s="296"/>
      <c r="K406" s="294"/>
      <c r="L406" s="297"/>
      <c r="M406" s="421">
        <f t="shared" ref="M406:AR406" si="408">SUM(M374:M405)</f>
        <v>277</v>
      </c>
      <c r="N406" s="422">
        <f t="shared" si="408"/>
        <v>0</v>
      </c>
      <c r="O406" s="423">
        <f t="shared" si="408"/>
        <v>7184</v>
      </c>
      <c r="P406" s="424">
        <f t="shared" si="408"/>
        <v>87</v>
      </c>
      <c r="Q406" s="425">
        <f t="shared" si="408"/>
        <v>1898</v>
      </c>
      <c r="R406" s="425">
        <f t="shared" si="408"/>
        <v>90</v>
      </c>
      <c r="S406" s="425">
        <f t="shared" si="408"/>
        <v>2125</v>
      </c>
      <c r="T406" s="425">
        <f t="shared" si="408"/>
        <v>84</v>
      </c>
      <c r="U406" s="426">
        <f t="shared" si="408"/>
        <v>2146</v>
      </c>
      <c r="V406" s="427">
        <f t="shared" si="408"/>
        <v>0</v>
      </c>
      <c r="W406" s="425">
        <f t="shared" si="408"/>
        <v>0</v>
      </c>
      <c r="X406" s="425">
        <f t="shared" si="408"/>
        <v>0</v>
      </c>
      <c r="Y406" s="425">
        <f t="shared" si="408"/>
        <v>0</v>
      </c>
      <c r="Z406" s="425">
        <f t="shared" si="408"/>
        <v>0</v>
      </c>
      <c r="AA406" s="426">
        <f t="shared" si="408"/>
        <v>0</v>
      </c>
      <c r="AB406" s="424">
        <f t="shared" si="408"/>
        <v>0</v>
      </c>
      <c r="AC406" s="425">
        <f t="shared" si="408"/>
        <v>0</v>
      </c>
      <c r="AD406" s="425">
        <f t="shared" si="408"/>
        <v>0</v>
      </c>
      <c r="AE406" s="425">
        <f t="shared" si="408"/>
        <v>0</v>
      </c>
      <c r="AF406" s="425">
        <f t="shared" si="408"/>
        <v>0</v>
      </c>
      <c r="AG406" s="425">
        <f t="shared" si="408"/>
        <v>0</v>
      </c>
      <c r="AH406" s="425">
        <f t="shared" si="408"/>
        <v>0</v>
      </c>
      <c r="AI406" s="426">
        <f t="shared" si="408"/>
        <v>0</v>
      </c>
      <c r="AJ406" s="424">
        <f t="shared" si="408"/>
        <v>0</v>
      </c>
      <c r="AK406" s="425">
        <f t="shared" si="408"/>
        <v>0</v>
      </c>
      <c r="AL406" s="425">
        <f t="shared" si="408"/>
        <v>0</v>
      </c>
      <c r="AM406" s="425">
        <f t="shared" si="408"/>
        <v>0</v>
      </c>
      <c r="AN406" s="425">
        <f t="shared" si="408"/>
        <v>0</v>
      </c>
      <c r="AO406" s="425">
        <f t="shared" si="408"/>
        <v>0</v>
      </c>
      <c r="AP406" s="425">
        <f t="shared" si="408"/>
        <v>0</v>
      </c>
      <c r="AQ406" s="459">
        <f t="shared" si="408"/>
        <v>0</v>
      </c>
      <c r="AR406" s="460">
        <f t="shared" si="408"/>
        <v>2</v>
      </c>
      <c r="AS406" s="429">
        <f t="shared" ref="AS406:BK406" si="409">SUM(AS374:AS405)</f>
        <v>0</v>
      </c>
      <c r="AT406" s="429">
        <f t="shared" si="409"/>
        <v>16</v>
      </c>
      <c r="AU406" s="429">
        <f t="shared" si="409"/>
        <v>4</v>
      </c>
      <c r="AV406" s="429">
        <f t="shared" si="409"/>
        <v>13</v>
      </c>
      <c r="AW406" s="429">
        <f t="shared" si="409"/>
        <v>33</v>
      </c>
      <c r="AX406" s="429">
        <f t="shared" si="409"/>
        <v>0</v>
      </c>
      <c r="AY406" s="429">
        <f t="shared" si="409"/>
        <v>0</v>
      </c>
      <c r="AZ406" s="429">
        <f t="shared" si="409"/>
        <v>0</v>
      </c>
      <c r="BA406" s="461">
        <f t="shared" si="409"/>
        <v>0</v>
      </c>
      <c r="BB406" s="431">
        <f t="shared" si="409"/>
        <v>263</v>
      </c>
      <c r="BC406" s="432">
        <f t="shared" si="409"/>
        <v>1914</v>
      </c>
      <c r="BD406" s="432">
        <f t="shared" si="409"/>
        <v>2129</v>
      </c>
      <c r="BE406" s="432">
        <f t="shared" si="409"/>
        <v>2159</v>
      </c>
      <c r="BF406" s="432">
        <f t="shared" si="409"/>
        <v>6202</v>
      </c>
      <c r="BG406" s="432">
        <f t="shared" si="409"/>
        <v>0</v>
      </c>
      <c r="BH406" s="432">
        <f t="shared" si="409"/>
        <v>0</v>
      </c>
      <c r="BI406" s="432">
        <f t="shared" si="409"/>
        <v>0</v>
      </c>
      <c r="BJ406" s="432">
        <f t="shared" si="409"/>
        <v>0</v>
      </c>
      <c r="BK406" s="433">
        <f t="shared" si="409"/>
        <v>0</v>
      </c>
      <c r="BL406" s="434"/>
    </row>
    <row r="407" spans="1:64" s="43" customFormat="1" ht="17.100000000000001" customHeight="1">
      <c r="A407" s="1568" t="s">
        <v>1810</v>
      </c>
      <c r="B407" s="1569"/>
      <c r="C407" s="1569"/>
      <c r="D407" s="1569"/>
      <c r="E407" s="1570"/>
      <c r="F407" s="435">
        <f>E373+E406</f>
        <v>86</v>
      </c>
      <c r="G407" s="436"/>
      <c r="H407" s="222"/>
      <c r="I407" s="437"/>
      <c r="J407" s="305"/>
      <c r="K407" s="303"/>
      <c r="L407" s="306"/>
      <c r="M407" s="438">
        <f t="shared" ref="M407:AR407" si="410">M373+M406</f>
        <v>522</v>
      </c>
      <c r="N407" s="439">
        <f t="shared" si="410"/>
        <v>43</v>
      </c>
      <c r="O407" s="440">
        <f t="shared" si="410"/>
        <v>11188</v>
      </c>
      <c r="P407" s="441">
        <f t="shared" si="410"/>
        <v>155</v>
      </c>
      <c r="Q407" s="442">
        <f t="shared" si="410"/>
        <v>2637</v>
      </c>
      <c r="R407" s="442">
        <f t="shared" si="410"/>
        <v>162</v>
      </c>
      <c r="S407" s="442">
        <f t="shared" si="410"/>
        <v>3160</v>
      </c>
      <c r="T407" s="442">
        <f t="shared" si="410"/>
        <v>168</v>
      </c>
      <c r="U407" s="443">
        <f t="shared" si="410"/>
        <v>3458</v>
      </c>
      <c r="V407" s="444">
        <f t="shared" si="410"/>
        <v>8</v>
      </c>
      <c r="W407" s="442">
        <f t="shared" si="410"/>
        <v>30</v>
      </c>
      <c r="X407" s="442">
        <f t="shared" si="410"/>
        <v>9</v>
      </c>
      <c r="Y407" s="442">
        <f t="shared" si="410"/>
        <v>33</v>
      </c>
      <c r="Z407" s="442">
        <f t="shared" si="410"/>
        <v>12</v>
      </c>
      <c r="AA407" s="443">
        <f t="shared" si="410"/>
        <v>49</v>
      </c>
      <c r="AB407" s="441">
        <f t="shared" si="410"/>
        <v>6</v>
      </c>
      <c r="AC407" s="442">
        <f t="shared" si="410"/>
        <v>2</v>
      </c>
      <c r="AD407" s="442">
        <f t="shared" si="410"/>
        <v>15</v>
      </c>
      <c r="AE407" s="442">
        <f t="shared" si="410"/>
        <v>30</v>
      </c>
      <c r="AF407" s="442">
        <f t="shared" si="410"/>
        <v>45</v>
      </c>
      <c r="AG407" s="442">
        <f t="shared" si="410"/>
        <v>5</v>
      </c>
      <c r="AH407" s="442">
        <f t="shared" si="410"/>
        <v>3</v>
      </c>
      <c r="AI407" s="443">
        <f t="shared" si="410"/>
        <v>8</v>
      </c>
      <c r="AJ407" s="441">
        <f t="shared" si="410"/>
        <v>4</v>
      </c>
      <c r="AK407" s="442">
        <f t="shared" si="410"/>
        <v>0</v>
      </c>
      <c r="AL407" s="442">
        <f t="shared" si="410"/>
        <v>11</v>
      </c>
      <c r="AM407" s="442">
        <f t="shared" si="410"/>
        <v>21</v>
      </c>
      <c r="AN407" s="442">
        <f t="shared" si="410"/>
        <v>32</v>
      </c>
      <c r="AO407" s="442">
        <f t="shared" si="410"/>
        <v>0</v>
      </c>
      <c r="AP407" s="442">
        <f t="shared" si="410"/>
        <v>0</v>
      </c>
      <c r="AQ407" s="443">
        <f t="shared" si="410"/>
        <v>0</v>
      </c>
      <c r="AR407" s="445">
        <f t="shared" si="410"/>
        <v>3</v>
      </c>
      <c r="AS407" s="446">
        <f t="shared" ref="AS407:BK407" si="411">AS373+AS406</f>
        <v>11</v>
      </c>
      <c r="AT407" s="446">
        <f t="shared" si="411"/>
        <v>20</v>
      </c>
      <c r="AU407" s="446">
        <f t="shared" si="411"/>
        <v>6</v>
      </c>
      <c r="AV407" s="446">
        <f t="shared" si="411"/>
        <v>16</v>
      </c>
      <c r="AW407" s="446">
        <f t="shared" si="411"/>
        <v>42</v>
      </c>
      <c r="AX407" s="446">
        <f t="shared" si="411"/>
        <v>8</v>
      </c>
      <c r="AY407" s="446">
        <f t="shared" si="411"/>
        <v>9</v>
      </c>
      <c r="AZ407" s="446">
        <f t="shared" si="411"/>
        <v>16</v>
      </c>
      <c r="BA407" s="447">
        <f t="shared" si="411"/>
        <v>33</v>
      </c>
      <c r="BB407" s="448">
        <f t="shared" si="411"/>
        <v>498</v>
      </c>
      <c r="BC407" s="449">
        <f t="shared" si="411"/>
        <v>2672</v>
      </c>
      <c r="BD407" s="449">
        <f t="shared" si="411"/>
        <v>3207</v>
      </c>
      <c r="BE407" s="449">
        <f t="shared" si="411"/>
        <v>3495</v>
      </c>
      <c r="BF407" s="449">
        <f t="shared" si="411"/>
        <v>9374</v>
      </c>
      <c r="BG407" s="449">
        <f t="shared" si="411"/>
        <v>43</v>
      </c>
      <c r="BH407" s="449">
        <f t="shared" si="411"/>
        <v>43</v>
      </c>
      <c r="BI407" s="449">
        <f t="shared" si="411"/>
        <v>45</v>
      </c>
      <c r="BJ407" s="449">
        <f t="shared" si="411"/>
        <v>66</v>
      </c>
      <c r="BK407" s="450">
        <f t="shared" si="411"/>
        <v>154</v>
      </c>
      <c r="BL407" s="451"/>
    </row>
    <row r="408" spans="1:64" s="400" customFormat="1" ht="17.100000000000001" customHeight="1">
      <c r="A408" s="457" t="s">
        <v>1735</v>
      </c>
      <c r="B408" s="53" t="s">
        <v>158</v>
      </c>
      <c r="C408" s="53" t="s">
        <v>158</v>
      </c>
      <c r="D408" s="53" t="s">
        <v>1734</v>
      </c>
      <c r="E408" s="53" t="s">
        <v>4</v>
      </c>
      <c r="F408" s="53" t="s">
        <v>4094</v>
      </c>
      <c r="G408" s="71">
        <v>31291</v>
      </c>
      <c r="H408" s="50" t="s">
        <v>4095</v>
      </c>
      <c r="I408" s="51">
        <v>18242</v>
      </c>
      <c r="J408" s="52">
        <v>23025</v>
      </c>
      <c r="K408" s="53" t="s">
        <v>4096</v>
      </c>
      <c r="L408" s="54" t="s">
        <v>4097</v>
      </c>
      <c r="M408" s="1225">
        <v>3</v>
      </c>
      <c r="N408" s="1226">
        <v>1</v>
      </c>
      <c r="O408" s="1232">
        <v>45</v>
      </c>
      <c r="P408" s="60">
        <v>1</v>
      </c>
      <c r="Q408" s="61">
        <v>7</v>
      </c>
      <c r="R408" s="61">
        <v>1</v>
      </c>
      <c r="S408" s="61">
        <v>9</v>
      </c>
      <c r="T408" s="61">
        <v>1</v>
      </c>
      <c r="U408" s="62">
        <v>16</v>
      </c>
      <c r="V408" s="60"/>
      <c r="W408" s="61"/>
      <c r="X408" s="61"/>
      <c r="Y408" s="61"/>
      <c r="Z408" s="61"/>
      <c r="AA408" s="62"/>
      <c r="AB408" s="63"/>
      <c r="AC408" s="61"/>
      <c r="AD408" s="61"/>
      <c r="AE408" s="61"/>
      <c r="AF408" s="61">
        <f t="shared" ref="AF408:AF422" si="412">SUM(AD408:AE408)</f>
        <v>0</v>
      </c>
      <c r="AG408" s="61"/>
      <c r="AH408" s="61"/>
      <c r="AI408" s="62">
        <f t="shared" ref="AI408:AI422" si="413">SUM(AG408:AH408)</f>
        <v>0</v>
      </c>
      <c r="AJ408" s="63"/>
      <c r="AK408" s="61"/>
      <c r="AL408" s="61"/>
      <c r="AM408" s="61"/>
      <c r="AN408" s="61">
        <f t="shared" ref="AN408:AN422" si="414">SUM(AL408:AM408)</f>
        <v>0</v>
      </c>
      <c r="AO408" s="61"/>
      <c r="AP408" s="61"/>
      <c r="AQ408" s="62">
        <f t="shared" ref="AQ408:AQ422" si="415">SUM(AO408:AP408)</f>
        <v>0</v>
      </c>
      <c r="AR408" s="955"/>
      <c r="AS408" s="956">
        <v>1</v>
      </c>
      <c r="AT408" s="61"/>
      <c r="AU408" s="61"/>
      <c r="AV408" s="61"/>
      <c r="AW408" s="956">
        <f t="shared" ref="AW408:AW422" si="416">SUM(AT408:AV408)</f>
        <v>0</v>
      </c>
      <c r="AX408" s="956">
        <v>1</v>
      </c>
      <c r="AY408" s="956">
        <v>1</v>
      </c>
      <c r="AZ408" s="956">
        <v>2</v>
      </c>
      <c r="BA408" s="957">
        <f t="shared" ref="BA408:BA422" si="417">SUM(AX408:AZ408)</f>
        <v>4</v>
      </c>
      <c r="BB408" s="958">
        <f t="shared" ref="BB408:BB422" si="418">SUM(P408,R408,T408,AB408,AJ408,AR408)</f>
        <v>3</v>
      </c>
      <c r="BC408" s="959">
        <f t="shared" ref="BC408:BC422" si="419">SUM(Q408,AD408,AT408)</f>
        <v>7</v>
      </c>
      <c r="BD408" s="959">
        <f t="shared" ref="BD408:BD422" si="420">SUM(S408,AE408,AL408,AU408)</f>
        <v>9</v>
      </c>
      <c r="BE408" s="959">
        <f t="shared" ref="BE408:BE422" si="421">SUM(U408,AM408,AV408)</f>
        <v>16</v>
      </c>
      <c r="BF408" s="959">
        <f t="shared" ref="BF408:BF422" si="422">SUM(BC408:BE408)</f>
        <v>32</v>
      </c>
      <c r="BG408" s="959">
        <f t="shared" ref="BG408:BG422" si="423">SUM(V408,X408,Z408,AC408,AK408,AS408)</f>
        <v>1</v>
      </c>
      <c r="BH408" s="959">
        <f t="shared" ref="BH408:BH422" si="424">SUM(W408,AG408,AX408)</f>
        <v>1</v>
      </c>
      <c r="BI408" s="959">
        <f t="shared" ref="BI408:BI422" si="425">SUM(Y408,AH408,AO408,AY408)</f>
        <v>1</v>
      </c>
      <c r="BJ408" s="959">
        <f t="shared" ref="BJ408:BJ422" si="426">SUM(AA408,AP408,AZ408)</f>
        <v>2</v>
      </c>
      <c r="BK408" s="959">
        <f t="shared" ref="BK408:BK422" si="427">SUM(BH408:BJ408)</f>
        <v>4</v>
      </c>
      <c r="BL408" s="53"/>
    </row>
    <row r="409" spans="1:64" s="400" customFormat="1" ht="17.100000000000001" customHeight="1">
      <c r="A409" s="457" t="s">
        <v>1735</v>
      </c>
      <c r="B409" s="53" t="s">
        <v>158</v>
      </c>
      <c r="C409" s="53" t="s">
        <v>158</v>
      </c>
      <c r="D409" s="53" t="s">
        <v>1734</v>
      </c>
      <c r="E409" s="53" t="s">
        <v>4</v>
      </c>
      <c r="F409" s="53" t="s">
        <v>4098</v>
      </c>
      <c r="G409" s="71">
        <v>31841</v>
      </c>
      <c r="H409" s="50" t="s">
        <v>1344</v>
      </c>
      <c r="I409" s="51">
        <v>6000</v>
      </c>
      <c r="J409" s="52">
        <v>23030</v>
      </c>
      <c r="K409" s="53" t="s">
        <v>4099</v>
      </c>
      <c r="L409" s="54" t="s">
        <v>4100</v>
      </c>
      <c r="M409" s="57">
        <v>1</v>
      </c>
      <c r="N409" s="58"/>
      <c r="O409" s="59">
        <v>18</v>
      </c>
      <c r="P409" s="60"/>
      <c r="Q409" s="61"/>
      <c r="R409" s="61"/>
      <c r="S409" s="61"/>
      <c r="T409" s="61"/>
      <c r="U409" s="62"/>
      <c r="V409" s="60"/>
      <c r="W409" s="61"/>
      <c r="X409" s="61"/>
      <c r="Y409" s="61"/>
      <c r="Z409" s="61"/>
      <c r="AA409" s="62"/>
      <c r="AB409" s="63"/>
      <c r="AC409" s="61"/>
      <c r="AD409" s="61"/>
      <c r="AE409" s="61"/>
      <c r="AF409" s="61">
        <f t="shared" si="412"/>
        <v>0</v>
      </c>
      <c r="AG409" s="61"/>
      <c r="AH409" s="61"/>
      <c r="AI409" s="62">
        <f t="shared" si="413"/>
        <v>0</v>
      </c>
      <c r="AJ409" s="63"/>
      <c r="AK409" s="61"/>
      <c r="AL409" s="61"/>
      <c r="AM409" s="61"/>
      <c r="AN409" s="61">
        <f t="shared" si="414"/>
        <v>0</v>
      </c>
      <c r="AO409" s="61"/>
      <c r="AP409" s="61"/>
      <c r="AQ409" s="62">
        <f t="shared" si="415"/>
        <v>0</v>
      </c>
      <c r="AR409" s="955"/>
      <c r="AS409" s="956"/>
      <c r="AT409" s="61"/>
      <c r="AU409" s="61"/>
      <c r="AV409" s="61"/>
      <c r="AW409" s="956">
        <f t="shared" si="416"/>
        <v>0</v>
      </c>
      <c r="AX409" s="956"/>
      <c r="AY409" s="956"/>
      <c r="AZ409" s="956"/>
      <c r="BA409" s="957">
        <f t="shared" si="417"/>
        <v>0</v>
      </c>
      <c r="BB409" s="958">
        <f t="shared" si="418"/>
        <v>0</v>
      </c>
      <c r="BC409" s="959">
        <f t="shared" si="419"/>
        <v>0</v>
      </c>
      <c r="BD409" s="959">
        <f t="shared" si="420"/>
        <v>0</v>
      </c>
      <c r="BE409" s="959">
        <f t="shared" si="421"/>
        <v>0</v>
      </c>
      <c r="BF409" s="959">
        <f t="shared" si="422"/>
        <v>0</v>
      </c>
      <c r="BG409" s="959">
        <f t="shared" si="423"/>
        <v>0</v>
      </c>
      <c r="BH409" s="959">
        <f t="shared" si="424"/>
        <v>0</v>
      </c>
      <c r="BI409" s="959">
        <f t="shared" si="425"/>
        <v>0</v>
      </c>
      <c r="BJ409" s="959">
        <f t="shared" si="426"/>
        <v>0</v>
      </c>
      <c r="BK409" s="959">
        <f t="shared" si="427"/>
        <v>0</v>
      </c>
      <c r="BL409" s="53" t="s">
        <v>1748</v>
      </c>
    </row>
    <row r="410" spans="1:64" s="400" customFormat="1" ht="17.100000000000001" customHeight="1">
      <c r="A410" s="457" t="s">
        <v>1735</v>
      </c>
      <c r="B410" s="53" t="s">
        <v>158</v>
      </c>
      <c r="C410" s="53" t="s">
        <v>158</v>
      </c>
      <c r="D410" s="53" t="s">
        <v>1734</v>
      </c>
      <c r="E410" s="53" t="s">
        <v>4</v>
      </c>
      <c r="F410" s="53" t="s">
        <v>4101</v>
      </c>
      <c r="G410" s="71">
        <v>30018</v>
      </c>
      <c r="H410" s="50" t="s">
        <v>4102</v>
      </c>
      <c r="I410" s="51">
        <v>10323</v>
      </c>
      <c r="J410" s="52">
        <v>23021</v>
      </c>
      <c r="K410" s="53" t="s">
        <v>1294</v>
      </c>
      <c r="L410" s="54" t="s">
        <v>1295</v>
      </c>
      <c r="M410" s="57">
        <v>1</v>
      </c>
      <c r="N410" s="58"/>
      <c r="O410" s="59">
        <v>18</v>
      </c>
      <c r="P410" s="60"/>
      <c r="Q410" s="61"/>
      <c r="R410" s="61"/>
      <c r="S410" s="61"/>
      <c r="T410" s="61"/>
      <c r="U410" s="62"/>
      <c r="V410" s="60"/>
      <c r="W410" s="61"/>
      <c r="X410" s="61"/>
      <c r="Y410" s="61"/>
      <c r="Z410" s="61"/>
      <c r="AA410" s="62"/>
      <c r="AB410" s="63"/>
      <c r="AC410" s="61"/>
      <c r="AD410" s="61"/>
      <c r="AE410" s="61"/>
      <c r="AF410" s="61">
        <f t="shared" si="412"/>
        <v>0</v>
      </c>
      <c r="AG410" s="61"/>
      <c r="AH410" s="61"/>
      <c r="AI410" s="62">
        <f t="shared" si="413"/>
        <v>0</v>
      </c>
      <c r="AJ410" s="63"/>
      <c r="AK410" s="61"/>
      <c r="AL410" s="61"/>
      <c r="AM410" s="61"/>
      <c r="AN410" s="61">
        <f t="shared" si="414"/>
        <v>0</v>
      </c>
      <c r="AO410" s="61"/>
      <c r="AP410" s="61"/>
      <c r="AQ410" s="62">
        <f t="shared" si="415"/>
        <v>0</v>
      </c>
      <c r="AR410" s="955">
        <v>1</v>
      </c>
      <c r="AS410" s="956"/>
      <c r="AT410" s="61"/>
      <c r="AU410" s="61"/>
      <c r="AV410" s="61">
        <v>5</v>
      </c>
      <c r="AW410" s="956">
        <f t="shared" si="416"/>
        <v>5</v>
      </c>
      <c r="AX410" s="956"/>
      <c r="AY410" s="956"/>
      <c r="AZ410" s="956"/>
      <c r="BA410" s="957">
        <f t="shared" si="417"/>
        <v>0</v>
      </c>
      <c r="BB410" s="958">
        <f t="shared" si="418"/>
        <v>1</v>
      </c>
      <c r="BC410" s="959">
        <f t="shared" si="419"/>
        <v>0</v>
      </c>
      <c r="BD410" s="959">
        <f t="shared" si="420"/>
        <v>0</v>
      </c>
      <c r="BE410" s="959">
        <f t="shared" si="421"/>
        <v>5</v>
      </c>
      <c r="BF410" s="959">
        <f t="shared" si="422"/>
        <v>5</v>
      </c>
      <c r="BG410" s="959">
        <f t="shared" si="423"/>
        <v>0</v>
      </c>
      <c r="BH410" s="959">
        <f t="shared" si="424"/>
        <v>0</v>
      </c>
      <c r="BI410" s="959">
        <f t="shared" si="425"/>
        <v>0</v>
      </c>
      <c r="BJ410" s="959">
        <f t="shared" si="426"/>
        <v>0</v>
      </c>
      <c r="BK410" s="959">
        <f t="shared" si="427"/>
        <v>0</v>
      </c>
      <c r="BL410" s="53"/>
    </row>
    <row r="411" spans="1:64" s="400" customFormat="1" ht="17.100000000000001" customHeight="1">
      <c r="A411" s="457" t="s">
        <v>1735</v>
      </c>
      <c r="B411" s="53" t="s">
        <v>158</v>
      </c>
      <c r="C411" s="53" t="s">
        <v>158</v>
      </c>
      <c r="D411" s="53" t="s">
        <v>1734</v>
      </c>
      <c r="E411" s="53" t="s">
        <v>4</v>
      </c>
      <c r="F411" s="53" t="s">
        <v>4103</v>
      </c>
      <c r="G411" s="71">
        <v>31837</v>
      </c>
      <c r="H411" s="50" t="s">
        <v>4104</v>
      </c>
      <c r="I411" s="51">
        <v>7423</v>
      </c>
      <c r="J411" s="52">
        <v>23034</v>
      </c>
      <c r="K411" s="53" t="s">
        <v>4105</v>
      </c>
      <c r="L411" s="54" t="s">
        <v>1291</v>
      </c>
      <c r="M411" s="57">
        <v>1</v>
      </c>
      <c r="N411" s="58">
        <v>1</v>
      </c>
      <c r="O411" s="59">
        <v>18</v>
      </c>
      <c r="P411" s="60"/>
      <c r="Q411" s="61"/>
      <c r="R411" s="61"/>
      <c r="S411" s="61"/>
      <c r="T411" s="61"/>
      <c r="U411" s="62"/>
      <c r="V411" s="60"/>
      <c r="W411" s="61"/>
      <c r="X411" s="61"/>
      <c r="Y411" s="61"/>
      <c r="Z411" s="61"/>
      <c r="AA411" s="62"/>
      <c r="AB411" s="63"/>
      <c r="AC411" s="61"/>
      <c r="AD411" s="61"/>
      <c r="AE411" s="61"/>
      <c r="AF411" s="61">
        <f t="shared" si="412"/>
        <v>0</v>
      </c>
      <c r="AG411" s="61"/>
      <c r="AH411" s="61"/>
      <c r="AI411" s="62">
        <f t="shared" si="413"/>
        <v>0</v>
      </c>
      <c r="AJ411" s="63"/>
      <c r="AK411" s="61"/>
      <c r="AL411" s="61"/>
      <c r="AM411" s="61"/>
      <c r="AN411" s="61">
        <f t="shared" si="414"/>
        <v>0</v>
      </c>
      <c r="AO411" s="61"/>
      <c r="AP411" s="61"/>
      <c r="AQ411" s="62">
        <f t="shared" si="415"/>
        <v>0</v>
      </c>
      <c r="AR411" s="955">
        <v>1</v>
      </c>
      <c r="AS411" s="956">
        <v>1</v>
      </c>
      <c r="AT411" s="61">
        <v>2</v>
      </c>
      <c r="AU411" s="61"/>
      <c r="AV411" s="61">
        <v>8</v>
      </c>
      <c r="AW411" s="956">
        <f t="shared" si="416"/>
        <v>10</v>
      </c>
      <c r="AX411" s="956"/>
      <c r="AY411" s="956"/>
      <c r="AZ411" s="956">
        <v>3</v>
      </c>
      <c r="BA411" s="957">
        <f t="shared" si="417"/>
        <v>3</v>
      </c>
      <c r="BB411" s="958">
        <f t="shared" si="418"/>
        <v>1</v>
      </c>
      <c r="BC411" s="959">
        <f t="shared" si="419"/>
        <v>2</v>
      </c>
      <c r="BD411" s="959">
        <f t="shared" si="420"/>
        <v>0</v>
      </c>
      <c r="BE411" s="959">
        <f t="shared" si="421"/>
        <v>8</v>
      </c>
      <c r="BF411" s="959">
        <f t="shared" si="422"/>
        <v>10</v>
      </c>
      <c r="BG411" s="959">
        <f t="shared" si="423"/>
        <v>1</v>
      </c>
      <c r="BH411" s="959">
        <f t="shared" si="424"/>
        <v>0</v>
      </c>
      <c r="BI411" s="959">
        <f t="shared" si="425"/>
        <v>0</v>
      </c>
      <c r="BJ411" s="959">
        <f t="shared" si="426"/>
        <v>3</v>
      </c>
      <c r="BK411" s="959">
        <f t="shared" si="427"/>
        <v>3</v>
      </c>
      <c r="BL411" s="53"/>
    </row>
    <row r="412" spans="1:64" s="400" customFormat="1" ht="17.100000000000001" customHeight="1">
      <c r="A412" s="457" t="s">
        <v>1735</v>
      </c>
      <c r="B412" s="53" t="s">
        <v>158</v>
      </c>
      <c r="C412" s="53" t="s">
        <v>158</v>
      </c>
      <c r="D412" s="53" t="s">
        <v>4106</v>
      </c>
      <c r="E412" s="53" t="s">
        <v>4</v>
      </c>
      <c r="F412" s="53" t="s">
        <v>4107</v>
      </c>
      <c r="G412" s="71">
        <v>29654</v>
      </c>
      <c r="H412" s="50" t="s">
        <v>4108</v>
      </c>
      <c r="I412" s="51">
        <v>11935</v>
      </c>
      <c r="J412" s="52">
        <v>23018</v>
      </c>
      <c r="K412" s="53" t="s">
        <v>4109</v>
      </c>
      <c r="L412" s="54" t="s">
        <v>1322</v>
      </c>
      <c r="M412" s="57">
        <v>1</v>
      </c>
      <c r="N412" s="58"/>
      <c r="O412" s="59">
        <v>18</v>
      </c>
      <c r="P412" s="60"/>
      <c r="Q412" s="61"/>
      <c r="R412" s="61"/>
      <c r="S412" s="61"/>
      <c r="T412" s="61"/>
      <c r="U412" s="62"/>
      <c r="V412" s="60"/>
      <c r="W412" s="61"/>
      <c r="X412" s="61"/>
      <c r="Y412" s="61"/>
      <c r="Z412" s="61"/>
      <c r="AA412" s="62"/>
      <c r="AB412" s="63"/>
      <c r="AC412" s="61"/>
      <c r="AD412" s="61"/>
      <c r="AE412" s="61"/>
      <c r="AF412" s="61">
        <f t="shared" si="412"/>
        <v>0</v>
      </c>
      <c r="AG412" s="61"/>
      <c r="AH412" s="61"/>
      <c r="AI412" s="62">
        <f t="shared" si="413"/>
        <v>0</v>
      </c>
      <c r="AJ412" s="63"/>
      <c r="AK412" s="61"/>
      <c r="AL412" s="61"/>
      <c r="AM412" s="61"/>
      <c r="AN412" s="61">
        <f t="shared" si="414"/>
        <v>0</v>
      </c>
      <c r="AO412" s="61"/>
      <c r="AP412" s="61"/>
      <c r="AQ412" s="62">
        <f t="shared" si="415"/>
        <v>0</v>
      </c>
      <c r="AR412" s="955">
        <v>1</v>
      </c>
      <c r="AS412" s="956"/>
      <c r="AT412" s="61">
        <v>3</v>
      </c>
      <c r="AU412" s="61">
        <v>4</v>
      </c>
      <c r="AV412" s="61">
        <v>3</v>
      </c>
      <c r="AW412" s="956">
        <f t="shared" si="416"/>
        <v>10</v>
      </c>
      <c r="AX412" s="956"/>
      <c r="AY412" s="956"/>
      <c r="AZ412" s="956"/>
      <c r="BA412" s="957">
        <f t="shared" si="417"/>
        <v>0</v>
      </c>
      <c r="BB412" s="958">
        <f t="shared" si="418"/>
        <v>1</v>
      </c>
      <c r="BC412" s="959">
        <f t="shared" si="419"/>
        <v>3</v>
      </c>
      <c r="BD412" s="959">
        <f t="shared" si="420"/>
        <v>4</v>
      </c>
      <c r="BE412" s="959">
        <f t="shared" si="421"/>
        <v>3</v>
      </c>
      <c r="BF412" s="959">
        <f t="shared" si="422"/>
        <v>10</v>
      </c>
      <c r="BG412" s="959">
        <f t="shared" si="423"/>
        <v>0</v>
      </c>
      <c r="BH412" s="959">
        <f t="shared" si="424"/>
        <v>0</v>
      </c>
      <c r="BI412" s="959">
        <f t="shared" si="425"/>
        <v>0</v>
      </c>
      <c r="BJ412" s="959">
        <f t="shared" si="426"/>
        <v>0</v>
      </c>
      <c r="BK412" s="959">
        <f t="shared" si="427"/>
        <v>0</v>
      </c>
      <c r="BL412" s="53"/>
    </row>
    <row r="413" spans="1:64" s="400" customFormat="1" ht="17.100000000000001" customHeight="1">
      <c r="A413" s="457" t="s">
        <v>1735</v>
      </c>
      <c r="B413" s="53" t="s">
        <v>158</v>
      </c>
      <c r="C413" s="53" t="s">
        <v>158</v>
      </c>
      <c r="D413" s="53" t="s">
        <v>1736</v>
      </c>
      <c r="E413" s="53" t="s">
        <v>4</v>
      </c>
      <c r="F413" s="53" t="s">
        <v>4110</v>
      </c>
      <c r="G413" s="71">
        <v>29646</v>
      </c>
      <c r="H413" s="50" t="s">
        <v>4111</v>
      </c>
      <c r="I413" s="51">
        <v>19721</v>
      </c>
      <c r="J413" s="52">
        <v>23044</v>
      </c>
      <c r="K413" s="53" t="s">
        <v>1746</v>
      </c>
      <c r="L413" s="54" t="s">
        <v>1299</v>
      </c>
      <c r="M413" s="57">
        <v>3</v>
      </c>
      <c r="N413" s="58"/>
      <c r="O413" s="59">
        <v>45</v>
      </c>
      <c r="P413" s="60">
        <v>1</v>
      </c>
      <c r="Q413" s="61">
        <v>10</v>
      </c>
      <c r="R413" s="61">
        <v>1</v>
      </c>
      <c r="S413" s="61">
        <v>3</v>
      </c>
      <c r="T413" s="61">
        <v>1</v>
      </c>
      <c r="U413" s="62">
        <v>12</v>
      </c>
      <c r="V413" s="60"/>
      <c r="W413" s="61"/>
      <c r="X413" s="61"/>
      <c r="Y413" s="61"/>
      <c r="Z413" s="61"/>
      <c r="AA413" s="62"/>
      <c r="AB413" s="63"/>
      <c r="AC413" s="61"/>
      <c r="AD413" s="61"/>
      <c r="AE413" s="61"/>
      <c r="AF413" s="61">
        <f t="shared" si="412"/>
        <v>0</v>
      </c>
      <c r="AG413" s="61"/>
      <c r="AH413" s="61"/>
      <c r="AI413" s="62">
        <f t="shared" si="413"/>
        <v>0</v>
      </c>
      <c r="AJ413" s="63"/>
      <c r="AK413" s="61"/>
      <c r="AL413" s="61"/>
      <c r="AM413" s="61"/>
      <c r="AN413" s="61">
        <f t="shared" si="414"/>
        <v>0</v>
      </c>
      <c r="AO413" s="61"/>
      <c r="AP413" s="61"/>
      <c r="AQ413" s="62">
        <f t="shared" si="415"/>
        <v>0</v>
      </c>
      <c r="AR413" s="955"/>
      <c r="AS413" s="956"/>
      <c r="AT413" s="61"/>
      <c r="AU413" s="61"/>
      <c r="AV413" s="61"/>
      <c r="AW413" s="956">
        <f t="shared" si="416"/>
        <v>0</v>
      </c>
      <c r="AX413" s="956"/>
      <c r="AY413" s="956"/>
      <c r="AZ413" s="956"/>
      <c r="BA413" s="957">
        <f t="shared" si="417"/>
        <v>0</v>
      </c>
      <c r="BB413" s="958">
        <f t="shared" si="418"/>
        <v>3</v>
      </c>
      <c r="BC413" s="959">
        <f t="shared" si="419"/>
        <v>10</v>
      </c>
      <c r="BD413" s="959">
        <f t="shared" si="420"/>
        <v>3</v>
      </c>
      <c r="BE413" s="959">
        <f t="shared" si="421"/>
        <v>12</v>
      </c>
      <c r="BF413" s="959">
        <f t="shared" si="422"/>
        <v>25</v>
      </c>
      <c r="BG413" s="959">
        <f t="shared" si="423"/>
        <v>0</v>
      </c>
      <c r="BH413" s="959">
        <f t="shared" si="424"/>
        <v>0</v>
      </c>
      <c r="BI413" s="959">
        <f t="shared" si="425"/>
        <v>0</v>
      </c>
      <c r="BJ413" s="959">
        <f t="shared" si="426"/>
        <v>0</v>
      </c>
      <c r="BK413" s="959">
        <f t="shared" si="427"/>
        <v>0</v>
      </c>
      <c r="BL413" s="53"/>
    </row>
    <row r="414" spans="1:64" s="400" customFormat="1" ht="17.100000000000001" customHeight="1">
      <c r="A414" s="457" t="s">
        <v>1735</v>
      </c>
      <c r="B414" s="53" t="s">
        <v>158</v>
      </c>
      <c r="C414" s="53" t="s">
        <v>158</v>
      </c>
      <c r="D414" s="53" t="s">
        <v>4112</v>
      </c>
      <c r="E414" s="53" t="s">
        <v>4</v>
      </c>
      <c r="F414" s="53" t="s">
        <v>4113</v>
      </c>
      <c r="G414" s="71">
        <v>29646</v>
      </c>
      <c r="H414" s="50" t="s">
        <v>4114</v>
      </c>
      <c r="I414" s="51">
        <v>19173</v>
      </c>
      <c r="J414" s="52">
        <v>23019</v>
      </c>
      <c r="K414" s="53" t="s">
        <v>4115</v>
      </c>
      <c r="L414" s="54" t="s">
        <v>1332</v>
      </c>
      <c r="M414" s="57">
        <v>1</v>
      </c>
      <c r="N414" s="58"/>
      <c r="O414" s="59">
        <v>18</v>
      </c>
      <c r="P414" s="60"/>
      <c r="Q414" s="61"/>
      <c r="R414" s="61"/>
      <c r="S414" s="61"/>
      <c r="T414" s="61"/>
      <c r="U414" s="62"/>
      <c r="V414" s="60"/>
      <c r="W414" s="61"/>
      <c r="X414" s="61"/>
      <c r="Y414" s="61"/>
      <c r="Z414" s="61"/>
      <c r="AA414" s="62"/>
      <c r="AB414" s="63"/>
      <c r="AC414" s="61"/>
      <c r="AD414" s="61"/>
      <c r="AE414" s="61"/>
      <c r="AF414" s="61">
        <f t="shared" si="412"/>
        <v>0</v>
      </c>
      <c r="AG414" s="61"/>
      <c r="AH414" s="61"/>
      <c r="AI414" s="62">
        <f t="shared" si="413"/>
        <v>0</v>
      </c>
      <c r="AJ414" s="63"/>
      <c r="AK414" s="61"/>
      <c r="AL414" s="61"/>
      <c r="AM414" s="61"/>
      <c r="AN414" s="61">
        <f t="shared" si="414"/>
        <v>0</v>
      </c>
      <c r="AO414" s="61"/>
      <c r="AP414" s="61"/>
      <c r="AQ414" s="62">
        <f t="shared" si="415"/>
        <v>0</v>
      </c>
      <c r="AR414" s="955">
        <v>1</v>
      </c>
      <c r="AS414" s="956"/>
      <c r="AT414" s="61">
        <v>1</v>
      </c>
      <c r="AU414" s="61">
        <v>1</v>
      </c>
      <c r="AV414" s="61">
        <v>2</v>
      </c>
      <c r="AW414" s="956">
        <f t="shared" si="416"/>
        <v>4</v>
      </c>
      <c r="AX414" s="956"/>
      <c r="AY414" s="956"/>
      <c r="AZ414" s="956"/>
      <c r="BA414" s="957">
        <f t="shared" si="417"/>
        <v>0</v>
      </c>
      <c r="BB414" s="958">
        <f t="shared" si="418"/>
        <v>1</v>
      </c>
      <c r="BC414" s="959">
        <f t="shared" si="419"/>
        <v>1</v>
      </c>
      <c r="BD414" s="959">
        <f t="shared" si="420"/>
        <v>1</v>
      </c>
      <c r="BE414" s="959">
        <f t="shared" si="421"/>
        <v>2</v>
      </c>
      <c r="BF414" s="959">
        <f t="shared" si="422"/>
        <v>4</v>
      </c>
      <c r="BG414" s="959">
        <f t="shared" si="423"/>
        <v>0</v>
      </c>
      <c r="BH414" s="959">
        <f t="shared" si="424"/>
        <v>0</v>
      </c>
      <c r="BI414" s="959">
        <f t="shared" si="425"/>
        <v>0</v>
      </c>
      <c r="BJ414" s="959">
        <f t="shared" si="426"/>
        <v>0</v>
      </c>
      <c r="BK414" s="959">
        <f t="shared" si="427"/>
        <v>0</v>
      </c>
      <c r="BL414" s="53"/>
    </row>
    <row r="415" spans="1:64" s="400" customFormat="1" ht="17.100000000000001" customHeight="1">
      <c r="A415" s="457" t="s">
        <v>1735</v>
      </c>
      <c r="B415" s="53" t="s">
        <v>158</v>
      </c>
      <c r="C415" s="53" t="s">
        <v>158</v>
      </c>
      <c r="D415" s="53" t="s">
        <v>4116</v>
      </c>
      <c r="E415" s="53" t="s">
        <v>4</v>
      </c>
      <c r="F415" s="53" t="s">
        <v>4117</v>
      </c>
      <c r="G415" s="71">
        <v>30011</v>
      </c>
      <c r="H415" s="50" t="s">
        <v>4118</v>
      </c>
      <c r="I415" s="51">
        <v>27793</v>
      </c>
      <c r="J415" s="52">
        <v>23012</v>
      </c>
      <c r="K415" s="53" t="s">
        <v>4119</v>
      </c>
      <c r="L415" s="54" t="s">
        <v>1329</v>
      </c>
      <c r="M415" s="57">
        <v>1</v>
      </c>
      <c r="N415" s="58"/>
      <c r="O415" s="59">
        <v>18</v>
      </c>
      <c r="P415" s="60"/>
      <c r="Q415" s="61"/>
      <c r="R415" s="61"/>
      <c r="S415" s="61"/>
      <c r="T415" s="61"/>
      <c r="U415" s="62"/>
      <c r="V415" s="60"/>
      <c r="W415" s="61"/>
      <c r="X415" s="61"/>
      <c r="Y415" s="61"/>
      <c r="Z415" s="61"/>
      <c r="AA415" s="62"/>
      <c r="AB415" s="63"/>
      <c r="AC415" s="61"/>
      <c r="AD415" s="61"/>
      <c r="AE415" s="61"/>
      <c r="AF415" s="61">
        <f t="shared" si="412"/>
        <v>0</v>
      </c>
      <c r="AG415" s="61"/>
      <c r="AH415" s="61"/>
      <c r="AI415" s="62">
        <f t="shared" si="413"/>
        <v>0</v>
      </c>
      <c r="AJ415" s="63"/>
      <c r="AK415" s="61"/>
      <c r="AL415" s="61"/>
      <c r="AM415" s="61"/>
      <c r="AN415" s="61">
        <f t="shared" si="414"/>
        <v>0</v>
      </c>
      <c r="AO415" s="61"/>
      <c r="AP415" s="61"/>
      <c r="AQ415" s="62">
        <f t="shared" si="415"/>
        <v>0</v>
      </c>
      <c r="AR415" s="955"/>
      <c r="AS415" s="956"/>
      <c r="AT415" s="61"/>
      <c r="AU415" s="61"/>
      <c r="AV415" s="61"/>
      <c r="AW415" s="956">
        <f t="shared" si="416"/>
        <v>0</v>
      </c>
      <c r="AX415" s="956"/>
      <c r="AY415" s="956"/>
      <c r="AZ415" s="956"/>
      <c r="BA415" s="957">
        <f t="shared" si="417"/>
        <v>0</v>
      </c>
      <c r="BB415" s="958">
        <f t="shared" si="418"/>
        <v>0</v>
      </c>
      <c r="BC415" s="959">
        <f t="shared" si="419"/>
        <v>0</v>
      </c>
      <c r="BD415" s="959">
        <f t="shared" si="420"/>
        <v>0</v>
      </c>
      <c r="BE415" s="959">
        <f t="shared" si="421"/>
        <v>0</v>
      </c>
      <c r="BF415" s="959">
        <f t="shared" si="422"/>
        <v>0</v>
      </c>
      <c r="BG415" s="959">
        <f t="shared" si="423"/>
        <v>0</v>
      </c>
      <c r="BH415" s="959">
        <f t="shared" si="424"/>
        <v>0</v>
      </c>
      <c r="BI415" s="959">
        <f t="shared" si="425"/>
        <v>0</v>
      </c>
      <c r="BJ415" s="959">
        <f t="shared" si="426"/>
        <v>0</v>
      </c>
      <c r="BK415" s="959">
        <f t="shared" si="427"/>
        <v>0</v>
      </c>
      <c r="BL415" s="53" t="s">
        <v>1748</v>
      </c>
    </row>
    <row r="416" spans="1:64" s="400" customFormat="1" ht="17.100000000000001" customHeight="1">
      <c r="A416" s="457" t="s">
        <v>1735</v>
      </c>
      <c r="B416" s="53" t="s">
        <v>158</v>
      </c>
      <c r="C416" s="53" t="s">
        <v>158</v>
      </c>
      <c r="D416" s="53" t="s">
        <v>4120</v>
      </c>
      <c r="E416" s="53" t="s">
        <v>4</v>
      </c>
      <c r="F416" s="53" t="s">
        <v>4121</v>
      </c>
      <c r="G416" s="71">
        <v>30019</v>
      </c>
      <c r="H416" s="50" t="s">
        <v>4122</v>
      </c>
      <c r="I416" s="51">
        <v>13523</v>
      </c>
      <c r="J416" s="52">
        <v>23016</v>
      </c>
      <c r="K416" s="53" t="s">
        <v>4123</v>
      </c>
      <c r="L416" s="54" t="s">
        <v>1326</v>
      </c>
      <c r="M416" s="57">
        <v>1</v>
      </c>
      <c r="N416" s="58"/>
      <c r="O416" s="59">
        <v>18</v>
      </c>
      <c r="P416" s="60"/>
      <c r="Q416" s="61"/>
      <c r="R416" s="61"/>
      <c r="S416" s="61"/>
      <c r="T416" s="61"/>
      <c r="U416" s="62"/>
      <c r="V416" s="60"/>
      <c r="W416" s="61"/>
      <c r="X416" s="61"/>
      <c r="Y416" s="61"/>
      <c r="Z416" s="61"/>
      <c r="AA416" s="62"/>
      <c r="AB416" s="63"/>
      <c r="AC416" s="61"/>
      <c r="AD416" s="61"/>
      <c r="AE416" s="61"/>
      <c r="AF416" s="61">
        <f t="shared" si="412"/>
        <v>0</v>
      </c>
      <c r="AG416" s="61"/>
      <c r="AH416" s="61"/>
      <c r="AI416" s="62">
        <f t="shared" si="413"/>
        <v>0</v>
      </c>
      <c r="AJ416" s="63"/>
      <c r="AK416" s="61"/>
      <c r="AL416" s="61"/>
      <c r="AM416" s="61"/>
      <c r="AN416" s="61">
        <f t="shared" si="414"/>
        <v>0</v>
      </c>
      <c r="AO416" s="61"/>
      <c r="AP416" s="61"/>
      <c r="AQ416" s="62">
        <f t="shared" si="415"/>
        <v>0</v>
      </c>
      <c r="AR416" s="955">
        <v>1</v>
      </c>
      <c r="AS416" s="956"/>
      <c r="AT416" s="61"/>
      <c r="AU416" s="61">
        <v>1</v>
      </c>
      <c r="AV416" s="61">
        <v>1</v>
      </c>
      <c r="AW416" s="956">
        <f t="shared" si="416"/>
        <v>2</v>
      </c>
      <c r="AX416" s="956"/>
      <c r="AY416" s="956"/>
      <c r="AZ416" s="956"/>
      <c r="BA416" s="957">
        <f t="shared" si="417"/>
        <v>0</v>
      </c>
      <c r="BB416" s="958">
        <f t="shared" si="418"/>
        <v>1</v>
      </c>
      <c r="BC416" s="959">
        <f t="shared" si="419"/>
        <v>0</v>
      </c>
      <c r="BD416" s="959">
        <f t="shared" si="420"/>
        <v>1</v>
      </c>
      <c r="BE416" s="959">
        <f t="shared" si="421"/>
        <v>1</v>
      </c>
      <c r="BF416" s="959">
        <f t="shared" si="422"/>
        <v>2</v>
      </c>
      <c r="BG416" s="959">
        <f t="shared" si="423"/>
        <v>0</v>
      </c>
      <c r="BH416" s="959">
        <f t="shared" si="424"/>
        <v>0</v>
      </c>
      <c r="BI416" s="959">
        <f t="shared" si="425"/>
        <v>0</v>
      </c>
      <c r="BJ416" s="959">
        <f t="shared" si="426"/>
        <v>0</v>
      </c>
      <c r="BK416" s="959">
        <f t="shared" si="427"/>
        <v>0</v>
      </c>
      <c r="BL416" s="53"/>
    </row>
    <row r="417" spans="1:64" s="400" customFormat="1" ht="17.100000000000001" customHeight="1">
      <c r="A417" s="457" t="s">
        <v>1735</v>
      </c>
      <c r="B417" s="53" t="s">
        <v>158</v>
      </c>
      <c r="C417" s="53" t="s">
        <v>158</v>
      </c>
      <c r="D417" s="53" t="s">
        <v>1734</v>
      </c>
      <c r="E417" s="53" t="s">
        <v>4</v>
      </c>
      <c r="F417" s="53" t="s">
        <v>4124</v>
      </c>
      <c r="G417" s="71">
        <v>29646</v>
      </c>
      <c r="H417" s="50" t="s">
        <v>4125</v>
      </c>
      <c r="I417" s="51">
        <v>12424</v>
      </c>
      <c r="J417" s="52">
        <v>23015</v>
      </c>
      <c r="K417" s="53" t="s">
        <v>4126</v>
      </c>
      <c r="L417" s="54" t="s">
        <v>1324</v>
      </c>
      <c r="M417" s="57">
        <v>1</v>
      </c>
      <c r="N417" s="58"/>
      <c r="O417" s="59">
        <v>18</v>
      </c>
      <c r="P417" s="60"/>
      <c r="Q417" s="61"/>
      <c r="R417" s="61"/>
      <c r="S417" s="61"/>
      <c r="T417" s="61"/>
      <c r="U417" s="62"/>
      <c r="V417" s="60"/>
      <c r="W417" s="61"/>
      <c r="X417" s="61"/>
      <c r="Y417" s="61"/>
      <c r="Z417" s="61"/>
      <c r="AA417" s="62"/>
      <c r="AB417" s="63"/>
      <c r="AC417" s="61"/>
      <c r="AD417" s="61"/>
      <c r="AE417" s="61"/>
      <c r="AF417" s="61">
        <f t="shared" si="412"/>
        <v>0</v>
      </c>
      <c r="AG417" s="61"/>
      <c r="AH417" s="61"/>
      <c r="AI417" s="62">
        <f t="shared" si="413"/>
        <v>0</v>
      </c>
      <c r="AJ417" s="63"/>
      <c r="AK417" s="61"/>
      <c r="AL417" s="61"/>
      <c r="AM417" s="61"/>
      <c r="AN417" s="61">
        <f t="shared" si="414"/>
        <v>0</v>
      </c>
      <c r="AO417" s="61"/>
      <c r="AP417" s="61"/>
      <c r="AQ417" s="62">
        <f t="shared" si="415"/>
        <v>0</v>
      </c>
      <c r="AR417" s="955">
        <v>1</v>
      </c>
      <c r="AS417" s="956"/>
      <c r="AT417" s="61">
        <v>1</v>
      </c>
      <c r="AU417" s="61">
        <v>5</v>
      </c>
      <c r="AV417" s="61">
        <v>2</v>
      </c>
      <c r="AW417" s="956">
        <f t="shared" si="416"/>
        <v>8</v>
      </c>
      <c r="AX417" s="956"/>
      <c r="AY417" s="956"/>
      <c r="AZ417" s="956"/>
      <c r="BA417" s="957">
        <f t="shared" si="417"/>
        <v>0</v>
      </c>
      <c r="BB417" s="958">
        <f t="shared" si="418"/>
        <v>1</v>
      </c>
      <c r="BC417" s="959">
        <f t="shared" si="419"/>
        <v>1</v>
      </c>
      <c r="BD417" s="959">
        <f t="shared" si="420"/>
        <v>5</v>
      </c>
      <c r="BE417" s="959">
        <f t="shared" si="421"/>
        <v>2</v>
      </c>
      <c r="BF417" s="959">
        <f t="shared" si="422"/>
        <v>8</v>
      </c>
      <c r="BG417" s="959">
        <f t="shared" si="423"/>
        <v>0</v>
      </c>
      <c r="BH417" s="959">
        <f t="shared" si="424"/>
        <v>0</v>
      </c>
      <c r="BI417" s="959">
        <f t="shared" si="425"/>
        <v>0</v>
      </c>
      <c r="BJ417" s="959">
        <f t="shared" si="426"/>
        <v>0</v>
      </c>
      <c r="BK417" s="959">
        <f t="shared" si="427"/>
        <v>0</v>
      </c>
      <c r="BL417" s="53"/>
    </row>
    <row r="418" spans="1:64" s="400" customFormat="1" ht="17.100000000000001" customHeight="1">
      <c r="A418" s="457" t="s">
        <v>4127</v>
      </c>
      <c r="B418" s="53" t="s">
        <v>158</v>
      </c>
      <c r="C418" s="53" t="s">
        <v>158</v>
      </c>
      <c r="D418" s="53" t="s">
        <v>4128</v>
      </c>
      <c r="E418" s="53" t="s">
        <v>4</v>
      </c>
      <c r="F418" s="53" t="s">
        <v>4129</v>
      </c>
      <c r="G418" s="71">
        <v>40603</v>
      </c>
      <c r="H418" s="50" t="s">
        <v>4130</v>
      </c>
      <c r="I418" s="51">
        <v>1762</v>
      </c>
      <c r="J418" s="52">
        <v>23058</v>
      </c>
      <c r="K418" s="53" t="s">
        <v>4131</v>
      </c>
      <c r="L418" s="54" t="s">
        <v>4132</v>
      </c>
      <c r="M418" s="57">
        <v>5</v>
      </c>
      <c r="N418" s="58">
        <v>2</v>
      </c>
      <c r="O418" s="59">
        <v>79</v>
      </c>
      <c r="P418" s="60">
        <v>1</v>
      </c>
      <c r="Q418" s="61">
        <v>4</v>
      </c>
      <c r="R418" s="61">
        <v>2</v>
      </c>
      <c r="S418" s="61">
        <v>10</v>
      </c>
      <c r="T418" s="61">
        <v>2</v>
      </c>
      <c r="U418" s="62">
        <v>13</v>
      </c>
      <c r="V418" s="60"/>
      <c r="W418" s="61"/>
      <c r="X418" s="61"/>
      <c r="Y418" s="61"/>
      <c r="Z418" s="61">
        <v>1</v>
      </c>
      <c r="AA418" s="62">
        <v>3</v>
      </c>
      <c r="AB418" s="63"/>
      <c r="AC418" s="61">
        <v>1</v>
      </c>
      <c r="AD418" s="61"/>
      <c r="AE418" s="61"/>
      <c r="AF418" s="61">
        <f t="shared" si="412"/>
        <v>0</v>
      </c>
      <c r="AG418" s="61">
        <v>1</v>
      </c>
      <c r="AH418" s="61">
        <v>2</v>
      </c>
      <c r="AI418" s="62">
        <f t="shared" si="413"/>
        <v>3</v>
      </c>
      <c r="AJ418" s="63"/>
      <c r="AK418" s="61"/>
      <c r="AL418" s="61"/>
      <c r="AM418" s="61"/>
      <c r="AN418" s="61">
        <f t="shared" si="414"/>
        <v>0</v>
      </c>
      <c r="AO418" s="61"/>
      <c r="AP418" s="61"/>
      <c r="AQ418" s="62">
        <f t="shared" si="415"/>
        <v>0</v>
      </c>
      <c r="AR418" s="955"/>
      <c r="AS418" s="956"/>
      <c r="AT418" s="61"/>
      <c r="AU418" s="61"/>
      <c r="AV418" s="61"/>
      <c r="AW418" s="956">
        <f t="shared" si="416"/>
        <v>0</v>
      </c>
      <c r="AX418" s="956"/>
      <c r="AY418" s="956"/>
      <c r="AZ418" s="956"/>
      <c r="BA418" s="957">
        <f t="shared" si="417"/>
        <v>0</v>
      </c>
      <c r="BB418" s="958">
        <f t="shared" si="418"/>
        <v>5</v>
      </c>
      <c r="BC418" s="959">
        <f t="shared" si="419"/>
        <v>4</v>
      </c>
      <c r="BD418" s="959">
        <f t="shared" si="420"/>
        <v>10</v>
      </c>
      <c r="BE418" s="959">
        <f t="shared" si="421"/>
        <v>13</v>
      </c>
      <c r="BF418" s="959">
        <f t="shared" si="422"/>
        <v>27</v>
      </c>
      <c r="BG418" s="959">
        <f t="shared" si="423"/>
        <v>2</v>
      </c>
      <c r="BH418" s="959">
        <f t="shared" si="424"/>
        <v>1</v>
      </c>
      <c r="BI418" s="959">
        <f t="shared" si="425"/>
        <v>2</v>
      </c>
      <c r="BJ418" s="959">
        <f t="shared" si="426"/>
        <v>3</v>
      </c>
      <c r="BK418" s="959">
        <f t="shared" si="427"/>
        <v>6</v>
      </c>
      <c r="BL418" s="53"/>
    </row>
    <row r="419" spans="1:64" s="400" customFormat="1" ht="17.100000000000001" customHeight="1">
      <c r="A419" s="457" t="s">
        <v>1737</v>
      </c>
      <c r="B419" s="53" t="s">
        <v>158</v>
      </c>
      <c r="C419" s="53" t="s">
        <v>158</v>
      </c>
      <c r="D419" s="53" t="s">
        <v>1738</v>
      </c>
      <c r="E419" s="53" t="s">
        <v>4</v>
      </c>
      <c r="F419" s="53" t="s">
        <v>4133</v>
      </c>
      <c r="G419" s="71">
        <v>29646</v>
      </c>
      <c r="H419" s="50" t="s">
        <v>2414</v>
      </c>
      <c r="I419" s="51">
        <v>19072</v>
      </c>
      <c r="J419" s="52">
        <v>23002</v>
      </c>
      <c r="K419" s="53" t="s">
        <v>1739</v>
      </c>
      <c r="L419" s="54" t="s">
        <v>1335</v>
      </c>
      <c r="M419" s="57">
        <v>1</v>
      </c>
      <c r="N419" s="58"/>
      <c r="O419" s="59">
        <v>18</v>
      </c>
      <c r="P419" s="60"/>
      <c r="Q419" s="61"/>
      <c r="R419" s="61"/>
      <c r="S419" s="61"/>
      <c r="T419" s="61"/>
      <c r="U419" s="62"/>
      <c r="V419" s="60"/>
      <c r="W419" s="61"/>
      <c r="X419" s="61"/>
      <c r="Y419" s="61"/>
      <c r="Z419" s="61"/>
      <c r="AA419" s="62"/>
      <c r="AB419" s="63"/>
      <c r="AC419" s="61"/>
      <c r="AD419" s="61"/>
      <c r="AE419" s="61"/>
      <c r="AF419" s="61">
        <f t="shared" si="412"/>
        <v>0</v>
      </c>
      <c r="AG419" s="61"/>
      <c r="AH419" s="61"/>
      <c r="AI419" s="62">
        <f t="shared" si="413"/>
        <v>0</v>
      </c>
      <c r="AJ419" s="63"/>
      <c r="AK419" s="61"/>
      <c r="AL419" s="61"/>
      <c r="AM419" s="61"/>
      <c r="AN419" s="61">
        <f t="shared" si="414"/>
        <v>0</v>
      </c>
      <c r="AO419" s="61"/>
      <c r="AP419" s="61"/>
      <c r="AQ419" s="62">
        <f t="shared" si="415"/>
        <v>0</v>
      </c>
      <c r="AR419" s="955">
        <v>1</v>
      </c>
      <c r="AS419" s="956"/>
      <c r="AT419" s="61">
        <v>2</v>
      </c>
      <c r="AU419" s="61">
        <v>1</v>
      </c>
      <c r="AV419" s="61">
        <v>3</v>
      </c>
      <c r="AW419" s="956">
        <f t="shared" si="416"/>
        <v>6</v>
      </c>
      <c r="AX419" s="956"/>
      <c r="AY419" s="956"/>
      <c r="AZ419" s="956"/>
      <c r="BA419" s="957">
        <f t="shared" si="417"/>
        <v>0</v>
      </c>
      <c r="BB419" s="958">
        <f t="shared" si="418"/>
        <v>1</v>
      </c>
      <c r="BC419" s="959">
        <f t="shared" si="419"/>
        <v>2</v>
      </c>
      <c r="BD419" s="959">
        <f t="shared" si="420"/>
        <v>1</v>
      </c>
      <c r="BE419" s="959">
        <f t="shared" si="421"/>
        <v>3</v>
      </c>
      <c r="BF419" s="959">
        <f>SUM(BC419:BE419)</f>
        <v>6</v>
      </c>
      <c r="BG419" s="959">
        <f t="shared" si="423"/>
        <v>0</v>
      </c>
      <c r="BH419" s="959">
        <f t="shared" si="424"/>
        <v>0</v>
      </c>
      <c r="BI419" s="959">
        <f t="shared" si="425"/>
        <v>0</v>
      </c>
      <c r="BJ419" s="959">
        <f t="shared" si="426"/>
        <v>0</v>
      </c>
      <c r="BK419" s="959">
        <f t="shared" si="427"/>
        <v>0</v>
      </c>
      <c r="BL419" s="53"/>
    </row>
    <row r="420" spans="1:64" s="400" customFormat="1" ht="17.100000000000001" customHeight="1">
      <c r="A420" s="457" t="s">
        <v>1740</v>
      </c>
      <c r="B420" s="53" t="s">
        <v>158</v>
      </c>
      <c r="C420" s="53" t="s">
        <v>158</v>
      </c>
      <c r="D420" s="53" t="s">
        <v>1741</v>
      </c>
      <c r="E420" s="53" t="s">
        <v>4</v>
      </c>
      <c r="F420" s="53" t="s">
        <v>4134</v>
      </c>
      <c r="G420" s="71">
        <v>39885</v>
      </c>
      <c r="H420" s="50" t="s">
        <v>2417</v>
      </c>
      <c r="I420" s="51">
        <v>12008</v>
      </c>
      <c r="J420" s="52">
        <v>23008</v>
      </c>
      <c r="K420" s="53" t="s">
        <v>4135</v>
      </c>
      <c r="L420" s="54" t="s">
        <v>258</v>
      </c>
      <c r="M420" s="57">
        <v>1</v>
      </c>
      <c r="N420" s="58"/>
      <c r="O420" s="59">
        <v>18</v>
      </c>
      <c r="P420" s="60"/>
      <c r="Q420" s="61"/>
      <c r="R420" s="61"/>
      <c r="S420" s="61"/>
      <c r="T420" s="61"/>
      <c r="U420" s="62"/>
      <c r="V420" s="60"/>
      <c r="W420" s="61"/>
      <c r="X420" s="61"/>
      <c r="Y420" s="61"/>
      <c r="Z420" s="61"/>
      <c r="AA420" s="62"/>
      <c r="AB420" s="63"/>
      <c r="AC420" s="61"/>
      <c r="AD420" s="61"/>
      <c r="AE420" s="61"/>
      <c r="AF420" s="61">
        <f t="shared" si="412"/>
        <v>0</v>
      </c>
      <c r="AG420" s="61"/>
      <c r="AH420" s="61"/>
      <c r="AI420" s="62">
        <f t="shared" si="413"/>
        <v>0</v>
      </c>
      <c r="AJ420" s="63"/>
      <c r="AK420" s="61"/>
      <c r="AL420" s="61"/>
      <c r="AM420" s="61"/>
      <c r="AN420" s="61">
        <f t="shared" si="414"/>
        <v>0</v>
      </c>
      <c r="AO420" s="61"/>
      <c r="AP420" s="61"/>
      <c r="AQ420" s="62">
        <f t="shared" si="415"/>
        <v>0</v>
      </c>
      <c r="AR420" s="955"/>
      <c r="AS420" s="956"/>
      <c r="AT420" s="61"/>
      <c r="AU420" s="61"/>
      <c r="AV420" s="61"/>
      <c r="AW420" s="956">
        <f t="shared" si="416"/>
        <v>0</v>
      </c>
      <c r="AX420" s="956"/>
      <c r="AY420" s="956"/>
      <c r="AZ420" s="956"/>
      <c r="BA420" s="957">
        <f t="shared" si="417"/>
        <v>0</v>
      </c>
      <c r="BB420" s="958">
        <f t="shared" si="418"/>
        <v>0</v>
      </c>
      <c r="BC420" s="959">
        <f t="shared" si="419"/>
        <v>0</v>
      </c>
      <c r="BD420" s="959">
        <f t="shared" si="420"/>
        <v>0</v>
      </c>
      <c r="BE420" s="959">
        <f t="shared" si="421"/>
        <v>0</v>
      </c>
      <c r="BF420" s="959">
        <f t="shared" si="422"/>
        <v>0</v>
      </c>
      <c r="BG420" s="959">
        <f t="shared" si="423"/>
        <v>0</v>
      </c>
      <c r="BH420" s="959">
        <f t="shared" si="424"/>
        <v>0</v>
      </c>
      <c r="BI420" s="959">
        <f t="shared" si="425"/>
        <v>0</v>
      </c>
      <c r="BJ420" s="959">
        <f t="shared" si="426"/>
        <v>0</v>
      </c>
      <c r="BK420" s="959">
        <f t="shared" si="427"/>
        <v>0</v>
      </c>
      <c r="BL420" s="53" t="s">
        <v>1575</v>
      </c>
    </row>
    <row r="421" spans="1:64" s="400" customFormat="1" ht="17.100000000000001" customHeight="1">
      <c r="A421" s="457" t="s">
        <v>1742</v>
      </c>
      <c r="B421" s="53" t="s">
        <v>158</v>
      </c>
      <c r="C421" s="53" t="s">
        <v>158</v>
      </c>
      <c r="D421" s="53" t="s">
        <v>1743</v>
      </c>
      <c r="E421" s="53" t="s">
        <v>4</v>
      </c>
      <c r="F421" s="53" t="s">
        <v>4136</v>
      </c>
      <c r="G421" s="71">
        <v>29650</v>
      </c>
      <c r="H421" s="50" t="s">
        <v>1348</v>
      </c>
      <c r="I421" s="51">
        <v>9041</v>
      </c>
      <c r="J421" s="52">
        <v>23005</v>
      </c>
      <c r="K421" s="53" t="s">
        <v>1744</v>
      </c>
      <c r="L421" s="54" t="s">
        <v>1338</v>
      </c>
      <c r="M421" s="57">
        <v>1</v>
      </c>
      <c r="N421" s="58"/>
      <c r="O421" s="59">
        <v>18</v>
      </c>
      <c r="P421" s="60"/>
      <c r="Q421" s="61"/>
      <c r="R421" s="61"/>
      <c r="S421" s="61"/>
      <c r="T421" s="61"/>
      <c r="U421" s="62"/>
      <c r="V421" s="60"/>
      <c r="W421" s="61"/>
      <c r="X421" s="61"/>
      <c r="Y421" s="61"/>
      <c r="Z421" s="61"/>
      <c r="AA421" s="62"/>
      <c r="AB421" s="63"/>
      <c r="AC421" s="61"/>
      <c r="AD421" s="61"/>
      <c r="AE421" s="61"/>
      <c r="AF421" s="61">
        <f t="shared" si="412"/>
        <v>0</v>
      </c>
      <c r="AG421" s="61"/>
      <c r="AH421" s="61"/>
      <c r="AI421" s="62">
        <f t="shared" si="413"/>
        <v>0</v>
      </c>
      <c r="AJ421" s="63"/>
      <c r="AK421" s="61"/>
      <c r="AL421" s="61"/>
      <c r="AM421" s="61"/>
      <c r="AN421" s="61">
        <f t="shared" si="414"/>
        <v>0</v>
      </c>
      <c r="AO421" s="61"/>
      <c r="AP421" s="61"/>
      <c r="AQ421" s="62">
        <f t="shared" si="415"/>
        <v>0</v>
      </c>
      <c r="AR421" s="955">
        <v>1</v>
      </c>
      <c r="AS421" s="956"/>
      <c r="AT421" s="61"/>
      <c r="AU421" s="61">
        <v>1</v>
      </c>
      <c r="AV421" s="61"/>
      <c r="AW421" s="956">
        <f t="shared" si="416"/>
        <v>1</v>
      </c>
      <c r="AX421" s="956"/>
      <c r="AY421" s="956"/>
      <c r="AZ421" s="956"/>
      <c r="BA421" s="957">
        <f t="shared" si="417"/>
        <v>0</v>
      </c>
      <c r="BB421" s="958">
        <f t="shared" si="418"/>
        <v>1</v>
      </c>
      <c r="BC421" s="959">
        <f t="shared" si="419"/>
        <v>0</v>
      </c>
      <c r="BD421" s="959">
        <f t="shared" si="420"/>
        <v>1</v>
      </c>
      <c r="BE421" s="959">
        <f t="shared" si="421"/>
        <v>0</v>
      </c>
      <c r="BF421" s="959">
        <f t="shared" si="422"/>
        <v>1</v>
      </c>
      <c r="BG421" s="959">
        <f t="shared" si="423"/>
        <v>0</v>
      </c>
      <c r="BH421" s="959">
        <f t="shared" si="424"/>
        <v>0</v>
      </c>
      <c r="BI421" s="959">
        <f t="shared" si="425"/>
        <v>0</v>
      </c>
      <c r="BJ421" s="959">
        <f t="shared" si="426"/>
        <v>0</v>
      </c>
      <c r="BK421" s="959">
        <f t="shared" si="427"/>
        <v>0</v>
      </c>
      <c r="BL421" s="53"/>
    </row>
    <row r="422" spans="1:64" s="400" customFormat="1" ht="17.100000000000001" customHeight="1">
      <c r="A422" s="457" t="s">
        <v>1742</v>
      </c>
      <c r="B422" s="53" t="s">
        <v>158</v>
      </c>
      <c r="C422" s="53" t="s">
        <v>158</v>
      </c>
      <c r="D422" s="53" t="s">
        <v>1743</v>
      </c>
      <c r="E422" s="53" t="s">
        <v>4</v>
      </c>
      <c r="F422" s="53" t="s">
        <v>4137</v>
      </c>
      <c r="G422" s="71">
        <v>32568</v>
      </c>
      <c r="H422" s="50" t="s">
        <v>1349</v>
      </c>
      <c r="I422" s="51">
        <v>10625</v>
      </c>
      <c r="J422" s="52">
        <v>23007</v>
      </c>
      <c r="K422" s="53" t="s">
        <v>4138</v>
      </c>
      <c r="L422" s="54" t="s">
        <v>1341</v>
      </c>
      <c r="M422" s="57">
        <v>1</v>
      </c>
      <c r="N422" s="58"/>
      <c r="O422" s="59">
        <v>18</v>
      </c>
      <c r="P422" s="60"/>
      <c r="Q422" s="61"/>
      <c r="R422" s="61"/>
      <c r="S422" s="61"/>
      <c r="T422" s="61"/>
      <c r="U422" s="62"/>
      <c r="V422" s="60"/>
      <c r="W422" s="61"/>
      <c r="X422" s="61"/>
      <c r="Y422" s="61"/>
      <c r="Z422" s="61"/>
      <c r="AA422" s="62"/>
      <c r="AB422" s="63"/>
      <c r="AC422" s="61"/>
      <c r="AD422" s="61"/>
      <c r="AE422" s="61"/>
      <c r="AF422" s="61">
        <f t="shared" si="412"/>
        <v>0</v>
      </c>
      <c r="AG422" s="61"/>
      <c r="AH422" s="61"/>
      <c r="AI422" s="62">
        <f t="shared" si="413"/>
        <v>0</v>
      </c>
      <c r="AJ422" s="63"/>
      <c r="AK422" s="61"/>
      <c r="AL422" s="61"/>
      <c r="AM422" s="61"/>
      <c r="AN422" s="61">
        <f t="shared" si="414"/>
        <v>0</v>
      </c>
      <c r="AO422" s="61"/>
      <c r="AP422" s="61"/>
      <c r="AQ422" s="62">
        <f t="shared" si="415"/>
        <v>0</v>
      </c>
      <c r="AR422" s="955">
        <v>1</v>
      </c>
      <c r="AS422" s="956"/>
      <c r="AT422" s="61"/>
      <c r="AU422" s="61">
        <v>2</v>
      </c>
      <c r="AV422" s="61"/>
      <c r="AW422" s="956">
        <f t="shared" si="416"/>
        <v>2</v>
      </c>
      <c r="AX422" s="956"/>
      <c r="AY422" s="956"/>
      <c r="AZ422" s="956"/>
      <c r="BA422" s="957">
        <f t="shared" si="417"/>
        <v>0</v>
      </c>
      <c r="BB422" s="958">
        <f t="shared" si="418"/>
        <v>1</v>
      </c>
      <c r="BC422" s="959">
        <f t="shared" si="419"/>
        <v>0</v>
      </c>
      <c r="BD422" s="959">
        <f t="shared" si="420"/>
        <v>2</v>
      </c>
      <c r="BE422" s="959">
        <f t="shared" si="421"/>
        <v>0</v>
      </c>
      <c r="BF422" s="959">
        <f t="shared" si="422"/>
        <v>2</v>
      </c>
      <c r="BG422" s="959">
        <f t="shared" si="423"/>
        <v>0</v>
      </c>
      <c r="BH422" s="959">
        <f t="shared" si="424"/>
        <v>0</v>
      </c>
      <c r="BI422" s="959">
        <f t="shared" si="425"/>
        <v>0</v>
      </c>
      <c r="BJ422" s="959">
        <f t="shared" si="426"/>
        <v>0</v>
      </c>
      <c r="BK422" s="959">
        <f t="shared" si="427"/>
        <v>0</v>
      </c>
      <c r="BL422" s="53"/>
    </row>
    <row r="423" spans="1:64" s="43" customFormat="1" ht="17.100000000000001" customHeight="1">
      <c r="A423" s="1611" t="s">
        <v>1745</v>
      </c>
      <c r="B423" s="1612"/>
      <c r="C423" s="1612"/>
      <c r="D423" s="1613"/>
      <c r="E423" s="401">
        <f>COUNTA(E408:E422)</f>
        <v>15</v>
      </c>
      <c r="F423" s="285"/>
      <c r="G423" s="402"/>
      <c r="H423" s="181"/>
      <c r="I423" s="403"/>
      <c r="J423" s="287"/>
      <c r="K423" s="285"/>
      <c r="L423" s="288"/>
      <c r="M423" s="404">
        <f t="shared" ref="M423:AR423" si="428">SUM(M408:M422)</f>
        <v>23</v>
      </c>
      <c r="N423" s="405">
        <f t="shared" si="428"/>
        <v>4</v>
      </c>
      <c r="O423" s="406">
        <f t="shared" si="428"/>
        <v>385</v>
      </c>
      <c r="P423" s="407">
        <f t="shared" si="428"/>
        <v>3</v>
      </c>
      <c r="Q423" s="408">
        <f t="shared" si="428"/>
        <v>21</v>
      </c>
      <c r="R423" s="408">
        <f t="shared" si="428"/>
        <v>4</v>
      </c>
      <c r="S423" s="408">
        <f t="shared" si="428"/>
        <v>22</v>
      </c>
      <c r="T423" s="408">
        <f t="shared" si="428"/>
        <v>4</v>
      </c>
      <c r="U423" s="409">
        <f t="shared" si="428"/>
        <v>41</v>
      </c>
      <c r="V423" s="410">
        <f t="shared" si="428"/>
        <v>0</v>
      </c>
      <c r="W423" s="408">
        <f t="shared" si="428"/>
        <v>0</v>
      </c>
      <c r="X423" s="408">
        <f t="shared" si="428"/>
        <v>0</v>
      </c>
      <c r="Y423" s="408">
        <f t="shared" si="428"/>
        <v>0</v>
      </c>
      <c r="Z423" s="408">
        <f t="shared" si="428"/>
        <v>1</v>
      </c>
      <c r="AA423" s="408">
        <f t="shared" si="428"/>
        <v>3</v>
      </c>
      <c r="AB423" s="407">
        <f t="shared" si="428"/>
        <v>0</v>
      </c>
      <c r="AC423" s="408">
        <f t="shared" si="428"/>
        <v>1</v>
      </c>
      <c r="AD423" s="408">
        <f t="shared" si="428"/>
        <v>0</v>
      </c>
      <c r="AE423" s="408">
        <f t="shared" si="428"/>
        <v>0</v>
      </c>
      <c r="AF423" s="408">
        <f t="shared" si="428"/>
        <v>0</v>
      </c>
      <c r="AG423" s="408">
        <f t="shared" si="428"/>
        <v>1</v>
      </c>
      <c r="AH423" s="408">
        <f t="shared" si="428"/>
        <v>2</v>
      </c>
      <c r="AI423" s="408">
        <f t="shared" si="428"/>
        <v>3</v>
      </c>
      <c r="AJ423" s="407">
        <f t="shared" si="428"/>
        <v>0</v>
      </c>
      <c r="AK423" s="408">
        <f t="shared" si="428"/>
        <v>0</v>
      </c>
      <c r="AL423" s="408">
        <f t="shared" si="428"/>
        <v>0</v>
      </c>
      <c r="AM423" s="408">
        <f t="shared" si="428"/>
        <v>0</v>
      </c>
      <c r="AN423" s="408">
        <f t="shared" si="428"/>
        <v>0</v>
      </c>
      <c r="AO423" s="408">
        <f t="shared" si="428"/>
        <v>0</v>
      </c>
      <c r="AP423" s="408">
        <f t="shared" si="428"/>
        <v>0</v>
      </c>
      <c r="AQ423" s="409">
        <f t="shared" si="428"/>
        <v>0</v>
      </c>
      <c r="AR423" s="411">
        <f t="shared" si="428"/>
        <v>9</v>
      </c>
      <c r="AS423" s="412">
        <f t="shared" ref="AS423:BK423" si="429">SUM(AS408:AS422)</f>
        <v>2</v>
      </c>
      <c r="AT423" s="412">
        <f t="shared" si="429"/>
        <v>9</v>
      </c>
      <c r="AU423" s="412">
        <f t="shared" si="429"/>
        <v>15</v>
      </c>
      <c r="AV423" s="412">
        <f t="shared" si="429"/>
        <v>24</v>
      </c>
      <c r="AW423" s="412">
        <f t="shared" si="429"/>
        <v>48</v>
      </c>
      <c r="AX423" s="412">
        <f t="shared" si="429"/>
        <v>1</v>
      </c>
      <c r="AY423" s="412">
        <f t="shared" si="429"/>
        <v>1</v>
      </c>
      <c r="AZ423" s="412">
        <f t="shared" si="429"/>
        <v>5</v>
      </c>
      <c r="BA423" s="413">
        <f t="shared" si="429"/>
        <v>7</v>
      </c>
      <c r="BB423" s="414">
        <f t="shared" si="429"/>
        <v>20</v>
      </c>
      <c r="BC423" s="415">
        <f t="shared" si="429"/>
        <v>30</v>
      </c>
      <c r="BD423" s="415">
        <f t="shared" si="429"/>
        <v>37</v>
      </c>
      <c r="BE423" s="415">
        <f t="shared" si="429"/>
        <v>65</v>
      </c>
      <c r="BF423" s="415">
        <f t="shared" si="429"/>
        <v>132</v>
      </c>
      <c r="BG423" s="415">
        <f t="shared" si="429"/>
        <v>4</v>
      </c>
      <c r="BH423" s="415">
        <f t="shared" si="429"/>
        <v>2</v>
      </c>
      <c r="BI423" s="415">
        <f t="shared" si="429"/>
        <v>3</v>
      </c>
      <c r="BJ423" s="415">
        <f t="shared" si="429"/>
        <v>8</v>
      </c>
      <c r="BK423" s="416">
        <f t="shared" si="429"/>
        <v>13</v>
      </c>
      <c r="BL423" s="417"/>
    </row>
    <row r="424" spans="1:64" s="43" customFormat="1" ht="17.100000000000001" customHeight="1">
      <c r="A424" s="457" t="s">
        <v>1735</v>
      </c>
      <c r="B424" s="53" t="s">
        <v>158</v>
      </c>
      <c r="C424" s="53" t="s">
        <v>158</v>
      </c>
      <c r="D424" s="53" t="s">
        <v>2811</v>
      </c>
      <c r="E424" s="53" t="s">
        <v>5</v>
      </c>
      <c r="F424" s="53" t="s">
        <v>4139</v>
      </c>
      <c r="G424" s="71">
        <v>23439</v>
      </c>
      <c r="H424" s="50" t="s">
        <v>4140</v>
      </c>
      <c r="I424" s="51">
        <v>563</v>
      </c>
      <c r="J424" s="52">
        <v>23034</v>
      </c>
      <c r="K424" s="53" t="s">
        <v>1749</v>
      </c>
      <c r="L424" s="54" t="s">
        <v>4141</v>
      </c>
      <c r="M424" s="57">
        <v>4</v>
      </c>
      <c r="N424" s="58"/>
      <c r="O424" s="59">
        <v>110</v>
      </c>
      <c r="P424" s="60">
        <v>1</v>
      </c>
      <c r="Q424" s="61">
        <v>8</v>
      </c>
      <c r="R424" s="61">
        <v>1</v>
      </c>
      <c r="S424" s="61">
        <v>17</v>
      </c>
      <c r="T424" s="61">
        <v>1</v>
      </c>
      <c r="U424" s="62">
        <v>15</v>
      </c>
      <c r="V424" s="60"/>
      <c r="W424" s="61"/>
      <c r="X424" s="61"/>
      <c r="Y424" s="61"/>
      <c r="Z424" s="61"/>
      <c r="AA424" s="62"/>
      <c r="AB424" s="63"/>
      <c r="AC424" s="61"/>
      <c r="AD424" s="61"/>
      <c r="AE424" s="61"/>
      <c r="AF424" s="61">
        <f>SUM(AD424:AE424)</f>
        <v>0</v>
      </c>
      <c r="AG424" s="61"/>
      <c r="AH424" s="61"/>
      <c r="AI424" s="62">
        <f>SUM(AG424:AH424)</f>
        <v>0</v>
      </c>
      <c r="AJ424" s="63"/>
      <c r="AK424" s="61"/>
      <c r="AL424" s="61"/>
      <c r="AM424" s="61"/>
      <c r="AN424" s="61">
        <f>SUM(AL424:AM424)</f>
        <v>0</v>
      </c>
      <c r="AO424" s="61"/>
      <c r="AP424" s="61"/>
      <c r="AQ424" s="62">
        <f>SUM(AO424:AP424)</f>
        <v>0</v>
      </c>
      <c r="AR424" s="955"/>
      <c r="AS424" s="956"/>
      <c r="AT424" s="61"/>
      <c r="AU424" s="61"/>
      <c r="AV424" s="61"/>
      <c r="AW424" s="956">
        <f>SUM(AT424:AV424)</f>
        <v>0</v>
      </c>
      <c r="AX424" s="956"/>
      <c r="AY424" s="956"/>
      <c r="AZ424" s="956"/>
      <c r="BA424" s="957">
        <f>SUM(AX424:AZ424)</f>
        <v>0</v>
      </c>
      <c r="BB424" s="958">
        <f>SUM(P424,R424,T424,AB424,AJ424,AR424)</f>
        <v>3</v>
      </c>
      <c r="BC424" s="959">
        <f>SUM(Q424,AD424,AT424)</f>
        <v>8</v>
      </c>
      <c r="BD424" s="959">
        <f>SUM(S424,AE424,AL424,AU424)</f>
        <v>17</v>
      </c>
      <c r="BE424" s="959">
        <f>SUM(U424,AM424,AV424)</f>
        <v>15</v>
      </c>
      <c r="BF424" s="959">
        <f>SUM(BC424:BE424)</f>
        <v>40</v>
      </c>
      <c r="BG424" s="959">
        <f>SUM(V424,X424,Z424,AC424,AK424,AS424)</f>
        <v>0</v>
      </c>
      <c r="BH424" s="959">
        <f>SUM(W424,AG424,AX424)</f>
        <v>0</v>
      </c>
      <c r="BI424" s="959">
        <f>SUM(Y424,AH424,AO424,AY424)</f>
        <v>0</v>
      </c>
      <c r="BJ424" s="959">
        <f>SUM(AA424,AP424,AZ424)</f>
        <v>0</v>
      </c>
      <c r="BK424" s="959">
        <f>SUM(BH424:BJ424)</f>
        <v>0</v>
      </c>
      <c r="BL424" s="53"/>
    </row>
    <row r="425" spans="1:64" s="43" customFormat="1" ht="17.100000000000001" customHeight="1">
      <c r="A425" s="761" t="s">
        <v>1735</v>
      </c>
      <c r="B425" s="55" t="s">
        <v>158</v>
      </c>
      <c r="C425" s="53" t="s">
        <v>158</v>
      </c>
      <c r="D425" s="53" t="s">
        <v>2812</v>
      </c>
      <c r="E425" s="55" t="s">
        <v>5</v>
      </c>
      <c r="F425" s="55" t="s">
        <v>1750</v>
      </c>
      <c r="G425" s="71">
        <v>9597</v>
      </c>
      <c r="H425" s="50" t="s">
        <v>4142</v>
      </c>
      <c r="I425" s="760">
        <v>1603</v>
      </c>
      <c r="J425" s="52">
        <v>23030</v>
      </c>
      <c r="K425" s="55" t="s">
        <v>1751</v>
      </c>
      <c r="L425" s="56" t="s">
        <v>1752</v>
      </c>
      <c r="M425" s="64">
        <v>3</v>
      </c>
      <c r="N425" s="65"/>
      <c r="O425" s="66">
        <v>80</v>
      </c>
      <c r="P425" s="67">
        <v>1</v>
      </c>
      <c r="Q425" s="68">
        <v>5</v>
      </c>
      <c r="R425" s="68">
        <v>1</v>
      </c>
      <c r="S425" s="68">
        <v>7</v>
      </c>
      <c r="T425" s="68">
        <v>1</v>
      </c>
      <c r="U425" s="69">
        <v>18</v>
      </c>
      <c r="V425" s="67"/>
      <c r="W425" s="68"/>
      <c r="X425" s="68"/>
      <c r="Y425" s="68"/>
      <c r="Z425" s="68"/>
      <c r="AA425" s="69"/>
      <c r="AB425" s="70"/>
      <c r="AC425" s="68"/>
      <c r="AD425" s="68"/>
      <c r="AE425" s="68"/>
      <c r="AF425" s="68">
        <f>SUM(AD425:AE425)</f>
        <v>0</v>
      </c>
      <c r="AG425" s="68"/>
      <c r="AH425" s="68"/>
      <c r="AI425" s="69">
        <f>SUM(AG425:AH425)</f>
        <v>0</v>
      </c>
      <c r="AJ425" s="70"/>
      <c r="AK425" s="68"/>
      <c r="AL425" s="68"/>
      <c r="AM425" s="68"/>
      <c r="AN425" s="68">
        <f>SUM(AL425:AM425)</f>
        <v>0</v>
      </c>
      <c r="AO425" s="68"/>
      <c r="AP425" s="68"/>
      <c r="AQ425" s="69">
        <f>SUM(AO425:AP425)</f>
        <v>0</v>
      </c>
      <c r="AR425" s="972"/>
      <c r="AS425" s="973"/>
      <c r="AT425" s="68"/>
      <c r="AU425" s="68"/>
      <c r="AV425" s="68"/>
      <c r="AW425" s="973">
        <f>SUM(AT425:AV425)</f>
        <v>0</v>
      </c>
      <c r="AX425" s="973"/>
      <c r="AY425" s="973"/>
      <c r="AZ425" s="973"/>
      <c r="BA425" s="974">
        <f>SUM(AX425:AZ425)</f>
        <v>0</v>
      </c>
      <c r="BB425" s="975">
        <f>SUM(P425,R425,T425,AB425,AJ425,AR425)</f>
        <v>3</v>
      </c>
      <c r="BC425" s="959">
        <f t="shared" ref="BC425:BC426" si="430">SUM(Q425,AD425,AT425)</f>
        <v>5</v>
      </c>
      <c r="BD425" s="959">
        <f t="shared" ref="BD425:BD426" si="431">SUM(S425,AE425,AL425,AU425)</f>
        <v>7</v>
      </c>
      <c r="BE425" s="959">
        <f t="shared" ref="BE425:BE426" si="432">SUM(U425,AM425,AV425)</f>
        <v>18</v>
      </c>
      <c r="BF425" s="959">
        <f t="shared" ref="BF425:BF426" si="433">SUM(BC425:BE425)</f>
        <v>30</v>
      </c>
      <c r="BG425" s="959">
        <f t="shared" ref="BG425:BG426" si="434">SUM(V425,X425,Z425,AC425,AK425,AS425)</f>
        <v>0</v>
      </c>
      <c r="BH425" s="959">
        <f t="shared" ref="BH425:BH426" si="435">SUM(W425,AG425,AX425)</f>
        <v>0</v>
      </c>
      <c r="BI425" s="959">
        <f t="shared" ref="BI425:BI426" si="436">SUM(Y425,AH425,AO425,AY425)</f>
        <v>0</v>
      </c>
      <c r="BJ425" s="959">
        <f t="shared" ref="BJ425:BJ426" si="437">SUM(AA425,AP425,AZ425)</f>
        <v>0</v>
      </c>
      <c r="BK425" s="959">
        <f t="shared" ref="BK425:BK426" si="438">SUM(BH425:BJ425)</f>
        <v>0</v>
      </c>
      <c r="BL425" s="55"/>
    </row>
    <row r="426" spans="1:64" s="43" customFormat="1" ht="17.100000000000001" customHeight="1">
      <c r="A426" s="761" t="s">
        <v>1735</v>
      </c>
      <c r="B426" s="55" t="s">
        <v>158</v>
      </c>
      <c r="C426" s="53" t="s">
        <v>158</v>
      </c>
      <c r="D426" s="53" t="s">
        <v>1734</v>
      </c>
      <c r="E426" s="55" t="s">
        <v>5</v>
      </c>
      <c r="F426" s="55" t="s">
        <v>1753</v>
      </c>
      <c r="G426" s="71">
        <v>33294</v>
      </c>
      <c r="H426" s="50" t="s">
        <v>4143</v>
      </c>
      <c r="I426" s="760">
        <v>1761</v>
      </c>
      <c r="J426" s="52">
        <v>23037</v>
      </c>
      <c r="K426" s="55" t="s">
        <v>1754</v>
      </c>
      <c r="L426" s="56" t="s">
        <v>1755</v>
      </c>
      <c r="M426" s="64">
        <v>6</v>
      </c>
      <c r="N426" s="65"/>
      <c r="O426" s="66">
        <v>132</v>
      </c>
      <c r="P426" s="67">
        <v>2</v>
      </c>
      <c r="Q426" s="68">
        <v>19</v>
      </c>
      <c r="R426" s="68">
        <v>2</v>
      </c>
      <c r="S426" s="68">
        <v>30</v>
      </c>
      <c r="T426" s="68">
        <v>2</v>
      </c>
      <c r="U426" s="69">
        <v>26</v>
      </c>
      <c r="V426" s="67"/>
      <c r="W426" s="68"/>
      <c r="X426" s="68"/>
      <c r="Y426" s="68"/>
      <c r="Z426" s="68"/>
      <c r="AA426" s="69"/>
      <c r="AB426" s="70"/>
      <c r="AC426" s="68"/>
      <c r="AD426" s="68"/>
      <c r="AE426" s="68"/>
      <c r="AF426" s="68">
        <f>SUM(AD426:AE426)</f>
        <v>0</v>
      </c>
      <c r="AG426" s="68"/>
      <c r="AH426" s="68"/>
      <c r="AI426" s="69">
        <f>SUM(AG426:AH426)</f>
        <v>0</v>
      </c>
      <c r="AJ426" s="70"/>
      <c r="AK426" s="68"/>
      <c r="AL426" s="68"/>
      <c r="AM426" s="68"/>
      <c r="AN426" s="68">
        <f>SUM(AL426:AM426)</f>
        <v>0</v>
      </c>
      <c r="AO426" s="68"/>
      <c r="AP426" s="68"/>
      <c r="AQ426" s="69">
        <f>SUM(AO426:AP426)</f>
        <v>0</v>
      </c>
      <c r="AR426" s="972"/>
      <c r="AS426" s="973"/>
      <c r="AT426" s="68"/>
      <c r="AU426" s="68"/>
      <c r="AV426" s="68"/>
      <c r="AW426" s="973">
        <f>SUM(AT426:AV426)</f>
        <v>0</v>
      </c>
      <c r="AX426" s="973"/>
      <c r="AY426" s="973"/>
      <c r="AZ426" s="973"/>
      <c r="BA426" s="974">
        <f>SUM(AX426:AZ426)</f>
        <v>0</v>
      </c>
      <c r="BB426" s="975">
        <f>SUM(P426,R426,T426,AB426,AJ426,AR426)</f>
        <v>6</v>
      </c>
      <c r="BC426" s="959">
        <f t="shared" si="430"/>
        <v>19</v>
      </c>
      <c r="BD426" s="959">
        <f t="shared" si="431"/>
        <v>30</v>
      </c>
      <c r="BE426" s="959">
        <f t="shared" si="432"/>
        <v>26</v>
      </c>
      <c r="BF426" s="959">
        <f t="shared" si="433"/>
        <v>75</v>
      </c>
      <c r="BG426" s="959">
        <f t="shared" si="434"/>
        <v>0</v>
      </c>
      <c r="BH426" s="959">
        <f t="shared" si="435"/>
        <v>0</v>
      </c>
      <c r="BI426" s="959">
        <f t="shared" si="436"/>
        <v>0</v>
      </c>
      <c r="BJ426" s="959">
        <f t="shared" si="437"/>
        <v>0</v>
      </c>
      <c r="BK426" s="959">
        <f t="shared" si="438"/>
        <v>0</v>
      </c>
      <c r="BL426" s="55"/>
    </row>
    <row r="427" spans="1:64" s="43" customFormat="1" ht="17.100000000000001" customHeight="1">
      <c r="A427" s="1614" t="s">
        <v>1756</v>
      </c>
      <c r="B427" s="1615"/>
      <c r="C427" s="1615"/>
      <c r="D427" s="1616"/>
      <c r="E427" s="418">
        <f>COUNTA(E424:E426)</f>
        <v>3</v>
      </c>
      <c r="F427" s="294"/>
      <c r="G427" s="419"/>
      <c r="H427" s="190"/>
      <c r="I427" s="420"/>
      <c r="J427" s="296"/>
      <c r="K427" s="462"/>
      <c r="L427" s="463"/>
      <c r="M427" s="421">
        <f t="shared" ref="M427:AS427" si="439">SUM(M424:M426)</f>
        <v>13</v>
      </c>
      <c r="N427" s="422">
        <f t="shared" si="439"/>
        <v>0</v>
      </c>
      <c r="O427" s="423">
        <f t="shared" si="439"/>
        <v>322</v>
      </c>
      <c r="P427" s="424">
        <f t="shared" si="439"/>
        <v>4</v>
      </c>
      <c r="Q427" s="425">
        <f t="shared" si="439"/>
        <v>32</v>
      </c>
      <c r="R427" s="425">
        <f t="shared" si="439"/>
        <v>4</v>
      </c>
      <c r="S427" s="425">
        <f t="shared" si="439"/>
        <v>54</v>
      </c>
      <c r="T427" s="425">
        <f t="shared" si="439"/>
        <v>4</v>
      </c>
      <c r="U427" s="426">
        <f t="shared" si="439"/>
        <v>59</v>
      </c>
      <c r="V427" s="427">
        <f t="shared" si="439"/>
        <v>0</v>
      </c>
      <c r="W427" s="425">
        <f t="shared" si="439"/>
        <v>0</v>
      </c>
      <c r="X427" s="425">
        <f t="shared" si="439"/>
        <v>0</v>
      </c>
      <c r="Y427" s="425">
        <f t="shared" si="439"/>
        <v>0</v>
      </c>
      <c r="Z427" s="425">
        <f t="shared" si="439"/>
        <v>0</v>
      </c>
      <c r="AA427" s="426">
        <f t="shared" si="439"/>
        <v>0</v>
      </c>
      <c r="AB427" s="424">
        <f t="shared" si="439"/>
        <v>0</v>
      </c>
      <c r="AC427" s="425">
        <f t="shared" si="439"/>
        <v>0</v>
      </c>
      <c r="AD427" s="425">
        <f t="shared" si="439"/>
        <v>0</v>
      </c>
      <c r="AE427" s="425">
        <f t="shared" si="439"/>
        <v>0</v>
      </c>
      <c r="AF427" s="425">
        <f t="shared" si="439"/>
        <v>0</v>
      </c>
      <c r="AG427" s="425">
        <f t="shared" si="439"/>
        <v>0</v>
      </c>
      <c r="AH427" s="425">
        <f t="shared" si="439"/>
        <v>0</v>
      </c>
      <c r="AI427" s="426">
        <f t="shared" si="439"/>
        <v>0</v>
      </c>
      <c r="AJ427" s="424">
        <f t="shared" si="439"/>
        <v>0</v>
      </c>
      <c r="AK427" s="425">
        <f t="shared" si="439"/>
        <v>0</v>
      </c>
      <c r="AL427" s="425">
        <f t="shared" si="439"/>
        <v>0</v>
      </c>
      <c r="AM427" s="425">
        <f t="shared" si="439"/>
        <v>0</v>
      </c>
      <c r="AN427" s="425">
        <f t="shared" si="439"/>
        <v>0</v>
      </c>
      <c r="AO427" s="425">
        <f t="shared" si="439"/>
        <v>0</v>
      </c>
      <c r="AP427" s="425">
        <f t="shared" si="439"/>
        <v>0</v>
      </c>
      <c r="AQ427" s="459">
        <f t="shared" si="439"/>
        <v>0</v>
      </c>
      <c r="AR427" s="460">
        <f t="shared" si="439"/>
        <v>0</v>
      </c>
      <c r="AS427" s="429">
        <f t="shared" si="439"/>
        <v>0</v>
      </c>
      <c r="AT427" s="429">
        <f t="shared" ref="AT427:AY427" si="440">SUM(AT424:AT426)</f>
        <v>0</v>
      </c>
      <c r="AU427" s="429">
        <f t="shared" si="440"/>
        <v>0</v>
      </c>
      <c r="AV427" s="429">
        <f t="shared" si="440"/>
        <v>0</v>
      </c>
      <c r="AW427" s="429">
        <f t="shared" si="440"/>
        <v>0</v>
      </c>
      <c r="AX427" s="429">
        <f t="shared" si="440"/>
        <v>0</v>
      </c>
      <c r="AY427" s="429">
        <f t="shared" si="440"/>
        <v>0</v>
      </c>
      <c r="AZ427" s="429">
        <f>SUM(AZ424:AZ426)</f>
        <v>0</v>
      </c>
      <c r="BA427" s="461">
        <f>SUM(BA424:BA426)</f>
        <v>0</v>
      </c>
      <c r="BB427" s="431">
        <f>SUM(BB424:BB426)</f>
        <v>12</v>
      </c>
      <c r="BC427" s="432">
        <f>SUM(BC424:BC426)</f>
        <v>32</v>
      </c>
      <c r="BD427" s="432">
        <f t="shared" ref="BD427:BJ427" si="441">SUM(BD424:BD426)</f>
        <v>54</v>
      </c>
      <c r="BE427" s="432">
        <f t="shared" si="441"/>
        <v>59</v>
      </c>
      <c r="BF427" s="432">
        <f t="shared" si="441"/>
        <v>145</v>
      </c>
      <c r="BG427" s="432">
        <f t="shared" si="441"/>
        <v>0</v>
      </c>
      <c r="BH427" s="432">
        <f t="shared" si="441"/>
        <v>0</v>
      </c>
      <c r="BI427" s="432">
        <f t="shared" si="441"/>
        <v>0</v>
      </c>
      <c r="BJ427" s="432">
        <f t="shared" si="441"/>
        <v>0</v>
      </c>
      <c r="BK427" s="433">
        <f>SUM(BK424:BK426)</f>
        <v>0</v>
      </c>
      <c r="BL427" s="434"/>
    </row>
    <row r="428" spans="1:64" s="43" customFormat="1" ht="17.100000000000001" customHeight="1">
      <c r="A428" s="1568" t="s">
        <v>1811</v>
      </c>
      <c r="B428" s="1569"/>
      <c r="C428" s="1569"/>
      <c r="D428" s="1569"/>
      <c r="E428" s="1570"/>
      <c r="F428" s="435">
        <f>E423+E427</f>
        <v>18</v>
      </c>
      <c r="G428" s="436"/>
      <c r="H428" s="222"/>
      <c r="I428" s="437"/>
      <c r="J428" s="305"/>
      <c r="K428" s="303"/>
      <c r="L428" s="306"/>
      <c r="M428" s="438">
        <f t="shared" ref="M428:AS428" si="442">M423+M427</f>
        <v>36</v>
      </c>
      <c r="N428" s="439">
        <f t="shared" si="442"/>
        <v>4</v>
      </c>
      <c r="O428" s="440">
        <f t="shared" si="442"/>
        <v>707</v>
      </c>
      <c r="P428" s="441">
        <f t="shared" si="442"/>
        <v>7</v>
      </c>
      <c r="Q428" s="442">
        <f t="shared" si="442"/>
        <v>53</v>
      </c>
      <c r="R428" s="442">
        <f t="shared" si="442"/>
        <v>8</v>
      </c>
      <c r="S428" s="442">
        <f t="shared" si="442"/>
        <v>76</v>
      </c>
      <c r="T428" s="442">
        <f t="shared" si="442"/>
        <v>8</v>
      </c>
      <c r="U428" s="443">
        <f t="shared" si="442"/>
        <v>100</v>
      </c>
      <c r="V428" s="444">
        <f t="shared" si="442"/>
        <v>0</v>
      </c>
      <c r="W428" s="442">
        <f t="shared" si="442"/>
        <v>0</v>
      </c>
      <c r="X428" s="442">
        <f t="shared" si="442"/>
        <v>0</v>
      </c>
      <c r="Y428" s="442">
        <f t="shared" si="442"/>
        <v>0</v>
      </c>
      <c r="Z428" s="442">
        <f t="shared" si="442"/>
        <v>1</v>
      </c>
      <c r="AA428" s="443">
        <f t="shared" si="442"/>
        <v>3</v>
      </c>
      <c r="AB428" s="441">
        <f t="shared" si="442"/>
        <v>0</v>
      </c>
      <c r="AC428" s="442">
        <f t="shared" si="442"/>
        <v>1</v>
      </c>
      <c r="AD428" s="442">
        <f t="shared" si="442"/>
        <v>0</v>
      </c>
      <c r="AE428" s="442">
        <f t="shared" si="442"/>
        <v>0</v>
      </c>
      <c r="AF428" s="442">
        <f t="shared" si="442"/>
        <v>0</v>
      </c>
      <c r="AG428" s="442">
        <f t="shared" si="442"/>
        <v>1</v>
      </c>
      <c r="AH428" s="442">
        <f t="shared" si="442"/>
        <v>2</v>
      </c>
      <c r="AI428" s="443">
        <f t="shared" si="442"/>
        <v>3</v>
      </c>
      <c r="AJ428" s="441">
        <f t="shared" si="442"/>
        <v>0</v>
      </c>
      <c r="AK428" s="442">
        <f t="shared" si="442"/>
        <v>0</v>
      </c>
      <c r="AL428" s="442">
        <f t="shared" si="442"/>
        <v>0</v>
      </c>
      <c r="AM428" s="442">
        <f t="shared" si="442"/>
        <v>0</v>
      </c>
      <c r="AN428" s="442">
        <f t="shared" si="442"/>
        <v>0</v>
      </c>
      <c r="AO428" s="442">
        <f t="shared" si="442"/>
        <v>0</v>
      </c>
      <c r="AP428" s="442">
        <f t="shared" si="442"/>
        <v>0</v>
      </c>
      <c r="AQ428" s="443">
        <f t="shared" si="442"/>
        <v>0</v>
      </c>
      <c r="AR428" s="445">
        <f t="shared" si="442"/>
        <v>9</v>
      </c>
      <c r="AS428" s="446">
        <f t="shared" si="442"/>
        <v>2</v>
      </c>
      <c r="AT428" s="446">
        <f t="shared" ref="AT428:AZ428" si="443">AT423+AT427</f>
        <v>9</v>
      </c>
      <c r="AU428" s="446">
        <f t="shared" si="443"/>
        <v>15</v>
      </c>
      <c r="AV428" s="446">
        <f t="shared" si="443"/>
        <v>24</v>
      </c>
      <c r="AW428" s="446">
        <f t="shared" si="443"/>
        <v>48</v>
      </c>
      <c r="AX428" s="446">
        <f t="shared" si="443"/>
        <v>1</v>
      </c>
      <c r="AY428" s="446">
        <f t="shared" si="443"/>
        <v>1</v>
      </c>
      <c r="AZ428" s="446">
        <f t="shared" si="443"/>
        <v>5</v>
      </c>
      <c r="BA428" s="447">
        <f>BA423+BA427</f>
        <v>7</v>
      </c>
      <c r="BB428" s="448">
        <f>BB423+BB427</f>
        <v>32</v>
      </c>
      <c r="BC428" s="449">
        <f>BC423+BC427</f>
        <v>62</v>
      </c>
      <c r="BD428" s="449">
        <f t="shared" ref="BD428:BJ428" si="444">BD423+BD427</f>
        <v>91</v>
      </c>
      <c r="BE428" s="449">
        <f t="shared" si="444"/>
        <v>124</v>
      </c>
      <c r="BF428" s="449">
        <f>BF423+BF427</f>
        <v>277</v>
      </c>
      <c r="BG428" s="449">
        <f t="shared" si="444"/>
        <v>4</v>
      </c>
      <c r="BH428" s="449">
        <f t="shared" si="444"/>
        <v>2</v>
      </c>
      <c r="BI428" s="449">
        <f t="shared" si="444"/>
        <v>3</v>
      </c>
      <c r="BJ428" s="449">
        <f t="shared" si="444"/>
        <v>8</v>
      </c>
      <c r="BK428" s="450">
        <f>BK423+BK427</f>
        <v>13</v>
      </c>
      <c r="BL428" s="451"/>
    </row>
    <row r="429" spans="1:64" s="43" customFormat="1" ht="20.100000000000001" customHeight="1">
      <c r="A429" s="1571" t="s">
        <v>1812</v>
      </c>
      <c r="B429" s="1572"/>
      <c r="C429" s="1572"/>
      <c r="D429" s="1572"/>
      <c r="E429" s="1572"/>
      <c r="F429" s="1573"/>
      <c r="G429" s="170">
        <f>F50+F65+F78+F102+F165+F201+F265+F318+F407+F428</f>
        <v>391</v>
      </c>
      <c r="H429" s="464"/>
      <c r="I429" s="465"/>
      <c r="J429" s="466"/>
      <c r="K429" s="467"/>
      <c r="L429" s="468"/>
      <c r="M429" s="469">
        <f t="shared" ref="M429:AR429" si="445">M50+M65+M78+M102+M165+M201+M265+M318+M407+M428</f>
        <v>2072</v>
      </c>
      <c r="N429" s="469">
        <f t="shared" si="445"/>
        <v>127</v>
      </c>
      <c r="O429" s="470">
        <f t="shared" si="445"/>
        <v>47990</v>
      </c>
      <c r="P429" s="471">
        <f t="shared" si="445"/>
        <v>555</v>
      </c>
      <c r="Q429" s="469">
        <f t="shared" si="445"/>
        <v>8929</v>
      </c>
      <c r="R429" s="469">
        <f t="shared" si="445"/>
        <v>575</v>
      </c>
      <c r="S429" s="469">
        <f t="shared" si="445"/>
        <v>10888</v>
      </c>
      <c r="T429" s="469">
        <f t="shared" si="445"/>
        <v>600</v>
      </c>
      <c r="U429" s="472">
        <f t="shared" si="445"/>
        <v>11903</v>
      </c>
      <c r="V429" s="469">
        <f t="shared" si="445"/>
        <v>18</v>
      </c>
      <c r="W429" s="469">
        <f t="shared" si="445"/>
        <v>65</v>
      </c>
      <c r="X429" s="469">
        <f t="shared" si="445"/>
        <v>22</v>
      </c>
      <c r="Y429" s="469">
        <f t="shared" si="445"/>
        <v>80</v>
      </c>
      <c r="Z429" s="469">
        <f t="shared" si="445"/>
        <v>30</v>
      </c>
      <c r="AA429" s="470">
        <f t="shared" si="445"/>
        <v>116</v>
      </c>
      <c r="AB429" s="471">
        <f t="shared" si="445"/>
        <v>26</v>
      </c>
      <c r="AC429" s="469">
        <f t="shared" si="445"/>
        <v>7</v>
      </c>
      <c r="AD429" s="469">
        <f t="shared" si="445"/>
        <v>70</v>
      </c>
      <c r="AE429" s="469">
        <f t="shared" si="445"/>
        <v>120</v>
      </c>
      <c r="AF429" s="469">
        <f t="shared" si="445"/>
        <v>190</v>
      </c>
      <c r="AG429" s="469">
        <f t="shared" si="445"/>
        <v>12</v>
      </c>
      <c r="AH429" s="469">
        <f t="shared" si="445"/>
        <v>13</v>
      </c>
      <c r="AI429" s="470">
        <f t="shared" si="445"/>
        <v>22</v>
      </c>
      <c r="AJ429" s="471">
        <f t="shared" si="445"/>
        <v>23</v>
      </c>
      <c r="AK429" s="475">
        <f t="shared" si="445"/>
        <v>11</v>
      </c>
      <c r="AL429" s="475">
        <f t="shared" si="445"/>
        <v>81</v>
      </c>
      <c r="AM429" s="475">
        <f t="shared" si="445"/>
        <v>147</v>
      </c>
      <c r="AN429" s="475">
        <f t="shared" si="445"/>
        <v>228</v>
      </c>
      <c r="AO429" s="475">
        <f t="shared" si="445"/>
        <v>18</v>
      </c>
      <c r="AP429" s="475">
        <f t="shared" si="445"/>
        <v>28</v>
      </c>
      <c r="AQ429" s="476">
        <f t="shared" si="445"/>
        <v>46</v>
      </c>
      <c r="AR429" s="469">
        <f t="shared" si="445"/>
        <v>53</v>
      </c>
      <c r="AS429" s="469">
        <f t="shared" ref="AS429:BK429" si="446">AS50+AS65+AS78+AS102+AS165+AS201+AS265+AS318+AS407+AS428</f>
        <v>35</v>
      </c>
      <c r="AT429" s="469">
        <f t="shared" si="446"/>
        <v>200</v>
      </c>
      <c r="AU429" s="469">
        <f t="shared" si="446"/>
        <v>189</v>
      </c>
      <c r="AV429" s="469">
        <f t="shared" si="446"/>
        <v>229</v>
      </c>
      <c r="AW429" s="469">
        <f t="shared" si="446"/>
        <v>618</v>
      </c>
      <c r="AX429" s="469">
        <f t="shared" si="446"/>
        <v>17</v>
      </c>
      <c r="AY429" s="469">
        <f t="shared" si="446"/>
        <v>32</v>
      </c>
      <c r="AZ429" s="469">
        <f t="shared" si="446"/>
        <v>65</v>
      </c>
      <c r="BA429" s="470">
        <f t="shared" si="446"/>
        <v>114</v>
      </c>
      <c r="BB429" s="473">
        <f t="shared" si="446"/>
        <v>1834</v>
      </c>
      <c r="BC429" s="475">
        <f t="shared" si="446"/>
        <v>9199</v>
      </c>
      <c r="BD429" s="475">
        <f t="shared" si="446"/>
        <v>11278</v>
      </c>
      <c r="BE429" s="475">
        <f t="shared" si="446"/>
        <v>12266</v>
      </c>
      <c r="BF429" s="477">
        <f t="shared" si="446"/>
        <v>32741</v>
      </c>
      <c r="BG429" s="477">
        <f t="shared" si="446"/>
        <v>126</v>
      </c>
      <c r="BH429" s="475">
        <f t="shared" si="446"/>
        <v>96</v>
      </c>
      <c r="BI429" s="475">
        <f t="shared" si="446"/>
        <v>142</v>
      </c>
      <c r="BJ429" s="475">
        <f t="shared" si="446"/>
        <v>208</v>
      </c>
      <c r="BK429" s="478">
        <f t="shared" si="446"/>
        <v>446</v>
      </c>
      <c r="BL429" s="474"/>
    </row>
    <row r="431" spans="1:64" ht="17.100000000000001" customHeight="1">
      <c r="A431" s="1567" t="s">
        <v>1813</v>
      </c>
      <c r="B431" s="1567"/>
      <c r="C431" s="1567"/>
      <c r="D431" s="1567"/>
      <c r="E431" s="247">
        <f>F50+F65+F78+F102</f>
        <v>83</v>
      </c>
      <c r="F431" s="248"/>
      <c r="G431" s="248"/>
      <c r="H431" s="248"/>
      <c r="I431" s="248"/>
      <c r="J431" s="248"/>
      <c r="K431" s="248"/>
      <c r="L431" s="378"/>
      <c r="M431" s="254">
        <f t="shared" ref="M431:AR431" si="447">M50+M65+M78+M102</f>
        <v>383</v>
      </c>
      <c r="N431" s="251">
        <f t="shared" si="447"/>
        <v>23</v>
      </c>
      <c r="O431" s="255">
        <f t="shared" si="447"/>
        <v>9113</v>
      </c>
      <c r="P431" s="254">
        <f t="shared" si="447"/>
        <v>96</v>
      </c>
      <c r="Q431" s="251">
        <f t="shared" si="447"/>
        <v>1458</v>
      </c>
      <c r="R431" s="251">
        <f t="shared" si="447"/>
        <v>97</v>
      </c>
      <c r="S431" s="251">
        <f t="shared" si="447"/>
        <v>1830</v>
      </c>
      <c r="T431" s="251">
        <f t="shared" si="447"/>
        <v>108</v>
      </c>
      <c r="U431" s="255">
        <f t="shared" si="447"/>
        <v>2064</v>
      </c>
      <c r="V431" s="254">
        <f t="shared" si="447"/>
        <v>4</v>
      </c>
      <c r="W431" s="251">
        <f t="shared" si="447"/>
        <v>11</v>
      </c>
      <c r="X431" s="251">
        <f t="shared" si="447"/>
        <v>5</v>
      </c>
      <c r="Y431" s="251">
        <f t="shared" si="447"/>
        <v>16</v>
      </c>
      <c r="Z431" s="251">
        <f t="shared" si="447"/>
        <v>4</v>
      </c>
      <c r="AA431" s="255">
        <f t="shared" si="447"/>
        <v>16</v>
      </c>
      <c r="AB431" s="254">
        <f t="shared" si="447"/>
        <v>8</v>
      </c>
      <c r="AC431" s="251">
        <f t="shared" si="447"/>
        <v>0</v>
      </c>
      <c r="AD431" s="251">
        <f t="shared" si="447"/>
        <v>25</v>
      </c>
      <c r="AE431" s="251">
        <f t="shared" si="447"/>
        <v>30</v>
      </c>
      <c r="AF431" s="251">
        <f t="shared" si="447"/>
        <v>55</v>
      </c>
      <c r="AG431" s="251">
        <f t="shared" si="447"/>
        <v>0</v>
      </c>
      <c r="AH431" s="251">
        <f t="shared" si="447"/>
        <v>0</v>
      </c>
      <c r="AI431" s="255">
        <f t="shared" si="447"/>
        <v>0</v>
      </c>
      <c r="AJ431" s="254">
        <f t="shared" si="447"/>
        <v>5</v>
      </c>
      <c r="AK431" s="251">
        <f t="shared" si="447"/>
        <v>2</v>
      </c>
      <c r="AL431" s="251">
        <f t="shared" si="447"/>
        <v>7</v>
      </c>
      <c r="AM431" s="251">
        <f t="shared" si="447"/>
        <v>26</v>
      </c>
      <c r="AN431" s="251">
        <f t="shared" si="447"/>
        <v>33</v>
      </c>
      <c r="AO431" s="251">
        <f t="shared" si="447"/>
        <v>5</v>
      </c>
      <c r="AP431" s="251">
        <f t="shared" si="447"/>
        <v>7</v>
      </c>
      <c r="AQ431" s="255">
        <f t="shared" si="447"/>
        <v>12</v>
      </c>
      <c r="AR431" s="254">
        <f t="shared" si="447"/>
        <v>20</v>
      </c>
      <c r="AS431" s="251">
        <f t="shared" ref="AS431:BK431" si="448">AS50+AS65+AS78+AS102</f>
        <v>7</v>
      </c>
      <c r="AT431" s="251">
        <f t="shared" si="448"/>
        <v>87</v>
      </c>
      <c r="AU431" s="251">
        <f t="shared" si="448"/>
        <v>94</v>
      </c>
      <c r="AV431" s="251">
        <f t="shared" si="448"/>
        <v>109</v>
      </c>
      <c r="AW431" s="251">
        <f t="shared" si="448"/>
        <v>290</v>
      </c>
      <c r="AX431" s="251">
        <f t="shared" si="448"/>
        <v>4</v>
      </c>
      <c r="AY431" s="251">
        <f t="shared" si="448"/>
        <v>7</v>
      </c>
      <c r="AZ431" s="251">
        <f t="shared" si="448"/>
        <v>13</v>
      </c>
      <c r="BA431" s="255">
        <f t="shared" si="448"/>
        <v>24</v>
      </c>
      <c r="BB431" s="479">
        <f t="shared" si="448"/>
        <v>334</v>
      </c>
      <c r="BC431" s="251">
        <f t="shared" si="448"/>
        <v>1570</v>
      </c>
      <c r="BD431" s="251">
        <f t="shared" si="448"/>
        <v>1961</v>
      </c>
      <c r="BE431" s="251">
        <f t="shared" si="448"/>
        <v>2186</v>
      </c>
      <c r="BF431" s="253">
        <f t="shared" si="448"/>
        <v>5715</v>
      </c>
      <c r="BG431" s="253">
        <f t="shared" si="448"/>
        <v>23</v>
      </c>
      <c r="BH431" s="251">
        <f t="shared" si="448"/>
        <v>15</v>
      </c>
      <c r="BI431" s="251">
        <f t="shared" si="448"/>
        <v>27</v>
      </c>
      <c r="BJ431" s="251">
        <f t="shared" si="448"/>
        <v>36</v>
      </c>
      <c r="BK431" s="252">
        <f t="shared" si="448"/>
        <v>78</v>
      </c>
      <c r="BL431" s="250"/>
    </row>
    <row r="432" spans="1:64" s="9" customFormat="1" ht="17.100000000000001" customHeight="1">
      <c r="A432" s="1567" t="s">
        <v>1814</v>
      </c>
      <c r="B432" s="1567"/>
      <c r="C432" s="1567"/>
      <c r="D432" s="1567"/>
      <c r="E432" s="247">
        <f>F165+F201</f>
        <v>93</v>
      </c>
      <c r="F432" s="248"/>
      <c r="G432" s="248"/>
      <c r="H432" s="248"/>
      <c r="I432" s="248"/>
      <c r="J432" s="248"/>
      <c r="K432" s="248"/>
      <c r="L432" s="378"/>
      <c r="M432" s="254">
        <f t="shared" ref="M432:AR432" si="449">M165+M201</f>
        <v>414</v>
      </c>
      <c r="N432" s="251">
        <f t="shared" si="449"/>
        <v>24</v>
      </c>
      <c r="O432" s="255">
        <f t="shared" si="449"/>
        <v>10232</v>
      </c>
      <c r="P432" s="254">
        <f t="shared" si="449"/>
        <v>96</v>
      </c>
      <c r="Q432" s="251">
        <f t="shared" si="449"/>
        <v>1509</v>
      </c>
      <c r="R432" s="251">
        <f t="shared" si="449"/>
        <v>106</v>
      </c>
      <c r="S432" s="251">
        <f t="shared" si="449"/>
        <v>1932</v>
      </c>
      <c r="T432" s="251">
        <f t="shared" si="449"/>
        <v>112</v>
      </c>
      <c r="U432" s="255">
        <f t="shared" si="449"/>
        <v>2127</v>
      </c>
      <c r="V432" s="254">
        <f t="shared" si="449"/>
        <v>2</v>
      </c>
      <c r="W432" s="251">
        <f t="shared" si="449"/>
        <v>8</v>
      </c>
      <c r="X432" s="251">
        <f t="shared" si="449"/>
        <v>2</v>
      </c>
      <c r="Y432" s="251">
        <f t="shared" si="449"/>
        <v>8</v>
      </c>
      <c r="Z432" s="251">
        <f t="shared" si="449"/>
        <v>4</v>
      </c>
      <c r="AA432" s="255">
        <f t="shared" si="449"/>
        <v>16</v>
      </c>
      <c r="AB432" s="254">
        <f t="shared" si="449"/>
        <v>6</v>
      </c>
      <c r="AC432" s="251">
        <f t="shared" si="449"/>
        <v>2</v>
      </c>
      <c r="AD432" s="251">
        <f t="shared" si="449"/>
        <v>15</v>
      </c>
      <c r="AE432" s="251">
        <f t="shared" si="449"/>
        <v>20</v>
      </c>
      <c r="AF432" s="251">
        <f t="shared" si="449"/>
        <v>35</v>
      </c>
      <c r="AG432" s="251">
        <f t="shared" si="449"/>
        <v>2</v>
      </c>
      <c r="AH432" s="251">
        <f t="shared" si="449"/>
        <v>6</v>
      </c>
      <c r="AI432" s="255">
        <f t="shared" si="449"/>
        <v>8</v>
      </c>
      <c r="AJ432" s="254">
        <f t="shared" si="449"/>
        <v>8</v>
      </c>
      <c r="AK432" s="251">
        <f t="shared" si="449"/>
        <v>0</v>
      </c>
      <c r="AL432" s="251">
        <f t="shared" si="449"/>
        <v>28</v>
      </c>
      <c r="AM432" s="251">
        <f t="shared" si="449"/>
        <v>58</v>
      </c>
      <c r="AN432" s="251">
        <f t="shared" si="449"/>
        <v>86</v>
      </c>
      <c r="AO432" s="251">
        <f t="shared" si="449"/>
        <v>0</v>
      </c>
      <c r="AP432" s="251">
        <f t="shared" si="449"/>
        <v>4</v>
      </c>
      <c r="AQ432" s="255">
        <f t="shared" si="449"/>
        <v>4</v>
      </c>
      <c r="AR432" s="254">
        <f t="shared" si="449"/>
        <v>18</v>
      </c>
      <c r="AS432" s="251">
        <f t="shared" ref="AS432:BK432" si="450">AS165+AS201</f>
        <v>13</v>
      </c>
      <c r="AT432" s="251">
        <f t="shared" si="450"/>
        <v>75</v>
      </c>
      <c r="AU432" s="251">
        <f t="shared" si="450"/>
        <v>68</v>
      </c>
      <c r="AV432" s="251">
        <f t="shared" si="450"/>
        <v>67</v>
      </c>
      <c r="AW432" s="251">
        <f t="shared" si="450"/>
        <v>210</v>
      </c>
      <c r="AX432" s="251">
        <f t="shared" si="450"/>
        <v>4</v>
      </c>
      <c r="AY432" s="251">
        <f t="shared" si="450"/>
        <v>12</v>
      </c>
      <c r="AZ432" s="251">
        <f t="shared" si="450"/>
        <v>28</v>
      </c>
      <c r="BA432" s="255">
        <f t="shared" si="450"/>
        <v>44</v>
      </c>
      <c r="BB432" s="479">
        <f t="shared" si="450"/>
        <v>347</v>
      </c>
      <c r="BC432" s="251">
        <f t="shared" si="450"/>
        <v>1599</v>
      </c>
      <c r="BD432" s="251">
        <f t="shared" si="450"/>
        <v>2048</v>
      </c>
      <c r="BE432" s="251">
        <f t="shared" si="450"/>
        <v>2252</v>
      </c>
      <c r="BF432" s="253">
        <f t="shared" si="450"/>
        <v>5899</v>
      </c>
      <c r="BG432" s="253">
        <f t="shared" si="450"/>
        <v>24</v>
      </c>
      <c r="BH432" s="251">
        <f t="shared" si="450"/>
        <v>16</v>
      </c>
      <c r="BI432" s="251">
        <f t="shared" si="450"/>
        <v>26</v>
      </c>
      <c r="BJ432" s="251">
        <f t="shared" si="450"/>
        <v>46</v>
      </c>
      <c r="BK432" s="252">
        <f t="shared" si="450"/>
        <v>88</v>
      </c>
      <c r="BL432" s="250"/>
    </row>
    <row r="433" spans="1:66" ht="17.100000000000001" customHeight="1">
      <c r="A433" s="1567" t="s">
        <v>1815</v>
      </c>
      <c r="B433" s="1567"/>
      <c r="C433" s="1567"/>
      <c r="D433" s="1567"/>
      <c r="E433" s="247">
        <f>F265+F318</f>
        <v>111</v>
      </c>
      <c r="F433" s="248"/>
      <c r="G433" s="248"/>
      <c r="H433" s="248"/>
      <c r="I433" s="248"/>
      <c r="J433" s="248"/>
      <c r="K433" s="248"/>
      <c r="L433" s="378"/>
      <c r="M433" s="254">
        <f t="shared" ref="M433:AR433" si="451">M265+M318</f>
        <v>717</v>
      </c>
      <c r="N433" s="251">
        <f t="shared" si="451"/>
        <v>33</v>
      </c>
      <c r="O433" s="255">
        <f t="shared" si="451"/>
        <v>16750</v>
      </c>
      <c r="P433" s="254">
        <f t="shared" si="451"/>
        <v>201</v>
      </c>
      <c r="Q433" s="251">
        <f t="shared" si="451"/>
        <v>3272</v>
      </c>
      <c r="R433" s="251">
        <f t="shared" si="451"/>
        <v>202</v>
      </c>
      <c r="S433" s="251">
        <f t="shared" si="451"/>
        <v>3890</v>
      </c>
      <c r="T433" s="251">
        <f t="shared" si="451"/>
        <v>204</v>
      </c>
      <c r="U433" s="255">
        <f t="shared" si="451"/>
        <v>4154</v>
      </c>
      <c r="V433" s="254">
        <f t="shared" si="451"/>
        <v>4</v>
      </c>
      <c r="W433" s="251">
        <f t="shared" si="451"/>
        <v>16</v>
      </c>
      <c r="X433" s="251">
        <f t="shared" si="451"/>
        <v>6</v>
      </c>
      <c r="Y433" s="251">
        <f t="shared" si="451"/>
        <v>23</v>
      </c>
      <c r="Z433" s="251">
        <f t="shared" si="451"/>
        <v>9</v>
      </c>
      <c r="AA433" s="255">
        <f t="shared" si="451"/>
        <v>32</v>
      </c>
      <c r="AB433" s="254">
        <f t="shared" si="451"/>
        <v>6</v>
      </c>
      <c r="AC433" s="251">
        <f t="shared" si="451"/>
        <v>2</v>
      </c>
      <c r="AD433" s="251">
        <f t="shared" si="451"/>
        <v>15</v>
      </c>
      <c r="AE433" s="251">
        <f t="shared" si="451"/>
        <v>40</v>
      </c>
      <c r="AF433" s="251">
        <f t="shared" si="451"/>
        <v>55</v>
      </c>
      <c r="AG433" s="251">
        <f t="shared" si="451"/>
        <v>4</v>
      </c>
      <c r="AH433" s="251">
        <f t="shared" si="451"/>
        <v>2</v>
      </c>
      <c r="AI433" s="255">
        <f t="shared" si="451"/>
        <v>3</v>
      </c>
      <c r="AJ433" s="254">
        <f t="shared" si="451"/>
        <v>6</v>
      </c>
      <c r="AK433" s="251">
        <f t="shared" si="451"/>
        <v>9</v>
      </c>
      <c r="AL433" s="251">
        <f t="shared" si="451"/>
        <v>35</v>
      </c>
      <c r="AM433" s="251">
        <f t="shared" si="451"/>
        <v>42</v>
      </c>
      <c r="AN433" s="251">
        <f t="shared" si="451"/>
        <v>77</v>
      </c>
      <c r="AO433" s="251">
        <f t="shared" si="451"/>
        <v>13</v>
      </c>
      <c r="AP433" s="251">
        <f t="shared" si="451"/>
        <v>17</v>
      </c>
      <c r="AQ433" s="255">
        <f t="shared" si="451"/>
        <v>30</v>
      </c>
      <c r="AR433" s="254">
        <f t="shared" si="451"/>
        <v>3</v>
      </c>
      <c r="AS433" s="251">
        <f t="shared" ref="AS433:BK433" si="452">AS265+AS318</f>
        <v>2</v>
      </c>
      <c r="AT433" s="251">
        <f t="shared" si="452"/>
        <v>9</v>
      </c>
      <c r="AU433" s="251">
        <f t="shared" si="452"/>
        <v>6</v>
      </c>
      <c r="AV433" s="251">
        <f t="shared" si="452"/>
        <v>13</v>
      </c>
      <c r="AW433" s="251">
        <f t="shared" si="452"/>
        <v>28</v>
      </c>
      <c r="AX433" s="251">
        <f t="shared" si="452"/>
        <v>0</v>
      </c>
      <c r="AY433" s="251">
        <f t="shared" si="452"/>
        <v>3</v>
      </c>
      <c r="AZ433" s="251">
        <f t="shared" si="452"/>
        <v>3</v>
      </c>
      <c r="BA433" s="255">
        <f t="shared" si="452"/>
        <v>6</v>
      </c>
      <c r="BB433" s="479">
        <f t="shared" si="452"/>
        <v>623</v>
      </c>
      <c r="BC433" s="251">
        <f t="shared" si="452"/>
        <v>3296</v>
      </c>
      <c r="BD433" s="251">
        <f t="shared" si="452"/>
        <v>3971</v>
      </c>
      <c r="BE433" s="251">
        <f t="shared" si="452"/>
        <v>4209</v>
      </c>
      <c r="BF433" s="253">
        <f t="shared" si="452"/>
        <v>11476</v>
      </c>
      <c r="BG433" s="253">
        <f t="shared" si="452"/>
        <v>32</v>
      </c>
      <c r="BH433" s="251">
        <f t="shared" si="452"/>
        <v>20</v>
      </c>
      <c r="BI433" s="251">
        <f t="shared" si="452"/>
        <v>41</v>
      </c>
      <c r="BJ433" s="251">
        <f t="shared" si="452"/>
        <v>52</v>
      </c>
      <c r="BK433" s="252">
        <f t="shared" si="452"/>
        <v>113</v>
      </c>
      <c r="BL433" s="250"/>
    </row>
    <row r="434" spans="1:66" ht="17.100000000000001" customHeight="1">
      <c r="A434" s="1567" t="s">
        <v>1816</v>
      </c>
      <c r="B434" s="1567"/>
      <c r="C434" s="1567"/>
      <c r="D434" s="1567"/>
      <c r="E434" s="247">
        <f>F407</f>
        <v>86</v>
      </c>
      <c r="F434" s="248"/>
      <c r="G434" s="248"/>
      <c r="H434" s="248"/>
      <c r="I434" s="248"/>
      <c r="J434" s="248"/>
      <c r="K434" s="248"/>
      <c r="L434" s="378"/>
      <c r="M434" s="254">
        <f t="shared" ref="M434:AR434" si="453">M407</f>
        <v>522</v>
      </c>
      <c r="N434" s="251">
        <f t="shared" si="453"/>
        <v>43</v>
      </c>
      <c r="O434" s="255">
        <f t="shared" si="453"/>
        <v>11188</v>
      </c>
      <c r="P434" s="254">
        <f t="shared" si="453"/>
        <v>155</v>
      </c>
      <c r="Q434" s="251">
        <f t="shared" si="453"/>
        <v>2637</v>
      </c>
      <c r="R434" s="251">
        <f t="shared" si="453"/>
        <v>162</v>
      </c>
      <c r="S434" s="251">
        <f t="shared" si="453"/>
        <v>3160</v>
      </c>
      <c r="T434" s="251">
        <f t="shared" si="453"/>
        <v>168</v>
      </c>
      <c r="U434" s="255">
        <f t="shared" si="453"/>
        <v>3458</v>
      </c>
      <c r="V434" s="254">
        <f t="shared" si="453"/>
        <v>8</v>
      </c>
      <c r="W434" s="251">
        <f t="shared" si="453"/>
        <v>30</v>
      </c>
      <c r="X434" s="251">
        <f t="shared" si="453"/>
        <v>9</v>
      </c>
      <c r="Y434" s="251">
        <f t="shared" si="453"/>
        <v>33</v>
      </c>
      <c r="Z434" s="251">
        <f t="shared" si="453"/>
        <v>12</v>
      </c>
      <c r="AA434" s="255">
        <f t="shared" si="453"/>
        <v>49</v>
      </c>
      <c r="AB434" s="254">
        <f t="shared" si="453"/>
        <v>6</v>
      </c>
      <c r="AC434" s="251">
        <f t="shared" si="453"/>
        <v>2</v>
      </c>
      <c r="AD434" s="251">
        <f t="shared" si="453"/>
        <v>15</v>
      </c>
      <c r="AE434" s="251">
        <f t="shared" si="453"/>
        <v>30</v>
      </c>
      <c r="AF434" s="251">
        <f t="shared" si="453"/>
        <v>45</v>
      </c>
      <c r="AG434" s="251">
        <f t="shared" si="453"/>
        <v>5</v>
      </c>
      <c r="AH434" s="251">
        <f t="shared" si="453"/>
        <v>3</v>
      </c>
      <c r="AI434" s="255">
        <f t="shared" si="453"/>
        <v>8</v>
      </c>
      <c r="AJ434" s="254">
        <f t="shared" si="453"/>
        <v>4</v>
      </c>
      <c r="AK434" s="251">
        <f t="shared" si="453"/>
        <v>0</v>
      </c>
      <c r="AL434" s="251">
        <f t="shared" si="453"/>
        <v>11</v>
      </c>
      <c r="AM434" s="251">
        <f t="shared" si="453"/>
        <v>21</v>
      </c>
      <c r="AN434" s="251">
        <f t="shared" si="453"/>
        <v>32</v>
      </c>
      <c r="AO434" s="251">
        <f t="shared" si="453"/>
        <v>0</v>
      </c>
      <c r="AP434" s="251">
        <f t="shared" si="453"/>
        <v>0</v>
      </c>
      <c r="AQ434" s="255">
        <f t="shared" si="453"/>
        <v>0</v>
      </c>
      <c r="AR434" s="254">
        <f t="shared" si="453"/>
        <v>3</v>
      </c>
      <c r="AS434" s="251">
        <f t="shared" ref="AS434:BK434" si="454">AS407</f>
        <v>11</v>
      </c>
      <c r="AT434" s="251">
        <f t="shared" si="454"/>
        <v>20</v>
      </c>
      <c r="AU434" s="251">
        <f t="shared" si="454"/>
        <v>6</v>
      </c>
      <c r="AV434" s="251">
        <f t="shared" si="454"/>
        <v>16</v>
      </c>
      <c r="AW434" s="251">
        <f t="shared" si="454"/>
        <v>42</v>
      </c>
      <c r="AX434" s="251">
        <f t="shared" si="454"/>
        <v>8</v>
      </c>
      <c r="AY434" s="251">
        <f t="shared" si="454"/>
        <v>9</v>
      </c>
      <c r="AZ434" s="251">
        <f t="shared" si="454"/>
        <v>16</v>
      </c>
      <c r="BA434" s="255">
        <f t="shared" si="454"/>
        <v>33</v>
      </c>
      <c r="BB434" s="479">
        <f t="shared" si="454"/>
        <v>498</v>
      </c>
      <c r="BC434" s="251">
        <f t="shared" si="454"/>
        <v>2672</v>
      </c>
      <c r="BD434" s="251">
        <f t="shared" si="454"/>
        <v>3207</v>
      </c>
      <c r="BE434" s="251">
        <f t="shared" si="454"/>
        <v>3495</v>
      </c>
      <c r="BF434" s="253">
        <f t="shared" si="454"/>
        <v>9374</v>
      </c>
      <c r="BG434" s="253">
        <f t="shared" si="454"/>
        <v>43</v>
      </c>
      <c r="BH434" s="251">
        <f t="shared" si="454"/>
        <v>43</v>
      </c>
      <c r="BI434" s="251">
        <f t="shared" si="454"/>
        <v>45</v>
      </c>
      <c r="BJ434" s="251">
        <f t="shared" si="454"/>
        <v>66</v>
      </c>
      <c r="BK434" s="252">
        <f t="shared" si="454"/>
        <v>154</v>
      </c>
      <c r="BL434" s="250"/>
    </row>
    <row r="435" spans="1:66" ht="17.100000000000001" customHeight="1">
      <c r="A435" s="1567" t="s">
        <v>1817</v>
      </c>
      <c r="B435" s="1567"/>
      <c r="C435" s="1567"/>
      <c r="D435" s="1567"/>
      <c r="E435" s="247">
        <f>F428</f>
        <v>18</v>
      </c>
      <c r="F435" s="248"/>
      <c r="G435" s="248"/>
      <c r="H435" s="248"/>
      <c r="I435" s="248"/>
      <c r="J435" s="248"/>
      <c r="K435" s="248"/>
      <c r="L435" s="378"/>
      <c r="M435" s="254">
        <f>M428</f>
        <v>36</v>
      </c>
      <c r="N435" s="251">
        <f t="shared" ref="N435:BK435" si="455">N428</f>
        <v>4</v>
      </c>
      <c r="O435" s="255">
        <f t="shared" si="455"/>
        <v>707</v>
      </c>
      <c r="P435" s="254">
        <f t="shared" si="455"/>
        <v>7</v>
      </c>
      <c r="Q435" s="251">
        <f t="shared" si="455"/>
        <v>53</v>
      </c>
      <c r="R435" s="251">
        <f t="shared" si="455"/>
        <v>8</v>
      </c>
      <c r="S435" s="251">
        <f t="shared" si="455"/>
        <v>76</v>
      </c>
      <c r="T435" s="251">
        <f t="shared" si="455"/>
        <v>8</v>
      </c>
      <c r="U435" s="255">
        <f t="shared" si="455"/>
        <v>100</v>
      </c>
      <c r="V435" s="254">
        <f t="shared" si="455"/>
        <v>0</v>
      </c>
      <c r="W435" s="251">
        <f t="shared" si="455"/>
        <v>0</v>
      </c>
      <c r="X435" s="251">
        <f t="shared" si="455"/>
        <v>0</v>
      </c>
      <c r="Y435" s="251">
        <f t="shared" si="455"/>
        <v>0</v>
      </c>
      <c r="Z435" s="251">
        <f t="shared" si="455"/>
        <v>1</v>
      </c>
      <c r="AA435" s="255">
        <f t="shared" si="455"/>
        <v>3</v>
      </c>
      <c r="AB435" s="254">
        <f t="shared" si="455"/>
        <v>0</v>
      </c>
      <c r="AC435" s="251">
        <f t="shared" si="455"/>
        <v>1</v>
      </c>
      <c r="AD435" s="251">
        <f t="shared" si="455"/>
        <v>0</v>
      </c>
      <c r="AE435" s="251">
        <f t="shared" si="455"/>
        <v>0</v>
      </c>
      <c r="AF435" s="251">
        <f t="shared" si="455"/>
        <v>0</v>
      </c>
      <c r="AG435" s="251">
        <f t="shared" si="455"/>
        <v>1</v>
      </c>
      <c r="AH435" s="251">
        <f t="shared" si="455"/>
        <v>2</v>
      </c>
      <c r="AI435" s="255">
        <f t="shared" si="455"/>
        <v>3</v>
      </c>
      <c r="AJ435" s="254">
        <f t="shared" si="455"/>
        <v>0</v>
      </c>
      <c r="AK435" s="251">
        <f t="shared" si="455"/>
        <v>0</v>
      </c>
      <c r="AL435" s="251">
        <f t="shared" si="455"/>
        <v>0</v>
      </c>
      <c r="AM435" s="251">
        <f t="shared" si="455"/>
        <v>0</v>
      </c>
      <c r="AN435" s="251">
        <f t="shared" si="455"/>
        <v>0</v>
      </c>
      <c r="AO435" s="251">
        <f t="shared" si="455"/>
        <v>0</v>
      </c>
      <c r="AP435" s="251">
        <f t="shared" si="455"/>
        <v>0</v>
      </c>
      <c r="AQ435" s="255">
        <f t="shared" si="455"/>
        <v>0</v>
      </c>
      <c r="AR435" s="254">
        <f t="shared" si="455"/>
        <v>9</v>
      </c>
      <c r="AS435" s="251">
        <f t="shared" si="455"/>
        <v>2</v>
      </c>
      <c r="AT435" s="251">
        <f t="shared" si="455"/>
        <v>9</v>
      </c>
      <c r="AU435" s="251">
        <f t="shared" si="455"/>
        <v>15</v>
      </c>
      <c r="AV435" s="251">
        <f t="shared" si="455"/>
        <v>24</v>
      </c>
      <c r="AW435" s="251">
        <f t="shared" si="455"/>
        <v>48</v>
      </c>
      <c r="AX435" s="251">
        <f t="shared" si="455"/>
        <v>1</v>
      </c>
      <c r="AY435" s="251">
        <f t="shared" si="455"/>
        <v>1</v>
      </c>
      <c r="AZ435" s="251">
        <f t="shared" si="455"/>
        <v>5</v>
      </c>
      <c r="BA435" s="255">
        <f t="shared" si="455"/>
        <v>7</v>
      </c>
      <c r="BB435" s="479">
        <f t="shared" si="455"/>
        <v>32</v>
      </c>
      <c r="BC435" s="251">
        <f t="shared" si="455"/>
        <v>62</v>
      </c>
      <c r="BD435" s="251">
        <f t="shared" si="455"/>
        <v>91</v>
      </c>
      <c r="BE435" s="251">
        <f t="shared" si="455"/>
        <v>124</v>
      </c>
      <c r="BF435" s="253">
        <f t="shared" si="455"/>
        <v>277</v>
      </c>
      <c r="BG435" s="253">
        <f t="shared" si="455"/>
        <v>4</v>
      </c>
      <c r="BH435" s="251">
        <f t="shared" si="455"/>
        <v>2</v>
      </c>
      <c r="BI435" s="251">
        <f t="shared" si="455"/>
        <v>3</v>
      </c>
      <c r="BJ435" s="251">
        <f t="shared" si="455"/>
        <v>8</v>
      </c>
      <c r="BK435" s="252">
        <f t="shared" si="455"/>
        <v>13</v>
      </c>
      <c r="BL435" s="250"/>
    </row>
    <row r="436" spans="1:66" ht="17.100000000000001" customHeight="1">
      <c r="A436" s="1566" t="s">
        <v>1818</v>
      </c>
      <c r="B436" s="1566"/>
      <c r="C436" s="1566"/>
      <c r="D436" s="1566"/>
      <c r="E436" s="257">
        <f>SUM(E431:E435)</f>
        <v>391</v>
      </c>
      <c r="F436" s="258"/>
      <c r="G436" s="258"/>
      <c r="H436" s="258"/>
      <c r="I436" s="258"/>
      <c r="J436" s="258"/>
      <c r="K436" s="258"/>
      <c r="L436" s="383"/>
      <c r="M436" s="262">
        <f>SUM(M431:M435)</f>
        <v>2072</v>
      </c>
      <c r="N436" s="261">
        <f t="shared" ref="N436:BK436" si="456">SUM(N431:N435)</f>
        <v>127</v>
      </c>
      <c r="O436" s="263">
        <f t="shared" si="456"/>
        <v>47990</v>
      </c>
      <c r="P436" s="262">
        <f t="shared" si="456"/>
        <v>555</v>
      </c>
      <c r="Q436" s="261">
        <f t="shared" si="456"/>
        <v>8929</v>
      </c>
      <c r="R436" s="261">
        <f t="shared" si="456"/>
        <v>575</v>
      </c>
      <c r="S436" s="261">
        <f t="shared" si="456"/>
        <v>10888</v>
      </c>
      <c r="T436" s="261">
        <f t="shared" si="456"/>
        <v>600</v>
      </c>
      <c r="U436" s="263">
        <f t="shared" si="456"/>
        <v>11903</v>
      </c>
      <c r="V436" s="262">
        <f t="shared" si="456"/>
        <v>18</v>
      </c>
      <c r="W436" s="261">
        <f t="shared" si="456"/>
        <v>65</v>
      </c>
      <c r="X436" s="261">
        <f t="shared" si="456"/>
        <v>22</v>
      </c>
      <c r="Y436" s="261">
        <f t="shared" si="456"/>
        <v>80</v>
      </c>
      <c r="Z436" s="261">
        <f t="shared" si="456"/>
        <v>30</v>
      </c>
      <c r="AA436" s="263">
        <f t="shared" si="456"/>
        <v>116</v>
      </c>
      <c r="AB436" s="262">
        <f t="shared" si="456"/>
        <v>26</v>
      </c>
      <c r="AC436" s="261">
        <f t="shared" si="456"/>
        <v>7</v>
      </c>
      <c r="AD436" s="261">
        <f t="shared" si="456"/>
        <v>70</v>
      </c>
      <c r="AE436" s="261">
        <f t="shared" si="456"/>
        <v>120</v>
      </c>
      <c r="AF436" s="261">
        <f t="shared" si="456"/>
        <v>190</v>
      </c>
      <c r="AG436" s="261">
        <f t="shared" si="456"/>
        <v>12</v>
      </c>
      <c r="AH436" s="261">
        <f t="shared" si="456"/>
        <v>13</v>
      </c>
      <c r="AI436" s="263">
        <f t="shared" si="456"/>
        <v>22</v>
      </c>
      <c r="AJ436" s="262">
        <f t="shared" si="456"/>
        <v>23</v>
      </c>
      <c r="AK436" s="261">
        <f t="shared" si="456"/>
        <v>11</v>
      </c>
      <c r="AL436" s="261">
        <f t="shared" si="456"/>
        <v>81</v>
      </c>
      <c r="AM436" s="261">
        <f t="shared" si="456"/>
        <v>147</v>
      </c>
      <c r="AN436" s="261">
        <f t="shared" si="456"/>
        <v>228</v>
      </c>
      <c r="AO436" s="261">
        <f t="shared" si="456"/>
        <v>18</v>
      </c>
      <c r="AP436" s="261">
        <f t="shared" si="456"/>
        <v>28</v>
      </c>
      <c r="AQ436" s="263">
        <f t="shared" si="456"/>
        <v>46</v>
      </c>
      <c r="AR436" s="262">
        <f t="shared" si="456"/>
        <v>53</v>
      </c>
      <c r="AS436" s="261">
        <f t="shared" si="456"/>
        <v>35</v>
      </c>
      <c r="AT436" s="261">
        <f t="shared" si="456"/>
        <v>200</v>
      </c>
      <c r="AU436" s="261">
        <f t="shared" si="456"/>
        <v>189</v>
      </c>
      <c r="AV436" s="261">
        <f t="shared" si="456"/>
        <v>229</v>
      </c>
      <c r="AW436" s="261">
        <f t="shared" si="456"/>
        <v>618</v>
      </c>
      <c r="AX436" s="261">
        <f t="shared" si="456"/>
        <v>17</v>
      </c>
      <c r="AY436" s="261">
        <f t="shared" si="456"/>
        <v>32</v>
      </c>
      <c r="AZ436" s="261">
        <f t="shared" si="456"/>
        <v>65</v>
      </c>
      <c r="BA436" s="263">
        <f t="shared" si="456"/>
        <v>114</v>
      </c>
      <c r="BB436" s="479">
        <f t="shared" si="456"/>
        <v>1834</v>
      </c>
      <c r="BC436" s="261">
        <f t="shared" si="456"/>
        <v>9199</v>
      </c>
      <c r="BD436" s="261">
        <f t="shared" si="456"/>
        <v>11278</v>
      </c>
      <c r="BE436" s="261">
        <f t="shared" si="456"/>
        <v>12266</v>
      </c>
      <c r="BF436" s="253">
        <f t="shared" si="456"/>
        <v>32741</v>
      </c>
      <c r="BG436" s="253">
        <f t="shared" si="456"/>
        <v>126</v>
      </c>
      <c r="BH436" s="261">
        <f t="shared" si="456"/>
        <v>96</v>
      </c>
      <c r="BI436" s="261">
        <f t="shared" si="456"/>
        <v>142</v>
      </c>
      <c r="BJ436" s="261">
        <f t="shared" si="456"/>
        <v>208</v>
      </c>
      <c r="BK436" s="252">
        <f t="shared" si="456"/>
        <v>446</v>
      </c>
      <c r="BL436" s="260"/>
    </row>
    <row r="437" spans="1:66" ht="17.100000000000001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796"/>
    </row>
    <row r="438" spans="1:66" ht="17.100000000000001" customHeight="1">
      <c r="A438" s="1567" t="s">
        <v>1819</v>
      </c>
      <c r="B438" s="1567"/>
      <c r="C438" s="1567"/>
      <c r="D438" s="1567"/>
      <c r="E438" s="247">
        <f>E21+E57+E75+E93+E130+E181+E230+E288+E373+E423</f>
        <v>203</v>
      </c>
      <c r="F438" s="454"/>
      <c r="G438" s="454"/>
      <c r="H438" s="454"/>
      <c r="I438" s="454"/>
      <c r="J438" s="454"/>
      <c r="K438" s="454"/>
      <c r="L438" s="455"/>
      <c r="M438" s="385">
        <f t="shared" ref="M438:AR438" si="457">M21+M57+M75+M93+M130+M181+M230+M288+M373+M423</f>
        <v>675</v>
      </c>
      <c r="N438" s="268">
        <f t="shared" si="457"/>
        <v>127</v>
      </c>
      <c r="O438" s="389">
        <f t="shared" si="457"/>
        <v>11202</v>
      </c>
      <c r="P438" s="267">
        <f t="shared" si="457"/>
        <v>158</v>
      </c>
      <c r="Q438" s="268">
        <f t="shared" si="457"/>
        <v>1628</v>
      </c>
      <c r="R438" s="268">
        <f t="shared" si="457"/>
        <v>179</v>
      </c>
      <c r="S438" s="268">
        <f t="shared" si="457"/>
        <v>2426</v>
      </c>
      <c r="T438" s="268">
        <f t="shared" si="457"/>
        <v>215</v>
      </c>
      <c r="U438" s="481">
        <f t="shared" si="457"/>
        <v>3027</v>
      </c>
      <c r="V438" s="385">
        <f t="shared" si="457"/>
        <v>18</v>
      </c>
      <c r="W438" s="268">
        <f t="shared" si="457"/>
        <v>65</v>
      </c>
      <c r="X438" s="268">
        <f t="shared" si="457"/>
        <v>21</v>
      </c>
      <c r="Y438" s="268">
        <f t="shared" si="457"/>
        <v>79</v>
      </c>
      <c r="Z438" s="268">
        <f t="shared" si="457"/>
        <v>30</v>
      </c>
      <c r="AA438" s="389">
        <f t="shared" si="457"/>
        <v>116</v>
      </c>
      <c r="AB438" s="267">
        <f t="shared" si="457"/>
        <v>22</v>
      </c>
      <c r="AC438" s="268">
        <f t="shared" si="457"/>
        <v>7</v>
      </c>
      <c r="AD438" s="268">
        <f t="shared" si="457"/>
        <v>46</v>
      </c>
      <c r="AE438" s="268">
        <f t="shared" si="457"/>
        <v>90</v>
      </c>
      <c r="AF438" s="268">
        <f t="shared" si="457"/>
        <v>136</v>
      </c>
      <c r="AG438" s="268">
        <f t="shared" si="457"/>
        <v>12</v>
      </c>
      <c r="AH438" s="268">
        <f t="shared" si="457"/>
        <v>13</v>
      </c>
      <c r="AI438" s="481">
        <f t="shared" si="457"/>
        <v>22</v>
      </c>
      <c r="AJ438" s="385">
        <f t="shared" si="457"/>
        <v>18</v>
      </c>
      <c r="AK438" s="268">
        <f t="shared" si="457"/>
        <v>11</v>
      </c>
      <c r="AL438" s="268">
        <f t="shared" si="457"/>
        <v>56</v>
      </c>
      <c r="AM438" s="268">
        <f t="shared" si="457"/>
        <v>99</v>
      </c>
      <c r="AN438" s="268">
        <f t="shared" si="457"/>
        <v>155</v>
      </c>
      <c r="AO438" s="268">
        <f t="shared" si="457"/>
        <v>18</v>
      </c>
      <c r="AP438" s="268">
        <f t="shared" si="457"/>
        <v>28</v>
      </c>
      <c r="AQ438" s="389">
        <f t="shared" si="457"/>
        <v>46</v>
      </c>
      <c r="AR438" s="267">
        <f t="shared" si="457"/>
        <v>28</v>
      </c>
      <c r="AS438" s="268">
        <f t="shared" ref="AS438:BK438" si="458">AS21+AS57+AS75+AS93+AS130+AS181+AS230+AS288+AS373+AS423</f>
        <v>35</v>
      </c>
      <c r="AT438" s="268">
        <f t="shared" si="458"/>
        <v>34</v>
      </c>
      <c r="AU438" s="268">
        <f t="shared" si="458"/>
        <v>26</v>
      </c>
      <c r="AV438" s="268">
        <f t="shared" si="458"/>
        <v>67</v>
      </c>
      <c r="AW438" s="268">
        <f t="shared" si="458"/>
        <v>127</v>
      </c>
      <c r="AX438" s="268">
        <f t="shared" si="458"/>
        <v>17</v>
      </c>
      <c r="AY438" s="268">
        <f t="shared" si="458"/>
        <v>32</v>
      </c>
      <c r="AZ438" s="268">
        <f t="shared" si="458"/>
        <v>65</v>
      </c>
      <c r="BA438" s="481">
        <f t="shared" si="458"/>
        <v>114</v>
      </c>
      <c r="BB438" s="485">
        <f t="shared" si="458"/>
        <v>622</v>
      </c>
      <c r="BC438" s="268">
        <f t="shared" si="458"/>
        <v>1708</v>
      </c>
      <c r="BD438" s="268">
        <f t="shared" si="458"/>
        <v>2598</v>
      </c>
      <c r="BE438" s="268">
        <f t="shared" si="458"/>
        <v>3180</v>
      </c>
      <c r="BF438" s="486">
        <f t="shared" si="458"/>
        <v>7484</v>
      </c>
      <c r="BG438" s="486">
        <f t="shared" si="458"/>
        <v>126</v>
      </c>
      <c r="BH438" s="268">
        <f t="shared" si="458"/>
        <v>96</v>
      </c>
      <c r="BI438" s="268">
        <f t="shared" si="458"/>
        <v>142</v>
      </c>
      <c r="BJ438" s="268">
        <f t="shared" si="458"/>
        <v>208</v>
      </c>
      <c r="BK438" s="487">
        <f t="shared" si="458"/>
        <v>446</v>
      </c>
      <c r="BL438" s="267"/>
      <c r="BN438" s="796"/>
    </row>
    <row r="439" spans="1:66" ht="17.100000000000001" customHeight="1">
      <c r="A439" s="1567" t="s">
        <v>1820</v>
      </c>
      <c r="B439" s="1567"/>
      <c r="C439" s="1567"/>
      <c r="D439" s="1567"/>
      <c r="E439" s="247">
        <f>E49+E64+E77+E101+E164+E200+E264+E317+E406+E427</f>
        <v>188</v>
      </c>
      <c r="F439" s="454"/>
      <c r="G439" s="454"/>
      <c r="H439" s="454"/>
      <c r="I439" s="454"/>
      <c r="J439" s="454"/>
      <c r="K439" s="454"/>
      <c r="L439" s="455"/>
      <c r="M439" s="385">
        <f t="shared" ref="M439:AR439" si="459">M49+M64+M77+M101+M164+M200+M264+M317+M406+M427</f>
        <v>1397</v>
      </c>
      <c r="N439" s="268">
        <f t="shared" si="459"/>
        <v>0</v>
      </c>
      <c r="O439" s="389">
        <f t="shared" si="459"/>
        <v>36788</v>
      </c>
      <c r="P439" s="267">
        <f t="shared" si="459"/>
        <v>397</v>
      </c>
      <c r="Q439" s="268">
        <f t="shared" si="459"/>
        <v>7301</v>
      </c>
      <c r="R439" s="268">
        <f t="shared" si="459"/>
        <v>396</v>
      </c>
      <c r="S439" s="268">
        <f t="shared" si="459"/>
        <v>8462</v>
      </c>
      <c r="T439" s="268">
        <f t="shared" si="459"/>
        <v>385</v>
      </c>
      <c r="U439" s="481">
        <f t="shared" si="459"/>
        <v>8876</v>
      </c>
      <c r="V439" s="385">
        <f t="shared" si="459"/>
        <v>0</v>
      </c>
      <c r="W439" s="268">
        <f t="shared" si="459"/>
        <v>0</v>
      </c>
      <c r="X439" s="268">
        <f t="shared" si="459"/>
        <v>1</v>
      </c>
      <c r="Y439" s="268">
        <f t="shared" si="459"/>
        <v>1</v>
      </c>
      <c r="Z439" s="268">
        <f t="shared" si="459"/>
        <v>0</v>
      </c>
      <c r="AA439" s="389">
        <f t="shared" si="459"/>
        <v>0</v>
      </c>
      <c r="AB439" s="267">
        <f t="shared" si="459"/>
        <v>4</v>
      </c>
      <c r="AC439" s="268">
        <f t="shared" si="459"/>
        <v>0</v>
      </c>
      <c r="AD439" s="268">
        <f t="shared" si="459"/>
        <v>24</v>
      </c>
      <c r="AE439" s="268">
        <f t="shared" si="459"/>
        <v>30</v>
      </c>
      <c r="AF439" s="268">
        <f t="shared" si="459"/>
        <v>54</v>
      </c>
      <c r="AG439" s="268">
        <f t="shared" si="459"/>
        <v>0</v>
      </c>
      <c r="AH439" s="268">
        <f t="shared" si="459"/>
        <v>0</v>
      </c>
      <c r="AI439" s="481">
        <f t="shared" si="459"/>
        <v>0</v>
      </c>
      <c r="AJ439" s="385">
        <f t="shared" si="459"/>
        <v>5</v>
      </c>
      <c r="AK439" s="268">
        <f t="shared" si="459"/>
        <v>0</v>
      </c>
      <c r="AL439" s="268">
        <f t="shared" si="459"/>
        <v>25</v>
      </c>
      <c r="AM439" s="268">
        <f t="shared" si="459"/>
        <v>48</v>
      </c>
      <c r="AN439" s="268">
        <f t="shared" si="459"/>
        <v>73</v>
      </c>
      <c r="AO439" s="268">
        <f t="shared" si="459"/>
        <v>0</v>
      </c>
      <c r="AP439" s="268">
        <f t="shared" si="459"/>
        <v>0</v>
      </c>
      <c r="AQ439" s="389">
        <f t="shared" si="459"/>
        <v>0</v>
      </c>
      <c r="AR439" s="267">
        <f t="shared" si="459"/>
        <v>25</v>
      </c>
      <c r="AS439" s="268">
        <f t="shared" ref="AS439:BK439" si="460">AS49+AS64+AS77+AS101+AS164+AS200+AS264+AS317+AS406+AS427</f>
        <v>0</v>
      </c>
      <c r="AT439" s="268">
        <f t="shared" si="460"/>
        <v>166</v>
      </c>
      <c r="AU439" s="268">
        <f t="shared" si="460"/>
        <v>163</v>
      </c>
      <c r="AV439" s="268">
        <f t="shared" si="460"/>
        <v>162</v>
      </c>
      <c r="AW439" s="268">
        <f t="shared" si="460"/>
        <v>491</v>
      </c>
      <c r="AX439" s="268">
        <f t="shared" si="460"/>
        <v>0</v>
      </c>
      <c r="AY439" s="268">
        <f t="shared" si="460"/>
        <v>0</v>
      </c>
      <c r="AZ439" s="268">
        <f t="shared" si="460"/>
        <v>0</v>
      </c>
      <c r="BA439" s="481">
        <f t="shared" si="460"/>
        <v>0</v>
      </c>
      <c r="BB439" s="485">
        <f t="shared" si="460"/>
        <v>1212</v>
      </c>
      <c r="BC439" s="268">
        <f t="shared" si="460"/>
        <v>7491</v>
      </c>
      <c r="BD439" s="268">
        <f t="shared" si="460"/>
        <v>8680</v>
      </c>
      <c r="BE439" s="268">
        <f t="shared" si="460"/>
        <v>9086</v>
      </c>
      <c r="BF439" s="486">
        <f t="shared" si="460"/>
        <v>25257</v>
      </c>
      <c r="BG439" s="486">
        <f t="shared" si="460"/>
        <v>0</v>
      </c>
      <c r="BH439" s="268">
        <f t="shared" si="460"/>
        <v>0</v>
      </c>
      <c r="BI439" s="268">
        <f t="shared" si="460"/>
        <v>0</v>
      </c>
      <c r="BJ439" s="268">
        <f t="shared" si="460"/>
        <v>0</v>
      </c>
      <c r="BK439" s="487">
        <f t="shared" si="460"/>
        <v>0</v>
      </c>
      <c r="BL439" s="267"/>
    </row>
    <row r="440" spans="1:66" ht="17.100000000000001" customHeight="1">
      <c r="A440" s="1566" t="s">
        <v>1821</v>
      </c>
      <c r="B440" s="1566"/>
      <c r="C440" s="1566"/>
      <c r="D440" s="1566"/>
      <c r="E440" s="257">
        <f>SUM(E438:E439)</f>
        <v>391</v>
      </c>
      <c r="F440" s="453"/>
      <c r="G440" s="453"/>
      <c r="H440" s="453"/>
      <c r="I440" s="453"/>
      <c r="J440" s="453"/>
      <c r="K440" s="453"/>
      <c r="L440" s="390"/>
      <c r="M440" s="391">
        <f>SUM(M438:M439)</f>
        <v>2072</v>
      </c>
      <c r="N440" s="280">
        <f t="shared" ref="N440:BK440" si="461">SUM(N438:N439)</f>
        <v>127</v>
      </c>
      <c r="O440" s="483">
        <f t="shared" si="461"/>
        <v>47990</v>
      </c>
      <c r="P440" s="279">
        <f t="shared" si="461"/>
        <v>555</v>
      </c>
      <c r="Q440" s="280">
        <f t="shared" si="461"/>
        <v>8929</v>
      </c>
      <c r="R440" s="280">
        <f t="shared" si="461"/>
        <v>575</v>
      </c>
      <c r="S440" s="280">
        <f t="shared" si="461"/>
        <v>10888</v>
      </c>
      <c r="T440" s="280">
        <f t="shared" si="461"/>
        <v>600</v>
      </c>
      <c r="U440" s="484">
        <f t="shared" si="461"/>
        <v>11903</v>
      </c>
      <c r="V440" s="391">
        <f t="shared" si="461"/>
        <v>18</v>
      </c>
      <c r="W440" s="280">
        <f t="shared" si="461"/>
        <v>65</v>
      </c>
      <c r="X440" s="280">
        <f t="shared" si="461"/>
        <v>22</v>
      </c>
      <c r="Y440" s="280">
        <f t="shared" si="461"/>
        <v>80</v>
      </c>
      <c r="Z440" s="280">
        <f t="shared" si="461"/>
        <v>30</v>
      </c>
      <c r="AA440" s="483">
        <f t="shared" si="461"/>
        <v>116</v>
      </c>
      <c r="AB440" s="279">
        <f t="shared" si="461"/>
        <v>26</v>
      </c>
      <c r="AC440" s="280">
        <f t="shared" si="461"/>
        <v>7</v>
      </c>
      <c r="AD440" s="280">
        <f t="shared" si="461"/>
        <v>70</v>
      </c>
      <c r="AE440" s="280">
        <f t="shared" si="461"/>
        <v>120</v>
      </c>
      <c r="AF440" s="280">
        <f t="shared" si="461"/>
        <v>190</v>
      </c>
      <c r="AG440" s="280">
        <f t="shared" si="461"/>
        <v>12</v>
      </c>
      <c r="AH440" s="280">
        <f t="shared" si="461"/>
        <v>13</v>
      </c>
      <c r="AI440" s="484">
        <f t="shared" si="461"/>
        <v>22</v>
      </c>
      <c r="AJ440" s="391">
        <f t="shared" si="461"/>
        <v>23</v>
      </c>
      <c r="AK440" s="280">
        <f t="shared" si="461"/>
        <v>11</v>
      </c>
      <c r="AL440" s="280">
        <f t="shared" si="461"/>
        <v>81</v>
      </c>
      <c r="AM440" s="280">
        <f t="shared" si="461"/>
        <v>147</v>
      </c>
      <c r="AN440" s="280">
        <f t="shared" si="461"/>
        <v>228</v>
      </c>
      <c r="AO440" s="280">
        <f t="shared" si="461"/>
        <v>18</v>
      </c>
      <c r="AP440" s="280">
        <f t="shared" si="461"/>
        <v>28</v>
      </c>
      <c r="AQ440" s="483">
        <f t="shared" si="461"/>
        <v>46</v>
      </c>
      <c r="AR440" s="279">
        <f t="shared" si="461"/>
        <v>53</v>
      </c>
      <c r="AS440" s="280">
        <f t="shared" si="461"/>
        <v>35</v>
      </c>
      <c r="AT440" s="280">
        <f t="shared" si="461"/>
        <v>200</v>
      </c>
      <c r="AU440" s="280">
        <f t="shared" si="461"/>
        <v>189</v>
      </c>
      <c r="AV440" s="280">
        <f t="shared" si="461"/>
        <v>229</v>
      </c>
      <c r="AW440" s="280">
        <f t="shared" si="461"/>
        <v>618</v>
      </c>
      <c r="AX440" s="280">
        <f t="shared" si="461"/>
        <v>17</v>
      </c>
      <c r="AY440" s="280">
        <f t="shared" si="461"/>
        <v>32</v>
      </c>
      <c r="AZ440" s="280">
        <f t="shared" si="461"/>
        <v>65</v>
      </c>
      <c r="BA440" s="484">
        <f t="shared" si="461"/>
        <v>114</v>
      </c>
      <c r="BB440" s="482">
        <f t="shared" si="461"/>
        <v>1834</v>
      </c>
      <c r="BC440" s="280">
        <f t="shared" si="461"/>
        <v>9199</v>
      </c>
      <c r="BD440" s="280">
        <f t="shared" si="461"/>
        <v>11278</v>
      </c>
      <c r="BE440" s="280">
        <f t="shared" si="461"/>
        <v>12266</v>
      </c>
      <c r="BF440" s="270">
        <f t="shared" si="461"/>
        <v>32741</v>
      </c>
      <c r="BG440" s="270">
        <f t="shared" si="461"/>
        <v>126</v>
      </c>
      <c r="BH440" s="280">
        <f t="shared" si="461"/>
        <v>96</v>
      </c>
      <c r="BI440" s="280">
        <f t="shared" si="461"/>
        <v>142</v>
      </c>
      <c r="BJ440" s="280">
        <f t="shared" si="461"/>
        <v>208</v>
      </c>
      <c r="BK440" s="269">
        <f t="shared" si="461"/>
        <v>446</v>
      </c>
      <c r="BL440" s="279"/>
    </row>
    <row r="442" spans="1:66">
      <c r="BA442" s="797"/>
      <c r="BB442" s="797"/>
      <c r="BC442" s="797"/>
      <c r="BD442" s="796"/>
      <c r="BE442" s="2"/>
      <c r="BF442" s="2"/>
      <c r="BG442" s="2"/>
      <c r="BH442" s="2"/>
      <c r="BI442" s="2"/>
      <c r="BJ442" s="2"/>
      <c r="BK442" s="2"/>
      <c r="BL442" s="2"/>
    </row>
  </sheetData>
  <mergeCells count="100">
    <mergeCell ref="A317:D317"/>
    <mergeCell ref="A373:D373"/>
    <mergeCell ref="A406:D406"/>
    <mergeCell ref="A423:D423"/>
    <mergeCell ref="A427:D427"/>
    <mergeCell ref="A318:E318"/>
    <mergeCell ref="A407:E407"/>
    <mergeCell ref="A130:D130"/>
    <mergeCell ref="A288:D288"/>
    <mergeCell ref="A164:D164"/>
    <mergeCell ref="A200:D200"/>
    <mergeCell ref="A264:D264"/>
    <mergeCell ref="A181:D181"/>
    <mergeCell ref="A165:E165"/>
    <mergeCell ref="A230:D230"/>
    <mergeCell ref="A201:E201"/>
    <mergeCell ref="A265:E265"/>
    <mergeCell ref="A102:E102"/>
    <mergeCell ref="A57:D57"/>
    <mergeCell ref="A64:D64"/>
    <mergeCell ref="A65:E65"/>
    <mergeCell ref="A75:D75"/>
    <mergeCell ref="A77:D77"/>
    <mergeCell ref="A78:E78"/>
    <mergeCell ref="A93:D93"/>
    <mergeCell ref="A101:D101"/>
    <mergeCell ref="A21:D21"/>
    <mergeCell ref="A49:D49"/>
    <mergeCell ref="A50:E50"/>
    <mergeCell ref="AT6:AW6"/>
    <mergeCell ref="BL3:BL7"/>
    <mergeCell ref="V4:AA4"/>
    <mergeCell ref="AB4:BA4"/>
    <mergeCell ref="BB4:BF4"/>
    <mergeCell ref="BG4:BK4"/>
    <mergeCell ref="V5:W5"/>
    <mergeCell ref="X5:Y5"/>
    <mergeCell ref="Z5:AA5"/>
    <mergeCell ref="AB5:AI5"/>
    <mergeCell ref="AJ5:AQ5"/>
    <mergeCell ref="AR5:BA5"/>
    <mergeCell ref="BB5:BB7"/>
    <mergeCell ref="BC5:BF6"/>
    <mergeCell ref="AA6:AA7"/>
    <mergeCell ref="AB6:AB7"/>
    <mergeCell ref="AX6:BA6"/>
    <mergeCell ref="AR6:AR7"/>
    <mergeCell ref="AS6:AS7"/>
    <mergeCell ref="AO6:AQ6"/>
    <mergeCell ref="M3:O5"/>
    <mergeCell ref="M6:M7"/>
    <mergeCell ref="A3:A7"/>
    <mergeCell ref="B3:B7"/>
    <mergeCell ref="D3:D7"/>
    <mergeCell ref="E3:E7"/>
    <mergeCell ref="F3:F7"/>
    <mergeCell ref="H3:H7"/>
    <mergeCell ref="K3:K7"/>
    <mergeCell ref="G3:G7"/>
    <mergeCell ref="J3:J7"/>
    <mergeCell ref="I3:I7"/>
    <mergeCell ref="L3:L7"/>
    <mergeCell ref="C3:C7"/>
    <mergeCell ref="R5:S5"/>
    <mergeCell ref="T5:U5"/>
    <mergeCell ref="W6:W7"/>
    <mergeCell ref="X6:X7"/>
    <mergeCell ref="Y6:Y7"/>
    <mergeCell ref="Z6:Z7"/>
    <mergeCell ref="AJ6:AJ7"/>
    <mergeCell ref="AK6:AK7"/>
    <mergeCell ref="AL6:AN6"/>
    <mergeCell ref="AC6:AC7"/>
    <mergeCell ref="P4:U4"/>
    <mergeCell ref="P3:BK3"/>
    <mergeCell ref="BH5:BK6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BG5:BG7"/>
    <mergeCell ref="AD6:AF6"/>
    <mergeCell ref="AG6:AI6"/>
    <mergeCell ref="P5:Q5"/>
    <mergeCell ref="A428:E428"/>
    <mergeCell ref="A429:F429"/>
    <mergeCell ref="A431:D431"/>
    <mergeCell ref="A432:D432"/>
    <mergeCell ref="A433:D433"/>
    <mergeCell ref="A440:D440"/>
    <mergeCell ref="A434:D434"/>
    <mergeCell ref="A435:D435"/>
    <mergeCell ref="A436:D436"/>
    <mergeCell ref="A438:D438"/>
    <mergeCell ref="A439:D439"/>
  </mergeCells>
  <phoneticPr fontId="16" type="noConversion"/>
  <dataValidations count="6">
    <dataValidation type="list" allowBlank="1" showInputMessage="1" showErrorMessage="1" sqref="E319:E372 E8:E20 E51:E56 E66:E74 E84:E92 E22:E48 E58:E63 E76 E289:E316 E94:E100 E131:E163 E166:E180 E182:E199 E212:E229 E266:E287 E103:E129 E231:E263 E374:E405 E79:E82 E202:E210 E408:E422 E424:E426" xr:uid="{55E70BA0-FBCD-40E3-A39D-A55CBC3E250C}">
      <formula1>"국립,공립,사립"</formula1>
    </dataValidation>
    <dataValidation type="list" allowBlank="1" showInputMessage="1" showErrorMessage="1" sqref="B13 B287:C287 B219:C220 B215:C215 B217:C217" xr:uid="{6E790BFB-381B-4CBF-B917-9CECF8D52971}">
      <formula1>"미추홀구,동구,옹진군,중구,부평구,남동구,연수구,서구,계양구,강화군"</formula1>
    </dataValidation>
    <dataValidation type="list" allowBlank="1" showInputMessage="1" showErrorMessage="1" sqref="B319:B372 B374:B405 B8:B12 B51:B56 B66:B74 B14:B20 B79:B92 B218:C218 B22:B48 B58:B63 B76 B289:C316 B94:B100 B166:B180 B231:C263 B103:B129 B266:C286 B146 B221:C229 B216:C216 B202:C210 B212:C214 B408:B422 B424:B426" xr:uid="{7515DD8F-C663-4445-89AB-49580C4FADAD}">
      <formula1>"미추홀구,동구,옹진군,중구,부평구,계양구,남동구,연수구,서구,강화군"</formula1>
    </dataValidation>
    <dataValidation type="list" allowBlank="1" showErrorMessage="1" sqref="E211" xr:uid="{A934A23E-F823-4B26-9396-D16EDCABE2CD}">
      <formula1>"국립,공립,사립"</formula1>
    </dataValidation>
    <dataValidation type="list" allowBlank="1" showErrorMessage="1" sqref="B211:C211" xr:uid="{600066BD-8519-4635-B799-F4329C0F234F}">
      <formula1>"미추홀구,동구,옹진군,중구,부평구,계양구,남동구,연수구,서구,강화군"</formula1>
    </dataValidation>
    <dataValidation type="list" allowBlank="1" showInputMessage="1" showErrorMessage="1" sqref="C8:C20 C51:C56 C66:C74 C79:C92 C22:C48 C58:C63 C76 C94:C100 C103:C129 C180 C166:C178 B131:C145 C146:C163 B147:B163 B182:C199 C319:C372 C374:C377 C379:C404 C408:C422 C424:C426" xr:uid="{3899244B-8AD1-4D1B-98ED-A3C6C796365A}">
      <formula1>"미추홀구,제물포구,영종구,옹진군,부평구,계양구,남동구,연수구,서구,검단구,강화군"</formula1>
    </dataValidation>
  </dataValidations>
  <pageMargins left="0.25" right="0.25" top="0.75" bottom="0.75" header="0.3" footer="0.3"/>
  <pageSetup paperSize="9" scale="23" fitToHeight="0" orientation="landscape" r:id="rId1"/>
  <ignoredErrors>
    <ignoredError sqref="AR21:AV21 AR130:AV130 AF427:AL428" formulaRange="1"/>
    <ignoredError sqref="AF21:AM21 BB21 AF57:AI57 AN57:AQ57 BB57 AF75:AI75 AN75:AQ75 AW75 BA75:BB75 AF93:AI93 AW93:BA93 AF130:AM130 BB130 AF181:BA181 BB181 AF288:BB288 AF373:BB373 AM423:AQ423 BB423" formula="1"/>
    <ignoredError sqref="AN21:AQ21 AW21:BA21 AW57:BA57 AN93:AQ93 AN130:AQ130 AW130:BA130 AF423:AL423 AW423:BA423" formula="1" formulaRange="1"/>
    <ignoredError sqref="BC77:BK78 BB101:BK102 BC427:BK428 BC49:BK50 BC64:BK65 BM409 BC264:BK265 BC200:BK201 BC317:BK318 BC164:BK165 BC406:BK407" unlockedFormula="1"/>
    <ignoredError sqref="BC21:BK21 BC57:BK57 BC75:BK75 BB93:BK93 BC130:BK130 BC181:BK181 BC288:BK288 BC373:BK373 BC423:BK423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322"/>
  <sheetViews>
    <sheetView zoomScale="93" zoomScaleNormal="93" workbookViewId="0">
      <pane ySplit="5" topLeftCell="A6" activePane="bottomLeft" state="frozen"/>
      <selection pane="bottomLeft" activeCell="C1" sqref="C1"/>
    </sheetView>
  </sheetViews>
  <sheetFormatPr defaultRowHeight="16.5"/>
  <cols>
    <col min="1" max="4" width="9.625" style="16" customWidth="1"/>
    <col min="5" max="5" width="25.625" style="16" customWidth="1"/>
    <col min="6" max="6" width="11" style="16" customWidth="1"/>
    <col min="7" max="7" width="40.625" style="16" customWidth="1"/>
    <col min="8" max="8" width="11.125" style="16" customWidth="1"/>
    <col min="9" max="9" width="8.625" style="16" customWidth="1"/>
    <col min="10" max="12" width="9.125" style="16" customWidth="1"/>
    <col min="13" max="21" width="7.625" style="16" customWidth="1"/>
    <col min="22" max="33" width="8.125" style="16" customWidth="1"/>
    <col min="34" max="35" width="8.625" style="16" customWidth="1"/>
    <col min="36" max="39" width="7.625" style="16" customWidth="1"/>
    <col min="40" max="40" width="23.125" style="16" customWidth="1"/>
  </cols>
  <sheetData>
    <row r="1" spans="1:40" s="23" customFormat="1" ht="26.25" customHeight="1">
      <c r="A1" s="17" t="s">
        <v>95</v>
      </c>
      <c r="B1" s="17"/>
      <c r="C1" s="17"/>
      <c r="D1" s="17"/>
      <c r="E1" s="17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s="3" customFormat="1" ht="20.100000000000001" customHeight="1">
      <c r="A2" s="11" t="s">
        <v>3243</v>
      </c>
      <c r="B2" s="24"/>
      <c r="C2" s="24"/>
      <c r="D2" s="24"/>
      <c r="E2" s="24"/>
      <c r="F2" s="25"/>
      <c r="G2" s="10"/>
      <c r="H2" s="27"/>
      <c r="I2" s="27"/>
      <c r="J2" s="27"/>
      <c r="K2" s="28"/>
      <c r="L2" s="28"/>
      <c r="M2" s="27"/>
      <c r="N2" s="27"/>
      <c r="O2" s="29"/>
      <c r="P2" s="29"/>
      <c r="Q2" s="29"/>
      <c r="R2" s="29"/>
      <c r="S2" s="29"/>
      <c r="T2" s="29"/>
      <c r="U2" s="29"/>
      <c r="V2" s="29"/>
      <c r="W2" s="12"/>
      <c r="X2" s="30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636" t="s">
        <v>145</v>
      </c>
      <c r="B3" s="1631" t="s">
        <v>159</v>
      </c>
      <c r="C3" s="1641" t="s">
        <v>4275</v>
      </c>
      <c r="D3" s="1631" t="s">
        <v>107</v>
      </c>
      <c r="E3" s="1631" t="s">
        <v>108</v>
      </c>
      <c r="F3" s="1631" t="s">
        <v>160</v>
      </c>
      <c r="G3" s="1631" t="s">
        <v>161</v>
      </c>
      <c r="H3" s="1638" t="s">
        <v>1733</v>
      </c>
      <c r="I3" s="1631" t="s">
        <v>111</v>
      </c>
      <c r="J3" s="1636" t="s">
        <v>162</v>
      </c>
      <c r="K3" s="1636" t="s">
        <v>150</v>
      </c>
      <c r="L3" s="1633" t="s">
        <v>172</v>
      </c>
      <c r="M3" s="1630" t="s">
        <v>35</v>
      </c>
      <c r="N3" s="1631"/>
      <c r="O3" s="1631"/>
      <c r="P3" s="1631"/>
      <c r="Q3" s="1631"/>
      <c r="R3" s="1631"/>
      <c r="S3" s="1631"/>
      <c r="T3" s="1631"/>
      <c r="U3" s="1632"/>
      <c r="V3" s="1630" t="s">
        <v>99</v>
      </c>
      <c r="W3" s="1631"/>
      <c r="X3" s="1631"/>
      <c r="Y3" s="1631"/>
      <c r="Z3" s="1631"/>
      <c r="AA3" s="1631"/>
      <c r="AB3" s="1631"/>
      <c r="AC3" s="1631"/>
      <c r="AD3" s="1631"/>
      <c r="AE3" s="1631"/>
      <c r="AF3" s="1631"/>
      <c r="AG3" s="1631"/>
      <c r="AH3" s="1631"/>
      <c r="AI3" s="1632"/>
      <c r="AJ3" s="1648" t="s">
        <v>100</v>
      </c>
      <c r="AK3" s="1649"/>
      <c r="AL3" s="1652" t="s">
        <v>137</v>
      </c>
      <c r="AM3" s="1653"/>
      <c r="AN3" s="1644" t="s">
        <v>0</v>
      </c>
    </row>
    <row r="4" spans="1:40" ht="15.75" customHeight="1">
      <c r="A4" s="1631"/>
      <c r="B4" s="1631"/>
      <c r="C4" s="1642"/>
      <c r="D4" s="1631"/>
      <c r="E4" s="1631"/>
      <c r="F4" s="1631"/>
      <c r="G4" s="1631"/>
      <c r="H4" s="1639"/>
      <c r="I4" s="1631"/>
      <c r="J4" s="1631"/>
      <c r="K4" s="1631"/>
      <c r="L4" s="1634"/>
      <c r="M4" s="1630"/>
      <c r="N4" s="1631"/>
      <c r="O4" s="1631"/>
      <c r="P4" s="1631"/>
      <c r="Q4" s="1631"/>
      <c r="R4" s="1631"/>
      <c r="S4" s="1631"/>
      <c r="T4" s="1631"/>
      <c r="U4" s="1632"/>
      <c r="V4" s="1630" t="s">
        <v>17</v>
      </c>
      <c r="W4" s="1631"/>
      <c r="X4" s="1631" t="s">
        <v>18</v>
      </c>
      <c r="Y4" s="1631"/>
      <c r="Z4" s="1631" t="s">
        <v>19</v>
      </c>
      <c r="AA4" s="1631"/>
      <c r="AB4" s="1631" t="s">
        <v>20</v>
      </c>
      <c r="AC4" s="1631"/>
      <c r="AD4" s="1631" t="s">
        <v>21</v>
      </c>
      <c r="AE4" s="1631"/>
      <c r="AF4" s="1631" t="s">
        <v>22</v>
      </c>
      <c r="AG4" s="1631"/>
      <c r="AH4" s="1646" t="s">
        <v>6</v>
      </c>
      <c r="AI4" s="1647"/>
      <c r="AJ4" s="1650"/>
      <c r="AK4" s="1651"/>
      <c r="AL4" s="1654"/>
      <c r="AM4" s="1655"/>
      <c r="AN4" s="1644"/>
    </row>
    <row r="5" spans="1:40" ht="17.25" thickBot="1">
      <c r="A5" s="1637"/>
      <c r="B5" s="1637"/>
      <c r="C5" s="1643"/>
      <c r="D5" s="1637"/>
      <c r="E5" s="1637"/>
      <c r="F5" s="1637"/>
      <c r="G5" s="1637"/>
      <c r="H5" s="1640"/>
      <c r="I5" s="1637"/>
      <c r="J5" s="1637"/>
      <c r="K5" s="1637"/>
      <c r="L5" s="1635"/>
      <c r="M5" s="44" t="s">
        <v>17</v>
      </c>
      <c r="N5" s="488" t="s">
        <v>18</v>
      </c>
      <c r="O5" s="488" t="s">
        <v>19</v>
      </c>
      <c r="P5" s="488" t="s">
        <v>20</v>
      </c>
      <c r="Q5" s="488" t="s">
        <v>21</v>
      </c>
      <c r="R5" s="488" t="s">
        <v>22</v>
      </c>
      <c r="S5" s="488" t="s">
        <v>163</v>
      </c>
      <c r="T5" s="488" t="s">
        <v>164</v>
      </c>
      <c r="U5" s="142" t="s">
        <v>1</v>
      </c>
      <c r="V5" s="44" t="s">
        <v>1</v>
      </c>
      <c r="W5" s="488" t="s">
        <v>24</v>
      </c>
      <c r="X5" s="488" t="s">
        <v>1</v>
      </c>
      <c r="Y5" s="488" t="s">
        <v>24</v>
      </c>
      <c r="Z5" s="488" t="s">
        <v>1</v>
      </c>
      <c r="AA5" s="488" t="s">
        <v>24</v>
      </c>
      <c r="AB5" s="488" t="s">
        <v>1</v>
      </c>
      <c r="AC5" s="488" t="s">
        <v>24</v>
      </c>
      <c r="AD5" s="488" t="s">
        <v>1</v>
      </c>
      <c r="AE5" s="488" t="s">
        <v>24</v>
      </c>
      <c r="AF5" s="488" t="s">
        <v>1</v>
      </c>
      <c r="AG5" s="488" t="s">
        <v>24</v>
      </c>
      <c r="AH5" s="143" t="s">
        <v>1</v>
      </c>
      <c r="AI5" s="142" t="s">
        <v>24</v>
      </c>
      <c r="AJ5" s="44" t="s">
        <v>41</v>
      </c>
      <c r="AK5" s="794" t="s">
        <v>82</v>
      </c>
      <c r="AL5" s="794" t="s">
        <v>91</v>
      </c>
      <c r="AM5" s="795" t="s">
        <v>92</v>
      </c>
      <c r="AN5" s="1645"/>
    </row>
    <row r="6" spans="1:40" ht="17.100000000000001" customHeight="1" thickTop="1">
      <c r="A6" s="168" t="s">
        <v>25</v>
      </c>
      <c r="B6" s="168" t="s">
        <v>130</v>
      </c>
      <c r="C6" s="168" t="s">
        <v>130</v>
      </c>
      <c r="D6" s="168" t="s">
        <v>4</v>
      </c>
      <c r="E6" s="168" t="s">
        <v>2196</v>
      </c>
      <c r="F6" s="71">
        <v>39508</v>
      </c>
      <c r="G6" s="50" t="s">
        <v>4144</v>
      </c>
      <c r="H6" s="72">
        <v>10201.1</v>
      </c>
      <c r="I6" s="52">
        <v>22144</v>
      </c>
      <c r="J6" s="53" t="s">
        <v>2197</v>
      </c>
      <c r="K6" s="53" t="s">
        <v>2198</v>
      </c>
      <c r="L6" s="54" t="s">
        <v>2199</v>
      </c>
      <c r="M6" s="734">
        <v>4</v>
      </c>
      <c r="N6" s="73">
        <v>5</v>
      </c>
      <c r="O6" s="73">
        <v>6</v>
      </c>
      <c r="P6" s="73">
        <v>7</v>
      </c>
      <c r="Q6" s="73">
        <v>6</v>
      </c>
      <c r="R6" s="73">
        <v>7</v>
      </c>
      <c r="S6" s="73">
        <v>2</v>
      </c>
      <c r="T6" s="73">
        <v>0</v>
      </c>
      <c r="U6" s="131">
        <f t="shared" ref="U6:U28" si="0">SUM(M6:T6)</f>
        <v>37</v>
      </c>
      <c r="V6" s="75">
        <v>102</v>
      </c>
      <c r="W6" s="73">
        <v>51</v>
      </c>
      <c r="X6" s="73">
        <v>125</v>
      </c>
      <c r="Y6" s="73">
        <v>53</v>
      </c>
      <c r="Z6" s="73">
        <v>148</v>
      </c>
      <c r="AA6" s="73">
        <v>71</v>
      </c>
      <c r="AB6" s="73">
        <v>162</v>
      </c>
      <c r="AC6" s="73">
        <v>82</v>
      </c>
      <c r="AD6" s="73">
        <v>150</v>
      </c>
      <c r="AE6" s="73">
        <v>63</v>
      </c>
      <c r="AF6" s="73">
        <v>169</v>
      </c>
      <c r="AG6" s="73">
        <v>77</v>
      </c>
      <c r="AH6" s="132">
        <f t="shared" ref="AH6:AI21" si="1">V6+X6+Z6+AB6+AD6+AF6</f>
        <v>856</v>
      </c>
      <c r="AI6" s="131">
        <f t="shared" si="1"/>
        <v>397</v>
      </c>
      <c r="AJ6" s="311">
        <v>10</v>
      </c>
      <c r="AK6" s="73">
        <v>10</v>
      </c>
      <c r="AL6" s="73">
        <v>0</v>
      </c>
      <c r="AM6" s="74">
        <v>0</v>
      </c>
      <c r="AN6" s="76"/>
    </row>
    <row r="7" spans="1:40" ht="17.100000000000001" customHeight="1">
      <c r="A7" s="168" t="s">
        <v>25</v>
      </c>
      <c r="B7" s="168" t="s">
        <v>130</v>
      </c>
      <c r="C7" s="168" t="s">
        <v>130</v>
      </c>
      <c r="D7" s="168" t="s">
        <v>4</v>
      </c>
      <c r="E7" s="168" t="s">
        <v>2200</v>
      </c>
      <c r="F7" s="71">
        <v>31837</v>
      </c>
      <c r="G7" s="50" t="s">
        <v>2201</v>
      </c>
      <c r="H7" s="72">
        <v>12563.7</v>
      </c>
      <c r="I7" s="52">
        <v>22240</v>
      </c>
      <c r="J7" s="53" t="s">
        <v>4145</v>
      </c>
      <c r="K7" s="53" t="s">
        <v>4146</v>
      </c>
      <c r="L7" s="54" t="s">
        <v>4147</v>
      </c>
      <c r="M7" s="734">
        <v>2</v>
      </c>
      <c r="N7" s="73">
        <v>2</v>
      </c>
      <c r="O7" s="73">
        <v>3</v>
      </c>
      <c r="P7" s="73">
        <v>3</v>
      </c>
      <c r="Q7" s="73">
        <v>3</v>
      </c>
      <c r="R7" s="73">
        <v>4</v>
      </c>
      <c r="S7" s="73">
        <v>2</v>
      </c>
      <c r="T7" s="73">
        <v>0</v>
      </c>
      <c r="U7" s="131">
        <f t="shared" si="0"/>
        <v>19</v>
      </c>
      <c r="V7" s="75">
        <v>42</v>
      </c>
      <c r="W7" s="73">
        <v>19</v>
      </c>
      <c r="X7" s="73">
        <v>48</v>
      </c>
      <c r="Y7" s="73">
        <v>19</v>
      </c>
      <c r="Z7" s="73">
        <v>54</v>
      </c>
      <c r="AA7" s="73">
        <v>28</v>
      </c>
      <c r="AB7" s="73">
        <v>76</v>
      </c>
      <c r="AC7" s="73">
        <v>36</v>
      </c>
      <c r="AD7" s="73">
        <v>74</v>
      </c>
      <c r="AE7" s="73">
        <v>36</v>
      </c>
      <c r="AF7" s="73">
        <v>93</v>
      </c>
      <c r="AG7" s="73">
        <v>49</v>
      </c>
      <c r="AH7" s="132">
        <f t="shared" si="1"/>
        <v>387</v>
      </c>
      <c r="AI7" s="131">
        <f t="shared" si="1"/>
        <v>187</v>
      </c>
      <c r="AJ7" s="311">
        <v>13</v>
      </c>
      <c r="AK7" s="73">
        <v>5</v>
      </c>
      <c r="AL7" s="73">
        <v>0</v>
      </c>
      <c r="AM7" s="74">
        <v>0</v>
      </c>
      <c r="AN7" s="76"/>
    </row>
    <row r="8" spans="1:40" ht="17.100000000000001" customHeight="1">
      <c r="A8" s="168" t="s">
        <v>25</v>
      </c>
      <c r="B8" s="168" t="s">
        <v>130</v>
      </c>
      <c r="C8" s="168" t="s">
        <v>130</v>
      </c>
      <c r="D8" s="168" t="s">
        <v>4</v>
      </c>
      <c r="E8" s="168" t="s">
        <v>2202</v>
      </c>
      <c r="F8" s="71">
        <v>28551</v>
      </c>
      <c r="G8" s="50" t="s">
        <v>4148</v>
      </c>
      <c r="H8" s="72">
        <v>10613</v>
      </c>
      <c r="I8" s="52">
        <v>22214</v>
      </c>
      <c r="J8" s="53" t="s">
        <v>4149</v>
      </c>
      <c r="K8" s="53" t="s">
        <v>2203</v>
      </c>
      <c r="L8" s="54" t="s">
        <v>4150</v>
      </c>
      <c r="M8" s="734">
        <v>2</v>
      </c>
      <c r="N8" s="73">
        <v>2</v>
      </c>
      <c r="O8" s="73">
        <v>2</v>
      </c>
      <c r="P8" s="73">
        <v>3</v>
      </c>
      <c r="Q8" s="73">
        <v>4</v>
      </c>
      <c r="R8" s="73">
        <v>2</v>
      </c>
      <c r="S8" s="73">
        <v>3</v>
      </c>
      <c r="T8" s="73">
        <v>0</v>
      </c>
      <c r="U8" s="131">
        <f t="shared" si="0"/>
        <v>18</v>
      </c>
      <c r="V8" s="75">
        <v>36</v>
      </c>
      <c r="W8" s="73">
        <v>14</v>
      </c>
      <c r="X8" s="73">
        <v>35</v>
      </c>
      <c r="Y8" s="73">
        <v>19</v>
      </c>
      <c r="Z8" s="73">
        <v>42</v>
      </c>
      <c r="AA8" s="73">
        <v>17</v>
      </c>
      <c r="AB8" s="73">
        <v>53</v>
      </c>
      <c r="AC8" s="73">
        <v>28</v>
      </c>
      <c r="AD8" s="73">
        <v>81</v>
      </c>
      <c r="AE8" s="73">
        <v>40</v>
      </c>
      <c r="AF8" s="73">
        <v>50</v>
      </c>
      <c r="AG8" s="73">
        <v>27</v>
      </c>
      <c r="AH8" s="132">
        <f t="shared" si="1"/>
        <v>297</v>
      </c>
      <c r="AI8" s="131">
        <f t="shared" si="1"/>
        <v>145</v>
      </c>
      <c r="AJ8" s="75">
        <v>13</v>
      </c>
      <c r="AK8" s="73">
        <v>4</v>
      </c>
      <c r="AL8" s="73">
        <v>0</v>
      </c>
      <c r="AM8" s="74">
        <v>0</v>
      </c>
      <c r="AN8" s="76"/>
    </row>
    <row r="9" spans="1:40" ht="17.100000000000001" customHeight="1">
      <c r="A9" s="168" t="s">
        <v>25</v>
      </c>
      <c r="B9" s="168" t="s">
        <v>130</v>
      </c>
      <c r="C9" s="168" t="s">
        <v>130</v>
      </c>
      <c r="D9" s="168" t="s">
        <v>4</v>
      </c>
      <c r="E9" s="168" t="s">
        <v>2204</v>
      </c>
      <c r="F9" s="71">
        <v>34394</v>
      </c>
      <c r="G9" s="50" t="s">
        <v>4151</v>
      </c>
      <c r="H9" s="72">
        <v>11867</v>
      </c>
      <c r="I9" s="52">
        <v>22116</v>
      </c>
      <c r="J9" s="53" t="s">
        <v>2205</v>
      </c>
      <c r="K9" s="53" t="s">
        <v>2206</v>
      </c>
      <c r="L9" s="54" t="s">
        <v>2207</v>
      </c>
      <c r="M9" s="734">
        <v>1</v>
      </c>
      <c r="N9" s="73">
        <v>2</v>
      </c>
      <c r="O9" s="73">
        <v>3</v>
      </c>
      <c r="P9" s="73">
        <v>3</v>
      </c>
      <c r="Q9" s="73">
        <v>3</v>
      </c>
      <c r="R9" s="73">
        <v>3</v>
      </c>
      <c r="S9" s="73">
        <v>3</v>
      </c>
      <c r="T9" s="73">
        <v>0</v>
      </c>
      <c r="U9" s="131">
        <f t="shared" si="0"/>
        <v>18</v>
      </c>
      <c r="V9" s="75">
        <v>23</v>
      </c>
      <c r="W9" s="73">
        <v>19</v>
      </c>
      <c r="X9" s="73">
        <v>38</v>
      </c>
      <c r="Y9" s="73">
        <v>23</v>
      </c>
      <c r="Z9" s="73">
        <v>51</v>
      </c>
      <c r="AA9" s="73">
        <v>26</v>
      </c>
      <c r="AB9" s="73">
        <v>51</v>
      </c>
      <c r="AC9" s="73">
        <v>28</v>
      </c>
      <c r="AD9" s="73">
        <v>51</v>
      </c>
      <c r="AE9" s="73">
        <v>25</v>
      </c>
      <c r="AF9" s="73">
        <v>74</v>
      </c>
      <c r="AG9" s="73">
        <v>36</v>
      </c>
      <c r="AH9" s="132">
        <f t="shared" si="1"/>
        <v>288</v>
      </c>
      <c r="AI9" s="131">
        <f t="shared" si="1"/>
        <v>157</v>
      </c>
      <c r="AJ9" s="75">
        <v>15</v>
      </c>
      <c r="AK9" s="73">
        <v>6</v>
      </c>
      <c r="AL9" s="73">
        <v>0</v>
      </c>
      <c r="AM9" s="74">
        <v>0</v>
      </c>
      <c r="AN9" s="76"/>
    </row>
    <row r="10" spans="1:40" ht="17.100000000000001" customHeight="1">
      <c r="A10" s="167" t="s">
        <v>25</v>
      </c>
      <c r="B10" s="167" t="s">
        <v>130</v>
      </c>
      <c r="C10" s="167" t="s">
        <v>130</v>
      </c>
      <c r="D10" s="167" t="s">
        <v>4</v>
      </c>
      <c r="E10" s="168" t="s">
        <v>4152</v>
      </c>
      <c r="F10" s="1055">
        <v>17069</v>
      </c>
      <c r="G10" s="1056" t="s">
        <v>4153</v>
      </c>
      <c r="H10" s="1057">
        <v>12366.3</v>
      </c>
      <c r="I10" s="1058">
        <v>22165</v>
      </c>
      <c r="J10" s="1056" t="s">
        <v>4154</v>
      </c>
      <c r="K10" s="1056" t="s">
        <v>4155</v>
      </c>
      <c r="L10" s="1059" t="s">
        <v>4156</v>
      </c>
      <c r="M10" s="736">
        <v>5</v>
      </c>
      <c r="N10" s="78">
        <v>5</v>
      </c>
      <c r="O10" s="78">
        <v>6</v>
      </c>
      <c r="P10" s="78">
        <v>6</v>
      </c>
      <c r="Q10" s="78">
        <v>6</v>
      </c>
      <c r="R10" s="78">
        <v>6</v>
      </c>
      <c r="S10" s="78">
        <v>4</v>
      </c>
      <c r="T10" s="73">
        <v>0</v>
      </c>
      <c r="U10" s="721">
        <f t="shared" si="0"/>
        <v>38</v>
      </c>
      <c r="V10" s="79">
        <v>115</v>
      </c>
      <c r="W10" s="78">
        <v>47</v>
      </c>
      <c r="X10" s="78">
        <v>112</v>
      </c>
      <c r="Y10" s="78">
        <v>47</v>
      </c>
      <c r="Z10" s="78">
        <v>136</v>
      </c>
      <c r="AA10" s="78">
        <v>68</v>
      </c>
      <c r="AB10" s="78">
        <v>137</v>
      </c>
      <c r="AC10" s="78">
        <v>70</v>
      </c>
      <c r="AD10" s="78">
        <v>144</v>
      </c>
      <c r="AE10" s="78">
        <v>83</v>
      </c>
      <c r="AF10" s="78">
        <v>140</v>
      </c>
      <c r="AG10" s="78">
        <v>67</v>
      </c>
      <c r="AH10" s="722">
        <f t="shared" si="1"/>
        <v>784</v>
      </c>
      <c r="AI10" s="721">
        <f t="shared" si="1"/>
        <v>382</v>
      </c>
      <c r="AJ10" s="79">
        <v>22</v>
      </c>
      <c r="AK10" s="78">
        <v>7</v>
      </c>
      <c r="AL10" s="73">
        <v>0</v>
      </c>
      <c r="AM10" s="74">
        <v>0</v>
      </c>
      <c r="AN10" s="731"/>
    </row>
    <row r="11" spans="1:40" ht="17.100000000000001" customHeight="1">
      <c r="A11" s="168" t="s">
        <v>25</v>
      </c>
      <c r="B11" s="168" t="s">
        <v>130</v>
      </c>
      <c r="C11" s="168" t="s">
        <v>130</v>
      </c>
      <c r="D11" s="168" t="s">
        <v>4</v>
      </c>
      <c r="E11" s="168" t="s">
        <v>2209</v>
      </c>
      <c r="F11" s="71">
        <v>6694</v>
      </c>
      <c r="G11" s="50" t="s">
        <v>2210</v>
      </c>
      <c r="H11" s="72">
        <v>21350</v>
      </c>
      <c r="I11" s="52">
        <v>22233</v>
      </c>
      <c r="J11" s="53" t="s">
        <v>2211</v>
      </c>
      <c r="K11" s="53" t="s">
        <v>2212</v>
      </c>
      <c r="L11" s="54" t="s">
        <v>2213</v>
      </c>
      <c r="M11" s="734">
        <v>3</v>
      </c>
      <c r="N11" s="73">
        <v>3</v>
      </c>
      <c r="O11" s="73">
        <v>3</v>
      </c>
      <c r="P11" s="73">
        <v>4</v>
      </c>
      <c r="Q11" s="73">
        <v>4</v>
      </c>
      <c r="R11" s="73">
        <v>5</v>
      </c>
      <c r="S11" s="73">
        <v>3</v>
      </c>
      <c r="T11" s="73">
        <v>0</v>
      </c>
      <c r="U11" s="131">
        <f t="shared" si="0"/>
        <v>25</v>
      </c>
      <c r="V11" s="75">
        <v>51</v>
      </c>
      <c r="W11" s="73">
        <v>25</v>
      </c>
      <c r="X11" s="73">
        <v>70</v>
      </c>
      <c r="Y11" s="73">
        <v>33</v>
      </c>
      <c r="Z11" s="73">
        <v>70</v>
      </c>
      <c r="AA11" s="73">
        <v>36</v>
      </c>
      <c r="AB11" s="73">
        <v>82</v>
      </c>
      <c r="AC11" s="73">
        <v>34</v>
      </c>
      <c r="AD11" s="73">
        <v>97</v>
      </c>
      <c r="AE11" s="73">
        <v>49</v>
      </c>
      <c r="AF11" s="73">
        <v>110</v>
      </c>
      <c r="AG11" s="73">
        <v>58</v>
      </c>
      <c r="AH11" s="132">
        <f t="shared" si="1"/>
        <v>480</v>
      </c>
      <c r="AI11" s="131">
        <f t="shared" si="1"/>
        <v>235</v>
      </c>
      <c r="AJ11" s="75">
        <v>17</v>
      </c>
      <c r="AK11" s="73">
        <v>4</v>
      </c>
      <c r="AL11" s="73">
        <v>0</v>
      </c>
      <c r="AM11" s="74">
        <v>0</v>
      </c>
      <c r="AN11" s="76"/>
    </row>
    <row r="12" spans="1:40" ht="17.100000000000001" customHeight="1">
      <c r="A12" s="168" t="s">
        <v>25</v>
      </c>
      <c r="B12" s="168" t="s">
        <v>130</v>
      </c>
      <c r="C12" s="168" t="s">
        <v>130</v>
      </c>
      <c r="D12" s="168" t="s">
        <v>4</v>
      </c>
      <c r="E12" s="168" t="s">
        <v>2214</v>
      </c>
      <c r="F12" s="71">
        <v>32933</v>
      </c>
      <c r="G12" s="50" t="s">
        <v>4157</v>
      </c>
      <c r="H12" s="140">
        <v>12590</v>
      </c>
      <c r="I12" s="52">
        <v>22226</v>
      </c>
      <c r="J12" s="53" t="s">
        <v>2215</v>
      </c>
      <c r="K12" s="53" t="s">
        <v>2216</v>
      </c>
      <c r="L12" s="54" t="s">
        <v>2217</v>
      </c>
      <c r="M12" s="734">
        <v>2</v>
      </c>
      <c r="N12" s="78">
        <v>3</v>
      </c>
      <c r="O12" s="78">
        <v>2</v>
      </c>
      <c r="P12" s="78">
        <v>2</v>
      </c>
      <c r="Q12" s="78">
        <v>2</v>
      </c>
      <c r="R12" s="78">
        <v>2</v>
      </c>
      <c r="S12" s="78">
        <v>3</v>
      </c>
      <c r="T12" s="73">
        <v>0</v>
      </c>
      <c r="U12" s="131">
        <f t="shared" si="0"/>
        <v>16</v>
      </c>
      <c r="V12" s="79">
        <v>38</v>
      </c>
      <c r="W12" s="78">
        <v>17</v>
      </c>
      <c r="X12" s="78">
        <v>61</v>
      </c>
      <c r="Y12" s="78">
        <v>34</v>
      </c>
      <c r="Z12" s="78">
        <v>41</v>
      </c>
      <c r="AA12" s="78">
        <v>20</v>
      </c>
      <c r="AB12" s="78">
        <v>45</v>
      </c>
      <c r="AC12" s="78">
        <v>17</v>
      </c>
      <c r="AD12" s="78">
        <v>47</v>
      </c>
      <c r="AE12" s="78">
        <v>21</v>
      </c>
      <c r="AF12" s="78">
        <v>53</v>
      </c>
      <c r="AG12" s="78">
        <v>27</v>
      </c>
      <c r="AH12" s="132">
        <f t="shared" si="1"/>
        <v>285</v>
      </c>
      <c r="AI12" s="131">
        <f t="shared" si="1"/>
        <v>136</v>
      </c>
      <c r="AJ12" s="79">
        <v>16</v>
      </c>
      <c r="AK12" s="78">
        <v>8</v>
      </c>
      <c r="AL12" s="73">
        <v>0</v>
      </c>
      <c r="AM12" s="74">
        <v>0</v>
      </c>
      <c r="AN12" s="731"/>
    </row>
    <row r="13" spans="1:40" ht="17.100000000000001" customHeight="1">
      <c r="A13" s="168" t="s">
        <v>25</v>
      </c>
      <c r="B13" s="168" t="s">
        <v>130</v>
      </c>
      <c r="C13" s="168" t="s">
        <v>130</v>
      </c>
      <c r="D13" s="168" t="s">
        <v>4</v>
      </c>
      <c r="E13" s="168" t="s">
        <v>2218</v>
      </c>
      <c r="F13" s="71">
        <v>24533</v>
      </c>
      <c r="G13" s="50" t="s">
        <v>2219</v>
      </c>
      <c r="H13" s="72">
        <v>19126</v>
      </c>
      <c r="I13" s="52">
        <v>22114</v>
      </c>
      <c r="J13" s="53" t="s">
        <v>2220</v>
      </c>
      <c r="K13" s="53" t="s">
        <v>2221</v>
      </c>
      <c r="L13" s="54" t="s">
        <v>2222</v>
      </c>
      <c r="M13" s="734">
        <v>8</v>
      </c>
      <c r="N13" s="73">
        <v>8</v>
      </c>
      <c r="O13" s="73">
        <v>9</v>
      </c>
      <c r="P13" s="73">
        <v>9</v>
      </c>
      <c r="Q13" s="73">
        <v>9</v>
      </c>
      <c r="R13" s="73">
        <v>9</v>
      </c>
      <c r="S13" s="73">
        <v>5</v>
      </c>
      <c r="T13" s="73">
        <v>0</v>
      </c>
      <c r="U13" s="131">
        <f t="shared" si="0"/>
        <v>57</v>
      </c>
      <c r="V13" s="75">
        <v>194</v>
      </c>
      <c r="W13" s="73">
        <v>104</v>
      </c>
      <c r="X13" s="73">
        <v>209</v>
      </c>
      <c r="Y13" s="73">
        <v>99</v>
      </c>
      <c r="Z13" s="73">
        <v>215</v>
      </c>
      <c r="AA13" s="73">
        <v>107</v>
      </c>
      <c r="AB13" s="73">
        <v>226</v>
      </c>
      <c r="AC13" s="73">
        <v>118</v>
      </c>
      <c r="AD13" s="73">
        <v>228</v>
      </c>
      <c r="AE13" s="73">
        <v>99</v>
      </c>
      <c r="AF13" s="73">
        <v>210</v>
      </c>
      <c r="AG13" s="73">
        <v>105</v>
      </c>
      <c r="AH13" s="132">
        <f t="shared" si="1"/>
        <v>1282</v>
      </c>
      <c r="AI13" s="131">
        <f t="shared" si="1"/>
        <v>632</v>
      </c>
      <c r="AJ13" s="311">
        <v>26</v>
      </c>
      <c r="AK13" s="73">
        <v>9</v>
      </c>
      <c r="AL13" s="73">
        <v>0</v>
      </c>
      <c r="AM13" s="74">
        <v>0</v>
      </c>
      <c r="AN13" s="76"/>
    </row>
    <row r="14" spans="1:40" ht="17.100000000000001" customHeight="1">
      <c r="A14" s="167" t="s">
        <v>25</v>
      </c>
      <c r="B14" s="167" t="s">
        <v>130</v>
      </c>
      <c r="C14" s="168" t="s">
        <v>130</v>
      </c>
      <c r="D14" s="167" t="s">
        <v>4</v>
      </c>
      <c r="E14" s="168" t="s">
        <v>2223</v>
      </c>
      <c r="F14" s="71">
        <v>25263</v>
      </c>
      <c r="G14" s="50" t="s">
        <v>2224</v>
      </c>
      <c r="H14" s="140">
        <v>14457</v>
      </c>
      <c r="I14" s="52">
        <v>22134</v>
      </c>
      <c r="J14" s="53" t="s">
        <v>2225</v>
      </c>
      <c r="K14" s="53" t="s">
        <v>2225</v>
      </c>
      <c r="L14" s="54" t="s">
        <v>2226</v>
      </c>
      <c r="M14" s="735">
        <v>6</v>
      </c>
      <c r="N14" s="739">
        <v>6</v>
      </c>
      <c r="O14" s="739">
        <v>7</v>
      </c>
      <c r="P14" s="739">
        <v>8</v>
      </c>
      <c r="Q14" s="739">
        <v>7</v>
      </c>
      <c r="R14" s="739">
        <v>7</v>
      </c>
      <c r="S14" s="739">
        <v>5</v>
      </c>
      <c r="T14" s="739">
        <v>1</v>
      </c>
      <c r="U14" s="131">
        <f t="shared" si="0"/>
        <v>47</v>
      </c>
      <c r="V14" s="75">
        <v>113</v>
      </c>
      <c r="W14" s="73">
        <v>57</v>
      </c>
      <c r="X14" s="73">
        <v>126</v>
      </c>
      <c r="Y14" s="73">
        <v>73</v>
      </c>
      <c r="Z14" s="73">
        <v>151</v>
      </c>
      <c r="AA14" s="73">
        <v>76</v>
      </c>
      <c r="AB14" s="73">
        <v>163</v>
      </c>
      <c r="AC14" s="73">
        <v>74</v>
      </c>
      <c r="AD14" s="73">
        <v>166</v>
      </c>
      <c r="AE14" s="73">
        <v>83</v>
      </c>
      <c r="AF14" s="73">
        <v>156</v>
      </c>
      <c r="AG14" s="73">
        <v>75</v>
      </c>
      <c r="AH14" s="132">
        <f t="shared" si="1"/>
        <v>875</v>
      </c>
      <c r="AI14" s="131">
        <f t="shared" si="1"/>
        <v>438</v>
      </c>
      <c r="AJ14" s="311">
        <v>32</v>
      </c>
      <c r="AK14" s="73">
        <v>10</v>
      </c>
      <c r="AL14" s="73">
        <v>17</v>
      </c>
      <c r="AM14" s="80">
        <v>8</v>
      </c>
      <c r="AN14" s="731"/>
    </row>
    <row r="15" spans="1:40" ht="17.100000000000001" customHeight="1">
      <c r="A15" s="168" t="s">
        <v>25</v>
      </c>
      <c r="B15" s="168" t="s">
        <v>130</v>
      </c>
      <c r="C15" s="168" t="s">
        <v>130</v>
      </c>
      <c r="D15" s="168" t="s">
        <v>4</v>
      </c>
      <c r="E15" s="168" t="s">
        <v>2227</v>
      </c>
      <c r="F15" s="71">
        <v>13859</v>
      </c>
      <c r="G15" s="50" t="s">
        <v>4158</v>
      </c>
      <c r="H15" s="72">
        <v>15389</v>
      </c>
      <c r="I15" s="52">
        <v>22163</v>
      </c>
      <c r="J15" s="53" t="s">
        <v>4159</v>
      </c>
      <c r="K15" s="53" t="s">
        <v>4159</v>
      </c>
      <c r="L15" s="54" t="s">
        <v>4160</v>
      </c>
      <c r="M15" s="734">
        <v>7</v>
      </c>
      <c r="N15" s="73">
        <v>8</v>
      </c>
      <c r="O15" s="73">
        <v>8</v>
      </c>
      <c r="P15" s="73">
        <v>9</v>
      </c>
      <c r="Q15" s="73">
        <v>9</v>
      </c>
      <c r="R15" s="73">
        <v>8</v>
      </c>
      <c r="S15" s="73">
        <v>6</v>
      </c>
      <c r="T15" s="73">
        <v>0</v>
      </c>
      <c r="U15" s="131">
        <f t="shared" si="0"/>
        <v>55</v>
      </c>
      <c r="V15" s="75">
        <v>185</v>
      </c>
      <c r="W15" s="73">
        <v>92</v>
      </c>
      <c r="X15" s="73">
        <v>197</v>
      </c>
      <c r="Y15" s="73">
        <v>88</v>
      </c>
      <c r="Z15" s="73">
        <v>204</v>
      </c>
      <c r="AA15" s="73">
        <v>82</v>
      </c>
      <c r="AB15" s="73">
        <v>222</v>
      </c>
      <c r="AC15" s="73">
        <v>112</v>
      </c>
      <c r="AD15" s="73">
        <v>231</v>
      </c>
      <c r="AE15" s="73">
        <v>105</v>
      </c>
      <c r="AF15" s="73">
        <v>207</v>
      </c>
      <c r="AG15" s="73">
        <v>100</v>
      </c>
      <c r="AH15" s="132">
        <f t="shared" si="1"/>
        <v>1246</v>
      </c>
      <c r="AI15" s="131">
        <f t="shared" si="1"/>
        <v>579</v>
      </c>
      <c r="AJ15" s="75">
        <v>33</v>
      </c>
      <c r="AK15" s="73">
        <v>7</v>
      </c>
      <c r="AL15" s="73">
        <v>0</v>
      </c>
      <c r="AM15" s="74">
        <v>0</v>
      </c>
      <c r="AN15" s="76"/>
    </row>
    <row r="16" spans="1:40" ht="17.100000000000001" customHeight="1">
      <c r="A16" s="168" t="s">
        <v>25</v>
      </c>
      <c r="B16" s="168" t="s">
        <v>130</v>
      </c>
      <c r="C16" s="168" t="s">
        <v>130</v>
      </c>
      <c r="D16" s="168" t="s">
        <v>4</v>
      </c>
      <c r="E16" s="168" t="s">
        <v>2228</v>
      </c>
      <c r="F16" s="71">
        <v>33664</v>
      </c>
      <c r="G16" s="50" t="s">
        <v>2229</v>
      </c>
      <c r="H16" s="77">
        <v>11499</v>
      </c>
      <c r="I16" s="52">
        <v>22241</v>
      </c>
      <c r="J16" s="53" t="s">
        <v>2230</v>
      </c>
      <c r="K16" s="53" t="s">
        <v>2231</v>
      </c>
      <c r="L16" s="54" t="s">
        <v>2232</v>
      </c>
      <c r="M16" s="734">
        <v>2</v>
      </c>
      <c r="N16" s="73">
        <v>2</v>
      </c>
      <c r="O16" s="73">
        <v>2</v>
      </c>
      <c r="P16" s="73">
        <v>2</v>
      </c>
      <c r="Q16" s="73">
        <v>3</v>
      </c>
      <c r="R16" s="73">
        <v>3</v>
      </c>
      <c r="S16" s="73">
        <v>2</v>
      </c>
      <c r="T16" s="73">
        <v>0</v>
      </c>
      <c r="U16" s="131">
        <f t="shared" si="0"/>
        <v>16</v>
      </c>
      <c r="V16" s="75">
        <v>27</v>
      </c>
      <c r="W16" s="73">
        <v>15</v>
      </c>
      <c r="X16" s="73">
        <v>37</v>
      </c>
      <c r="Y16" s="73">
        <v>20</v>
      </c>
      <c r="Z16" s="73">
        <v>43</v>
      </c>
      <c r="AA16" s="73">
        <v>23</v>
      </c>
      <c r="AB16" s="73">
        <v>47</v>
      </c>
      <c r="AC16" s="73">
        <v>24</v>
      </c>
      <c r="AD16" s="73">
        <v>68</v>
      </c>
      <c r="AE16" s="73">
        <v>31</v>
      </c>
      <c r="AF16" s="73">
        <v>79</v>
      </c>
      <c r="AG16" s="73">
        <v>34</v>
      </c>
      <c r="AH16" s="132">
        <f t="shared" si="1"/>
        <v>301</v>
      </c>
      <c r="AI16" s="131">
        <f t="shared" si="1"/>
        <v>147</v>
      </c>
      <c r="AJ16" s="311">
        <v>9</v>
      </c>
      <c r="AK16" s="73">
        <v>4</v>
      </c>
      <c r="AL16" s="73">
        <v>0</v>
      </c>
      <c r="AM16" s="74">
        <v>0</v>
      </c>
      <c r="AN16" s="76"/>
    </row>
    <row r="17" spans="1:40" ht="17.100000000000001" customHeight="1">
      <c r="A17" s="168" t="s">
        <v>4161</v>
      </c>
      <c r="B17" s="168" t="s">
        <v>130</v>
      </c>
      <c r="C17" s="168" t="s">
        <v>130</v>
      </c>
      <c r="D17" s="168" t="s">
        <v>4</v>
      </c>
      <c r="E17" s="168" t="s">
        <v>2233</v>
      </c>
      <c r="F17" s="71">
        <v>30376</v>
      </c>
      <c r="G17" s="50" t="s">
        <v>2234</v>
      </c>
      <c r="H17" s="72">
        <v>12588</v>
      </c>
      <c r="I17" s="52">
        <v>22222</v>
      </c>
      <c r="J17" s="53" t="s">
        <v>4162</v>
      </c>
      <c r="K17" s="53" t="s">
        <v>4163</v>
      </c>
      <c r="L17" s="54" t="s">
        <v>4164</v>
      </c>
      <c r="M17" s="734">
        <v>4</v>
      </c>
      <c r="N17" s="73">
        <v>4</v>
      </c>
      <c r="O17" s="73">
        <v>3</v>
      </c>
      <c r="P17" s="73">
        <v>3</v>
      </c>
      <c r="Q17" s="73">
        <v>3</v>
      </c>
      <c r="R17" s="73">
        <v>3</v>
      </c>
      <c r="S17" s="73">
        <v>2</v>
      </c>
      <c r="T17" s="73">
        <v>0</v>
      </c>
      <c r="U17" s="131">
        <f t="shared" si="0"/>
        <v>22</v>
      </c>
      <c r="V17" s="75">
        <v>75</v>
      </c>
      <c r="W17" s="73">
        <v>46</v>
      </c>
      <c r="X17" s="73">
        <v>70</v>
      </c>
      <c r="Y17" s="73">
        <v>29</v>
      </c>
      <c r="Z17" s="73">
        <v>60</v>
      </c>
      <c r="AA17" s="73">
        <v>30</v>
      </c>
      <c r="AB17" s="73">
        <v>59</v>
      </c>
      <c r="AC17" s="73">
        <v>26</v>
      </c>
      <c r="AD17" s="73">
        <v>61</v>
      </c>
      <c r="AE17" s="73">
        <v>32</v>
      </c>
      <c r="AF17" s="73">
        <v>58</v>
      </c>
      <c r="AG17" s="73">
        <v>33</v>
      </c>
      <c r="AH17" s="132">
        <f t="shared" si="1"/>
        <v>383</v>
      </c>
      <c r="AI17" s="131">
        <f t="shared" si="1"/>
        <v>196</v>
      </c>
      <c r="AJ17" s="311">
        <v>12</v>
      </c>
      <c r="AK17" s="73">
        <v>3</v>
      </c>
      <c r="AL17" s="73">
        <v>0</v>
      </c>
      <c r="AM17" s="74">
        <v>0</v>
      </c>
      <c r="AN17" s="76"/>
    </row>
    <row r="18" spans="1:40" ht="17.100000000000001" customHeight="1">
      <c r="A18" s="168" t="s">
        <v>25</v>
      </c>
      <c r="B18" s="168" t="s">
        <v>130</v>
      </c>
      <c r="C18" s="168" t="s">
        <v>130</v>
      </c>
      <c r="D18" s="168" t="s">
        <v>4</v>
      </c>
      <c r="E18" s="168" t="s">
        <v>4165</v>
      </c>
      <c r="F18" s="71">
        <v>22955</v>
      </c>
      <c r="G18" s="50" t="s">
        <v>4166</v>
      </c>
      <c r="H18" s="140">
        <v>15883</v>
      </c>
      <c r="I18" s="52">
        <v>22208</v>
      </c>
      <c r="J18" s="53" t="s">
        <v>4167</v>
      </c>
      <c r="K18" s="53" t="s">
        <v>4167</v>
      </c>
      <c r="L18" s="54" t="s">
        <v>4168</v>
      </c>
      <c r="M18" s="734">
        <v>2</v>
      </c>
      <c r="N18" s="78">
        <v>3</v>
      </c>
      <c r="O18" s="78">
        <v>2</v>
      </c>
      <c r="P18" s="78">
        <v>3</v>
      </c>
      <c r="Q18" s="78">
        <v>3</v>
      </c>
      <c r="R18" s="73">
        <v>2</v>
      </c>
      <c r="S18" s="73">
        <v>4</v>
      </c>
      <c r="T18" s="73">
        <v>0</v>
      </c>
      <c r="U18" s="131">
        <f t="shared" si="0"/>
        <v>19</v>
      </c>
      <c r="V18" s="75">
        <v>49</v>
      </c>
      <c r="W18" s="78">
        <v>22</v>
      </c>
      <c r="X18" s="78">
        <v>53</v>
      </c>
      <c r="Y18" s="78">
        <v>21</v>
      </c>
      <c r="Z18" s="78">
        <v>43</v>
      </c>
      <c r="AA18" s="78">
        <v>15</v>
      </c>
      <c r="AB18" s="78">
        <v>65</v>
      </c>
      <c r="AC18" s="78">
        <v>39</v>
      </c>
      <c r="AD18" s="78">
        <v>68</v>
      </c>
      <c r="AE18" s="78">
        <v>36</v>
      </c>
      <c r="AF18" s="78">
        <v>46</v>
      </c>
      <c r="AG18" s="78">
        <v>20</v>
      </c>
      <c r="AH18" s="132">
        <f t="shared" si="1"/>
        <v>324</v>
      </c>
      <c r="AI18" s="131">
        <f t="shared" si="1"/>
        <v>153</v>
      </c>
      <c r="AJ18" s="314">
        <v>18</v>
      </c>
      <c r="AK18" s="78">
        <v>5</v>
      </c>
      <c r="AL18" s="73">
        <v>0</v>
      </c>
      <c r="AM18" s="74">
        <v>0</v>
      </c>
      <c r="AN18" s="731"/>
    </row>
    <row r="19" spans="1:40" ht="17.100000000000001" customHeight="1">
      <c r="A19" s="168" t="s">
        <v>25</v>
      </c>
      <c r="B19" s="168" t="s">
        <v>130</v>
      </c>
      <c r="C19" s="168" t="s">
        <v>130</v>
      </c>
      <c r="D19" s="168" t="s">
        <v>4</v>
      </c>
      <c r="E19" s="168" t="s">
        <v>2235</v>
      </c>
      <c r="F19" s="71">
        <v>26731</v>
      </c>
      <c r="G19" s="50" t="s">
        <v>4169</v>
      </c>
      <c r="H19" s="140">
        <v>12538</v>
      </c>
      <c r="I19" s="52">
        <v>22168</v>
      </c>
      <c r="J19" s="53" t="s">
        <v>4170</v>
      </c>
      <c r="K19" s="53" t="s">
        <v>4171</v>
      </c>
      <c r="L19" s="54" t="s">
        <v>4172</v>
      </c>
      <c r="M19" s="734">
        <v>2</v>
      </c>
      <c r="N19" s="73">
        <v>3</v>
      </c>
      <c r="O19" s="73">
        <v>2</v>
      </c>
      <c r="P19" s="73">
        <v>2</v>
      </c>
      <c r="Q19" s="73">
        <v>2</v>
      </c>
      <c r="R19" s="73">
        <v>2</v>
      </c>
      <c r="S19" s="73">
        <v>3</v>
      </c>
      <c r="T19" s="73">
        <v>0</v>
      </c>
      <c r="U19" s="131">
        <f t="shared" si="0"/>
        <v>16</v>
      </c>
      <c r="V19" s="75">
        <v>22</v>
      </c>
      <c r="W19" s="73">
        <v>11</v>
      </c>
      <c r="X19" s="73">
        <v>37</v>
      </c>
      <c r="Y19" s="73">
        <v>12</v>
      </c>
      <c r="Z19" s="73">
        <v>22</v>
      </c>
      <c r="AA19" s="73">
        <v>13</v>
      </c>
      <c r="AB19" s="73">
        <v>35</v>
      </c>
      <c r="AC19" s="73">
        <v>20</v>
      </c>
      <c r="AD19" s="73">
        <v>45</v>
      </c>
      <c r="AE19" s="73">
        <v>24</v>
      </c>
      <c r="AF19" s="73">
        <v>36</v>
      </c>
      <c r="AG19" s="73">
        <v>17</v>
      </c>
      <c r="AH19" s="132">
        <v>197</v>
      </c>
      <c r="AI19" s="131">
        <f t="shared" si="1"/>
        <v>97</v>
      </c>
      <c r="AJ19" s="75">
        <v>16</v>
      </c>
      <c r="AK19" s="73">
        <v>4</v>
      </c>
      <c r="AL19" s="73">
        <v>0</v>
      </c>
      <c r="AM19" s="74">
        <v>0</v>
      </c>
      <c r="AN19" s="76"/>
    </row>
    <row r="20" spans="1:40" ht="17.100000000000001" customHeight="1">
      <c r="A20" s="168" t="s">
        <v>25</v>
      </c>
      <c r="B20" s="168" t="s">
        <v>130</v>
      </c>
      <c r="C20" s="168" t="s">
        <v>130</v>
      </c>
      <c r="D20" s="168" t="s">
        <v>4</v>
      </c>
      <c r="E20" s="168" t="s">
        <v>4173</v>
      </c>
      <c r="F20" s="71">
        <v>42614</v>
      </c>
      <c r="G20" s="50" t="s">
        <v>4174</v>
      </c>
      <c r="H20" s="140">
        <v>11000</v>
      </c>
      <c r="I20" s="52">
        <v>22188</v>
      </c>
      <c r="J20" s="53" t="s">
        <v>4175</v>
      </c>
      <c r="K20" s="53" t="s">
        <v>4176</v>
      </c>
      <c r="L20" s="54" t="s">
        <v>4177</v>
      </c>
      <c r="M20" s="734">
        <v>7</v>
      </c>
      <c r="N20" s="73">
        <v>7</v>
      </c>
      <c r="O20" s="73">
        <v>7</v>
      </c>
      <c r="P20" s="73">
        <v>8</v>
      </c>
      <c r="Q20" s="73">
        <v>8</v>
      </c>
      <c r="R20" s="73">
        <v>8</v>
      </c>
      <c r="S20" s="73">
        <v>1</v>
      </c>
      <c r="T20" s="73">
        <v>0</v>
      </c>
      <c r="U20" s="131">
        <f t="shared" si="0"/>
        <v>46</v>
      </c>
      <c r="V20" s="75">
        <v>162</v>
      </c>
      <c r="W20" s="73">
        <v>86</v>
      </c>
      <c r="X20" s="73">
        <v>173</v>
      </c>
      <c r="Y20" s="73">
        <v>81</v>
      </c>
      <c r="Z20" s="73">
        <v>171</v>
      </c>
      <c r="AA20" s="73">
        <v>88</v>
      </c>
      <c r="AB20" s="73">
        <v>206</v>
      </c>
      <c r="AC20" s="73">
        <v>114</v>
      </c>
      <c r="AD20" s="73">
        <v>208</v>
      </c>
      <c r="AE20" s="73">
        <v>104</v>
      </c>
      <c r="AF20" s="73">
        <v>200</v>
      </c>
      <c r="AG20" s="73">
        <v>97</v>
      </c>
      <c r="AH20" s="132">
        <f t="shared" ref="AH20:AI28" si="2">V20+X20+Z20+AB20+AD20+AF20</f>
        <v>1120</v>
      </c>
      <c r="AI20" s="131">
        <f t="shared" si="1"/>
        <v>570</v>
      </c>
      <c r="AJ20" s="311">
        <v>6</v>
      </c>
      <c r="AK20" s="73">
        <v>3</v>
      </c>
      <c r="AL20" s="73">
        <v>0</v>
      </c>
      <c r="AM20" s="74">
        <v>0</v>
      </c>
      <c r="AN20" s="76"/>
    </row>
    <row r="21" spans="1:40" ht="17.100000000000001" customHeight="1">
      <c r="A21" s="168" t="s">
        <v>25</v>
      </c>
      <c r="B21" s="168" t="s">
        <v>130</v>
      </c>
      <c r="C21" s="168" t="s">
        <v>130</v>
      </c>
      <c r="D21" s="168" t="s">
        <v>4</v>
      </c>
      <c r="E21" s="168" t="s">
        <v>4178</v>
      </c>
      <c r="F21" s="71">
        <v>31107</v>
      </c>
      <c r="G21" s="50" t="s">
        <v>4179</v>
      </c>
      <c r="H21" s="72">
        <v>17722</v>
      </c>
      <c r="I21" s="52">
        <v>22189</v>
      </c>
      <c r="J21" s="53" t="s">
        <v>4180</v>
      </c>
      <c r="K21" s="53" t="s">
        <v>4181</v>
      </c>
      <c r="L21" s="54" t="s">
        <v>4182</v>
      </c>
      <c r="M21" s="734">
        <v>7</v>
      </c>
      <c r="N21" s="58">
        <v>7</v>
      </c>
      <c r="O21" s="73">
        <v>6</v>
      </c>
      <c r="P21" s="73">
        <v>8</v>
      </c>
      <c r="Q21" s="73">
        <v>9</v>
      </c>
      <c r="R21" s="73">
        <v>8</v>
      </c>
      <c r="S21" s="73">
        <v>3</v>
      </c>
      <c r="T21" s="73">
        <v>0</v>
      </c>
      <c r="U21" s="131">
        <f t="shared" si="0"/>
        <v>48</v>
      </c>
      <c r="V21" s="75">
        <v>171</v>
      </c>
      <c r="W21" s="73">
        <v>82</v>
      </c>
      <c r="X21" s="73">
        <v>171</v>
      </c>
      <c r="Y21" s="73">
        <v>83</v>
      </c>
      <c r="Z21" s="73">
        <v>163</v>
      </c>
      <c r="AA21" s="73">
        <v>83</v>
      </c>
      <c r="AB21" s="73">
        <v>199</v>
      </c>
      <c r="AC21" s="73">
        <v>100</v>
      </c>
      <c r="AD21" s="73">
        <v>219</v>
      </c>
      <c r="AE21" s="73">
        <v>99</v>
      </c>
      <c r="AF21" s="73">
        <v>194</v>
      </c>
      <c r="AG21" s="73">
        <v>101</v>
      </c>
      <c r="AH21" s="132">
        <f t="shared" si="2"/>
        <v>1117</v>
      </c>
      <c r="AI21" s="131">
        <f t="shared" si="1"/>
        <v>548</v>
      </c>
      <c r="AJ21" s="311">
        <v>23</v>
      </c>
      <c r="AK21" s="73">
        <v>10</v>
      </c>
      <c r="AL21" s="73">
        <v>0</v>
      </c>
      <c r="AM21" s="74">
        <v>0</v>
      </c>
      <c r="AN21" s="76"/>
    </row>
    <row r="22" spans="1:40" ht="17.100000000000001" customHeight="1">
      <c r="A22" s="724" t="s">
        <v>25</v>
      </c>
      <c r="B22" s="724" t="s">
        <v>130</v>
      </c>
      <c r="C22" s="724" t="s">
        <v>130</v>
      </c>
      <c r="D22" s="724" t="s">
        <v>4</v>
      </c>
      <c r="E22" s="724" t="s">
        <v>2237</v>
      </c>
      <c r="F22" s="725">
        <v>19664</v>
      </c>
      <c r="G22" s="727" t="s">
        <v>2238</v>
      </c>
      <c r="H22" s="1060">
        <v>16567</v>
      </c>
      <c r="I22" s="740">
        <v>22187</v>
      </c>
      <c r="J22" s="726" t="s">
        <v>2239</v>
      </c>
      <c r="K22" s="726" t="s">
        <v>2240</v>
      </c>
      <c r="L22" s="741" t="s">
        <v>2241</v>
      </c>
      <c r="M22" s="1061">
        <v>9</v>
      </c>
      <c r="N22" s="1062">
        <v>9</v>
      </c>
      <c r="O22" s="1062">
        <v>9</v>
      </c>
      <c r="P22" s="1062">
        <v>9</v>
      </c>
      <c r="Q22" s="1062">
        <v>10</v>
      </c>
      <c r="R22" s="1062">
        <v>8</v>
      </c>
      <c r="S22" s="1062">
        <v>4</v>
      </c>
      <c r="T22" s="73">
        <v>0</v>
      </c>
      <c r="U22" s="742">
        <f t="shared" si="0"/>
        <v>58</v>
      </c>
      <c r="V22" s="1063">
        <v>229</v>
      </c>
      <c r="W22" s="1062">
        <v>111</v>
      </c>
      <c r="X22" s="1062">
        <v>244</v>
      </c>
      <c r="Y22" s="1062">
        <v>112</v>
      </c>
      <c r="Z22" s="1062">
        <v>230</v>
      </c>
      <c r="AA22" s="1062">
        <v>119</v>
      </c>
      <c r="AB22" s="1062">
        <v>246</v>
      </c>
      <c r="AC22" s="1062">
        <v>113</v>
      </c>
      <c r="AD22" s="1062">
        <v>251</v>
      </c>
      <c r="AE22" s="1062">
        <v>111</v>
      </c>
      <c r="AF22" s="1062">
        <v>213</v>
      </c>
      <c r="AG22" s="1062">
        <v>95</v>
      </c>
      <c r="AH22" s="1064">
        <f t="shared" si="2"/>
        <v>1413</v>
      </c>
      <c r="AI22" s="742">
        <f t="shared" si="2"/>
        <v>661</v>
      </c>
      <c r="AJ22" s="1063">
        <v>27</v>
      </c>
      <c r="AK22" s="1062">
        <v>6</v>
      </c>
      <c r="AL22" s="73">
        <v>0</v>
      </c>
      <c r="AM22" s="74">
        <v>0</v>
      </c>
      <c r="AN22" s="1065"/>
    </row>
    <row r="23" spans="1:40" ht="17.100000000000001" customHeight="1">
      <c r="A23" s="168" t="s">
        <v>25</v>
      </c>
      <c r="B23" s="168" t="s">
        <v>130</v>
      </c>
      <c r="C23" s="168" t="s">
        <v>130</v>
      </c>
      <c r="D23" s="168" t="s">
        <v>4</v>
      </c>
      <c r="E23" s="168" t="s">
        <v>2242</v>
      </c>
      <c r="F23" s="71">
        <v>36404</v>
      </c>
      <c r="G23" s="50" t="s">
        <v>4183</v>
      </c>
      <c r="H23" s="72">
        <v>12756</v>
      </c>
      <c r="I23" s="52">
        <v>22222</v>
      </c>
      <c r="J23" s="53" t="s">
        <v>4184</v>
      </c>
      <c r="K23" s="53" t="s">
        <v>4185</v>
      </c>
      <c r="L23" s="54" t="s">
        <v>2243</v>
      </c>
      <c r="M23" s="734">
        <v>2</v>
      </c>
      <c r="N23" s="73">
        <v>2</v>
      </c>
      <c r="O23" s="73">
        <v>3</v>
      </c>
      <c r="P23" s="73">
        <v>3</v>
      </c>
      <c r="Q23" s="73">
        <v>4</v>
      </c>
      <c r="R23" s="73">
        <v>5</v>
      </c>
      <c r="S23" s="73">
        <v>2</v>
      </c>
      <c r="T23" s="73">
        <v>0</v>
      </c>
      <c r="U23" s="131">
        <f t="shared" si="0"/>
        <v>21</v>
      </c>
      <c r="V23" s="75">
        <v>37</v>
      </c>
      <c r="W23" s="73">
        <v>20</v>
      </c>
      <c r="X23" s="73">
        <v>39</v>
      </c>
      <c r="Y23" s="73">
        <v>20</v>
      </c>
      <c r="Z23" s="73">
        <v>57</v>
      </c>
      <c r="AA23" s="73">
        <v>19</v>
      </c>
      <c r="AB23" s="73">
        <v>61</v>
      </c>
      <c r="AC23" s="73">
        <v>39</v>
      </c>
      <c r="AD23" s="73">
        <v>75</v>
      </c>
      <c r="AE23" s="73">
        <v>39</v>
      </c>
      <c r="AF23" s="73">
        <v>107</v>
      </c>
      <c r="AG23" s="73">
        <v>56</v>
      </c>
      <c r="AH23" s="132">
        <f t="shared" si="2"/>
        <v>376</v>
      </c>
      <c r="AI23" s="131">
        <f t="shared" si="2"/>
        <v>193</v>
      </c>
      <c r="AJ23" s="311">
        <v>8</v>
      </c>
      <c r="AK23" s="73">
        <v>3</v>
      </c>
      <c r="AL23" s="73">
        <v>0</v>
      </c>
      <c r="AM23" s="74">
        <v>0</v>
      </c>
      <c r="AN23" s="76"/>
    </row>
    <row r="24" spans="1:40" ht="17.100000000000001" customHeight="1">
      <c r="A24" s="168" t="s">
        <v>25</v>
      </c>
      <c r="B24" s="168" t="s">
        <v>130</v>
      </c>
      <c r="C24" s="168" t="s">
        <v>130</v>
      </c>
      <c r="D24" s="168" t="s">
        <v>4</v>
      </c>
      <c r="E24" s="168" t="s">
        <v>2244</v>
      </c>
      <c r="F24" s="71">
        <v>30952</v>
      </c>
      <c r="G24" s="50" t="s">
        <v>2245</v>
      </c>
      <c r="H24" s="72">
        <v>10281</v>
      </c>
      <c r="I24" s="52">
        <v>22228</v>
      </c>
      <c r="J24" s="53" t="s">
        <v>2246</v>
      </c>
      <c r="K24" s="53" t="s">
        <v>2247</v>
      </c>
      <c r="L24" s="54" t="s">
        <v>2248</v>
      </c>
      <c r="M24" s="734">
        <v>3</v>
      </c>
      <c r="N24" s="73">
        <v>2</v>
      </c>
      <c r="O24" s="73">
        <v>3</v>
      </c>
      <c r="P24" s="73">
        <v>3</v>
      </c>
      <c r="Q24" s="73">
        <v>4</v>
      </c>
      <c r="R24" s="73">
        <v>3</v>
      </c>
      <c r="S24" s="73">
        <v>3</v>
      </c>
      <c r="T24" s="73">
        <v>0</v>
      </c>
      <c r="U24" s="131">
        <f t="shared" si="0"/>
        <v>21</v>
      </c>
      <c r="V24" s="75">
        <v>55</v>
      </c>
      <c r="W24" s="73">
        <v>25</v>
      </c>
      <c r="X24" s="73">
        <v>47</v>
      </c>
      <c r="Y24" s="73">
        <v>23</v>
      </c>
      <c r="Z24" s="73">
        <v>66</v>
      </c>
      <c r="AA24" s="73">
        <v>28</v>
      </c>
      <c r="AB24" s="73">
        <v>61</v>
      </c>
      <c r="AC24" s="73">
        <v>32</v>
      </c>
      <c r="AD24" s="73">
        <v>81</v>
      </c>
      <c r="AE24" s="73">
        <v>39</v>
      </c>
      <c r="AF24" s="73">
        <v>83</v>
      </c>
      <c r="AG24" s="73">
        <v>50</v>
      </c>
      <c r="AH24" s="132">
        <f t="shared" si="2"/>
        <v>393</v>
      </c>
      <c r="AI24" s="131">
        <f t="shared" si="2"/>
        <v>197</v>
      </c>
      <c r="AJ24" s="311">
        <v>17</v>
      </c>
      <c r="AK24" s="73">
        <v>4</v>
      </c>
      <c r="AL24" s="73">
        <v>0</v>
      </c>
      <c r="AM24" s="74">
        <v>0</v>
      </c>
      <c r="AN24" s="76"/>
    </row>
    <row r="25" spans="1:40" ht="17.100000000000001" customHeight="1">
      <c r="A25" s="168" t="s">
        <v>25</v>
      </c>
      <c r="B25" s="168" t="s">
        <v>130</v>
      </c>
      <c r="C25" s="168" t="s">
        <v>130</v>
      </c>
      <c r="D25" s="168" t="s">
        <v>4</v>
      </c>
      <c r="E25" s="168" t="s">
        <v>2249</v>
      </c>
      <c r="F25" s="71">
        <v>30376</v>
      </c>
      <c r="G25" s="50" t="s">
        <v>4186</v>
      </c>
      <c r="H25" s="72">
        <v>8432</v>
      </c>
      <c r="I25" s="52">
        <v>22126</v>
      </c>
      <c r="J25" s="53" t="s">
        <v>2250</v>
      </c>
      <c r="K25" s="53" t="s">
        <v>2251</v>
      </c>
      <c r="L25" s="54" t="s">
        <v>2252</v>
      </c>
      <c r="M25" s="734">
        <v>3</v>
      </c>
      <c r="N25" s="73">
        <v>3</v>
      </c>
      <c r="O25" s="73">
        <v>3</v>
      </c>
      <c r="P25" s="73">
        <v>3</v>
      </c>
      <c r="Q25" s="73">
        <v>4</v>
      </c>
      <c r="R25" s="73">
        <v>3</v>
      </c>
      <c r="S25" s="73">
        <v>3</v>
      </c>
      <c r="T25" s="73">
        <v>0</v>
      </c>
      <c r="U25" s="131">
        <f t="shared" si="0"/>
        <v>22</v>
      </c>
      <c r="V25" s="75">
        <v>44</v>
      </c>
      <c r="W25" s="73">
        <v>20</v>
      </c>
      <c r="X25" s="73">
        <v>57</v>
      </c>
      <c r="Y25" s="73">
        <v>36</v>
      </c>
      <c r="Z25" s="73">
        <v>55</v>
      </c>
      <c r="AA25" s="73">
        <v>26</v>
      </c>
      <c r="AB25" s="73">
        <v>45</v>
      </c>
      <c r="AC25" s="73">
        <v>23</v>
      </c>
      <c r="AD25" s="73">
        <v>73</v>
      </c>
      <c r="AE25" s="73">
        <v>31</v>
      </c>
      <c r="AF25" s="73">
        <v>53</v>
      </c>
      <c r="AG25" s="73">
        <v>28</v>
      </c>
      <c r="AH25" s="132">
        <f t="shared" si="2"/>
        <v>327</v>
      </c>
      <c r="AI25" s="131">
        <f t="shared" si="2"/>
        <v>164</v>
      </c>
      <c r="AJ25" s="75">
        <v>14</v>
      </c>
      <c r="AK25" s="73">
        <v>5</v>
      </c>
      <c r="AL25" s="73">
        <v>0</v>
      </c>
      <c r="AM25" s="74">
        <v>0</v>
      </c>
      <c r="AN25" s="76"/>
    </row>
    <row r="26" spans="1:40" ht="17.100000000000001" customHeight="1">
      <c r="A26" s="168" t="s">
        <v>25</v>
      </c>
      <c r="B26" s="168" t="s">
        <v>130</v>
      </c>
      <c r="C26" s="168" t="s">
        <v>130</v>
      </c>
      <c r="D26" s="168" t="s">
        <v>4</v>
      </c>
      <c r="E26" s="168" t="s">
        <v>2253</v>
      </c>
      <c r="F26" s="71">
        <v>12571</v>
      </c>
      <c r="G26" s="50" t="s">
        <v>2254</v>
      </c>
      <c r="H26" s="140">
        <v>16925</v>
      </c>
      <c r="I26" s="52">
        <v>22156</v>
      </c>
      <c r="J26" s="53" t="s">
        <v>4187</v>
      </c>
      <c r="K26" s="53" t="s">
        <v>4188</v>
      </c>
      <c r="L26" s="54" t="s">
        <v>4189</v>
      </c>
      <c r="M26" s="734">
        <v>7</v>
      </c>
      <c r="N26" s="73">
        <v>7</v>
      </c>
      <c r="O26" s="73">
        <v>7</v>
      </c>
      <c r="P26" s="73">
        <v>7</v>
      </c>
      <c r="Q26" s="73">
        <v>7</v>
      </c>
      <c r="R26" s="73">
        <v>6</v>
      </c>
      <c r="S26" s="73">
        <v>4</v>
      </c>
      <c r="T26" s="73">
        <v>0</v>
      </c>
      <c r="U26" s="131">
        <f t="shared" si="0"/>
        <v>45</v>
      </c>
      <c r="V26" s="75">
        <v>147</v>
      </c>
      <c r="W26" s="73">
        <v>64</v>
      </c>
      <c r="X26" s="73">
        <v>147</v>
      </c>
      <c r="Y26" s="73">
        <v>71</v>
      </c>
      <c r="Z26" s="73">
        <v>142</v>
      </c>
      <c r="AA26" s="73">
        <v>67</v>
      </c>
      <c r="AB26" s="73">
        <v>147</v>
      </c>
      <c r="AC26" s="73">
        <v>73</v>
      </c>
      <c r="AD26" s="73">
        <v>144</v>
      </c>
      <c r="AE26" s="73">
        <v>65</v>
      </c>
      <c r="AF26" s="73">
        <v>135</v>
      </c>
      <c r="AG26" s="73">
        <v>67</v>
      </c>
      <c r="AH26" s="132">
        <f t="shared" si="2"/>
        <v>862</v>
      </c>
      <c r="AI26" s="131">
        <f t="shared" si="2"/>
        <v>407</v>
      </c>
      <c r="AJ26" s="311">
        <v>22</v>
      </c>
      <c r="AK26" s="73">
        <v>9</v>
      </c>
      <c r="AL26" s="73">
        <v>0</v>
      </c>
      <c r="AM26" s="74">
        <v>0</v>
      </c>
      <c r="AN26" s="76"/>
    </row>
    <row r="27" spans="1:40" ht="17.100000000000001" customHeight="1">
      <c r="A27" s="168" t="s">
        <v>25</v>
      </c>
      <c r="B27" s="168" t="s">
        <v>130</v>
      </c>
      <c r="C27" s="168" t="s">
        <v>130</v>
      </c>
      <c r="D27" s="168" t="s">
        <v>4</v>
      </c>
      <c r="E27" s="168" t="s">
        <v>2255</v>
      </c>
      <c r="F27" s="71">
        <v>39508</v>
      </c>
      <c r="G27" s="50" t="s">
        <v>2256</v>
      </c>
      <c r="H27" s="140">
        <v>12078</v>
      </c>
      <c r="I27" s="52">
        <v>22203</v>
      </c>
      <c r="J27" s="53" t="s">
        <v>2257</v>
      </c>
      <c r="K27" s="53" t="s">
        <v>2258</v>
      </c>
      <c r="L27" s="54" t="s">
        <v>2259</v>
      </c>
      <c r="M27" s="735">
        <v>5</v>
      </c>
      <c r="N27" s="73">
        <v>5</v>
      </c>
      <c r="O27" s="73">
        <v>5</v>
      </c>
      <c r="P27" s="73">
        <v>6</v>
      </c>
      <c r="Q27" s="73">
        <v>6</v>
      </c>
      <c r="R27" s="73">
        <v>6</v>
      </c>
      <c r="S27" s="73">
        <v>2</v>
      </c>
      <c r="T27" s="73">
        <v>0</v>
      </c>
      <c r="U27" s="131">
        <f t="shared" si="0"/>
        <v>35</v>
      </c>
      <c r="V27" s="75">
        <v>107</v>
      </c>
      <c r="W27" s="73">
        <v>49</v>
      </c>
      <c r="X27" s="73">
        <v>123</v>
      </c>
      <c r="Y27" s="73">
        <v>53</v>
      </c>
      <c r="Z27" s="73">
        <v>133</v>
      </c>
      <c r="AA27" s="73">
        <v>63</v>
      </c>
      <c r="AB27" s="73">
        <v>146</v>
      </c>
      <c r="AC27" s="73">
        <v>77</v>
      </c>
      <c r="AD27" s="73">
        <v>160</v>
      </c>
      <c r="AE27" s="73">
        <v>85</v>
      </c>
      <c r="AF27" s="73">
        <v>154</v>
      </c>
      <c r="AG27" s="73">
        <v>82</v>
      </c>
      <c r="AH27" s="132">
        <f t="shared" si="2"/>
        <v>823</v>
      </c>
      <c r="AI27" s="131">
        <f t="shared" si="2"/>
        <v>409</v>
      </c>
      <c r="AJ27" s="311">
        <v>8</v>
      </c>
      <c r="AK27" s="73">
        <v>4</v>
      </c>
      <c r="AL27" s="73">
        <v>0</v>
      </c>
      <c r="AM27" s="74">
        <v>0</v>
      </c>
      <c r="AN27" s="76"/>
    </row>
    <row r="28" spans="1:40" ht="17.100000000000001" customHeight="1">
      <c r="A28" s="168" t="s">
        <v>25</v>
      </c>
      <c r="B28" s="168" t="s">
        <v>130</v>
      </c>
      <c r="C28" s="168" t="s">
        <v>130</v>
      </c>
      <c r="D28" s="168" t="s">
        <v>4</v>
      </c>
      <c r="E28" s="168" t="s">
        <v>4190</v>
      </c>
      <c r="F28" s="71">
        <v>14345</v>
      </c>
      <c r="G28" s="50" t="s">
        <v>4191</v>
      </c>
      <c r="H28" s="140">
        <v>13126</v>
      </c>
      <c r="I28" s="52">
        <v>22211</v>
      </c>
      <c r="J28" s="53" t="s">
        <v>4192</v>
      </c>
      <c r="K28" s="53" t="s">
        <v>4193</v>
      </c>
      <c r="L28" s="54" t="s">
        <v>4194</v>
      </c>
      <c r="M28" s="734">
        <v>2</v>
      </c>
      <c r="N28" s="73">
        <v>2</v>
      </c>
      <c r="O28" s="73">
        <v>2</v>
      </c>
      <c r="P28" s="73">
        <v>3</v>
      </c>
      <c r="Q28" s="73">
        <v>4</v>
      </c>
      <c r="R28" s="73">
        <v>3</v>
      </c>
      <c r="S28" s="73">
        <v>2</v>
      </c>
      <c r="T28" s="73">
        <v>0</v>
      </c>
      <c r="U28" s="131">
        <f t="shared" si="0"/>
        <v>18</v>
      </c>
      <c r="V28" s="75">
        <v>35</v>
      </c>
      <c r="W28" s="73">
        <v>12</v>
      </c>
      <c r="X28" s="73">
        <v>37</v>
      </c>
      <c r="Y28" s="73">
        <v>27</v>
      </c>
      <c r="Z28" s="73">
        <v>48</v>
      </c>
      <c r="AA28" s="73">
        <v>27</v>
      </c>
      <c r="AB28" s="73">
        <v>72</v>
      </c>
      <c r="AC28" s="73">
        <v>42</v>
      </c>
      <c r="AD28" s="73">
        <v>83</v>
      </c>
      <c r="AE28" s="73">
        <v>39</v>
      </c>
      <c r="AF28" s="73">
        <v>57</v>
      </c>
      <c r="AG28" s="73">
        <v>22</v>
      </c>
      <c r="AH28" s="132">
        <f t="shared" si="2"/>
        <v>332</v>
      </c>
      <c r="AI28" s="131">
        <f t="shared" si="2"/>
        <v>169</v>
      </c>
      <c r="AJ28" s="311">
        <v>7</v>
      </c>
      <c r="AK28" s="73">
        <v>1</v>
      </c>
      <c r="AL28" s="73">
        <v>0</v>
      </c>
      <c r="AM28" s="74">
        <v>0</v>
      </c>
      <c r="AN28" s="76"/>
    </row>
    <row r="29" spans="1:40" ht="17.100000000000001" customHeight="1">
      <c r="A29" s="1625" t="s">
        <v>708</v>
      </c>
      <c r="B29" s="1626"/>
      <c r="C29" s="1066"/>
      <c r="D29" s="179">
        <f>COUNTA(D6:D28)</f>
        <v>23</v>
      </c>
      <c r="E29" s="218"/>
      <c r="F29" s="284"/>
      <c r="G29" s="181"/>
      <c r="H29" s="286"/>
      <c r="I29" s="287"/>
      <c r="J29" s="285"/>
      <c r="K29" s="285"/>
      <c r="L29" s="288"/>
      <c r="M29" s="330">
        <f>SUM(M6:M28)</f>
        <v>95</v>
      </c>
      <c r="N29" s="290">
        <f>SUM(N6:N28)</f>
        <v>100</v>
      </c>
      <c r="O29" s="290">
        <f t="shared" ref="O29:T29" si="3">SUM(O6:O28)</f>
        <v>103</v>
      </c>
      <c r="P29" s="290">
        <f t="shared" si="3"/>
        <v>114</v>
      </c>
      <c r="Q29" s="290">
        <f t="shared" si="3"/>
        <v>120</v>
      </c>
      <c r="R29" s="290">
        <f t="shared" si="3"/>
        <v>113</v>
      </c>
      <c r="S29" s="290">
        <f t="shared" si="3"/>
        <v>71</v>
      </c>
      <c r="T29" s="290">
        <f t="shared" si="3"/>
        <v>1</v>
      </c>
      <c r="U29" s="291">
        <f>SUM(U6:U28)</f>
        <v>717</v>
      </c>
      <c r="V29" s="289">
        <f>SUM(V6:V28)</f>
        <v>2059</v>
      </c>
      <c r="W29" s="289">
        <f t="shared" ref="W29:AM29" si="4">SUM(W6:W28)</f>
        <v>1008</v>
      </c>
      <c r="X29" s="289">
        <f t="shared" si="4"/>
        <v>2256</v>
      </c>
      <c r="Y29" s="289">
        <f t="shared" si="4"/>
        <v>1076</v>
      </c>
      <c r="Z29" s="289">
        <f t="shared" si="4"/>
        <v>2345</v>
      </c>
      <c r="AA29" s="289">
        <f t="shared" si="4"/>
        <v>1132</v>
      </c>
      <c r="AB29" s="289">
        <f t="shared" si="4"/>
        <v>2606</v>
      </c>
      <c r="AC29" s="289">
        <f t="shared" si="4"/>
        <v>1321</v>
      </c>
      <c r="AD29" s="289">
        <f t="shared" si="4"/>
        <v>2805</v>
      </c>
      <c r="AE29" s="289">
        <f t="shared" si="4"/>
        <v>1339</v>
      </c>
      <c r="AF29" s="289">
        <f t="shared" si="4"/>
        <v>2677</v>
      </c>
      <c r="AG29" s="289">
        <f t="shared" si="4"/>
        <v>1323</v>
      </c>
      <c r="AH29" s="289">
        <f t="shared" si="4"/>
        <v>14748</v>
      </c>
      <c r="AI29" s="289">
        <f t="shared" si="4"/>
        <v>7199</v>
      </c>
      <c r="AJ29" s="289">
        <f t="shared" si="4"/>
        <v>384</v>
      </c>
      <c r="AK29" s="289">
        <f t="shared" si="4"/>
        <v>131</v>
      </c>
      <c r="AL29" s="289">
        <f t="shared" si="4"/>
        <v>17</v>
      </c>
      <c r="AM29" s="289">
        <f t="shared" si="4"/>
        <v>8</v>
      </c>
      <c r="AN29" s="331"/>
    </row>
    <row r="30" spans="1:40" ht="17.100000000000001" customHeight="1">
      <c r="A30" s="1627" t="s">
        <v>709</v>
      </c>
      <c r="B30" s="1628"/>
      <c r="C30" s="1628"/>
      <c r="D30" s="1629"/>
      <c r="E30" s="332">
        <f>D29</f>
        <v>23</v>
      </c>
      <c r="F30" s="333"/>
      <c r="G30" s="222"/>
      <c r="H30" s="334"/>
      <c r="I30" s="305"/>
      <c r="J30" s="303"/>
      <c r="K30" s="303"/>
      <c r="L30" s="306"/>
      <c r="M30" s="335">
        <f>M29</f>
        <v>95</v>
      </c>
      <c r="N30" s="310">
        <f>N29</f>
        <v>100</v>
      </c>
      <c r="O30" s="310">
        <f t="shared" ref="O30:T30" si="5">O29</f>
        <v>103</v>
      </c>
      <c r="P30" s="310">
        <f t="shared" si="5"/>
        <v>114</v>
      </c>
      <c r="Q30" s="310">
        <f t="shared" si="5"/>
        <v>120</v>
      </c>
      <c r="R30" s="310">
        <f t="shared" si="5"/>
        <v>113</v>
      </c>
      <c r="S30" s="310">
        <f t="shared" si="5"/>
        <v>71</v>
      </c>
      <c r="T30" s="310">
        <f t="shared" si="5"/>
        <v>1</v>
      </c>
      <c r="U30" s="309">
        <f>U29</f>
        <v>717</v>
      </c>
      <c r="V30" s="336">
        <f>V29</f>
        <v>2059</v>
      </c>
      <c r="W30" s="310">
        <f>W29</f>
        <v>1008</v>
      </c>
      <c r="X30" s="310">
        <f t="shared" ref="X30:AH30" si="6">X29</f>
        <v>2256</v>
      </c>
      <c r="Y30" s="310">
        <f t="shared" si="6"/>
        <v>1076</v>
      </c>
      <c r="Z30" s="310">
        <f t="shared" si="6"/>
        <v>2345</v>
      </c>
      <c r="AA30" s="310">
        <f t="shared" si="6"/>
        <v>1132</v>
      </c>
      <c r="AB30" s="310">
        <f t="shared" si="6"/>
        <v>2606</v>
      </c>
      <c r="AC30" s="310">
        <f t="shared" si="6"/>
        <v>1321</v>
      </c>
      <c r="AD30" s="310">
        <f t="shared" si="6"/>
        <v>2805</v>
      </c>
      <c r="AE30" s="310">
        <f t="shared" si="6"/>
        <v>1339</v>
      </c>
      <c r="AF30" s="310">
        <f t="shared" si="6"/>
        <v>2677</v>
      </c>
      <c r="AG30" s="310">
        <f t="shared" si="6"/>
        <v>1323</v>
      </c>
      <c r="AH30" s="310">
        <f t="shared" si="6"/>
        <v>14748</v>
      </c>
      <c r="AI30" s="309">
        <f>AI29</f>
        <v>7199</v>
      </c>
      <c r="AJ30" s="336">
        <f>AJ29</f>
        <v>384</v>
      </c>
      <c r="AK30" s="310">
        <f>AK29</f>
        <v>131</v>
      </c>
      <c r="AL30" s="310">
        <f>AL29</f>
        <v>17</v>
      </c>
      <c r="AM30" s="309">
        <f>AM29</f>
        <v>8</v>
      </c>
      <c r="AN30" s="337"/>
    </row>
    <row r="31" spans="1:40" ht="17.100000000000001" customHeight="1">
      <c r="A31" s="168" t="s">
        <v>25</v>
      </c>
      <c r="B31" s="168" t="s">
        <v>262</v>
      </c>
      <c r="C31" s="168" t="s">
        <v>2820</v>
      </c>
      <c r="D31" s="168" t="s">
        <v>4</v>
      </c>
      <c r="E31" s="168" t="s">
        <v>2261</v>
      </c>
      <c r="F31" s="71">
        <v>21610</v>
      </c>
      <c r="G31" s="50" t="s">
        <v>2262</v>
      </c>
      <c r="H31" s="72">
        <v>8764</v>
      </c>
      <c r="I31" s="52">
        <v>22511</v>
      </c>
      <c r="J31" s="53" t="s">
        <v>4195</v>
      </c>
      <c r="K31" s="53" t="s">
        <v>4196</v>
      </c>
      <c r="L31" s="54" t="s">
        <v>4197</v>
      </c>
      <c r="M31" s="734">
        <v>2</v>
      </c>
      <c r="N31" s="73">
        <v>2</v>
      </c>
      <c r="O31" s="73">
        <v>2</v>
      </c>
      <c r="P31" s="73">
        <v>2</v>
      </c>
      <c r="Q31" s="73">
        <v>2</v>
      </c>
      <c r="R31" s="73">
        <v>3</v>
      </c>
      <c r="S31" s="73">
        <v>3</v>
      </c>
      <c r="T31" s="73">
        <v>0</v>
      </c>
      <c r="U31" s="131">
        <f t="shared" ref="U31:U36" si="7">SUM(M31:T31)</f>
        <v>16</v>
      </c>
      <c r="V31" s="75">
        <v>25</v>
      </c>
      <c r="W31" s="73">
        <v>15</v>
      </c>
      <c r="X31" s="73">
        <v>29</v>
      </c>
      <c r="Y31" s="73">
        <v>8</v>
      </c>
      <c r="Z31" s="73">
        <v>35</v>
      </c>
      <c r="AA31" s="73">
        <v>16</v>
      </c>
      <c r="AB31" s="73">
        <v>41</v>
      </c>
      <c r="AC31" s="73">
        <v>19</v>
      </c>
      <c r="AD31" s="73">
        <v>46</v>
      </c>
      <c r="AE31" s="73">
        <v>11</v>
      </c>
      <c r="AF31" s="73">
        <v>56</v>
      </c>
      <c r="AG31" s="73">
        <v>23</v>
      </c>
      <c r="AH31" s="132">
        <f t="shared" ref="AH31:AI36" si="8">V31+X31+Z31+AB31+AD31+AF31</f>
        <v>232</v>
      </c>
      <c r="AI31" s="131">
        <f t="shared" si="8"/>
        <v>92</v>
      </c>
      <c r="AJ31" s="75">
        <v>15</v>
      </c>
      <c r="AK31" s="73">
        <v>4</v>
      </c>
      <c r="AL31" s="73">
        <v>0</v>
      </c>
      <c r="AM31" s="74">
        <v>0</v>
      </c>
      <c r="AN31" s="76"/>
    </row>
    <row r="32" spans="1:40" ht="17.100000000000001" customHeight="1">
      <c r="A32" s="168" t="s">
        <v>25</v>
      </c>
      <c r="B32" s="168" t="s">
        <v>262</v>
      </c>
      <c r="C32" s="168" t="s">
        <v>2820</v>
      </c>
      <c r="D32" s="168" t="s">
        <v>4</v>
      </c>
      <c r="E32" s="168" t="s">
        <v>2263</v>
      </c>
      <c r="F32" s="71">
        <v>14350</v>
      </c>
      <c r="G32" s="50" t="s">
        <v>2264</v>
      </c>
      <c r="H32" s="72">
        <v>17091</v>
      </c>
      <c r="I32" s="52">
        <v>22558</v>
      </c>
      <c r="J32" s="53" t="s">
        <v>2265</v>
      </c>
      <c r="K32" s="53" t="s">
        <v>2266</v>
      </c>
      <c r="L32" s="54" t="s">
        <v>2267</v>
      </c>
      <c r="M32" s="734">
        <v>3</v>
      </c>
      <c r="N32" s="73">
        <v>3</v>
      </c>
      <c r="O32" s="73">
        <v>3</v>
      </c>
      <c r="P32" s="73">
        <v>4</v>
      </c>
      <c r="Q32" s="73">
        <v>4</v>
      </c>
      <c r="R32" s="73">
        <v>4</v>
      </c>
      <c r="S32" s="73">
        <v>3</v>
      </c>
      <c r="T32" s="73">
        <v>0</v>
      </c>
      <c r="U32" s="131">
        <f t="shared" si="7"/>
        <v>24</v>
      </c>
      <c r="V32" s="75">
        <v>68</v>
      </c>
      <c r="W32" s="73">
        <v>36</v>
      </c>
      <c r="X32" s="73">
        <v>76</v>
      </c>
      <c r="Y32" s="73">
        <v>39</v>
      </c>
      <c r="Z32" s="73">
        <v>72</v>
      </c>
      <c r="AA32" s="73">
        <v>41</v>
      </c>
      <c r="AB32" s="73">
        <v>83</v>
      </c>
      <c r="AC32" s="73">
        <v>36</v>
      </c>
      <c r="AD32" s="73">
        <v>83</v>
      </c>
      <c r="AE32" s="73">
        <v>35</v>
      </c>
      <c r="AF32" s="73">
        <v>82</v>
      </c>
      <c r="AG32" s="73">
        <v>43</v>
      </c>
      <c r="AH32" s="132">
        <f t="shared" si="8"/>
        <v>464</v>
      </c>
      <c r="AI32" s="131">
        <f t="shared" si="8"/>
        <v>230</v>
      </c>
      <c r="AJ32" s="75">
        <v>14</v>
      </c>
      <c r="AK32" s="73">
        <v>4</v>
      </c>
      <c r="AL32" s="73">
        <v>0</v>
      </c>
      <c r="AM32" s="74">
        <v>0</v>
      </c>
      <c r="AN32" s="76"/>
    </row>
    <row r="33" spans="1:40" ht="17.100000000000001" customHeight="1">
      <c r="A33" s="168" t="s">
        <v>25</v>
      </c>
      <c r="B33" s="168" t="s">
        <v>262</v>
      </c>
      <c r="C33" s="168" t="s">
        <v>2820</v>
      </c>
      <c r="D33" s="168" t="s">
        <v>4</v>
      </c>
      <c r="E33" s="1070" t="s">
        <v>4198</v>
      </c>
      <c r="F33" s="933">
        <v>23802</v>
      </c>
      <c r="G33" s="932" t="s">
        <v>4199</v>
      </c>
      <c r="H33" s="1071">
        <v>11854.7</v>
      </c>
      <c r="I33" s="935">
        <v>22540</v>
      </c>
      <c r="J33" s="932" t="s">
        <v>4200</v>
      </c>
      <c r="K33" s="932" t="s">
        <v>4200</v>
      </c>
      <c r="L33" s="936" t="s">
        <v>4201</v>
      </c>
      <c r="M33" s="734">
        <v>3</v>
      </c>
      <c r="N33" s="73">
        <v>3</v>
      </c>
      <c r="O33" s="73">
        <v>3</v>
      </c>
      <c r="P33" s="73">
        <v>4</v>
      </c>
      <c r="Q33" s="73">
        <v>3</v>
      </c>
      <c r="R33" s="73">
        <v>4</v>
      </c>
      <c r="S33" s="73">
        <v>2</v>
      </c>
      <c r="T33" s="73">
        <v>0</v>
      </c>
      <c r="U33" s="131">
        <f t="shared" si="7"/>
        <v>22</v>
      </c>
      <c r="V33" s="75">
        <v>49</v>
      </c>
      <c r="W33" s="73">
        <v>27</v>
      </c>
      <c r="X33" s="73">
        <v>52</v>
      </c>
      <c r="Y33" s="73">
        <v>25</v>
      </c>
      <c r="Z33" s="73">
        <v>43</v>
      </c>
      <c r="AA33" s="73">
        <v>22</v>
      </c>
      <c r="AB33" s="73">
        <v>71</v>
      </c>
      <c r="AC33" s="73">
        <v>32</v>
      </c>
      <c r="AD33" s="73">
        <v>66</v>
      </c>
      <c r="AE33" s="73">
        <v>30</v>
      </c>
      <c r="AF33" s="73">
        <v>74</v>
      </c>
      <c r="AG33" s="73">
        <v>30</v>
      </c>
      <c r="AH33" s="132">
        <f t="shared" si="8"/>
        <v>355</v>
      </c>
      <c r="AI33" s="131">
        <f t="shared" si="8"/>
        <v>166</v>
      </c>
      <c r="AJ33" s="75">
        <v>12</v>
      </c>
      <c r="AK33" s="73">
        <v>2</v>
      </c>
      <c r="AL33" s="73">
        <v>0</v>
      </c>
      <c r="AM33" s="74">
        <v>0</v>
      </c>
      <c r="AN33" s="76"/>
    </row>
    <row r="34" spans="1:40" ht="17.100000000000001" customHeight="1">
      <c r="A34" s="168" t="s">
        <v>25</v>
      </c>
      <c r="B34" s="168" t="s">
        <v>262</v>
      </c>
      <c r="C34" s="168" t="s">
        <v>2820</v>
      </c>
      <c r="D34" s="168" t="s">
        <v>4</v>
      </c>
      <c r="E34" s="168" t="s">
        <v>2268</v>
      </c>
      <c r="F34" s="71">
        <v>12149</v>
      </c>
      <c r="G34" s="50" t="s">
        <v>4202</v>
      </c>
      <c r="H34" s="72">
        <v>13244</v>
      </c>
      <c r="I34" s="52">
        <v>22553</v>
      </c>
      <c r="J34" s="53" t="s">
        <v>2269</v>
      </c>
      <c r="K34" s="53" t="s">
        <v>2270</v>
      </c>
      <c r="L34" s="54" t="s">
        <v>2271</v>
      </c>
      <c r="M34" s="734">
        <v>3</v>
      </c>
      <c r="N34" s="73">
        <v>3</v>
      </c>
      <c r="O34" s="73">
        <v>3</v>
      </c>
      <c r="P34" s="73">
        <v>4</v>
      </c>
      <c r="Q34" s="73">
        <v>4</v>
      </c>
      <c r="R34" s="73">
        <v>3</v>
      </c>
      <c r="S34" s="73">
        <v>3</v>
      </c>
      <c r="T34" s="73">
        <v>0</v>
      </c>
      <c r="U34" s="131">
        <f t="shared" si="7"/>
        <v>23</v>
      </c>
      <c r="V34" s="75">
        <v>67</v>
      </c>
      <c r="W34" s="73">
        <v>31</v>
      </c>
      <c r="X34" s="73">
        <v>52</v>
      </c>
      <c r="Y34" s="73">
        <v>32</v>
      </c>
      <c r="Z34" s="73">
        <v>79</v>
      </c>
      <c r="AA34" s="73">
        <v>32</v>
      </c>
      <c r="AB34" s="73">
        <v>83</v>
      </c>
      <c r="AC34" s="73">
        <v>37</v>
      </c>
      <c r="AD34" s="73">
        <v>89</v>
      </c>
      <c r="AE34" s="73">
        <v>41</v>
      </c>
      <c r="AF34" s="73">
        <v>62</v>
      </c>
      <c r="AG34" s="73">
        <v>12</v>
      </c>
      <c r="AH34" s="132">
        <f t="shared" si="8"/>
        <v>432</v>
      </c>
      <c r="AI34" s="131">
        <f t="shared" si="8"/>
        <v>185</v>
      </c>
      <c r="AJ34" s="311">
        <v>18</v>
      </c>
      <c r="AK34" s="73">
        <v>7</v>
      </c>
      <c r="AL34" s="73">
        <v>0</v>
      </c>
      <c r="AM34" s="74">
        <v>0</v>
      </c>
      <c r="AN34" s="76"/>
    </row>
    <row r="35" spans="1:40" ht="17.100000000000001" customHeight="1">
      <c r="A35" s="168" t="s">
        <v>25</v>
      </c>
      <c r="B35" s="168" t="s">
        <v>262</v>
      </c>
      <c r="C35" s="168" t="s">
        <v>2820</v>
      </c>
      <c r="D35" s="168" t="s">
        <v>4</v>
      </c>
      <c r="E35" s="168" t="s">
        <v>4203</v>
      </c>
      <c r="F35" s="71">
        <v>13624</v>
      </c>
      <c r="G35" s="50" t="s">
        <v>4204</v>
      </c>
      <c r="H35" s="72">
        <v>17001</v>
      </c>
      <c r="I35" s="52">
        <v>22521</v>
      </c>
      <c r="J35" s="53" t="s">
        <v>4205</v>
      </c>
      <c r="K35" s="53" t="s">
        <v>4206</v>
      </c>
      <c r="L35" s="54" t="s">
        <v>4207</v>
      </c>
      <c r="M35" s="734">
        <v>1</v>
      </c>
      <c r="N35" s="73">
        <v>2</v>
      </c>
      <c r="O35" s="73">
        <v>2</v>
      </c>
      <c r="P35" s="73">
        <v>2</v>
      </c>
      <c r="Q35" s="73">
        <v>3</v>
      </c>
      <c r="R35" s="73">
        <v>3</v>
      </c>
      <c r="S35" s="73">
        <v>2</v>
      </c>
      <c r="T35" s="73">
        <v>0</v>
      </c>
      <c r="U35" s="131">
        <f t="shared" si="7"/>
        <v>15</v>
      </c>
      <c r="V35" s="75">
        <v>24</v>
      </c>
      <c r="W35" s="73">
        <v>17</v>
      </c>
      <c r="X35" s="73">
        <v>27</v>
      </c>
      <c r="Y35" s="73">
        <v>6</v>
      </c>
      <c r="Z35" s="73">
        <v>34</v>
      </c>
      <c r="AA35" s="73">
        <v>19</v>
      </c>
      <c r="AB35" s="73">
        <v>48</v>
      </c>
      <c r="AC35" s="73">
        <v>27</v>
      </c>
      <c r="AD35" s="73">
        <v>77</v>
      </c>
      <c r="AE35" s="73">
        <v>35</v>
      </c>
      <c r="AF35" s="73">
        <v>74</v>
      </c>
      <c r="AG35" s="73">
        <v>34</v>
      </c>
      <c r="AH35" s="132">
        <f t="shared" si="8"/>
        <v>284</v>
      </c>
      <c r="AI35" s="131">
        <f t="shared" si="8"/>
        <v>138</v>
      </c>
      <c r="AJ35" s="75">
        <v>12</v>
      </c>
      <c r="AK35" s="73">
        <v>1</v>
      </c>
      <c r="AL35" s="73">
        <v>0</v>
      </c>
      <c r="AM35" s="74">
        <v>0</v>
      </c>
      <c r="AN35" s="76"/>
    </row>
    <row r="36" spans="1:40" s="339" customFormat="1" ht="17.100000000000001" customHeight="1">
      <c r="A36" s="168" t="s">
        <v>25</v>
      </c>
      <c r="B36" s="168" t="s">
        <v>262</v>
      </c>
      <c r="C36" s="168" t="s">
        <v>2820</v>
      </c>
      <c r="D36" s="168" t="s">
        <v>4</v>
      </c>
      <c r="E36" s="168" t="s">
        <v>2272</v>
      </c>
      <c r="F36" s="71" t="s">
        <v>4208</v>
      </c>
      <c r="G36" s="50" t="s">
        <v>2273</v>
      </c>
      <c r="H36" s="72">
        <v>14007.3</v>
      </c>
      <c r="I36" s="52">
        <v>22564</v>
      </c>
      <c r="J36" s="53" t="s">
        <v>2274</v>
      </c>
      <c r="K36" s="53" t="s">
        <v>2275</v>
      </c>
      <c r="L36" s="54" t="s">
        <v>2276</v>
      </c>
      <c r="M36" s="734">
        <v>2</v>
      </c>
      <c r="N36" s="73">
        <v>2</v>
      </c>
      <c r="O36" s="73">
        <v>2</v>
      </c>
      <c r="P36" s="73">
        <v>2</v>
      </c>
      <c r="Q36" s="73">
        <v>3</v>
      </c>
      <c r="R36" s="73">
        <v>2</v>
      </c>
      <c r="S36" s="73">
        <v>2</v>
      </c>
      <c r="T36" s="73">
        <v>0</v>
      </c>
      <c r="U36" s="131">
        <f t="shared" si="7"/>
        <v>15</v>
      </c>
      <c r="V36" s="75">
        <v>37</v>
      </c>
      <c r="W36" s="73">
        <v>18</v>
      </c>
      <c r="X36" s="73">
        <v>34</v>
      </c>
      <c r="Y36" s="73">
        <v>20</v>
      </c>
      <c r="Z36" s="73">
        <v>41</v>
      </c>
      <c r="AA36" s="73">
        <v>20</v>
      </c>
      <c r="AB36" s="73">
        <v>39</v>
      </c>
      <c r="AC36" s="73">
        <v>21</v>
      </c>
      <c r="AD36" s="73">
        <v>53</v>
      </c>
      <c r="AE36" s="73">
        <v>26</v>
      </c>
      <c r="AF36" s="73">
        <v>39</v>
      </c>
      <c r="AG36" s="73">
        <v>18</v>
      </c>
      <c r="AH36" s="132">
        <f t="shared" si="8"/>
        <v>243</v>
      </c>
      <c r="AI36" s="131">
        <f t="shared" si="8"/>
        <v>123</v>
      </c>
      <c r="AJ36" s="311">
        <v>12</v>
      </c>
      <c r="AK36" s="73">
        <v>4</v>
      </c>
      <c r="AL36" s="73">
        <v>0</v>
      </c>
      <c r="AM36" s="74">
        <v>0</v>
      </c>
      <c r="AN36" s="76"/>
    </row>
    <row r="37" spans="1:40" ht="17.100000000000001" customHeight="1">
      <c r="A37" s="1625" t="s">
        <v>463</v>
      </c>
      <c r="B37" s="1626"/>
      <c r="C37" s="1066"/>
      <c r="D37" s="179">
        <f>COUNTA(D31:D36)</f>
        <v>6</v>
      </c>
      <c r="E37" s="283"/>
      <c r="F37" s="284"/>
      <c r="G37" s="181"/>
      <c r="H37" s="286"/>
      <c r="I37" s="287"/>
      <c r="J37" s="285"/>
      <c r="K37" s="285"/>
      <c r="L37" s="288"/>
      <c r="M37" s="330">
        <f>SUM(M31:M36)</f>
        <v>14</v>
      </c>
      <c r="N37" s="290">
        <f>SUM(N31:N36)</f>
        <v>15</v>
      </c>
      <c r="O37" s="290">
        <f t="shared" ref="O37:T37" si="9">SUM(O31:O36)</f>
        <v>15</v>
      </c>
      <c r="P37" s="290">
        <f t="shared" si="9"/>
        <v>18</v>
      </c>
      <c r="Q37" s="290">
        <f t="shared" si="9"/>
        <v>19</v>
      </c>
      <c r="R37" s="290">
        <f t="shared" si="9"/>
        <v>19</v>
      </c>
      <c r="S37" s="290">
        <f t="shared" si="9"/>
        <v>15</v>
      </c>
      <c r="T37" s="290">
        <f t="shared" si="9"/>
        <v>0</v>
      </c>
      <c r="U37" s="291">
        <f>SUM(U31:U36)</f>
        <v>115</v>
      </c>
      <c r="V37" s="289">
        <f>SUM(V31:V36)</f>
        <v>270</v>
      </c>
      <c r="W37" s="290">
        <f>SUM(W31:W36)</f>
        <v>144</v>
      </c>
      <c r="X37" s="290">
        <f t="shared" ref="X37:AG37" si="10">SUM(X31:X36)</f>
        <v>270</v>
      </c>
      <c r="Y37" s="290">
        <f t="shared" si="10"/>
        <v>130</v>
      </c>
      <c r="Z37" s="290">
        <f t="shared" si="10"/>
        <v>304</v>
      </c>
      <c r="AA37" s="290">
        <f t="shared" si="10"/>
        <v>150</v>
      </c>
      <c r="AB37" s="290">
        <f t="shared" si="10"/>
        <v>365</v>
      </c>
      <c r="AC37" s="290">
        <f t="shared" si="10"/>
        <v>172</v>
      </c>
      <c r="AD37" s="290">
        <f t="shared" si="10"/>
        <v>414</v>
      </c>
      <c r="AE37" s="290">
        <f t="shared" si="10"/>
        <v>178</v>
      </c>
      <c r="AF37" s="290">
        <f t="shared" si="10"/>
        <v>387</v>
      </c>
      <c r="AG37" s="290">
        <f t="shared" si="10"/>
        <v>160</v>
      </c>
      <c r="AH37" s="290">
        <f t="shared" ref="AH37:AM37" si="11">SUM(AH31:AH36)</f>
        <v>2010</v>
      </c>
      <c r="AI37" s="291">
        <f t="shared" si="11"/>
        <v>934</v>
      </c>
      <c r="AJ37" s="289">
        <f t="shared" si="11"/>
        <v>83</v>
      </c>
      <c r="AK37" s="290">
        <f t="shared" si="11"/>
        <v>22</v>
      </c>
      <c r="AL37" s="290">
        <f t="shared" si="11"/>
        <v>0</v>
      </c>
      <c r="AM37" s="291">
        <f t="shared" si="11"/>
        <v>0</v>
      </c>
      <c r="AN37" s="331"/>
    </row>
    <row r="38" spans="1:40" ht="17.100000000000001" customHeight="1">
      <c r="A38" s="168" t="s">
        <v>25</v>
      </c>
      <c r="B38" s="168" t="s">
        <v>262</v>
      </c>
      <c r="C38" s="168" t="s">
        <v>2820</v>
      </c>
      <c r="D38" s="168" t="s">
        <v>5</v>
      </c>
      <c r="E38" s="168" t="s">
        <v>4209</v>
      </c>
      <c r="F38" s="71" t="s">
        <v>2865</v>
      </c>
      <c r="G38" s="50" t="s">
        <v>4210</v>
      </c>
      <c r="H38" s="312">
        <v>9788.7999999999993</v>
      </c>
      <c r="I38" s="52">
        <v>22564</v>
      </c>
      <c r="J38" s="53" t="s">
        <v>4211</v>
      </c>
      <c r="K38" s="53" t="s">
        <v>4212</v>
      </c>
      <c r="L38" s="54" t="s">
        <v>4213</v>
      </c>
      <c r="M38" s="1072">
        <v>2</v>
      </c>
      <c r="N38" s="162">
        <v>3</v>
      </c>
      <c r="O38" s="162">
        <v>3</v>
      </c>
      <c r="P38" s="162">
        <v>2</v>
      </c>
      <c r="Q38" s="162">
        <v>2</v>
      </c>
      <c r="R38" s="162">
        <v>2</v>
      </c>
      <c r="S38" s="162">
        <v>0</v>
      </c>
      <c r="T38" s="162">
        <v>0</v>
      </c>
      <c r="U38" s="137">
        <f>SUM(M38:T38)</f>
        <v>14</v>
      </c>
      <c r="V38" s="311">
        <v>57</v>
      </c>
      <c r="W38" s="162">
        <v>29</v>
      </c>
      <c r="X38" s="162">
        <v>87</v>
      </c>
      <c r="Y38" s="162">
        <v>42</v>
      </c>
      <c r="Z38" s="162">
        <v>74</v>
      </c>
      <c r="AA38" s="162">
        <v>39</v>
      </c>
      <c r="AB38" s="162">
        <v>42</v>
      </c>
      <c r="AC38" s="162">
        <v>23</v>
      </c>
      <c r="AD38" s="162">
        <v>44</v>
      </c>
      <c r="AE38" s="162">
        <v>21</v>
      </c>
      <c r="AF38" s="162">
        <v>40</v>
      </c>
      <c r="AG38" s="162">
        <v>14</v>
      </c>
      <c r="AH38" s="138">
        <f>V38+X38+Z38+AB38+AD38+AF38</f>
        <v>344</v>
      </c>
      <c r="AI38" s="137">
        <f>W38+Y38+AA38+AC38+AE38+AG38</f>
        <v>168</v>
      </c>
      <c r="AJ38" s="311">
        <v>0</v>
      </c>
      <c r="AK38" s="162">
        <v>0</v>
      </c>
      <c r="AL38" s="162">
        <v>0</v>
      </c>
      <c r="AM38" s="800">
        <v>0</v>
      </c>
      <c r="AN38" s="76"/>
    </row>
    <row r="39" spans="1:40" ht="17.100000000000001" customHeight="1">
      <c r="A39" s="168" t="s">
        <v>25</v>
      </c>
      <c r="B39" s="168" t="s">
        <v>262</v>
      </c>
      <c r="C39" s="168" t="s">
        <v>2820</v>
      </c>
      <c r="D39" s="168" t="s">
        <v>5</v>
      </c>
      <c r="E39" s="168" t="s">
        <v>2277</v>
      </c>
      <c r="F39" s="71">
        <v>16862</v>
      </c>
      <c r="G39" s="50" t="s">
        <v>2278</v>
      </c>
      <c r="H39" s="312">
        <v>6839.1</v>
      </c>
      <c r="I39" s="52">
        <v>22555</v>
      </c>
      <c r="J39" s="53" t="s">
        <v>2279</v>
      </c>
      <c r="K39" s="53" t="s">
        <v>2279</v>
      </c>
      <c r="L39" s="54" t="s">
        <v>2280</v>
      </c>
      <c r="M39" s="734">
        <v>3</v>
      </c>
      <c r="N39" s="73">
        <v>3</v>
      </c>
      <c r="O39" s="73">
        <v>3</v>
      </c>
      <c r="P39" s="73">
        <v>3</v>
      </c>
      <c r="Q39" s="73">
        <v>3</v>
      </c>
      <c r="R39" s="73">
        <v>2</v>
      </c>
      <c r="S39" s="73">
        <v>0</v>
      </c>
      <c r="T39" s="73">
        <v>0</v>
      </c>
      <c r="U39" s="131">
        <f>SUM(M39:T39)</f>
        <v>17</v>
      </c>
      <c r="V39" s="75">
        <v>84</v>
      </c>
      <c r="W39" s="73">
        <v>43</v>
      </c>
      <c r="X39" s="73">
        <v>85</v>
      </c>
      <c r="Y39" s="73">
        <v>39</v>
      </c>
      <c r="Z39" s="73">
        <v>79</v>
      </c>
      <c r="AA39" s="73">
        <v>37</v>
      </c>
      <c r="AB39" s="73">
        <v>77</v>
      </c>
      <c r="AC39" s="73">
        <v>31</v>
      </c>
      <c r="AD39" s="73">
        <v>77</v>
      </c>
      <c r="AE39" s="73">
        <v>38</v>
      </c>
      <c r="AF39" s="73">
        <v>47</v>
      </c>
      <c r="AG39" s="73">
        <v>28</v>
      </c>
      <c r="AH39" s="132">
        <f>V39+X39+Z39+AB39+AD39+AF39</f>
        <v>449</v>
      </c>
      <c r="AI39" s="131">
        <f>W39+Y39+AA39+AC39+AE39+AG39</f>
        <v>216</v>
      </c>
      <c r="AJ39" s="75">
        <v>0</v>
      </c>
      <c r="AK39" s="73">
        <v>0</v>
      </c>
      <c r="AL39" s="73">
        <v>0</v>
      </c>
      <c r="AM39" s="74">
        <v>0</v>
      </c>
      <c r="AN39" s="76"/>
    </row>
    <row r="40" spans="1:40" ht="17.100000000000001" customHeight="1">
      <c r="A40" s="1656" t="s">
        <v>712</v>
      </c>
      <c r="B40" s="1657"/>
      <c r="C40" s="1067"/>
      <c r="D40" s="188">
        <f>COUNTA(D38:D39)</f>
        <v>2</v>
      </c>
      <c r="E40" s="292"/>
      <c r="F40" s="293"/>
      <c r="G40" s="190"/>
      <c r="H40" s="340"/>
      <c r="I40" s="296"/>
      <c r="J40" s="294"/>
      <c r="K40" s="294"/>
      <c r="L40" s="297"/>
      <c r="M40" s="341">
        <f>SUM(M38:M39)</f>
        <v>5</v>
      </c>
      <c r="N40" s="301">
        <f>SUM(N38:N39)</f>
        <v>6</v>
      </c>
      <c r="O40" s="301">
        <f t="shared" ref="O40:T40" si="12">SUM(O38:O39)</f>
        <v>6</v>
      </c>
      <c r="P40" s="301">
        <f t="shared" si="12"/>
        <v>5</v>
      </c>
      <c r="Q40" s="301">
        <f t="shared" si="12"/>
        <v>5</v>
      </c>
      <c r="R40" s="301">
        <f t="shared" si="12"/>
        <v>4</v>
      </c>
      <c r="S40" s="301">
        <f t="shared" si="12"/>
        <v>0</v>
      </c>
      <c r="T40" s="301">
        <f t="shared" si="12"/>
        <v>0</v>
      </c>
      <c r="U40" s="300">
        <f>SUM(U38:U39)</f>
        <v>31</v>
      </c>
      <c r="V40" s="342">
        <f>SUM(V38:V39)</f>
        <v>141</v>
      </c>
      <c r="W40" s="301">
        <f>SUM(W38:W39)</f>
        <v>72</v>
      </c>
      <c r="X40" s="301">
        <f t="shared" ref="X40:AH40" si="13">SUM(X38:X39)</f>
        <v>172</v>
      </c>
      <c r="Y40" s="301">
        <f t="shared" si="13"/>
        <v>81</v>
      </c>
      <c r="Z40" s="301">
        <f t="shared" si="13"/>
        <v>153</v>
      </c>
      <c r="AA40" s="301">
        <f t="shared" si="13"/>
        <v>76</v>
      </c>
      <c r="AB40" s="301">
        <f t="shared" si="13"/>
        <v>119</v>
      </c>
      <c r="AC40" s="301">
        <f t="shared" si="13"/>
        <v>54</v>
      </c>
      <c r="AD40" s="301">
        <f t="shared" si="13"/>
        <v>121</v>
      </c>
      <c r="AE40" s="301">
        <f t="shared" si="13"/>
        <v>59</v>
      </c>
      <c r="AF40" s="301">
        <f t="shared" si="13"/>
        <v>87</v>
      </c>
      <c r="AG40" s="301">
        <f t="shared" si="13"/>
        <v>42</v>
      </c>
      <c r="AH40" s="301">
        <f t="shared" si="13"/>
        <v>793</v>
      </c>
      <c r="AI40" s="300">
        <f>SUM(AI38:AI39)</f>
        <v>384</v>
      </c>
      <c r="AJ40" s="342">
        <f>SUM(AJ38:AJ39)</f>
        <v>0</v>
      </c>
      <c r="AK40" s="301">
        <f>SUM(AK38:AK39)</f>
        <v>0</v>
      </c>
      <c r="AL40" s="301">
        <f>SUM(AL38:AL39)</f>
        <v>0</v>
      </c>
      <c r="AM40" s="300">
        <f>SUM(AM38:AM39)</f>
        <v>0</v>
      </c>
      <c r="AN40" s="343"/>
    </row>
    <row r="41" spans="1:40" ht="17.100000000000001" customHeight="1">
      <c r="A41" s="1627" t="s">
        <v>713</v>
      </c>
      <c r="B41" s="1628"/>
      <c r="C41" s="1628"/>
      <c r="D41" s="1629"/>
      <c r="E41" s="332">
        <f>D37+D40</f>
        <v>8</v>
      </c>
      <c r="F41" s="302"/>
      <c r="G41" s="222"/>
      <c r="H41" s="334"/>
      <c r="I41" s="305"/>
      <c r="J41" s="303"/>
      <c r="K41" s="303"/>
      <c r="L41" s="306"/>
      <c r="M41" s="335">
        <f t="shared" ref="M41:AM41" si="14">M37+M40</f>
        <v>19</v>
      </c>
      <c r="N41" s="310">
        <f t="shared" si="14"/>
        <v>21</v>
      </c>
      <c r="O41" s="310">
        <f t="shared" si="14"/>
        <v>21</v>
      </c>
      <c r="P41" s="310">
        <f t="shared" si="14"/>
        <v>23</v>
      </c>
      <c r="Q41" s="310">
        <f t="shared" si="14"/>
        <v>24</v>
      </c>
      <c r="R41" s="310">
        <f t="shared" si="14"/>
        <v>23</v>
      </c>
      <c r="S41" s="310">
        <f t="shared" si="14"/>
        <v>15</v>
      </c>
      <c r="T41" s="310">
        <f t="shared" si="14"/>
        <v>0</v>
      </c>
      <c r="U41" s="309">
        <f t="shared" si="14"/>
        <v>146</v>
      </c>
      <c r="V41" s="336">
        <f t="shared" si="14"/>
        <v>411</v>
      </c>
      <c r="W41" s="310">
        <f t="shared" si="14"/>
        <v>216</v>
      </c>
      <c r="X41" s="310">
        <f t="shared" si="14"/>
        <v>442</v>
      </c>
      <c r="Y41" s="310">
        <f t="shared" si="14"/>
        <v>211</v>
      </c>
      <c r="Z41" s="310">
        <f t="shared" si="14"/>
        <v>457</v>
      </c>
      <c r="AA41" s="310">
        <f t="shared" si="14"/>
        <v>226</v>
      </c>
      <c r="AB41" s="310">
        <f t="shared" si="14"/>
        <v>484</v>
      </c>
      <c r="AC41" s="310">
        <f t="shared" si="14"/>
        <v>226</v>
      </c>
      <c r="AD41" s="310">
        <f t="shared" si="14"/>
        <v>535</v>
      </c>
      <c r="AE41" s="310">
        <f t="shared" si="14"/>
        <v>237</v>
      </c>
      <c r="AF41" s="310">
        <f t="shared" si="14"/>
        <v>474</v>
      </c>
      <c r="AG41" s="310">
        <f t="shared" si="14"/>
        <v>202</v>
      </c>
      <c r="AH41" s="310">
        <f t="shared" si="14"/>
        <v>2803</v>
      </c>
      <c r="AI41" s="309">
        <f t="shared" si="14"/>
        <v>1318</v>
      </c>
      <c r="AJ41" s="336">
        <f t="shared" si="14"/>
        <v>83</v>
      </c>
      <c r="AK41" s="310">
        <f t="shared" si="14"/>
        <v>22</v>
      </c>
      <c r="AL41" s="310">
        <f t="shared" si="14"/>
        <v>0</v>
      </c>
      <c r="AM41" s="309">
        <f t="shared" si="14"/>
        <v>0</v>
      </c>
      <c r="AN41" s="337"/>
    </row>
    <row r="42" spans="1:40" ht="17.100000000000001" customHeight="1">
      <c r="A42" s="168" t="s">
        <v>25</v>
      </c>
      <c r="B42" s="168" t="s">
        <v>296</v>
      </c>
      <c r="C42" s="168" t="s">
        <v>296</v>
      </c>
      <c r="D42" s="168" t="s">
        <v>4</v>
      </c>
      <c r="E42" s="168" t="s">
        <v>2281</v>
      </c>
      <c r="F42" s="71">
        <v>7792</v>
      </c>
      <c r="G42" s="50" t="s">
        <v>2282</v>
      </c>
      <c r="H42" s="312">
        <v>13313</v>
      </c>
      <c r="I42" s="52">
        <v>23105</v>
      </c>
      <c r="J42" s="53" t="s">
        <v>2283</v>
      </c>
      <c r="K42" s="53" t="s">
        <v>2284</v>
      </c>
      <c r="L42" s="54" t="s">
        <v>2285</v>
      </c>
      <c r="M42" s="734">
        <v>1</v>
      </c>
      <c r="N42" s="73">
        <v>1</v>
      </c>
      <c r="O42" s="73">
        <v>1</v>
      </c>
      <c r="P42" s="73">
        <v>1</v>
      </c>
      <c r="Q42" s="73">
        <v>1</v>
      </c>
      <c r="R42" s="73">
        <v>0</v>
      </c>
      <c r="S42" s="73">
        <v>0</v>
      </c>
      <c r="T42" s="73">
        <v>0</v>
      </c>
      <c r="U42" s="131">
        <f t="shared" ref="U42:U49" si="15">SUM(M42:T42)</f>
        <v>5</v>
      </c>
      <c r="V42" s="75">
        <v>4</v>
      </c>
      <c r="W42" s="73">
        <v>2</v>
      </c>
      <c r="X42" s="73">
        <v>3</v>
      </c>
      <c r="Y42" s="73">
        <v>1</v>
      </c>
      <c r="Z42" s="73">
        <v>3</v>
      </c>
      <c r="AA42" s="73">
        <v>1</v>
      </c>
      <c r="AB42" s="73">
        <v>5</v>
      </c>
      <c r="AC42" s="73">
        <v>2</v>
      </c>
      <c r="AD42" s="73">
        <v>1</v>
      </c>
      <c r="AE42" s="73">
        <v>0</v>
      </c>
      <c r="AF42" s="73">
        <v>0</v>
      </c>
      <c r="AG42" s="73">
        <v>0</v>
      </c>
      <c r="AH42" s="132">
        <f t="shared" ref="AH42:AI49" si="16">V42+X42+Z42+AB42+AD42+AF42</f>
        <v>16</v>
      </c>
      <c r="AI42" s="131">
        <f t="shared" si="16"/>
        <v>6</v>
      </c>
      <c r="AJ42" s="75">
        <v>0</v>
      </c>
      <c r="AK42" s="73">
        <v>0</v>
      </c>
      <c r="AL42" s="73">
        <v>0</v>
      </c>
      <c r="AM42" s="74">
        <v>0</v>
      </c>
      <c r="AN42" s="76"/>
    </row>
    <row r="43" spans="1:40" ht="17.100000000000001" customHeight="1">
      <c r="A43" s="167" t="s">
        <v>25</v>
      </c>
      <c r="B43" s="167" t="s">
        <v>296</v>
      </c>
      <c r="C43" s="168" t="s">
        <v>296</v>
      </c>
      <c r="D43" s="167" t="s">
        <v>4</v>
      </c>
      <c r="E43" s="168" t="s">
        <v>2286</v>
      </c>
      <c r="F43" s="71">
        <v>12175</v>
      </c>
      <c r="G43" s="50" t="s">
        <v>2079</v>
      </c>
      <c r="H43" s="312">
        <v>18696</v>
      </c>
      <c r="I43" s="52">
        <v>23130</v>
      </c>
      <c r="J43" s="53" t="s">
        <v>2287</v>
      </c>
      <c r="K43" s="53" t="s">
        <v>2080</v>
      </c>
      <c r="L43" s="54" t="s">
        <v>2288</v>
      </c>
      <c r="M43" s="734">
        <v>1</v>
      </c>
      <c r="N43" s="78">
        <v>0</v>
      </c>
      <c r="O43" s="78">
        <v>1</v>
      </c>
      <c r="P43" s="78">
        <v>1</v>
      </c>
      <c r="Q43" s="78">
        <v>0</v>
      </c>
      <c r="R43" s="78">
        <v>1</v>
      </c>
      <c r="S43" s="78">
        <v>1</v>
      </c>
      <c r="T43" s="78">
        <v>0</v>
      </c>
      <c r="U43" s="131">
        <f t="shared" si="15"/>
        <v>5</v>
      </c>
      <c r="V43" s="79">
        <v>2</v>
      </c>
      <c r="W43" s="78">
        <v>0</v>
      </c>
      <c r="X43" s="78">
        <v>0</v>
      </c>
      <c r="Y43" s="78">
        <v>0</v>
      </c>
      <c r="Z43" s="78">
        <v>6</v>
      </c>
      <c r="AA43" s="78">
        <v>3</v>
      </c>
      <c r="AB43" s="78">
        <v>1</v>
      </c>
      <c r="AC43" s="78">
        <v>1</v>
      </c>
      <c r="AD43" s="78">
        <v>2</v>
      </c>
      <c r="AE43" s="78">
        <v>0</v>
      </c>
      <c r="AF43" s="78">
        <v>2</v>
      </c>
      <c r="AG43" s="78">
        <v>1</v>
      </c>
      <c r="AH43" s="132">
        <f t="shared" si="16"/>
        <v>13</v>
      </c>
      <c r="AI43" s="131">
        <f t="shared" si="16"/>
        <v>5</v>
      </c>
      <c r="AJ43" s="79">
        <v>1</v>
      </c>
      <c r="AK43" s="78">
        <v>0</v>
      </c>
      <c r="AL43" s="78">
        <v>0</v>
      </c>
      <c r="AM43" s="80">
        <v>0</v>
      </c>
      <c r="AN43" s="903" t="s">
        <v>4214</v>
      </c>
    </row>
    <row r="44" spans="1:40" ht="17.100000000000001" customHeight="1">
      <c r="A44" s="168" t="s">
        <v>25</v>
      </c>
      <c r="B44" s="168" t="s">
        <v>296</v>
      </c>
      <c r="C44" s="168" t="s">
        <v>296</v>
      </c>
      <c r="D44" s="168" t="s">
        <v>444</v>
      </c>
      <c r="E44" s="168" t="s">
        <v>2289</v>
      </c>
      <c r="F44" s="71">
        <v>13606</v>
      </c>
      <c r="G44" s="50" t="s">
        <v>2290</v>
      </c>
      <c r="H44" s="312">
        <v>22553</v>
      </c>
      <c r="I44" s="52">
        <v>23101</v>
      </c>
      <c r="J44" s="53" t="s">
        <v>2291</v>
      </c>
      <c r="K44" s="53" t="s">
        <v>2292</v>
      </c>
      <c r="L44" s="54" t="s">
        <v>2293</v>
      </c>
      <c r="M44" s="734">
        <v>1</v>
      </c>
      <c r="N44" s="73">
        <v>1</v>
      </c>
      <c r="O44" s="73">
        <v>1</v>
      </c>
      <c r="P44" s="73">
        <v>1</v>
      </c>
      <c r="Q44" s="73">
        <v>1</v>
      </c>
      <c r="R44" s="73">
        <v>1</v>
      </c>
      <c r="S44" s="73">
        <v>0</v>
      </c>
      <c r="T44" s="73">
        <v>0</v>
      </c>
      <c r="U44" s="131">
        <f t="shared" si="15"/>
        <v>6</v>
      </c>
      <c r="V44" s="1072">
        <v>7</v>
      </c>
      <c r="W44" s="718">
        <v>1</v>
      </c>
      <c r="X44" s="718">
        <v>10</v>
      </c>
      <c r="Y44" s="718">
        <v>5</v>
      </c>
      <c r="Z44" s="718">
        <v>1</v>
      </c>
      <c r="AA44" s="718">
        <v>0</v>
      </c>
      <c r="AB44" s="718">
        <v>7</v>
      </c>
      <c r="AC44" s="718">
        <v>3</v>
      </c>
      <c r="AD44" s="718">
        <v>10</v>
      </c>
      <c r="AE44" s="718">
        <v>5</v>
      </c>
      <c r="AF44" s="718">
        <v>7</v>
      </c>
      <c r="AG44" s="718">
        <v>6</v>
      </c>
      <c r="AH44" s="132">
        <f t="shared" si="16"/>
        <v>42</v>
      </c>
      <c r="AI44" s="131">
        <f t="shared" si="16"/>
        <v>20</v>
      </c>
      <c r="AJ44" s="75">
        <v>0</v>
      </c>
      <c r="AK44" s="73">
        <v>0</v>
      </c>
      <c r="AL44" s="73">
        <v>0</v>
      </c>
      <c r="AM44" s="74">
        <v>0</v>
      </c>
      <c r="AN44" s="76"/>
    </row>
    <row r="45" spans="1:40" ht="17.100000000000001" customHeight="1">
      <c r="A45" s="168" t="s">
        <v>25</v>
      </c>
      <c r="B45" s="168" t="s">
        <v>296</v>
      </c>
      <c r="C45" s="168" t="s">
        <v>296</v>
      </c>
      <c r="D45" s="168" t="s">
        <v>4</v>
      </c>
      <c r="E45" s="168" t="s">
        <v>2294</v>
      </c>
      <c r="F45" s="71">
        <v>20716</v>
      </c>
      <c r="G45" s="50" t="s">
        <v>4215</v>
      </c>
      <c r="H45" s="72">
        <v>25598</v>
      </c>
      <c r="I45" s="52">
        <v>23103</v>
      </c>
      <c r="J45" s="53" t="s">
        <v>2295</v>
      </c>
      <c r="K45" s="53" t="s">
        <v>2296</v>
      </c>
      <c r="L45" s="54" t="s">
        <v>2297</v>
      </c>
      <c r="M45" s="734">
        <v>1</v>
      </c>
      <c r="N45" s="73">
        <v>1</v>
      </c>
      <c r="O45" s="73">
        <v>1</v>
      </c>
      <c r="P45" s="73">
        <v>1</v>
      </c>
      <c r="Q45" s="73">
        <v>1</v>
      </c>
      <c r="R45" s="73">
        <v>1</v>
      </c>
      <c r="S45" s="73">
        <v>1</v>
      </c>
      <c r="T45" s="73">
        <v>0</v>
      </c>
      <c r="U45" s="131">
        <f t="shared" si="15"/>
        <v>7</v>
      </c>
      <c r="V45" s="75">
        <v>13</v>
      </c>
      <c r="W45" s="73">
        <v>5</v>
      </c>
      <c r="X45" s="73">
        <v>9</v>
      </c>
      <c r="Y45" s="73">
        <v>2</v>
      </c>
      <c r="Z45" s="73">
        <v>9</v>
      </c>
      <c r="AA45" s="73">
        <v>6</v>
      </c>
      <c r="AB45" s="73">
        <v>9</v>
      </c>
      <c r="AC45" s="73">
        <v>6</v>
      </c>
      <c r="AD45" s="73">
        <v>9</v>
      </c>
      <c r="AE45" s="73">
        <v>3</v>
      </c>
      <c r="AF45" s="73">
        <v>12</v>
      </c>
      <c r="AG45" s="73">
        <v>6</v>
      </c>
      <c r="AH45" s="132">
        <f t="shared" si="16"/>
        <v>61</v>
      </c>
      <c r="AI45" s="131">
        <f t="shared" si="16"/>
        <v>28</v>
      </c>
      <c r="AJ45" s="75">
        <v>1</v>
      </c>
      <c r="AK45" s="73">
        <v>0</v>
      </c>
      <c r="AL45" s="73">
        <v>0</v>
      </c>
      <c r="AM45" s="74">
        <v>0</v>
      </c>
      <c r="AN45" s="76"/>
    </row>
    <row r="46" spans="1:40" ht="17.100000000000001" customHeight="1">
      <c r="A46" s="168" t="s">
        <v>25</v>
      </c>
      <c r="B46" s="168" t="s">
        <v>296</v>
      </c>
      <c r="C46" s="168" t="s">
        <v>296</v>
      </c>
      <c r="D46" s="168" t="s">
        <v>4</v>
      </c>
      <c r="E46" s="168" t="s">
        <v>2298</v>
      </c>
      <c r="F46" s="71">
        <v>12905</v>
      </c>
      <c r="G46" s="50" t="s">
        <v>2299</v>
      </c>
      <c r="H46" s="72">
        <v>20121</v>
      </c>
      <c r="I46" s="52">
        <v>23108</v>
      </c>
      <c r="J46" s="53" t="s">
        <v>4216</v>
      </c>
      <c r="K46" s="53" t="s">
        <v>4217</v>
      </c>
      <c r="L46" s="54" t="s">
        <v>4218</v>
      </c>
      <c r="M46" s="734">
        <v>1</v>
      </c>
      <c r="N46" s="73">
        <v>1</v>
      </c>
      <c r="O46" s="73">
        <v>1</v>
      </c>
      <c r="P46" s="73">
        <v>1</v>
      </c>
      <c r="Q46" s="73">
        <v>1</v>
      </c>
      <c r="R46" s="73">
        <v>1</v>
      </c>
      <c r="S46" s="73">
        <v>0</v>
      </c>
      <c r="T46" s="73">
        <v>0</v>
      </c>
      <c r="U46" s="131">
        <f t="shared" si="15"/>
        <v>6</v>
      </c>
      <c r="V46" s="75">
        <v>2</v>
      </c>
      <c r="W46" s="73">
        <v>1</v>
      </c>
      <c r="X46" s="73">
        <v>2</v>
      </c>
      <c r="Y46" s="73">
        <v>0</v>
      </c>
      <c r="Z46" s="73">
        <v>3</v>
      </c>
      <c r="AA46" s="73">
        <v>0</v>
      </c>
      <c r="AB46" s="73">
        <v>3</v>
      </c>
      <c r="AC46" s="73">
        <v>3</v>
      </c>
      <c r="AD46" s="73">
        <v>3</v>
      </c>
      <c r="AE46" s="73">
        <v>1</v>
      </c>
      <c r="AF46" s="73">
        <v>5</v>
      </c>
      <c r="AG46" s="73">
        <v>4</v>
      </c>
      <c r="AH46" s="132">
        <f t="shared" si="16"/>
        <v>18</v>
      </c>
      <c r="AI46" s="131">
        <f t="shared" si="16"/>
        <v>9</v>
      </c>
      <c r="AJ46" s="75">
        <v>0</v>
      </c>
      <c r="AK46" s="73">
        <v>0</v>
      </c>
      <c r="AL46" s="73">
        <v>0</v>
      </c>
      <c r="AM46" s="74">
        <v>0</v>
      </c>
      <c r="AN46" s="76"/>
    </row>
    <row r="47" spans="1:40" ht="17.100000000000001" customHeight="1">
      <c r="A47" s="168" t="s">
        <v>25</v>
      </c>
      <c r="B47" s="168" t="s">
        <v>296</v>
      </c>
      <c r="C47" s="168" t="s">
        <v>296</v>
      </c>
      <c r="D47" s="168" t="s">
        <v>4</v>
      </c>
      <c r="E47" s="168" t="s">
        <v>2301</v>
      </c>
      <c r="F47" s="71">
        <v>12616</v>
      </c>
      <c r="G47" s="738" t="s">
        <v>4219</v>
      </c>
      <c r="H47" s="72">
        <v>43239</v>
      </c>
      <c r="I47" s="52">
        <v>23119</v>
      </c>
      <c r="J47" s="53" t="s">
        <v>4220</v>
      </c>
      <c r="K47" s="53" t="s">
        <v>2302</v>
      </c>
      <c r="L47" s="54" t="s">
        <v>2303</v>
      </c>
      <c r="M47" s="734">
        <v>2</v>
      </c>
      <c r="N47" s="73">
        <v>1</v>
      </c>
      <c r="O47" s="73">
        <v>1</v>
      </c>
      <c r="P47" s="73">
        <v>2</v>
      </c>
      <c r="Q47" s="73">
        <v>2</v>
      </c>
      <c r="R47" s="73">
        <v>2</v>
      </c>
      <c r="S47" s="73">
        <v>1</v>
      </c>
      <c r="T47" s="73">
        <v>0</v>
      </c>
      <c r="U47" s="131">
        <f t="shared" si="15"/>
        <v>11</v>
      </c>
      <c r="V47" s="75">
        <v>19</v>
      </c>
      <c r="W47" s="73">
        <v>10</v>
      </c>
      <c r="X47" s="73">
        <v>13</v>
      </c>
      <c r="Y47" s="73">
        <v>3</v>
      </c>
      <c r="Z47" s="73">
        <v>14</v>
      </c>
      <c r="AA47" s="73">
        <v>6</v>
      </c>
      <c r="AB47" s="73">
        <v>30</v>
      </c>
      <c r="AC47" s="73">
        <v>18</v>
      </c>
      <c r="AD47" s="73">
        <v>24</v>
      </c>
      <c r="AE47" s="73">
        <v>11</v>
      </c>
      <c r="AF47" s="73">
        <v>31</v>
      </c>
      <c r="AG47" s="73">
        <v>16</v>
      </c>
      <c r="AH47" s="132">
        <f t="shared" si="16"/>
        <v>131</v>
      </c>
      <c r="AI47" s="131">
        <f t="shared" si="16"/>
        <v>64</v>
      </c>
      <c r="AJ47" s="311">
        <v>2</v>
      </c>
      <c r="AK47" s="73">
        <v>1</v>
      </c>
      <c r="AL47" s="73">
        <v>0</v>
      </c>
      <c r="AM47" s="74">
        <v>0</v>
      </c>
      <c r="AN47" s="76"/>
    </row>
    <row r="48" spans="1:40" ht="17.100000000000001" customHeight="1">
      <c r="A48" s="168" t="s">
        <v>25</v>
      </c>
      <c r="B48" s="168" t="s">
        <v>296</v>
      </c>
      <c r="C48" s="168" t="s">
        <v>296</v>
      </c>
      <c r="D48" s="168" t="s">
        <v>4</v>
      </c>
      <c r="E48" s="168" t="s">
        <v>4221</v>
      </c>
      <c r="F48" s="71">
        <v>17127</v>
      </c>
      <c r="G48" s="50" t="s">
        <v>4222</v>
      </c>
      <c r="H48" s="72">
        <v>7127</v>
      </c>
      <c r="I48" s="52">
        <v>23115</v>
      </c>
      <c r="J48" s="53" t="s">
        <v>4223</v>
      </c>
      <c r="K48" s="53" t="s">
        <v>4224</v>
      </c>
      <c r="L48" s="54" t="s">
        <v>4225</v>
      </c>
      <c r="M48" s="734">
        <v>0</v>
      </c>
      <c r="N48" s="73">
        <v>0</v>
      </c>
      <c r="O48" s="73">
        <v>1</v>
      </c>
      <c r="P48" s="73">
        <v>1</v>
      </c>
      <c r="Q48" s="73">
        <v>0</v>
      </c>
      <c r="R48" s="73">
        <v>1</v>
      </c>
      <c r="S48" s="73"/>
      <c r="T48" s="73">
        <v>0</v>
      </c>
      <c r="U48" s="131">
        <f t="shared" si="15"/>
        <v>3</v>
      </c>
      <c r="V48" s="75">
        <v>0</v>
      </c>
      <c r="W48" s="73">
        <v>0</v>
      </c>
      <c r="X48" s="73">
        <v>1</v>
      </c>
      <c r="Y48" s="73">
        <v>1</v>
      </c>
      <c r="Z48" s="73">
        <v>2</v>
      </c>
      <c r="AA48" s="73">
        <v>2</v>
      </c>
      <c r="AB48" s="73">
        <v>4</v>
      </c>
      <c r="AC48" s="73">
        <v>1</v>
      </c>
      <c r="AD48" s="73">
        <v>1</v>
      </c>
      <c r="AE48" s="73">
        <v>1</v>
      </c>
      <c r="AF48" s="73">
        <v>1</v>
      </c>
      <c r="AG48" s="73">
        <v>1</v>
      </c>
      <c r="AH48" s="132">
        <f t="shared" si="16"/>
        <v>9</v>
      </c>
      <c r="AI48" s="131">
        <f t="shared" si="16"/>
        <v>6</v>
      </c>
      <c r="AJ48" s="75">
        <v>0</v>
      </c>
      <c r="AK48" s="73">
        <v>0</v>
      </c>
      <c r="AL48" s="73">
        <v>0</v>
      </c>
      <c r="AM48" s="74">
        <v>0</v>
      </c>
      <c r="AN48" s="915" t="s">
        <v>4226</v>
      </c>
    </row>
    <row r="49" spans="1:40" ht="17.100000000000001" customHeight="1">
      <c r="A49" s="168" t="s">
        <v>25</v>
      </c>
      <c r="B49" s="168" t="s">
        <v>296</v>
      </c>
      <c r="C49" s="168" t="s">
        <v>296</v>
      </c>
      <c r="D49" s="168" t="s">
        <v>4</v>
      </c>
      <c r="E49" s="168" t="s">
        <v>2813</v>
      </c>
      <c r="F49" s="71">
        <v>16664</v>
      </c>
      <c r="G49" s="50" t="s">
        <v>2305</v>
      </c>
      <c r="H49" s="72">
        <v>3264</v>
      </c>
      <c r="I49" s="52">
        <v>23128</v>
      </c>
      <c r="J49" s="53" t="s">
        <v>2306</v>
      </c>
      <c r="K49" s="53" t="s">
        <v>2307</v>
      </c>
      <c r="L49" s="54" t="s">
        <v>2308</v>
      </c>
      <c r="M49" s="734">
        <v>1</v>
      </c>
      <c r="N49" s="73">
        <v>0</v>
      </c>
      <c r="O49" s="73">
        <v>0</v>
      </c>
      <c r="P49" s="73">
        <v>0</v>
      </c>
      <c r="Q49" s="73">
        <v>1</v>
      </c>
      <c r="R49" s="73">
        <v>0</v>
      </c>
      <c r="S49" s="73"/>
      <c r="T49" s="73">
        <v>0</v>
      </c>
      <c r="U49" s="131">
        <f t="shared" si="15"/>
        <v>2</v>
      </c>
      <c r="V49" s="75">
        <v>1</v>
      </c>
      <c r="W49" s="73">
        <v>1</v>
      </c>
      <c r="X49" s="73">
        <v>0</v>
      </c>
      <c r="Y49" s="73">
        <v>0</v>
      </c>
      <c r="Z49" s="73">
        <v>0</v>
      </c>
      <c r="AA49" s="73">
        <v>0</v>
      </c>
      <c r="AB49" s="73">
        <v>1</v>
      </c>
      <c r="AC49" s="73">
        <v>0</v>
      </c>
      <c r="AD49" s="73">
        <v>1</v>
      </c>
      <c r="AE49" s="73">
        <v>0</v>
      </c>
      <c r="AF49" s="73">
        <v>0</v>
      </c>
      <c r="AG49" s="73">
        <v>0</v>
      </c>
      <c r="AH49" s="132">
        <f t="shared" si="16"/>
        <v>3</v>
      </c>
      <c r="AI49" s="131">
        <f t="shared" si="16"/>
        <v>1</v>
      </c>
      <c r="AJ49" s="75">
        <v>0</v>
      </c>
      <c r="AK49" s="73">
        <v>0</v>
      </c>
      <c r="AL49" s="73">
        <v>0</v>
      </c>
      <c r="AM49" s="74">
        <v>0</v>
      </c>
      <c r="AN49" s="915" t="s">
        <v>4227</v>
      </c>
    </row>
    <row r="50" spans="1:40" ht="17.100000000000001" customHeight="1">
      <c r="A50" s="168" t="s">
        <v>25</v>
      </c>
      <c r="B50" s="168" t="s">
        <v>296</v>
      </c>
      <c r="C50" s="168" t="s">
        <v>296</v>
      </c>
      <c r="D50" s="168" t="s">
        <v>4</v>
      </c>
      <c r="E50" s="168" t="s">
        <v>4228</v>
      </c>
      <c r="F50" s="71">
        <v>13037</v>
      </c>
      <c r="G50" s="50" t="s">
        <v>4229</v>
      </c>
      <c r="H50" s="72">
        <v>12874</v>
      </c>
      <c r="I50" s="52">
        <v>23111</v>
      </c>
      <c r="J50" s="53" t="s">
        <v>4230</v>
      </c>
      <c r="K50" s="53" t="s">
        <v>4230</v>
      </c>
      <c r="L50" s="54" t="s">
        <v>4231</v>
      </c>
      <c r="M50" s="1072">
        <v>0</v>
      </c>
      <c r="N50" s="162">
        <v>0</v>
      </c>
      <c r="O50" s="162">
        <v>0</v>
      </c>
      <c r="P50" s="162">
        <v>0</v>
      </c>
      <c r="Q50" s="162">
        <v>0</v>
      </c>
      <c r="R50" s="162">
        <v>0</v>
      </c>
      <c r="S50" s="162">
        <v>0</v>
      </c>
      <c r="T50" s="73">
        <v>0</v>
      </c>
      <c r="U50" s="137">
        <v>0</v>
      </c>
      <c r="V50" s="311">
        <v>0</v>
      </c>
      <c r="W50" s="162">
        <v>0</v>
      </c>
      <c r="X50" s="162">
        <v>0</v>
      </c>
      <c r="Y50" s="162">
        <v>0</v>
      </c>
      <c r="Z50" s="162">
        <v>0</v>
      </c>
      <c r="AA50" s="162">
        <v>0</v>
      </c>
      <c r="AB50" s="162">
        <v>0</v>
      </c>
      <c r="AC50" s="162">
        <v>0</v>
      </c>
      <c r="AD50" s="162">
        <v>0</v>
      </c>
      <c r="AE50" s="162">
        <v>0</v>
      </c>
      <c r="AF50" s="162">
        <v>0</v>
      </c>
      <c r="AG50" s="162">
        <v>0</v>
      </c>
      <c r="AH50" s="138">
        <v>0</v>
      </c>
      <c r="AI50" s="137">
        <v>0</v>
      </c>
      <c r="AJ50" s="311">
        <v>0</v>
      </c>
      <c r="AK50" s="162">
        <v>0</v>
      </c>
      <c r="AL50" s="162">
        <v>0</v>
      </c>
      <c r="AM50" s="800">
        <v>0</v>
      </c>
      <c r="AN50" s="76" t="s">
        <v>4232</v>
      </c>
    </row>
    <row r="51" spans="1:40" ht="17.100000000000001" customHeight="1">
      <c r="A51" s="168" t="s">
        <v>25</v>
      </c>
      <c r="B51" s="168" t="s">
        <v>296</v>
      </c>
      <c r="C51" s="168" t="s">
        <v>296</v>
      </c>
      <c r="D51" s="168" t="s">
        <v>4</v>
      </c>
      <c r="E51" s="168" t="s">
        <v>2814</v>
      </c>
      <c r="F51" s="71">
        <v>17092</v>
      </c>
      <c r="G51" s="50" t="s">
        <v>3292</v>
      </c>
      <c r="H51" s="140">
        <v>12758</v>
      </c>
      <c r="I51" s="52">
        <v>23125</v>
      </c>
      <c r="J51" s="53" t="s">
        <v>2309</v>
      </c>
      <c r="K51" s="53" t="s">
        <v>2310</v>
      </c>
      <c r="L51" s="54" t="s">
        <v>2311</v>
      </c>
      <c r="M51" s="734">
        <v>1</v>
      </c>
      <c r="N51" s="73">
        <v>0</v>
      </c>
      <c r="O51" s="73">
        <v>0</v>
      </c>
      <c r="P51" s="73">
        <v>0</v>
      </c>
      <c r="Q51" s="73">
        <v>0</v>
      </c>
      <c r="R51" s="73">
        <v>1</v>
      </c>
      <c r="S51" s="73">
        <v>0</v>
      </c>
      <c r="T51" s="73">
        <v>0</v>
      </c>
      <c r="U51" s="131">
        <f>SUM(M51:T51)</f>
        <v>2</v>
      </c>
      <c r="V51" s="75">
        <v>1</v>
      </c>
      <c r="W51" s="73">
        <v>0</v>
      </c>
      <c r="X51" s="73">
        <v>1</v>
      </c>
      <c r="Y51" s="73">
        <v>0</v>
      </c>
      <c r="Z51" s="73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1</v>
      </c>
      <c r="AG51" s="73">
        <v>1</v>
      </c>
      <c r="AH51" s="132">
        <f>V51+X51+Z51+AB51+AD51+AF51</f>
        <v>3</v>
      </c>
      <c r="AI51" s="131">
        <f>W51+Y51+AA51+AC51+AE51+AG51</f>
        <v>1</v>
      </c>
      <c r="AJ51" s="75">
        <v>0</v>
      </c>
      <c r="AK51" s="73">
        <v>0</v>
      </c>
      <c r="AL51" s="73">
        <v>0</v>
      </c>
      <c r="AM51" s="74">
        <v>0</v>
      </c>
      <c r="AN51" s="915" t="s">
        <v>4233</v>
      </c>
    </row>
    <row r="52" spans="1:40" ht="17.100000000000001" customHeight="1">
      <c r="A52" s="168" t="s">
        <v>25</v>
      </c>
      <c r="B52" s="168" t="s">
        <v>296</v>
      </c>
      <c r="C52" s="168" t="s">
        <v>296</v>
      </c>
      <c r="D52" s="168" t="s">
        <v>4</v>
      </c>
      <c r="E52" s="168" t="s">
        <v>2815</v>
      </c>
      <c r="F52" s="71">
        <v>17046</v>
      </c>
      <c r="G52" s="50" t="s">
        <v>2312</v>
      </c>
      <c r="H52" s="312">
        <v>5424</v>
      </c>
      <c r="I52" s="52">
        <v>23127</v>
      </c>
      <c r="J52" s="53" t="s">
        <v>2246</v>
      </c>
      <c r="K52" s="53" t="s">
        <v>2247</v>
      </c>
      <c r="L52" s="54" t="s">
        <v>2248</v>
      </c>
      <c r="M52" s="734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131">
        <f>SUM(M52:T52)</f>
        <v>0</v>
      </c>
      <c r="V52" s="75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132">
        <f>V52+X52+Z52+AB52+AD52+AF52</f>
        <v>0</v>
      </c>
      <c r="AI52" s="131">
        <f>W52+Y52+AA52+AC52+AE52+AG52</f>
        <v>0</v>
      </c>
      <c r="AJ52" s="75">
        <v>0</v>
      </c>
      <c r="AK52" s="73">
        <v>0</v>
      </c>
      <c r="AL52" s="73">
        <v>0</v>
      </c>
      <c r="AM52" s="74">
        <v>0</v>
      </c>
      <c r="AN52" s="76" t="s">
        <v>4232</v>
      </c>
    </row>
    <row r="53" spans="1:40" ht="17.100000000000001" customHeight="1">
      <c r="A53" s="1658" t="s">
        <v>715</v>
      </c>
      <c r="B53" s="1659"/>
      <c r="C53" s="1068"/>
      <c r="D53" s="344" t="s">
        <v>2363</v>
      </c>
      <c r="E53" s="283"/>
      <c r="F53" s="284"/>
      <c r="G53" s="181"/>
      <c r="H53" s="286"/>
      <c r="I53" s="287"/>
      <c r="J53" s="285"/>
      <c r="K53" s="285"/>
      <c r="L53" s="288"/>
      <c r="M53" s="330">
        <f t="shared" ref="M53:AM53" si="17">SUM(M42:M52)</f>
        <v>9</v>
      </c>
      <c r="N53" s="290">
        <f t="shared" si="17"/>
        <v>5</v>
      </c>
      <c r="O53" s="290">
        <f t="shared" si="17"/>
        <v>7</v>
      </c>
      <c r="P53" s="290">
        <f t="shared" si="17"/>
        <v>8</v>
      </c>
      <c r="Q53" s="290">
        <f t="shared" si="17"/>
        <v>7</v>
      </c>
      <c r="R53" s="290">
        <f t="shared" si="17"/>
        <v>8</v>
      </c>
      <c r="S53" s="290">
        <f t="shared" si="17"/>
        <v>3</v>
      </c>
      <c r="T53" s="290">
        <f t="shared" si="17"/>
        <v>0</v>
      </c>
      <c r="U53" s="291">
        <f t="shared" si="17"/>
        <v>47</v>
      </c>
      <c r="V53" s="289">
        <f t="shared" si="17"/>
        <v>49</v>
      </c>
      <c r="W53" s="290">
        <f t="shared" si="17"/>
        <v>20</v>
      </c>
      <c r="X53" s="290">
        <f t="shared" si="17"/>
        <v>39</v>
      </c>
      <c r="Y53" s="290">
        <f t="shared" si="17"/>
        <v>12</v>
      </c>
      <c r="Z53" s="290">
        <f t="shared" si="17"/>
        <v>38</v>
      </c>
      <c r="AA53" s="290">
        <f t="shared" si="17"/>
        <v>18</v>
      </c>
      <c r="AB53" s="290">
        <f t="shared" si="17"/>
        <v>60</v>
      </c>
      <c r="AC53" s="290">
        <f t="shared" si="17"/>
        <v>34</v>
      </c>
      <c r="AD53" s="290">
        <f t="shared" si="17"/>
        <v>51</v>
      </c>
      <c r="AE53" s="290">
        <f t="shared" si="17"/>
        <v>21</v>
      </c>
      <c r="AF53" s="290">
        <f t="shared" si="17"/>
        <v>59</v>
      </c>
      <c r="AG53" s="290">
        <f t="shared" si="17"/>
        <v>35</v>
      </c>
      <c r="AH53" s="290">
        <f t="shared" si="17"/>
        <v>296</v>
      </c>
      <c r="AI53" s="291">
        <f t="shared" si="17"/>
        <v>140</v>
      </c>
      <c r="AJ53" s="289">
        <f t="shared" si="17"/>
        <v>4</v>
      </c>
      <c r="AK53" s="290">
        <f t="shared" si="17"/>
        <v>1</v>
      </c>
      <c r="AL53" s="290">
        <f t="shared" si="17"/>
        <v>0</v>
      </c>
      <c r="AM53" s="291">
        <f t="shared" si="17"/>
        <v>0</v>
      </c>
      <c r="AN53" s="331"/>
    </row>
    <row r="54" spans="1:40" ht="17.100000000000001" customHeight="1">
      <c r="A54" s="1660" t="s">
        <v>716</v>
      </c>
      <c r="B54" s="1661"/>
      <c r="C54" s="1661"/>
      <c r="D54" s="1662"/>
      <c r="E54" s="345" t="str">
        <f>D53</f>
        <v>6(5)</v>
      </c>
      <c r="F54" s="302"/>
      <c r="G54" s="222"/>
      <c r="H54" s="334"/>
      <c r="I54" s="305"/>
      <c r="J54" s="303"/>
      <c r="K54" s="303"/>
      <c r="L54" s="306"/>
      <c r="M54" s="335">
        <f>M53</f>
        <v>9</v>
      </c>
      <c r="N54" s="310">
        <f>N53</f>
        <v>5</v>
      </c>
      <c r="O54" s="310">
        <f t="shared" ref="O54:T54" si="18">O53</f>
        <v>7</v>
      </c>
      <c r="P54" s="310">
        <f t="shared" si="18"/>
        <v>8</v>
      </c>
      <c r="Q54" s="310">
        <f t="shared" si="18"/>
        <v>7</v>
      </c>
      <c r="R54" s="310">
        <f t="shared" si="18"/>
        <v>8</v>
      </c>
      <c r="S54" s="310">
        <f t="shared" si="18"/>
        <v>3</v>
      </c>
      <c r="T54" s="310">
        <f t="shared" si="18"/>
        <v>0</v>
      </c>
      <c r="U54" s="309">
        <f>U53</f>
        <v>47</v>
      </c>
      <c r="V54" s="336">
        <f>V53</f>
        <v>49</v>
      </c>
      <c r="W54" s="310">
        <f>W53</f>
        <v>20</v>
      </c>
      <c r="X54" s="310">
        <f t="shared" ref="X54:AH54" si="19">X53</f>
        <v>39</v>
      </c>
      <c r="Y54" s="310">
        <f t="shared" si="19"/>
        <v>12</v>
      </c>
      <c r="Z54" s="310">
        <f t="shared" si="19"/>
        <v>38</v>
      </c>
      <c r="AA54" s="310">
        <f t="shared" si="19"/>
        <v>18</v>
      </c>
      <c r="AB54" s="310">
        <f t="shared" si="19"/>
        <v>60</v>
      </c>
      <c r="AC54" s="310">
        <f t="shared" si="19"/>
        <v>34</v>
      </c>
      <c r="AD54" s="310">
        <f t="shared" si="19"/>
        <v>51</v>
      </c>
      <c r="AE54" s="310">
        <f t="shared" si="19"/>
        <v>21</v>
      </c>
      <c r="AF54" s="310">
        <f t="shared" si="19"/>
        <v>59</v>
      </c>
      <c r="AG54" s="310">
        <f t="shared" si="19"/>
        <v>35</v>
      </c>
      <c r="AH54" s="310">
        <f t="shared" si="19"/>
        <v>296</v>
      </c>
      <c r="AI54" s="309">
        <f>AI53</f>
        <v>140</v>
      </c>
      <c r="AJ54" s="336">
        <f>AJ53</f>
        <v>4</v>
      </c>
      <c r="AK54" s="310">
        <f>AK53</f>
        <v>1</v>
      </c>
      <c r="AL54" s="310">
        <f>AL53</f>
        <v>0</v>
      </c>
      <c r="AM54" s="309">
        <f>AM53</f>
        <v>0</v>
      </c>
      <c r="AN54" s="337"/>
    </row>
    <row r="55" spans="1:40" ht="17.100000000000001" customHeight="1">
      <c r="A55" s="168" t="s">
        <v>25</v>
      </c>
      <c r="B55" s="168" t="s">
        <v>218</v>
      </c>
      <c r="C55" s="168" t="s">
        <v>2822</v>
      </c>
      <c r="D55" s="168" t="s">
        <v>1357</v>
      </c>
      <c r="E55" s="168" t="s">
        <v>2313</v>
      </c>
      <c r="F55" s="71">
        <v>37316</v>
      </c>
      <c r="G55" s="50" t="s">
        <v>2314</v>
      </c>
      <c r="H55" s="312">
        <v>11635</v>
      </c>
      <c r="I55" s="52">
        <v>22370</v>
      </c>
      <c r="J55" s="53" t="s">
        <v>2315</v>
      </c>
      <c r="K55" s="53" t="s">
        <v>2304</v>
      </c>
      <c r="L55" s="54" t="s">
        <v>2316</v>
      </c>
      <c r="M55" s="734">
        <v>2</v>
      </c>
      <c r="N55" s="73">
        <v>2</v>
      </c>
      <c r="O55" s="73">
        <v>3</v>
      </c>
      <c r="P55" s="73">
        <v>3</v>
      </c>
      <c r="Q55" s="73">
        <v>3</v>
      </c>
      <c r="R55" s="73">
        <v>4</v>
      </c>
      <c r="S55" s="73">
        <v>2</v>
      </c>
      <c r="T55" s="73">
        <v>0</v>
      </c>
      <c r="U55" s="131">
        <f t="shared" ref="U55:U71" si="20">SUM(M55:T55)</f>
        <v>19</v>
      </c>
      <c r="V55" s="75">
        <v>33</v>
      </c>
      <c r="W55" s="73">
        <v>12</v>
      </c>
      <c r="X55" s="73">
        <v>48</v>
      </c>
      <c r="Y55" s="73">
        <v>18</v>
      </c>
      <c r="Z55" s="73">
        <v>50</v>
      </c>
      <c r="AA55" s="73">
        <v>22</v>
      </c>
      <c r="AB55" s="73">
        <v>52</v>
      </c>
      <c r="AC55" s="73">
        <v>31</v>
      </c>
      <c r="AD55" s="73">
        <v>63</v>
      </c>
      <c r="AE55" s="73">
        <v>29</v>
      </c>
      <c r="AF55" s="73">
        <v>85</v>
      </c>
      <c r="AG55" s="73">
        <v>48</v>
      </c>
      <c r="AH55" s="132">
        <f t="shared" ref="AH55:AI57" si="21">V55+X55+Z55+AB55+AD55+AF55</f>
        <v>331</v>
      </c>
      <c r="AI55" s="131">
        <f t="shared" si="21"/>
        <v>160</v>
      </c>
      <c r="AJ55" s="75">
        <v>6</v>
      </c>
      <c r="AK55" s="73">
        <v>0</v>
      </c>
      <c r="AL55" s="73">
        <v>0</v>
      </c>
      <c r="AM55" s="74">
        <v>0</v>
      </c>
      <c r="AN55" s="76"/>
    </row>
    <row r="56" spans="1:40" ht="17.100000000000001" customHeight="1">
      <c r="A56" s="168" t="s">
        <v>25</v>
      </c>
      <c r="B56" s="168" t="s">
        <v>218</v>
      </c>
      <c r="C56" s="168" t="s">
        <v>2822</v>
      </c>
      <c r="D56" s="168" t="s">
        <v>4</v>
      </c>
      <c r="E56" s="168" t="s">
        <v>4234</v>
      </c>
      <c r="F56" s="71">
        <v>46082</v>
      </c>
      <c r="G56" s="50" t="s">
        <v>4235</v>
      </c>
      <c r="H56" s="72">
        <v>14403</v>
      </c>
      <c r="I56" s="52">
        <v>22393</v>
      </c>
      <c r="J56" s="53" t="s">
        <v>4236</v>
      </c>
      <c r="K56" s="53" t="s">
        <v>4237</v>
      </c>
      <c r="L56" s="54" t="s">
        <v>4238</v>
      </c>
      <c r="M56" s="734">
        <v>3</v>
      </c>
      <c r="N56" s="73">
        <v>1</v>
      </c>
      <c r="O56" s="73">
        <v>1</v>
      </c>
      <c r="P56" s="73">
        <v>1</v>
      </c>
      <c r="Q56" s="73">
        <v>1</v>
      </c>
      <c r="R56" s="73">
        <v>1</v>
      </c>
      <c r="S56" s="73">
        <v>1</v>
      </c>
      <c r="T56" s="73">
        <v>0</v>
      </c>
      <c r="U56" s="131">
        <f t="shared" si="20"/>
        <v>9</v>
      </c>
      <c r="V56" s="75">
        <v>45</v>
      </c>
      <c r="W56" s="73">
        <v>17</v>
      </c>
      <c r="X56" s="73">
        <v>9</v>
      </c>
      <c r="Y56" s="73">
        <v>5</v>
      </c>
      <c r="Z56" s="73">
        <v>12</v>
      </c>
      <c r="AA56" s="73">
        <v>4</v>
      </c>
      <c r="AB56" s="73">
        <v>10</v>
      </c>
      <c r="AC56" s="73">
        <v>3</v>
      </c>
      <c r="AD56" s="73">
        <v>11</v>
      </c>
      <c r="AE56" s="73">
        <v>5</v>
      </c>
      <c r="AF56" s="73">
        <v>8</v>
      </c>
      <c r="AG56" s="73">
        <v>6</v>
      </c>
      <c r="AH56" s="132">
        <f t="shared" si="21"/>
        <v>95</v>
      </c>
      <c r="AI56" s="131">
        <f t="shared" si="21"/>
        <v>40</v>
      </c>
      <c r="AJ56" s="75">
        <v>3</v>
      </c>
      <c r="AK56" s="73">
        <v>1</v>
      </c>
      <c r="AL56" s="73">
        <v>0</v>
      </c>
      <c r="AM56" s="74">
        <v>0</v>
      </c>
      <c r="AN56" s="76"/>
    </row>
    <row r="57" spans="1:40" ht="17.100000000000001" customHeight="1">
      <c r="A57" s="168" t="s">
        <v>25</v>
      </c>
      <c r="B57" s="168" t="s">
        <v>218</v>
      </c>
      <c r="C57" s="168" t="s">
        <v>2822</v>
      </c>
      <c r="D57" s="168" t="s">
        <v>4</v>
      </c>
      <c r="E57" s="168" t="s">
        <v>4239</v>
      </c>
      <c r="F57" s="71">
        <v>44075</v>
      </c>
      <c r="G57" s="50" t="s">
        <v>2317</v>
      </c>
      <c r="H57" s="312">
        <v>15576.4</v>
      </c>
      <c r="I57" s="52">
        <v>22389</v>
      </c>
      <c r="J57" s="53" t="s">
        <v>2318</v>
      </c>
      <c r="K57" s="53" t="s">
        <v>2319</v>
      </c>
      <c r="L57" s="54" t="s">
        <v>2320</v>
      </c>
      <c r="M57" s="734">
        <v>7</v>
      </c>
      <c r="N57" s="73">
        <v>8</v>
      </c>
      <c r="O57" s="73">
        <v>8</v>
      </c>
      <c r="P57" s="73">
        <v>10</v>
      </c>
      <c r="Q57" s="73">
        <v>9</v>
      </c>
      <c r="R57" s="73">
        <v>9</v>
      </c>
      <c r="S57" s="73">
        <v>3</v>
      </c>
      <c r="T57" s="73">
        <v>0</v>
      </c>
      <c r="U57" s="131">
        <f t="shared" si="20"/>
        <v>54</v>
      </c>
      <c r="V57" s="75">
        <v>180</v>
      </c>
      <c r="W57" s="73">
        <v>95</v>
      </c>
      <c r="X57" s="73">
        <v>223</v>
      </c>
      <c r="Y57" s="73">
        <v>101</v>
      </c>
      <c r="Z57" s="73">
        <v>215</v>
      </c>
      <c r="AA57" s="73">
        <v>110</v>
      </c>
      <c r="AB57" s="73">
        <v>258</v>
      </c>
      <c r="AC57" s="73">
        <v>133</v>
      </c>
      <c r="AD57" s="73">
        <v>255</v>
      </c>
      <c r="AE57" s="73">
        <v>135</v>
      </c>
      <c r="AF57" s="73">
        <v>219</v>
      </c>
      <c r="AG57" s="73">
        <v>97</v>
      </c>
      <c r="AH57" s="132">
        <f t="shared" si="21"/>
        <v>1350</v>
      </c>
      <c r="AI57" s="131">
        <f t="shared" si="21"/>
        <v>671</v>
      </c>
      <c r="AJ57" s="75">
        <v>18</v>
      </c>
      <c r="AK57" s="73">
        <v>10</v>
      </c>
      <c r="AL57" s="73">
        <v>0</v>
      </c>
      <c r="AM57" s="74">
        <v>0</v>
      </c>
      <c r="AN57" s="76"/>
    </row>
    <row r="58" spans="1:40" ht="17.100000000000001" customHeight="1">
      <c r="A58" s="168" t="s">
        <v>25</v>
      </c>
      <c r="B58" s="168" t="s">
        <v>218</v>
      </c>
      <c r="C58" s="168" t="s">
        <v>2822</v>
      </c>
      <c r="D58" s="168" t="s">
        <v>4</v>
      </c>
      <c r="E58" s="168" t="s">
        <v>2321</v>
      </c>
      <c r="F58" s="71">
        <v>38047</v>
      </c>
      <c r="G58" s="50" t="s">
        <v>2322</v>
      </c>
      <c r="H58" s="1119">
        <v>12370</v>
      </c>
      <c r="I58" s="1073">
        <v>22365</v>
      </c>
      <c r="J58" s="1073" t="s">
        <v>4240</v>
      </c>
      <c r="K58" s="1073" t="s">
        <v>4241</v>
      </c>
      <c r="L58" s="1074" t="s">
        <v>4242</v>
      </c>
      <c r="M58" s="734">
        <v>3</v>
      </c>
      <c r="N58" s="73">
        <v>3</v>
      </c>
      <c r="O58" s="73">
        <v>3</v>
      </c>
      <c r="P58" s="73">
        <v>3</v>
      </c>
      <c r="Q58" s="73">
        <v>4</v>
      </c>
      <c r="R58" s="73">
        <v>5</v>
      </c>
      <c r="S58" s="73">
        <v>3</v>
      </c>
      <c r="T58" s="73">
        <v>0</v>
      </c>
      <c r="U58" s="131">
        <f t="shared" si="20"/>
        <v>24</v>
      </c>
      <c r="V58" s="75">
        <v>65</v>
      </c>
      <c r="W58" s="73">
        <v>28</v>
      </c>
      <c r="X58" s="73">
        <v>62</v>
      </c>
      <c r="Y58" s="73">
        <v>28</v>
      </c>
      <c r="Z58" s="73">
        <v>66</v>
      </c>
      <c r="AA58" s="73">
        <v>30</v>
      </c>
      <c r="AB58" s="73">
        <v>73</v>
      </c>
      <c r="AC58" s="73">
        <v>39</v>
      </c>
      <c r="AD58" s="73">
        <v>98</v>
      </c>
      <c r="AE58" s="73">
        <v>46</v>
      </c>
      <c r="AF58" s="73">
        <v>105</v>
      </c>
      <c r="AG58" s="73">
        <v>51</v>
      </c>
      <c r="AH58" s="132">
        <v>469</v>
      </c>
      <c r="AI58" s="131">
        <v>222</v>
      </c>
      <c r="AJ58" s="311">
        <v>13</v>
      </c>
      <c r="AK58" s="73">
        <v>3</v>
      </c>
      <c r="AL58" s="73">
        <v>0</v>
      </c>
      <c r="AM58" s="74">
        <v>0</v>
      </c>
      <c r="AN58" s="76"/>
    </row>
    <row r="59" spans="1:40" ht="17.100000000000001" customHeight="1">
      <c r="A59" s="168" t="s">
        <v>25</v>
      </c>
      <c r="B59" s="168" t="s">
        <v>218</v>
      </c>
      <c r="C59" s="168" t="s">
        <v>2820</v>
      </c>
      <c r="D59" s="168" t="s">
        <v>4</v>
      </c>
      <c r="E59" s="168" t="s">
        <v>2323</v>
      </c>
      <c r="F59" s="71">
        <v>20211</v>
      </c>
      <c r="G59" s="50" t="s">
        <v>2324</v>
      </c>
      <c r="H59" s="312">
        <v>30113</v>
      </c>
      <c r="I59" s="52">
        <v>22309</v>
      </c>
      <c r="J59" s="53" t="s">
        <v>2325</v>
      </c>
      <c r="K59" s="53" t="s">
        <v>2326</v>
      </c>
      <c r="L59" s="54" t="s">
        <v>2327</v>
      </c>
      <c r="M59" s="734">
        <v>1</v>
      </c>
      <c r="N59" s="73">
        <v>1</v>
      </c>
      <c r="O59" s="73">
        <v>2</v>
      </c>
      <c r="P59" s="73">
        <v>2</v>
      </c>
      <c r="Q59" s="73">
        <v>2</v>
      </c>
      <c r="R59" s="73">
        <v>2</v>
      </c>
      <c r="S59" s="73">
        <v>2</v>
      </c>
      <c r="T59" s="73">
        <v>0</v>
      </c>
      <c r="U59" s="131">
        <f t="shared" si="20"/>
        <v>12</v>
      </c>
      <c r="V59" s="75">
        <v>16</v>
      </c>
      <c r="W59" s="73">
        <v>8</v>
      </c>
      <c r="X59" s="73">
        <v>10</v>
      </c>
      <c r="Y59" s="73">
        <v>5</v>
      </c>
      <c r="Z59" s="73">
        <v>20</v>
      </c>
      <c r="AA59" s="73">
        <v>8</v>
      </c>
      <c r="AB59" s="73">
        <v>20</v>
      </c>
      <c r="AC59" s="73">
        <v>14</v>
      </c>
      <c r="AD59" s="73">
        <v>21</v>
      </c>
      <c r="AE59" s="73">
        <v>6</v>
      </c>
      <c r="AF59" s="73">
        <v>27</v>
      </c>
      <c r="AG59" s="73">
        <v>16</v>
      </c>
      <c r="AH59" s="132">
        <f t="shared" ref="AH59:AH71" si="22">V59+X59+Z59+AB59+AD59+AF59</f>
        <v>114</v>
      </c>
      <c r="AI59" s="131">
        <f t="shared" ref="AI59:AI71" si="23">W59+Y59+AA59+AC59+AE59+AG59</f>
        <v>57</v>
      </c>
      <c r="AJ59" s="311">
        <v>9</v>
      </c>
      <c r="AK59" s="73">
        <v>3</v>
      </c>
      <c r="AL59" s="73">
        <v>0</v>
      </c>
      <c r="AM59" s="74">
        <v>0</v>
      </c>
      <c r="AN59" s="76"/>
    </row>
    <row r="60" spans="1:40" ht="17.100000000000001" customHeight="1">
      <c r="A60" s="168" t="s">
        <v>25</v>
      </c>
      <c r="B60" s="168" t="s">
        <v>218</v>
      </c>
      <c r="C60" s="168" t="s">
        <v>2820</v>
      </c>
      <c r="D60" s="168" t="s">
        <v>4</v>
      </c>
      <c r="E60" s="168" t="s">
        <v>2328</v>
      </c>
      <c r="F60" s="71">
        <v>21276</v>
      </c>
      <c r="G60" s="50" t="s">
        <v>2329</v>
      </c>
      <c r="H60" s="72">
        <v>11696</v>
      </c>
      <c r="I60" s="52">
        <v>22330</v>
      </c>
      <c r="J60" s="53" t="s">
        <v>2330</v>
      </c>
      <c r="K60" s="53" t="s">
        <v>2331</v>
      </c>
      <c r="L60" s="54" t="s">
        <v>2332</v>
      </c>
      <c r="M60" s="734">
        <v>5</v>
      </c>
      <c r="N60" s="73">
        <v>5</v>
      </c>
      <c r="O60" s="73">
        <v>6</v>
      </c>
      <c r="P60" s="73">
        <v>5</v>
      </c>
      <c r="Q60" s="73">
        <v>5</v>
      </c>
      <c r="R60" s="73">
        <v>5</v>
      </c>
      <c r="S60" s="73">
        <v>4</v>
      </c>
      <c r="T60" s="73">
        <v>0</v>
      </c>
      <c r="U60" s="131">
        <f t="shared" si="20"/>
        <v>35</v>
      </c>
      <c r="V60" s="75">
        <v>86</v>
      </c>
      <c r="W60" s="73">
        <v>44</v>
      </c>
      <c r="X60" s="73">
        <v>105</v>
      </c>
      <c r="Y60" s="73">
        <v>53</v>
      </c>
      <c r="Z60" s="73">
        <v>131</v>
      </c>
      <c r="AA60" s="73">
        <v>69</v>
      </c>
      <c r="AB60" s="73">
        <v>123</v>
      </c>
      <c r="AC60" s="73">
        <v>64</v>
      </c>
      <c r="AD60" s="73">
        <v>124</v>
      </c>
      <c r="AE60" s="73">
        <v>68</v>
      </c>
      <c r="AF60" s="73">
        <v>118</v>
      </c>
      <c r="AG60" s="73">
        <v>69</v>
      </c>
      <c r="AH60" s="132">
        <f t="shared" si="22"/>
        <v>687</v>
      </c>
      <c r="AI60" s="131">
        <f t="shared" si="23"/>
        <v>367</v>
      </c>
      <c r="AJ60" s="311">
        <v>24</v>
      </c>
      <c r="AK60" s="73">
        <v>11</v>
      </c>
      <c r="AL60" s="73">
        <v>0</v>
      </c>
      <c r="AM60" s="74">
        <v>0</v>
      </c>
      <c r="AN60" s="76"/>
    </row>
    <row r="61" spans="1:40" ht="17.100000000000001" customHeight="1">
      <c r="A61" s="168" t="s">
        <v>25</v>
      </c>
      <c r="B61" s="168" t="s">
        <v>218</v>
      </c>
      <c r="C61" s="168" t="s">
        <v>2820</v>
      </c>
      <c r="D61" s="168" t="s">
        <v>4</v>
      </c>
      <c r="E61" s="168" t="s">
        <v>2333</v>
      </c>
      <c r="F61" s="71">
        <v>37263</v>
      </c>
      <c r="G61" s="50" t="s">
        <v>2334</v>
      </c>
      <c r="H61" s="312">
        <v>11553.1</v>
      </c>
      <c r="I61" s="52">
        <v>22334</v>
      </c>
      <c r="J61" s="53" t="s">
        <v>2335</v>
      </c>
      <c r="K61" s="53" t="s">
        <v>2336</v>
      </c>
      <c r="L61" s="54" t="s">
        <v>2337</v>
      </c>
      <c r="M61" s="734">
        <v>2</v>
      </c>
      <c r="N61" s="73">
        <v>2</v>
      </c>
      <c r="O61" s="73">
        <v>2</v>
      </c>
      <c r="P61" s="73">
        <v>2</v>
      </c>
      <c r="Q61" s="73">
        <v>3</v>
      </c>
      <c r="R61" s="73">
        <v>2</v>
      </c>
      <c r="S61" s="73">
        <v>3</v>
      </c>
      <c r="T61" s="73">
        <v>0</v>
      </c>
      <c r="U61" s="131">
        <f t="shared" si="20"/>
        <v>16</v>
      </c>
      <c r="V61" s="75">
        <v>40</v>
      </c>
      <c r="W61" s="73">
        <v>21</v>
      </c>
      <c r="X61" s="73">
        <v>40</v>
      </c>
      <c r="Y61" s="73">
        <v>17</v>
      </c>
      <c r="Z61" s="73">
        <v>45</v>
      </c>
      <c r="AA61" s="73">
        <v>21</v>
      </c>
      <c r="AB61" s="73">
        <v>47</v>
      </c>
      <c r="AC61" s="73">
        <v>18</v>
      </c>
      <c r="AD61" s="73">
        <v>56</v>
      </c>
      <c r="AE61" s="73">
        <v>18</v>
      </c>
      <c r="AF61" s="73">
        <v>48</v>
      </c>
      <c r="AG61" s="73">
        <v>30</v>
      </c>
      <c r="AH61" s="132">
        <f t="shared" si="22"/>
        <v>276</v>
      </c>
      <c r="AI61" s="131">
        <f t="shared" si="23"/>
        <v>125</v>
      </c>
      <c r="AJ61" s="311">
        <v>11</v>
      </c>
      <c r="AK61" s="73">
        <v>4</v>
      </c>
      <c r="AL61" s="73">
        <v>0</v>
      </c>
      <c r="AM61" s="74">
        <v>0</v>
      </c>
      <c r="AN61" s="76"/>
    </row>
    <row r="62" spans="1:40" ht="17.100000000000001" customHeight="1">
      <c r="A62" s="168" t="s">
        <v>25</v>
      </c>
      <c r="B62" s="168" t="s">
        <v>218</v>
      </c>
      <c r="C62" s="168" t="s">
        <v>2820</v>
      </c>
      <c r="D62" s="168" t="s">
        <v>4</v>
      </c>
      <c r="E62" s="168" t="s">
        <v>2338</v>
      </c>
      <c r="F62" s="71">
        <v>16876</v>
      </c>
      <c r="G62" s="50" t="s">
        <v>2339</v>
      </c>
      <c r="H62" s="72">
        <v>15683</v>
      </c>
      <c r="I62" s="52">
        <v>22321</v>
      </c>
      <c r="J62" s="53" t="s">
        <v>2340</v>
      </c>
      <c r="K62" s="53" t="s">
        <v>2341</v>
      </c>
      <c r="L62" s="54" t="s">
        <v>2342</v>
      </c>
      <c r="M62" s="734">
        <v>3</v>
      </c>
      <c r="N62" s="73">
        <v>3</v>
      </c>
      <c r="O62" s="73">
        <v>3</v>
      </c>
      <c r="P62" s="73">
        <v>3</v>
      </c>
      <c r="Q62" s="73">
        <v>4</v>
      </c>
      <c r="R62" s="73">
        <v>3</v>
      </c>
      <c r="S62" s="73">
        <v>3</v>
      </c>
      <c r="T62" s="73">
        <v>1</v>
      </c>
      <c r="U62" s="131">
        <f t="shared" si="20"/>
        <v>23</v>
      </c>
      <c r="V62" s="75">
        <v>43</v>
      </c>
      <c r="W62" s="73">
        <v>18</v>
      </c>
      <c r="X62" s="73">
        <v>42</v>
      </c>
      <c r="Y62" s="73">
        <v>23</v>
      </c>
      <c r="Z62" s="73">
        <v>44</v>
      </c>
      <c r="AA62" s="73">
        <v>23</v>
      </c>
      <c r="AB62" s="73">
        <v>55</v>
      </c>
      <c r="AC62" s="73">
        <v>31</v>
      </c>
      <c r="AD62" s="73">
        <v>63</v>
      </c>
      <c r="AE62" s="73">
        <v>28</v>
      </c>
      <c r="AF62" s="73">
        <v>57</v>
      </c>
      <c r="AG62" s="73">
        <v>28</v>
      </c>
      <c r="AH62" s="132">
        <f t="shared" si="22"/>
        <v>304</v>
      </c>
      <c r="AI62" s="131">
        <f t="shared" si="23"/>
        <v>151</v>
      </c>
      <c r="AJ62" s="75">
        <v>15</v>
      </c>
      <c r="AK62" s="73">
        <v>3</v>
      </c>
      <c r="AL62" s="73">
        <v>20</v>
      </c>
      <c r="AM62" s="74">
        <v>11</v>
      </c>
      <c r="AN62" s="76"/>
    </row>
    <row r="63" spans="1:40" ht="17.100000000000001" customHeight="1">
      <c r="A63" s="168" t="s">
        <v>25</v>
      </c>
      <c r="B63" s="168" t="s">
        <v>218</v>
      </c>
      <c r="C63" s="168" t="s">
        <v>2820</v>
      </c>
      <c r="D63" s="167" t="s">
        <v>4</v>
      </c>
      <c r="E63" s="168" t="s">
        <v>2343</v>
      </c>
      <c r="F63" s="71">
        <v>32021</v>
      </c>
      <c r="G63" s="50" t="s">
        <v>2344</v>
      </c>
      <c r="H63" s="1075">
        <v>11582</v>
      </c>
      <c r="I63" s="52">
        <v>22348</v>
      </c>
      <c r="J63" s="53" t="s">
        <v>4243</v>
      </c>
      <c r="K63" s="53" t="s">
        <v>4244</v>
      </c>
      <c r="L63" s="54" t="s">
        <v>4245</v>
      </c>
      <c r="M63" s="734">
        <v>1</v>
      </c>
      <c r="N63" s="78">
        <v>1</v>
      </c>
      <c r="O63" s="78">
        <v>1</v>
      </c>
      <c r="P63" s="78">
        <v>1</v>
      </c>
      <c r="Q63" s="78">
        <v>1</v>
      </c>
      <c r="R63" s="78">
        <v>2</v>
      </c>
      <c r="S63" s="78">
        <v>1</v>
      </c>
      <c r="T63" s="73">
        <v>0</v>
      </c>
      <c r="U63" s="131">
        <f t="shared" si="20"/>
        <v>8</v>
      </c>
      <c r="V63" s="79">
        <v>7</v>
      </c>
      <c r="W63" s="78">
        <v>3</v>
      </c>
      <c r="X63" s="78">
        <v>17</v>
      </c>
      <c r="Y63" s="78">
        <v>8</v>
      </c>
      <c r="Z63" s="78">
        <v>7</v>
      </c>
      <c r="AA63" s="78">
        <v>4</v>
      </c>
      <c r="AB63" s="78">
        <v>16</v>
      </c>
      <c r="AC63" s="78">
        <v>7</v>
      </c>
      <c r="AD63" s="78">
        <v>9</v>
      </c>
      <c r="AE63" s="78">
        <v>5</v>
      </c>
      <c r="AF63" s="78">
        <v>27</v>
      </c>
      <c r="AG63" s="78">
        <v>13</v>
      </c>
      <c r="AH63" s="132">
        <f t="shared" si="22"/>
        <v>83</v>
      </c>
      <c r="AI63" s="131">
        <f t="shared" si="23"/>
        <v>40</v>
      </c>
      <c r="AJ63" s="79">
        <v>6</v>
      </c>
      <c r="AK63" s="78">
        <v>2</v>
      </c>
      <c r="AL63" s="73">
        <v>0</v>
      </c>
      <c r="AM63" s="74">
        <v>0</v>
      </c>
      <c r="AN63" s="731"/>
    </row>
    <row r="64" spans="1:40" ht="17.100000000000001" customHeight="1">
      <c r="A64" s="168" t="s">
        <v>25</v>
      </c>
      <c r="B64" s="168" t="s">
        <v>218</v>
      </c>
      <c r="C64" s="168" t="s">
        <v>2822</v>
      </c>
      <c r="D64" s="168" t="s">
        <v>4</v>
      </c>
      <c r="E64" s="168" t="s">
        <v>4246</v>
      </c>
      <c r="F64" s="71">
        <v>7571</v>
      </c>
      <c r="G64" s="50" t="s">
        <v>4247</v>
      </c>
      <c r="H64" s="140">
        <v>15012</v>
      </c>
      <c r="I64" s="719">
        <v>22406</v>
      </c>
      <c r="J64" s="55" t="s">
        <v>4248</v>
      </c>
      <c r="K64" s="55" t="s">
        <v>4249</v>
      </c>
      <c r="L64" s="55" t="s">
        <v>4250</v>
      </c>
      <c r="M64" s="734">
        <v>8</v>
      </c>
      <c r="N64" s="73">
        <v>7</v>
      </c>
      <c r="O64" s="73">
        <v>7</v>
      </c>
      <c r="P64" s="73">
        <v>9</v>
      </c>
      <c r="Q64" s="73">
        <v>9</v>
      </c>
      <c r="R64" s="73">
        <v>8</v>
      </c>
      <c r="S64" s="73">
        <v>3</v>
      </c>
      <c r="T64" s="73">
        <f>-T26</f>
        <v>0</v>
      </c>
      <c r="U64" s="131">
        <f t="shared" si="20"/>
        <v>51</v>
      </c>
      <c r="V64" s="75">
        <v>197</v>
      </c>
      <c r="W64" s="73">
        <v>85</v>
      </c>
      <c r="X64" s="73">
        <v>173</v>
      </c>
      <c r="Y64" s="73">
        <v>91</v>
      </c>
      <c r="Z64" s="73">
        <v>187</v>
      </c>
      <c r="AA64" s="73">
        <v>99</v>
      </c>
      <c r="AB64" s="73">
        <v>224</v>
      </c>
      <c r="AC64" s="73">
        <v>99</v>
      </c>
      <c r="AD64" s="73">
        <v>232</v>
      </c>
      <c r="AE64" s="73">
        <v>102</v>
      </c>
      <c r="AF64" s="73">
        <v>217</v>
      </c>
      <c r="AG64" s="73">
        <v>117</v>
      </c>
      <c r="AH64" s="132">
        <f t="shared" si="22"/>
        <v>1230</v>
      </c>
      <c r="AI64" s="131">
        <f t="shared" si="23"/>
        <v>593</v>
      </c>
      <c r="AJ64" s="311">
        <v>13</v>
      </c>
      <c r="AK64" s="73">
        <v>7</v>
      </c>
      <c r="AL64" s="73">
        <v>0</v>
      </c>
      <c r="AM64" s="74">
        <v>0</v>
      </c>
      <c r="AN64" s="76"/>
    </row>
    <row r="65" spans="1:40" ht="17.100000000000001" customHeight="1">
      <c r="A65" s="168" t="s">
        <v>25</v>
      </c>
      <c r="B65" s="168" t="s">
        <v>218</v>
      </c>
      <c r="C65" s="168" t="s">
        <v>2822</v>
      </c>
      <c r="D65" s="168" t="s">
        <v>4</v>
      </c>
      <c r="E65" s="168" t="s">
        <v>4251</v>
      </c>
      <c r="F65" s="71">
        <v>17075</v>
      </c>
      <c r="G65" s="50" t="s">
        <v>4252</v>
      </c>
      <c r="H65" s="77">
        <v>12705</v>
      </c>
      <c r="I65" s="52">
        <v>22356</v>
      </c>
      <c r="J65" s="53" t="s">
        <v>4253</v>
      </c>
      <c r="K65" s="53" t="s">
        <v>4249</v>
      </c>
      <c r="L65" s="54" t="s">
        <v>4254</v>
      </c>
      <c r="M65" s="734">
        <v>1</v>
      </c>
      <c r="N65" s="73">
        <v>1</v>
      </c>
      <c r="O65" s="73">
        <v>1</v>
      </c>
      <c r="P65" s="73">
        <v>1</v>
      </c>
      <c r="Q65" s="73">
        <v>1</v>
      </c>
      <c r="R65" s="73">
        <v>1</v>
      </c>
      <c r="S65" s="73">
        <v>1</v>
      </c>
      <c r="T65" s="73">
        <v>0</v>
      </c>
      <c r="U65" s="131">
        <f t="shared" si="20"/>
        <v>7</v>
      </c>
      <c r="V65" s="75">
        <v>7</v>
      </c>
      <c r="W65" s="73">
        <v>3</v>
      </c>
      <c r="X65" s="73">
        <v>5</v>
      </c>
      <c r="Y65" s="73">
        <v>3</v>
      </c>
      <c r="Z65" s="73">
        <v>6</v>
      </c>
      <c r="AA65" s="73">
        <v>4</v>
      </c>
      <c r="AB65" s="73">
        <v>8</v>
      </c>
      <c r="AC65" s="73">
        <v>4</v>
      </c>
      <c r="AD65" s="73">
        <v>11</v>
      </c>
      <c r="AE65" s="73">
        <v>4</v>
      </c>
      <c r="AF65" s="73">
        <v>5</v>
      </c>
      <c r="AG65" s="73">
        <v>0</v>
      </c>
      <c r="AH65" s="132">
        <f t="shared" si="22"/>
        <v>42</v>
      </c>
      <c r="AI65" s="131">
        <f t="shared" si="23"/>
        <v>18</v>
      </c>
      <c r="AJ65" s="75">
        <v>3</v>
      </c>
      <c r="AK65" s="73">
        <v>1</v>
      </c>
      <c r="AL65" s="73">
        <v>0</v>
      </c>
      <c r="AM65" s="74">
        <v>0</v>
      </c>
      <c r="AN65" s="76"/>
    </row>
    <row r="66" spans="1:40" ht="17.100000000000001" customHeight="1">
      <c r="A66" s="168" t="s">
        <v>25</v>
      </c>
      <c r="B66" s="168" t="s">
        <v>218</v>
      </c>
      <c r="C66" s="168" t="s">
        <v>2822</v>
      </c>
      <c r="D66" s="168" t="s">
        <v>4</v>
      </c>
      <c r="E66" s="168" t="s">
        <v>4255</v>
      </c>
      <c r="F66" s="71">
        <v>13130</v>
      </c>
      <c r="G66" s="50" t="s">
        <v>4256</v>
      </c>
      <c r="H66" s="72">
        <v>10184</v>
      </c>
      <c r="I66" s="52">
        <v>22384</v>
      </c>
      <c r="J66" s="53" t="s">
        <v>4257</v>
      </c>
      <c r="K66" s="53" t="s">
        <v>4258</v>
      </c>
      <c r="L66" s="54" t="s">
        <v>4259</v>
      </c>
      <c r="M66" s="734">
        <v>1</v>
      </c>
      <c r="N66" s="73">
        <v>1</v>
      </c>
      <c r="O66" s="73">
        <v>1</v>
      </c>
      <c r="P66" s="73">
        <v>1</v>
      </c>
      <c r="Q66" s="73">
        <v>1</v>
      </c>
      <c r="R66" s="73">
        <v>1</v>
      </c>
      <c r="S66" s="73">
        <v>1</v>
      </c>
      <c r="T66" s="73">
        <v>0</v>
      </c>
      <c r="U66" s="131">
        <f t="shared" si="20"/>
        <v>7</v>
      </c>
      <c r="V66" s="75">
        <v>2</v>
      </c>
      <c r="W66" s="73">
        <v>0</v>
      </c>
      <c r="X66" s="73">
        <v>5</v>
      </c>
      <c r="Y66" s="73">
        <v>2</v>
      </c>
      <c r="Z66" s="73">
        <v>2</v>
      </c>
      <c r="AA66" s="73">
        <v>0</v>
      </c>
      <c r="AB66" s="73">
        <v>8</v>
      </c>
      <c r="AC66" s="73">
        <v>1</v>
      </c>
      <c r="AD66" s="73">
        <v>4</v>
      </c>
      <c r="AE66" s="73">
        <v>1</v>
      </c>
      <c r="AF66" s="73">
        <v>6</v>
      </c>
      <c r="AG66" s="73">
        <v>3</v>
      </c>
      <c r="AH66" s="132">
        <f t="shared" si="22"/>
        <v>27</v>
      </c>
      <c r="AI66" s="131">
        <f t="shared" si="23"/>
        <v>7</v>
      </c>
      <c r="AJ66" s="311">
        <v>3</v>
      </c>
      <c r="AK66" s="73">
        <v>0</v>
      </c>
      <c r="AL66" s="73">
        <v>0</v>
      </c>
      <c r="AM66" s="74">
        <v>0</v>
      </c>
      <c r="AN66" s="76"/>
    </row>
    <row r="67" spans="1:40" ht="17.100000000000001" customHeight="1">
      <c r="A67" s="168" t="s">
        <v>25</v>
      </c>
      <c r="B67" s="168" t="s">
        <v>218</v>
      </c>
      <c r="C67" s="168" t="s">
        <v>2822</v>
      </c>
      <c r="D67" s="168" t="s">
        <v>4</v>
      </c>
      <c r="E67" s="168" t="s">
        <v>2347</v>
      </c>
      <c r="F67" s="71">
        <v>40238</v>
      </c>
      <c r="G67" s="50" t="s">
        <v>4260</v>
      </c>
      <c r="H67" s="140">
        <v>11334.6</v>
      </c>
      <c r="I67" s="719">
        <v>22372</v>
      </c>
      <c r="J67" s="55" t="s">
        <v>4261</v>
      </c>
      <c r="K67" s="55" t="s">
        <v>4262</v>
      </c>
      <c r="L67" s="56" t="s">
        <v>4263</v>
      </c>
      <c r="M67" s="734">
        <v>4</v>
      </c>
      <c r="N67" s="73">
        <v>3</v>
      </c>
      <c r="O67" s="73">
        <v>3</v>
      </c>
      <c r="P67" s="73">
        <v>4</v>
      </c>
      <c r="Q67" s="73">
        <v>3</v>
      </c>
      <c r="R67" s="73">
        <v>3</v>
      </c>
      <c r="S67" s="73">
        <v>3</v>
      </c>
      <c r="T67" s="73">
        <v>0</v>
      </c>
      <c r="U67" s="131">
        <f t="shared" si="20"/>
        <v>23</v>
      </c>
      <c r="V67" s="75">
        <v>82</v>
      </c>
      <c r="W67" s="73">
        <v>42</v>
      </c>
      <c r="X67" s="73">
        <v>75</v>
      </c>
      <c r="Y67" s="73">
        <v>36</v>
      </c>
      <c r="Z67" s="73">
        <v>73</v>
      </c>
      <c r="AA67" s="73">
        <v>40</v>
      </c>
      <c r="AB67" s="73">
        <v>94</v>
      </c>
      <c r="AC67" s="73">
        <v>54</v>
      </c>
      <c r="AD67" s="73">
        <v>81</v>
      </c>
      <c r="AE67" s="73">
        <v>40</v>
      </c>
      <c r="AF67" s="73">
        <v>78</v>
      </c>
      <c r="AG67" s="73">
        <v>38</v>
      </c>
      <c r="AH67" s="132">
        <f t="shared" si="22"/>
        <v>483</v>
      </c>
      <c r="AI67" s="131">
        <f t="shared" si="23"/>
        <v>250</v>
      </c>
      <c r="AJ67" s="311">
        <v>13</v>
      </c>
      <c r="AK67" s="73">
        <v>7</v>
      </c>
      <c r="AL67" s="73">
        <v>0</v>
      </c>
      <c r="AM67" s="74">
        <v>0</v>
      </c>
      <c r="AN67" s="76"/>
    </row>
    <row r="68" spans="1:40" ht="17.100000000000001" customHeight="1">
      <c r="A68" s="168" t="s">
        <v>25</v>
      </c>
      <c r="B68" s="168" t="s">
        <v>218</v>
      </c>
      <c r="C68" s="168" t="s">
        <v>2822</v>
      </c>
      <c r="D68" s="168" t="s">
        <v>4</v>
      </c>
      <c r="E68" s="168" t="s">
        <v>2348</v>
      </c>
      <c r="F68" s="71">
        <v>19481</v>
      </c>
      <c r="G68" s="50" t="s">
        <v>4264</v>
      </c>
      <c r="H68" s="140">
        <v>13230</v>
      </c>
      <c r="I68" s="719">
        <v>22374</v>
      </c>
      <c r="J68" s="55" t="s">
        <v>4265</v>
      </c>
      <c r="K68" s="55" t="s">
        <v>4265</v>
      </c>
      <c r="L68" s="56" t="s">
        <v>4266</v>
      </c>
      <c r="M68" s="736">
        <v>3</v>
      </c>
      <c r="N68" s="78">
        <v>5</v>
      </c>
      <c r="O68" s="73">
        <v>3</v>
      </c>
      <c r="P68" s="73">
        <v>4</v>
      </c>
      <c r="Q68" s="73">
        <v>4</v>
      </c>
      <c r="R68" s="73">
        <v>5</v>
      </c>
      <c r="S68" s="73">
        <v>3</v>
      </c>
      <c r="T68" s="73">
        <v>0</v>
      </c>
      <c r="U68" s="131">
        <f t="shared" si="20"/>
        <v>27</v>
      </c>
      <c r="V68" s="75">
        <v>42</v>
      </c>
      <c r="W68" s="73">
        <v>19</v>
      </c>
      <c r="X68" s="73">
        <v>78</v>
      </c>
      <c r="Y68" s="73">
        <v>33</v>
      </c>
      <c r="Z68" s="73">
        <v>45</v>
      </c>
      <c r="AA68" s="73">
        <v>15</v>
      </c>
      <c r="AB68" s="73">
        <v>61</v>
      </c>
      <c r="AC68" s="73">
        <v>30</v>
      </c>
      <c r="AD68" s="73">
        <v>80</v>
      </c>
      <c r="AE68" s="73">
        <v>34</v>
      </c>
      <c r="AF68" s="73">
        <v>87</v>
      </c>
      <c r="AG68" s="73">
        <v>40</v>
      </c>
      <c r="AH68" s="132">
        <f t="shared" si="22"/>
        <v>393</v>
      </c>
      <c r="AI68" s="131">
        <f t="shared" si="23"/>
        <v>171</v>
      </c>
      <c r="AJ68" s="311">
        <v>13</v>
      </c>
      <c r="AK68" s="73">
        <v>5</v>
      </c>
      <c r="AL68" s="73">
        <v>0</v>
      </c>
      <c r="AM68" s="74">
        <v>0</v>
      </c>
      <c r="AN68" s="76"/>
    </row>
    <row r="69" spans="1:40" ht="17.100000000000001" customHeight="1">
      <c r="A69" s="167" t="s">
        <v>25</v>
      </c>
      <c r="B69" s="167" t="s">
        <v>218</v>
      </c>
      <c r="C69" s="168" t="s">
        <v>2822</v>
      </c>
      <c r="D69" s="167" t="s">
        <v>4</v>
      </c>
      <c r="E69" s="168" t="s">
        <v>4267</v>
      </c>
      <c r="F69" s="71">
        <v>46082</v>
      </c>
      <c r="G69" s="50" t="s">
        <v>3323</v>
      </c>
      <c r="H69" s="51">
        <v>13662.7</v>
      </c>
      <c r="I69" s="52">
        <v>22374</v>
      </c>
      <c r="J69" s="53" t="s">
        <v>4268</v>
      </c>
      <c r="K69" s="53" t="s">
        <v>4269</v>
      </c>
      <c r="L69" s="54" t="s">
        <v>4270</v>
      </c>
      <c r="M69" s="734">
        <v>6</v>
      </c>
      <c r="N69" s="73">
        <v>5</v>
      </c>
      <c r="O69" s="73">
        <v>5</v>
      </c>
      <c r="P69" s="73">
        <v>4</v>
      </c>
      <c r="Q69" s="73">
        <v>4</v>
      </c>
      <c r="R69" s="73">
        <v>3</v>
      </c>
      <c r="S69" s="73">
        <v>2</v>
      </c>
      <c r="T69" s="73">
        <v>0</v>
      </c>
      <c r="U69" s="131">
        <f t="shared" si="20"/>
        <v>29</v>
      </c>
      <c r="V69" s="75">
        <v>123</v>
      </c>
      <c r="W69" s="73">
        <v>51</v>
      </c>
      <c r="X69" s="73">
        <v>97</v>
      </c>
      <c r="Y69" s="73">
        <v>44</v>
      </c>
      <c r="Z69" s="73">
        <v>105</v>
      </c>
      <c r="AA69" s="73">
        <v>49</v>
      </c>
      <c r="AB69" s="73">
        <v>76</v>
      </c>
      <c r="AC69" s="73">
        <v>35</v>
      </c>
      <c r="AD69" s="73">
        <v>66</v>
      </c>
      <c r="AE69" s="73">
        <v>29</v>
      </c>
      <c r="AF69" s="73">
        <v>49</v>
      </c>
      <c r="AG69" s="73">
        <v>23</v>
      </c>
      <c r="AH69" s="132">
        <f t="shared" si="22"/>
        <v>516</v>
      </c>
      <c r="AI69" s="131">
        <f t="shared" si="23"/>
        <v>231</v>
      </c>
      <c r="AJ69" s="311">
        <v>11</v>
      </c>
      <c r="AK69" s="73">
        <v>4</v>
      </c>
      <c r="AL69" s="73">
        <v>0</v>
      </c>
      <c r="AM69" s="74">
        <v>0</v>
      </c>
      <c r="AN69" s="76"/>
    </row>
    <row r="70" spans="1:40" ht="17.100000000000001" customHeight="1">
      <c r="A70" s="168" t="s">
        <v>25</v>
      </c>
      <c r="B70" s="168" t="s">
        <v>218</v>
      </c>
      <c r="C70" s="168" t="s">
        <v>2822</v>
      </c>
      <c r="D70" s="168" t="s">
        <v>4</v>
      </c>
      <c r="E70" s="168" t="s">
        <v>2349</v>
      </c>
      <c r="F70" s="71">
        <v>43526</v>
      </c>
      <c r="G70" s="50" t="s">
        <v>2350</v>
      </c>
      <c r="H70" s="77">
        <v>12843</v>
      </c>
      <c r="I70" s="719">
        <v>22394</v>
      </c>
      <c r="J70" s="55" t="s">
        <v>2351</v>
      </c>
      <c r="K70" s="55" t="s">
        <v>2352</v>
      </c>
      <c r="L70" s="56" t="s">
        <v>2353</v>
      </c>
      <c r="M70" s="736">
        <v>7</v>
      </c>
      <c r="N70" s="78">
        <v>8</v>
      </c>
      <c r="O70" s="73">
        <v>9</v>
      </c>
      <c r="P70" s="73">
        <v>11</v>
      </c>
      <c r="Q70" s="73">
        <v>11</v>
      </c>
      <c r="R70" s="73">
        <v>11</v>
      </c>
      <c r="S70" s="73">
        <v>4</v>
      </c>
      <c r="T70" s="73">
        <v>0</v>
      </c>
      <c r="U70" s="131">
        <f t="shared" si="20"/>
        <v>61</v>
      </c>
      <c r="V70" s="75">
        <v>176</v>
      </c>
      <c r="W70" s="73">
        <v>83</v>
      </c>
      <c r="X70" s="73">
        <v>206</v>
      </c>
      <c r="Y70" s="73">
        <v>98</v>
      </c>
      <c r="Z70" s="73">
        <v>230</v>
      </c>
      <c r="AA70" s="73">
        <v>109</v>
      </c>
      <c r="AB70" s="73">
        <v>281</v>
      </c>
      <c r="AC70" s="73">
        <v>135</v>
      </c>
      <c r="AD70" s="73">
        <v>292</v>
      </c>
      <c r="AE70" s="73">
        <v>145</v>
      </c>
      <c r="AF70" s="73">
        <v>286</v>
      </c>
      <c r="AG70" s="73">
        <v>137</v>
      </c>
      <c r="AH70" s="132">
        <f t="shared" si="22"/>
        <v>1471</v>
      </c>
      <c r="AI70" s="131">
        <f t="shared" si="23"/>
        <v>707</v>
      </c>
      <c r="AJ70" s="75">
        <v>20</v>
      </c>
      <c r="AK70" s="73">
        <v>3</v>
      </c>
      <c r="AL70" s="73">
        <v>0</v>
      </c>
      <c r="AM70" s="74">
        <v>0</v>
      </c>
      <c r="AN70" s="76"/>
    </row>
    <row r="71" spans="1:40" ht="17.100000000000001" customHeight="1">
      <c r="A71" s="168" t="s">
        <v>25</v>
      </c>
      <c r="B71" s="168" t="s">
        <v>218</v>
      </c>
      <c r="C71" s="168" t="s">
        <v>2822</v>
      </c>
      <c r="D71" s="168" t="s">
        <v>4</v>
      </c>
      <c r="E71" s="168" t="s">
        <v>2354</v>
      </c>
      <c r="F71" s="71">
        <v>41518</v>
      </c>
      <c r="G71" s="50" t="s">
        <v>4271</v>
      </c>
      <c r="H71" s="72">
        <v>13801</v>
      </c>
      <c r="I71" s="52">
        <v>22390</v>
      </c>
      <c r="J71" s="53" t="s">
        <v>2355</v>
      </c>
      <c r="K71" s="53" t="s">
        <v>2356</v>
      </c>
      <c r="L71" s="54" t="s">
        <v>2357</v>
      </c>
      <c r="M71" s="734">
        <v>9</v>
      </c>
      <c r="N71" s="73">
        <v>9</v>
      </c>
      <c r="O71" s="73">
        <v>9</v>
      </c>
      <c r="P71" s="73">
        <v>9</v>
      </c>
      <c r="Q71" s="73">
        <v>9</v>
      </c>
      <c r="R71" s="73">
        <v>8</v>
      </c>
      <c r="S71" s="73">
        <v>3</v>
      </c>
      <c r="T71" s="73">
        <v>0</v>
      </c>
      <c r="U71" s="131">
        <f t="shared" si="20"/>
        <v>56</v>
      </c>
      <c r="V71" s="75">
        <v>232</v>
      </c>
      <c r="W71" s="73">
        <v>117</v>
      </c>
      <c r="X71" s="73">
        <v>230</v>
      </c>
      <c r="Y71" s="73">
        <v>108</v>
      </c>
      <c r="Z71" s="73">
        <v>236</v>
      </c>
      <c r="AA71" s="73">
        <v>111</v>
      </c>
      <c r="AB71" s="73">
        <v>218</v>
      </c>
      <c r="AC71" s="73">
        <v>124</v>
      </c>
      <c r="AD71" s="73">
        <v>224</v>
      </c>
      <c r="AE71" s="73">
        <v>121</v>
      </c>
      <c r="AF71" s="73">
        <v>198</v>
      </c>
      <c r="AG71" s="73">
        <v>102</v>
      </c>
      <c r="AH71" s="132">
        <f t="shared" si="22"/>
        <v>1338</v>
      </c>
      <c r="AI71" s="131">
        <f t="shared" si="23"/>
        <v>683</v>
      </c>
      <c r="AJ71" s="75">
        <v>17</v>
      </c>
      <c r="AK71" s="73">
        <v>7</v>
      </c>
      <c r="AL71" s="73">
        <v>0</v>
      </c>
      <c r="AM71" s="74">
        <v>0</v>
      </c>
      <c r="AN71" s="76"/>
    </row>
    <row r="72" spans="1:40" ht="17.100000000000001" customHeight="1">
      <c r="A72" s="1658" t="s">
        <v>720</v>
      </c>
      <c r="B72" s="1659"/>
      <c r="C72" s="1068"/>
      <c r="D72" s="344" t="s">
        <v>4272</v>
      </c>
      <c r="E72" s="283"/>
      <c r="F72" s="284"/>
      <c r="G72" s="181"/>
      <c r="H72" s="286"/>
      <c r="I72" s="287"/>
      <c r="J72" s="285"/>
      <c r="K72" s="285"/>
      <c r="L72" s="288"/>
      <c r="M72" s="1076">
        <f>SUM(M55:M71)</f>
        <v>66</v>
      </c>
      <c r="N72" s="1077">
        <f t="shared" ref="N72:AI72" si="24">SUM(N55:N71)</f>
        <v>65</v>
      </c>
      <c r="O72" s="1077">
        <f t="shared" si="24"/>
        <v>67</v>
      </c>
      <c r="P72" s="1077">
        <f t="shared" si="24"/>
        <v>73</v>
      </c>
      <c r="Q72" s="1077">
        <f t="shared" si="24"/>
        <v>74</v>
      </c>
      <c r="R72" s="1077">
        <f t="shared" si="24"/>
        <v>73</v>
      </c>
      <c r="S72" s="1077">
        <f t="shared" si="24"/>
        <v>42</v>
      </c>
      <c r="T72" s="1077">
        <f t="shared" si="24"/>
        <v>1</v>
      </c>
      <c r="U72" s="1078">
        <f t="shared" si="24"/>
        <v>461</v>
      </c>
      <c r="V72" s="320">
        <f t="shared" si="24"/>
        <v>1376</v>
      </c>
      <c r="W72" s="321">
        <f t="shared" si="24"/>
        <v>646</v>
      </c>
      <c r="X72" s="321">
        <f t="shared" si="24"/>
        <v>1425</v>
      </c>
      <c r="Y72" s="321">
        <f t="shared" si="24"/>
        <v>673</v>
      </c>
      <c r="Z72" s="321">
        <f t="shared" si="24"/>
        <v>1474</v>
      </c>
      <c r="AA72" s="321">
        <f t="shared" si="24"/>
        <v>718</v>
      </c>
      <c r="AB72" s="321">
        <f t="shared" si="24"/>
        <v>1624</v>
      </c>
      <c r="AC72" s="321">
        <f t="shared" si="24"/>
        <v>822</v>
      </c>
      <c r="AD72" s="321">
        <f t="shared" si="24"/>
        <v>1690</v>
      </c>
      <c r="AE72" s="321">
        <f t="shared" si="24"/>
        <v>816</v>
      </c>
      <c r="AF72" s="321">
        <f t="shared" si="24"/>
        <v>1620</v>
      </c>
      <c r="AG72" s="321">
        <f t="shared" si="24"/>
        <v>818</v>
      </c>
      <c r="AH72" s="321">
        <f t="shared" si="24"/>
        <v>9209</v>
      </c>
      <c r="AI72" s="1167">
        <f t="shared" si="24"/>
        <v>4493</v>
      </c>
      <c r="AJ72" s="289">
        <f>SUM(AJ55:AJ71)</f>
        <v>198</v>
      </c>
      <c r="AK72" s="289">
        <f t="shared" ref="AK72:AM72" si="25">SUM(AK55:AK71)</f>
        <v>71</v>
      </c>
      <c r="AL72" s="289">
        <f t="shared" si="25"/>
        <v>20</v>
      </c>
      <c r="AM72" s="289">
        <f t="shared" si="25"/>
        <v>11</v>
      </c>
      <c r="AN72" s="331"/>
    </row>
    <row r="73" spans="1:40" ht="17.100000000000001" customHeight="1">
      <c r="A73" s="168" t="s">
        <v>25</v>
      </c>
      <c r="B73" s="168" t="s">
        <v>218</v>
      </c>
      <c r="C73" s="168" t="s">
        <v>2820</v>
      </c>
      <c r="D73" s="168" t="s">
        <v>5</v>
      </c>
      <c r="E73" s="168" t="s">
        <v>2359</v>
      </c>
      <c r="F73" s="71">
        <v>23071</v>
      </c>
      <c r="G73" s="50" t="s">
        <v>2360</v>
      </c>
      <c r="H73" s="312">
        <v>2242</v>
      </c>
      <c r="I73" s="52">
        <v>22315</v>
      </c>
      <c r="J73" s="53" t="s">
        <v>2361</v>
      </c>
      <c r="K73" s="53" t="s">
        <v>2361</v>
      </c>
      <c r="L73" s="54" t="s">
        <v>2362</v>
      </c>
      <c r="M73" s="734">
        <v>3</v>
      </c>
      <c r="N73" s="73">
        <v>3</v>
      </c>
      <c r="O73" s="73">
        <v>3</v>
      </c>
      <c r="P73" s="73">
        <v>3</v>
      </c>
      <c r="Q73" s="73">
        <v>3</v>
      </c>
      <c r="R73" s="73">
        <v>3</v>
      </c>
      <c r="S73" s="73">
        <v>0</v>
      </c>
      <c r="T73" s="73">
        <v>0</v>
      </c>
      <c r="U73" s="131">
        <f>SUM(M73:T73)</f>
        <v>18</v>
      </c>
      <c r="V73" s="75">
        <v>84</v>
      </c>
      <c r="W73" s="73">
        <v>40</v>
      </c>
      <c r="X73" s="73">
        <v>84</v>
      </c>
      <c r="Y73" s="73">
        <v>39</v>
      </c>
      <c r="Z73" s="73">
        <v>83</v>
      </c>
      <c r="AA73" s="73">
        <v>39</v>
      </c>
      <c r="AB73" s="73">
        <v>83</v>
      </c>
      <c r="AC73" s="73">
        <v>43</v>
      </c>
      <c r="AD73" s="73">
        <v>81</v>
      </c>
      <c r="AE73" s="73">
        <v>34</v>
      </c>
      <c r="AF73" s="73">
        <v>82</v>
      </c>
      <c r="AG73" s="73">
        <v>41</v>
      </c>
      <c r="AH73" s="132">
        <f>V73+X73+Z73+AB73+AD73+AF73</f>
        <v>497</v>
      </c>
      <c r="AI73" s="131">
        <f>W73+Y73+AA73+AC73+AE73+AG73</f>
        <v>236</v>
      </c>
      <c r="AJ73" s="75">
        <v>0</v>
      </c>
      <c r="AK73" s="73">
        <v>0</v>
      </c>
      <c r="AL73" s="73">
        <v>0</v>
      </c>
      <c r="AM73" s="74">
        <v>0</v>
      </c>
      <c r="AN73" s="76"/>
    </row>
    <row r="74" spans="1:40" ht="17.100000000000001" customHeight="1">
      <c r="A74" s="1656" t="s">
        <v>721</v>
      </c>
      <c r="B74" s="1657"/>
      <c r="C74" s="1067"/>
      <c r="D74" s="188">
        <f>COUNTA(D73)</f>
        <v>1</v>
      </c>
      <c r="E74" s="292"/>
      <c r="F74" s="293"/>
      <c r="G74" s="190"/>
      <c r="H74" s="340"/>
      <c r="I74" s="296"/>
      <c r="J74" s="294"/>
      <c r="K74" s="294"/>
      <c r="L74" s="297"/>
      <c r="M74" s="341">
        <f>M73</f>
        <v>3</v>
      </c>
      <c r="N74" s="301">
        <f>N73</f>
        <v>3</v>
      </c>
      <c r="O74" s="301">
        <f t="shared" ref="O74:T74" si="26">O73</f>
        <v>3</v>
      </c>
      <c r="P74" s="301">
        <f t="shared" si="26"/>
        <v>3</v>
      </c>
      <c r="Q74" s="301">
        <f t="shared" si="26"/>
        <v>3</v>
      </c>
      <c r="R74" s="301">
        <f t="shared" si="26"/>
        <v>3</v>
      </c>
      <c r="S74" s="301">
        <f t="shared" si="26"/>
        <v>0</v>
      </c>
      <c r="T74" s="301">
        <f t="shared" si="26"/>
        <v>0</v>
      </c>
      <c r="U74" s="300">
        <f>U73</f>
        <v>18</v>
      </c>
      <c r="V74" s="342">
        <f>V73</f>
        <v>84</v>
      </c>
      <c r="W74" s="301">
        <f>W73</f>
        <v>40</v>
      </c>
      <c r="X74" s="301">
        <f t="shared" ref="X74:AH74" si="27">X73</f>
        <v>84</v>
      </c>
      <c r="Y74" s="301">
        <f t="shared" si="27"/>
        <v>39</v>
      </c>
      <c r="Z74" s="301">
        <f t="shared" si="27"/>
        <v>83</v>
      </c>
      <c r="AA74" s="301">
        <f t="shared" si="27"/>
        <v>39</v>
      </c>
      <c r="AB74" s="301">
        <f t="shared" si="27"/>
        <v>83</v>
      </c>
      <c r="AC74" s="301">
        <f t="shared" si="27"/>
        <v>43</v>
      </c>
      <c r="AD74" s="301">
        <f t="shared" si="27"/>
        <v>81</v>
      </c>
      <c r="AE74" s="301">
        <f t="shared" si="27"/>
        <v>34</v>
      </c>
      <c r="AF74" s="301">
        <f t="shared" si="27"/>
        <v>82</v>
      </c>
      <c r="AG74" s="301">
        <f t="shared" si="27"/>
        <v>41</v>
      </c>
      <c r="AH74" s="301">
        <f t="shared" si="27"/>
        <v>497</v>
      </c>
      <c r="AI74" s="300">
        <f>AI73</f>
        <v>236</v>
      </c>
      <c r="AJ74" s="342">
        <f>AJ73</f>
        <v>0</v>
      </c>
      <c r="AK74" s="301">
        <f>AK73</f>
        <v>0</v>
      </c>
      <c r="AL74" s="301">
        <f>AL73</f>
        <v>0</v>
      </c>
      <c r="AM74" s="300">
        <f>AM73</f>
        <v>0</v>
      </c>
      <c r="AN74" s="343"/>
    </row>
    <row r="75" spans="1:40" ht="17.100000000000001" customHeight="1">
      <c r="A75" s="1660" t="s">
        <v>722</v>
      </c>
      <c r="B75" s="1661"/>
      <c r="C75" s="1661"/>
      <c r="D75" s="1662"/>
      <c r="E75" s="345" t="s">
        <v>4273</v>
      </c>
      <c r="F75" s="302"/>
      <c r="G75" s="222"/>
      <c r="H75" s="334"/>
      <c r="I75" s="305"/>
      <c r="J75" s="303"/>
      <c r="K75" s="303"/>
      <c r="L75" s="306"/>
      <c r="M75" s="335">
        <f>M72+M74</f>
        <v>69</v>
      </c>
      <c r="N75" s="310">
        <f>N72+N74</f>
        <v>68</v>
      </c>
      <c r="O75" s="310">
        <f t="shared" ref="O75:T75" si="28">O72+O74</f>
        <v>70</v>
      </c>
      <c r="P75" s="310">
        <f t="shared" si="28"/>
        <v>76</v>
      </c>
      <c r="Q75" s="310">
        <f t="shared" si="28"/>
        <v>77</v>
      </c>
      <c r="R75" s="310">
        <f t="shared" si="28"/>
        <v>76</v>
      </c>
      <c r="S75" s="310">
        <f t="shared" si="28"/>
        <v>42</v>
      </c>
      <c r="T75" s="310">
        <f t="shared" si="28"/>
        <v>1</v>
      </c>
      <c r="U75" s="309">
        <f>U72+U74</f>
        <v>479</v>
      </c>
      <c r="V75" s="336">
        <f>V72+V74</f>
        <v>1460</v>
      </c>
      <c r="W75" s="310">
        <f>W72+W74</f>
        <v>686</v>
      </c>
      <c r="X75" s="310">
        <f t="shared" ref="X75:AH75" si="29">X72+X74</f>
        <v>1509</v>
      </c>
      <c r="Y75" s="310">
        <f t="shared" si="29"/>
        <v>712</v>
      </c>
      <c r="Z75" s="310">
        <f t="shared" si="29"/>
        <v>1557</v>
      </c>
      <c r="AA75" s="310">
        <f t="shared" si="29"/>
        <v>757</v>
      </c>
      <c r="AB75" s="310">
        <f t="shared" si="29"/>
        <v>1707</v>
      </c>
      <c r="AC75" s="310">
        <f t="shared" si="29"/>
        <v>865</v>
      </c>
      <c r="AD75" s="310">
        <f t="shared" si="29"/>
        <v>1771</v>
      </c>
      <c r="AE75" s="310">
        <f t="shared" si="29"/>
        <v>850</v>
      </c>
      <c r="AF75" s="310">
        <f t="shared" si="29"/>
        <v>1702</v>
      </c>
      <c r="AG75" s="310">
        <f t="shared" si="29"/>
        <v>859</v>
      </c>
      <c r="AH75" s="310">
        <f t="shared" si="29"/>
        <v>9706</v>
      </c>
      <c r="AI75" s="309">
        <f>AI72+AI74</f>
        <v>4729</v>
      </c>
      <c r="AJ75" s="336">
        <f>AJ72+AJ74</f>
        <v>198</v>
      </c>
      <c r="AK75" s="310">
        <f>AK72+AK74</f>
        <v>71</v>
      </c>
      <c r="AL75" s="310">
        <f>AL72+AL74</f>
        <v>20</v>
      </c>
      <c r="AM75" s="309">
        <f>AM72+AM74</f>
        <v>11</v>
      </c>
      <c r="AN75" s="337"/>
    </row>
    <row r="76" spans="1:40" ht="17.100000000000001" customHeight="1">
      <c r="A76" s="167" t="s">
        <v>154</v>
      </c>
      <c r="B76" s="167" t="s">
        <v>7</v>
      </c>
      <c r="C76" s="168" t="s">
        <v>7</v>
      </c>
      <c r="D76" s="167" t="s">
        <v>4</v>
      </c>
      <c r="E76" s="168" t="s">
        <v>724</v>
      </c>
      <c r="F76" s="71">
        <v>34029</v>
      </c>
      <c r="G76" s="1079" t="s">
        <v>4276</v>
      </c>
      <c r="H76" s="1080">
        <v>9783.39</v>
      </c>
      <c r="I76" s="745">
        <v>21331</v>
      </c>
      <c r="J76" s="744" t="s">
        <v>4277</v>
      </c>
      <c r="K76" s="744" t="s">
        <v>4278</v>
      </c>
      <c r="L76" s="744" t="s">
        <v>4279</v>
      </c>
      <c r="M76" s="755">
        <v>1</v>
      </c>
      <c r="N76" s="65">
        <v>2</v>
      </c>
      <c r="O76" s="65">
        <v>2</v>
      </c>
      <c r="P76" s="65">
        <v>2</v>
      </c>
      <c r="Q76" s="65">
        <v>2</v>
      </c>
      <c r="R76" s="65">
        <v>2</v>
      </c>
      <c r="S76" s="65">
        <v>2</v>
      </c>
      <c r="T76" s="65">
        <v>0</v>
      </c>
      <c r="U76" s="1081">
        <f>SUM(M76:T76)</f>
        <v>13</v>
      </c>
      <c r="V76" s="736">
        <v>16</v>
      </c>
      <c r="W76" s="65">
        <v>7</v>
      </c>
      <c r="X76" s="65">
        <v>26</v>
      </c>
      <c r="Y76" s="65">
        <v>13</v>
      </c>
      <c r="Z76" s="65">
        <v>22</v>
      </c>
      <c r="AA76" s="65">
        <v>9</v>
      </c>
      <c r="AB76" s="65">
        <v>25</v>
      </c>
      <c r="AC76" s="65">
        <v>13</v>
      </c>
      <c r="AD76" s="65">
        <v>38</v>
      </c>
      <c r="AE76" s="65">
        <v>21</v>
      </c>
      <c r="AF76" s="65">
        <v>41</v>
      </c>
      <c r="AG76" s="65">
        <v>19</v>
      </c>
      <c r="AH76" s="1082">
        <f>V76+X76+Z76+AB76+AD76+AF76</f>
        <v>168</v>
      </c>
      <c r="AI76" s="1081">
        <f>W76+Y76+AA76+AC76+AE76+AG76</f>
        <v>82</v>
      </c>
      <c r="AJ76" s="736">
        <v>7</v>
      </c>
      <c r="AK76" s="65">
        <v>3</v>
      </c>
      <c r="AL76" s="65">
        <v>0</v>
      </c>
      <c r="AM76" s="66">
        <v>0</v>
      </c>
      <c r="AN76" s="731"/>
    </row>
    <row r="77" spans="1:40" ht="17.100000000000001" customHeight="1">
      <c r="A77" s="167" t="s">
        <v>154</v>
      </c>
      <c r="B77" s="167" t="s">
        <v>7</v>
      </c>
      <c r="C77" s="168" t="s">
        <v>7</v>
      </c>
      <c r="D77" s="167" t="s">
        <v>4</v>
      </c>
      <c r="E77" s="168" t="s">
        <v>725</v>
      </c>
      <c r="F77" s="130">
        <v>36951</v>
      </c>
      <c r="G77" s="1079" t="s">
        <v>4280</v>
      </c>
      <c r="H77" s="1080">
        <v>13060</v>
      </c>
      <c r="I77" s="745">
        <v>21335</v>
      </c>
      <c r="J77" s="744" t="s">
        <v>4281</v>
      </c>
      <c r="K77" s="744" t="s">
        <v>4282</v>
      </c>
      <c r="L77" s="744" t="s">
        <v>726</v>
      </c>
      <c r="M77" s="755">
        <v>3</v>
      </c>
      <c r="N77" s="65">
        <v>3</v>
      </c>
      <c r="O77" s="65">
        <v>3</v>
      </c>
      <c r="P77" s="65">
        <v>4</v>
      </c>
      <c r="Q77" s="65">
        <v>5</v>
      </c>
      <c r="R77" s="65">
        <v>4</v>
      </c>
      <c r="S77" s="65">
        <v>2</v>
      </c>
      <c r="T77" s="65">
        <v>0</v>
      </c>
      <c r="U77" s="1081">
        <f t="shared" ref="U77:U116" si="30">SUM(M77:T77)</f>
        <v>24</v>
      </c>
      <c r="V77" s="736">
        <v>57</v>
      </c>
      <c r="W77" s="65">
        <v>26</v>
      </c>
      <c r="X77" s="65">
        <v>58</v>
      </c>
      <c r="Y77" s="65">
        <v>27</v>
      </c>
      <c r="Z77" s="65">
        <v>68</v>
      </c>
      <c r="AA77" s="65">
        <v>35</v>
      </c>
      <c r="AB77" s="65">
        <v>76</v>
      </c>
      <c r="AC77" s="65">
        <v>40</v>
      </c>
      <c r="AD77" s="65">
        <v>101</v>
      </c>
      <c r="AE77" s="65">
        <v>53</v>
      </c>
      <c r="AF77" s="65">
        <v>87</v>
      </c>
      <c r="AG77" s="65">
        <v>43</v>
      </c>
      <c r="AH77" s="1082">
        <f t="shared" ref="AH77:AI116" si="31">V77+X77+Z77+AB77+AD77+AF77</f>
        <v>447</v>
      </c>
      <c r="AI77" s="1081">
        <f t="shared" si="31"/>
        <v>224</v>
      </c>
      <c r="AJ77" s="736">
        <v>13</v>
      </c>
      <c r="AK77" s="65">
        <v>2</v>
      </c>
      <c r="AL77" s="65">
        <v>0</v>
      </c>
      <c r="AM77" s="66">
        <v>0</v>
      </c>
      <c r="AN77" s="1083"/>
    </row>
    <row r="78" spans="1:40" ht="17.100000000000001" customHeight="1">
      <c r="A78" s="168" t="s">
        <v>154</v>
      </c>
      <c r="B78" s="168" t="s">
        <v>7</v>
      </c>
      <c r="C78" s="168" t="s">
        <v>7</v>
      </c>
      <c r="D78" s="168" t="s">
        <v>4</v>
      </c>
      <c r="E78" s="168" t="s">
        <v>727</v>
      </c>
      <c r="F78" s="130">
        <v>33728</v>
      </c>
      <c r="G78" s="154" t="s">
        <v>4283</v>
      </c>
      <c r="H78" s="1084">
        <v>10843</v>
      </c>
      <c r="I78" s="719">
        <v>21355</v>
      </c>
      <c r="J78" s="53" t="s">
        <v>4284</v>
      </c>
      <c r="K78" s="746" t="s">
        <v>4285</v>
      </c>
      <c r="L78" s="747" t="s">
        <v>4286</v>
      </c>
      <c r="M78" s="755">
        <v>3</v>
      </c>
      <c r="N78" s="58">
        <v>3</v>
      </c>
      <c r="O78" s="58">
        <v>3</v>
      </c>
      <c r="P78" s="58">
        <v>3</v>
      </c>
      <c r="Q78" s="58">
        <v>4</v>
      </c>
      <c r="R78" s="58">
        <v>3</v>
      </c>
      <c r="S78" s="58">
        <v>2</v>
      </c>
      <c r="T78" s="58">
        <v>0</v>
      </c>
      <c r="U78" s="1081">
        <f t="shared" si="30"/>
        <v>21</v>
      </c>
      <c r="V78" s="734">
        <v>46</v>
      </c>
      <c r="W78" s="58">
        <v>20</v>
      </c>
      <c r="X78" s="58">
        <v>47</v>
      </c>
      <c r="Y78" s="58">
        <v>30</v>
      </c>
      <c r="Z78" s="58">
        <v>46</v>
      </c>
      <c r="AA78" s="58">
        <v>30</v>
      </c>
      <c r="AB78" s="58">
        <v>50</v>
      </c>
      <c r="AC78" s="58">
        <v>24</v>
      </c>
      <c r="AD78" s="58">
        <v>66</v>
      </c>
      <c r="AE78" s="58">
        <v>27</v>
      </c>
      <c r="AF78" s="58">
        <v>52</v>
      </c>
      <c r="AG78" s="58">
        <v>26</v>
      </c>
      <c r="AH78" s="1082">
        <f t="shared" si="31"/>
        <v>307</v>
      </c>
      <c r="AI78" s="1081">
        <f t="shared" si="31"/>
        <v>157</v>
      </c>
      <c r="AJ78" s="734">
        <v>8</v>
      </c>
      <c r="AK78" s="58">
        <v>2</v>
      </c>
      <c r="AL78" s="58">
        <v>0</v>
      </c>
      <c r="AM78" s="59">
        <v>0</v>
      </c>
      <c r="AN78" s="76"/>
    </row>
    <row r="79" spans="1:40" ht="17.100000000000001" customHeight="1">
      <c r="A79" s="168" t="s">
        <v>154</v>
      </c>
      <c r="B79" s="168" t="s">
        <v>7</v>
      </c>
      <c r="C79" s="168" t="s">
        <v>7</v>
      </c>
      <c r="D79" s="168" t="s">
        <v>4</v>
      </c>
      <c r="E79" s="168" t="s">
        <v>728</v>
      </c>
      <c r="F79" s="130">
        <v>35309</v>
      </c>
      <c r="G79" s="154" t="s">
        <v>4287</v>
      </c>
      <c r="H79" s="1084">
        <v>9500</v>
      </c>
      <c r="I79" s="719">
        <v>21345</v>
      </c>
      <c r="J79" s="53" t="s">
        <v>4288</v>
      </c>
      <c r="K79" s="746" t="s">
        <v>4289</v>
      </c>
      <c r="L79" s="747" t="s">
        <v>4290</v>
      </c>
      <c r="M79" s="755">
        <v>2</v>
      </c>
      <c r="N79" s="58">
        <v>2</v>
      </c>
      <c r="O79" s="58">
        <v>2</v>
      </c>
      <c r="P79" s="58">
        <v>3</v>
      </c>
      <c r="Q79" s="58">
        <v>2</v>
      </c>
      <c r="R79" s="58">
        <v>3</v>
      </c>
      <c r="S79" s="58">
        <v>1</v>
      </c>
      <c r="T79" s="58">
        <v>0</v>
      </c>
      <c r="U79" s="1081">
        <f t="shared" si="30"/>
        <v>15</v>
      </c>
      <c r="V79" s="734">
        <v>30</v>
      </c>
      <c r="W79" s="58">
        <v>14</v>
      </c>
      <c r="X79" s="58">
        <v>36</v>
      </c>
      <c r="Y79" s="58">
        <v>16</v>
      </c>
      <c r="Z79" s="58">
        <v>34</v>
      </c>
      <c r="AA79" s="58">
        <v>14</v>
      </c>
      <c r="AB79" s="58">
        <v>55</v>
      </c>
      <c r="AC79" s="58">
        <v>24</v>
      </c>
      <c r="AD79" s="58">
        <v>46</v>
      </c>
      <c r="AE79" s="58">
        <v>20</v>
      </c>
      <c r="AF79" s="58">
        <v>62</v>
      </c>
      <c r="AG79" s="58">
        <v>30</v>
      </c>
      <c r="AH79" s="1082">
        <f t="shared" si="31"/>
        <v>263</v>
      </c>
      <c r="AI79" s="1081">
        <f t="shared" si="31"/>
        <v>118</v>
      </c>
      <c r="AJ79" s="734">
        <v>3</v>
      </c>
      <c r="AK79" s="58">
        <v>1</v>
      </c>
      <c r="AL79" s="58">
        <v>0</v>
      </c>
      <c r="AM79" s="59">
        <v>0</v>
      </c>
      <c r="AN79" s="76"/>
    </row>
    <row r="80" spans="1:40" ht="17.100000000000001" customHeight="1">
      <c r="A80" s="167" t="s">
        <v>154</v>
      </c>
      <c r="B80" s="167" t="s">
        <v>7</v>
      </c>
      <c r="C80" s="168" t="s">
        <v>7</v>
      </c>
      <c r="D80" s="167" t="s">
        <v>4</v>
      </c>
      <c r="E80" s="168" t="s">
        <v>729</v>
      </c>
      <c r="F80" s="71">
        <v>38231</v>
      </c>
      <c r="G80" s="50" t="s">
        <v>4291</v>
      </c>
      <c r="H80" s="1084">
        <v>12214</v>
      </c>
      <c r="I80" s="52">
        <v>21341</v>
      </c>
      <c r="J80" s="53" t="s">
        <v>730</v>
      </c>
      <c r="K80" s="53" t="s">
        <v>731</v>
      </c>
      <c r="L80" s="54" t="s">
        <v>1523</v>
      </c>
      <c r="M80" s="755">
        <v>3</v>
      </c>
      <c r="N80" s="65">
        <v>4</v>
      </c>
      <c r="O80" s="65">
        <v>4</v>
      </c>
      <c r="P80" s="65">
        <v>5</v>
      </c>
      <c r="Q80" s="65">
        <v>6</v>
      </c>
      <c r="R80" s="65">
        <v>5</v>
      </c>
      <c r="S80" s="65">
        <v>1</v>
      </c>
      <c r="T80" s="58">
        <v>0</v>
      </c>
      <c r="U80" s="1081">
        <f t="shared" si="30"/>
        <v>28</v>
      </c>
      <c r="V80" s="736">
        <v>67</v>
      </c>
      <c r="W80" s="65">
        <v>34</v>
      </c>
      <c r="X80" s="65">
        <v>96</v>
      </c>
      <c r="Y80" s="65">
        <v>51</v>
      </c>
      <c r="Z80" s="65">
        <v>108</v>
      </c>
      <c r="AA80" s="65">
        <v>55</v>
      </c>
      <c r="AB80" s="65">
        <v>124</v>
      </c>
      <c r="AC80" s="65">
        <v>55</v>
      </c>
      <c r="AD80" s="65">
        <v>148</v>
      </c>
      <c r="AE80" s="65">
        <v>74</v>
      </c>
      <c r="AF80" s="65">
        <v>138</v>
      </c>
      <c r="AG80" s="65">
        <v>59</v>
      </c>
      <c r="AH80" s="1082">
        <f t="shared" si="31"/>
        <v>681</v>
      </c>
      <c r="AI80" s="1081">
        <f t="shared" si="31"/>
        <v>328</v>
      </c>
      <c r="AJ80" s="736">
        <v>1</v>
      </c>
      <c r="AK80" s="65">
        <v>1</v>
      </c>
      <c r="AL80" s="58">
        <v>0</v>
      </c>
      <c r="AM80" s="59">
        <v>0</v>
      </c>
      <c r="AN80" s="731"/>
    </row>
    <row r="81" spans="1:40" ht="17.100000000000001" customHeight="1">
      <c r="A81" s="167" t="s">
        <v>154</v>
      </c>
      <c r="B81" s="167" t="s">
        <v>7</v>
      </c>
      <c r="C81" s="168" t="s">
        <v>7</v>
      </c>
      <c r="D81" s="167" t="s">
        <v>4</v>
      </c>
      <c r="E81" s="168" t="s">
        <v>732</v>
      </c>
      <c r="F81" s="71">
        <v>38988</v>
      </c>
      <c r="G81" s="50" t="s">
        <v>4292</v>
      </c>
      <c r="H81" s="1085">
        <v>9459</v>
      </c>
      <c r="I81" s="52">
        <v>21457</v>
      </c>
      <c r="J81" s="53" t="s">
        <v>4293</v>
      </c>
      <c r="K81" s="53" t="s">
        <v>4294</v>
      </c>
      <c r="L81" s="54" t="s">
        <v>733</v>
      </c>
      <c r="M81" s="755">
        <v>2</v>
      </c>
      <c r="N81" s="65">
        <v>2</v>
      </c>
      <c r="O81" s="65">
        <v>2</v>
      </c>
      <c r="P81" s="65">
        <v>2</v>
      </c>
      <c r="Q81" s="65">
        <v>2</v>
      </c>
      <c r="R81" s="65">
        <v>2</v>
      </c>
      <c r="S81" s="65">
        <v>3</v>
      </c>
      <c r="T81" s="58">
        <v>0</v>
      </c>
      <c r="U81" s="1081">
        <f t="shared" si="30"/>
        <v>15</v>
      </c>
      <c r="V81" s="736">
        <v>24</v>
      </c>
      <c r="W81" s="65">
        <v>8</v>
      </c>
      <c r="X81" s="65">
        <v>34</v>
      </c>
      <c r="Y81" s="65">
        <v>14</v>
      </c>
      <c r="Z81" s="65">
        <v>42</v>
      </c>
      <c r="AA81" s="65">
        <v>21</v>
      </c>
      <c r="AB81" s="65">
        <v>46</v>
      </c>
      <c r="AC81" s="65">
        <v>24</v>
      </c>
      <c r="AD81" s="65">
        <v>41</v>
      </c>
      <c r="AE81" s="65">
        <v>19</v>
      </c>
      <c r="AF81" s="65">
        <v>42</v>
      </c>
      <c r="AG81" s="65">
        <v>24</v>
      </c>
      <c r="AH81" s="1082">
        <f t="shared" si="31"/>
        <v>229</v>
      </c>
      <c r="AI81" s="1081">
        <f t="shared" si="31"/>
        <v>110</v>
      </c>
      <c r="AJ81" s="736">
        <v>15</v>
      </c>
      <c r="AK81" s="65">
        <v>5</v>
      </c>
      <c r="AL81" s="58">
        <v>0</v>
      </c>
      <c r="AM81" s="59">
        <v>0</v>
      </c>
      <c r="AN81" s="731"/>
    </row>
    <row r="82" spans="1:40" ht="17.100000000000001" customHeight="1">
      <c r="A82" s="168" t="s">
        <v>154</v>
      </c>
      <c r="B82" s="168" t="s">
        <v>7</v>
      </c>
      <c r="C82" s="168" t="s">
        <v>7</v>
      </c>
      <c r="D82" s="168" t="s">
        <v>4</v>
      </c>
      <c r="E82" s="168" t="s">
        <v>734</v>
      </c>
      <c r="F82" s="130">
        <v>31837</v>
      </c>
      <c r="G82" s="154" t="s">
        <v>4295</v>
      </c>
      <c r="H82" s="1084">
        <v>11510</v>
      </c>
      <c r="I82" s="719">
        <v>21381</v>
      </c>
      <c r="J82" s="53" t="s">
        <v>4296</v>
      </c>
      <c r="K82" s="746" t="s">
        <v>4297</v>
      </c>
      <c r="L82" s="747" t="s">
        <v>4298</v>
      </c>
      <c r="M82" s="755">
        <v>3</v>
      </c>
      <c r="N82" s="58">
        <v>3</v>
      </c>
      <c r="O82" s="58">
        <v>3</v>
      </c>
      <c r="P82" s="58">
        <v>3</v>
      </c>
      <c r="Q82" s="58">
        <v>4</v>
      </c>
      <c r="R82" s="58">
        <v>3</v>
      </c>
      <c r="S82" s="58">
        <v>1</v>
      </c>
      <c r="T82" s="58">
        <v>0</v>
      </c>
      <c r="U82" s="1081">
        <f t="shared" si="30"/>
        <v>20</v>
      </c>
      <c r="V82" s="734">
        <v>63</v>
      </c>
      <c r="W82" s="58">
        <v>32</v>
      </c>
      <c r="X82" s="58">
        <v>57</v>
      </c>
      <c r="Y82" s="58">
        <v>31</v>
      </c>
      <c r="Z82" s="58">
        <v>65</v>
      </c>
      <c r="AA82" s="58">
        <v>41</v>
      </c>
      <c r="AB82" s="58">
        <v>75</v>
      </c>
      <c r="AC82" s="58">
        <v>31</v>
      </c>
      <c r="AD82" s="58">
        <v>82</v>
      </c>
      <c r="AE82" s="58">
        <v>39</v>
      </c>
      <c r="AF82" s="58">
        <v>82</v>
      </c>
      <c r="AG82" s="58">
        <v>35</v>
      </c>
      <c r="AH82" s="1082">
        <f t="shared" si="31"/>
        <v>424</v>
      </c>
      <c r="AI82" s="1081">
        <f t="shared" si="31"/>
        <v>209</v>
      </c>
      <c r="AJ82" s="1072">
        <v>8</v>
      </c>
      <c r="AK82" s="58">
        <v>5</v>
      </c>
      <c r="AL82" s="58">
        <v>0</v>
      </c>
      <c r="AM82" s="59">
        <v>0</v>
      </c>
      <c r="AN82" s="1086"/>
    </row>
    <row r="83" spans="1:40" ht="17.100000000000001" customHeight="1">
      <c r="A83" s="167" t="s">
        <v>154</v>
      </c>
      <c r="B83" s="167" t="s">
        <v>7</v>
      </c>
      <c r="C83" s="168" t="s">
        <v>7</v>
      </c>
      <c r="D83" s="167" t="s">
        <v>4</v>
      </c>
      <c r="E83" s="168" t="s">
        <v>735</v>
      </c>
      <c r="F83" s="71">
        <v>33482</v>
      </c>
      <c r="G83" s="50" t="s">
        <v>4299</v>
      </c>
      <c r="H83" s="1085">
        <v>11379</v>
      </c>
      <c r="I83" s="52">
        <v>21458</v>
      </c>
      <c r="J83" s="53" t="s">
        <v>4300</v>
      </c>
      <c r="K83" s="53" t="s">
        <v>4301</v>
      </c>
      <c r="L83" s="54" t="s">
        <v>4302</v>
      </c>
      <c r="M83" s="755">
        <v>3</v>
      </c>
      <c r="N83" s="65">
        <v>5</v>
      </c>
      <c r="O83" s="65">
        <v>5</v>
      </c>
      <c r="P83" s="65">
        <v>5</v>
      </c>
      <c r="Q83" s="65">
        <v>5</v>
      </c>
      <c r="R83" s="65">
        <v>5</v>
      </c>
      <c r="S83" s="65">
        <v>3</v>
      </c>
      <c r="T83" s="58">
        <v>0</v>
      </c>
      <c r="U83" s="1081">
        <f t="shared" si="30"/>
        <v>31</v>
      </c>
      <c r="V83" s="736">
        <v>74</v>
      </c>
      <c r="W83" s="65">
        <v>34</v>
      </c>
      <c r="X83" s="65">
        <v>97</v>
      </c>
      <c r="Y83" s="65">
        <v>46</v>
      </c>
      <c r="Z83" s="65">
        <v>102</v>
      </c>
      <c r="AA83" s="65">
        <v>45</v>
      </c>
      <c r="AB83" s="65">
        <v>105</v>
      </c>
      <c r="AC83" s="65">
        <v>49</v>
      </c>
      <c r="AD83" s="65">
        <v>108</v>
      </c>
      <c r="AE83" s="65">
        <v>53</v>
      </c>
      <c r="AF83" s="65">
        <v>99</v>
      </c>
      <c r="AG83" s="65">
        <v>55</v>
      </c>
      <c r="AH83" s="1082">
        <f t="shared" si="31"/>
        <v>585</v>
      </c>
      <c r="AI83" s="1081">
        <f t="shared" si="31"/>
        <v>282</v>
      </c>
      <c r="AJ83" s="1369">
        <v>14</v>
      </c>
      <c r="AK83" s="65">
        <v>2</v>
      </c>
      <c r="AL83" s="58">
        <v>0</v>
      </c>
      <c r="AM83" s="59">
        <v>0</v>
      </c>
      <c r="AN83" s="731"/>
    </row>
    <row r="84" spans="1:40" ht="17.100000000000001" customHeight="1">
      <c r="A84" s="167" t="s">
        <v>154</v>
      </c>
      <c r="B84" s="167" t="s">
        <v>7</v>
      </c>
      <c r="C84" s="168" t="s">
        <v>7</v>
      </c>
      <c r="D84" s="167" t="s">
        <v>4</v>
      </c>
      <c r="E84" s="168" t="s">
        <v>736</v>
      </c>
      <c r="F84" s="71">
        <v>24447</v>
      </c>
      <c r="G84" s="50" t="s">
        <v>809</v>
      </c>
      <c r="H84" s="1085">
        <v>18046</v>
      </c>
      <c r="I84" s="52">
        <v>21438</v>
      </c>
      <c r="J84" s="53" t="s">
        <v>4303</v>
      </c>
      <c r="K84" s="53" t="s">
        <v>4304</v>
      </c>
      <c r="L84" s="54" t="s">
        <v>737</v>
      </c>
      <c r="M84" s="755">
        <v>3</v>
      </c>
      <c r="N84" s="65">
        <v>3</v>
      </c>
      <c r="O84" s="65">
        <v>3</v>
      </c>
      <c r="P84" s="65">
        <v>3</v>
      </c>
      <c r="Q84" s="65">
        <v>3</v>
      </c>
      <c r="R84" s="65">
        <v>3</v>
      </c>
      <c r="S84" s="65">
        <v>2</v>
      </c>
      <c r="T84" s="58">
        <v>0</v>
      </c>
      <c r="U84" s="1081">
        <f t="shared" si="30"/>
        <v>20</v>
      </c>
      <c r="V84" s="736">
        <v>47</v>
      </c>
      <c r="W84" s="65">
        <v>31</v>
      </c>
      <c r="X84" s="65">
        <v>43</v>
      </c>
      <c r="Y84" s="65">
        <v>23</v>
      </c>
      <c r="Z84" s="65">
        <v>49</v>
      </c>
      <c r="AA84" s="65">
        <v>28</v>
      </c>
      <c r="AB84" s="65">
        <v>57</v>
      </c>
      <c r="AC84" s="65">
        <v>36</v>
      </c>
      <c r="AD84" s="65">
        <v>48</v>
      </c>
      <c r="AE84" s="65">
        <v>24</v>
      </c>
      <c r="AF84" s="65">
        <v>53</v>
      </c>
      <c r="AG84" s="65">
        <v>27</v>
      </c>
      <c r="AH84" s="1082">
        <f t="shared" si="31"/>
        <v>297</v>
      </c>
      <c r="AI84" s="1081">
        <f t="shared" si="31"/>
        <v>169</v>
      </c>
      <c r="AJ84" s="1369">
        <v>7</v>
      </c>
      <c r="AK84" s="65">
        <v>5</v>
      </c>
      <c r="AL84" s="58">
        <v>0</v>
      </c>
      <c r="AM84" s="59">
        <v>0</v>
      </c>
      <c r="AN84" s="731"/>
    </row>
    <row r="85" spans="1:40" ht="17.100000000000001" customHeight="1">
      <c r="A85" s="167" t="s">
        <v>154</v>
      </c>
      <c r="B85" s="167" t="s">
        <v>7</v>
      </c>
      <c r="C85" s="168" t="s">
        <v>7</v>
      </c>
      <c r="D85" s="167" t="s">
        <v>4</v>
      </c>
      <c r="E85" s="168" t="s">
        <v>738</v>
      </c>
      <c r="F85" s="71">
        <v>32752</v>
      </c>
      <c r="G85" s="50" t="s">
        <v>4305</v>
      </c>
      <c r="H85" s="1085">
        <v>13806</v>
      </c>
      <c r="I85" s="52">
        <v>21307</v>
      </c>
      <c r="J85" s="53" t="s">
        <v>739</v>
      </c>
      <c r="K85" s="53" t="s">
        <v>740</v>
      </c>
      <c r="L85" s="54" t="s">
        <v>741</v>
      </c>
      <c r="M85" s="755">
        <v>2</v>
      </c>
      <c r="N85" s="65">
        <v>2</v>
      </c>
      <c r="O85" s="65">
        <v>2</v>
      </c>
      <c r="P85" s="65">
        <v>1</v>
      </c>
      <c r="Q85" s="65">
        <v>1</v>
      </c>
      <c r="R85" s="65">
        <v>1</v>
      </c>
      <c r="S85" s="65">
        <v>1</v>
      </c>
      <c r="T85" s="58">
        <v>0</v>
      </c>
      <c r="U85" s="1081">
        <f t="shared" si="30"/>
        <v>10</v>
      </c>
      <c r="V85" s="736">
        <v>34</v>
      </c>
      <c r="W85" s="65">
        <v>18</v>
      </c>
      <c r="X85" s="65">
        <v>24</v>
      </c>
      <c r="Y85" s="65">
        <v>11</v>
      </c>
      <c r="Z85" s="65">
        <v>24</v>
      </c>
      <c r="AA85" s="65">
        <v>13</v>
      </c>
      <c r="AB85" s="65">
        <v>13</v>
      </c>
      <c r="AC85" s="65">
        <v>13</v>
      </c>
      <c r="AD85" s="65">
        <v>20</v>
      </c>
      <c r="AE85" s="65">
        <v>11</v>
      </c>
      <c r="AF85" s="65">
        <v>15</v>
      </c>
      <c r="AG85" s="65">
        <v>7</v>
      </c>
      <c r="AH85" s="1082">
        <f t="shared" si="31"/>
        <v>130</v>
      </c>
      <c r="AI85" s="1081">
        <f t="shared" si="31"/>
        <v>73</v>
      </c>
      <c r="AJ85" s="1369">
        <v>6</v>
      </c>
      <c r="AK85" s="65">
        <v>4</v>
      </c>
      <c r="AL85" s="58">
        <v>0</v>
      </c>
      <c r="AM85" s="59">
        <v>0</v>
      </c>
      <c r="AN85" s="731"/>
    </row>
    <row r="86" spans="1:40" ht="17.100000000000001" customHeight="1">
      <c r="A86" s="167" t="s">
        <v>154</v>
      </c>
      <c r="B86" s="167" t="s">
        <v>7</v>
      </c>
      <c r="C86" s="168" t="s">
        <v>7</v>
      </c>
      <c r="D86" s="167" t="s">
        <v>4</v>
      </c>
      <c r="E86" s="168" t="s">
        <v>742</v>
      </c>
      <c r="F86" s="71">
        <v>35490</v>
      </c>
      <c r="G86" s="50" t="s">
        <v>4306</v>
      </c>
      <c r="H86" s="1085">
        <v>10119</v>
      </c>
      <c r="I86" s="52">
        <v>21363</v>
      </c>
      <c r="J86" s="53" t="s">
        <v>4307</v>
      </c>
      <c r="K86" s="53" t="s">
        <v>4308</v>
      </c>
      <c r="L86" s="54" t="s">
        <v>4309</v>
      </c>
      <c r="M86" s="755">
        <v>3</v>
      </c>
      <c r="N86" s="65">
        <v>4</v>
      </c>
      <c r="O86" s="65">
        <v>4</v>
      </c>
      <c r="P86" s="65">
        <v>3</v>
      </c>
      <c r="Q86" s="65">
        <v>4</v>
      </c>
      <c r="R86" s="65">
        <v>4</v>
      </c>
      <c r="S86" s="65">
        <v>2</v>
      </c>
      <c r="T86" s="58">
        <v>0</v>
      </c>
      <c r="U86" s="1081">
        <f t="shared" si="30"/>
        <v>24</v>
      </c>
      <c r="V86" s="736">
        <v>70</v>
      </c>
      <c r="W86" s="65">
        <v>31</v>
      </c>
      <c r="X86" s="65">
        <v>88</v>
      </c>
      <c r="Y86" s="65">
        <v>51</v>
      </c>
      <c r="Z86" s="65">
        <v>91</v>
      </c>
      <c r="AA86" s="65">
        <v>42</v>
      </c>
      <c r="AB86" s="65">
        <v>80</v>
      </c>
      <c r="AC86" s="65">
        <v>37</v>
      </c>
      <c r="AD86" s="65">
        <v>102</v>
      </c>
      <c r="AE86" s="65">
        <v>44</v>
      </c>
      <c r="AF86" s="65">
        <v>91</v>
      </c>
      <c r="AG86" s="65">
        <v>46</v>
      </c>
      <c r="AH86" s="1082">
        <f t="shared" si="31"/>
        <v>522</v>
      </c>
      <c r="AI86" s="1081">
        <f t="shared" si="31"/>
        <v>251</v>
      </c>
      <c r="AJ86" s="1369">
        <v>9</v>
      </c>
      <c r="AK86" s="65">
        <v>2</v>
      </c>
      <c r="AL86" s="58">
        <v>0</v>
      </c>
      <c r="AM86" s="59">
        <v>0</v>
      </c>
      <c r="AN86" s="731"/>
    </row>
    <row r="87" spans="1:40" ht="17.100000000000001" customHeight="1">
      <c r="A87" s="167" t="s">
        <v>154</v>
      </c>
      <c r="B87" s="167" t="s">
        <v>7</v>
      </c>
      <c r="C87" s="168" t="s">
        <v>7</v>
      </c>
      <c r="D87" s="167" t="s">
        <v>4</v>
      </c>
      <c r="E87" s="168" t="s">
        <v>743</v>
      </c>
      <c r="F87" s="71">
        <v>36951</v>
      </c>
      <c r="G87" s="50" t="s">
        <v>3389</v>
      </c>
      <c r="H87" s="1085">
        <v>15962</v>
      </c>
      <c r="I87" s="52">
        <v>21363</v>
      </c>
      <c r="J87" s="53" t="s">
        <v>744</v>
      </c>
      <c r="K87" s="53" t="s">
        <v>4310</v>
      </c>
      <c r="L87" s="54" t="s">
        <v>745</v>
      </c>
      <c r="M87" s="755">
        <v>2</v>
      </c>
      <c r="N87" s="65">
        <v>2</v>
      </c>
      <c r="O87" s="65">
        <v>2</v>
      </c>
      <c r="P87" s="65">
        <v>2</v>
      </c>
      <c r="Q87" s="65">
        <v>2</v>
      </c>
      <c r="R87" s="65">
        <v>2</v>
      </c>
      <c r="S87" s="65">
        <v>2</v>
      </c>
      <c r="T87" s="58">
        <v>0</v>
      </c>
      <c r="U87" s="1081">
        <f t="shared" si="30"/>
        <v>14</v>
      </c>
      <c r="V87" s="736">
        <v>22</v>
      </c>
      <c r="W87" s="65">
        <v>14</v>
      </c>
      <c r="X87" s="65">
        <v>21</v>
      </c>
      <c r="Y87" s="65">
        <v>8</v>
      </c>
      <c r="Z87" s="65">
        <v>30</v>
      </c>
      <c r="AA87" s="65">
        <v>16</v>
      </c>
      <c r="AB87" s="65">
        <v>37</v>
      </c>
      <c r="AC87" s="65">
        <v>15</v>
      </c>
      <c r="AD87" s="65">
        <v>45</v>
      </c>
      <c r="AE87" s="65">
        <v>23</v>
      </c>
      <c r="AF87" s="65">
        <v>44</v>
      </c>
      <c r="AG87" s="65">
        <v>19</v>
      </c>
      <c r="AH87" s="1082">
        <f t="shared" si="31"/>
        <v>199</v>
      </c>
      <c r="AI87" s="1081">
        <f t="shared" si="31"/>
        <v>95</v>
      </c>
      <c r="AJ87" s="736">
        <v>9</v>
      </c>
      <c r="AK87" s="65">
        <v>3</v>
      </c>
      <c r="AL87" s="58">
        <v>0</v>
      </c>
      <c r="AM87" s="59">
        <v>0</v>
      </c>
      <c r="AN87" s="731"/>
    </row>
    <row r="88" spans="1:40" ht="17.100000000000001" customHeight="1">
      <c r="A88" s="168" t="s">
        <v>154</v>
      </c>
      <c r="B88" s="168" t="s">
        <v>7</v>
      </c>
      <c r="C88" s="168" t="s">
        <v>7</v>
      </c>
      <c r="D88" s="168" t="s">
        <v>4</v>
      </c>
      <c r="E88" s="168" t="s">
        <v>746</v>
      </c>
      <c r="F88" s="130">
        <v>36770</v>
      </c>
      <c r="G88" s="154" t="s">
        <v>4311</v>
      </c>
      <c r="H88" s="1084">
        <v>12185</v>
      </c>
      <c r="I88" s="719">
        <v>21434</v>
      </c>
      <c r="J88" s="53" t="s">
        <v>747</v>
      </c>
      <c r="K88" s="746" t="s">
        <v>4312</v>
      </c>
      <c r="L88" s="747" t="s">
        <v>4313</v>
      </c>
      <c r="M88" s="755">
        <v>3</v>
      </c>
      <c r="N88" s="58">
        <v>3</v>
      </c>
      <c r="O88" s="58">
        <v>4</v>
      </c>
      <c r="P88" s="58">
        <v>4</v>
      </c>
      <c r="Q88" s="58">
        <v>3</v>
      </c>
      <c r="R88" s="58">
        <v>4</v>
      </c>
      <c r="S88" s="58">
        <v>2</v>
      </c>
      <c r="T88" s="58">
        <v>0</v>
      </c>
      <c r="U88" s="1081">
        <f t="shared" si="30"/>
        <v>23</v>
      </c>
      <c r="V88" s="734">
        <v>73</v>
      </c>
      <c r="W88" s="58">
        <v>27</v>
      </c>
      <c r="X88" s="58">
        <v>68</v>
      </c>
      <c r="Y88" s="58">
        <v>41</v>
      </c>
      <c r="Z88" s="58">
        <v>81</v>
      </c>
      <c r="AA88" s="58">
        <v>45</v>
      </c>
      <c r="AB88" s="58">
        <v>87</v>
      </c>
      <c r="AC88" s="58">
        <v>42</v>
      </c>
      <c r="AD88" s="58">
        <v>71</v>
      </c>
      <c r="AE88" s="58">
        <v>35</v>
      </c>
      <c r="AF88" s="58">
        <v>88</v>
      </c>
      <c r="AG88" s="58">
        <v>45</v>
      </c>
      <c r="AH88" s="1082">
        <f t="shared" si="31"/>
        <v>468</v>
      </c>
      <c r="AI88" s="1081">
        <f t="shared" si="31"/>
        <v>235</v>
      </c>
      <c r="AJ88" s="1072">
        <v>9</v>
      </c>
      <c r="AK88" s="58">
        <v>6</v>
      </c>
      <c r="AL88" s="58">
        <v>0</v>
      </c>
      <c r="AM88" s="59">
        <v>0</v>
      </c>
      <c r="AN88" s="1086"/>
    </row>
    <row r="89" spans="1:40" ht="17.100000000000001" customHeight="1">
      <c r="A89" s="168" t="s">
        <v>154</v>
      </c>
      <c r="B89" s="168" t="s">
        <v>7</v>
      </c>
      <c r="C89" s="168" t="s">
        <v>7</v>
      </c>
      <c r="D89" s="168" t="s">
        <v>4</v>
      </c>
      <c r="E89" s="168" t="s">
        <v>748</v>
      </c>
      <c r="F89" s="130">
        <v>30376</v>
      </c>
      <c r="G89" s="154" t="s">
        <v>4314</v>
      </c>
      <c r="H89" s="1084">
        <v>19592</v>
      </c>
      <c r="I89" s="719">
        <v>21401</v>
      </c>
      <c r="J89" s="53" t="s">
        <v>4315</v>
      </c>
      <c r="K89" s="746" t="s">
        <v>4316</v>
      </c>
      <c r="L89" s="747" t="s">
        <v>4317</v>
      </c>
      <c r="M89" s="755">
        <v>6</v>
      </c>
      <c r="N89" s="58">
        <v>7</v>
      </c>
      <c r="O89" s="58">
        <v>6</v>
      </c>
      <c r="P89" s="58">
        <v>8</v>
      </c>
      <c r="Q89" s="58">
        <v>7</v>
      </c>
      <c r="R89" s="58">
        <v>7</v>
      </c>
      <c r="S89" s="58">
        <v>2</v>
      </c>
      <c r="T89" s="58">
        <v>0</v>
      </c>
      <c r="U89" s="1081">
        <f t="shared" si="30"/>
        <v>43</v>
      </c>
      <c r="V89" s="734">
        <v>158</v>
      </c>
      <c r="W89" s="58">
        <v>70</v>
      </c>
      <c r="X89" s="58">
        <v>175</v>
      </c>
      <c r="Y89" s="58">
        <v>93</v>
      </c>
      <c r="Z89" s="58">
        <v>148</v>
      </c>
      <c r="AA89" s="58">
        <v>66</v>
      </c>
      <c r="AB89" s="58">
        <v>198</v>
      </c>
      <c r="AC89" s="58">
        <v>96</v>
      </c>
      <c r="AD89" s="58">
        <v>188</v>
      </c>
      <c r="AE89" s="58">
        <v>92</v>
      </c>
      <c r="AF89" s="58">
        <v>178</v>
      </c>
      <c r="AG89" s="58">
        <v>96</v>
      </c>
      <c r="AH89" s="1082">
        <f t="shared" si="31"/>
        <v>1045</v>
      </c>
      <c r="AI89" s="1081">
        <f t="shared" si="31"/>
        <v>513</v>
      </c>
      <c r="AJ89" s="1072">
        <v>12</v>
      </c>
      <c r="AK89" s="58">
        <v>5</v>
      </c>
      <c r="AL89" s="58">
        <v>0</v>
      </c>
      <c r="AM89" s="59">
        <v>0</v>
      </c>
      <c r="AN89" s="76"/>
    </row>
    <row r="90" spans="1:40" ht="17.100000000000001" customHeight="1">
      <c r="A90" s="168" t="s">
        <v>154</v>
      </c>
      <c r="B90" s="168" t="s">
        <v>7</v>
      </c>
      <c r="C90" s="168" t="s">
        <v>7</v>
      </c>
      <c r="D90" s="168" t="s">
        <v>4</v>
      </c>
      <c r="E90" s="168" t="s">
        <v>749</v>
      </c>
      <c r="F90" s="130">
        <v>34820</v>
      </c>
      <c r="G90" s="154" t="s">
        <v>4318</v>
      </c>
      <c r="H90" s="1084">
        <v>9534</v>
      </c>
      <c r="I90" s="719">
        <v>21420</v>
      </c>
      <c r="J90" s="53" t="s">
        <v>750</v>
      </c>
      <c r="K90" s="746" t="s">
        <v>4319</v>
      </c>
      <c r="L90" s="747" t="s">
        <v>813</v>
      </c>
      <c r="M90" s="755">
        <v>2</v>
      </c>
      <c r="N90" s="58">
        <v>2</v>
      </c>
      <c r="O90" s="58">
        <v>2</v>
      </c>
      <c r="P90" s="58">
        <v>2</v>
      </c>
      <c r="Q90" s="58">
        <v>2</v>
      </c>
      <c r="R90" s="58">
        <v>2</v>
      </c>
      <c r="S90" s="58">
        <v>2</v>
      </c>
      <c r="T90" s="58">
        <v>0</v>
      </c>
      <c r="U90" s="1081">
        <f t="shared" si="30"/>
        <v>14</v>
      </c>
      <c r="V90" s="734">
        <v>22</v>
      </c>
      <c r="W90" s="58">
        <v>12</v>
      </c>
      <c r="X90" s="58">
        <v>23</v>
      </c>
      <c r="Y90" s="58">
        <v>17</v>
      </c>
      <c r="Z90" s="58">
        <v>26</v>
      </c>
      <c r="AA90" s="58">
        <v>13</v>
      </c>
      <c r="AB90" s="58">
        <v>30</v>
      </c>
      <c r="AC90" s="58">
        <v>18</v>
      </c>
      <c r="AD90" s="58">
        <v>30</v>
      </c>
      <c r="AE90" s="58">
        <v>16</v>
      </c>
      <c r="AF90" s="58">
        <v>45</v>
      </c>
      <c r="AG90" s="58">
        <v>20</v>
      </c>
      <c r="AH90" s="1082">
        <f t="shared" si="31"/>
        <v>176</v>
      </c>
      <c r="AI90" s="1081">
        <f t="shared" si="31"/>
        <v>96</v>
      </c>
      <c r="AJ90" s="734">
        <v>8</v>
      </c>
      <c r="AK90" s="58">
        <v>2</v>
      </c>
      <c r="AL90" s="58">
        <v>0</v>
      </c>
      <c r="AM90" s="59">
        <v>0</v>
      </c>
      <c r="AN90" s="76"/>
    </row>
    <row r="91" spans="1:40" ht="17.100000000000001" customHeight="1">
      <c r="A91" s="167" t="s">
        <v>154</v>
      </c>
      <c r="B91" s="167" t="s">
        <v>7</v>
      </c>
      <c r="C91" s="168" t="s">
        <v>7</v>
      </c>
      <c r="D91" s="167" t="s">
        <v>4</v>
      </c>
      <c r="E91" s="168" t="s">
        <v>752</v>
      </c>
      <c r="F91" s="71">
        <v>34943</v>
      </c>
      <c r="G91" s="50" t="s">
        <v>810</v>
      </c>
      <c r="H91" s="1085">
        <v>10948</v>
      </c>
      <c r="I91" s="52">
        <v>21376</v>
      </c>
      <c r="J91" s="53" t="s">
        <v>753</v>
      </c>
      <c r="K91" s="53" t="s">
        <v>754</v>
      </c>
      <c r="L91" s="54" t="s">
        <v>755</v>
      </c>
      <c r="M91" s="755">
        <v>4</v>
      </c>
      <c r="N91" s="65">
        <v>5</v>
      </c>
      <c r="O91" s="65">
        <v>6</v>
      </c>
      <c r="P91" s="65">
        <v>6</v>
      </c>
      <c r="Q91" s="65">
        <v>6</v>
      </c>
      <c r="R91" s="65">
        <v>7</v>
      </c>
      <c r="S91" s="65">
        <v>2</v>
      </c>
      <c r="T91" s="58">
        <v>0</v>
      </c>
      <c r="U91" s="1081">
        <f t="shared" si="30"/>
        <v>36</v>
      </c>
      <c r="V91" s="736">
        <v>91</v>
      </c>
      <c r="W91" s="65">
        <v>40</v>
      </c>
      <c r="X91" s="65">
        <v>122</v>
      </c>
      <c r="Y91" s="65">
        <v>61</v>
      </c>
      <c r="Z91" s="65">
        <v>147</v>
      </c>
      <c r="AA91" s="65">
        <v>67</v>
      </c>
      <c r="AB91" s="65">
        <v>149</v>
      </c>
      <c r="AC91" s="65">
        <v>67</v>
      </c>
      <c r="AD91" s="65">
        <v>156</v>
      </c>
      <c r="AE91" s="65">
        <v>82</v>
      </c>
      <c r="AF91" s="65">
        <v>164</v>
      </c>
      <c r="AG91" s="65">
        <v>68</v>
      </c>
      <c r="AH91" s="1082">
        <f t="shared" si="31"/>
        <v>829</v>
      </c>
      <c r="AI91" s="1081">
        <f t="shared" si="31"/>
        <v>385</v>
      </c>
      <c r="AJ91" s="736">
        <v>10</v>
      </c>
      <c r="AK91" s="65">
        <v>3</v>
      </c>
      <c r="AL91" s="58">
        <v>0</v>
      </c>
      <c r="AM91" s="59">
        <v>0</v>
      </c>
      <c r="AN91" s="731"/>
    </row>
    <row r="92" spans="1:40" ht="17.100000000000001" customHeight="1">
      <c r="A92" s="168" t="s">
        <v>154</v>
      </c>
      <c r="B92" s="168" t="s">
        <v>7</v>
      </c>
      <c r="C92" s="168" t="s">
        <v>7</v>
      </c>
      <c r="D92" s="168" t="s">
        <v>4</v>
      </c>
      <c r="E92" s="168" t="s">
        <v>756</v>
      </c>
      <c r="F92" s="130">
        <v>30742</v>
      </c>
      <c r="G92" s="154" t="s">
        <v>3409</v>
      </c>
      <c r="H92" s="1084">
        <v>13293</v>
      </c>
      <c r="I92" s="719">
        <v>21349</v>
      </c>
      <c r="J92" s="53" t="s">
        <v>4320</v>
      </c>
      <c r="K92" s="746" t="s">
        <v>4321</v>
      </c>
      <c r="L92" s="747" t="s">
        <v>1516</v>
      </c>
      <c r="M92" s="755">
        <v>3</v>
      </c>
      <c r="N92" s="58">
        <v>3</v>
      </c>
      <c r="O92" s="58">
        <v>3</v>
      </c>
      <c r="P92" s="58">
        <v>3</v>
      </c>
      <c r="Q92" s="58">
        <v>4</v>
      </c>
      <c r="R92" s="58">
        <v>3</v>
      </c>
      <c r="S92" s="58">
        <v>2</v>
      </c>
      <c r="T92" s="58">
        <v>0</v>
      </c>
      <c r="U92" s="1081">
        <f t="shared" si="30"/>
        <v>21</v>
      </c>
      <c r="V92" s="734">
        <v>52</v>
      </c>
      <c r="W92" s="58">
        <v>28</v>
      </c>
      <c r="X92" s="58">
        <v>47</v>
      </c>
      <c r="Y92" s="58">
        <v>20</v>
      </c>
      <c r="Z92" s="58">
        <v>52</v>
      </c>
      <c r="AA92" s="58">
        <v>25</v>
      </c>
      <c r="AB92" s="58">
        <v>58</v>
      </c>
      <c r="AC92" s="58">
        <v>29</v>
      </c>
      <c r="AD92" s="58">
        <v>72</v>
      </c>
      <c r="AE92" s="58">
        <v>32</v>
      </c>
      <c r="AF92" s="58">
        <v>48</v>
      </c>
      <c r="AG92" s="58">
        <v>32</v>
      </c>
      <c r="AH92" s="1082">
        <f t="shared" si="31"/>
        <v>329</v>
      </c>
      <c r="AI92" s="1081">
        <f t="shared" si="31"/>
        <v>166</v>
      </c>
      <c r="AJ92" s="734">
        <v>8</v>
      </c>
      <c r="AK92" s="58">
        <v>2</v>
      </c>
      <c r="AL92" s="58">
        <v>0</v>
      </c>
      <c r="AM92" s="59">
        <v>0</v>
      </c>
      <c r="AN92" s="76"/>
    </row>
    <row r="93" spans="1:40" ht="17.100000000000001" customHeight="1">
      <c r="A93" s="167" t="s">
        <v>154</v>
      </c>
      <c r="B93" s="167" t="s">
        <v>7</v>
      </c>
      <c r="C93" s="168" t="s">
        <v>7</v>
      </c>
      <c r="D93" s="167" t="s">
        <v>4</v>
      </c>
      <c r="E93" s="168" t="s">
        <v>757</v>
      </c>
      <c r="F93" s="71">
        <v>35855</v>
      </c>
      <c r="G93" s="50" t="s">
        <v>4322</v>
      </c>
      <c r="H93" s="1085">
        <v>9689</v>
      </c>
      <c r="I93" s="52">
        <v>21350</v>
      </c>
      <c r="J93" s="53" t="s">
        <v>758</v>
      </c>
      <c r="K93" s="53" t="s">
        <v>759</v>
      </c>
      <c r="L93" s="54" t="s">
        <v>760</v>
      </c>
      <c r="M93" s="755">
        <v>3</v>
      </c>
      <c r="N93" s="65">
        <v>4</v>
      </c>
      <c r="O93" s="65">
        <v>3</v>
      </c>
      <c r="P93" s="65">
        <v>4</v>
      </c>
      <c r="Q93" s="65">
        <v>4</v>
      </c>
      <c r="R93" s="65">
        <v>4</v>
      </c>
      <c r="S93" s="65">
        <v>2</v>
      </c>
      <c r="T93" s="58">
        <v>0</v>
      </c>
      <c r="U93" s="1081">
        <f t="shared" si="30"/>
        <v>24</v>
      </c>
      <c r="V93" s="736">
        <v>57</v>
      </c>
      <c r="W93" s="65">
        <v>28</v>
      </c>
      <c r="X93" s="65">
        <v>90</v>
      </c>
      <c r="Y93" s="65">
        <v>43</v>
      </c>
      <c r="Z93" s="65">
        <v>75</v>
      </c>
      <c r="AA93" s="65">
        <v>43</v>
      </c>
      <c r="AB93" s="65">
        <v>81</v>
      </c>
      <c r="AC93" s="65">
        <v>38</v>
      </c>
      <c r="AD93" s="65">
        <v>90</v>
      </c>
      <c r="AE93" s="65">
        <v>45</v>
      </c>
      <c r="AF93" s="65">
        <v>106</v>
      </c>
      <c r="AG93" s="65">
        <v>52</v>
      </c>
      <c r="AH93" s="1082">
        <f t="shared" si="31"/>
        <v>499</v>
      </c>
      <c r="AI93" s="1081">
        <f t="shared" si="31"/>
        <v>249</v>
      </c>
      <c r="AJ93" s="1369">
        <v>7</v>
      </c>
      <c r="AK93" s="65">
        <v>2</v>
      </c>
      <c r="AL93" s="58">
        <v>0</v>
      </c>
      <c r="AM93" s="59">
        <v>0</v>
      </c>
      <c r="AN93" s="731"/>
    </row>
    <row r="94" spans="1:40" ht="17.100000000000001" customHeight="1">
      <c r="A94" s="167" t="s">
        <v>154</v>
      </c>
      <c r="B94" s="167" t="s">
        <v>7</v>
      </c>
      <c r="C94" s="168" t="s">
        <v>7</v>
      </c>
      <c r="D94" s="167" t="s">
        <v>4</v>
      </c>
      <c r="E94" s="168" t="s">
        <v>761</v>
      </c>
      <c r="F94" s="130">
        <v>36586</v>
      </c>
      <c r="G94" s="1079" t="s">
        <v>4323</v>
      </c>
      <c r="H94" s="1080">
        <v>9748</v>
      </c>
      <c r="I94" s="745">
        <v>21362</v>
      </c>
      <c r="J94" s="744" t="s">
        <v>4324</v>
      </c>
      <c r="K94" s="744" t="s">
        <v>4325</v>
      </c>
      <c r="L94" s="744" t="s">
        <v>4326</v>
      </c>
      <c r="M94" s="755">
        <v>3</v>
      </c>
      <c r="N94" s="65">
        <v>4</v>
      </c>
      <c r="O94" s="65">
        <v>4</v>
      </c>
      <c r="P94" s="65">
        <v>5</v>
      </c>
      <c r="Q94" s="65">
        <v>5</v>
      </c>
      <c r="R94" s="65">
        <v>5</v>
      </c>
      <c r="S94" s="65">
        <v>3</v>
      </c>
      <c r="T94" s="65">
        <v>0</v>
      </c>
      <c r="U94" s="1081">
        <f t="shared" si="30"/>
        <v>29</v>
      </c>
      <c r="V94" s="736">
        <v>59</v>
      </c>
      <c r="W94" s="65">
        <v>25</v>
      </c>
      <c r="X94" s="65">
        <v>88</v>
      </c>
      <c r="Y94" s="65">
        <v>42</v>
      </c>
      <c r="Z94" s="65">
        <v>102</v>
      </c>
      <c r="AA94" s="65">
        <v>49</v>
      </c>
      <c r="AB94" s="65">
        <v>126</v>
      </c>
      <c r="AC94" s="65">
        <v>62</v>
      </c>
      <c r="AD94" s="65">
        <v>120</v>
      </c>
      <c r="AE94" s="65">
        <v>57</v>
      </c>
      <c r="AF94" s="65">
        <v>119</v>
      </c>
      <c r="AG94" s="65">
        <v>59</v>
      </c>
      <c r="AH94" s="1082">
        <f t="shared" si="31"/>
        <v>614</v>
      </c>
      <c r="AI94" s="1081">
        <f t="shared" si="31"/>
        <v>294</v>
      </c>
      <c r="AJ94" s="1369">
        <v>16</v>
      </c>
      <c r="AK94" s="65">
        <v>6</v>
      </c>
      <c r="AL94" s="65">
        <v>0</v>
      </c>
      <c r="AM94" s="66">
        <v>0</v>
      </c>
      <c r="AN94" s="1083"/>
    </row>
    <row r="95" spans="1:40" ht="17.100000000000001" customHeight="1">
      <c r="A95" s="167" t="s">
        <v>154</v>
      </c>
      <c r="B95" s="167" t="s">
        <v>7</v>
      </c>
      <c r="C95" s="168" t="s">
        <v>7</v>
      </c>
      <c r="D95" s="167" t="s">
        <v>4</v>
      </c>
      <c r="E95" s="168" t="s">
        <v>762</v>
      </c>
      <c r="F95" s="130">
        <v>29972</v>
      </c>
      <c r="G95" s="1079" t="s">
        <v>3375</v>
      </c>
      <c r="H95" s="1080">
        <v>14536</v>
      </c>
      <c r="I95" s="745">
        <v>21378</v>
      </c>
      <c r="J95" s="744" t="s">
        <v>4327</v>
      </c>
      <c r="K95" s="744" t="s">
        <v>763</v>
      </c>
      <c r="L95" s="744" t="s">
        <v>764</v>
      </c>
      <c r="M95" s="755">
        <v>3</v>
      </c>
      <c r="N95" s="65">
        <v>4</v>
      </c>
      <c r="O95" s="65">
        <v>3</v>
      </c>
      <c r="P95" s="65">
        <v>4</v>
      </c>
      <c r="Q95" s="65">
        <v>5</v>
      </c>
      <c r="R95" s="65">
        <v>4</v>
      </c>
      <c r="S95" s="65">
        <v>3</v>
      </c>
      <c r="T95" s="65">
        <v>0</v>
      </c>
      <c r="U95" s="1081">
        <f t="shared" si="30"/>
        <v>26</v>
      </c>
      <c r="V95" s="736">
        <v>67</v>
      </c>
      <c r="W95" s="65">
        <v>35</v>
      </c>
      <c r="X95" s="65">
        <v>91</v>
      </c>
      <c r="Y95" s="65">
        <v>45</v>
      </c>
      <c r="Z95" s="65">
        <v>76</v>
      </c>
      <c r="AA95" s="65">
        <v>46</v>
      </c>
      <c r="AB95" s="65">
        <v>107</v>
      </c>
      <c r="AC95" s="65">
        <v>56</v>
      </c>
      <c r="AD95" s="65">
        <v>110</v>
      </c>
      <c r="AE95" s="65">
        <v>57</v>
      </c>
      <c r="AF95" s="65">
        <v>100</v>
      </c>
      <c r="AG95" s="65">
        <v>48</v>
      </c>
      <c r="AH95" s="1082">
        <f t="shared" si="31"/>
        <v>551</v>
      </c>
      <c r="AI95" s="1081">
        <f t="shared" si="31"/>
        <v>287</v>
      </c>
      <c r="AJ95" s="1369">
        <v>14</v>
      </c>
      <c r="AK95" s="65">
        <v>8</v>
      </c>
      <c r="AL95" s="65">
        <v>0</v>
      </c>
      <c r="AM95" s="66">
        <v>0</v>
      </c>
      <c r="AN95" s="731"/>
    </row>
    <row r="96" spans="1:40" ht="17.100000000000001" customHeight="1">
      <c r="A96" s="168" t="s">
        <v>154</v>
      </c>
      <c r="B96" s="168" t="s">
        <v>7</v>
      </c>
      <c r="C96" s="168" t="s">
        <v>7</v>
      </c>
      <c r="D96" s="168" t="s">
        <v>4</v>
      </c>
      <c r="E96" s="168" t="s">
        <v>765</v>
      </c>
      <c r="F96" s="130">
        <v>36220</v>
      </c>
      <c r="G96" s="154" t="s">
        <v>766</v>
      </c>
      <c r="H96" s="1084">
        <v>9400</v>
      </c>
      <c r="I96" s="719">
        <v>21347</v>
      </c>
      <c r="J96" s="53" t="s">
        <v>4328</v>
      </c>
      <c r="K96" s="746" t="s">
        <v>4329</v>
      </c>
      <c r="L96" s="747" t="s">
        <v>3411</v>
      </c>
      <c r="M96" s="755">
        <v>2</v>
      </c>
      <c r="N96" s="58">
        <v>2</v>
      </c>
      <c r="O96" s="58">
        <v>2</v>
      </c>
      <c r="P96" s="58">
        <v>3</v>
      </c>
      <c r="Q96" s="58">
        <v>3</v>
      </c>
      <c r="R96" s="58">
        <v>2</v>
      </c>
      <c r="S96" s="58">
        <v>2</v>
      </c>
      <c r="T96" s="58">
        <v>0</v>
      </c>
      <c r="U96" s="1081">
        <f t="shared" si="30"/>
        <v>16</v>
      </c>
      <c r="V96" s="734">
        <v>41</v>
      </c>
      <c r="W96" s="58">
        <v>21</v>
      </c>
      <c r="X96" s="58">
        <v>28</v>
      </c>
      <c r="Y96" s="58">
        <v>16</v>
      </c>
      <c r="Z96" s="58">
        <v>42</v>
      </c>
      <c r="AA96" s="58">
        <v>25</v>
      </c>
      <c r="AB96" s="58">
        <v>53</v>
      </c>
      <c r="AC96" s="58">
        <v>28</v>
      </c>
      <c r="AD96" s="58">
        <v>65</v>
      </c>
      <c r="AE96" s="58">
        <v>35</v>
      </c>
      <c r="AF96" s="58">
        <v>47</v>
      </c>
      <c r="AG96" s="58">
        <v>27</v>
      </c>
      <c r="AH96" s="1082">
        <f t="shared" si="31"/>
        <v>276</v>
      </c>
      <c r="AI96" s="1081">
        <f t="shared" si="31"/>
        <v>152</v>
      </c>
      <c r="AJ96" s="734">
        <v>8</v>
      </c>
      <c r="AK96" s="58">
        <v>5</v>
      </c>
      <c r="AL96" s="58">
        <v>0</v>
      </c>
      <c r="AM96" s="59">
        <v>0</v>
      </c>
      <c r="AN96" s="1086"/>
    </row>
    <row r="97" spans="1:40" ht="17.100000000000001" customHeight="1">
      <c r="A97" s="167" t="s">
        <v>154</v>
      </c>
      <c r="B97" s="167" t="s">
        <v>7</v>
      </c>
      <c r="C97" s="168" t="s">
        <v>7</v>
      </c>
      <c r="D97" s="167" t="s">
        <v>4</v>
      </c>
      <c r="E97" s="168" t="s">
        <v>767</v>
      </c>
      <c r="F97" s="71">
        <v>22955</v>
      </c>
      <c r="G97" s="50" t="s">
        <v>4330</v>
      </c>
      <c r="H97" s="1085">
        <v>13825</v>
      </c>
      <c r="I97" s="52">
        <v>21408</v>
      </c>
      <c r="J97" s="53" t="s">
        <v>4331</v>
      </c>
      <c r="K97" s="53" t="s">
        <v>4332</v>
      </c>
      <c r="L97" s="54" t="s">
        <v>768</v>
      </c>
      <c r="M97" s="755">
        <v>6</v>
      </c>
      <c r="N97" s="65">
        <v>6</v>
      </c>
      <c r="O97" s="65">
        <v>6</v>
      </c>
      <c r="P97" s="65">
        <v>8</v>
      </c>
      <c r="Q97" s="65">
        <v>7</v>
      </c>
      <c r="R97" s="65">
        <v>8</v>
      </c>
      <c r="S97" s="65">
        <v>3</v>
      </c>
      <c r="T97" s="58">
        <v>0</v>
      </c>
      <c r="U97" s="1081">
        <f t="shared" si="30"/>
        <v>44</v>
      </c>
      <c r="V97" s="736">
        <v>117</v>
      </c>
      <c r="W97" s="65">
        <v>76</v>
      </c>
      <c r="X97" s="65">
        <v>113</v>
      </c>
      <c r="Y97" s="65">
        <v>54</v>
      </c>
      <c r="Z97" s="65">
        <v>115</v>
      </c>
      <c r="AA97" s="65">
        <v>52</v>
      </c>
      <c r="AB97" s="65">
        <v>143</v>
      </c>
      <c r="AC97" s="65">
        <v>61</v>
      </c>
      <c r="AD97" s="65">
        <v>126</v>
      </c>
      <c r="AE97" s="65">
        <v>66</v>
      </c>
      <c r="AF97" s="65">
        <v>142</v>
      </c>
      <c r="AG97" s="65">
        <v>71</v>
      </c>
      <c r="AH97" s="1082">
        <f t="shared" si="31"/>
        <v>756</v>
      </c>
      <c r="AI97" s="1081">
        <f t="shared" si="31"/>
        <v>380</v>
      </c>
      <c r="AJ97" s="1369">
        <v>17</v>
      </c>
      <c r="AK97" s="65">
        <v>6</v>
      </c>
      <c r="AL97" s="58">
        <v>0</v>
      </c>
      <c r="AM97" s="59">
        <v>0</v>
      </c>
      <c r="AN97" s="1086"/>
    </row>
    <row r="98" spans="1:40" s="339" customFormat="1" ht="17.100000000000001" customHeight="1">
      <c r="A98" s="168" t="s">
        <v>154</v>
      </c>
      <c r="B98" s="168" t="s">
        <v>7</v>
      </c>
      <c r="C98" s="168" t="s">
        <v>7</v>
      </c>
      <c r="D98" s="168" t="s">
        <v>4</v>
      </c>
      <c r="E98" s="168" t="s">
        <v>769</v>
      </c>
      <c r="F98" s="130">
        <v>14725</v>
      </c>
      <c r="G98" s="154" t="s">
        <v>4333</v>
      </c>
      <c r="H98" s="1084">
        <v>15370</v>
      </c>
      <c r="I98" s="719">
        <v>21359</v>
      </c>
      <c r="J98" s="53" t="s">
        <v>4334</v>
      </c>
      <c r="K98" s="746" t="s">
        <v>4335</v>
      </c>
      <c r="L98" s="747" t="s">
        <v>811</v>
      </c>
      <c r="M98" s="755">
        <v>5</v>
      </c>
      <c r="N98" s="58">
        <v>6</v>
      </c>
      <c r="O98" s="58">
        <v>7</v>
      </c>
      <c r="P98" s="58">
        <v>8</v>
      </c>
      <c r="Q98" s="58">
        <v>9</v>
      </c>
      <c r="R98" s="58">
        <v>7</v>
      </c>
      <c r="S98" s="58">
        <v>4</v>
      </c>
      <c r="T98" s="58">
        <v>0</v>
      </c>
      <c r="U98" s="1081">
        <f t="shared" si="30"/>
        <v>46</v>
      </c>
      <c r="V98" s="734">
        <v>102</v>
      </c>
      <c r="W98" s="58">
        <v>42</v>
      </c>
      <c r="X98" s="58">
        <v>104</v>
      </c>
      <c r="Y98" s="58">
        <v>57</v>
      </c>
      <c r="Z98" s="58">
        <v>128</v>
      </c>
      <c r="AA98" s="58">
        <v>66</v>
      </c>
      <c r="AB98" s="58">
        <v>151</v>
      </c>
      <c r="AC98" s="58">
        <v>60</v>
      </c>
      <c r="AD98" s="58">
        <v>165</v>
      </c>
      <c r="AE98" s="58">
        <v>75</v>
      </c>
      <c r="AF98" s="58">
        <v>140</v>
      </c>
      <c r="AG98" s="58">
        <v>68</v>
      </c>
      <c r="AH98" s="1082">
        <f t="shared" si="31"/>
        <v>790</v>
      </c>
      <c r="AI98" s="1081">
        <f t="shared" si="31"/>
        <v>368</v>
      </c>
      <c r="AJ98" s="1072">
        <v>27</v>
      </c>
      <c r="AK98" s="58">
        <v>14</v>
      </c>
      <c r="AL98" s="58">
        <v>0</v>
      </c>
      <c r="AM98" s="59">
        <v>0</v>
      </c>
      <c r="AN98" s="1086"/>
    </row>
    <row r="99" spans="1:40" ht="17.100000000000001" customHeight="1">
      <c r="A99" s="167" t="s">
        <v>154</v>
      </c>
      <c r="B99" s="167" t="s">
        <v>7</v>
      </c>
      <c r="C99" s="168" t="s">
        <v>7</v>
      </c>
      <c r="D99" s="167" t="s">
        <v>4</v>
      </c>
      <c r="E99" s="168" t="s">
        <v>770</v>
      </c>
      <c r="F99" s="71">
        <v>24898</v>
      </c>
      <c r="G99" s="50" t="s">
        <v>4336</v>
      </c>
      <c r="H99" s="1085">
        <v>11623</v>
      </c>
      <c r="I99" s="52">
        <v>21317</v>
      </c>
      <c r="J99" s="53" t="s">
        <v>771</v>
      </c>
      <c r="K99" s="53" t="s">
        <v>772</v>
      </c>
      <c r="L99" s="54" t="s">
        <v>773</v>
      </c>
      <c r="M99" s="755">
        <v>2</v>
      </c>
      <c r="N99" s="65">
        <v>2</v>
      </c>
      <c r="O99" s="65">
        <v>2</v>
      </c>
      <c r="P99" s="65">
        <v>2</v>
      </c>
      <c r="Q99" s="65">
        <v>2</v>
      </c>
      <c r="R99" s="65">
        <v>3</v>
      </c>
      <c r="S99" s="65">
        <v>2</v>
      </c>
      <c r="T99" s="58">
        <v>0</v>
      </c>
      <c r="U99" s="1081">
        <f t="shared" si="30"/>
        <v>15</v>
      </c>
      <c r="V99" s="736">
        <v>39</v>
      </c>
      <c r="W99" s="65">
        <v>18</v>
      </c>
      <c r="X99" s="65">
        <v>40</v>
      </c>
      <c r="Y99" s="65">
        <v>20</v>
      </c>
      <c r="Z99" s="65">
        <v>49</v>
      </c>
      <c r="AA99" s="65">
        <v>27</v>
      </c>
      <c r="AB99" s="65">
        <v>48</v>
      </c>
      <c r="AC99" s="65">
        <v>22</v>
      </c>
      <c r="AD99" s="65">
        <v>45</v>
      </c>
      <c r="AE99" s="65">
        <v>23</v>
      </c>
      <c r="AF99" s="65">
        <v>56</v>
      </c>
      <c r="AG99" s="65">
        <v>22</v>
      </c>
      <c r="AH99" s="1082">
        <f t="shared" si="31"/>
        <v>277</v>
      </c>
      <c r="AI99" s="1081">
        <f t="shared" si="31"/>
        <v>132</v>
      </c>
      <c r="AJ99" s="736">
        <v>8</v>
      </c>
      <c r="AK99" s="65">
        <v>4</v>
      </c>
      <c r="AL99" s="58">
        <v>0</v>
      </c>
      <c r="AM99" s="59">
        <v>0</v>
      </c>
      <c r="AN99" s="731"/>
    </row>
    <row r="100" spans="1:40" ht="17.100000000000001" customHeight="1">
      <c r="A100" s="167" t="s">
        <v>154</v>
      </c>
      <c r="B100" s="167" t="s">
        <v>7</v>
      </c>
      <c r="C100" s="168" t="s">
        <v>7</v>
      </c>
      <c r="D100" s="167" t="s">
        <v>4</v>
      </c>
      <c r="E100" s="168" t="s">
        <v>774</v>
      </c>
      <c r="F100" s="71">
        <v>17046</v>
      </c>
      <c r="G100" s="50" t="s">
        <v>812</v>
      </c>
      <c r="H100" s="1085">
        <v>12377</v>
      </c>
      <c r="I100" s="52">
        <v>21388</v>
      </c>
      <c r="J100" s="53" t="s">
        <v>4337</v>
      </c>
      <c r="K100" s="53" t="s">
        <v>4338</v>
      </c>
      <c r="L100" s="54" t="s">
        <v>4339</v>
      </c>
      <c r="M100" s="755">
        <v>5</v>
      </c>
      <c r="N100" s="65">
        <v>6</v>
      </c>
      <c r="O100" s="65">
        <v>6</v>
      </c>
      <c r="P100" s="65">
        <v>5</v>
      </c>
      <c r="Q100" s="65">
        <v>6</v>
      </c>
      <c r="R100" s="65">
        <v>6</v>
      </c>
      <c r="S100" s="65">
        <v>2</v>
      </c>
      <c r="T100" s="58">
        <v>0</v>
      </c>
      <c r="U100" s="1081">
        <f t="shared" si="30"/>
        <v>36</v>
      </c>
      <c r="V100" s="736">
        <v>109</v>
      </c>
      <c r="W100" s="65">
        <v>53</v>
      </c>
      <c r="X100" s="65">
        <v>111</v>
      </c>
      <c r="Y100" s="65">
        <v>60</v>
      </c>
      <c r="Z100" s="65">
        <v>106</v>
      </c>
      <c r="AA100" s="65">
        <v>49</v>
      </c>
      <c r="AB100" s="65">
        <v>106</v>
      </c>
      <c r="AC100" s="65">
        <v>50</v>
      </c>
      <c r="AD100" s="65">
        <v>112</v>
      </c>
      <c r="AE100" s="65">
        <v>56</v>
      </c>
      <c r="AF100" s="65">
        <v>113</v>
      </c>
      <c r="AG100" s="65">
        <v>57</v>
      </c>
      <c r="AH100" s="1082">
        <f t="shared" si="31"/>
        <v>657</v>
      </c>
      <c r="AI100" s="1081">
        <f t="shared" si="31"/>
        <v>325</v>
      </c>
      <c r="AJ100" s="1369">
        <v>14</v>
      </c>
      <c r="AK100" s="65">
        <v>5</v>
      </c>
      <c r="AL100" s="58">
        <v>0</v>
      </c>
      <c r="AM100" s="59">
        <v>0</v>
      </c>
      <c r="AN100" s="731"/>
    </row>
    <row r="101" spans="1:40" ht="17.100000000000001" customHeight="1">
      <c r="A101" s="168" t="s">
        <v>154</v>
      </c>
      <c r="B101" s="168" t="s">
        <v>7</v>
      </c>
      <c r="C101" s="168" t="s">
        <v>7</v>
      </c>
      <c r="D101" s="168" t="s">
        <v>4</v>
      </c>
      <c r="E101" s="168" t="s">
        <v>775</v>
      </c>
      <c r="F101" s="130">
        <v>23449</v>
      </c>
      <c r="G101" s="154" t="s">
        <v>4340</v>
      </c>
      <c r="H101" s="1084">
        <v>16616</v>
      </c>
      <c r="I101" s="719">
        <v>21397</v>
      </c>
      <c r="J101" s="53" t="s">
        <v>4341</v>
      </c>
      <c r="K101" s="746" t="s">
        <v>4342</v>
      </c>
      <c r="L101" s="747" t="s">
        <v>776</v>
      </c>
      <c r="M101" s="755">
        <v>7</v>
      </c>
      <c r="N101" s="58">
        <v>6</v>
      </c>
      <c r="O101" s="58">
        <v>7</v>
      </c>
      <c r="P101" s="58">
        <v>9</v>
      </c>
      <c r="Q101" s="58">
        <v>8</v>
      </c>
      <c r="R101" s="58">
        <v>8</v>
      </c>
      <c r="S101" s="58">
        <v>4</v>
      </c>
      <c r="T101" s="58">
        <v>1</v>
      </c>
      <c r="U101" s="1081">
        <f t="shared" si="30"/>
        <v>50</v>
      </c>
      <c r="V101" s="734">
        <v>159</v>
      </c>
      <c r="W101" s="58">
        <v>77</v>
      </c>
      <c r="X101" s="58">
        <v>132</v>
      </c>
      <c r="Y101" s="58">
        <v>60</v>
      </c>
      <c r="Z101" s="58">
        <v>143</v>
      </c>
      <c r="AA101" s="58">
        <v>69</v>
      </c>
      <c r="AB101" s="58">
        <v>197</v>
      </c>
      <c r="AC101" s="58">
        <v>111</v>
      </c>
      <c r="AD101" s="58">
        <v>177</v>
      </c>
      <c r="AE101" s="58">
        <v>92</v>
      </c>
      <c r="AF101" s="58">
        <v>189</v>
      </c>
      <c r="AG101" s="58">
        <v>104</v>
      </c>
      <c r="AH101" s="1082">
        <f t="shared" si="31"/>
        <v>997</v>
      </c>
      <c r="AI101" s="1081">
        <f t="shared" si="31"/>
        <v>513</v>
      </c>
      <c r="AJ101" s="734">
        <v>24</v>
      </c>
      <c r="AK101" s="58">
        <v>4</v>
      </c>
      <c r="AL101" s="58">
        <v>17</v>
      </c>
      <c r="AM101" s="59">
        <v>7</v>
      </c>
      <c r="AN101" s="76"/>
    </row>
    <row r="102" spans="1:40" ht="17.100000000000001" customHeight="1">
      <c r="A102" s="1087" t="s">
        <v>154</v>
      </c>
      <c r="B102" s="1087" t="s">
        <v>7</v>
      </c>
      <c r="C102" s="724" t="s">
        <v>7</v>
      </c>
      <c r="D102" s="1087" t="s">
        <v>4</v>
      </c>
      <c r="E102" s="724" t="s">
        <v>777</v>
      </c>
      <c r="F102" s="1088">
        <v>31472</v>
      </c>
      <c r="G102" s="1079" t="s">
        <v>4343</v>
      </c>
      <c r="H102" s="1080">
        <v>10088</v>
      </c>
      <c r="I102" s="745">
        <v>21380</v>
      </c>
      <c r="J102" s="744" t="s">
        <v>4344</v>
      </c>
      <c r="K102" s="744" t="s">
        <v>4345</v>
      </c>
      <c r="L102" s="744" t="s">
        <v>4346</v>
      </c>
      <c r="M102" s="1089">
        <v>3</v>
      </c>
      <c r="N102" s="1023">
        <v>3</v>
      </c>
      <c r="O102" s="1023">
        <v>2</v>
      </c>
      <c r="P102" s="1023">
        <v>3</v>
      </c>
      <c r="Q102" s="1023">
        <v>3</v>
      </c>
      <c r="R102" s="1023">
        <v>4</v>
      </c>
      <c r="S102" s="1023">
        <v>2</v>
      </c>
      <c r="T102" s="1023">
        <v>0</v>
      </c>
      <c r="U102" s="1081">
        <f t="shared" si="30"/>
        <v>20</v>
      </c>
      <c r="V102" s="1090">
        <v>47</v>
      </c>
      <c r="W102" s="1023">
        <v>25</v>
      </c>
      <c r="X102" s="1023">
        <v>54</v>
      </c>
      <c r="Y102" s="1023">
        <v>27</v>
      </c>
      <c r="Z102" s="1023">
        <v>50</v>
      </c>
      <c r="AA102" s="1023">
        <v>20</v>
      </c>
      <c r="AB102" s="1023">
        <v>77</v>
      </c>
      <c r="AC102" s="1023">
        <v>38</v>
      </c>
      <c r="AD102" s="1023">
        <v>67</v>
      </c>
      <c r="AE102" s="1023">
        <v>38</v>
      </c>
      <c r="AF102" s="1023">
        <v>87</v>
      </c>
      <c r="AG102" s="1023">
        <v>46</v>
      </c>
      <c r="AH102" s="1082">
        <f t="shared" si="31"/>
        <v>382</v>
      </c>
      <c r="AI102" s="1081">
        <f t="shared" si="31"/>
        <v>194</v>
      </c>
      <c r="AJ102" s="1090">
        <v>7</v>
      </c>
      <c r="AK102" s="1023">
        <v>1</v>
      </c>
      <c r="AL102" s="1023">
        <v>0</v>
      </c>
      <c r="AM102" s="1024">
        <v>0</v>
      </c>
      <c r="AN102" s="743"/>
    </row>
    <row r="103" spans="1:40" ht="17.100000000000001" customHeight="1">
      <c r="A103" s="167" t="s">
        <v>154</v>
      </c>
      <c r="B103" s="167" t="s">
        <v>7</v>
      </c>
      <c r="C103" s="168" t="s">
        <v>7</v>
      </c>
      <c r="D103" s="167" t="s">
        <v>4</v>
      </c>
      <c r="E103" s="168" t="s">
        <v>778</v>
      </c>
      <c r="F103" s="71">
        <v>30742</v>
      </c>
      <c r="G103" s="50" t="s">
        <v>4347</v>
      </c>
      <c r="H103" s="1085">
        <v>12087</v>
      </c>
      <c r="I103" s="52">
        <v>21309</v>
      </c>
      <c r="J103" s="53" t="s">
        <v>779</v>
      </c>
      <c r="K103" s="53" t="s">
        <v>780</v>
      </c>
      <c r="L103" s="54" t="s">
        <v>781</v>
      </c>
      <c r="M103" s="755">
        <v>4</v>
      </c>
      <c r="N103" s="65">
        <v>4</v>
      </c>
      <c r="O103" s="65">
        <v>4</v>
      </c>
      <c r="P103" s="65">
        <v>4</v>
      </c>
      <c r="Q103" s="65">
        <v>4</v>
      </c>
      <c r="R103" s="65">
        <v>3</v>
      </c>
      <c r="S103" s="65">
        <v>2</v>
      </c>
      <c r="T103" s="58">
        <v>0</v>
      </c>
      <c r="U103" s="1081">
        <f t="shared" si="30"/>
        <v>25</v>
      </c>
      <c r="V103" s="736">
        <v>98</v>
      </c>
      <c r="W103" s="65">
        <v>39</v>
      </c>
      <c r="X103" s="65">
        <v>89</v>
      </c>
      <c r="Y103" s="65">
        <v>43</v>
      </c>
      <c r="Z103" s="65">
        <v>91</v>
      </c>
      <c r="AA103" s="65">
        <v>36</v>
      </c>
      <c r="AB103" s="65">
        <v>93</v>
      </c>
      <c r="AC103" s="65">
        <v>43</v>
      </c>
      <c r="AD103" s="65">
        <v>88</v>
      </c>
      <c r="AE103" s="65">
        <v>44</v>
      </c>
      <c r="AF103" s="65">
        <v>76</v>
      </c>
      <c r="AG103" s="65">
        <v>33</v>
      </c>
      <c r="AH103" s="1082">
        <f t="shared" si="31"/>
        <v>535</v>
      </c>
      <c r="AI103" s="1081">
        <f t="shared" si="31"/>
        <v>238</v>
      </c>
      <c r="AJ103" s="1369">
        <v>8</v>
      </c>
      <c r="AK103" s="65">
        <v>2</v>
      </c>
      <c r="AL103" s="58">
        <v>0</v>
      </c>
      <c r="AM103" s="59">
        <v>0</v>
      </c>
      <c r="AN103" s="731"/>
    </row>
    <row r="104" spans="1:40" ht="17.100000000000001" customHeight="1">
      <c r="A104" s="168" t="s">
        <v>154</v>
      </c>
      <c r="B104" s="168" t="s">
        <v>7</v>
      </c>
      <c r="C104" s="168" t="s">
        <v>7</v>
      </c>
      <c r="D104" s="168" t="s">
        <v>4</v>
      </c>
      <c r="E104" s="168" t="s">
        <v>782</v>
      </c>
      <c r="F104" s="130">
        <v>19642</v>
      </c>
      <c r="G104" s="154" t="s">
        <v>4348</v>
      </c>
      <c r="H104" s="1084">
        <v>15884</v>
      </c>
      <c r="I104" s="719">
        <v>21369</v>
      </c>
      <c r="J104" s="53" t="s">
        <v>4349</v>
      </c>
      <c r="K104" s="746" t="s">
        <v>4350</v>
      </c>
      <c r="L104" s="747" t="s">
        <v>4351</v>
      </c>
      <c r="M104" s="755">
        <v>3</v>
      </c>
      <c r="N104" s="58">
        <v>3</v>
      </c>
      <c r="O104" s="58">
        <v>4</v>
      </c>
      <c r="P104" s="58">
        <v>3</v>
      </c>
      <c r="Q104" s="58">
        <v>3</v>
      </c>
      <c r="R104" s="58">
        <v>3</v>
      </c>
      <c r="S104" s="58">
        <v>2</v>
      </c>
      <c r="T104" s="58">
        <v>0</v>
      </c>
      <c r="U104" s="1081">
        <f t="shared" si="30"/>
        <v>21</v>
      </c>
      <c r="V104" s="734">
        <v>72</v>
      </c>
      <c r="W104" s="58">
        <v>37</v>
      </c>
      <c r="X104" s="58">
        <v>72</v>
      </c>
      <c r="Y104" s="58">
        <v>32</v>
      </c>
      <c r="Z104" s="58">
        <v>83</v>
      </c>
      <c r="AA104" s="58">
        <v>38</v>
      </c>
      <c r="AB104" s="58">
        <v>81</v>
      </c>
      <c r="AC104" s="58">
        <v>39</v>
      </c>
      <c r="AD104" s="58">
        <v>67</v>
      </c>
      <c r="AE104" s="58">
        <v>35</v>
      </c>
      <c r="AF104" s="58">
        <v>66</v>
      </c>
      <c r="AG104" s="58">
        <v>30</v>
      </c>
      <c r="AH104" s="1082">
        <f t="shared" si="31"/>
        <v>441</v>
      </c>
      <c r="AI104" s="1081">
        <f t="shared" si="31"/>
        <v>211</v>
      </c>
      <c r="AJ104" s="734">
        <v>8</v>
      </c>
      <c r="AK104" s="58">
        <v>1</v>
      </c>
      <c r="AL104" s="58">
        <v>0</v>
      </c>
      <c r="AM104" s="59">
        <v>0</v>
      </c>
      <c r="AN104" s="1086"/>
    </row>
    <row r="105" spans="1:40" s="339" customFormat="1" ht="17.100000000000001" customHeight="1">
      <c r="A105" s="167" t="s">
        <v>154</v>
      </c>
      <c r="B105" s="167" t="s">
        <v>7</v>
      </c>
      <c r="C105" s="168" t="s">
        <v>7</v>
      </c>
      <c r="D105" s="167" t="s">
        <v>4</v>
      </c>
      <c r="E105" s="168" t="s">
        <v>783</v>
      </c>
      <c r="F105" s="71">
        <v>31472</v>
      </c>
      <c r="G105" s="50" t="s">
        <v>784</v>
      </c>
      <c r="H105" s="1085">
        <v>14449</v>
      </c>
      <c r="I105" s="52">
        <v>21318</v>
      </c>
      <c r="J105" s="53" t="s">
        <v>785</v>
      </c>
      <c r="K105" s="53" t="s">
        <v>786</v>
      </c>
      <c r="L105" s="54" t="s">
        <v>787</v>
      </c>
      <c r="M105" s="755">
        <v>3</v>
      </c>
      <c r="N105" s="65">
        <v>2</v>
      </c>
      <c r="O105" s="65">
        <v>3</v>
      </c>
      <c r="P105" s="65">
        <v>4</v>
      </c>
      <c r="Q105" s="65">
        <v>4</v>
      </c>
      <c r="R105" s="65">
        <v>4</v>
      </c>
      <c r="S105" s="65">
        <v>3</v>
      </c>
      <c r="T105" s="58">
        <v>0</v>
      </c>
      <c r="U105" s="1081">
        <f t="shared" si="30"/>
        <v>23</v>
      </c>
      <c r="V105" s="736">
        <v>55</v>
      </c>
      <c r="W105" s="65">
        <v>33</v>
      </c>
      <c r="X105" s="65">
        <v>51</v>
      </c>
      <c r="Y105" s="65">
        <v>26</v>
      </c>
      <c r="Z105" s="65">
        <v>75</v>
      </c>
      <c r="AA105" s="65">
        <v>29</v>
      </c>
      <c r="AB105" s="65">
        <v>92</v>
      </c>
      <c r="AC105" s="65">
        <v>49</v>
      </c>
      <c r="AD105" s="65">
        <v>105</v>
      </c>
      <c r="AE105" s="65">
        <v>51</v>
      </c>
      <c r="AF105" s="65">
        <v>96</v>
      </c>
      <c r="AG105" s="65">
        <v>43</v>
      </c>
      <c r="AH105" s="1082">
        <f t="shared" si="31"/>
        <v>474</v>
      </c>
      <c r="AI105" s="1081">
        <f t="shared" si="31"/>
        <v>231</v>
      </c>
      <c r="AJ105" s="736">
        <v>12</v>
      </c>
      <c r="AK105" s="65">
        <v>3</v>
      </c>
      <c r="AL105" s="58">
        <v>0</v>
      </c>
      <c r="AM105" s="59">
        <v>0</v>
      </c>
      <c r="AN105" s="1086"/>
    </row>
    <row r="106" spans="1:40" ht="17.100000000000001" customHeight="1">
      <c r="A106" s="167" t="s">
        <v>154</v>
      </c>
      <c r="B106" s="167" t="s">
        <v>7</v>
      </c>
      <c r="C106" s="168" t="s">
        <v>7</v>
      </c>
      <c r="D106" s="167" t="s">
        <v>4</v>
      </c>
      <c r="E106" s="168" t="s">
        <v>788</v>
      </c>
      <c r="F106" s="130">
        <v>32568</v>
      </c>
      <c r="G106" s="1079" t="s">
        <v>3391</v>
      </c>
      <c r="H106" s="1080">
        <v>10731</v>
      </c>
      <c r="I106" s="745">
        <v>21442</v>
      </c>
      <c r="J106" s="744" t="s">
        <v>4352</v>
      </c>
      <c r="K106" s="744" t="s">
        <v>4353</v>
      </c>
      <c r="L106" s="744" t="s">
        <v>789</v>
      </c>
      <c r="M106" s="755">
        <v>2</v>
      </c>
      <c r="N106" s="65">
        <v>1</v>
      </c>
      <c r="O106" s="65">
        <v>3</v>
      </c>
      <c r="P106" s="65">
        <v>3</v>
      </c>
      <c r="Q106" s="65">
        <v>2</v>
      </c>
      <c r="R106" s="65">
        <v>3</v>
      </c>
      <c r="S106" s="65">
        <v>2</v>
      </c>
      <c r="T106" s="65">
        <v>0</v>
      </c>
      <c r="U106" s="1081">
        <f t="shared" si="30"/>
        <v>16</v>
      </c>
      <c r="V106" s="736">
        <v>32</v>
      </c>
      <c r="W106" s="65">
        <v>14</v>
      </c>
      <c r="X106" s="65">
        <v>24</v>
      </c>
      <c r="Y106" s="65">
        <v>9</v>
      </c>
      <c r="Z106" s="65">
        <v>51</v>
      </c>
      <c r="AA106" s="65">
        <v>26</v>
      </c>
      <c r="AB106" s="65">
        <v>50</v>
      </c>
      <c r="AC106" s="65">
        <v>20</v>
      </c>
      <c r="AD106" s="65">
        <v>50</v>
      </c>
      <c r="AE106" s="65">
        <v>23</v>
      </c>
      <c r="AF106" s="65">
        <v>53</v>
      </c>
      <c r="AG106" s="65">
        <v>20</v>
      </c>
      <c r="AH106" s="1082">
        <f t="shared" si="31"/>
        <v>260</v>
      </c>
      <c r="AI106" s="1081">
        <f t="shared" si="31"/>
        <v>112</v>
      </c>
      <c r="AJ106" s="1369">
        <v>11</v>
      </c>
      <c r="AK106" s="65">
        <v>2</v>
      </c>
      <c r="AL106" s="65">
        <v>0</v>
      </c>
      <c r="AM106" s="66">
        <v>0</v>
      </c>
      <c r="AN106" s="1083"/>
    </row>
    <row r="107" spans="1:40" ht="17.100000000000001" customHeight="1">
      <c r="A107" s="168" t="s">
        <v>154</v>
      </c>
      <c r="B107" s="168" t="s">
        <v>7</v>
      </c>
      <c r="C107" s="168" t="s">
        <v>7</v>
      </c>
      <c r="D107" s="168" t="s">
        <v>4</v>
      </c>
      <c r="E107" s="168" t="s">
        <v>790</v>
      </c>
      <c r="F107" s="130">
        <v>30195</v>
      </c>
      <c r="G107" s="154" t="s">
        <v>4354</v>
      </c>
      <c r="H107" s="1084">
        <v>11852</v>
      </c>
      <c r="I107" s="719">
        <v>21375</v>
      </c>
      <c r="J107" s="53" t="s">
        <v>4355</v>
      </c>
      <c r="K107" s="746" t="s">
        <v>4356</v>
      </c>
      <c r="L107" s="747" t="s">
        <v>4357</v>
      </c>
      <c r="M107" s="755">
        <v>3</v>
      </c>
      <c r="N107" s="58">
        <v>3</v>
      </c>
      <c r="O107" s="58">
        <v>3</v>
      </c>
      <c r="P107" s="58">
        <v>3</v>
      </c>
      <c r="Q107" s="58">
        <v>4</v>
      </c>
      <c r="R107" s="58">
        <v>4</v>
      </c>
      <c r="S107" s="58">
        <v>2</v>
      </c>
      <c r="T107" s="58">
        <v>0</v>
      </c>
      <c r="U107" s="1081">
        <f t="shared" si="30"/>
        <v>22</v>
      </c>
      <c r="V107" s="734">
        <v>52</v>
      </c>
      <c r="W107" s="58">
        <v>25</v>
      </c>
      <c r="X107" s="58">
        <v>50</v>
      </c>
      <c r="Y107" s="58">
        <v>23</v>
      </c>
      <c r="Z107" s="58">
        <v>52</v>
      </c>
      <c r="AA107" s="58">
        <v>19</v>
      </c>
      <c r="AB107" s="58">
        <v>55</v>
      </c>
      <c r="AC107" s="58">
        <v>23</v>
      </c>
      <c r="AD107" s="58">
        <v>65</v>
      </c>
      <c r="AE107" s="58">
        <v>36</v>
      </c>
      <c r="AF107" s="58">
        <v>59</v>
      </c>
      <c r="AG107" s="58">
        <v>29</v>
      </c>
      <c r="AH107" s="1082">
        <f t="shared" si="31"/>
        <v>333</v>
      </c>
      <c r="AI107" s="1081">
        <f t="shared" si="31"/>
        <v>155</v>
      </c>
      <c r="AJ107" s="734">
        <v>10</v>
      </c>
      <c r="AK107" s="58">
        <v>4</v>
      </c>
      <c r="AL107" s="58">
        <v>0</v>
      </c>
      <c r="AM107" s="59">
        <v>0</v>
      </c>
      <c r="AN107" s="76"/>
    </row>
    <row r="108" spans="1:40" ht="17.100000000000001" customHeight="1">
      <c r="A108" s="167" t="s">
        <v>154</v>
      </c>
      <c r="B108" s="167" t="s">
        <v>7</v>
      </c>
      <c r="C108" s="168" t="s">
        <v>7</v>
      </c>
      <c r="D108" s="167" t="s">
        <v>4</v>
      </c>
      <c r="E108" s="168" t="s">
        <v>791</v>
      </c>
      <c r="F108" s="71">
        <v>30926</v>
      </c>
      <c r="G108" s="50" t="s">
        <v>792</v>
      </c>
      <c r="H108" s="1085">
        <v>9305</v>
      </c>
      <c r="I108" s="52">
        <v>21451</v>
      </c>
      <c r="J108" s="53" t="s">
        <v>793</v>
      </c>
      <c r="K108" s="53" t="s">
        <v>794</v>
      </c>
      <c r="L108" s="54" t="s">
        <v>795</v>
      </c>
      <c r="M108" s="755">
        <v>2</v>
      </c>
      <c r="N108" s="65">
        <v>2</v>
      </c>
      <c r="O108" s="65">
        <v>1</v>
      </c>
      <c r="P108" s="65">
        <v>2</v>
      </c>
      <c r="Q108" s="65">
        <v>2</v>
      </c>
      <c r="R108" s="65">
        <v>3</v>
      </c>
      <c r="S108" s="65">
        <v>2</v>
      </c>
      <c r="T108" s="58">
        <v>0</v>
      </c>
      <c r="U108" s="1081">
        <f t="shared" si="30"/>
        <v>14</v>
      </c>
      <c r="V108" s="736">
        <v>22</v>
      </c>
      <c r="W108" s="65">
        <v>12</v>
      </c>
      <c r="X108" s="65">
        <v>22</v>
      </c>
      <c r="Y108" s="65">
        <v>11</v>
      </c>
      <c r="Z108" s="65">
        <v>16</v>
      </c>
      <c r="AA108" s="65">
        <v>6</v>
      </c>
      <c r="AB108" s="65">
        <v>21</v>
      </c>
      <c r="AC108" s="65">
        <v>13</v>
      </c>
      <c r="AD108" s="65">
        <v>40</v>
      </c>
      <c r="AE108" s="65">
        <v>19</v>
      </c>
      <c r="AF108" s="65">
        <v>45</v>
      </c>
      <c r="AG108" s="65">
        <v>21</v>
      </c>
      <c r="AH108" s="1082">
        <f t="shared" si="31"/>
        <v>166</v>
      </c>
      <c r="AI108" s="1081">
        <f t="shared" si="31"/>
        <v>82</v>
      </c>
      <c r="AJ108" s="736">
        <v>8</v>
      </c>
      <c r="AK108" s="65">
        <v>2</v>
      </c>
      <c r="AL108" s="58">
        <v>0</v>
      </c>
      <c r="AM108" s="59">
        <v>0</v>
      </c>
      <c r="AN108" s="731"/>
    </row>
    <row r="109" spans="1:40" ht="17.100000000000001" customHeight="1">
      <c r="A109" s="168" t="s">
        <v>154</v>
      </c>
      <c r="B109" s="168" t="s">
        <v>7</v>
      </c>
      <c r="C109" s="168" t="s">
        <v>7</v>
      </c>
      <c r="D109" s="168" t="s">
        <v>4</v>
      </c>
      <c r="E109" s="168" t="s">
        <v>796</v>
      </c>
      <c r="F109" s="130">
        <v>38596</v>
      </c>
      <c r="G109" s="154" t="s">
        <v>4358</v>
      </c>
      <c r="H109" s="1084">
        <v>13355</v>
      </c>
      <c r="I109" s="719">
        <v>21323</v>
      </c>
      <c r="J109" s="53" t="s">
        <v>4359</v>
      </c>
      <c r="K109" s="746" t="s">
        <v>797</v>
      </c>
      <c r="L109" s="747" t="s">
        <v>798</v>
      </c>
      <c r="M109" s="755">
        <v>3</v>
      </c>
      <c r="N109" s="58">
        <v>3</v>
      </c>
      <c r="O109" s="58">
        <v>4</v>
      </c>
      <c r="P109" s="58">
        <v>4</v>
      </c>
      <c r="Q109" s="58">
        <v>5</v>
      </c>
      <c r="R109" s="58">
        <v>5</v>
      </c>
      <c r="S109" s="58">
        <v>1</v>
      </c>
      <c r="T109" s="58">
        <v>0</v>
      </c>
      <c r="U109" s="1081">
        <f t="shared" si="30"/>
        <v>25</v>
      </c>
      <c r="V109" s="734">
        <v>71</v>
      </c>
      <c r="W109" s="58">
        <v>32</v>
      </c>
      <c r="X109" s="58">
        <v>74</v>
      </c>
      <c r="Y109" s="58">
        <v>38</v>
      </c>
      <c r="Z109" s="58">
        <v>96</v>
      </c>
      <c r="AA109" s="58">
        <v>47</v>
      </c>
      <c r="AB109" s="58">
        <v>87</v>
      </c>
      <c r="AC109" s="58">
        <v>52</v>
      </c>
      <c r="AD109" s="58">
        <v>117</v>
      </c>
      <c r="AE109" s="58">
        <v>70</v>
      </c>
      <c r="AF109" s="58">
        <v>118</v>
      </c>
      <c r="AG109" s="58">
        <v>58</v>
      </c>
      <c r="AH109" s="1082">
        <f t="shared" si="31"/>
        <v>563</v>
      </c>
      <c r="AI109" s="1081">
        <f t="shared" si="31"/>
        <v>297</v>
      </c>
      <c r="AJ109" s="1072">
        <v>3</v>
      </c>
      <c r="AK109" s="58">
        <v>2</v>
      </c>
      <c r="AL109" s="58">
        <v>0</v>
      </c>
      <c r="AM109" s="59">
        <v>0</v>
      </c>
      <c r="AN109" s="76"/>
    </row>
    <row r="110" spans="1:40" ht="17.100000000000001" customHeight="1">
      <c r="A110" s="167" t="s">
        <v>154</v>
      </c>
      <c r="B110" s="167" t="s">
        <v>7</v>
      </c>
      <c r="C110" s="168" t="s">
        <v>7</v>
      </c>
      <c r="D110" s="167" t="s">
        <v>4</v>
      </c>
      <c r="E110" s="168" t="s">
        <v>799</v>
      </c>
      <c r="F110" s="130">
        <v>36404</v>
      </c>
      <c r="G110" s="1079" t="s">
        <v>4360</v>
      </c>
      <c r="H110" s="1080">
        <v>10919</v>
      </c>
      <c r="I110" s="745">
        <v>21312</v>
      </c>
      <c r="J110" s="744" t="s">
        <v>4361</v>
      </c>
      <c r="K110" s="744" t="s">
        <v>4362</v>
      </c>
      <c r="L110" s="744" t="s">
        <v>4363</v>
      </c>
      <c r="M110" s="755">
        <v>4</v>
      </c>
      <c r="N110" s="65">
        <v>4</v>
      </c>
      <c r="O110" s="65">
        <v>4</v>
      </c>
      <c r="P110" s="65">
        <v>5</v>
      </c>
      <c r="Q110" s="65">
        <v>5</v>
      </c>
      <c r="R110" s="65">
        <v>5</v>
      </c>
      <c r="S110" s="65">
        <v>2</v>
      </c>
      <c r="T110" s="65">
        <v>0</v>
      </c>
      <c r="U110" s="1081">
        <f t="shared" si="30"/>
        <v>29</v>
      </c>
      <c r="V110" s="736">
        <v>68</v>
      </c>
      <c r="W110" s="65">
        <v>30</v>
      </c>
      <c r="X110" s="65">
        <v>69</v>
      </c>
      <c r="Y110" s="65">
        <v>29</v>
      </c>
      <c r="Z110" s="65">
        <v>66</v>
      </c>
      <c r="AA110" s="65">
        <v>31</v>
      </c>
      <c r="AB110" s="65">
        <v>95</v>
      </c>
      <c r="AC110" s="65">
        <v>49</v>
      </c>
      <c r="AD110" s="65">
        <v>92</v>
      </c>
      <c r="AE110" s="65">
        <v>45</v>
      </c>
      <c r="AF110" s="65">
        <v>102</v>
      </c>
      <c r="AG110" s="65">
        <v>62</v>
      </c>
      <c r="AH110" s="1082">
        <f t="shared" si="31"/>
        <v>492</v>
      </c>
      <c r="AI110" s="1081">
        <f t="shared" si="31"/>
        <v>246</v>
      </c>
      <c r="AJ110" s="736">
        <v>10</v>
      </c>
      <c r="AK110" s="65">
        <v>3</v>
      </c>
      <c r="AL110" s="65">
        <v>0</v>
      </c>
      <c r="AM110" s="66">
        <v>0</v>
      </c>
      <c r="AN110" s="731"/>
    </row>
    <row r="111" spans="1:40" ht="17.100000000000001" customHeight="1">
      <c r="A111" s="167" t="s">
        <v>154</v>
      </c>
      <c r="B111" s="167" t="s">
        <v>7</v>
      </c>
      <c r="C111" s="168" t="s">
        <v>7</v>
      </c>
      <c r="D111" s="167" t="s">
        <v>4</v>
      </c>
      <c r="E111" s="168" t="s">
        <v>800</v>
      </c>
      <c r="F111" s="71">
        <v>31291</v>
      </c>
      <c r="G111" s="50" t="s">
        <v>4364</v>
      </c>
      <c r="H111" s="1085">
        <v>13825</v>
      </c>
      <c r="I111" s="52">
        <v>21422</v>
      </c>
      <c r="J111" s="53" t="s">
        <v>4365</v>
      </c>
      <c r="K111" s="53" t="s">
        <v>4366</v>
      </c>
      <c r="L111" s="54" t="s">
        <v>4367</v>
      </c>
      <c r="M111" s="755">
        <v>2</v>
      </c>
      <c r="N111" s="65">
        <v>2</v>
      </c>
      <c r="O111" s="65">
        <v>2</v>
      </c>
      <c r="P111" s="65">
        <v>2</v>
      </c>
      <c r="Q111" s="65">
        <v>2</v>
      </c>
      <c r="R111" s="65">
        <v>3</v>
      </c>
      <c r="S111" s="65">
        <v>2</v>
      </c>
      <c r="T111" s="58">
        <v>0</v>
      </c>
      <c r="U111" s="1081">
        <f t="shared" si="30"/>
        <v>15</v>
      </c>
      <c r="V111" s="736">
        <v>36</v>
      </c>
      <c r="W111" s="65">
        <v>17</v>
      </c>
      <c r="X111" s="65">
        <v>27</v>
      </c>
      <c r="Y111" s="65">
        <v>15</v>
      </c>
      <c r="Z111" s="65">
        <v>45</v>
      </c>
      <c r="AA111" s="65">
        <v>26</v>
      </c>
      <c r="AB111" s="65">
        <v>49</v>
      </c>
      <c r="AC111" s="65">
        <v>27</v>
      </c>
      <c r="AD111" s="65">
        <v>44</v>
      </c>
      <c r="AE111" s="65">
        <v>26</v>
      </c>
      <c r="AF111" s="65">
        <v>53</v>
      </c>
      <c r="AG111" s="65">
        <v>15</v>
      </c>
      <c r="AH111" s="1082">
        <f t="shared" si="31"/>
        <v>254</v>
      </c>
      <c r="AI111" s="1081">
        <f t="shared" si="31"/>
        <v>126</v>
      </c>
      <c r="AJ111" s="1369">
        <v>9</v>
      </c>
      <c r="AK111" s="65">
        <v>4</v>
      </c>
      <c r="AL111" s="58">
        <v>0</v>
      </c>
      <c r="AM111" s="59">
        <v>0</v>
      </c>
      <c r="AN111" s="731"/>
    </row>
    <row r="112" spans="1:40" ht="17.100000000000001" customHeight="1">
      <c r="A112" s="168" t="s">
        <v>154</v>
      </c>
      <c r="B112" s="168" t="s">
        <v>7</v>
      </c>
      <c r="C112" s="168" t="s">
        <v>7</v>
      </c>
      <c r="D112" s="168" t="s">
        <v>4</v>
      </c>
      <c r="E112" s="168" t="s">
        <v>801</v>
      </c>
      <c r="F112" s="130">
        <v>38231</v>
      </c>
      <c r="G112" s="154" t="s">
        <v>3423</v>
      </c>
      <c r="H112" s="1084">
        <v>13507.1</v>
      </c>
      <c r="I112" s="719">
        <v>21342</v>
      </c>
      <c r="J112" s="53" t="s">
        <v>4368</v>
      </c>
      <c r="K112" s="746" t="s">
        <v>4369</v>
      </c>
      <c r="L112" s="747" t="s">
        <v>4370</v>
      </c>
      <c r="M112" s="755">
        <v>1</v>
      </c>
      <c r="N112" s="58">
        <v>2</v>
      </c>
      <c r="O112" s="58">
        <v>2</v>
      </c>
      <c r="P112" s="58">
        <v>2</v>
      </c>
      <c r="Q112" s="58">
        <v>2</v>
      </c>
      <c r="R112" s="58">
        <v>2</v>
      </c>
      <c r="S112" s="58">
        <v>1</v>
      </c>
      <c r="T112" s="58">
        <v>0</v>
      </c>
      <c r="U112" s="1081">
        <f t="shared" si="30"/>
        <v>12</v>
      </c>
      <c r="V112" s="734">
        <v>19</v>
      </c>
      <c r="W112" s="58">
        <v>8</v>
      </c>
      <c r="X112" s="58">
        <v>32</v>
      </c>
      <c r="Y112" s="58">
        <v>14</v>
      </c>
      <c r="Z112" s="58">
        <v>26</v>
      </c>
      <c r="AA112" s="58">
        <v>13</v>
      </c>
      <c r="AB112" s="58">
        <v>24</v>
      </c>
      <c r="AC112" s="58">
        <v>13</v>
      </c>
      <c r="AD112" s="58">
        <v>34</v>
      </c>
      <c r="AE112" s="58">
        <v>19</v>
      </c>
      <c r="AF112" s="58">
        <v>41</v>
      </c>
      <c r="AG112" s="58">
        <v>22</v>
      </c>
      <c r="AH112" s="1082">
        <f t="shared" si="31"/>
        <v>176</v>
      </c>
      <c r="AI112" s="1081">
        <f t="shared" si="31"/>
        <v>89</v>
      </c>
      <c r="AJ112" s="734">
        <v>3</v>
      </c>
      <c r="AK112" s="58">
        <v>2</v>
      </c>
      <c r="AL112" s="58">
        <v>0</v>
      </c>
      <c r="AM112" s="59">
        <v>0</v>
      </c>
      <c r="AN112" s="1086"/>
    </row>
    <row r="113" spans="1:40" ht="17.100000000000001" customHeight="1">
      <c r="A113" s="167" t="s">
        <v>154</v>
      </c>
      <c r="B113" s="167" t="s">
        <v>7</v>
      </c>
      <c r="C113" s="168" t="s">
        <v>7</v>
      </c>
      <c r="D113" s="167" t="s">
        <v>4</v>
      </c>
      <c r="E113" s="168" t="s">
        <v>802</v>
      </c>
      <c r="F113" s="71">
        <v>26794</v>
      </c>
      <c r="G113" s="50" t="s">
        <v>4371</v>
      </c>
      <c r="H113" s="1085">
        <v>17079.7</v>
      </c>
      <c r="I113" s="52">
        <v>21303</v>
      </c>
      <c r="J113" s="53" t="s">
        <v>4372</v>
      </c>
      <c r="K113" s="53" t="s">
        <v>4373</v>
      </c>
      <c r="L113" s="54" t="s">
        <v>4374</v>
      </c>
      <c r="M113" s="755">
        <v>10</v>
      </c>
      <c r="N113" s="65">
        <v>9</v>
      </c>
      <c r="O113" s="65">
        <v>9</v>
      </c>
      <c r="P113" s="65">
        <v>8</v>
      </c>
      <c r="Q113" s="65">
        <v>8</v>
      </c>
      <c r="R113" s="65">
        <v>7</v>
      </c>
      <c r="S113" s="65">
        <v>3</v>
      </c>
      <c r="T113" s="58">
        <v>0</v>
      </c>
      <c r="U113" s="1081">
        <f t="shared" si="30"/>
        <v>54</v>
      </c>
      <c r="V113" s="736">
        <v>232</v>
      </c>
      <c r="W113" s="65">
        <v>115</v>
      </c>
      <c r="X113" s="65">
        <v>206</v>
      </c>
      <c r="Y113" s="65">
        <v>82</v>
      </c>
      <c r="Z113" s="65">
        <v>199</v>
      </c>
      <c r="AA113" s="65">
        <v>108</v>
      </c>
      <c r="AB113" s="65">
        <v>187</v>
      </c>
      <c r="AC113" s="65">
        <v>88</v>
      </c>
      <c r="AD113" s="65">
        <v>171</v>
      </c>
      <c r="AE113" s="65">
        <v>87</v>
      </c>
      <c r="AF113" s="65">
        <v>144</v>
      </c>
      <c r="AG113" s="65">
        <v>78</v>
      </c>
      <c r="AH113" s="1082">
        <f t="shared" si="31"/>
        <v>1139</v>
      </c>
      <c r="AI113" s="1081">
        <f t="shared" si="31"/>
        <v>558</v>
      </c>
      <c r="AJ113" s="1369">
        <v>18</v>
      </c>
      <c r="AK113" s="65">
        <v>9</v>
      </c>
      <c r="AL113" s="58">
        <v>0</v>
      </c>
      <c r="AM113" s="59">
        <v>0</v>
      </c>
      <c r="AN113" s="1086"/>
    </row>
    <row r="114" spans="1:40" ht="17.100000000000001" customHeight="1">
      <c r="A114" s="168" t="s">
        <v>154</v>
      </c>
      <c r="B114" s="168" t="s">
        <v>7</v>
      </c>
      <c r="C114" s="168" t="s">
        <v>7</v>
      </c>
      <c r="D114" s="168" t="s">
        <v>4</v>
      </c>
      <c r="E114" s="168" t="s">
        <v>803</v>
      </c>
      <c r="F114" s="130">
        <v>33359</v>
      </c>
      <c r="G114" s="154" t="s">
        <v>4375</v>
      </c>
      <c r="H114" s="1084">
        <v>12071</v>
      </c>
      <c r="I114" s="719">
        <v>21444</v>
      </c>
      <c r="J114" s="53" t="s">
        <v>4376</v>
      </c>
      <c r="K114" s="746" t="s">
        <v>4377</v>
      </c>
      <c r="L114" s="747" t="s">
        <v>4378</v>
      </c>
      <c r="M114" s="755">
        <v>4</v>
      </c>
      <c r="N114" s="58">
        <v>3</v>
      </c>
      <c r="O114" s="58">
        <v>3</v>
      </c>
      <c r="P114" s="58">
        <v>4</v>
      </c>
      <c r="Q114" s="58">
        <v>3</v>
      </c>
      <c r="R114" s="58">
        <v>3</v>
      </c>
      <c r="S114" s="58">
        <v>3</v>
      </c>
      <c r="T114" s="58">
        <v>0</v>
      </c>
      <c r="U114" s="1081">
        <f t="shared" si="30"/>
        <v>23</v>
      </c>
      <c r="V114" s="734">
        <v>81</v>
      </c>
      <c r="W114" s="58">
        <v>41</v>
      </c>
      <c r="X114" s="58">
        <v>78</v>
      </c>
      <c r="Y114" s="58">
        <v>34</v>
      </c>
      <c r="Z114" s="58">
        <v>78</v>
      </c>
      <c r="AA114" s="58">
        <v>44</v>
      </c>
      <c r="AB114" s="58">
        <v>92</v>
      </c>
      <c r="AC114" s="58">
        <v>44</v>
      </c>
      <c r="AD114" s="58">
        <v>74</v>
      </c>
      <c r="AE114" s="58">
        <v>39</v>
      </c>
      <c r="AF114" s="58">
        <v>74</v>
      </c>
      <c r="AG114" s="58">
        <v>31</v>
      </c>
      <c r="AH114" s="1082">
        <f t="shared" si="31"/>
        <v>477</v>
      </c>
      <c r="AI114" s="1081">
        <f t="shared" si="31"/>
        <v>233</v>
      </c>
      <c r="AJ114" s="734">
        <v>15</v>
      </c>
      <c r="AK114" s="58">
        <v>3</v>
      </c>
      <c r="AL114" s="58">
        <v>0</v>
      </c>
      <c r="AM114" s="59">
        <v>0</v>
      </c>
      <c r="AN114" s="76"/>
    </row>
    <row r="115" spans="1:40" ht="17.100000000000001" customHeight="1">
      <c r="A115" s="168" t="s">
        <v>154</v>
      </c>
      <c r="B115" s="168" t="s">
        <v>7</v>
      </c>
      <c r="C115" s="168" t="s">
        <v>7</v>
      </c>
      <c r="D115" s="168" t="s">
        <v>4</v>
      </c>
      <c r="E115" s="168" t="s">
        <v>804</v>
      </c>
      <c r="F115" s="130">
        <v>36770</v>
      </c>
      <c r="G115" s="154" t="s">
        <v>4379</v>
      </c>
      <c r="H115" s="1084">
        <v>11897</v>
      </c>
      <c r="I115" s="719">
        <v>21321</v>
      </c>
      <c r="J115" s="53" t="s">
        <v>4380</v>
      </c>
      <c r="K115" s="746" t="s">
        <v>4381</v>
      </c>
      <c r="L115" s="747" t="s">
        <v>4382</v>
      </c>
      <c r="M115" s="755">
        <v>2</v>
      </c>
      <c r="N115" s="58">
        <v>2</v>
      </c>
      <c r="O115" s="58">
        <v>3</v>
      </c>
      <c r="P115" s="58">
        <v>4</v>
      </c>
      <c r="Q115" s="58">
        <v>3</v>
      </c>
      <c r="R115" s="58">
        <v>4</v>
      </c>
      <c r="S115" s="58">
        <v>3</v>
      </c>
      <c r="T115" s="58">
        <v>0</v>
      </c>
      <c r="U115" s="1081">
        <f t="shared" si="30"/>
        <v>21</v>
      </c>
      <c r="V115" s="734">
        <v>47</v>
      </c>
      <c r="W115" s="58">
        <v>18</v>
      </c>
      <c r="X115" s="58">
        <v>51</v>
      </c>
      <c r="Y115" s="58">
        <v>23</v>
      </c>
      <c r="Z115" s="58">
        <v>67</v>
      </c>
      <c r="AA115" s="58">
        <v>23</v>
      </c>
      <c r="AB115" s="58">
        <v>83</v>
      </c>
      <c r="AC115" s="58">
        <v>35</v>
      </c>
      <c r="AD115" s="58">
        <v>72</v>
      </c>
      <c r="AE115" s="58">
        <v>36</v>
      </c>
      <c r="AF115" s="58">
        <v>83</v>
      </c>
      <c r="AG115" s="58">
        <v>43</v>
      </c>
      <c r="AH115" s="1082">
        <f t="shared" si="31"/>
        <v>403</v>
      </c>
      <c r="AI115" s="1081">
        <f t="shared" si="31"/>
        <v>178</v>
      </c>
      <c r="AJ115" s="734">
        <v>15</v>
      </c>
      <c r="AK115" s="58">
        <v>3</v>
      </c>
      <c r="AL115" s="58">
        <v>0</v>
      </c>
      <c r="AM115" s="59">
        <v>0</v>
      </c>
      <c r="AN115" s="76"/>
    </row>
    <row r="116" spans="1:40" ht="17.100000000000001" customHeight="1">
      <c r="A116" s="167" t="s">
        <v>154</v>
      </c>
      <c r="B116" s="167" t="s">
        <v>7</v>
      </c>
      <c r="C116" s="168" t="s">
        <v>7</v>
      </c>
      <c r="D116" s="167" t="s">
        <v>4</v>
      </c>
      <c r="E116" s="168" t="s">
        <v>805</v>
      </c>
      <c r="F116" s="130">
        <v>37865</v>
      </c>
      <c r="G116" s="1079" t="s">
        <v>806</v>
      </c>
      <c r="H116" s="1080">
        <v>10925.1</v>
      </c>
      <c r="I116" s="745">
        <v>21319</v>
      </c>
      <c r="J116" s="744" t="s">
        <v>3417</v>
      </c>
      <c r="K116" s="744" t="s">
        <v>4383</v>
      </c>
      <c r="L116" s="744" t="s">
        <v>807</v>
      </c>
      <c r="M116" s="755">
        <v>2</v>
      </c>
      <c r="N116" s="65">
        <v>2</v>
      </c>
      <c r="O116" s="65">
        <v>2</v>
      </c>
      <c r="P116" s="65">
        <v>2</v>
      </c>
      <c r="Q116" s="65">
        <v>3</v>
      </c>
      <c r="R116" s="65">
        <v>3</v>
      </c>
      <c r="S116" s="65">
        <v>1</v>
      </c>
      <c r="T116" s="65">
        <v>0</v>
      </c>
      <c r="U116" s="1081">
        <f t="shared" si="30"/>
        <v>15</v>
      </c>
      <c r="V116" s="736">
        <v>29</v>
      </c>
      <c r="W116" s="65">
        <v>17</v>
      </c>
      <c r="X116" s="65">
        <v>30</v>
      </c>
      <c r="Y116" s="65">
        <v>13</v>
      </c>
      <c r="Z116" s="65">
        <v>45</v>
      </c>
      <c r="AA116" s="65">
        <v>21</v>
      </c>
      <c r="AB116" s="65">
        <v>45</v>
      </c>
      <c r="AC116" s="65">
        <v>22</v>
      </c>
      <c r="AD116" s="65">
        <v>52</v>
      </c>
      <c r="AE116" s="65">
        <v>28</v>
      </c>
      <c r="AF116" s="65">
        <v>64</v>
      </c>
      <c r="AG116" s="65">
        <v>31</v>
      </c>
      <c r="AH116" s="1082">
        <f t="shared" si="31"/>
        <v>265</v>
      </c>
      <c r="AI116" s="1081">
        <f t="shared" si="31"/>
        <v>132</v>
      </c>
      <c r="AJ116" s="1369">
        <v>2</v>
      </c>
      <c r="AK116" s="65">
        <v>2</v>
      </c>
      <c r="AL116" s="65">
        <v>0</v>
      </c>
      <c r="AM116" s="66">
        <v>0</v>
      </c>
      <c r="AN116" s="731"/>
    </row>
    <row r="117" spans="1:40" ht="17.100000000000001" customHeight="1">
      <c r="A117" s="1625" t="s">
        <v>421</v>
      </c>
      <c r="B117" s="1626"/>
      <c r="C117" s="1066"/>
      <c r="D117" s="179">
        <f>COUNTA(D76:D116)</f>
        <v>41</v>
      </c>
      <c r="E117" s="283"/>
      <c r="F117" s="284"/>
      <c r="G117" s="181"/>
      <c r="H117" s="286"/>
      <c r="I117" s="287"/>
      <c r="J117" s="346"/>
      <c r="K117" s="346"/>
      <c r="L117" s="347"/>
      <c r="M117" s="330">
        <f>SUM(M76:M116)</f>
        <v>132</v>
      </c>
      <c r="N117" s="290">
        <f>SUM(N76:N116)</f>
        <v>140</v>
      </c>
      <c r="O117" s="290">
        <f t="shared" ref="O117:T117" si="32">SUM(O76:O116)</f>
        <v>145</v>
      </c>
      <c r="P117" s="290">
        <f t="shared" si="32"/>
        <v>160</v>
      </c>
      <c r="Q117" s="290">
        <f t="shared" si="32"/>
        <v>164</v>
      </c>
      <c r="R117" s="290">
        <f t="shared" si="32"/>
        <v>163</v>
      </c>
      <c r="S117" s="290">
        <f t="shared" si="32"/>
        <v>88</v>
      </c>
      <c r="T117" s="290">
        <f t="shared" si="32"/>
        <v>1</v>
      </c>
      <c r="U117" s="291">
        <f>SUM(U76:U116)</f>
        <v>993</v>
      </c>
      <c r="V117" s="289">
        <f>SUM(V76:V116)</f>
        <v>2657</v>
      </c>
      <c r="W117" s="290">
        <f>SUM(W76:W116)</f>
        <v>1284</v>
      </c>
      <c r="X117" s="290">
        <f t="shared" ref="X117:AH117" si="33">SUM(X76:X116)</f>
        <v>2788</v>
      </c>
      <c r="Y117" s="290">
        <f t="shared" si="33"/>
        <v>1369</v>
      </c>
      <c r="Z117" s="290">
        <f t="shared" si="33"/>
        <v>3011</v>
      </c>
      <c r="AA117" s="290">
        <f t="shared" si="33"/>
        <v>1478</v>
      </c>
      <c r="AB117" s="290">
        <f t="shared" si="33"/>
        <v>3408</v>
      </c>
      <c r="AC117" s="290">
        <f t="shared" si="33"/>
        <v>1656</v>
      </c>
      <c r="AD117" s="290">
        <f t="shared" si="33"/>
        <v>3510</v>
      </c>
      <c r="AE117" s="290">
        <f t="shared" si="33"/>
        <v>1767</v>
      </c>
      <c r="AF117" s="290">
        <f t="shared" si="33"/>
        <v>3502</v>
      </c>
      <c r="AG117" s="290">
        <f t="shared" si="33"/>
        <v>1721</v>
      </c>
      <c r="AH117" s="290">
        <f t="shared" si="33"/>
        <v>18876</v>
      </c>
      <c r="AI117" s="291">
        <f>SUM(AI76:AI116)</f>
        <v>9275</v>
      </c>
      <c r="AJ117" s="289">
        <f t="shared" ref="AJ117" si="34">SUM(AJ76:AJ116)</f>
        <v>421</v>
      </c>
      <c r="AK117" s="290">
        <f t="shared" ref="AK117" si="35">SUM(AK76:AK116)</f>
        <v>150</v>
      </c>
      <c r="AL117" s="290">
        <f>SUM(AL76:AL116)</f>
        <v>17</v>
      </c>
      <c r="AM117" s="291">
        <f>SUM(AM76:AM116)</f>
        <v>7</v>
      </c>
      <c r="AN117" s="331"/>
    </row>
    <row r="118" spans="1:40" ht="17.100000000000001" customHeight="1">
      <c r="A118" s="167" t="s">
        <v>154</v>
      </c>
      <c r="B118" s="167" t="s">
        <v>7</v>
      </c>
      <c r="C118" s="168" t="s">
        <v>7</v>
      </c>
      <c r="D118" s="167" t="s">
        <v>5</v>
      </c>
      <c r="E118" s="168" t="s">
        <v>4384</v>
      </c>
      <c r="F118" s="71">
        <v>23802</v>
      </c>
      <c r="G118" s="50" t="s">
        <v>4385</v>
      </c>
      <c r="H118" s="77">
        <v>2419.9699999999998</v>
      </c>
      <c r="I118" s="52">
        <v>21368</v>
      </c>
      <c r="J118" s="53" t="s">
        <v>2369</v>
      </c>
      <c r="K118" s="53" t="s">
        <v>2370</v>
      </c>
      <c r="L118" s="54" t="s">
        <v>2371</v>
      </c>
      <c r="M118" s="755">
        <v>2</v>
      </c>
      <c r="N118" s="78">
        <v>2</v>
      </c>
      <c r="O118" s="78">
        <v>2</v>
      </c>
      <c r="P118" s="78">
        <v>2</v>
      </c>
      <c r="Q118" s="78">
        <v>2</v>
      </c>
      <c r="R118" s="78">
        <v>2</v>
      </c>
      <c r="S118" s="78">
        <v>0</v>
      </c>
      <c r="T118" s="78">
        <v>0</v>
      </c>
      <c r="U118" s="131">
        <f>SUM(M118:T118)</f>
        <v>12</v>
      </c>
      <c r="V118" s="79">
        <v>57</v>
      </c>
      <c r="W118" s="78">
        <v>28</v>
      </c>
      <c r="X118" s="78">
        <v>56</v>
      </c>
      <c r="Y118" s="78">
        <v>27</v>
      </c>
      <c r="Z118" s="78">
        <v>50</v>
      </c>
      <c r="AA118" s="78">
        <v>25</v>
      </c>
      <c r="AB118" s="78">
        <v>55</v>
      </c>
      <c r="AC118" s="78">
        <v>25</v>
      </c>
      <c r="AD118" s="78">
        <v>50</v>
      </c>
      <c r="AE118" s="78">
        <v>22</v>
      </c>
      <c r="AF118" s="78">
        <v>45</v>
      </c>
      <c r="AG118" s="78">
        <v>21</v>
      </c>
      <c r="AH118" s="132">
        <f t="shared" ref="AH118:AI118" si="36">V118+X118+Z118+AB118+AD118+AF118</f>
        <v>313</v>
      </c>
      <c r="AI118" s="131">
        <f t="shared" si="36"/>
        <v>148</v>
      </c>
      <c r="AJ118" s="79">
        <v>0</v>
      </c>
      <c r="AK118" s="78">
        <v>0</v>
      </c>
      <c r="AL118" s="78">
        <v>0</v>
      </c>
      <c r="AM118" s="80">
        <v>0</v>
      </c>
      <c r="AN118" s="731"/>
    </row>
    <row r="119" spans="1:40" ht="17.100000000000001" customHeight="1">
      <c r="A119" s="1656" t="s">
        <v>808</v>
      </c>
      <c r="B119" s="1657"/>
      <c r="C119" s="1067"/>
      <c r="D119" s="188">
        <f>COUNTA(D118)</f>
        <v>1</v>
      </c>
      <c r="E119" s="292"/>
      <c r="F119" s="293"/>
      <c r="G119" s="190"/>
      <c r="H119" s="340"/>
      <c r="I119" s="296"/>
      <c r="J119" s="294"/>
      <c r="K119" s="294"/>
      <c r="L119" s="297"/>
      <c r="M119" s="341">
        <f>M118</f>
        <v>2</v>
      </c>
      <c r="N119" s="301">
        <f>N118</f>
        <v>2</v>
      </c>
      <c r="O119" s="301">
        <f t="shared" ref="O119:T119" si="37">O118</f>
        <v>2</v>
      </c>
      <c r="P119" s="301">
        <f t="shared" si="37"/>
        <v>2</v>
      </c>
      <c r="Q119" s="301">
        <f t="shared" si="37"/>
        <v>2</v>
      </c>
      <c r="R119" s="301">
        <f t="shared" si="37"/>
        <v>2</v>
      </c>
      <c r="S119" s="301">
        <f t="shared" si="37"/>
        <v>0</v>
      </c>
      <c r="T119" s="301">
        <f t="shared" si="37"/>
        <v>0</v>
      </c>
      <c r="U119" s="300">
        <f>U118</f>
        <v>12</v>
      </c>
      <c r="V119" s="342">
        <f>V118</f>
        <v>57</v>
      </c>
      <c r="W119" s="301">
        <f>W118</f>
        <v>28</v>
      </c>
      <c r="X119" s="301">
        <f t="shared" ref="X119:AH119" si="38">X118</f>
        <v>56</v>
      </c>
      <c r="Y119" s="301">
        <f t="shared" si="38"/>
        <v>27</v>
      </c>
      <c r="Z119" s="301">
        <f t="shared" si="38"/>
        <v>50</v>
      </c>
      <c r="AA119" s="301">
        <f t="shared" si="38"/>
        <v>25</v>
      </c>
      <c r="AB119" s="301">
        <f t="shared" si="38"/>
        <v>55</v>
      </c>
      <c r="AC119" s="301">
        <f t="shared" si="38"/>
        <v>25</v>
      </c>
      <c r="AD119" s="301">
        <f t="shared" si="38"/>
        <v>50</v>
      </c>
      <c r="AE119" s="301">
        <f t="shared" si="38"/>
        <v>22</v>
      </c>
      <c r="AF119" s="301">
        <f t="shared" si="38"/>
        <v>45</v>
      </c>
      <c r="AG119" s="301">
        <f t="shared" si="38"/>
        <v>21</v>
      </c>
      <c r="AH119" s="301">
        <f t="shared" si="38"/>
        <v>313</v>
      </c>
      <c r="AI119" s="300">
        <f>AI118</f>
        <v>148</v>
      </c>
      <c r="AJ119" s="342">
        <f t="shared" ref="AJ119" si="39">AJ118</f>
        <v>0</v>
      </c>
      <c r="AK119" s="301">
        <f t="shared" ref="AK119" si="40">AK118</f>
        <v>0</v>
      </c>
      <c r="AL119" s="301">
        <f>AL118</f>
        <v>0</v>
      </c>
      <c r="AM119" s="300">
        <f>AM118</f>
        <v>0</v>
      </c>
      <c r="AN119" s="343"/>
    </row>
    <row r="120" spans="1:40" ht="17.100000000000001" customHeight="1">
      <c r="A120" s="1627" t="s">
        <v>423</v>
      </c>
      <c r="B120" s="1628"/>
      <c r="C120" s="1628"/>
      <c r="D120" s="1629"/>
      <c r="E120" s="332">
        <f>D117+D119</f>
        <v>42</v>
      </c>
      <c r="F120" s="302"/>
      <c r="G120" s="222"/>
      <c r="H120" s="334"/>
      <c r="I120" s="305"/>
      <c r="J120" s="303"/>
      <c r="K120" s="303"/>
      <c r="L120" s="306"/>
      <c r="M120" s="335">
        <f>M117+M119</f>
        <v>134</v>
      </c>
      <c r="N120" s="310">
        <f>N117+N119</f>
        <v>142</v>
      </c>
      <c r="O120" s="310">
        <f t="shared" ref="O120:T120" si="41">O117+O119</f>
        <v>147</v>
      </c>
      <c r="P120" s="310">
        <f t="shared" si="41"/>
        <v>162</v>
      </c>
      <c r="Q120" s="310">
        <f t="shared" si="41"/>
        <v>166</v>
      </c>
      <c r="R120" s="310">
        <f t="shared" si="41"/>
        <v>165</v>
      </c>
      <c r="S120" s="310">
        <f t="shared" si="41"/>
        <v>88</v>
      </c>
      <c r="T120" s="310">
        <f t="shared" si="41"/>
        <v>1</v>
      </c>
      <c r="U120" s="309">
        <f>U117+U119</f>
        <v>1005</v>
      </c>
      <c r="V120" s="336">
        <f>V117+V119</f>
        <v>2714</v>
      </c>
      <c r="W120" s="310">
        <f>W117+W119</f>
        <v>1312</v>
      </c>
      <c r="X120" s="310">
        <f t="shared" ref="X120:AH120" si="42">X117+X119</f>
        <v>2844</v>
      </c>
      <c r="Y120" s="310">
        <f t="shared" si="42"/>
        <v>1396</v>
      </c>
      <c r="Z120" s="310">
        <f t="shared" si="42"/>
        <v>3061</v>
      </c>
      <c r="AA120" s="310">
        <f t="shared" si="42"/>
        <v>1503</v>
      </c>
      <c r="AB120" s="310">
        <f t="shared" si="42"/>
        <v>3463</v>
      </c>
      <c r="AC120" s="310">
        <f t="shared" si="42"/>
        <v>1681</v>
      </c>
      <c r="AD120" s="310">
        <f t="shared" si="42"/>
        <v>3560</v>
      </c>
      <c r="AE120" s="310">
        <f t="shared" si="42"/>
        <v>1789</v>
      </c>
      <c r="AF120" s="310">
        <f t="shared" si="42"/>
        <v>3547</v>
      </c>
      <c r="AG120" s="310">
        <f t="shared" si="42"/>
        <v>1742</v>
      </c>
      <c r="AH120" s="310">
        <f t="shared" si="42"/>
        <v>19189</v>
      </c>
      <c r="AI120" s="309">
        <f>AI117+AI119</f>
        <v>9423</v>
      </c>
      <c r="AJ120" s="336">
        <f t="shared" ref="AJ120" si="43">AJ117+AJ119</f>
        <v>421</v>
      </c>
      <c r="AK120" s="310">
        <f t="shared" ref="AK120" si="44">AK117+AK119</f>
        <v>150</v>
      </c>
      <c r="AL120" s="310">
        <f>AL117+AL119</f>
        <v>17</v>
      </c>
      <c r="AM120" s="309">
        <f>AM117+AM119</f>
        <v>7</v>
      </c>
      <c r="AN120" s="337"/>
    </row>
    <row r="121" spans="1:40" ht="17.100000000000001" customHeight="1">
      <c r="A121" s="168" t="s">
        <v>154</v>
      </c>
      <c r="B121" s="168" t="s">
        <v>10</v>
      </c>
      <c r="C121" s="168" t="s">
        <v>10</v>
      </c>
      <c r="D121" s="168" t="s">
        <v>143</v>
      </c>
      <c r="E121" s="168" t="s">
        <v>4433</v>
      </c>
      <c r="F121" s="71">
        <v>20920</v>
      </c>
      <c r="G121" s="50" t="s">
        <v>4434</v>
      </c>
      <c r="H121" s="72">
        <v>26777</v>
      </c>
      <c r="I121" s="52">
        <v>21093</v>
      </c>
      <c r="J121" s="53" t="s">
        <v>814</v>
      </c>
      <c r="K121" s="53" t="s">
        <v>815</v>
      </c>
      <c r="L121" s="54" t="s">
        <v>816</v>
      </c>
      <c r="M121" s="755">
        <v>4</v>
      </c>
      <c r="N121" s="58">
        <v>4</v>
      </c>
      <c r="O121" s="58">
        <v>4</v>
      </c>
      <c r="P121" s="58">
        <v>4</v>
      </c>
      <c r="Q121" s="58">
        <v>4</v>
      </c>
      <c r="R121" s="58">
        <v>4</v>
      </c>
      <c r="S121" s="58">
        <v>1</v>
      </c>
      <c r="T121" s="58">
        <v>0</v>
      </c>
      <c r="U121" s="1081">
        <f>SUM(M121:T121)</f>
        <v>25</v>
      </c>
      <c r="V121" s="734">
        <v>80</v>
      </c>
      <c r="W121" s="58">
        <v>40</v>
      </c>
      <c r="X121" s="58">
        <v>80</v>
      </c>
      <c r="Y121" s="58">
        <v>40</v>
      </c>
      <c r="Z121" s="58">
        <v>96</v>
      </c>
      <c r="AA121" s="58">
        <v>48</v>
      </c>
      <c r="AB121" s="58">
        <v>96</v>
      </c>
      <c r="AC121" s="58">
        <v>48</v>
      </c>
      <c r="AD121" s="58">
        <v>96</v>
      </c>
      <c r="AE121" s="58">
        <v>48</v>
      </c>
      <c r="AF121" s="58">
        <v>95</v>
      </c>
      <c r="AG121" s="58">
        <v>48</v>
      </c>
      <c r="AH121" s="1082">
        <f>V121+X121+Z121+AB121+AD121+AF121</f>
        <v>543</v>
      </c>
      <c r="AI121" s="1081">
        <f>W121+Y121+AA121+AC121+AE121+AG121</f>
        <v>272</v>
      </c>
      <c r="AJ121" s="734">
        <v>6</v>
      </c>
      <c r="AK121" s="58">
        <v>3</v>
      </c>
      <c r="AL121" s="58">
        <v>0</v>
      </c>
      <c r="AM121" s="59">
        <v>0</v>
      </c>
      <c r="AN121" s="76"/>
    </row>
    <row r="122" spans="1:40" ht="17.100000000000001" customHeight="1">
      <c r="A122" s="1663" t="s">
        <v>817</v>
      </c>
      <c r="B122" s="1664"/>
      <c r="C122" s="1069"/>
      <c r="D122" s="230">
        <f>COUNTA(D121)</f>
        <v>1</v>
      </c>
      <c r="E122" s="348"/>
      <c r="F122" s="349"/>
      <c r="G122" s="232"/>
      <c r="H122" s="350"/>
      <c r="I122" s="351"/>
      <c r="J122" s="352"/>
      <c r="K122" s="352"/>
      <c r="L122" s="353"/>
      <c r="M122" s="354">
        <f>SUM(M121)</f>
        <v>4</v>
      </c>
      <c r="N122" s="355">
        <f>SUM(N121)</f>
        <v>4</v>
      </c>
      <c r="O122" s="355">
        <f t="shared" ref="O122:T122" si="45">SUM(O121)</f>
        <v>4</v>
      </c>
      <c r="P122" s="355">
        <f t="shared" si="45"/>
        <v>4</v>
      </c>
      <c r="Q122" s="355">
        <f t="shared" si="45"/>
        <v>4</v>
      </c>
      <c r="R122" s="355">
        <f t="shared" si="45"/>
        <v>4</v>
      </c>
      <c r="S122" s="355">
        <f t="shared" si="45"/>
        <v>1</v>
      </c>
      <c r="T122" s="355">
        <f t="shared" si="45"/>
        <v>0</v>
      </c>
      <c r="U122" s="356">
        <f>SUM(U121)</f>
        <v>25</v>
      </c>
      <c r="V122" s="357">
        <f>SUM(V121)</f>
        <v>80</v>
      </c>
      <c r="W122" s="355">
        <f>SUM(W121)</f>
        <v>40</v>
      </c>
      <c r="X122" s="355">
        <f t="shared" ref="X122:AH122" si="46">SUM(X121)</f>
        <v>80</v>
      </c>
      <c r="Y122" s="355">
        <f t="shared" si="46"/>
        <v>40</v>
      </c>
      <c r="Z122" s="355">
        <f t="shared" si="46"/>
        <v>96</v>
      </c>
      <c r="AA122" s="355">
        <f t="shared" si="46"/>
        <v>48</v>
      </c>
      <c r="AB122" s="355">
        <f t="shared" si="46"/>
        <v>96</v>
      </c>
      <c r="AC122" s="355">
        <f t="shared" si="46"/>
        <v>48</v>
      </c>
      <c r="AD122" s="355">
        <f t="shared" si="46"/>
        <v>96</v>
      </c>
      <c r="AE122" s="355">
        <f t="shared" si="46"/>
        <v>48</v>
      </c>
      <c r="AF122" s="355">
        <f t="shared" si="46"/>
        <v>95</v>
      </c>
      <c r="AG122" s="355">
        <f t="shared" si="46"/>
        <v>48</v>
      </c>
      <c r="AH122" s="355">
        <f t="shared" si="46"/>
        <v>543</v>
      </c>
      <c r="AI122" s="356">
        <f>SUM(AI121)</f>
        <v>272</v>
      </c>
      <c r="AJ122" s="357">
        <f t="shared" ref="AJ122" si="47">SUM(AJ121)</f>
        <v>6</v>
      </c>
      <c r="AK122" s="355">
        <f t="shared" ref="AK122" si="48">SUM(AK121)</f>
        <v>3</v>
      </c>
      <c r="AL122" s="355">
        <f>SUM(AL121)</f>
        <v>0</v>
      </c>
      <c r="AM122" s="356">
        <f>SUM(AM121)</f>
        <v>0</v>
      </c>
      <c r="AN122" s="358"/>
    </row>
    <row r="123" spans="1:40" ht="17.100000000000001" customHeight="1">
      <c r="A123" s="167" t="s">
        <v>154</v>
      </c>
      <c r="B123" s="167" t="s">
        <v>10</v>
      </c>
      <c r="C123" s="168" t="s">
        <v>10</v>
      </c>
      <c r="D123" s="167" t="s">
        <v>4</v>
      </c>
      <c r="E123" s="168" t="s">
        <v>830</v>
      </c>
      <c r="F123" s="71">
        <v>32021</v>
      </c>
      <c r="G123" s="50" t="s">
        <v>4386</v>
      </c>
      <c r="H123" s="1085">
        <v>13027</v>
      </c>
      <c r="I123" s="52">
        <v>21042</v>
      </c>
      <c r="J123" s="53" t="s">
        <v>831</v>
      </c>
      <c r="K123" s="53" t="s">
        <v>832</v>
      </c>
      <c r="L123" s="54" t="s">
        <v>833</v>
      </c>
      <c r="M123" s="755">
        <v>2</v>
      </c>
      <c r="N123" s="65">
        <v>1</v>
      </c>
      <c r="O123" s="65">
        <v>2</v>
      </c>
      <c r="P123" s="65">
        <v>2</v>
      </c>
      <c r="Q123" s="65">
        <v>2</v>
      </c>
      <c r="R123" s="65">
        <v>2</v>
      </c>
      <c r="S123" s="65">
        <v>2</v>
      </c>
      <c r="T123" s="58">
        <v>0</v>
      </c>
      <c r="U123" s="1081">
        <f>SUM(M123:T123)</f>
        <v>13</v>
      </c>
      <c r="V123" s="736">
        <v>21</v>
      </c>
      <c r="W123" s="65">
        <v>9</v>
      </c>
      <c r="X123" s="65">
        <v>16</v>
      </c>
      <c r="Y123" s="65">
        <v>4</v>
      </c>
      <c r="Z123" s="65">
        <v>22</v>
      </c>
      <c r="AA123" s="65">
        <v>7</v>
      </c>
      <c r="AB123" s="65">
        <v>33</v>
      </c>
      <c r="AC123" s="65">
        <v>18</v>
      </c>
      <c r="AD123" s="65">
        <v>32</v>
      </c>
      <c r="AE123" s="65">
        <v>18</v>
      </c>
      <c r="AF123" s="65">
        <v>22</v>
      </c>
      <c r="AG123" s="65">
        <v>8</v>
      </c>
      <c r="AH123" s="1082">
        <f t="shared" ref="AH123:AI148" si="49">V123+X123+Z123+AB123+AD123+AF123</f>
        <v>146</v>
      </c>
      <c r="AI123" s="1081">
        <f t="shared" si="49"/>
        <v>64</v>
      </c>
      <c r="AJ123" s="736">
        <v>8</v>
      </c>
      <c r="AK123" s="65">
        <v>2</v>
      </c>
      <c r="AL123" s="58">
        <v>0</v>
      </c>
      <c r="AM123" s="59">
        <v>0</v>
      </c>
      <c r="AN123" s="1086"/>
    </row>
    <row r="124" spans="1:40" ht="17.100000000000001" customHeight="1">
      <c r="A124" s="168" t="s">
        <v>154</v>
      </c>
      <c r="B124" s="168" t="s">
        <v>10</v>
      </c>
      <c r="C124" s="168" t="s">
        <v>10</v>
      </c>
      <c r="D124" s="168" t="s">
        <v>4</v>
      </c>
      <c r="E124" s="168" t="s">
        <v>835</v>
      </c>
      <c r="F124" s="71">
        <v>12026</v>
      </c>
      <c r="G124" s="154" t="s">
        <v>4387</v>
      </c>
      <c r="H124" s="1084">
        <v>22161</v>
      </c>
      <c r="I124" s="719">
        <v>21007</v>
      </c>
      <c r="J124" s="53" t="s">
        <v>836</v>
      </c>
      <c r="K124" s="746" t="s">
        <v>836</v>
      </c>
      <c r="L124" s="747" t="s">
        <v>4388</v>
      </c>
      <c r="M124" s="755">
        <v>2</v>
      </c>
      <c r="N124" s="58">
        <v>2</v>
      </c>
      <c r="O124" s="58">
        <v>2</v>
      </c>
      <c r="P124" s="58">
        <v>2</v>
      </c>
      <c r="Q124" s="58">
        <v>2</v>
      </c>
      <c r="R124" s="58">
        <v>3</v>
      </c>
      <c r="S124" s="58">
        <v>1</v>
      </c>
      <c r="T124" s="58">
        <v>0</v>
      </c>
      <c r="U124" s="1081">
        <f t="shared" ref="U124:U148" si="50">SUM(M124:T124)</f>
        <v>14</v>
      </c>
      <c r="V124" s="734">
        <v>38</v>
      </c>
      <c r="W124" s="58">
        <v>18</v>
      </c>
      <c r="X124" s="58">
        <v>44</v>
      </c>
      <c r="Y124" s="58">
        <v>19</v>
      </c>
      <c r="Z124" s="58">
        <v>44</v>
      </c>
      <c r="AA124" s="58">
        <v>15</v>
      </c>
      <c r="AB124" s="58">
        <v>42</v>
      </c>
      <c r="AC124" s="58">
        <v>23</v>
      </c>
      <c r="AD124" s="58">
        <v>39</v>
      </c>
      <c r="AE124" s="58">
        <v>18</v>
      </c>
      <c r="AF124" s="58">
        <v>61</v>
      </c>
      <c r="AG124" s="58">
        <v>36</v>
      </c>
      <c r="AH124" s="1082">
        <f t="shared" si="49"/>
        <v>268</v>
      </c>
      <c r="AI124" s="1081">
        <f t="shared" si="49"/>
        <v>129</v>
      </c>
      <c r="AJ124" s="734">
        <v>5</v>
      </c>
      <c r="AK124" s="58">
        <v>1</v>
      </c>
      <c r="AL124" s="58">
        <v>0</v>
      </c>
      <c r="AM124" s="59">
        <v>0</v>
      </c>
      <c r="AN124" s="1086"/>
    </row>
    <row r="125" spans="1:40" ht="17.100000000000001" customHeight="1">
      <c r="A125" s="167" t="s">
        <v>154</v>
      </c>
      <c r="B125" s="167" t="s">
        <v>10</v>
      </c>
      <c r="C125" s="168" t="s">
        <v>10</v>
      </c>
      <c r="D125" s="167" t="s">
        <v>4</v>
      </c>
      <c r="E125" s="1246" t="s">
        <v>4389</v>
      </c>
      <c r="F125" s="1248">
        <v>22085</v>
      </c>
      <c r="G125" s="1249" t="s">
        <v>4390</v>
      </c>
      <c r="H125" s="1250">
        <v>2462</v>
      </c>
      <c r="I125" s="1251">
        <v>21009</v>
      </c>
      <c r="J125" s="1252" t="s">
        <v>837</v>
      </c>
      <c r="K125" s="1252" t="s">
        <v>4391</v>
      </c>
      <c r="L125" s="1252" t="s">
        <v>4392</v>
      </c>
      <c r="M125" s="1253">
        <v>0</v>
      </c>
      <c r="N125" s="395">
        <v>1</v>
      </c>
      <c r="O125" s="395">
        <v>0</v>
      </c>
      <c r="P125" s="395">
        <v>1</v>
      </c>
      <c r="Q125" s="395">
        <v>0</v>
      </c>
      <c r="R125" s="395">
        <v>1</v>
      </c>
      <c r="S125" s="395">
        <v>1</v>
      </c>
      <c r="T125" s="65">
        <v>0</v>
      </c>
      <c r="U125" s="1081">
        <f t="shared" si="50"/>
        <v>4</v>
      </c>
      <c r="V125" s="736">
        <v>0</v>
      </c>
      <c r="W125" s="65">
        <v>0</v>
      </c>
      <c r="X125" s="65">
        <v>1</v>
      </c>
      <c r="Y125" s="65">
        <v>0</v>
      </c>
      <c r="Z125" s="65">
        <v>0</v>
      </c>
      <c r="AA125" s="65">
        <v>0</v>
      </c>
      <c r="AB125" s="65">
        <v>3</v>
      </c>
      <c r="AC125" s="65">
        <v>0</v>
      </c>
      <c r="AD125" s="65">
        <v>1</v>
      </c>
      <c r="AE125" s="65">
        <v>1</v>
      </c>
      <c r="AF125" s="65">
        <v>1</v>
      </c>
      <c r="AG125" s="65">
        <v>0</v>
      </c>
      <c r="AH125" s="1082">
        <f t="shared" si="49"/>
        <v>6</v>
      </c>
      <c r="AI125" s="1081">
        <f t="shared" si="49"/>
        <v>1</v>
      </c>
      <c r="AJ125" s="736">
        <v>4</v>
      </c>
      <c r="AK125" s="65">
        <v>0</v>
      </c>
      <c r="AL125" s="65">
        <v>0</v>
      </c>
      <c r="AM125" s="66">
        <v>0</v>
      </c>
      <c r="AN125" s="1083" t="s">
        <v>4214</v>
      </c>
    </row>
    <row r="126" spans="1:40" ht="17.100000000000001" customHeight="1">
      <c r="A126" s="167" t="s">
        <v>154</v>
      </c>
      <c r="B126" s="167" t="s">
        <v>10</v>
      </c>
      <c r="C126" s="168" t="s">
        <v>10</v>
      </c>
      <c r="D126" s="167" t="s">
        <v>4</v>
      </c>
      <c r="E126" s="168" t="s">
        <v>878</v>
      </c>
      <c r="F126" s="71">
        <v>38412</v>
      </c>
      <c r="G126" s="50" t="s">
        <v>4393</v>
      </c>
      <c r="H126" s="1085">
        <v>11239</v>
      </c>
      <c r="I126" s="52">
        <v>21016</v>
      </c>
      <c r="J126" s="53" t="s">
        <v>879</v>
      </c>
      <c r="K126" s="53" t="s">
        <v>880</v>
      </c>
      <c r="L126" s="54" t="s">
        <v>881</v>
      </c>
      <c r="M126" s="755">
        <v>3</v>
      </c>
      <c r="N126" s="65">
        <v>3</v>
      </c>
      <c r="O126" s="65">
        <v>3</v>
      </c>
      <c r="P126" s="65">
        <v>3</v>
      </c>
      <c r="Q126" s="65">
        <v>4</v>
      </c>
      <c r="R126" s="65">
        <v>5</v>
      </c>
      <c r="S126" s="65">
        <v>2</v>
      </c>
      <c r="T126" s="58">
        <v>0</v>
      </c>
      <c r="U126" s="1081">
        <f t="shared" si="50"/>
        <v>23</v>
      </c>
      <c r="V126" s="736">
        <v>67</v>
      </c>
      <c r="W126" s="65">
        <v>32</v>
      </c>
      <c r="X126" s="65">
        <v>69</v>
      </c>
      <c r="Y126" s="65">
        <v>35</v>
      </c>
      <c r="Z126" s="65">
        <v>56</v>
      </c>
      <c r="AA126" s="65">
        <v>23</v>
      </c>
      <c r="AB126" s="65">
        <v>73</v>
      </c>
      <c r="AC126" s="65">
        <v>38</v>
      </c>
      <c r="AD126" s="65">
        <v>89</v>
      </c>
      <c r="AE126" s="65">
        <v>42</v>
      </c>
      <c r="AF126" s="65">
        <v>102</v>
      </c>
      <c r="AG126" s="65">
        <v>50</v>
      </c>
      <c r="AH126" s="1082">
        <f t="shared" si="49"/>
        <v>456</v>
      </c>
      <c r="AI126" s="1081">
        <f t="shared" si="49"/>
        <v>220</v>
      </c>
      <c r="AJ126" s="1369">
        <v>8</v>
      </c>
      <c r="AK126" s="65">
        <v>4</v>
      </c>
      <c r="AL126" s="58">
        <v>0</v>
      </c>
      <c r="AM126" s="59">
        <v>0</v>
      </c>
      <c r="AN126" s="731"/>
    </row>
    <row r="127" spans="1:40" ht="17.100000000000001" customHeight="1">
      <c r="A127" s="168" t="s">
        <v>154</v>
      </c>
      <c r="B127" s="168" t="s">
        <v>10</v>
      </c>
      <c r="C127" s="168" t="s">
        <v>10</v>
      </c>
      <c r="D127" s="168" t="s">
        <v>4</v>
      </c>
      <c r="E127" s="168" t="s">
        <v>857</v>
      </c>
      <c r="F127" s="130">
        <v>35855</v>
      </c>
      <c r="G127" s="154" t="s">
        <v>858</v>
      </c>
      <c r="H127" s="1084">
        <v>10996.5</v>
      </c>
      <c r="I127" s="719">
        <v>21062</v>
      </c>
      <c r="J127" s="53" t="s">
        <v>859</v>
      </c>
      <c r="K127" s="746" t="s">
        <v>860</v>
      </c>
      <c r="L127" s="747" t="s">
        <v>861</v>
      </c>
      <c r="M127" s="755">
        <v>3</v>
      </c>
      <c r="N127" s="58">
        <v>3</v>
      </c>
      <c r="O127" s="58">
        <v>3</v>
      </c>
      <c r="P127" s="58">
        <v>3</v>
      </c>
      <c r="Q127" s="58">
        <v>4</v>
      </c>
      <c r="R127" s="58">
        <v>3</v>
      </c>
      <c r="S127" s="58">
        <v>2</v>
      </c>
      <c r="T127" s="58">
        <v>0</v>
      </c>
      <c r="U127" s="1081">
        <f t="shared" si="50"/>
        <v>21</v>
      </c>
      <c r="V127" s="734">
        <v>62</v>
      </c>
      <c r="W127" s="58">
        <v>28</v>
      </c>
      <c r="X127" s="58">
        <v>58</v>
      </c>
      <c r="Y127" s="58">
        <v>26</v>
      </c>
      <c r="Z127" s="58">
        <v>66</v>
      </c>
      <c r="AA127" s="58">
        <v>29</v>
      </c>
      <c r="AB127" s="58">
        <v>76</v>
      </c>
      <c r="AC127" s="58">
        <v>40</v>
      </c>
      <c r="AD127" s="58">
        <v>95</v>
      </c>
      <c r="AE127" s="58">
        <v>49</v>
      </c>
      <c r="AF127" s="58">
        <v>74</v>
      </c>
      <c r="AG127" s="58">
        <v>36</v>
      </c>
      <c r="AH127" s="1082">
        <f t="shared" si="49"/>
        <v>431</v>
      </c>
      <c r="AI127" s="1081">
        <f t="shared" si="49"/>
        <v>208</v>
      </c>
      <c r="AJ127" s="1072">
        <v>10</v>
      </c>
      <c r="AK127" s="58">
        <v>3</v>
      </c>
      <c r="AL127" s="58">
        <v>0</v>
      </c>
      <c r="AM127" s="59">
        <v>0</v>
      </c>
      <c r="AN127" s="76"/>
    </row>
    <row r="128" spans="1:40" ht="17.100000000000001" customHeight="1">
      <c r="A128" s="167" t="s">
        <v>154</v>
      </c>
      <c r="B128" s="167" t="s">
        <v>10</v>
      </c>
      <c r="C128" s="168" t="s">
        <v>10</v>
      </c>
      <c r="D128" s="167" t="s">
        <v>4</v>
      </c>
      <c r="E128" s="168" t="s">
        <v>886</v>
      </c>
      <c r="F128" s="130">
        <v>38880</v>
      </c>
      <c r="G128" s="50" t="s">
        <v>4394</v>
      </c>
      <c r="H128" s="1085">
        <v>11423</v>
      </c>
      <c r="I128" s="52">
        <v>21013</v>
      </c>
      <c r="J128" s="53" t="s">
        <v>888</v>
      </c>
      <c r="K128" s="53" t="s">
        <v>888</v>
      </c>
      <c r="L128" s="54" t="s">
        <v>889</v>
      </c>
      <c r="M128" s="755">
        <v>3</v>
      </c>
      <c r="N128" s="65">
        <v>4</v>
      </c>
      <c r="O128" s="65">
        <v>4</v>
      </c>
      <c r="P128" s="65">
        <v>5</v>
      </c>
      <c r="Q128" s="65">
        <v>6</v>
      </c>
      <c r="R128" s="65">
        <v>5</v>
      </c>
      <c r="S128" s="65">
        <v>2</v>
      </c>
      <c r="T128" s="58">
        <v>0</v>
      </c>
      <c r="U128" s="1081">
        <f t="shared" si="50"/>
        <v>29</v>
      </c>
      <c r="V128" s="736">
        <v>79</v>
      </c>
      <c r="W128" s="65">
        <v>31</v>
      </c>
      <c r="X128" s="65">
        <v>97</v>
      </c>
      <c r="Y128" s="65">
        <v>54</v>
      </c>
      <c r="Z128" s="65">
        <v>99</v>
      </c>
      <c r="AA128" s="65">
        <v>37</v>
      </c>
      <c r="AB128" s="65">
        <v>110</v>
      </c>
      <c r="AC128" s="65">
        <v>61</v>
      </c>
      <c r="AD128" s="65">
        <v>137</v>
      </c>
      <c r="AE128" s="65">
        <v>69</v>
      </c>
      <c r="AF128" s="65">
        <v>129</v>
      </c>
      <c r="AG128" s="65">
        <v>58</v>
      </c>
      <c r="AH128" s="1082">
        <f t="shared" si="49"/>
        <v>651</v>
      </c>
      <c r="AI128" s="1081">
        <f t="shared" si="49"/>
        <v>310</v>
      </c>
      <c r="AJ128" s="736">
        <v>10</v>
      </c>
      <c r="AK128" s="65">
        <v>4</v>
      </c>
      <c r="AL128" s="58">
        <v>0</v>
      </c>
      <c r="AM128" s="59">
        <v>0</v>
      </c>
      <c r="AN128" s="731"/>
    </row>
    <row r="129" spans="1:40" ht="17.100000000000001" customHeight="1">
      <c r="A129" s="168" t="s">
        <v>154</v>
      </c>
      <c r="B129" s="168" t="s">
        <v>10</v>
      </c>
      <c r="C129" s="168" t="s">
        <v>10</v>
      </c>
      <c r="D129" s="168" t="s">
        <v>4</v>
      </c>
      <c r="E129" s="168" t="s">
        <v>872</v>
      </c>
      <c r="F129" s="71">
        <v>37500</v>
      </c>
      <c r="G129" s="50" t="s">
        <v>898</v>
      </c>
      <c r="H129" s="72">
        <v>10732</v>
      </c>
      <c r="I129" s="52">
        <v>21096</v>
      </c>
      <c r="J129" s="53" t="s">
        <v>873</v>
      </c>
      <c r="K129" s="53" t="s">
        <v>874</v>
      </c>
      <c r="L129" s="54" t="s">
        <v>875</v>
      </c>
      <c r="M129" s="755">
        <v>2</v>
      </c>
      <c r="N129" s="73">
        <v>3</v>
      </c>
      <c r="O129" s="73">
        <v>2</v>
      </c>
      <c r="P129" s="73">
        <v>2</v>
      </c>
      <c r="Q129" s="73">
        <v>3</v>
      </c>
      <c r="R129" s="73">
        <v>3</v>
      </c>
      <c r="S129" s="73">
        <v>2</v>
      </c>
      <c r="T129" s="73">
        <v>0</v>
      </c>
      <c r="U129" s="1081">
        <f t="shared" si="50"/>
        <v>17</v>
      </c>
      <c r="V129" s="75">
        <v>40</v>
      </c>
      <c r="W129" s="73">
        <v>18</v>
      </c>
      <c r="X129" s="73">
        <v>38</v>
      </c>
      <c r="Y129" s="73">
        <v>21</v>
      </c>
      <c r="Z129" s="73">
        <v>35</v>
      </c>
      <c r="AA129" s="73">
        <v>19</v>
      </c>
      <c r="AB129" s="73">
        <v>39</v>
      </c>
      <c r="AC129" s="73">
        <v>19</v>
      </c>
      <c r="AD129" s="73">
        <v>38</v>
      </c>
      <c r="AE129" s="73">
        <v>18</v>
      </c>
      <c r="AF129" s="73">
        <v>47</v>
      </c>
      <c r="AG129" s="73">
        <v>22</v>
      </c>
      <c r="AH129" s="1082">
        <f t="shared" si="49"/>
        <v>237</v>
      </c>
      <c r="AI129" s="1081">
        <f t="shared" si="49"/>
        <v>117</v>
      </c>
      <c r="AJ129" s="311">
        <v>7</v>
      </c>
      <c r="AK129" s="73">
        <v>1</v>
      </c>
      <c r="AL129" s="73">
        <v>0</v>
      </c>
      <c r="AM129" s="74">
        <v>0</v>
      </c>
      <c r="AN129" s="76"/>
    </row>
    <row r="130" spans="1:40" ht="17.100000000000001" customHeight="1">
      <c r="A130" s="167" t="s">
        <v>154</v>
      </c>
      <c r="B130" s="167" t="s">
        <v>10</v>
      </c>
      <c r="C130" s="168" t="s">
        <v>10</v>
      </c>
      <c r="D130" s="167" t="s">
        <v>4</v>
      </c>
      <c r="E130" s="168" t="s">
        <v>846</v>
      </c>
      <c r="F130" s="130">
        <v>34943</v>
      </c>
      <c r="G130" s="50" t="s">
        <v>4395</v>
      </c>
      <c r="H130" s="77">
        <v>11438</v>
      </c>
      <c r="I130" s="52">
        <v>21035</v>
      </c>
      <c r="J130" s="53" t="s">
        <v>847</v>
      </c>
      <c r="K130" s="53" t="s">
        <v>848</v>
      </c>
      <c r="L130" s="54" t="s">
        <v>849</v>
      </c>
      <c r="M130" s="755">
        <v>2</v>
      </c>
      <c r="N130" s="78">
        <v>2</v>
      </c>
      <c r="O130" s="78">
        <v>2</v>
      </c>
      <c r="P130" s="78">
        <v>2</v>
      </c>
      <c r="Q130" s="78">
        <v>3</v>
      </c>
      <c r="R130" s="78">
        <v>3</v>
      </c>
      <c r="S130" s="78">
        <v>2</v>
      </c>
      <c r="T130" s="78">
        <v>0</v>
      </c>
      <c r="U130" s="1081">
        <f t="shared" si="50"/>
        <v>16</v>
      </c>
      <c r="V130" s="79">
        <v>29</v>
      </c>
      <c r="W130" s="78">
        <v>15</v>
      </c>
      <c r="X130" s="78">
        <v>32</v>
      </c>
      <c r="Y130" s="78">
        <v>16</v>
      </c>
      <c r="Z130" s="78">
        <v>42</v>
      </c>
      <c r="AA130" s="78">
        <v>21</v>
      </c>
      <c r="AB130" s="78">
        <v>34</v>
      </c>
      <c r="AC130" s="78">
        <v>16</v>
      </c>
      <c r="AD130" s="78">
        <v>64</v>
      </c>
      <c r="AE130" s="78">
        <v>37</v>
      </c>
      <c r="AF130" s="78">
        <v>53</v>
      </c>
      <c r="AG130" s="78">
        <v>26</v>
      </c>
      <c r="AH130" s="1082">
        <f t="shared" si="49"/>
        <v>254</v>
      </c>
      <c r="AI130" s="1081">
        <f t="shared" si="49"/>
        <v>131</v>
      </c>
      <c r="AJ130" s="79">
        <v>8</v>
      </c>
      <c r="AK130" s="78">
        <v>2</v>
      </c>
      <c r="AL130" s="78">
        <v>0</v>
      </c>
      <c r="AM130" s="80">
        <v>0</v>
      </c>
      <c r="AN130" s="731"/>
    </row>
    <row r="131" spans="1:40" ht="17.100000000000001" customHeight="1">
      <c r="A131" s="168" t="s">
        <v>154</v>
      </c>
      <c r="B131" s="168" t="s">
        <v>10</v>
      </c>
      <c r="C131" s="168" t="s">
        <v>10</v>
      </c>
      <c r="D131" s="168" t="s">
        <v>4</v>
      </c>
      <c r="E131" s="168" t="s">
        <v>818</v>
      </c>
      <c r="F131" s="130" t="s">
        <v>4396</v>
      </c>
      <c r="G131" s="154" t="s">
        <v>4397</v>
      </c>
      <c r="H131" s="1084">
        <v>14357</v>
      </c>
      <c r="I131" s="719">
        <v>21049</v>
      </c>
      <c r="J131" s="53" t="s">
        <v>4398</v>
      </c>
      <c r="K131" s="746" t="s">
        <v>4398</v>
      </c>
      <c r="L131" s="747" t="s">
        <v>4399</v>
      </c>
      <c r="M131" s="755">
        <v>1</v>
      </c>
      <c r="N131" s="58">
        <v>2</v>
      </c>
      <c r="O131" s="58">
        <v>2</v>
      </c>
      <c r="P131" s="58">
        <v>2</v>
      </c>
      <c r="Q131" s="58">
        <v>2</v>
      </c>
      <c r="R131" s="58">
        <v>2</v>
      </c>
      <c r="S131" s="58">
        <v>1</v>
      </c>
      <c r="T131" s="58">
        <v>0</v>
      </c>
      <c r="U131" s="1081">
        <f>SUM(M131:T131)</f>
        <v>12</v>
      </c>
      <c r="V131" s="734">
        <v>15</v>
      </c>
      <c r="W131" s="58">
        <v>9</v>
      </c>
      <c r="X131" s="58">
        <v>32</v>
      </c>
      <c r="Y131" s="58">
        <v>11</v>
      </c>
      <c r="Z131" s="58">
        <v>25</v>
      </c>
      <c r="AA131" s="58">
        <v>14</v>
      </c>
      <c r="AB131" s="58">
        <v>46</v>
      </c>
      <c r="AC131" s="58">
        <v>17</v>
      </c>
      <c r="AD131" s="58">
        <v>27</v>
      </c>
      <c r="AE131" s="58">
        <v>9</v>
      </c>
      <c r="AF131" s="58">
        <v>48</v>
      </c>
      <c r="AG131" s="58">
        <v>26</v>
      </c>
      <c r="AH131" s="1082">
        <f>V131+X131+Z131+AB131+AD131+AF131</f>
        <v>193</v>
      </c>
      <c r="AI131" s="1081">
        <f>W131+Y131+AA131+AC131+AE131+AG131</f>
        <v>86</v>
      </c>
      <c r="AJ131" s="734">
        <v>4</v>
      </c>
      <c r="AK131" s="58">
        <v>1</v>
      </c>
      <c r="AL131" s="58">
        <v>0</v>
      </c>
      <c r="AM131" s="59">
        <v>0</v>
      </c>
      <c r="AN131" s="1086"/>
    </row>
    <row r="132" spans="1:40" ht="17.100000000000001" customHeight="1">
      <c r="A132" s="167" t="s">
        <v>154</v>
      </c>
      <c r="B132" s="167" t="s">
        <v>10</v>
      </c>
      <c r="C132" s="168" t="s">
        <v>10</v>
      </c>
      <c r="D132" s="167" t="s">
        <v>4</v>
      </c>
      <c r="E132" s="168" t="s">
        <v>853</v>
      </c>
      <c r="F132" s="71">
        <v>35490</v>
      </c>
      <c r="G132" s="50" t="s">
        <v>4400</v>
      </c>
      <c r="H132" s="1085">
        <v>11106</v>
      </c>
      <c r="I132" s="52">
        <v>21070</v>
      </c>
      <c r="J132" s="53" t="s">
        <v>854</v>
      </c>
      <c r="K132" s="53" t="s">
        <v>855</v>
      </c>
      <c r="L132" s="54" t="s">
        <v>856</v>
      </c>
      <c r="M132" s="755">
        <v>3</v>
      </c>
      <c r="N132" s="65">
        <v>2</v>
      </c>
      <c r="O132" s="65">
        <v>2</v>
      </c>
      <c r="P132" s="65">
        <v>3</v>
      </c>
      <c r="Q132" s="65">
        <v>4</v>
      </c>
      <c r="R132" s="65">
        <v>3</v>
      </c>
      <c r="S132" s="65">
        <v>2</v>
      </c>
      <c r="T132" s="58">
        <v>0</v>
      </c>
      <c r="U132" s="1081">
        <f t="shared" si="50"/>
        <v>19</v>
      </c>
      <c r="V132" s="736">
        <v>64</v>
      </c>
      <c r="W132" s="65">
        <v>27</v>
      </c>
      <c r="X132" s="65">
        <v>49</v>
      </c>
      <c r="Y132" s="65">
        <v>26</v>
      </c>
      <c r="Z132" s="65">
        <v>51</v>
      </c>
      <c r="AA132" s="65">
        <v>23</v>
      </c>
      <c r="AB132" s="65">
        <v>68</v>
      </c>
      <c r="AC132" s="65">
        <v>32</v>
      </c>
      <c r="AD132" s="65">
        <v>88</v>
      </c>
      <c r="AE132" s="65">
        <v>45</v>
      </c>
      <c r="AF132" s="65">
        <v>74</v>
      </c>
      <c r="AG132" s="65">
        <v>43</v>
      </c>
      <c r="AH132" s="1082">
        <f t="shared" si="49"/>
        <v>394</v>
      </c>
      <c r="AI132" s="1081">
        <f t="shared" si="49"/>
        <v>196</v>
      </c>
      <c r="AJ132" s="736">
        <v>12</v>
      </c>
      <c r="AK132" s="65">
        <v>1</v>
      </c>
      <c r="AL132" s="58">
        <v>0</v>
      </c>
      <c r="AM132" s="59">
        <v>0</v>
      </c>
      <c r="AN132" s="731"/>
    </row>
    <row r="133" spans="1:40" ht="17.100000000000001" customHeight="1">
      <c r="A133" s="168" t="s">
        <v>154</v>
      </c>
      <c r="B133" s="168" t="s">
        <v>10</v>
      </c>
      <c r="C133" s="168" t="s">
        <v>10</v>
      </c>
      <c r="D133" s="168" t="s">
        <v>4</v>
      </c>
      <c r="E133" s="168" t="s">
        <v>850</v>
      </c>
      <c r="F133" s="130">
        <v>35309</v>
      </c>
      <c r="G133" s="154" t="s">
        <v>897</v>
      </c>
      <c r="H133" s="1084">
        <v>12626</v>
      </c>
      <c r="I133" s="719">
        <v>21083</v>
      </c>
      <c r="J133" s="53" t="s">
        <v>851</v>
      </c>
      <c r="K133" s="746" t="s">
        <v>851</v>
      </c>
      <c r="L133" s="747" t="s">
        <v>852</v>
      </c>
      <c r="M133" s="755">
        <v>2</v>
      </c>
      <c r="N133" s="58">
        <v>2</v>
      </c>
      <c r="O133" s="58">
        <v>2</v>
      </c>
      <c r="P133" s="58">
        <v>3</v>
      </c>
      <c r="Q133" s="58">
        <v>3</v>
      </c>
      <c r="R133" s="58">
        <v>3</v>
      </c>
      <c r="S133" s="58">
        <v>1</v>
      </c>
      <c r="T133" s="58">
        <v>0</v>
      </c>
      <c r="U133" s="1081">
        <f t="shared" si="50"/>
        <v>16</v>
      </c>
      <c r="V133" s="734">
        <v>43</v>
      </c>
      <c r="W133" s="58">
        <v>17</v>
      </c>
      <c r="X133" s="58">
        <v>46</v>
      </c>
      <c r="Y133" s="58">
        <v>18</v>
      </c>
      <c r="Z133" s="58">
        <v>49</v>
      </c>
      <c r="AA133" s="58">
        <v>20</v>
      </c>
      <c r="AB133" s="58">
        <v>61</v>
      </c>
      <c r="AC133" s="58">
        <v>29</v>
      </c>
      <c r="AD133" s="58">
        <v>65</v>
      </c>
      <c r="AE133" s="58">
        <v>37</v>
      </c>
      <c r="AF133" s="58">
        <v>56</v>
      </c>
      <c r="AG133" s="58">
        <v>19</v>
      </c>
      <c r="AH133" s="1082">
        <f t="shared" si="49"/>
        <v>320</v>
      </c>
      <c r="AI133" s="1081">
        <f t="shared" si="49"/>
        <v>140</v>
      </c>
      <c r="AJ133" s="734">
        <v>4</v>
      </c>
      <c r="AK133" s="58">
        <v>2</v>
      </c>
      <c r="AL133" s="58">
        <v>0</v>
      </c>
      <c r="AM133" s="59">
        <v>0</v>
      </c>
      <c r="AN133" s="76"/>
    </row>
    <row r="134" spans="1:40" ht="17.100000000000001" customHeight="1">
      <c r="A134" s="168" t="s">
        <v>154</v>
      </c>
      <c r="B134" s="168" t="s">
        <v>10</v>
      </c>
      <c r="C134" s="168" t="s">
        <v>10</v>
      </c>
      <c r="D134" s="168" t="s">
        <v>4</v>
      </c>
      <c r="E134" s="168" t="s">
        <v>866</v>
      </c>
      <c r="F134" s="130">
        <v>36951</v>
      </c>
      <c r="G134" s="50" t="s">
        <v>4401</v>
      </c>
      <c r="H134" s="72">
        <v>12553</v>
      </c>
      <c r="I134" s="52">
        <v>21074</v>
      </c>
      <c r="J134" s="53" t="s">
        <v>867</v>
      </c>
      <c r="K134" s="53" t="s">
        <v>868</v>
      </c>
      <c r="L134" s="54" t="s">
        <v>869</v>
      </c>
      <c r="M134" s="755">
        <v>3</v>
      </c>
      <c r="N134" s="58">
        <v>4</v>
      </c>
      <c r="O134" s="58">
        <v>3</v>
      </c>
      <c r="P134" s="58">
        <v>4</v>
      </c>
      <c r="Q134" s="58">
        <v>4</v>
      </c>
      <c r="R134" s="58">
        <v>4</v>
      </c>
      <c r="S134" s="58">
        <v>1</v>
      </c>
      <c r="T134" s="58">
        <v>0</v>
      </c>
      <c r="U134" s="1081">
        <f t="shared" si="50"/>
        <v>23</v>
      </c>
      <c r="V134" s="734">
        <v>70</v>
      </c>
      <c r="W134" s="58">
        <v>37</v>
      </c>
      <c r="X134" s="58">
        <v>74</v>
      </c>
      <c r="Y134" s="58">
        <v>35</v>
      </c>
      <c r="Z134" s="58">
        <v>68</v>
      </c>
      <c r="AA134" s="58">
        <v>33</v>
      </c>
      <c r="AB134" s="58">
        <v>79</v>
      </c>
      <c r="AC134" s="58">
        <v>39</v>
      </c>
      <c r="AD134" s="58">
        <v>94</v>
      </c>
      <c r="AE134" s="58">
        <v>44</v>
      </c>
      <c r="AF134" s="58">
        <v>88</v>
      </c>
      <c r="AG134" s="58">
        <v>51</v>
      </c>
      <c r="AH134" s="1082">
        <f t="shared" si="49"/>
        <v>473</v>
      </c>
      <c r="AI134" s="1081">
        <f t="shared" si="49"/>
        <v>239</v>
      </c>
      <c r="AJ134" s="734">
        <v>6</v>
      </c>
      <c r="AK134" s="58">
        <v>0</v>
      </c>
      <c r="AL134" s="58">
        <v>0</v>
      </c>
      <c r="AM134" s="59">
        <v>0</v>
      </c>
      <c r="AN134" s="76"/>
    </row>
    <row r="135" spans="1:40" ht="17.100000000000001" customHeight="1">
      <c r="A135" s="167" t="s">
        <v>154</v>
      </c>
      <c r="B135" s="167" t="s">
        <v>10</v>
      </c>
      <c r="C135" s="168" t="s">
        <v>10</v>
      </c>
      <c r="D135" s="167" t="s">
        <v>4</v>
      </c>
      <c r="E135" s="168" t="s">
        <v>876</v>
      </c>
      <c r="F135" s="71">
        <v>37681</v>
      </c>
      <c r="G135" s="50" t="s">
        <v>4402</v>
      </c>
      <c r="H135" s="77">
        <v>12479</v>
      </c>
      <c r="I135" s="52">
        <v>21111</v>
      </c>
      <c r="J135" s="53" t="s">
        <v>899</v>
      </c>
      <c r="K135" s="53" t="s">
        <v>899</v>
      </c>
      <c r="L135" s="54" t="s">
        <v>877</v>
      </c>
      <c r="M135" s="755">
        <v>2</v>
      </c>
      <c r="N135" s="78">
        <v>2</v>
      </c>
      <c r="O135" s="78">
        <v>2</v>
      </c>
      <c r="P135" s="78">
        <v>2</v>
      </c>
      <c r="Q135" s="78">
        <v>2</v>
      </c>
      <c r="R135" s="78">
        <v>2</v>
      </c>
      <c r="S135" s="78">
        <v>2</v>
      </c>
      <c r="T135" s="78">
        <v>0</v>
      </c>
      <c r="U135" s="1081">
        <f t="shared" si="50"/>
        <v>14</v>
      </c>
      <c r="V135" s="79">
        <v>22</v>
      </c>
      <c r="W135" s="78">
        <v>10</v>
      </c>
      <c r="X135" s="78">
        <v>45</v>
      </c>
      <c r="Y135" s="78">
        <v>14</v>
      </c>
      <c r="Z135" s="78">
        <v>36</v>
      </c>
      <c r="AA135" s="78">
        <v>17</v>
      </c>
      <c r="AB135" s="78">
        <v>43</v>
      </c>
      <c r="AC135" s="78">
        <v>14</v>
      </c>
      <c r="AD135" s="78">
        <v>56</v>
      </c>
      <c r="AE135" s="78">
        <v>32</v>
      </c>
      <c r="AF135" s="78">
        <v>49</v>
      </c>
      <c r="AG135" s="78">
        <v>30</v>
      </c>
      <c r="AH135" s="1082">
        <f t="shared" si="49"/>
        <v>251</v>
      </c>
      <c r="AI135" s="1081">
        <f t="shared" si="49"/>
        <v>117</v>
      </c>
      <c r="AJ135" s="79">
        <v>7</v>
      </c>
      <c r="AK135" s="78">
        <v>2</v>
      </c>
      <c r="AL135" s="78">
        <v>0</v>
      </c>
      <c r="AM135" s="80">
        <v>0</v>
      </c>
      <c r="AN135" s="731"/>
    </row>
    <row r="136" spans="1:40" ht="17.100000000000001" customHeight="1">
      <c r="A136" s="167" t="s">
        <v>154</v>
      </c>
      <c r="B136" s="167" t="s">
        <v>10</v>
      </c>
      <c r="C136" s="168" t="s">
        <v>10</v>
      </c>
      <c r="D136" s="167" t="s">
        <v>4</v>
      </c>
      <c r="E136" s="168" t="s">
        <v>838</v>
      </c>
      <c r="F136" s="130">
        <v>16619</v>
      </c>
      <c r="G136" s="50" t="s">
        <v>4403</v>
      </c>
      <c r="H136" s="1085">
        <v>17480</v>
      </c>
      <c r="I136" s="52">
        <v>21021</v>
      </c>
      <c r="J136" s="53" t="s">
        <v>4404</v>
      </c>
      <c r="K136" s="53" t="s">
        <v>4405</v>
      </c>
      <c r="L136" s="54" t="s">
        <v>4406</v>
      </c>
      <c r="M136" s="755">
        <v>2</v>
      </c>
      <c r="N136" s="65">
        <v>2</v>
      </c>
      <c r="O136" s="65">
        <v>2</v>
      </c>
      <c r="P136" s="65">
        <v>3</v>
      </c>
      <c r="Q136" s="65">
        <v>3</v>
      </c>
      <c r="R136" s="65">
        <v>3</v>
      </c>
      <c r="S136" s="65">
        <v>2</v>
      </c>
      <c r="T136" s="58">
        <v>0</v>
      </c>
      <c r="U136" s="1081">
        <f t="shared" si="50"/>
        <v>17</v>
      </c>
      <c r="V136" s="736">
        <v>40</v>
      </c>
      <c r="W136" s="65">
        <v>20</v>
      </c>
      <c r="X136" s="65">
        <v>35</v>
      </c>
      <c r="Y136" s="65">
        <v>16</v>
      </c>
      <c r="Z136" s="65">
        <v>49</v>
      </c>
      <c r="AA136" s="65">
        <v>15</v>
      </c>
      <c r="AB136" s="65">
        <v>58</v>
      </c>
      <c r="AC136" s="65">
        <v>35</v>
      </c>
      <c r="AD136" s="65">
        <v>61</v>
      </c>
      <c r="AE136" s="65">
        <v>26</v>
      </c>
      <c r="AF136" s="65">
        <v>67</v>
      </c>
      <c r="AG136" s="65">
        <v>34</v>
      </c>
      <c r="AH136" s="1082">
        <f t="shared" si="49"/>
        <v>310</v>
      </c>
      <c r="AI136" s="1081">
        <f t="shared" si="49"/>
        <v>146</v>
      </c>
      <c r="AJ136" s="736">
        <v>8</v>
      </c>
      <c r="AK136" s="65">
        <v>1</v>
      </c>
      <c r="AL136" s="58">
        <v>0</v>
      </c>
      <c r="AM136" s="59">
        <v>0</v>
      </c>
      <c r="AN136" s="731"/>
    </row>
    <row r="137" spans="1:40" ht="17.100000000000001" customHeight="1">
      <c r="A137" s="168" t="s">
        <v>154</v>
      </c>
      <c r="B137" s="168" t="s">
        <v>10</v>
      </c>
      <c r="C137" s="168" t="s">
        <v>10</v>
      </c>
      <c r="D137" s="168" t="s">
        <v>4</v>
      </c>
      <c r="E137" s="168" t="s">
        <v>862</v>
      </c>
      <c r="F137" s="71">
        <v>35855</v>
      </c>
      <c r="G137" s="154" t="s">
        <v>863</v>
      </c>
      <c r="H137" s="1084">
        <v>11218</v>
      </c>
      <c r="I137" s="719">
        <v>21063</v>
      </c>
      <c r="J137" s="53" t="s">
        <v>864</v>
      </c>
      <c r="K137" s="746" t="s">
        <v>864</v>
      </c>
      <c r="L137" s="747" t="s">
        <v>4407</v>
      </c>
      <c r="M137" s="755">
        <v>2</v>
      </c>
      <c r="N137" s="58">
        <v>3</v>
      </c>
      <c r="O137" s="58">
        <v>3</v>
      </c>
      <c r="P137" s="58">
        <v>3</v>
      </c>
      <c r="Q137" s="58">
        <v>4</v>
      </c>
      <c r="R137" s="58">
        <v>5</v>
      </c>
      <c r="S137" s="58">
        <v>1</v>
      </c>
      <c r="T137" s="58">
        <v>0</v>
      </c>
      <c r="U137" s="1081">
        <f t="shared" si="50"/>
        <v>21</v>
      </c>
      <c r="V137" s="734">
        <v>41</v>
      </c>
      <c r="W137" s="58">
        <v>22</v>
      </c>
      <c r="X137" s="58">
        <v>61</v>
      </c>
      <c r="Y137" s="58">
        <v>27</v>
      </c>
      <c r="Z137" s="58">
        <v>58</v>
      </c>
      <c r="AA137" s="58">
        <v>25</v>
      </c>
      <c r="AB137" s="58">
        <v>78</v>
      </c>
      <c r="AC137" s="58">
        <v>42</v>
      </c>
      <c r="AD137" s="58">
        <v>101</v>
      </c>
      <c r="AE137" s="58">
        <v>51</v>
      </c>
      <c r="AF137" s="58">
        <v>111</v>
      </c>
      <c r="AG137" s="58">
        <v>54</v>
      </c>
      <c r="AH137" s="1082">
        <f t="shared" si="49"/>
        <v>450</v>
      </c>
      <c r="AI137" s="1081">
        <f t="shared" si="49"/>
        <v>221</v>
      </c>
      <c r="AJ137" s="734">
        <v>5</v>
      </c>
      <c r="AK137" s="58">
        <v>1</v>
      </c>
      <c r="AL137" s="58">
        <v>0</v>
      </c>
      <c r="AM137" s="59">
        <v>0</v>
      </c>
      <c r="AN137" s="76"/>
    </row>
    <row r="138" spans="1:40" ht="17.100000000000001" customHeight="1">
      <c r="A138" s="167" t="s">
        <v>154</v>
      </c>
      <c r="B138" s="167" t="s">
        <v>10</v>
      </c>
      <c r="C138" s="168" t="s">
        <v>10</v>
      </c>
      <c r="D138" s="167" t="s">
        <v>4</v>
      </c>
      <c r="E138" s="168" t="s">
        <v>4408</v>
      </c>
      <c r="F138" s="130">
        <v>33117</v>
      </c>
      <c r="G138" s="50" t="s">
        <v>4409</v>
      </c>
      <c r="H138" s="1085">
        <v>12707</v>
      </c>
      <c r="I138" s="52">
        <v>21508</v>
      </c>
      <c r="J138" s="53" t="s">
        <v>839</v>
      </c>
      <c r="K138" s="53" t="s">
        <v>840</v>
      </c>
      <c r="L138" s="54" t="s">
        <v>841</v>
      </c>
      <c r="M138" s="755">
        <v>2</v>
      </c>
      <c r="N138" s="65">
        <v>2</v>
      </c>
      <c r="O138" s="65">
        <v>2</v>
      </c>
      <c r="P138" s="65">
        <v>2</v>
      </c>
      <c r="Q138" s="65">
        <v>3</v>
      </c>
      <c r="R138" s="65">
        <v>2</v>
      </c>
      <c r="S138" s="65">
        <v>3</v>
      </c>
      <c r="T138" s="58">
        <v>0</v>
      </c>
      <c r="U138" s="1081">
        <f t="shared" si="50"/>
        <v>16</v>
      </c>
      <c r="V138" s="736">
        <v>21</v>
      </c>
      <c r="W138" s="65">
        <v>8</v>
      </c>
      <c r="X138" s="65">
        <v>45</v>
      </c>
      <c r="Y138" s="65">
        <v>24</v>
      </c>
      <c r="Z138" s="65">
        <v>25</v>
      </c>
      <c r="AA138" s="65">
        <v>10</v>
      </c>
      <c r="AB138" s="65">
        <v>37</v>
      </c>
      <c r="AC138" s="65">
        <v>21</v>
      </c>
      <c r="AD138" s="65">
        <v>53</v>
      </c>
      <c r="AE138" s="65">
        <v>33</v>
      </c>
      <c r="AF138" s="65">
        <v>53</v>
      </c>
      <c r="AG138" s="65">
        <v>31</v>
      </c>
      <c r="AH138" s="1082">
        <f t="shared" si="49"/>
        <v>234</v>
      </c>
      <c r="AI138" s="1081">
        <f t="shared" si="49"/>
        <v>127</v>
      </c>
      <c r="AJ138" s="1369">
        <v>13</v>
      </c>
      <c r="AK138" s="65">
        <v>3</v>
      </c>
      <c r="AL138" s="58">
        <v>0</v>
      </c>
      <c r="AM138" s="59">
        <v>0</v>
      </c>
      <c r="AN138" s="731"/>
    </row>
    <row r="139" spans="1:40" ht="17.100000000000001" customHeight="1">
      <c r="A139" s="168" t="s">
        <v>154</v>
      </c>
      <c r="B139" s="168" t="s">
        <v>10</v>
      </c>
      <c r="C139" s="168" t="s">
        <v>10</v>
      </c>
      <c r="D139" s="168" t="s">
        <v>4</v>
      </c>
      <c r="E139" s="168" t="s">
        <v>870</v>
      </c>
      <c r="F139" s="130">
        <v>37135</v>
      </c>
      <c r="G139" s="50" t="s">
        <v>4410</v>
      </c>
      <c r="H139" s="72">
        <v>15389</v>
      </c>
      <c r="I139" s="52">
        <v>21031</v>
      </c>
      <c r="J139" s="53" t="s">
        <v>871</v>
      </c>
      <c r="K139" s="53" t="s">
        <v>871</v>
      </c>
      <c r="L139" s="54" t="s">
        <v>4411</v>
      </c>
      <c r="M139" s="755">
        <v>2</v>
      </c>
      <c r="N139" s="58">
        <v>2</v>
      </c>
      <c r="O139" s="58">
        <v>2</v>
      </c>
      <c r="P139" s="58">
        <v>2</v>
      </c>
      <c r="Q139" s="58">
        <v>2</v>
      </c>
      <c r="R139" s="58">
        <v>2</v>
      </c>
      <c r="S139" s="58">
        <v>2</v>
      </c>
      <c r="T139" s="58">
        <v>0</v>
      </c>
      <c r="U139" s="1081">
        <f t="shared" si="50"/>
        <v>14</v>
      </c>
      <c r="V139" s="734">
        <v>30</v>
      </c>
      <c r="W139" s="58">
        <v>18</v>
      </c>
      <c r="X139" s="58">
        <v>39</v>
      </c>
      <c r="Y139" s="58">
        <v>24</v>
      </c>
      <c r="Z139" s="58">
        <v>29</v>
      </c>
      <c r="AA139" s="58">
        <v>11</v>
      </c>
      <c r="AB139" s="58">
        <v>49</v>
      </c>
      <c r="AC139" s="58">
        <v>23</v>
      </c>
      <c r="AD139" s="58">
        <v>44</v>
      </c>
      <c r="AE139" s="58">
        <v>16</v>
      </c>
      <c r="AF139" s="58">
        <v>48</v>
      </c>
      <c r="AG139" s="58">
        <v>19</v>
      </c>
      <c r="AH139" s="1082">
        <f t="shared" si="49"/>
        <v>239</v>
      </c>
      <c r="AI139" s="1081">
        <f t="shared" si="49"/>
        <v>111</v>
      </c>
      <c r="AJ139" s="734">
        <v>8</v>
      </c>
      <c r="AK139" s="58">
        <v>2</v>
      </c>
      <c r="AL139" s="58">
        <v>0</v>
      </c>
      <c r="AM139" s="59">
        <v>0</v>
      </c>
      <c r="AN139" s="76"/>
    </row>
    <row r="140" spans="1:40" ht="17.100000000000001" customHeight="1">
      <c r="A140" s="167" t="s">
        <v>154</v>
      </c>
      <c r="B140" s="167" t="s">
        <v>10</v>
      </c>
      <c r="C140" s="168" t="s">
        <v>10</v>
      </c>
      <c r="D140" s="167" t="s">
        <v>4</v>
      </c>
      <c r="E140" s="168" t="s">
        <v>4412</v>
      </c>
      <c r="F140" s="71">
        <v>39142</v>
      </c>
      <c r="G140" s="50" t="s">
        <v>4413</v>
      </c>
      <c r="H140" s="77">
        <v>10487</v>
      </c>
      <c r="I140" s="52">
        <v>21028</v>
      </c>
      <c r="J140" s="53" t="s">
        <v>891</v>
      </c>
      <c r="K140" s="53" t="s">
        <v>892</v>
      </c>
      <c r="L140" s="54" t="s">
        <v>1770</v>
      </c>
      <c r="M140" s="755">
        <v>2</v>
      </c>
      <c r="N140" s="78">
        <v>1</v>
      </c>
      <c r="O140" s="78">
        <v>1</v>
      </c>
      <c r="P140" s="78">
        <v>2</v>
      </c>
      <c r="Q140" s="78">
        <v>2</v>
      </c>
      <c r="R140" s="78">
        <v>2</v>
      </c>
      <c r="S140" s="78">
        <v>2</v>
      </c>
      <c r="T140" s="78">
        <v>0</v>
      </c>
      <c r="U140" s="1081">
        <f t="shared" si="50"/>
        <v>12</v>
      </c>
      <c r="V140" s="79">
        <v>22</v>
      </c>
      <c r="W140" s="78">
        <v>9</v>
      </c>
      <c r="X140" s="78">
        <v>13</v>
      </c>
      <c r="Y140" s="78">
        <v>4</v>
      </c>
      <c r="Z140" s="78">
        <v>16</v>
      </c>
      <c r="AA140" s="78">
        <v>6</v>
      </c>
      <c r="AB140" s="78">
        <v>27</v>
      </c>
      <c r="AC140" s="78">
        <v>7</v>
      </c>
      <c r="AD140" s="78">
        <v>35</v>
      </c>
      <c r="AE140" s="78">
        <v>12</v>
      </c>
      <c r="AF140" s="78">
        <v>41</v>
      </c>
      <c r="AG140" s="78">
        <v>20</v>
      </c>
      <c r="AH140" s="1082">
        <f t="shared" si="49"/>
        <v>154</v>
      </c>
      <c r="AI140" s="1081">
        <f t="shared" si="49"/>
        <v>58</v>
      </c>
      <c r="AJ140" s="79">
        <v>8</v>
      </c>
      <c r="AK140" s="78">
        <v>5</v>
      </c>
      <c r="AL140" s="78">
        <v>0</v>
      </c>
      <c r="AM140" s="80">
        <v>0</v>
      </c>
      <c r="AN140" s="731"/>
    </row>
    <row r="141" spans="1:40" ht="17.100000000000001" customHeight="1">
      <c r="A141" s="167" t="s">
        <v>154</v>
      </c>
      <c r="B141" s="167" t="s">
        <v>10</v>
      </c>
      <c r="C141" s="168" t="s">
        <v>10</v>
      </c>
      <c r="D141" s="167" t="s">
        <v>4</v>
      </c>
      <c r="E141" s="168" t="s">
        <v>842</v>
      </c>
      <c r="F141" s="130">
        <v>34029</v>
      </c>
      <c r="G141" s="50" t="s">
        <v>4414</v>
      </c>
      <c r="H141" s="1085">
        <v>10196</v>
      </c>
      <c r="I141" s="52">
        <v>21124</v>
      </c>
      <c r="J141" s="53" t="s">
        <v>843</v>
      </c>
      <c r="K141" s="53" t="s">
        <v>844</v>
      </c>
      <c r="L141" s="54" t="s">
        <v>845</v>
      </c>
      <c r="M141" s="755">
        <v>3</v>
      </c>
      <c r="N141" s="65">
        <v>2</v>
      </c>
      <c r="O141" s="65">
        <v>3</v>
      </c>
      <c r="P141" s="65">
        <v>4</v>
      </c>
      <c r="Q141" s="65">
        <v>4</v>
      </c>
      <c r="R141" s="65">
        <v>4</v>
      </c>
      <c r="S141" s="65">
        <v>2</v>
      </c>
      <c r="T141" s="58">
        <v>0</v>
      </c>
      <c r="U141" s="1081">
        <f t="shared" si="50"/>
        <v>22</v>
      </c>
      <c r="V141" s="736">
        <v>60</v>
      </c>
      <c r="W141" s="65">
        <v>31</v>
      </c>
      <c r="X141" s="65">
        <v>42</v>
      </c>
      <c r="Y141" s="65">
        <v>18</v>
      </c>
      <c r="Z141" s="65">
        <v>60</v>
      </c>
      <c r="AA141" s="65">
        <v>30</v>
      </c>
      <c r="AB141" s="65">
        <v>76</v>
      </c>
      <c r="AC141" s="65">
        <v>37</v>
      </c>
      <c r="AD141" s="65">
        <v>77</v>
      </c>
      <c r="AE141" s="65">
        <v>37</v>
      </c>
      <c r="AF141" s="65">
        <v>82</v>
      </c>
      <c r="AG141" s="65">
        <v>38</v>
      </c>
      <c r="AH141" s="1082">
        <f t="shared" si="49"/>
        <v>397</v>
      </c>
      <c r="AI141" s="1081">
        <f t="shared" si="49"/>
        <v>191</v>
      </c>
      <c r="AJ141" s="736">
        <v>7</v>
      </c>
      <c r="AK141" s="65">
        <v>2</v>
      </c>
      <c r="AL141" s="58">
        <v>0</v>
      </c>
      <c r="AM141" s="59">
        <v>0</v>
      </c>
      <c r="AN141" s="731"/>
    </row>
    <row r="142" spans="1:40" ht="17.100000000000001" customHeight="1">
      <c r="A142" s="168" t="s">
        <v>154</v>
      </c>
      <c r="B142" s="168" t="s">
        <v>10</v>
      </c>
      <c r="C142" s="168" t="s">
        <v>10</v>
      </c>
      <c r="D142" s="168" t="s">
        <v>4</v>
      </c>
      <c r="E142" s="168" t="s">
        <v>823</v>
      </c>
      <c r="F142" s="130">
        <v>30742</v>
      </c>
      <c r="G142" s="154" t="s">
        <v>824</v>
      </c>
      <c r="H142" s="1084">
        <v>14445</v>
      </c>
      <c r="I142" s="719">
        <v>21084</v>
      </c>
      <c r="J142" s="53" t="s">
        <v>825</v>
      </c>
      <c r="K142" s="746" t="s">
        <v>826</v>
      </c>
      <c r="L142" s="747" t="s">
        <v>827</v>
      </c>
      <c r="M142" s="755">
        <v>2</v>
      </c>
      <c r="N142" s="58">
        <v>2</v>
      </c>
      <c r="O142" s="58">
        <v>2</v>
      </c>
      <c r="P142" s="58">
        <v>2</v>
      </c>
      <c r="Q142" s="58">
        <v>2</v>
      </c>
      <c r="R142" s="58">
        <v>3</v>
      </c>
      <c r="S142" s="58">
        <v>2</v>
      </c>
      <c r="T142" s="58">
        <v>0</v>
      </c>
      <c r="U142" s="1081">
        <f t="shared" si="50"/>
        <v>15</v>
      </c>
      <c r="V142" s="734">
        <v>40</v>
      </c>
      <c r="W142" s="58">
        <v>23</v>
      </c>
      <c r="X142" s="58">
        <v>37</v>
      </c>
      <c r="Y142" s="58">
        <v>30</v>
      </c>
      <c r="Z142" s="58">
        <v>43</v>
      </c>
      <c r="AA142" s="58">
        <v>24</v>
      </c>
      <c r="AB142" s="58">
        <v>48</v>
      </c>
      <c r="AC142" s="58">
        <v>24</v>
      </c>
      <c r="AD142" s="58">
        <v>46</v>
      </c>
      <c r="AE142" s="58">
        <v>20</v>
      </c>
      <c r="AF142" s="58">
        <v>65</v>
      </c>
      <c r="AG142" s="58">
        <v>29</v>
      </c>
      <c r="AH142" s="1082">
        <f t="shared" si="49"/>
        <v>279</v>
      </c>
      <c r="AI142" s="1081">
        <f t="shared" si="49"/>
        <v>150</v>
      </c>
      <c r="AJ142" s="734">
        <v>10</v>
      </c>
      <c r="AK142" s="58">
        <v>5</v>
      </c>
      <c r="AL142" s="58">
        <v>0</v>
      </c>
      <c r="AM142" s="59">
        <v>0</v>
      </c>
      <c r="AN142" s="76"/>
    </row>
    <row r="143" spans="1:40" ht="17.100000000000001" customHeight="1">
      <c r="A143" s="167" t="s">
        <v>154</v>
      </c>
      <c r="B143" s="167" t="s">
        <v>10</v>
      </c>
      <c r="C143" s="168" t="s">
        <v>10</v>
      </c>
      <c r="D143" s="167" t="s">
        <v>4</v>
      </c>
      <c r="E143" s="168" t="s">
        <v>882</v>
      </c>
      <c r="F143" s="71">
        <v>38412</v>
      </c>
      <c r="G143" s="50" t="s">
        <v>4415</v>
      </c>
      <c r="H143" s="1085">
        <v>10665</v>
      </c>
      <c r="I143" s="52">
        <v>21043</v>
      </c>
      <c r="J143" s="53" t="s">
        <v>884</v>
      </c>
      <c r="K143" s="53" t="s">
        <v>884</v>
      </c>
      <c r="L143" s="54" t="s">
        <v>885</v>
      </c>
      <c r="M143" s="755">
        <v>1</v>
      </c>
      <c r="N143" s="65">
        <v>2</v>
      </c>
      <c r="O143" s="65">
        <v>1</v>
      </c>
      <c r="P143" s="65">
        <v>2</v>
      </c>
      <c r="Q143" s="65">
        <v>2</v>
      </c>
      <c r="R143" s="65">
        <v>2</v>
      </c>
      <c r="S143" s="65">
        <v>1</v>
      </c>
      <c r="T143" s="58">
        <v>0</v>
      </c>
      <c r="U143" s="1081">
        <f t="shared" si="50"/>
        <v>11</v>
      </c>
      <c r="V143" s="736">
        <v>16</v>
      </c>
      <c r="W143" s="65">
        <v>8</v>
      </c>
      <c r="X143" s="65">
        <v>22</v>
      </c>
      <c r="Y143" s="65">
        <v>11</v>
      </c>
      <c r="Z143" s="65">
        <v>11</v>
      </c>
      <c r="AA143" s="65">
        <v>6</v>
      </c>
      <c r="AB143" s="65">
        <v>24</v>
      </c>
      <c r="AC143" s="65">
        <v>15</v>
      </c>
      <c r="AD143" s="65">
        <v>27</v>
      </c>
      <c r="AE143" s="65">
        <v>14</v>
      </c>
      <c r="AF143" s="65">
        <v>28</v>
      </c>
      <c r="AG143" s="65">
        <v>14</v>
      </c>
      <c r="AH143" s="1082">
        <f t="shared" si="49"/>
        <v>128</v>
      </c>
      <c r="AI143" s="1081">
        <f t="shared" si="49"/>
        <v>68</v>
      </c>
      <c r="AJ143" s="1369">
        <v>5</v>
      </c>
      <c r="AK143" s="65">
        <v>2</v>
      </c>
      <c r="AL143" s="58">
        <v>0</v>
      </c>
      <c r="AM143" s="59">
        <v>0</v>
      </c>
      <c r="AN143" s="731"/>
    </row>
    <row r="144" spans="1:40" ht="17.100000000000001" customHeight="1">
      <c r="A144" s="168" t="s">
        <v>154</v>
      </c>
      <c r="B144" s="168" t="s">
        <v>10</v>
      </c>
      <c r="C144" s="168" t="s">
        <v>10</v>
      </c>
      <c r="D144" s="168" t="s">
        <v>4</v>
      </c>
      <c r="E144" s="168" t="s">
        <v>834</v>
      </c>
      <c r="F144" s="71">
        <v>32387</v>
      </c>
      <c r="G144" s="50" t="s">
        <v>4416</v>
      </c>
      <c r="H144" s="72">
        <v>11849</v>
      </c>
      <c r="I144" s="52">
        <v>21117</v>
      </c>
      <c r="J144" s="53" t="s">
        <v>4417</v>
      </c>
      <c r="K144" s="53" t="s">
        <v>4418</v>
      </c>
      <c r="L144" s="54" t="s">
        <v>4419</v>
      </c>
      <c r="M144" s="755">
        <v>4</v>
      </c>
      <c r="N144" s="58">
        <v>5</v>
      </c>
      <c r="O144" s="58">
        <v>5</v>
      </c>
      <c r="P144" s="58">
        <v>6</v>
      </c>
      <c r="Q144" s="58">
        <v>6</v>
      </c>
      <c r="R144" s="58">
        <v>5</v>
      </c>
      <c r="S144" s="58">
        <v>2</v>
      </c>
      <c r="T144" s="58">
        <v>0</v>
      </c>
      <c r="U144" s="1081">
        <f t="shared" si="50"/>
        <v>33</v>
      </c>
      <c r="V144" s="734">
        <v>99</v>
      </c>
      <c r="W144" s="58">
        <v>52</v>
      </c>
      <c r="X144" s="58">
        <v>106</v>
      </c>
      <c r="Y144" s="58">
        <v>61</v>
      </c>
      <c r="Z144" s="58">
        <v>99</v>
      </c>
      <c r="AA144" s="58">
        <v>39</v>
      </c>
      <c r="AB144" s="58">
        <v>128</v>
      </c>
      <c r="AC144" s="58">
        <v>62</v>
      </c>
      <c r="AD144" s="58">
        <v>129</v>
      </c>
      <c r="AE144" s="58">
        <v>66</v>
      </c>
      <c r="AF144" s="58">
        <v>117</v>
      </c>
      <c r="AG144" s="58">
        <v>57</v>
      </c>
      <c r="AH144" s="1082">
        <f t="shared" si="49"/>
        <v>678</v>
      </c>
      <c r="AI144" s="1081">
        <f t="shared" si="49"/>
        <v>337</v>
      </c>
      <c r="AJ144" s="734">
        <v>13</v>
      </c>
      <c r="AK144" s="58">
        <v>2</v>
      </c>
      <c r="AL144" s="58">
        <v>0</v>
      </c>
      <c r="AM144" s="59">
        <v>0</v>
      </c>
      <c r="AN144" s="76"/>
    </row>
    <row r="145" spans="1:40" ht="17.100000000000001" customHeight="1">
      <c r="A145" s="167" t="s">
        <v>154</v>
      </c>
      <c r="B145" s="167" t="s">
        <v>10</v>
      </c>
      <c r="C145" s="168" t="s">
        <v>10</v>
      </c>
      <c r="D145" s="167" t="s">
        <v>4</v>
      </c>
      <c r="E145" s="168" t="s">
        <v>865</v>
      </c>
      <c r="F145" s="71">
        <v>36069</v>
      </c>
      <c r="G145" s="50" t="s">
        <v>4420</v>
      </c>
      <c r="H145" s="77">
        <v>9348</v>
      </c>
      <c r="I145" s="52">
        <v>21109</v>
      </c>
      <c r="J145" s="53" t="s">
        <v>4421</v>
      </c>
      <c r="K145" s="53" t="s">
        <v>4422</v>
      </c>
      <c r="L145" s="54" t="s">
        <v>4423</v>
      </c>
      <c r="M145" s="755">
        <v>4</v>
      </c>
      <c r="N145" s="78">
        <v>4</v>
      </c>
      <c r="O145" s="78">
        <v>4</v>
      </c>
      <c r="P145" s="78">
        <v>5</v>
      </c>
      <c r="Q145" s="78">
        <v>5</v>
      </c>
      <c r="R145" s="78">
        <v>4</v>
      </c>
      <c r="S145" s="78">
        <v>2</v>
      </c>
      <c r="T145" s="78">
        <v>0</v>
      </c>
      <c r="U145" s="1081">
        <f t="shared" si="50"/>
        <v>28</v>
      </c>
      <c r="V145" s="79">
        <v>94</v>
      </c>
      <c r="W145" s="78">
        <v>39</v>
      </c>
      <c r="X145" s="78">
        <v>104</v>
      </c>
      <c r="Y145" s="78">
        <v>56</v>
      </c>
      <c r="Z145" s="78">
        <v>100</v>
      </c>
      <c r="AA145" s="78">
        <v>46</v>
      </c>
      <c r="AB145" s="78">
        <v>125</v>
      </c>
      <c r="AC145" s="78">
        <v>61</v>
      </c>
      <c r="AD145" s="78">
        <v>112</v>
      </c>
      <c r="AE145" s="78">
        <v>63</v>
      </c>
      <c r="AF145" s="78">
        <v>96</v>
      </c>
      <c r="AG145" s="78">
        <v>44</v>
      </c>
      <c r="AH145" s="1082">
        <f t="shared" si="49"/>
        <v>631</v>
      </c>
      <c r="AI145" s="1081">
        <f t="shared" si="49"/>
        <v>309</v>
      </c>
      <c r="AJ145" s="79">
        <v>9</v>
      </c>
      <c r="AK145" s="78">
        <v>3</v>
      </c>
      <c r="AL145" s="78">
        <v>0</v>
      </c>
      <c r="AM145" s="80">
        <v>0</v>
      </c>
      <c r="AN145" s="731"/>
    </row>
    <row r="146" spans="1:40" ht="17.100000000000001" customHeight="1">
      <c r="A146" s="167" t="s">
        <v>154</v>
      </c>
      <c r="B146" s="167" t="s">
        <v>10</v>
      </c>
      <c r="C146" s="168" t="s">
        <v>10</v>
      </c>
      <c r="D146" s="167" t="s">
        <v>4</v>
      </c>
      <c r="E146" s="168" t="s">
        <v>828</v>
      </c>
      <c r="F146" s="71">
        <v>31107</v>
      </c>
      <c r="G146" s="50" t="s">
        <v>4424</v>
      </c>
      <c r="H146" s="1085">
        <v>14386</v>
      </c>
      <c r="I146" s="52">
        <v>21095</v>
      </c>
      <c r="J146" s="53" t="s">
        <v>4425</v>
      </c>
      <c r="K146" s="53" t="s">
        <v>4426</v>
      </c>
      <c r="L146" s="54" t="s">
        <v>4427</v>
      </c>
      <c r="M146" s="755">
        <v>5</v>
      </c>
      <c r="N146" s="65">
        <v>4</v>
      </c>
      <c r="O146" s="65">
        <v>4</v>
      </c>
      <c r="P146" s="65">
        <v>4</v>
      </c>
      <c r="Q146" s="65">
        <v>3</v>
      </c>
      <c r="R146" s="65">
        <v>3</v>
      </c>
      <c r="S146" s="65">
        <v>2</v>
      </c>
      <c r="T146" s="58">
        <v>0</v>
      </c>
      <c r="U146" s="1081">
        <f t="shared" si="50"/>
        <v>25</v>
      </c>
      <c r="V146" s="736">
        <v>110</v>
      </c>
      <c r="W146" s="65">
        <v>49</v>
      </c>
      <c r="X146" s="65">
        <v>91</v>
      </c>
      <c r="Y146" s="65">
        <v>39</v>
      </c>
      <c r="Z146" s="65">
        <v>82</v>
      </c>
      <c r="AA146" s="65">
        <v>43</v>
      </c>
      <c r="AB146" s="65">
        <v>87</v>
      </c>
      <c r="AC146" s="65">
        <v>41</v>
      </c>
      <c r="AD146" s="65">
        <v>65</v>
      </c>
      <c r="AE146" s="65">
        <v>30</v>
      </c>
      <c r="AF146" s="65">
        <v>69</v>
      </c>
      <c r="AG146" s="65">
        <v>39</v>
      </c>
      <c r="AH146" s="1082">
        <f t="shared" si="49"/>
        <v>504</v>
      </c>
      <c r="AI146" s="1081">
        <f t="shared" si="49"/>
        <v>241</v>
      </c>
      <c r="AJ146" s="1369">
        <v>9</v>
      </c>
      <c r="AK146" s="65">
        <v>3</v>
      </c>
      <c r="AL146" s="58">
        <v>0</v>
      </c>
      <c r="AM146" s="59">
        <v>0</v>
      </c>
      <c r="AN146" s="731"/>
    </row>
    <row r="147" spans="1:40" ht="17.100000000000001" customHeight="1">
      <c r="A147" s="168" t="s">
        <v>154</v>
      </c>
      <c r="B147" s="168" t="s">
        <v>10</v>
      </c>
      <c r="C147" s="168" t="s">
        <v>10</v>
      </c>
      <c r="D147" s="168" t="s">
        <v>4</v>
      </c>
      <c r="E147" s="168" t="s">
        <v>829</v>
      </c>
      <c r="F147" s="130">
        <v>31472</v>
      </c>
      <c r="G147" s="154" t="s">
        <v>4428</v>
      </c>
      <c r="H147" s="1084">
        <v>11484</v>
      </c>
      <c r="I147" s="719">
        <v>21101</v>
      </c>
      <c r="J147" s="53" t="s">
        <v>4429</v>
      </c>
      <c r="K147" s="746" t="s">
        <v>4430</v>
      </c>
      <c r="L147" s="747" t="s">
        <v>4431</v>
      </c>
      <c r="M147" s="755">
        <v>2</v>
      </c>
      <c r="N147" s="58">
        <v>2</v>
      </c>
      <c r="O147" s="58">
        <v>2</v>
      </c>
      <c r="P147" s="58">
        <v>3</v>
      </c>
      <c r="Q147" s="58">
        <v>3</v>
      </c>
      <c r="R147" s="58">
        <v>3</v>
      </c>
      <c r="S147" s="58">
        <v>2</v>
      </c>
      <c r="T147" s="58">
        <v>0</v>
      </c>
      <c r="U147" s="1081">
        <f t="shared" si="50"/>
        <v>17</v>
      </c>
      <c r="V147" s="734">
        <v>41</v>
      </c>
      <c r="W147" s="58">
        <v>19</v>
      </c>
      <c r="X147" s="58">
        <v>35</v>
      </c>
      <c r="Y147" s="58">
        <v>20</v>
      </c>
      <c r="Z147" s="58">
        <v>44</v>
      </c>
      <c r="AA147" s="58">
        <v>25</v>
      </c>
      <c r="AB147" s="58">
        <v>50</v>
      </c>
      <c r="AC147" s="58">
        <v>26</v>
      </c>
      <c r="AD147" s="58">
        <v>56</v>
      </c>
      <c r="AE147" s="58">
        <v>24</v>
      </c>
      <c r="AF147" s="58">
        <v>73</v>
      </c>
      <c r="AG147" s="58">
        <v>30</v>
      </c>
      <c r="AH147" s="1082">
        <f t="shared" si="49"/>
        <v>299</v>
      </c>
      <c r="AI147" s="1081">
        <f t="shared" si="49"/>
        <v>144</v>
      </c>
      <c r="AJ147" s="734">
        <v>7</v>
      </c>
      <c r="AK147" s="58">
        <v>2</v>
      </c>
      <c r="AL147" s="58">
        <v>0</v>
      </c>
      <c r="AM147" s="59">
        <v>0</v>
      </c>
      <c r="AN147" s="76"/>
    </row>
    <row r="148" spans="1:40" ht="17.100000000000001" customHeight="1">
      <c r="A148" s="167" t="s">
        <v>154</v>
      </c>
      <c r="B148" s="167" t="s">
        <v>10</v>
      </c>
      <c r="C148" s="168" t="s">
        <v>10</v>
      </c>
      <c r="D148" s="167" t="s">
        <v>4</v>
      </c>
      <c r="E148" s="168" t="s">
        <v>819</v>
      </c>
      <c r="F148" s="71">
        <v>30011</v>
      </c>
      <c r="G148" s="50" t="s">
        <v>4432</v>
      </c>
      <c r="H148" s="1085">
        <v>16190</v>
      </c>
      <c r="I148" s="52">
        <v>21093</v>
      </c>
      <c r="J148" s="53" t="s">
        <v>820</v>
      </c>
      <c r="K148" s="53" t="s">
        <v>821</v>
      </c>
      <c r="L148" s="54" t="s">
        <v>822</v>
      </c>
      <c r="M148" s="755">
        <v>2</v>
      </c>
      <c r="N148" s="65">
        <v>2</v>
      </c>
      <c r="O148" s="65">
        <v>2</v>
      </c>
      <c r="P148" s="65">
        <v>2</v>
      </c>
      <c r="Q148" s="65">
        <v>2</v>
      </c>
      <c r="R148" s="65">
        <v>3</v>
      </c>
      <c r="S148" s="65">
        <v>1</v>
      </c>
      <c r="T148" s="58">
        <v>0</v>
      </c>
      <c r="U148" s="1081">
        <f t="shared" si="50"/>
        <v>14</v>
      </c>
      <c r="V148" s="736">
        <v>35</v>
      </c>
      <c r="W148" s="65">
        <v>13</v>
      </c>
      <c r="X148" s="65">
        <v>45</v>
      </c>
      <c r="Y148" s="65">
        <v>17</v>
      </c>
      <c r="Z148" s="65">
        <v>28</v>
      </c>
      <c r="AA148" s="65">
        <v>14</v>
      </c>
      <c r="AB148" s="65">
        <v>47</v>
      </c>
      <c r="AC148" s="65">
        <v>22</v>
      </c>
      <c r="AD148" s="65">
        <v>43</v>
      </c>
      <c r="AE148" s="65">
        <v>20</v>
      </c>
      <c r="AF148" s="65">
        <v>53</v>
      </c>
      <c r="AG148" s="65">
        <v>27</v>
      </c>
      <c r="AH148" s="1082">
        <f t="shared" si="49"/>
        <v>251</v>
      </c>
      <c r="AI148" s="1081">
        <f t="shared" si="49"/>
        <v>113</v>
      </c>
      <c r="AJ148" s="1369">
        <v>6</v>
      </c>
      <c r="AK148" s="65">
        <v>2</v>
      </c>
      <c r="AL148" s="58">
        <v>0</v>
      </c>
      <c r="AM148" s="59">
        <v>0</v>
      </c>
      <c r="AN148" s="731"/>
    </row>
    <row r="149" spans="1:40" ht="17.100000000000001" customHeight="1">
      <c r="A149" s="1625" t="s">
        <v>893</v>
      </c>
      <c r="B149" s="1626"/>
      <c r="C149" s="1066"/>
      <c r="D149" s="359" t="s">
        <v>894</v>
      </c>
      <c r="E149" s="283"/>
      <c r="F149" s="284"/>
      <c r="G149" s="181"/>
      <c r="H149" s="286"/>
      <c r="I149" s="287"/>
      <c r="J149" s="285"/>
      <c r="K149" s="285"/>
      <c r="L149" s="288"/>
      <c r="M149" s="330">
        <f>SUM(M123:M148)</f>
        <v>61</v>
      </c>
      <c r="N149" s="290">
        <f>SUM(N123:N148)</f>
        <v>64</v>
      </c>
      <c r="O149" s="290">
        <f t="shared" ref="O149:T149" si="51">SUM(O123:O148)</f>
        <v>62</v>
      </c>
      <c r="P149" s="290">
        <f t="shared" si="51"/>
        <v>74</v>
      </c>
      <c r="Q149" s="290">
        <f t="shared" si="51"/>
        <v>80</v>
      </c>
      <c r="R149" s="290">
        <f t="shared" si="51"/>
        <v>80</v>
      </c>
      <c r="S149" s="290">
        <f t="shared" si="51"/>
        <v>45</v>
      </c>
      <c r="T149" s="290">
        <f t="shared" si="51"/>
        <v>0</v>
      </c>
      <c r="U149" s="291">
        <f>SUM(U123:U148)</f>
        <v>466</v>
      </c>
      <c r="V149" s="289">
        <f>SUM(V123:V148)</f>
        <v>1199</v>
      </c>
      <c r="W149" s="290">
        <f>SUM(W123:W148)</f>
        <v>562</v>
      </c>
      <c r="X149" s="290">
        <f t="shared" ref="X149:AH149" si="52">SUM(X123:X148)</f>
        <v>1276</v>
      </c>
      <c r="Y149" s="290">
        <f t="shared" si="52"/>
        <v>626</v>
      </c>
      <c r="Z149" s="290">
        <f t="shared" si="52"/>
        <v>1237</v>
      </c>
      <c r="AA149" s="290">
        <f t="shared" si="52"/>
        <v>552</v>
      </c>
      <c r="AB149" s="290">
        <f t="shared" si="52"/>
        <v>1541</v>
      </c>
      <c r="AC149" s="290">
        <f t="shared" si="52"/>
        <v>762</v>
      </c>
      <c r="AD149" s="290">
        <f t="shared" si="52"/>
        <v>1674</v>
      </c>
      <c r="AE149" s="290">
        <f t="shared" si="52"/>
        <v>831</v>
      </c>
      <c r="AF149" s="290">
        <f t="shared" si="52"/>
        <v>1707</v>
      </c>
      <c r="AG149" s="290">
        <f t="shared" si="52"/>
        <v>841</v>
      </c>
      <c r="AH149" s="290">
        <f t="shared" si="52"/>
        <v>8634</v>
      </c>
      <c r="AI149" s="291">
        <f>SUM(AI123:AI148)</f>
        <v>4174</v>
      </c>
      <c r="AJ149" s="289">
        <f>SUM(AJ123:AJ148)</f>
        <v>201</v>
      </c>
      <c r="AK149" s="290">
        <f>SUM(AK123:AK148)</f>
        <v>56</v>
      </c>
      <c r="AL149" s="290">
        <f>SUM(AL123:AL148)</f>
        <v>0</v>
      </c>
      <c r="AM149" s="291">
        <f>SUM(AM123:AM148)</f>
        <v>0</v>
      </c>
      <c r="AN149" s="331"/>
    </row>
    <row r="150" spans="1:40" ht="17.100000000000001" customHeight="1">
      <c r="A150" s="1627" t="s">
        <v>895</v>
      </c>
      <c r="B150" s="1628"/>
      <c r="C150" s="1628"/>
      <c r="D150" s="1629"/>
      <c r="E150" s="360" t="s">
        <v>896</v>
      </c>
      <c r="F150" s="302"/>
      <c r="G150" s="222"/>
      <c r="H150" s="334"/>
      <c r="I150" s="305"/>
      <c r="J150" s="303"/>
      <c r="K150" s="303"/>
      <c r="L150" s="306"/>
      <c r="M150" s="335">
        <f>M122+M149</f>
        <v>65</v>
      </c>
      <c r="N150" s="310">
        <f>N122+N149</f>
        <v>68</v>
      </c>
      <c r="O150" s="310">
        <f t="shared" ref="O150:T150" si="53">O122+O149</f>
        <v>66</v>
      </c>
      <c r="P150" s="310">
        <f t="shared" si="53"/>
        <v>78</v>
      </c>
      <c r="Q150" s="310">
        <f t="shared" si="53"/>
        <v>84</v>
      </c>
      <c r="R150" s="310">
        <f t="shared" si="53"/>
        <v>84</v>
      </c>
      <c r="S150" s="310">
        <f t="shared" si="53"/>
        <v>46</v>
      </c>
      <c r="T150" s="310">
        <f t="shared" si="53"/>
        <v>0</v>
      </c>
      <c r="U150" s="309">
        <f>U122+U149</f>
        <v>491</v>
      </c>
      <c r="V150" s="336">
        <f>V122+V149</f>
        <v>1279</v>
      </c>
      <c r="W150" s="310">
        <f>W122+W149</f>
        <v>602</v>
      </c>
      <c r="X150" s="310">
        <f t="shared" ref="X150:AH150" si="54">X122+X149</f>
        <v>1356</v>
      </c>
      <c r="Y150" s="310">
        <f t="shared" si="54"/>
        <v>666</v>
      </c>
      <c r="Z150" s="310">
        <f t="shared" si="54"/>
        <v>1333</v>
      </c>
      <c r="AA150" s="310">
        <f t="shared" si="54"/>
        <v>600</v>
      </c>
      <c r="AB150" s="310">
        <f t="shared" si="54"/>
        <v>1637</v>
      </c>
      <c r="AC150" s="310">
        <f t="shared" si="54"/>
        <v>810</v>
      </c>
      <c r="AD150" s="310">
        <f t="shared" si="54"/>
        <v>1770</v>
      </c>
      <c r="AE150" s="310">
        <f t="shared" si="54"/>
        <v>879</v>
      </c>
      <c r="AF150" s="310">
        <f t="shared" si="54"/>
        <v>1802</v>
      </c>
      <c r="AG150" s="310">
        <f t="shared" si="54"/>
        <v>889</v>
      </c>
      <c r="AH150" s="310">
        <f t="shared" si="54"/>
        <v>9177</v>
      </c>
      <c r="AI150" s="309">
        <f>AI122+AI149</f>
        <v>4446</v>
      </c>
      <c r="AJ150" s="336">
        <f>AJ122+AJ149</f>
        <v>207</v>
      </c>
      <c r="AK150" s="310">
        <f>AK122+AK149</f>
        <v>59</v>
      </c>
      <c r="AL150" s="310">
        <f>AL122+AL149</f>
        <v>0</v>
      </c>
      <c r="AM150" s="309">
        <f>AM122+AM149</f>
        <v>0</v>
      </c>
      <c r="AN150" s="337"/>
    </row>
    <row r="151" spans="1:40" ht="17.100000000000001" customHeight="1">
      <c r="A151" s="168" t="s">
        <v>155</v>
      </c>
      <c r="B151" s="168" t="s">
        <v>8</v>
      </c>
      <c r="C151" s="168" t="s">
        <v>8</v>
      </c>
      <c r="D151" s="168" t="s">
        <v>4</v>
      </c>
      <c r="E151" s="168" t="s">
        <v>900</v>
      </c>
      <c r="F151" s="71">
        <v>32021</v>
      </c>
      <c r="G151" s="50" t="s">
        <v>4435</v>
      </c>
      <c r="H151" s="72">
        <v>15419</v>
      </c>
      <c r="I151" s="52">
        <v>21550</v>
      </c>
      <c r="J151" s="53" t="s">
        <v>4436</v>
      </c>
      <c r="K151" s="53" t="s">
        <v>4437</v>
      </c>
      <c r="L151" s="54" t="s">
        <v>1034</v>
      </c>
      <c r="M151" s="338">
        <v>2</v>
      </c>
      <c r="N151" s="73">
        <v>3</v>
      </c>
      <c r="O151" s="73">
        <v>3</v>
      </c>
      <c r="P151" s="73">
        <v>3</v>
      </c>
      <c r="Q151" s="73">
        <v>4</v>
      </c>
      <c r="R151" s="73">
        <v>3</v>
      </c>
      <c r="S151" s="73">
        <v>3</v>
      </c>
      <c r="T151" s="73">
        <v>0</v>
      </c>
      <c r="U151" s="131">
        <f>SUM(M151:T151)</f>
        <v>21</v>
      </c>
      <c r="V151" s="75">
        <v>36</v>
      </c>
      <c r="W151" s="73">
        <v>21</v>
      </c>
      <c r="X151" s="73">
        <v>49</v>
      </c>
      <c r="Y151" s="73">
        <v>27</v>
      </c>
      <c r="Z151" s="73">
        <v>52</v>
      </c>
      <c r="AA151" s="73">
        <v>23</v>
      </c>
      <c r="AB151" s="73">
        <v>58</v>
      </c>
      <c r="AC151" s="73">
        <v>33</v>
      </c>
      <c r="AD151" s="73">
        <v>94</v>
      </c>
      <c r="AE151" s="73">
        <v>42</v>
      </c>
      <c r="AF151" s="73">
        <v>72</v>
      </c>
      <c r="AG151" s="73">
        <v>26</v>
      </c>
      <c r="AH151" s="132">
        <f>V151+X151+Z151+AB151+AD151+AF151</f>
        <v>361</v>
      </c>
      <c r="AI151" s="131">
        <f>W151+Y151+AA151+AC151+AE151+AG151</f>
        <v>172</v>
      </c>
      <c r="AJ151" s="75">
        <v>13</v>
      </c>
      <c r="AK151" s="73">
        <v>5</v>
      </c>
      <c r="AL151" s="73">
        <v>0</v>
      </c>
      <c r="AM151" s="74">
        <v>0</v>
      </c>
      <c r="AN151" s="76"/>
    </row>
    <row r="152" spans="1:40" ht="17.100000000000001" customHeight="1">
      <c r="A152" s="168" t="s">
        <v>155</v>
      </c>
      <c r="B152" s="168" t="s">
        <v>8</v>
      </c>
      <c r="C152" s="168" t="s">
        <v>8</v>
      </c>
      <c r="D152" s="168" t="s">
        <v>4</v>
      </c>
      <c r="E152" s="168" t="s">
        <v>901</v>
      </c>
      <c r="F152" s="71">
        <v>26360</v>
      </c>
      <c r="G152" s="50" t="s">
        <v>4438</v>
      </c>
      <c r="H152" s="72">
        <v>16067</v>
      </c>
      <c r="I152" s="52">
        <v>21547</v>
      </c>
      <c r="J152" s="53" t="s">
        <v>902</v>
      </c>
      <c r="K152" s="53" t="s">
        <v>903</v>
      </c>
      <c r="L152" s="54" t="s">
        <v>904</v>
      </c>
      <c r="M152" s="338">
        <v>3</v>
      </c>
      <c r="N152" s="73">
        <v>3</v>
      </c>
      <c r="O152" s="73">
        <v>4</v>
      </c>
      <c r="P152" s="73">
        <v>3</v>
      </c>
      <c r="Q152" s="73">
        <v>4</v>
      </c>
      <c r="R152" s="73">
        <v>4</v>
      </c>
      <c r="S152" s="73">
        <v>3</v>
      </c>
      <c r="T152" s="73">
        <v>0</v>
      </c>
      <c r="U152" s="131">
        <f>SUM(M152:T152)</f>
        <v>24</v>
      </c>
      <c r="V152" s="75">
        <v>72</v>
      </c>
      <c r="W152" s="73">
        <v>26</v>
      </c>
      <c r="X152" s="73">
        <v>80</v>
      </c>
      <c r="Y152" s="73">
        <v>39</v>
      </c>
      <c r="Z152" s="73">
        <v>86</v>
      </c>
      <c r="AA152" s="73">
        <v>42</v>
      </c>
      <c r="AB152" s="73">
        <v>77</v>
      </c>
      <c r="AC152" s="73">
        <v>35</v>
      </c>
      <c r="AD152" s="73">
        <v>93</v>
      </c>
      <c r="AE152" s="73">
        <v>52</v>
      </c>
      <c r="AF152" s="73">
        <v>90</v>
      </c>
      <c r="AG152" s="73">
        <v>45</v>
      </c>
      <c r="AH152" s="132">
        <f t="shared" ref="AH152:AI189" si="55">V152+X152+Z152+AB152+AD152+AF152</f>
        <v>498</v>
      </c>
      <c r="AI152" s="131">
        <f t="shared" si="55"/>
        <v>239</v>
      </c>
      <c r="AJ152" s="311">
        <v>18</v>
      </c>
      <c r="AK152" s="73">
        <v>4</v>
      </c>
      <c r="AL152" s="73">
        <v>0</v>
      </c>
      <c r="AM152" s="74">
        <v>0</v>
      </c>
      <c r="AN152" s="76"/>
    </row>
    <row r="153" spans="1:40" ht="17.100000000000001" customHeight="1">
      <c r="A153" s="168" t="s">
        <v>155</v>
      </c>
      <c r="B153" s="168" t="s">
        <v>8</v>
      </c>
      <c r="C153" s="168" t="s">
        <v>8</v>
      </c>
      <c r="D153" s="168" t="s">
        <v>4</v>
      </c>
      <c r="E153" s="168" t="s">
        <v>905</v>
      </c>
      <c r="F153" s="71">
        <v>40057</v>
      </c>
      <c r="G153" s="50" t="s">
        <v>4439</v>
      </c>
      <c r="H153" s="72">
        <v>10146</v>
      </c>
      <c r="I153" s="52">
        <v>21685</v>
      </c>
      <c r="J153" s="53" t="s">
        <v>906</v>
      </c>
      <c r="K153" s="53" t="s">
        <v>907</v>
      </c>
      <c r="L153" s="54" t="s">
        <v>908</v>
      </c>
      <c r="M153" s="338">
        <v>3</v>
      </c>
      <c r="N153" s="73">
        <v>4</v>
      </c>
      <c r="O153" s="73">
        <v>5</v>
      </c>
      <c r="P153" s="73">
        <v>5</v>
      </c>
      <c r="Q153" s="73">
        <v>6</v>
      </c>
      <c r="R153" s="73">
        <v>6</v>
      </c>
      <c r="S153" s="73">
        <v>1</v>
      </c>
      <c r="T153" s="73">
        <v>0</v>
      </c>
      <c r="U153" s="131">
        <f t="shared" ref="U153:U189" si="56">SUM(M153:T153)</f>
        <v>30</v>
      </c>
      <c r="V153" s="75">
        <v>77</v>
      </c>
      <c r="W153" s="73">
        <v>38</v>
      </c>
      <c r="X153" s="73">
        <v>98</v>
      </c>
      <c r="Y153" s="73">
        <v>47</v>
      </c>
      <c r="Z153" s="73">
        <v>120</v>
      </c>
      <c r="AA153" s="73">
        <v>64</v>
      </c>
      <c r="AB153" s="73">
        <v>125</v>
      </c>
      <c r="AC153" s="73">
        <v>71</v>
      </c>
      <c r="AD153" s="73">
        <v>159</v>
      </c>
      <c r="AE153" s="73">
        <v>81</v>
      </c>
      <c r="AF153" s="73">
        <v>152</v>
      </c>
      <c r="AG153" s="73">
        <v>63</v>
      </c>
      <c r="AH153" s="132">
        <f t="shared" si="55"/>
        <v>731</v>
      </c>
      <c r="AI153" s="131">
        <f t="shared" si="55"/>
        <v>364</v>
      </c>
      <c r="AJ153" s="75">
        <v>6</v>
      </c>
      <c r="AK153" s="73">
        <v>0</v>
      </c>
      <c r="AL153" s="73">
        <v>0</v>
      </c>
      <c r="AM153" s="74">
        <v>0</v>
      </c>
      <c r="AN153" s="76"/>
    </row>
    <row r="154" spans="1:40" ht="17.100000000000001" customHeight="1">
      <c r="A154" s="168" t="s">
        <v>155</v>
      </c>
      <c r="B154" s="168" t="s">
        <v>8</v>
      </c>
      <c r="C154" s="168" t="s">
        <v>8</v>
      </c>
      <c r="D154" s="168" t="s">
        <v>4</v>
      </c>
      <c r="E154" s="168" t="s">
        <v>909</v>
      </c>
      <c r="F154" s="71">
        <v>30376</v>
      </c>
      <c r="G154" s="50" t="s">
        <v>1035</v>
      </c>
      <c r="H154" s="72">
        <v>14321</v>
      </c>
      <c r="I154" s="52">
        <v>21560</v>
      </c>
      <c r="J154" s="53" t="s">
        <v>910</v>
      </c>
      <c r="K154" s="53" t="s">
        <v>911</v>
      </c>
      <c r="L154" s="54" t="s">
        <v>1790</v>
      </c>
      <c r="M154" s="338">
        <v>6</v>
      </c>
      <c r="N154" s="73">
        <v>5</v>
      </c>
      <c r="O154" s="73">
        <v>5</v>
      </c>
      <c r="P154" s="73">
        <v>7</v>
      </c>
      <c r="Q154" s="73">
        <v>6</v>
      </c>
      <c r="R154" s="73">
        <v>7</v>
      </c>
      <c r="S154" s="73">
        <v>4</v>
      </c>
      <c r="T154" s="73">
        <v>0</v>
      </c>
      <c r="U154" s="131">
        <f t="shared" si="56"/>
        <v>40</v>
      </c>
      <c r="V154" s="75">
        <v>136</v>
      </c>
      <c r="W154" s="73">
        <v>62</v>
      </c>
      <c r="X154" s="73">
        <v>125</v>
      </c>
      <c r="Y154" s="73">
        <v>58</v>
      </c>
      <c r="Z154" s="73">
        <v>133</v>
      </c>
      <c r="AA154" s="73">
        <v>61</v>
      </c>
      <c r="AB154" s="73">
        <v>167</v>
      </c>
      <c r="AC154" s="73">
        <v>85</v>
      </c>
      <c r="AD154" s="73">
        <v>154</v>
      </c>
      <c r="AE154" s="73">
        <v>80</v>
      </c>
      <c r="AF154" s="73">
        <v>168</v>
      </c>
      <c r="AG154" s="73">
        <v>82</v>
      </c>
      <c r="AH154" s="132">
        <f t="shared" si="55"/>
        <v>883</v>
      </c>
      <c r="AI154" s="131">
        <f t="shared" si="55"/>
        <v>428</v>
      </c>
      <c r="AJ154" s="311">
        <v>25</v>
      </c>
      <c r="AK154" s="73">
        <v>10</v>
      </c>
      <c r="AL154" s="73">
        <v>0</v>
      </c>
      <c r="AM154" s="74">
        <v>0</v>
      </c>
      <c r="AN154" s="76"/>
    </row>
    <row r="155" spans="1:40" ht="17.100000000000001" customHeight="1">
      <c r="A155" s="168" t="s">
        <v>155</v>
      </c>
      <c r="B155" s="168" t="s">
        <v>8</v>
      </c>
      <c r="C155" s="168" t="s">
        <v>8</v>
      </c>
      <c r="D155" s="168" t="s">
        <v>4</v>
      </c>
      <c r="E155" s="168" t="s">
        <v>912</v>
      </c>
      <c r="F155" s="71">
        <v>19138</v>
      </c>
      <c r="G155" s="50" t="s">
        <v>1036</v>
      </c>
      <c r="H155" s="72">
        <v>13140</v>
      </c>
      <c r="I155" s="52">
        <v>21563</v>
      </c>
      <c r="J155" s="53" t="s">
        <v>913</v>
      </c>
      <c r="K155" s="53" t="s">
        <v>913</v>
      </c>
      <c r="L155" s="54" t="s">
        <v>914</v>
      </c>
      <c r="M155" s="338">
        <v>2</v>
      </c>
      <c r="N155" s="73">
        <v>2</v>
      </c>
      <c r="O155" s="73">
        <v>2</v>
      </c>
      <c r="P155" s="73">
        <v>4</v>
      </c>
      <c r="Q155" s="73">
        <v>4</v>
      </c>
      <c r="R155" s="73">
        <v>3</v>
      </c>
      <c r="S155" s="73">
        <v>2</v>
      </c>
      <c r="T155" s="73">
        <v>0</v>
      </c>
      <c r="U155" s="131">
        <f t="shared" si="56"/>
        <v>19</v>
      </c>
      <c r="V155" s="75">
        <v>22</v>
      </c>
      <c r="W155" s="73">
        <v>10</v>
      </c>
      <c r="X155" s="73">
        <v>35</v>
      </c>
      <c r="Y155" s="73">
        <v>20</v>
      </c>
      <c r="Z155" s="73">
        <v>33</v>
      </c>
      <c r="AA155" s="73">
        <v>19</v>
      </c>
      <c r="AB155" s="73">
        <v>64</v>
      </c>
      <c r="AC155" s="73">
        <v>25</v>
      </c>
      <c r="AD155" s="73">
        <v>61</v>
      </c>
      <c r="AE155" s="73">
        <v>29</v>
      </c>
      <c r="AF155" s="73">
        <v>53</v>
      </c>
      <c r="AG155" s="73">
        <v>25</v>
      </c>
      <c r="AH155" s="132">
        <f t="shared" si="55"/>
        <v>268</v>
      </c>
      <c r="AI155" s="131">
        <f t="shared" si="55"/>
        <v>128</v>
      </c>
      <c r="AJ155" s="311">
        <v>10</v>
      </c>
      <c r="AK155" s="73">
        <v>1</v>
      </c>
      <c r="AL155" s="73">
        <v>0</v>
      </c>
      <c r="AM155" s="74">
        <v>0</v>
      </c>
      <c r="AN155" s="76"/>
    </row>
    <row r="156" spans="1:40" s="339" customFormat="1" ht="17.100000000000001" customHeight="1">
      <c r="A156" s="168" t="s">
        <v>155</v>
      </c>
      <c r="B156" s="168" t="s">
        <v>8</v>
      </c>
      <c r="C156" s="168" t="s">
        <v>8</v>
      </c>
      <c r="D156" s="168" t="s">
        <v>4</v>
      </c>
      <c r="E156" s="168" t="s">
        <v>915</v>
      </c>
      <c r="F156" s="71">
        <v>33664</v>
      </c>
      <c r="G156" s="50" t="s">
        <v>4440</v>
      </c>
      <c r="H156" s="72">
        <v>11487</v>
      </c>
      <c r="I156" s="52">
        <v>21594</v>
      </c>
      <c r="J156" s="53" t="s">
        <v>916</v>
      </c>
      <c r="K156" s="53" t="s">
        <v>917</v>
      </c>
      <c r="L156" s="54" t="s">
        <v>918</v>
      </c>
      <c r="M156" s="338">
        <v>2</v>
      </c>
      <c r="N156" s="73">
        <v>2</v>
      </c>
      <c r="O156" s="73">
        <v>3</v>
      </c>
      <c r="P156" s="73">
        <v>2</v>
      </c>
      <c r="Q156" s="73">
        <v>3</v>
      </c>
      <c r="R156" s="73">
        <v>3</v>
      </c>
      <c r="S156" s="73">
        <v>2</v>
      </c>
      <c r="T156" s="73">
        <v>0</v>
      </c>
      <c r="U156" s="131">
        <f t="shared" si="56"/>
        <v>17</v>
      </c>
      <c r="V156" s="75">
        <v>37</v>
      </c>
      <c r="W156" s="73">
        <v>16</v>
      </c>
      <c r="X156" s="73">
        <v>30</v>
      </c>
      <c r="Y156" s="73">
        <v>14</v>
      </c>
      <c r="Z156" s="73">
        <v>50</v>
      </c>
      <c r="AA156" s="73">
        <v>28</v>
      </c>
      <c r="AB156" s="73">
        <v>50</v>
      </c>
      <c r="AC156" s="73">
        <v>23</v>
      </c>
      <c r="AD156" s="73">
        <v>57</v>
      </c>
      <c r="AE156" s="73">
        <v>28</v>
      </c>
      <c r="AF156" s="73">
        <v>67</v>
      </c>
      <c r="AG156" s="73">
        <v>32</v>
      </c>
      <c r="AH156" s="132">
        <f t="shared" si="55"/>
        <v>291</v>
      </c>
      <c r="AI156" s="131">
        <f t="shared" si="55"/>
        <v>141</v>
      </c>
      <c r="AJ156" s="75">
        <v>13</v>
      </c>
      <c r="AK156" s="73">
        <v>3</v>
      </c>
      <c r="AL156" s="73">
        <v>0</v>
      </c>
      <c r="AM156" s="74">
        <v>0</v>
      </c>
      <c r="AN156" s="76"/>
    </row>
    <row r="157" spans="1:40" ht="17.100000000000001" customHeight="1">
      <c r="A157" s="168" t="s">
        <v>155</v>
      </c>
      <c r="B157" s="168" t="s">
        <v>8</v>
      </c>
      <c r="C157" s="168" t="s">
        <v>8</v>
      </c>
      <c r="D157" s="168" t="s">
        <v>4</v>
      </c>
      <c r="E157" s="168" t="s">
        <v>919</v>
      </c>
      <c r="F157" s="71">
        <v>37316</v>
      </c>
      <c r="G157" s="50" t="s">
        <v>4441</v>
      </c>
      <c r="H157" s="72">
        <v>10942</v>
      </c>
      <c r="I157" s="52">
        <v>21627</v>
      </c>
      <c r="J157" s="53" t="s">
        <v>920</v>
      </c>
      <c r="K157" s="53" t="s">
        <v>920</v>
      </c>
      <c r="L157" s="54" t="s">
        <v>921</v>
      </c>
      <c r="M157" s="338">
        <v>2</v>
      </c>
      <c r="N157" s="73">
        <v>2</v>
      </c>
      <c r="O157" s="73">
        <v>3</v>
      </c>
      <c r="P157" s="73">
        <v>3</v>
      </c>
      <c r="Q157" s="73">
        <v>3</v>
      </c>
      <c r="R157" s="73">
        <v>4</v>
      </c>
      <c r="S157" s="73">
        <v>3</v>
      </c>
      <c r="T157" s="73">
        <v>0</v>
      </c>
      <c r="U157" s="131">
        <f t="shared" si="56"/>
        <v>20</v>
      </c>
      <c r="V157" s="75">
        <v>32</v>
      </c>
      <c r="W157" s="73">
        <v>17</v>
      </c>
      <c r="X157" s="73">
        <v>36</v>
      </c>
      <c r="Y157" s="73">
        <v>21</v>
      </c>
      <c r="Z157" s="73">
        <v>46</v>
      </c>
      <c r="AA157" s="73">
        <v>22</v>
      </c>
      <c r="AB157" s="73">
        <v>56</v>
      </c>
      <c r="AC157" s="73">
        <v>26</v>
      </c>
      <c r="AD157" s="73">
        <v>52</v>
      </c>
      <c r="AE157" s="73">
        <v>33</v>
      </c>
      <c r="AF157" s="73">
        <v>66</v>
      </c>
      <c r="AG157" s="73">
        <v>27</v>
      </c>
      <c r="AH157" s="132">
        <f t="shared" si="55"/>
        <v>288</v>
      </c>
      <c r="AI157" s="131">
        <f t="shared" si="55"/>
        <v>146</v>
      </c>
      <c r="AJ157" s="75">
        <v>14</v>
      </c>
      <c r="AK157" s="73">
        <v>4</v>
      </c>
      <c r="AL157" s="73">
        <v>0</v>
      </c>
      <c r="AM157" s="74">
        <v>0</v>
      </c>
      <c r="AN157" s="76"/>
    </row>
    <row r="158" spans="1:40" s="339" customFormat="1" ht="17.100000000000001" customHeight="1">
      <c r="A158" s="168" t="s">
        <v>155</v>
      </c>
      <c r="B158" s="168" t="s">
        <v>8</v>
      </c>
      <c r="C158" s="168" t="s">
        <v>8</v>
      </c>
      <c r="D158" s="168" t="s">
        <v>4</v>
      </c>
      <c r="E158" s="168" t="s">
        <v>922</v>
      </c>
      <c r="F158" s="71">
        <v>36220</v>
      </c>
      <c r="G158" s="50" t="s">
        <v>923</v>
      </c>
      <c r="H158" s="72">
        <v>11001</v>
      </c>
      <c r="I158" s="52">
        <v>21637</v>
      </c>
      <c r="J158" s="53" t="s">
        <v>924</v>
      </c>
      <c r="K158" s="53" t="s">
        <v>924</v>
      </c>
      <c r="L158" s="54" t="s">
        <v>925</v>
      </c>
      <c r="M158" s="338">
        <v>2</v>
      </c>
      <c r="N158" s="73">
        <v>3</v>
      </c>
      <c r="O158" s="73">
        <v>4</v>
      </c>
      <c r="P158" s="73">
        <v>5</v>
      </c>
      <c r="Q158" s="73">
        <v>5</v>
      </c>
      <c r="R158" s="73">
        <v>5</v>
      </c>
      <c r="S158" s="73">
        <v>3</v>
      </c>
      <c r="T158" s="73">
        <v>1</v>
      </c>
      <c r="U158" s="131">
        <f t="shared" si="56"/>
        <v>28</v>
      </c>
      <c r="V158" s="75">
        <v>40</v>
      </c>
      <c r="W158" s="73">
        <v>16</v>
      </c>
      <c r="X158" s="73">
        <v>61</v>
      </c>
      <c r="Y158" s="73">
        <v>37</v>
      </c>
      <c r="Z158" s="73">
        <v>76</v>
      </c>
      <c r="AA158" s="73">
        <v>40</v>
      </c>
      <c r="AB158" s="73">
        <v>87</v>
      </c>
      <c r="AC158" s="73">
        <v>40</v>
      </c>
      <c r="AD158" s="73">
        <v>97</v>
      </c>
      <c r="AE158" s="73">
        <v>44</v>
      </c>
      <c r="AF158" s="73">
        <v>100</v>
      </c>
      <c r="AG158" s="73">
        <v>44</v>
      </c>
      <c r="AH158" s="132">
        <f t="shared" si="55"/>
        <v>461</v>
      </c>
      <c r="AI158" s="131">
        <f t="shared" si="55"/>
        <v>221</v>
      </c>
      <c r="AJ158" s="311">
        <v>15</v>
      </c>
      <c r="AK158" s="73">
        <v>4</v>
      </c>
      <c r="AL158" s="73">
        <v>15</v>
      </c>
      <c r="AM158" s="74">
        <v>9</v>
      </c>
      <c r="AN158" s="76"/>
    </row>
    <row r="159" spans="1:40" ht="17.100000000000001" customHeight="1">
      <c r="A159" s="168" t="s">
        <v>155</v>
      </c>
      <c r="B159" s="168" t="s">
        <v>8</v>
      </c>
      <c r="C159" s="168" t="s">
        <v>8</v>
      </c>
      <c r="D159" s="168" t="s">
        <v>4</v>
      </c>
      <c r="E159" s="168" t="s">
        <v>926</v>
      </c>
      <c r="F159" s="71">
        <v>39326</v>
      </c>
      <c r="G159" s="50" t="s">
        <v>4442</v>
      </c>
      <c r="H159" s="72">
        <v>11543.4</v>
      </c>
      <c r="I159" s="52">
        <v>21664</v>
      </c>
      <c r="J159" s="53" t="s">
        <v>927</v>
      </c>
      <c r="K159" s="53" t="s">
        <v>928</v>
      </c>
      <c r="L159" s="54" t="s">
        <v>929</v>
      </c>
      <c r="M159" s="338">
        <v>3</v>
      </c>
      <c r="N159" s="73">
        <v>3</v>
      </c>
      <c r="O159" s="73">
        <v>3</v>
      </c>
      <c r="P159" s="73">
        <v>4</v>
      </c>
      <c r="Q159" s="73">
        <v>5</v>
      </c>
      <c r="R159" s="73">
        <v>4</v>
      </c>
      <c r="S159" s="73">
        <v>1</v>
      </c>
      <c r="T159" s="73">
        <v>0</v>
      </c>
      <c r="U159" s="131">
        <f t="shared" si="56"/>
        <v>23</v>
      </c>
      <c r="V159" s="75">
        <v>60</v>
      </c>
      <c r="W159" s="73">
        <v>33</v>
      </c>
      <c r="X159" s="73">
        <v>68</v>
      </c>
      <c r="Y159" s="73">
        <v>36</v>
      </c>
      <c r="Z159" s="73">
        <v>78</v>
      </c>
      <c r="AA159" s="73">
        <v>43</v>
      </c>
      <c r="AB159" s="73">
        <v>85</v>
      </c>
      <c r="AC159" s="73">
        <v>48</v>
      </c>
      <c r="AD159" s="73">
        <v>137</v>
      </c>
      <c r="AE159" s="73">
        <v>73</v>
      </c>
      <c r="AF159" s="73">
        <v>100</v>
      </c>
      <c r="AG159" s="73">
        <v>47</v>
      </c>
      <c r="AH159" s="132">
        <f t="shared" si="55"/>
        <v>528</v>
      </c>
      <c r="AI159" s="131">
        <f t="shared" si="55"/>
        <v>280</v>
      </c>
      <c r="AJ159" s="75">
        <v>5</v>
      </c>
      <c r="AK159" s="73">
        <v>2</v>
      </c>
      <c r="AL159" s="73">
        <v>0</v>
      </c>
      <c r="AM159" s="74">
        <v>0</v>
      </c>
      <c r="AN159" s="76"/>
    </row>
    <row r="160" spans="1:40" ht="17.100000000000001" customHeight="1">
      <c r="A160" s="168" t="s">
        <v>155</v>
      </c>
      <c r="B160" s="168" t="s">
        <v>8</v>
      </c>
      <c r="C160" s="168" t="s">
        <v>8</v>
      </c>
      <c r="D160" s="168" t="s">
        <v>4</v>
      </c>
      <c r="E160" s="168" t="s">
        <v>930</v>
      </c>
      <c r="F160" s="71">
        <v>34394</v>
      </c>
      <c r="G160" s="50" t="s">
        <v>4443</v>
      </c>
      <c r="H160" s="72">
        <v>11234</v>
      </c>
      <c r="I160" s="52">
        <v>21596</v>
      </c>
      <c r="J160" s="53" t="s">
        <v>931</v>
      </c>
      <c r="K160" s="53" t="s">
        <v>932</v>
      </c>
      <c r="L160" s="54" t="s">
        <v>933</v>
      </c>
      <c r="M160" s="338">
        <v>2</v>
      </c>
      <c r="N160" s="73">
        <v>2</v>
      </c>
      <c r="O160" s="73">
        <v>3</v>
      </c>
      <c r="P160" s="73">
        <v>3</v>
      </c>
      <c r="Q160" s="73">
        <v>3</v>
      </c>
      <c r="R160" s="73">
        <v>3</v>
      </c>
      <c r="S160" s="73">
        <v>1</v>
      </c>
      <c r="T160" s="73">
        <v>0</v>
      </c>
      <c r="U160" s="131">
        <f t="shared" si="56"/>
        <v>17</v>
      </c>
      <c r="V160" s="75">
        <v>28</v>
      </c>
      <c r="W160" s="73">
        <v>12</v>
      </c>
      <c r="X160" s="73">
        <v>33</v>
      </c>
      <c r="Y160" s="73">
        <v>14</v>
      </c>
      <c r="Z160" s="73">
        <v>55</v>
      </c>
      <c r="AA160" s="73">
        <v>34</v>
      </c>
      <c r="AB160" s="73">
        <v>61</v>
      </c>
      <c r="AC160" s="73">
        <v>31</v>
      </c>
      <c r="AD160" s="73">
        <v>61</v>
      </c>
      <c r="AE160" s="73">
        <v>29</v>
      </c>
      <c r="AF160" s="73">
        <v>70</v>
      </c>
      <c r="AG160" s="73">
        <v>34</v>
      </c>
      <c r="AH160" s="132">
        <f t="shared" si="55"/>
        <v>308</v>
      </c>
      <c r="AI160" s="131">
        <f t="shared" si="55"/>
        <v>154</v>
      </c>
      <c r="AJ160" s="75">
        <v>5</v>
      </c>
      <c r="AK160" s="73">
        <v>2</v>
      </c>
      <c r="AL160" s="73">
        <v>0</v>
      </c>
      <c r="AM160" s="74">
        <v>0</v>
      </c>
      <c r="AN160" s="76"/>
    </row>
    <row r="161" spans="1:40" ht="17.100000000000001" customHeight="1">
      <c r="A161" s="168" t="s">
        <v>155</v>
      </c>
      <c r="B161" s="168" t="s">
        <v>8</v>
      </c>
      <c r="C161" s="168" t="s">
        <v>8</v>
      </c>
      <c r="D161" s="168" t="s">
        <v>4</v>
      </c>
      <c r="E161" s="168" t="s">
        <v>934</v>
      </c>
      <c r="F161" s="71">
        <v>25993</v>
      </c>
      <c r="G161" s="50" t="s">
        <v>4444</v>
      </c>
      <c r="H161" s="72">
        <v>10822.3</v>
      </c>
      <c r="I161" s="52">
        <v>21656</v>
      </c>
      <c r="J161" s="53" t="s">
        <v>935</v>
      </c>
      <c r="K161" s="53" t="s">
        <v>936</v>
      </c>
      <c r="L161" s="54" t="s">
        <v>1037</v>
      </c>
      <c r="M161" s="338">
        <v>2</v>
      </c>
      <c r="N161" s="73">
        <v>2</v>
      </c>
      <c r="O161" s="73">
        <v>2</v>
      </c>
      <c r="P161" s="73">
        <v>2</v>
      </c>
      <c r="Q161" s="73">
        <v>3</v>
      </c>
      <c r="R161" s="73">
        <v>3</v>
      </c>
      <c r="S161" s="73">
        <v>2</v>
      </c>
      <c r="T161" s="73">
        <v>0</v>
      </c>
      <c r="U161" s="131">
        <f t="shared" si="56"/>
        <v>16</v>
      </c>
      <c r="V161" s="75">
        <v>37</v>
      </c>
      <c r="W161" s="73">
        <v>21</v>
      </c>
      <c r="X161" s="73">
        <v>38</v>
      </c>
      <c r="Y161" s="73">
        <v>16</v>
      </c>
      <c r="Z161" s="73">
        <v>42</v>
      </c>
      <c r="AA161" s="73">
        <v>21</v>
      </c>
      <c r="AB161" s="73">
        <v>38</v>
      </c>
      <c r="AC161" s="73">
        <v>15</v>
      </c>
      <c r="AD161" s="73">
        <v>69</v>
      </c>
      <c r="AE161" s="73">
        <v>29</v>
      </c>
      <c r="AF161" s="73">
        <v>68</v>
      </c>
      <c r="AG161" s="73">
        <v>42</v>
      </c>
      <c r="AH161" s="132">
        <f t="shared" si="55"/>
        <v>292</v>
      </c>
      <c r="AI161" s="131">
        <f t="shared" si="55"/>
        <v>144</v>
      </c>
      <c r="AJ161" s="311">
        <v>8</v>
      </c>
      <c r="AK161" s="73">
        <v>5</v>
      </c>
      <c r="AL161" s="73">
        <v>0</v>
      </c>
      <c r="AM161" s="74">
        <v>0</v>
      </c>
      <c r="AN161" s="76"/>
    </row>
    <row r="162" spans="1:40" ht="17.100000000000001" customHeight="1">
      <c r="A162" s="168" t="s">
        <v>155</v>
      </c>
      <c r="B162" s="168" t="s">
        <v>8</v>
      </c>
      <c r="C162" s="168" t="s">
        <v>8</v>
      </c>
      <c r="D162" s="168" t="s">
        <v>4</v>
      </c>
      <c r="E162" s="168" t="s">
        <v>937</v>
      </c>
      <c r="F162" s="71">
        <v>38961</v>
      </c>
      <c r="G162" s="50" t="s">
        <v>4445</v>
      </c>
      <c r="H162" s="72">
        <v>10026</v>
      </c>
      <c r="I162" s="52">
        <v>21651</v>
      </c>
      <c r="J162" s="53" t="s">
        <v>2374</v>
      </c>
      <c r="K162" s="53" t="s">
        <v>2375</v>
      </c>
      <c r="L162" s="54" t="s">
        <v>938</v>
      </c>
      <c r="M162" s="338">
        <v>3</v>
      </c>
      <c r="N162" s="73">
        <v>3</v>
      </c>
      <c r="O162" s="73">
        <v>3</v>
      </c>
      <c r="P162" s="73">
        <v>4</v>
      </c>
      <c r="Q162" s="73">
        <v>4</v>
      </c>
      <c r="R162" s="73">
        <v>3</v>
      </c>
      <c r="S162" s="73">
        <v>2</v>
      </c>
      <c r="T162" s="73">
        <v>0</v>
      </c>
      <c r="U162" s="131">
        <f t="shared" si="56"/>
        <v>22</v>
      </c>
      <c r="V162" s="75">
        <v>53</v>
      </c>
      <c r="W162" s="73">
        <v>23</v>
      </c>
      <c r="X162" s="73">
        <v>58</v>
      </c>
      <c r="Y162" s="73">
        <v>23</v>
      </c>
      <c r="Z162" s="73">
        <v>78</v>
      </c>
      <c r="AA162" s="73">
        <v>38</v>
      </c>
      <c r="AB162" s="73">
        <v>96</v>
      </c>
      <c r="AC162" s="73">
        <v>47</v>
      </c>
      <c r="AD162" s="73">
        <v>97</v>
      </c>
      <c r="AE162" s="73">
        <v>47</v>
      </c>
      <c r="AF162" s="73">
        <v>72</v>
      </c>
      <c r="AG162" s="73">
        <v>31</v>
      </c>
      <c r="AH162" s="132">
        <f t="shared" si="55"/>
        <v>454</v>
      </c>
      <c r="AI162" s="131">
        <f t="shared" si="55"/>
        <v>209</v>
      </c>
      <c r="AJ162" s="311">
        <v>10</v>
      </c>
      <c r="AK162" s="73">
        <v>3</v>
      </c>
      <c r="AL162" s="73">
        <v>0</v>
      </c>
      <c r="AM162" s="74">
        <v>0</v>
      </c>
      <c r="AN162" s="76"/>
    </row>
    <row r="163" spans="1:40" ht="17.100000000000001" customHeight="1">
      <c r="A163" s="168" t="s">
        <v>155</v>
      </c>
      <c r="B163" s="168" t="s">
        <v>8</v>
      </c>
      <c r="C163" s="168" t="s">
        <v>8</v>
      </c>
      <c r="D163" s="168" t="s">
        <v>4</v>
      </c>
      <c r="E163" s="168" t="s">
        <v>939</v>
      </c>
      <c r="F163" s="71">
        <v>29409</v>
      </c>
      <c r="G163" s="50" t="s">
        <v>1038</v>
      </c>
      <c r="H163" s="72">
        <v>11888</v>
      </c>
      <c r="I163" s="52">
        <v>21520</v>
      </c>
      <c r="J163" s="53" t="s">
        <v>940</v>
      </c>
      <c r="K163" s="53" t="s">
        <v>940</v>
      </c>
      <c r="L163" s="54" t="s">
        <v>941</v>
      </c>
      <c r="M163" s="338">
        <v>3</v>
      </c>
      <c r="N163" s="73">
        <v>2</v>
      </c>
      <c r="O163" s="73">
        <v>4</v>
      </c>
      <c r="P163" s="73">
        <v>3</v>
      </c>
      <c r="Q163" s="73">
        <v>4</v>
      </c>
      <c r="R163" s="73">
        <v>3</v>
      </c>
      <c r="S163" s="73">
        <v>3</v>
      </c>
      <c r="T163" s="73">
        <v>0</v>
      </c>
      <c r="U163" s="131">
        <f t="shared" si="56"/>
        <v>22</v>
      </c>
      <c r="V163" s="75">
        <v>51</v>
      </c>
      <c r="W163" s="73">
        <v>26</v>
      </c>
      <c r="X163" s="73">
        <v>49</v>
      </c>
      <c r="Y163" s="73">
        <v>23</v>
      </c>
      <c r="Z163" s="73">
        <v>74</v>
      </c>
      <c r="AA163" s="73">
        <v>37</v>
      </c>
      <c r="AB163" s="73">
        <v>61</v>
      </c>
      <c r="AC163" s="73">
        <v>36</v>
      </c>
      <c r="AD163" s="73">
        <v>81</v>
      </c>
      <c r="AE163" s="73">
        <v>37</v>
      </c>
      <c r="AF163" s="73">
        <v>65</v>
      </c>
      <c r="AG163" s="73">
        <v>35</v>
      </c>
      <c r="AH163" s="132">
        <f t="shared" si="55"/>
        <v>381</v>
      </c>
      <c r="AI163" s="131">
        <f t="shared" si="55"/>
        <v>194</v>
      </c>
      <c r="AJ163" s="75">
        <v>13</v>
      </c>
      <c r="AK163" s="73">
        <v>5</v>
      </c>
      <c r="AL163" s="73">
        <v>0</v>
      </c>
      <c r="AM163" s="74">
        <v>0</v>
      </c>
      <c r="AN163" s="76"/>
    </row>
    <row r="164" spans="1:40" ht="17.100000000000001" customHeight="1">
      <c r="A164" s="168" t="s">
        <v>155</v>
      </c>
      <c r="B164" s="168" t="s">
        <v>8</v>
      </c>
      <c r="C164" s="168" t="s">
        <v>8</v>
      </c>
      <c r="D164" s="168" t="s">
        <v>4</v>
      </c>
      <c r="E164" s="168" t="s">
        <v>942</v>
      </c>
      <c r="F164" s="71">
        <v>30376</v>
      </c>
      <c r="G164" s="50" t="s">
        <v>1039</v>
      </c>
      <c r="H164" s="72">
        <v>19263</v>
      </c>
      <c r="I164" s="52">
        <v>21524</v>
      </c>
      <c r="J164" s="53" t="s">
        <v>4446</v>
      </c>
      <c r="K164" s="53" t="s">
        <v>943</v>
      </c>
      <c r="L164" s="54" t="s">
        <v>944</v>
      </c>
      <c r="M164" s="338">
        <v>3</v>
      </c>
      <c r="N164" s="73">
        <v>3</v>
      </c>
      <c r="O164" s="73">
        <v>4</v>
      </c>
      <c r="P164" s="73">
        <v>4</v>
      </c>
      <c r="Q164" s="73">
        <v>5</v>
      </c>
      <c r="R164" s="73">
        <v>4</v>
      </c>
      <c r="S164" s="73">
        <v>2</v>
      </c>
      <c r="T164" s="73">
        <v>0</v>
      </c>
      <c r="U164" s="131">
        <f t="shared" si="56"/>
        <v>25</v>
      </c>
      <c r="V164" s="75">
        <v>67</v>
      </c>
      <c r="W164" s="73">
        <v>30</v>
      </c>
      <c r="X164" s="73">
        <v>71</v>
      </c>
      <c r="Y164" s="73">
        <v>35</v>
      </c>
      <c r="Z164" s="73">
        <v>89</v>
      </c>
      <c r="AA164" s="73">
        <v>44</v>
      </c>
      <c r="AB164" s="73">
        <v>104</v>
      </c>
      <c r="AC164" s="73">
        <v>59</v>
      </c>
      <c r="AD164" s="73">
        <v>112</v>
      </c>
      <c r="AE164" s="73">
        <v>50</v>
      </c>
      <c r="AF164" s="73">
        <v>100</v>
      </c>
      <c r="AG164" s="73">
        <v>47</v>
      </c>
      <c r="AH164" s="132">
        <f t="shared" si="55"/>
        <v>543</v>
      </c>
      <c r="AI164" s="131">
        <f t="shared" si="55"/>
        <v>265</v>
      </c>
      <c r="AJ164" s="311">
        <v>7</v>
      </c>
      <c r="AK164" s="73">
        <v>4</v>
      </c>
      <c r="AL164" s="73">
        <v>0</v>
      </c>
      <c r="AM164" s="74">
        <v>0</v>
      </c>
      <c r="AN164" s="76"/>
    </row>
    <row r="165" spans="1:40" ht="17.100000000000001" customHeight="1">
      <c r="A165" s="168" t="s">
        <v>155</v>
      </c>
      <c r="B165" s="168" t="s">
        <v>8</v>
      </c>
      <c r="C165" s="168" t="s">
        <v>8</v>
      </c>
      <c r="D165" s="168" t="s">
        <v>4</v>
      </c>
      <c r="E165" s="168" t="s">
        <v>945</v>
      </c>
      <c r="F165" s="71">
        <v>11263</v>
      </c>
      <c r="G165" s="50" t="s">
        <v>946</v>
      </c>
      <c r="H165" s="72">
        <v>12155</v>
      </c>
      <c r="I165" s="52">
        <v>21591</v>
      </c>
      <c r="J165" s="53" t="s">
        <v>947</v>
      </c>
      <c r="K165" s="53" t="s">
        <v>948</v>
      </c>
      <c r="L165" s="54" t="s">
        <v>949</v>
      </c>
      <c r="M165" s="338">
        <v>2</v>
      </c>
      <c r="N165" s="73">
        <v>2</v>
      </c>
      <c r="O165" s="73">
        <v>2</v>
      </c>
      <c r="P165" s="73">
        <v>2</v>
      </c>
      <c r="Q165" s="73">
        <v>2</v>
      </c>
      <c r="R165" s="73">
        <v>2</v>
      </c>
      <c r="S165" s="73">
        <v>2</v>
      </c>
      <c r="T165" s="73">
        <v>0</v>
      </c>
      <c r="U165" s="131">
        <f t="shared" si="56"/>
        <v>14</v>
      </c>
      <c r="V165" s="75">
        <v>30</v>
      </c>
      <c r="W165" s="73">
        <v>20</v>
      </c>
      <c r="X165" s="73">
        <v>25</v>
      </c>
      <c r="Y165" s="73">
        <v>12</v>
      </c>
      <c r="Z165" s="73">
        <v>34</v>
      </c>
      <c r="AA165" s="73">
        <v>14</v>
      </c>
      <c r="AB165" s="73">
        <v>28</v>
      </c>
      <c r="AC165" s="73">
        <v>13</v>
      </c>
      <c r="AD165" s="73">
        <v>39</v>
      </c>
      <c r="AE165" s="73">
        <v>27</v>
      </c>
      <c r="AF165" s="73">
        <v>40</v>
      </c>
      <c r="AG165" s="73">
        <v>20</v>
      </c>
      <c r="AH165" s="132">
        <f t="shared" si="55"/>
        <v>196</v>
      </c>
      <c r="AI165" s="131">
        <f t="shared" si="55"/>
        <v>106</v>
      </c>
      <c r="AJ165" s="311">
        <v>9</v>
      </c>
      <c r="AK165" s="73">
        <v>2</v>
      </c>
      <c r="AL165" s="73">
        <v>0</v>
      </c>
      <c r="AM165" s="74">
        <v>0</v>
      </c>
      <c r="AN165" s="76"/>
    </row>
    <row r="166" spans="1:40" ht="17.100000000000001" customHeight="1">
      <c r="A166" s="168" t="s">
        <v>155</v>
      </c>
      <c r="B166" s="168" t="s">
        <v>8</v>
      </c>
      <c r="C166" s="168" t="s">
        <v>8</v>
      </c>
      <c r="D166" s="168" t="s">
        <v>4</v>
      </c>
      <c r="E166" s="168" t="s">
        <v>950</v>
      </c>
      <c r="F166" s="71">
        <v>32568</v>
      </c>
      <c r="G166" s="50" t="s">
        <v>951</v>
      </c>
      <c r="H166" s="72">
        <v>12000</v>
      </c>
      <c r="I166" s="52">
        <v>21586</v>
      </c>
      <c r="J166" s="53" t="s">
        <v>952</v>
      </c>
      <c r="K166" s="53" t="s">
        <v>953</v>
      </c>
      <c r="L166" s="54" t="s">
        <v>954</v>
      </c>
      <c r="M166" s="338">
        <v>5</v>
      </c>
      <c r="N166" s="73">
        <v>5</v>
      </c>
      <c r="O166" s="73">
        <v>6</v>
      </c>
      <c r="P166" s="73">
        <v>7</v>
      </c>
      <c r="Q166" s="73">
        <v>6</v>
      </c>
      <c r="R166" s="73">
        <v>7</v>
      </c>
      <c r="S166" s="73">
        <v>3</v>
      </c>
      <c r="T166" s="73">
        <v>0</v>
      </c>
      <c r="U166" s="131">
        <f t="shared" si="56"/>
        <v>39</v>
      </c>
      <c r="V166" s="75">
        <v>123</v>
      </c>
      <c r="W166" s="73">
        <v>57</v>
      </c>
      <c r="X166" s="73">
        <v>132</v>
      </c>
      <c r="Y166" s="73">
        <v>64</v>
      </c>
      <c r="Z166" s="73">
        <v>139</v>
      </c>
      <c r="AA166" s="73">
        <v>57</v>
      </c>
      <c r="AB166" s="73">
        <v>165</v>
      </c>
      <c r="AC166" s="73">
        <v>75</v>
      </c>
      <c r="AD166" s="73">
        <v>152</v>
      </c>
      <c r="AE166" s="73">
        <v>77</v>
      </c>
      <c r="AF166" s="73">
        <v>182</v>
      </c>
      <c r="AG166" s="73">
        <v>101</v>
      </c>
      <c r="AH166" s="132">
        <f t="shared" si="55"/>
        <v>893</v>
      </c>
      <c r="AI166" s="131">
        <f t="shared" si="55"/>
        <v>431</v>
      </c>
      <c r="AJ166" s="311">
        <v>11</v>
      </c>
      <c r="AK166" s="73">
        <v>8</v>
      </c>
      <c r="AL166" s="73">
        <v>0</v>
      </c>
      <c r="AM166" s="74">
        <v>0</v>
      </c>
      <c r="AN166" s="76"/>
    </row>
    <row r="167" spans="1:40" ht="17.100000000000001" customHeight="1">
      <c r="A167" s="168" t="s">
        <v>155</v>
      </c>
      <c r="B167" s="168" t="s">
        <v>8</v>
      </c>
      <c r="C167" s="168" t="s">
        <v>8</v>
      </c>
      <c r="D167" s="168" t="s">
        <v>4</v>
      </c>
      <c r="E167" s="168" t="s">
        <v>955</v>
      </c>
      <c r="F167" s="71">
        <v>40603</v>
      </c>
      <c r="G167" s="50" t="s">
        <v>3642</v>
      </c>
      <c r="H167" s="72">
        <v>10197</v>
      </c>
      <c r="I167" s="52">
        <v>21684</v>
      </c>
      <c r="J167" s="53" t="s">
        <v>956</v>
      </c>
      <c r="K167" s="53" t="s">
        <v>956</v>
      </c>
      <c r="L167" s="54" t="s">
        <v>957</v>
      </c>
      <c r="M167" s="338">
        <v>3</v>
      </c>
      <c r="N167" s="73">
        <v>3</v>
      </c>
      <c r="O167" s="73">
        <v>3</v>
      </c>
      <c r="P167" s="73">
        <v>4</v>
      </c>
      <c r="Q167" s="73">
        <v>4</v>
      </c>
      <c r="R167" s="73">
        <v>3</v>
      </c>
      <c r="S167" s="73">
        <v>2</v>
      </c>
      <c r="T167" s="73">
        <v>0</v>
      </c>
      <c r="U167" s="131">
        <f t="shared" si="56"/>
        <v>22</v>
      </c>
      <c r="V167" s="75">
        <v>59</v>
      </c>
      <c r="W167" s="73">
        <v>24</v>
      </c>
      <c r="X167" s="73">
        <v>74</v>
      </c>
      <c r="Y167" s="73">
        <v>37</v>
      </c>
      <c r="Z167" s="73">
        <v>71</v>
      </c>
      <c r="AA167" s="73">
        <v>27</v>
      </c>
      <c r="AB167" s="73">
        <v>100</v>
      </c>
      <c r="AC167" s="73">
        <v>47</v>
      </c>
      <c r="AD167" s="73">
        <v>96</v>
      </c>
      <c r="AE167" s="73">
        <v>50</v>
      </c>
      <c r="AF167" s="73">
        <v>78</v>
      </c>
      <c r="AG167" s="73">
        <v>39</v>
      </c>
      <c r="AH167" s="132">
        <f t="shared" si="55"/>
        <v>478</v>
      </c>
      <c r="AI167" s="131">
        <f t="shared" si="55"/>
        <v>224</v>
      </c>
      <c r="AJ167" s="311">
        <v>9</v>
      </c>
      <c r="AK167" s="73">
        <v>4</v>
      </c>
      <c r="AL167" s="73">
        <v>0</v>
      </c>
      <c r="AM167" s="74">
        <v>0</v>
      </c>
      <c r="AN167" s="76"/>
    </row>
    <row r="168" spans="1:40" ht="17.100000000000001" customHeight="1">
      <c r="A168" s="168" t="s">
        <v>155</v>
      </c>
      <c r="B168" s="168" t="s">
        <v>8</v>
      </c>
      <c r="C168" s="168" t="s">
        <v>8</v>
      </c>
      <c r="D168" s="168" t="s">
        <v>4</v>
      </c>
      <c r="E168" s="168" t="s">
        <v>958</v>
      </c>
      <c r="F168" s="71">
        <v>39508</v>
      </c>
      <c r="G168" s="50" t="s">
        <v>2376</v>
      </c>
      <c r="H168" s="72">
        <v>7060</v>
      </c>
      <c r="I168" s="52">
        <v>21548</v>
      </c>
      <c r="J168" s="53" t="s">
        <v>959</v>
      </c>
      <c r="K168" s="53" t="s">
        <v>960</v>
      </c>
      <c r="L168" s="54" t="s">
        <v>961</v>
      </c>
      <c r="M168" s="338">
        <v>3</v>
      </c>
      <c r="N168" s="73">
        <v>3</v>
      </c>
      <c r="O168" s="73">
        <v>3</v>
      </c>
      <c r="P168" s="73">
        <v>5</v>
      </c>
      <c r="Q168" s="73">
        <v>5</v>
      </c>
      <c r="R168" s="73">
        <v>6</v>
      </c>
      <c r="S168" s="73">
        <v>1</v>
      </c>
      <c r="T168" s="73">
        <v>0</v>
      </c>
      <c r="U168" s="131">
        <f t="shared" si="56"/>
        <v>26</v>
      </c>
      <c r="V168" s="75">
        <v>58</v>
      </c>
      <c r="W168" s="73">
        <v>33</v>
      </c>
      <c r="X168" s="73">
        <v>62</v>
      </c>
      <c r="Y168" s="73">
        <v>33</v>
      </c>
      <c r="Z168" s="73">
        <v>67</v>
      </c>
      <c r="AA168" s="73">
        <v>26</v>
      </c>
      <c r="AB168" s="73">
        <v>111</v>
      </c>
      <c r="AC168" s="73">
        <v>48</v>
      </c>
      <c r="AD168" s="73">
        <v>113</v>
      </c>
      <c r="AE168" s="73">
        <v>55</v>
      </c>
      <c r="AF168" s="73">
        <v>137</v>
      </c>
      <c r="AG168" s="73">
        <v>73</v>
      </c>
      <c r="AH168" s="132">
        <f t="shared" si="55"/>
        <v>548</v>
      </c>
      <c r="AI168" s="131">
        <f t="shared" si="55"/>
        <v>268</v>
      </c>
      <c r="AJ168" s="311">
        <v>6</v>
      </c>
      <c r="AK168" s="73">
        <v>3</v>
      </c>
      <c r="AL168" s="73">
        <v>0</v>
      </c>
      <c r="AM168" s="74">
        <v>0</v>
      </c>
      <c r="AN168" s="76"/>
    </row>
    <row r="169" spans="1:40" ht="17.100000000000001" customHeight="1">
      <c r="A169" s="168" t="s">
        <v>155</v>
      </c>
      <c r="B169" s="168" t="s">
        <v>8</v>
      </c>
      <c r="C169" s="168" t="s">
        <v>8</v>
      </c>
      <c r="D169" s="168" t="s">
        <v>4</v>
      </c>
      <c r="E169" s="168" t="s">
        <v>962</v>
      </c>
      <c r="F169" s="71">
        <v>38047</v>
      </c>
      <c r="G169" s="50" t="s">
        <v>4447</v>
      </c>
      <c r="H169" s="72">
        <v>8804</v>
      </c>
      <c r="I169" s="52">
        <v>21525</v>
      </c>
      <c r="J169" s="53" t="s">
        <v>963</v>
      </c>
      <c r="K169" s="53" t="s">
        <v>964</v>
      </c>
      <c r="L169" s="54" t="s">
        <v>965</v>
      </c>
      <c r="M169" s="338">
        <v>2</v>
      </c>
      <c r="N169" s="73">
        <v>2</v>
      </c>
      <c r="O169" s="73">
        <v>2</v>
      </c>
      <c r="P169" s="73">
        <v>3</v>
      </c>
      <c r="Q169" s="73">
        <v>3</v>
      </c>
      <c r="R169" s="73">
        <v>3</v>
      </c>
      <c r="S169" s="73">
        <v>2</v>
      </c>
      <c r="T169" s="73">
        <v>0</v>
      </c>
      <c r="U169" s="131">
        <f t="shared" si="56"/>
        <v>17</v>
      </c>
      <c r="V169" s="75">
        <v>29</v>
      </c>
      <c r="W169" s="73">
        <v>11</v>
      </c>
      <c r="X169" s="73">
        <v>44</v>
      </c>
      <c r="Y169" s="73">
        <v>27</v>
      </c>
      <c r="Z169" s="73">
        <v>41</v>
      </c>
      <c r="AA169" s="73">
        <v>19</v>
      </c>
      <c r="AB169" s="73">
        <v>62</v>
      </c>
      <c r="AC169" s="73">
        <v>28</v>
      </c>
      <c r="AD169" s="73">
        <v>70</v>
      </c>
      <c r="AE169" s="73">
        <v>40</v>
      </c>
      <c r="AF169" s="73">
        <v>55</v>
      </c>
      <c r="AG169" s="73">
        <v>32</v>
      </c>
      <c r="AH169" s="132">
        <f t="shared" si="55"/>
        <v>301</v>
      </c>
      <c r="AI169" s="131">
        <f t="shared" si="55"/>
        <v>157</v>
      </c>
      <c r="AJ169" s="75">
        <v>7</v>
      </c>
      <c r="AK169" s="73">
        <v>1</v>
      </c>
      <c r="AL169" s="73">
        <v>0</v>
      </c>
      <c r="AM169" s="74">
        <v>0</v>
      </c>
      <c r="AN169" s="76"/>
    </row>
    <row r="170" spans="1:40" ht="17.100000000000001" customHeight="1">
      <c r="A170" s="168" t="s">
        <v>155</v>
      </c>
      <c r="B170" s="168" t="s">
        <v>8</v>
      </c>
      <c r="C170" s="168" t="s">
        <v>8</v>
      </c>
      <c r="D170" s="168" t="s">
        <v>4</v>
      </c>
      <c r="E170" s="168" t="s">
        <v>966</v>
      </c>
      <c r="F170" s="71">
        <v>38047</v>
      </c>
      <c r="G170" s="50" t="s">
        <v>1040</v>
      </c>
      <c r="H170" s="72">
        <v>11925</v>
      </c>
      <c r="I170" s="52">
        <v>21605</v>
      </c>
      <c r="J170" s="53" t="s">
        <v>1041</v>
      </c>
      <c r="K170" s="53" t="s">
        <v>1042</v>
      </c>
      <c r="L170" s="54" t="s">
        <v>967</v>
      </c>
      <c r="M170" s="338">
        <v>3</v>
      </c>
      <c r="N170" s="73">
        <v>4</v>
      </c>
      <c r="O170" s="73">
        <v>4</v>
      </c>
      <c r="P170" s="73">
        <v>5</v>
      </c>
      <c r="Q170" s="73">
        <v>5</v>
      </c>
      <c r="R170" s="73">
        <v>6</v>
      </c>
      <c r="S170" s="73">
        <v>4</v>
      </c>
      <c r="T170" s="73">
        <v>0</v>
      </c>
      <c r="U170" s="131">
        <f t="shared" si="56"/>
        <v>31</v>
      </c>
      <c r="V170" s="75">
        <v>71</v>
      </c>
      <c r="W170" s="73">
        <v>35</v>
      </c>
      <c r="X170" s="73">
        <v>101</v>
      </c>
      <c r="Y170" s="73">
        <v>46</v>
      </c>
      <c r="Z170" s="73">
        <v>98</v>
      </c>
      <c r="AA170" s="73">
        <v>43</v>
      </c>
      <c r="AB170" s="73">
        <v>124</v>
      </c>
      <c r="AC170" s="73">
        <v>60</v>
      </c>
      <c r="AD170" s="73">
        <v>129</v>
      </c>
      <c r="AE170" s="73">
        <v>64</v>
      </c>
      <c r="AF170" s="73">
        <v>157</v>
      </c>
      <c r="AG170" s="73">
        <v>76</v>
      </c>
      <c r="AH170" s="132">
        <f t="shared" si="55"/>
        <v>680</v>
      </c>
      <c r="AI170" s="131">
        <f t="shared" si="55"/>
        <v>324</v>
      </c>
      <c r="AJ170" s="75">
        <v>22</v>
      </c>
      <c r="AK170" s="73">
        <v>3</v>
      </c>
      <c r="AL170" s="73">
        <v>0</v>
      </c>
      <c r="AM170" s="74">
        <v>0</v>
      </c>
      <c r="AN170" s="76"/>
    </row>
    <row r="171" spans="1:40" ht="17.100000000000001" customHeight="1">
      <c r="A171" s="168" t="s">
        <v>155</v>
      </c>
      <c r="B171" s="168" t="s">
        <v>8</v>
      </c>
      <c r="C171" s="168" t="s">
        <v>8</v>
      </c>
      <c r="D171" s="168" t="s">
        <v>4</v>
      </c>
      <c r="E171" s="168" t="s">
        <v>968</v>
      </c>
      <c r="F171" s="71">
        <v>32568</v>
      </c>
      <c r="G171" s="50" t="s">
        <v>4448</v>
      </c>
      <c r="H171" s="72">
        <v>11514</v>
      </c>
      <c r="I171" s="52">
        <v>21503</v>
      </c>
      <c r="J171" s="53" t="s">
        <v>969</v>
      </c>
      <c r="K171" s="53" t="s">
        <v>970</v>
      </c>
      <c r="L171" s="54" t="s">
        <v>971</v>
      </c>
      <c r="M171" s="338">
        <v>4</v>
      </c>
      <c r="N171" s="73">
        <v>4</v>
      </c>
      <c r="O171" s="73">
        <v>5</v>
      </c>
      <c r="P171" s="73">
        <v>5</v>
      </c>
      <c r="Q171" s="73">
        <v>6</v>
      </c>
      <c r="R171" s="73">
        <v>6</v>
      </c>
      <c r="S171" s="73">
        <v>2</v>
      </c>
      <c r="T171" s="73">
        <v>0</v>
      </c>
      <c r="U171" s="131">
        <f t="shared" si="56"/>
        <v>32</v>
      </c>
      <c r="V171" s="75">
        <v>85</v>
      </c>
      <c r="W171" s="73">
        <v>37</v>
      </c>
      <c r="X171" s="73">
        <v>103</v>
      </c>
      <c r="Y171" s="73">
        <v>55</v>
      </c>
      <c r="Z171" s="73">
        <v>118</v>
      </c>
      <c r="AA171" s="73">
        <v>58</v>
      </c>
      <c r="AB171" s="73">
        <v>122</v>
      </c>
      <c r="AC171" s="73">
        <v>62</v>
      </c>
      <c r="AD171" s="73">
        <v>150</v>
      </c>
      <c r="AE171" s="73">
        <v>63</v>
      </c>
      <c r="AF171" s="73">
        <v>145</v>
      </c>
      <c r="AG171" s="73">
        <v>76</v>
      </c>
      <c r="AH171" s="132">
        <f t="shared" si="55"/>
        <v>723</v>
      </c>
      <c r="AI171" s="131">
        <f t="shared" si="55"/>
        <v>351</v>
      </c>
      <c r="AJ171" s="311">
        <v>11</v>
      </c>
      <c r="AK171" s="73">
        <v>4</v>
      </c>
      <c r="AL171" s="73">
        <v>0</v>
      </c>
      <c r="AM171" s="74">
        <v>0</v>
      </c>
      <c r="AN171" s="76"/>
    </row>
    <row r="172" spans="1:40" ht="17.100000000000001" customHeight="1">
      <c r="A172" s="168" t="s">
        <v>155</v>
      </c>
      <c r="B172" s="168" t="s">
        <v>8</v>
      </c>
      <c r="C172" s="168" t="s">
        <v>8</v>
      </c>
      <c r="D172" s="168" t="s">
        <v>4</v>
      </c>
      <c r="E172" s="168" t="s">
        <v>2377</v>
      </c>
      <c r="F172" s="71">
        <v>29646</v>
      </c>
      <c r="G172" s="50" t="s">
        <v>972</v>
      </c>
      <c r="H172" s="72">
        <v>12869</v>
      </c>
      <c r="I172" s="52">
        <v>21561</v>
      </c>
      <c r="J172" s="53" t="s">
        <v>973</v>
      </c>
      <c r="K172" s="53" t="s">
        <v>974</v>
      </c>
      <c r="L172" s="54" t="s">
        <v>975</v>
      </c>
      <c r="M172" s="338">
        <v>5</v>
      </c>
      <c r="N172" s="73">
        <v>5</v>
      </c>
      <c r="O172" s="73">
        <v>6</v>
      </c>
      <c r="P172" s="73">
        <v>6</v>
      </c>
      <c r="Q172" s="73">
        <v>8</v>
      </c>
      <c r="R172" s="73">
        <v>7</v>
      </c>
      <c r="S172" s="73">
        <v>3</v>
      </c>
      <c r="T172" s="73">
        <v>0</v>
      </c>
      <c r="U172" s="131">
        <f t="shared" si="56"/>
        <v>40</v>
      </c>
      <c r="V172" s="75">
        <v>110</v>
      </c>
      <c r="W172" s="73">
        <v>50</v>
      </c>
      <c r="X172" s="73">
        <v>127</v>
      </c>
      <c r="Y172" s="73">
        <v>60</v>
      </c>
      <c r="Z172" s="73">
        <v>146</v>
      </c>
      <c r="AA172" s="73">
        <v>75</v>
      </c>
      <c r="AB172" s="73">
        <v>156</v>
      </c>
      <c r="AC172" s="73">
        <v>77</v>
      </c>
      <c r="AD172" s="73">
        <v>203</v>
      </c>
      <c r="AE172" s="73">
        <v>90</v>
      </c>
      <c r="AF172" s="73">
        <v>170</v>
      </c>
      <c r="AG172" s="73">
        <v>76</v>
      </c>
      <c r="AH172" s="132">
        <f t="shared" si="55"/>
        <v>912</v>
      </c>
      <c r="AI172" s="131">
        <f t="shared" si="55"/>
        <v>428</v>
      </c>
      <c r="AJ172" s="311">
        <v>13</v>
      </c>
      <c r="AK172" s="73">
        <v>8</v>
      </c>
      <c r="AL172" s="73">
        <v>0</v>
      </c>
      <c r="AM172" s="74">
        <v>0</v>
      </c>
      <c r="AN172" s="76"/>
    </row>
    <row r="173" spans="1:40" ht="17.100000000000001" customHeight="1">
      <c r="A173" s="168" t="s">
        <v>155</v>
      </c>
      <c r="B173" s="168" t="s">
        <v>8</v>
      </c>
      <c r="C173" s="168" t="s">
        <v>8</v>
      </c>
      <c r="D173" s="168" t="s">
        <v>4</v>
      </c>
      <c r="E173" s="168" t="s">
        <v>976</v>
      </c>
      <c r="F173" s="71">
        <v>36220</v>
      </c>
      <c r="G173" s="50" t="s">
        <v>1043</v>
      </c>
      <c r="H173" s="72">
        <v>12337</v>
      </c>
      <c r="I173" s="52">
        <v>21581</v>
      </c>
      <c r="J173" s="53" t="s">
        <v>977</v>
      </c>
      <c r="K173" s="53" t="s">
        <v>978</v>
      </c>
      <c r="L173" s="54" t="s">
        <v>979</v>
      </c>
      <c r="M173" s="338">
        <v>3</v>
      </c>
      <c r="N173" s="73">
        <v>3</v>
      </c>
      <c r="O173" s="73">
        <v>3</v>
      </c>
      <c r="P173" s="73">
        <v>5</v>
      </c>
      <c r="Q173" s="73">
        <v>4</v>
      </c>
      <c r="R173" s="73">
        <v>4</v>
      </c>
      <c r="S173" s="73">
        <v>2</v>
      </c>
      <c r="T173" s="73">
        <v>0</v>
      </c>
      <c r="U173" s="131">
        <f t="shared" si="56"/>
        <v>24</v>
      </c>
      <c r="V173" s="75">
        <v>65</v>
      </c>
      <c r="W173" s="73">
        <v>31</v>
      </c>
      <c r="X173" s="73">
        <v>62</v>
      </c>
      <c r="Y173" s="73">
        <v>24</v>
      </c>
      <c r="Z173" s="73">
        <v>72</v>
      </c>
      <c r="AA173" s="73">
        <v>32</v>
      </c>
      <c r="AB173" s="73">
        <v>106</v>
      </c>
      <c r="AC173" s="73">
        <v>52</v>
      </c>
      <c r="AD173" s="73">
        <v>100</v>
      </c>
      <c r="AE173" s="73">
        <v>52</v>
      </c>
      <c r="AF173" s="73">
        <v>94</v>
      </c>
      <c r="AG173" s="73">
        <v>42</v>
      </c>
      <c r="AH173" s="132">
        <f t="shared" si="55"/>
        <v>499</v>
      </c>
      <c r="AI173" s="131">
        <f t="shared" si="55"/>
        <v>233</v>
      </c>
      <c r="AJ173" s="75">
        <v>9</v>
      </c>
      <c r="AK173" s="73">
        <v>2</v>
      </c>
      <c r="AL173" s="73">
        <v>0</v>
      </c>
      <c r="AM173" s="74">
        <v>0</v>
      </c>
      <c r="AN173" s="76"/>
    </row>
    <row r="174" spans="1:40" ht="17.100000000000001" customHeight="1">
      <c r="A174" s="168" t="s">
        <v>155</v>
      </c>
      <c r="B174" s="168" t="s">
        <v>8</v>
      </c>
      <c r="C174" s="168" t="s">
        <v>8</v>
      </c>
      <c r="D174" s="168" t="s">
        <v>4</v>
      </c>
      <c r="E174" s="168" t="s">
        <v>980</v>
      </c>
      <c r="F174" s="71">
        <v>37316</v>
      </c>
      <c r="G174" s="50" t="s">
        <v>4449</v>
      </c>
      <c r="H174" s="72">
        <v>11875</v>
      </c>
      <c r="I174" s="52">
        <v>21669</v>
      </c>
      <c r="J174" s="53" t="s">
        <v>981</v>
      </c>
      <c r="K174" s="53" t="s">
        <v>982</v>
      </c>
      <c r="L174" s="54" t="s">
        <v>4450</v>
      </c>
      <c r="M174" s="338">
        <v>3</v>
      </c>
      <c r="N174" s="73">
        <v>3</v>
      </c>
      <c r="O174" s="73">
        <v>3</v>
      </c>
      <c r="P174" s="73">
        <v>3</v>
      </c>
      <c r="Q174" s="73">
        <v>4</v>
      </c>
      <c r="R174" s="73">
        <v>4</v>
      </c>
      <c r="S174" s="73">
        <v>3</v>
      </c>
      <c r="T174" s="73">
        <v>0</v>
      </c>
      <c r="U174" s="131">
        <f t="shared" si="56"/>
        <v>23</v>
      </c>
      <c r="V174" s="75">
        <v>73</v>
      </c>
      <c r="W174" s="73">
        <v>33</v>
      </c>
      <c r="X174" s="73">
        <v>69</v>
      </c>
      <c r="Y174" s="73">
        <v>29</v>
      </c>
      <c r="Z174" s="73">
        <v>71</v>
      </c>
      <c r="AA174" s="73">
        <v>33</v>
      </c>
      <c r="AB174" s="73">
        <v>70</v>
      </c>
      <c r="AC174" s="73">
        <v>30</v>
      </c>
      <c r="AD174" s="73">
        <v>100</v>
      </c>
      <c r="AE174" s="73">
        <v>55</v>
      </c>
      <c r="AF174" s="73">
        <v>105</v>
      </c>
      <c r="AG174" s="73">
        <v>46</v>
      </c>
      <c r="AH174" s="132">
        <f t="shared" si="55"/>
        <v>488</v>
      </c>
      <c r="AI174" s="131">
        <f t="shared" si="55"/>
        <v>226</v>
      </c>
      <c r="AJ174" s="311">
        <v>13</v>
      </c>
      <c r="AK174" s="73">
        <v>2</v>
      </c>
      <c r="AL174" s="73">
        <v>0</v>
      </c>
      <c r="AM174" s="74">
        <v>0</v>
      </c>
      <c r="AN174" s="76"/>
    </row>
    <row r="175" spans="1:40" ht="17.100000000000001" customHeight="1">
      <c r="A175" s="168" t="s">
        <v>155</v>
      </c>
      <c r="B175" s="168" t="s">
        <v>8</v>
      </c>
      <c r="C175" s="168" t="s">
        <v>8</v>
      </c>
      <c r="D175" s="168" t="s">
        <v>4</v>
      </c>
      <c r="E175" s="168" t="s">
        <v>983</v>
      </c>
      <c r="F175" s="71">
        <v>40603</v>
      </c>
      <c r="G175" s="50" t="s">
        <v>2378</v>
      </c>
      <c r="H175" s="72">
        <v>10990</v>
      </c>
      <c r="I175" s="52">
        <v>21679</v>
      </c>
      <c r="J175" s="53" t="s">
        <v>984</v>
      </c>
      <c r="K175" s="53" t="s">
        <v>985</v>
      </c>
      <c r="L175" s="54" t="s">
        <v>986</v>
      </c>
      <c r="M175" s="338">
        <v>2</v>
      </c>
      <c r="N175" s="73">
        <v>2</v>
      </c>
      <c r="O175" s="73">
        <v>2</v>
      </c>
      <c r="P175" s="73">
        <v>3</v>
      </c>
      <c r="Q175" s="73">
        <v>3</v>
      </c>
      <c r="R175" s="73">
        <v>3</v>
      </c>
      <c r="S175" s="73">
        <v>2</v>
      </c>
      <c r="T175" s="73">
        <v>0</v>
      </c>
      <c r="U175" s="131">
        <f t="shared" si="56"/>
        <v>17</v>
      </c>
      <c r="V175" s="75">
        <v>40</v>
      </c>
      <c r="W175" s="73">
        <v>20</v>
      </c>
      <c r="X175" s="73">
        <v>39</v>
      </c>
      <c r="Y175" s="73">
        <v>18</v>
      </c>
      <c r="Z175" s="73">
        <v>42</v>
      </c>
      <c r="AA175" s="73">
        <v>21</v>
      </c>
      <c r="AB175" s="73">
        <v>59</v>
      </c>
      <c r="AC175" s="73">
        <v>30</v>
      </c>
      <c r="AD175" s="73">
        <v>57</v>
      </c>
      <c r="AE175" s="73">
        <v>30</v>
      </c>
      <c r="AF175" s="73">
        <v>55</v>
      </c>
      <c r="AG175" s="73">
        <v>24</v>
      </c>
      <c r="AH175" s="132">
        <f t="shared" si="55"/>
        <v>292</v>
      </c>
      <c r="AI175" s="131">
        <f t="shared" si="55"/>
        <v>143</v>
      </c>
      <c r="AJ175" s="311">
        <v>7</v>
      </c>
      <c r="AK175" s="73">
        <v>2</v>
      </c>
      <c r="AL175" s="73">
        <v>0</v>
      </c>
      <c r="AM175" s="74">
        <v>0</v>
      </c>
      <c r="AN175" s="76"/>
    </row>
    <row r="176" spans="1:40" ht="17.100000000000001" customHeight="1">
      <c r="A176" s="168" t="s">
        <v>155</v>
      </c>
      <c r="B176" s="168" t="s">
        <v>8</v>
      </c>
      <c r="C176" s="168" t="s">
        <v>8</v>
      </c>
      <c r="D176" s="168" t="s">
        <v>4</v>
      </c>
      <c r="E176" s="168" t="s">
        <v>987</v>
      </c>
      <c r="F176" s="71">
        <v>37865</v>
      </c>
      <c r="G176" s="50" t="s">
        <v>4451</v>
      </c>
      <c r="H176" s="72">
        <v>13672</v>
      </c>
      <c r="I176" s="52">
        <v>21588</v>
      </c>
      <c r="J176" s="53" t="s">
        <v>4452</v>
      </c>
      <c r="K176" s="53" t="s">
        <v>988</v>
      </c>
      <c r="L176" s="54" t="s">
        <v>989</v>
      </c>
      <c r="M176" s="338">
        <v>2</v>
      </c>
      <c r="N176" s="73">
        <v>2</v>
      </c>
      <c r="O176" s="73">
        <v>2</v>
      </c>
      <c r="P176" s="73">
        <v>2</v>
      </c>
      <c r="Q176" s="73">
        <v>2</v>
      </c>
      <c r="R176" s="73">
        <v>2</v>
      </c>
      <c r="S176" s="73">
        <v>2</v>
      </c>
      <c r="T176" s="73">
        <v>0</v>
      </c>
      <c r="U176" s="131">
        <f t="shared" si="56"/>
        <v>14</v>
      </c>
      <c r="V176" s="75">
        <v>22</v>
      </c>
      <c r="W176" s="73">
        <v>11</v>
      </c>
      <c r="X176" s="73">
        <v>31</v>
      </c>
      <c r="Y176" s="73">
        <v>16</v>
      </c>
      <c r="Z176" s="73">
        <v>29</v>
      </c>
      <c r="AA176" s="73">
        <v>12</v>
      </c>
      <c r="AB176" s="73">
        <v>33</v>
      </c>
      <c r="AC176" s="73">
        <v>13</v>
      </c>
      <c r="AD176" s="73">
        <v>42</v>
      </c>
      <c r="AE176" s="73">
        <v>19</v>
      </c>
      <c r="AF176" s="73">
        <v>34</v>
      </c>
      <c r="AG176" s="73">
        <v>16</v>
      </c>
      <c r="AH176" s="132">
        <f t="shared" si="55"/>
        <v>191</v>
      </c>
      <c r="AI176" s="131">
        <f t="shared" si="55"/>
        <v>87</v>
      </c>
      <c r="AJ176" s="311">
        <v>11</v>
      </c>
      <c r="AK176" s="73">
        <v>4</v>
      </c>
      <c r="AL176" s="73">
        <v>0</v>
      </c>
      <c r="AM176" s="74">
        <v>0</v>
      </c>
      <c r="AN176" s="76"/>
    </row>
    <row r="177" spans="1:40" ht="17.100000000000001" customHeight="1">
      <c r="A177" s="168" t="s">
        <v>155</v>
      </c>
      <c r="B177" s="168" t="s">
        <v>8</v>
      </c>
      <c r="C177" s="168" t="s">
        <v>8</v>
      </c>
      <c r="D177" s="168" t="s">
        <v>4</v>
      </c>
      <c r="E177" s="168" t="s">
        <v>990</v>
      </c>
      <c r="F177" s="71">
        <v>30742</v>
      </c>
      <c r="G177" s="50" t="s">
        <v>4453</v>
      </c>
      <c r="H177" s="72">
        <v>10583.9</v>
      </c>
      <c r="I177" s="52">
        <v>21510</v>
      </c>
      <c r="J177" s="53" t="s">
        <v>991</v>
      </c>
      <c r="K177" s="53" t="s">
        <v>992</v>
      </c>
      <c r="L177" s="54" t="s">
        <v>993</v>
      </c>
      <c r="M177" s="338">
        <v>5</v>
      </c>
      <c r="N177" s="73">
        <v>5</v>
      </c>
      <c r="O177" s="73">
        <v>6</v>
      </c>
      <c r="P177" s="73">
        <v>6</v>
      </c>
      <c r="Q177" s="73">
        <v>7</v>
      </c>
      <c r="R177" s="73">
        <v>5</v>
      </c>
      <c r="S177" s="73">
        <v>3</v>
      </c>
      <c r="T177" s="73">
        <v>0</v>
      </c>
      <c r="U177" s="131">
        <f t="shared" si="56"/>
        <v>37</v>
      </c>
      <c r="V177" s="75">
        <v>75</v>
      </c>
      <c r="W177" s="73">
        <v>33</v>
      </c>
      <c r="X177" s="73">
        <v>83</v>
      </c>
      <c r="Y177" s="73">
        <v>38</v>
      </c>
      <c r="Z177" s="73">
        <v>97</v>
      </c>
      <c r="AA177" s="73">
        <v>52</v>
      </c>
      <c r="AB177" s="73">
        <v>92</v>
      </c>
      <c r="AC177" s="73">
        <v>45</v>
      </c>
      <c r="AD177" s="73">
        <v>120</v>
      </c>
      <c r="AE177" s="73">
        <v>55</v>
      </c>
      <c r="AF177" s="73">
        <v>84</v>
      </c>
      <c r="AG177" s="73">
        <v>42</v>
      </c>
      <c r="AH177" s="132">
        <f t="shared" si="55"/>
        <v>551</v>
      </c>
      <c r="AI177" s="131">
        <f t="shared" si="55"/>
        <v>265</v>
      </c>
      <c r="AJ177" s="75">
        <v>18</v>
      </c>
      <c r="AK177" s="73">
        <v>5</v>
      </c>
      <c r="AL177" s="73">
        <v>0</v>
      </c>
      <c r="AM177" s="74">
        <v>0</v>
      </c>
      <c r="AN177" s="76"/>
    </row>
    <row r="178" spans="1:40" ht="17.100000000000001" customHeight="1">
      <c r="A178" s="168" t="s">
        <v>155</v>
      </c>
      <c r="B178" s="168" t="s">
        <v>8</v>
      </c>
      <c r="C178" s="168" t="s">
        <v>8</v>
      </c>
      <c r="D178" s="168" t="s">
        <v>4</v>
      </c>
      <c r="E178" s="168" t="s">
        <v>994</v>
      </c>
      <c r="F178" s="71">
        <v>40603</v>
      </c>
      <c r="G178" s="50" t="s">
        <v>4454</v>
      </c>
      <c r="H178" s="72">
        <v>10484</v>
      </c>
      <c r="I178" s="52">
        <v>21675</v>
      </c>
      <c r="J178" s="53" t="s">
        <v>995</v>
      </c>
      <c r="K178" s="53" t="s">
        <v>995</v>
      </c>
      <c r="L178" s="54" t="s">
        <v>996</v>
      </c>
      <c r="M178" s="338">
        <v>4</v>
      </c>
      <c r="N178" s="73">
        <v>5</v>
      </c>
      <c r="O178" s="73">
        <v>5</v>
      </c>
      <c r="P178" s="73">
        <v>5</v>
      </c>
      <c r="Q178" s="73">
        <v>6</v>
      </c>
      <c r="R178" s="73">
        <v>6</v>
      </c>
      <c r="S178" s="73">
        <v>2</v>
      </c>
      <c r="T178" s="73">
        <v>0</v>
      </c>
      <c r="U178" s="131">
        <f t="shared" si="56"/>
        <v>33</v>
      </c>
      <c r="V178" s="75">
        <v>90</v>
      </c>
      <c r="W178" s="73">
        <v>39</v>
      </c>
      <c r="X178" s="73">
        <v>118</v>
      </c>
      <c r="Y178" s="73">
        <v>60</v>
      </c>
      <c r="Z178" s="73">
        <v>117</v>
      </c>
      <c r="AA178" s="73">
        <v>49</v>
      </c>
      <c r="AB178" s="73">
        <v>126</v>
      </c>
      <c r="AC178" s="73">
        <v>61</v>
      </c>
      <c r="AD178" s="73">
        <v>144</v>
      </c>
      <c r="AE178" s="73">
        <v>67</v>
      </c>
      <c r="AF178" s="73">
        <v>159</v>
      </c>
      <c r="AG178" s="73">
        <v>90</v>
      </c>
      <c r="AH178" s="132">
        <f t="shared" si="55"/>
        <v>754</v>
      </c>
      <c r="AI178" s="131">
        <f t="shared" si="55"/>
        <v>366</v>
      </c>
      <c r="AJ178" s="75">
        <v>8</v>
      </c>
      <c r="AK178" s="73">
        <v>3</v>
      </c>
      <c r="AL178" s="73">
        <v>0</v>
      </c>
      <c r="AM178" s="74">
        <v>0</v>
      </c>
      <c r="AN178" s="76"/>
    </row>
    <row r="179" spans="1:40" ht="17.100000000000001" customHeight="1">
      <c r="A179" s="168" t="s">
        <v>155</v>
      </c>
      <c r="B179" s="168" t="s">
        <v>8</v>
      </c>
      <c r="C179" s="168" t="s">
        <v>8</v>
      </c>
      <c r="D179" s="168" t="s">
        <v>4</v>
      </c>
      <c r="E179" s="168" t="s">
        <v>997</v>
      </c>
      <c r="F179" s="71">
        <v>39326</v>
      </c>
      <c r="G179" s="50" t="s">
        <v>4455</v>
      </c>
      <c r="H179" s="72">
        <v>10096</v>
      </c>
      <c r="I179" s="52">
        <v>21659</v>
      </c>
      <c r="J179" s="53" t="s">
        <v>4456</v>
      </c>
      <c r="K179" s="53" t="s">
        <v>998</v>
      </c>
      <c r="L179" s="54" t="s">
        <v>999</v>
      </c>
      <c r="M179" s="338">
        <v>2</v>
      </c>
      <c r="N179" s="73">
        <v>2</v>
      </c>
      <c r="O179" s="73">
        <v>2</v>
      </c>
      <c r="P179" s="73">
        <v>3</v>
      </c>
      <c r="Q179" s="73">
        <v>3</v>
      </c>
      <c r="R179" s="73">
        <v>4</v>
      </c>
      <c r="S179" s="73">
        <v>2</v>
      </c>
      <c r="T179" s="73">
        <v>0</v>
      </c>
      <c r="U179" s="131">
        <f t="shared" si="56"/>
        <v>18</v>
      </c>
      <c r="V179" s="75">
        <v>44</v>
      </c>
      <c r="W179" s="73">
        <v>21</v>
      </c>
      <c r="X179" s="73">
        <v>49</v>
      </c>
      <c r="Y179" s="73">
        <v>25</v>
      </c>
      <c r="Z179" s="73">
        <v>48</v>
      </c>
      <c r="AA179" s="73">
        <v>15</v>
      </c>
      <c r="AB179" s="73">
        <v>58</v>
      </c>
      <c r="AC179" s="73">
        <v>32</v>
      </c>
      <c r="AD179" s="73">
        <v>52</v>
      </c>
      <c r="AE179" s="73">
        <v>24</v>
      </c>
      <c r="AF179" s="73">
        <v>86</v>
      </c>
      <c r="AG179" s="73">
        <v>48</v>
      </c>
      <c r="AH179" s="132">
        <f t="shared" si="55"/>
        <v>337</v>
      </c>
      <c r="AI179" s="131">
        <f t="shared" si="55"/>
        <v>165</v>
      </c>
      <c r="AJ179" s="75">
        <v>10</v>
      </c>
      <c r="AK179" s="73">
        <v>2</v>
      </c>
      <c r="AL179" s="73">
        <v>0</v>
      </c>
      <c r="AM179" s="74">
        <v>0</v>
      </c>
      <c r="AN179" s="76"/>
    </row>
    <row r="180" spans="1:40" ht="17.100000000000001" customHeight="1">
      <c r="A180" s="168" t="s">
        <v>155</v>
      </c>
      <c r="B180" s="168" t="s">
        <v>8</v>
      </c>
      <c r="C180" s="168" t="s">
        <v>8</v>
      </c>
      <c r="D180" s="168" t="s">
        <v>4</v>
      </c>
      <c r="E180" s="168" t="s">
        <v>1000</v>
      </c>
      <c r="F180" s="71">
        <v>36586</v>
      </c>
      <c r="G180" s="50" t="s">
        <v>4457</v>
      </c>
      <c r="H180" s="72">
        <v>11405</v>
      </c>
      <c r="I180" s="52">
        <v>21518</v>
      </c>
      <c r="J180" s="53" t="s">
        <v>1001</v>
      </c>
      <c r="K180" s="53" t="s">
        <v>1002</v>
      </c>
      <c r="L180" s="54" t="s">
        <v>1003</v>
      </c>
      <c r="M180" s="338">
        <v>3</v>
      </c>
      <c r="N180" s="73">
        <v>4</v>
      </c>
      <c r="O180" s="73">
        <v>5</v>
      </c>
      <c r="P180" s="73">
        <v>5</v>
      </c>
      <c r="Q180" s="73">
        <v>6</v>
      </c>
      <c r="R180" s="73">
        <v>5</v>
      </c>
      <c r="S180" s="73">
        <v>2</v>
      </c>
      <c r="T180" s="73">
        <v>0</v>
      </c>
      <c r="U180" s="131">
        <f t="shared" si="56"/>
        <v>30</v>
      </c>
      <c r="V180" s="75">
        <v>79</v>
      </c>
      <c r="W180" s="73">
        <v>40</v>
      </c>
      <c r="X180" s="73">
        <v>101</v>
      </c>
      <c r="Y180" s="73">
        <v>49</v>
      </c>
      <c r="Z180" s="73">
        <v>115</v>
      </c>
      <c r="AA180" s="73">
        <v>61</v>
      </c>
      <c r="AB180" s="73">
        <v>131</v>
      </c>
      <c r="AC180" s="73">
        <v>67</v>
      </c>
      <c r="AD180" s="73">
        <v>140</v>
      </c>
      <c r="AE180" s="73">
        <v>63</v>
      </c>
      <c r="AF180" s="73">
        <v>126</v>
      </c>
      <c r="AG180" s="73">
        <v>58</v>
      </c>
      <c r="AH180" s="132">
        <f t="shared" si="55"/>
        <v>692</v>
      </c>
      <c r="AI180" s="131">
        <f t="shared" si="55"/>
        <v>338</v>
      </c>
      <c r="AJ180" s="311">
        <v>11</v>
      </c>
      <c r="AK180" s="73">
        <v>10</v>
      </c>
      <c r="AL180" s="73">
        <v>0</v>
      </c>
      <c r="AM180" s="74">
        <v>0</v>
      </c>
      <c r="AN180" s="76"/>
    </row>
    <row r="181" spans="1:40" ht="17.100000000000001" customHeight="1">
      <c r="A181" s="168" t="s">
        <v>155</v>
      </c>
      <c r="B181" s="168" t="s">
        <v>8</v>
      </c>
      <c r="C181" s="168" t="s">
        <v>8</v>
      </c>
      <c r="D181" s="168" t="s">
        <v>4</v>
      </c>
      <c r="E181" s="168" t="s">
        <v>1004</v>
      </c>
      <c r="F181" s="71">
        <v>32426</v>
      </c>
      <c r="G181" s="50" t="s">
        <v>1044</v>
      </c>
      <c r="H181" s="72">
        <v>13776.5</v>
      </c>
      <c r="I181" s="52">
        <v>21528</v>
      </c>
      <c r="J181" s="53" t="s">
        <v>1005</v>
      </c>
      <c r="K181" s="53" t="s">
        <v>4458</v>
      </c>
      <c r="L181" s="54" t="s">
        <v>1006</v>
      </c>
      <c r="M181" s="338">
        <v>1</v>
      </c>
      <c r="N181" s="73">
        <v>2</v>
      </c>
      <c r="O181" s="73">
        <v>2</v>
      </c>
      <c r="P181" s="73">
        <v>2</v>
      </c>
      <c r="Q181" s="73">
        <v>2</v>
      </c>
      <c r="R181" s="73">
        <v>3</v>
      </c>
      <c r="S181" s="73">
        <v>3</v>
      </c>
      <c r="T181" s="73">
        <v>0</v>
      </c>
      <c r="U181" s="131">
        <f t="shared" si="56"/>
        <v>15</v>
      </c>
      <c r="V181" s="75">
        <v>22</v>
      </c>
      <c r="W181" s="73">
        <v>9</v>
      </c>
      <c r="X181" s="73">
        <v>30</v>
      </c>
      <c r="Y181" s="73">
        <v>13</v>
      </c>
      <c r="Z181" s="73">
        <v>28</v>
      </c>
      <c r="AA181" s="73">
        <v>14</v>
      </c>
      <c r="AB181" s="73">
        <v>43</v>
      </c>
      <c r="AC181" s="73">
        <v>22</v>
      </c>
      <c r="AD181" s="73">
        <v>44</v>
      </c>
      <c r="AE181" s="73">
        <v>23</v>
      </c>
      <c r="AF181" s="73">
        <v>57</v>
      </c>
      <c r="AG181" s="73">
        <v>25</v>
      </c>
      <c r="AH181" s="132">
        <f t="shared" si="55"/>
        <v>224</v>
      </c>
      <c r="AI181" s="131">
        <f t="shared" si="55"/>
        <v>106</v>
      </c>
      <c r="AJ181" s="311">
        <v>10</v>
      </c>
      <c r="AK181" s="73">
        <v>5</v>
      </c>
      <c r="AL181" s="73">
        <v>0</v>
      </c>
      <c r="AM181" s="74">
        <v>0</v>
      </c>
      <c r="AN181" s="76"/>
    </row>
    <row r="182" spans="1:40" ht="17.100000000000001" customHeight="1">
      <c r="A182" s="168" t="s">
        <v>155</v>
      </c>
      <c r="B182" s="168" t="s">
        <v>8</v>
      </c>
      <c r="C182" s="168" t="s">
        <v>8</v>
      </c>
      <c r="D182" s="168" t="s">
        <v>4</v>
      </c>
      <c r="E182" s="168" t="s">
        <v>1007</v>
      </c>
      <c r="F182" s="71">
        <v>38838</v>
      </c>
      <c r="G182" s="50" t="s">
        <v>4459</v>
      </c>
      <c r="H182" s="72">
        <v>10145</v>
      </c>
      <c r="I182" s="52">
        <v>21662</v>
      </c>
      <c r="J182" s="53" t="s">
        <v>1008</v>
      </c>
      <c r="K182" s="53" t="s">
        <v>1008</v>
      </c>
      <c r="L182" s="54" t="s">
        <v>4460</v>
      </c>
      <c r="M182" s="338">
        <v>2</v>
      </c>
      <c r="N182" s="73">
        <v>2</v>
      </c>
      <c r="O182" s="73">
        <v>2</v>
      </c>
      <c r="P182" s="73">
        <v>2</v>
      </c>
      <c r="Q182" s="73">
        <v>2</v>
      </c>
      <c r="R182" s="73">
        <v>2</v>
      </c>
      <c r="S182" s="73">
        <v>2</v>
      </c>
      <c r="T182" s="73">
        <v>0</v>
      </c>
      <c r="U182" s="131">
        <f t="shared" si="56"/>
        <v>14</v>
      </c>
      <c r="V182" s="75">
        <v>23</v>
      </c>
      <c r="W182" s="73">
        <v>12</v>
      </c>
      <c r="X182" s="73">
        <v>25</v>
      </c>
      <c r="Y182" s="73">
        <v>9</v>
      </c>
      <c r="Z182" s="73">
        <v>37</v>
      </c>
      <c r="AA182" s="73">
        <v>13</v>
      </c>
      <c r="AB182" s="73">
        <v>54</v>
      </c>
      <c r="AC182" s="73">
        <v>29</v>
      </c>
      <c r="AD182" s="73">
        <v>49</v>
      </c>
      <c r="AE182" s="73">
        <v>24</v>
      </c>
      <c r="AF182" s="73">
        <v>48</v>
      </c>
      <c r="AG182" s="73">
        <v>27</v>
      </c>
      <c r="AH182" s="132">
        <f t="shared" si="55"/>
        <v>236</v>
      </c>
      <c r="AI182" s="131">
        <f t="shared" si="55"/>
        <v>114</v>
      </c>
      <c r="AJ182" s="311">
        <v>11</v>
      </c>
      <c r="AK182" s="73">
        <v>2</v>
      </c>
      <c r="AL182" s="73">
        <v>0</v>
      </c>
      <c r="AM182" s="74">
        <v>0</v>
      </c>
      <c r="AN182" s="76"/>
    </row>
    <row r="183" spans="1:40" s="339" customFormat="1" ht="17.100000000000001" customHeight="1">
      <c r="A183" s="168" t="s">
        <v>155</v>
      </c>
      <c r="B183" s="168" t="s">
        <v>8</v>
      </c>
      <c r="C183" s="168" t="s">
        <v>8</v>
      </c>
      <c r="D183" s="168" t="s">
        <v>4</v>
      </c>
      <c r="E183" s="168" t="s">
        <v>1009</v>
      </c>
      <c r="F183" s="71">
        <v>42248</v>
      </c>
      <c r="G183" s="50" t="s">
        <v>1010</v>
      </c>
      <c r="H183" s="72">
        <v>12861</v>
      </c>
      <c r="I183" s="52">
        <v>21614</v>
      </c>
      <c r="J183" s="53" t="s">
        <v>1011</v>
      </c>
      <c r="K183" s="53" t="s">
        <v>1011</v>
      </c>
      <c r="L183" s="54" t="s">
        <v>1012</v>
      </c>
      <c r="M183" s="338">
        <v>7</v>
      </c>
      <c r="N183" s="73">
        <v>7</v>
      </c>
      <c r="O183" s="73">
        <v>7</v>
      </c>
      <c r="P183" s="73">
        <v>10</v>
      </c>
      <c r="Q183" s="73">
        <v>10</v>
      </c>
      <c r="R183" s="73">
        <v>10</v>
      </c>
      <c r="S183" s="73">
        <v>2</v>
      </c>
      <c r="T183" s="73">
        <v>0</v>
      </c>
      <c r="U183" s="131">
        <f t="shared" si="56"/>
        <v>53</v>
      </c>
      <c r="V183" s="75">
        <v>182</v>
      </c>
      <c r="W183" s="73">
        <v>95</v>
      </c>
      <c r="X183" s="73">
        <v>181</v>
      </c>
      <c r="Y183" s="73">
        <v>86</v>
      </c>
      <c r="Z183" s="73">
        <v>178</v>
      </c>
      <c r="AA183" s="73">
        <v>73</v>
      </c>
      <c r="AB183" s="73">
        <v>259</v>
      </c>
      <c r="AC183" s="73">
        <v>127</v>
      </c>
      <c r="AD183" s="73">
        <v>259</v>
      </c>
      <c r="AE183" s="73">
        <v>132</v>
      </c>
      <c r="AF183" s="73">
        <v>254</v>
      </c>
      <c r="AG183" s="73">
        <v>111</v>
      </c>
      <c r="AH183" s="132">
        <f t="shared" si="55"/>
        <v>1313</v>
      </c>
      <c r="AI183" s="131">
        <f t="shared" si="55"/>
        <v>624</v>
      </c>
      <c r="AJ183" s="75">
        <v>11</v>
      </c>
      <c r="AK183" s="73">
        <v>6</v>
      </c>
      <c r="AL183" s="73">
        <v>0</v>
      </c>
      <c r="AM183" s="74">
        <v>0</v>
      </c>
      <c r="AN183" s="76"/>
    </row>
    <row r="184" spans="1:40" ht="17.100000000000001" customHeight="1">
      <c r="A184" s="168" t="s">
        <v>155</v>
      </c>
      <c r="B184" s="168" t="s">
        <v>8</v>
      </c>
      <c r="C184" s="168" t="s">
        <v>8</v>
      </c>
      <c r="D184" s="168" t="s">
        <v>4</v>
      </c>
      <c r="E184" s="168" t="s">
        <v>1013</v>
      </c>
      <c r="F184" s="71">
        <v>33298</v>
      </c>
      <c r="G184" s="50" t="s">
        <v>1033</v>
      </c>
      <c r="H184" s="72">
        <v>11883</v>
      </c>
      <c r="I184" s="52">
        <v>21541</v>
      </c>
      <c r="J184" s="53" t="s">
        <v>1014</v>
      </c>
      <c r="K184" s="53" t="s">
        <v>1015</v>
      </c>
      <c r="L184" s="54" t="s">
        <v>1016</v>
      </c>
      <c r="M184" s="338">
        <v>1</v>
      </c>
      <c r="N184" s="73">
        <v>1</v>
      </c>
      <c r="O184" s="73">
        <v>1</v>
      </c>
      <c r="P184" s="73">
        <v>1</v>
      </c>
      <c r="Q184" s="73">
        <v>1</v>
      </c>
      <c r="R184" s="73">
        <v>2</v>
      </c>
      <c r="S184" s="73">
        <v>1</v>
      </c>
      <c r="T184" s="73">
        <v>0</v>
      </c>
      <c r="U184" s="131">
        <f t="shared" si="56"/>
        <v>8</v>
      </c>
      <c r="V184" s="75">
        <v>12</v>
      </c>
      <c r="W184" s="73">
        <v>6</v>
      </c>
      <c r="X184" s="73">
        <v>6</v>
      </c>
      <c r="Y184" s="73">
        <v>3</v>
      </c>
      <c r="Z184" s="73">
        <v>15</v>
      </c>
      <c r="AA184" s="73">
        <v>4</v>
      </c>
      <c r="AB184" s="73">
        <v>15</v>
      </c>
      <c r="AC184" s="73">
        <v>3</v>
      </c>
      <c r="AD184" s="73">
        <v>10</v>
      </c>
      <c r="AE184" s="73">
        <v>5</v>
      </c>
      <c r="AF184" s="73">
        <v>23</v>
      </c>
      <c r="AG184" s="73">
        <v>12</v>
      </c>
      <c r="AH184" s="132">
        <f t="shared" si="55"/>
        <v>81</v>
      </c>
      <c r="AI184" s="131">
        <f t="shared" si="55"/>
        <v>33</v>
      </c>
      <c r="AJ184" s="75">
        <v>5</v>
      </c>
      <c r="AK184" s="73">
        <v>0</v>
      </c>
      <c r="AL184" s="73">
        <v>0</v>
      </c>
      <c r="AM184" s="74">
        <v>0</v>
      </c>
      <c r="AN184" s="76"/>
    </row>
    <row r="185" spans="1:40" ht="17.100000000000001" customHeight="1">
      <c r="A185" s="168" t="s">
        <v>155</v>
      </c>
      <c r="B185" s="168" t="s">
        <v>8</v>
      </c>
      <c r="C185" s="168" t="s">
        <v>8</v>
      </c>
      <c r="D185" s="168" t="s">
        <v>4</v>
      </c>
      <c r="E185" s="168" t="s">
        <v>1017</v>
      </c>
      <c r="F185" s="71">
        <v>43586</v>
      </c>
      <c r="G185" s="50" t="s">
        <v>4461</v>
      </c>
      <c r="H185" s="72">
        <v>12637</v>
      </c>
      <c r="I185" s="52">
        <v>21610</v>
      </c>
      <c r="J185" s="53" t="s">
        <v>4462</v>
      </c>
      <c r="K185" s="53" t="s">
        <v>4463</v>
      </c>
      <c r="L185" s="54" t="s">
        <v>4464</v>
      </c>
      <c r="M185" s="338">
        <v>5</v>
      </c>
      <c r="N185" s="73">
        <v>5</v>
      </c>
      <c r="O185" s="73">
        <v>7</v>
      </c>
      <c r="P185" s="73">
        <v>6</v>
      </c>
      <c r="Q185" s="73">
        <v>8</v>
      </c>
      <c r="R185" s="73">
        <v>8</v>
      </c>
      <c r="S185" s="73">
        <v>4</v>
      </c>
      <c r="T185" s="73">
        <v>0</v>
      </c>
      <c r="U185" s="131">
        <f t="shared" si="56"/>
        <v>43</v>
      </c>
      <c r="V185" s="75">
        <v>104</v>
      </c>
      <c r="W185" s="73">
        <v>59</v>
      </c>
      <c r="X185" s="73">
        <v>103</v>
      </c>
      <c r="Y185" s="73">
        <v>56</v>
      </c>
      <c r="Z185" s="73">
        <v>151</v>
      </c>
      <c r="AA185" s="73">
        <v>73</v>
      </c>
      <c r="AB185" s="73">
        <v>130</v>
      </c>
      <c r="AC185" s="73">
        <v>73</v>
      </c>
      <c r="AD185" s="73">
        <v>181</v>
      </c>
      <c r="AE185" s="73">
        <v>83</v>
      </c>
      <c r="AF185" s="73">
        <v>181</v>
      </c>
      <c r="AG185" s="73">
        <v>85</v>
      </c>
      <c r="AH185" s="132">
        <f t="shared" si="55"/>
        <v>850</v>
      </c>
      <c r="AI185" s="131">
        <f t="shared" si="55"/>
        <v>429</v>
      </c>
      <c r="AJ185" s="311">
        <v>23</v>
      </c>
      <c r="AK185" s="73">
        <v>9</v>
      </c>
      <c r="AL185" s="73">
        <v>0</v>
      </c>
      <c r="AM185" s="74">
        <v>0</v>
      </c>
      <c r="AN185" s="76"/>
    </row>
    <row r="186" spans="1:40" ht="17.100000000000001" customHeight="1">
      <c r="A186" s="168" t="s">
        <v>155</v>
      </c>
      <c r="B186" s="168" t="s">
        <v>8</v>
      </c>
      <c r="C186" s="168" t="s">
        <v>8</v>
      </c>
      <c r="D186" s="168" t="s">
        <v>4</v>
      </c>
      <c r="E186" s="168" t="s">
        <v>1018</v>
      </c>
      <c r="F186" s="71">
        <v>39326</v>
      </c>
      <c r="G186" s="50" t="s">
        <v>2379</v>
      </c>
      <c r="H186" s="72">
        <v>12502</v>
      </c>
      <c r="I186" s="52">
        <v>21562</v>
      </c>
      <c r="J186" s="53" t="s">
        <v>1019</v>
      </c>
      <c r="K186" s="53" t="s">
        <v>1020</v>
      </c>
      <c r="L186" s="54" t="s">
        <v>1021</v>
      </c>
      <c r="M186" s="338">
        <v>4</v>
      </c>
      <c r="N186" s="73">
        <v>5</v>
      </c>
      <c r="O186" s="73">
        <v>5</v>
      </c>
      <c r="P186" s="73">
        <v>6</v>
      </c>
      <c r="Q186" s="73">
        <v>7</v>
      </c>
      <c r="R186" s="73">
        <v>7</v>
      </c>
      <c r="S186" s="73">
        <v>1</v>
      </c>
      <c r="T186" s="73">
        <v>0</v>
      </c>
      <c r="U186" s="131">
        <f t="shared" si="56"/>
        <v>35</v>
      </c>
      <c r="V186" s="75">
        <v>105</v>
      </c>
      <c r="W186" s="73">
        <v>46</v>
      </c>
      <c r="X186" s="73">
        <v>128</v>
      </c>
      <c r="Y186" s="73">
        <v>60</v>
      </c>
      <c r="Z186" s="73">
        <v>121</v>
      </c>
      <c r="AA186" s="73">
        <v>60</v>
      </c>
      <c r="AB186" s="73">
        <v>155</v>
      </c>
      <c r="AC186" s="73">
        <v>76</v>
      </c>
      <c r="AD186" s="73">
        <v>167</v>
      </c>
      <c r="AE186" s="73">
        <v>70</v>
      </c>
      <c r="AF186" s="73">
        <v>179</v>
      </c>
      <c r="AG186" s="73">
        <v>85</v>
      </c>
      <c r="AH186" s="132">
        <f t="shared" si="55"/>
        <v>855</v>
      </c>
      <c r="AI186" s="131">
        <f t="shared" si="55"/>
        <v>397</v>
      </c>
      <c r="AJ186" s="75">
        <v>7</v>
      </c>
      <c r="AK186" s="73">
        <v>2</v>
      </c>
      <c r="AL186" s="73">
        <v>0</v>
      </c>
      <c r="AM186" s="74">
        <v>0</v>
      </c>
      <c r="AN186" s="76"/>
    </row>
    <row r="187" spans="1:40" s="339" customFormat="1" ht="17.100000000000001" customHeight="1">
      <c r="A187" s="168" t="s">
        <v>155</v>
      </c>
      <c r="B187" s="168" t="s">
        <v>8</v>
      </c>
      <c r="C187" s="168" t="s">
        <v>8</v>
      </c>
      <c r="D187" s="168" t="s">
        <v>4</v>
      </c>
      <c r="E187" s="168" t="s">
        <v>1022</v>
      </c>
      <c r="F187" s="71">
        <v>31837</v>
      </c>
      <c r="G187" s="50" t="s">
        <v>1045</v>
      </c>
      <c r="H187" s="72">
        <v>12179</v>
      </c>
      <c r="I187" s="52">
        <v>21522</v>
      </c>
      <c r="J187" s="53" t="s">
        <v>1023</v>
      </c>
      <c r="K187" s="53" t="s">
        <v>1024</v>
      </c>
      <c r="L187" s="54" t="s">
        <v>1025</v>
      </c>
      <c r="M187" s="338">
        <v>2</v>
      </c>
      <c r="N187" s="73">
        <v>2</v>
      </c>
      <c r="O187" s="73">
        <v>2</v>
      </c>
      <c r="P187" s="73">
        <v>3</v>
      </c>
      <c r="Q187" s="73">
        <v>3</v>
      </c>
      <c r="R187" s="73">
        <v>3</v>
      </c>
      <c r="S187" s="73">
        <v>3</v>
      </c>
      <c r="T187" s="73">
        <v>0</v>
      </c>
      <c r="U187" s="131">
        <f t="shared" si="56"/>
        <v>18</v>
      </c>
      <c r="V187" s="75">
        <v>48</v>
      </c>
      <c r="W187" s="73">
        <v>27</v>
      </c>
      <c r="X187" s="73">
        <v>37</v>
      </c>
      <c r="Y187" s="73">
        <v>19</v>
      </c>
      <c r="Z187" s="73">
        <v>51</v>
      </c>
      <c r="AA187" s="73">
        <v>15</v>
      </c>
      <c r="AB187" s="73">
        <v>69</v>
      </c>
      <c r="AC187" s="73">
        <v>30</v>
      </c>
      <c r="AD187" s="73">
        <v>65</v>
      </c>
      <c r="AE187" s="73">
        <v>32</v>
      </c>
      <c r="AF187" s="73">
        <v>80</v>
      </c>
      <c r="AG187" s="73">
        <v>40</v>
      </c>
      <c r="AH187" s="132">
        <f t="shared" si="55"/>
        <v>350</v>
      </c>
      <c r="AI187" s="131">
        <f t="shared" si="55"/>
        <v>163</v>
      </c>
      <c r="AJ187" s="75">
        <v>17</v>
      </c>
      <c r="AK187" s="73">
        <v>9</v>
      </c>
      <c r="AL187" s="73">
        <v>0</v>
      </c>
      <c r="AM187" s="74">
        <v>0</v>
      </c>
      <c r="AN187" s="76"/>
    </row>
    <row r="188" spans="1:40" ht="17.100000000000001" customHeight="1">
      <c r="A188" s="168" t="s">
        <v>155</v>
      </c>
      <c r="B188" s="168" t="s">
        <v>8</v>
      </c>
      <c r="C188" s="168" t="s">
        <v>8</v>
      </c>
      <c r="D188" s="168" t="s">
        <v>4</v>
      </c>
      <c r="E188" s="168" t="s">
        <v>1026</v>
      </c>
      <c r="F188" s="71">
        <v>29099</v>
      </c>
      <c r="G188" s="50" t="s">
        <v>4465</v>
      </c>
      <c r="H188" s="72">
        <v>12390</v>
      </c>
      <c r="I188" s="52">
        <v>21506</v>
      </c>
      <c r="J188" s="53" t="s">
        <v>1027</v>
      </c>
      <c r="K188" s="53" t="s">
        <v>1028</v>
      </c>
      <c r="L188" s="54" t="s">
        <v>1029</v>
      </c>
      <c r="M188" s="338">
        <v>3</v>
      </c>
      <c r="N188" s="73">
        <v>2</v>
      </c>
      <c r="O188" s="73">
        <v>2</v>
      </c>
      <c r="P188" s="73">
        <v>3</v>
      </c>
      <c r="Q188" s="73">
        <v>3</v>
      </c>
      <c r="R188" s="73">
        <v>2</v>
      </c>
      <c r="S188" s="73">
        <v>2</v>
      </c>
      <c r="T188" s="73">
        <v>0</v>
      </c>
      <c r="U188" s="131">
        <f t="shared" si="56"/>
        <v>17</v>
      </c>
      <c r="V188" s="75">
        <v>50</v>
      </c>
      <c r="W188" s="73">
        <v>30</v>
      </c>
      <c r="X188" s="73">
        <v>26</v>
      </c>
      <c r="Y188" s="73">
        <v>15</v>
      </c>
      <c r="Z188" s="73">
        <v>24</v>
      </c>
      <c r="AA188" s="73">
        <v>12</v>
      </c>
      <c r="AB188" s="73">
        <v>52</v>
      </c>
      <c r="AC188" s="73">
        <v>27</v>
      </c>
      <c r="AD188" s="73">
        <v>44</v>
      </c>
      <c r="AE188" s="73">
        <v>21</v>
      </c>
      <c r="AF188" s="73">
        <v>40</v>
      </c>
      <c r="AG188" s="73">
        <v>20</v>
      </c>
      <c r="AH188" s="132">
        <f t="shared" si="55"/>
        <v>236</v>
      </c>
      <c r="AI188" s="131">
        <f t="shared" si="55"/>
        <v>125</v>
      </c>
      <c r="AJ188" s="311">
        <v>11</v>
      </c>
      <c r="AK188" s="73">
        <v>5</v>
      </c>
      <c r="AL188" s="73">
        <v>0</v>
      </c>
      <c r="AM188" s="74">
        <v>0</v>
      </c>
      <c r="AN188" s="76"/>
    </row>
    <row r="189" spans="1:40" ht="17.100000000000001" customHeight="1">
      <c r="A189" s="168" t="s">
        <v>155</v>
      </c>
      <c r="B189" s="168" t="s">
        <v>8</v>
      </c>
      <c r="C189" s="168" t="s">
        <v>8</v>
      </c>
      <c r="D189" s="168" t="s">
        <v>4</v>
      </c>
      <c r="E189" s="168" t="s">
        <v>1030</v>
      </c>
      <c r="F189" s="71">
        <v>41030</v>
      </c>
      <c r="G189" s="50" t="s">
        <v>4466</v>
      </c>
      <c r="H189" s="72">
        <v>12021</v>
      </c>
      <c r="I189" s="52">
        <v>21616</v>
      </c>
      <c r="J189" s="53" t="s">
        <v>1046</v>
      </c>
      <c r="K189" s="53" t="s">
        <v>1031</v>
      </c>
      <c r="L189" s="54" t="s">
        <v>1047</v>
      </c>
      <c r="M189" s="338">
        <v>5</v>
      </c>
      <c r="N189" s="73">
        <v>5</v>
      </c>
      <c r="O189" s="73">
        <v>6</v>
      </c>
      <c r="P189" s="73">
        <v>6</v>
      </c>
      <c r="Q189" s="73">
        <v>6</v>
      </c>
      <c r="R189" s="73">
        <v>6</v>
      </c>
      <c r="S189" s="73">
        <v>3</v>
      </c>
      <c r="T189" s="73">
        <v>0</v>
      </c>
      <c r="U189" s="131">
        <f t="shared" si="56"/>
        <v>37</v>
      </c>
      <c r="V189" s="75">
        <v>117</v>
      </c>
      <c r="W189" s="73">
        <v>61</v>
      </c>
      <c r="X189" s="73">
        <v>130</v>
      </c>
      <c r="Y189" s="73">
        <v>67</v>
      </c>
      <c r="Z189" s="73">
        <v>134</v>
      </c>
      <c r="AA189" s="73">
        <v>61</v>
      </c>
      <c r="AB189" s="73">
        <v>157</v>
      </c>
      <c r="AC189" s="73">
        <v>71</v>
      </c>
      <c r="AD189" s="73">
        <v>152</v>
      </c>
      <c r="AE189" s="73">
        <v>66</v>
      </c>
      <c r="AF189" s="73">
        <v>153</v>
      </c>
      <c r="AG189" s="73">
        <v>70</v>
      </c>
      <c r="AH189" s="132">
        <f t="shared" si="55"/>
        <v>843</v>
      </c>
      <c r="AI189" s="131">
        <f t="shared" si="55"/>
        <v>396</v>
      </c>
      <c r="AJ189" s="75">
        <v>14</v>
      </c>
      <c r="AK189" s="73">
        <v>5</v>
      </c>
      <c r="AL189" s="73">
        <v>0</v>
      </c>
      <c r="AM189" s="74">
        <v>0</v>
      </c>
      <c r="AN189" s="76"/>
    </row>
    <row r="190" spans="1:40" ht="17.100000000000001" customHeight="1">
      <c r="A190" s="1625" t="s">
        <v>426</v>
      </c>
      <c r="B190" s="1626"/>
      <c r="C190" s="1665"/>
      <c r="D190" s="179">
        <f>COUNTA(D151:D189)</f>
        <v>39</v>
      </c>
      <c r="E190" s="283"/>
      <c r="F190" s="284"/>
      <c r="G190" s="181"/>
      <c r="H190" s="286"/>
      <c r="I190" s="287"/>
      <c r="J190" s="285"/>
      <c r="K190" s="285"/>
      <c r="L190" s="288"/>
      <c r="M190" s="330">
        <f>SUM(M151:M189)</f>
        <v>119</v>
      </c>
      <c r="N190" s="290">
        <f>SUM(N151:N189)</f>
        <v>124</v>
      </c>
      <c r="O190" s="290">
        <f t="shared" ref="O190:T190" si="57">SUM(O151:O189)</f>
        <v>141</v>
      </c>
      <c r="P190" s="290">
        <f t="shared" si="57"/>
        <v>160</v>
      </c>
      <c r="Q190" s="290">
        <f t="shared" si="57"/>
        <v>175</v>
      </c>
      <c r="R190" s="290">
        <f t="shared" si="57"/>
        <v>171</v>
      </c>
      <c r="S190" s="290">
        <f t="shared" si="57"/>
        <v>90</v>
      </c>
      <c r="T190" s="290">
        <f t="shared" si="57"/>
        <v>1</v>
      </c>
      <c r="U190" s="291">
        <f>SUM(U151:U189)</f>
        <v>981</v>
      </c>
      <c r="V190" s="289">
        <f>SUM(V151:V189)</f>
        <v>2464</v>
      </c>
      <c r="W190" s="290">
        <f>SUM(W151:W189)</f>
        <v>1191</v>
      </c>
      <c r="X190" s="290">
        <f t="shared" ref="X190:AH190" si="58">SUM(X151:X189)</f>
        <v>2717</v>
      </c>
      <c r="Y190" s="290">
        <f>SUM(Y151:Y189)</f>
        <v>1331</v>
      </c>
      <c r="Z190" s="290">
        <f t="shared" si="58"/>
        <v>3056</v>
      </c>
      <c r="AA190" s="290">
        <f t="shared" si="58"/>
        <v>1435</v>
      </c>
      <c r="AB190" s="290">
        <f t="shared" si="58"/>
        <v>3606</v>
      </c>
      <c r="AC190" s="290">
        <f t="shared" si="58"/>
        <v>1772</v>
      </c>
      <c r="AD190" s="290">
        <f t="shared" si="58"/>
        <v>4002</v>
      </c>
      <c r="AE190" s="290">
        <f t="shared" si="58"/>
        <v>1941</v>
      </c>
      <c r="AF190" s="290">
        <f t="shared" si="58"/>
        <v>3965</v>
      </c>
      <c r="AG190" s="290">
        <f t="shared" si="58"/>
        <v>1914</v>
      </c>
      <c r="AH190" s="290">
        <f t="shared" si="58"/>
        <v>19810</v>
      </c>
      <c r="AI190" s="291">
        <f>SUM(AI151:AI189)</f>
        <v>9584</v>
      </c>
      <c r="AJ190" s="289">
        <f>SUM(AJ151:AJ189)</f>
        <v>446</v>
      </c>
      <c r="AK190" s="290">
        <f>SUM(AK151:AK189)</f>
        <v>158</v>
      </c>
      <c r="AL190" s="290">
        <f>SUM(AL151:AL189)</f>
        <v>15</v>
      </c>
      <c r="AM190" s="291">
        <f>SUM(AM151:AM189)</f>
        <v>9</v>
      </c>
      <c r="AN190" s="1091"/>
    </row>
    <row r="191" spans="1:40" ht="17.100000000000001" customHeight="1">
      <c r="A191" s="1627" t="s">
        <v>428</v>
      </c>
      <c r="B191" s="1628"/>
      <c r="C191" s="1628"/>
      <c r="D191" s="1629"/>
      <c r="E191" s="281">
        <f>D190</f>
        <v>39</v>
      </c>
      <c r="F191" s="302"/>
      <c r="G191" s="222"/>
      <c r="H191" s="334"/>
      <c r="I191" s="305"/>
      <c r="J191" s="303"/>
      <c r="K191" s="303"/>
      <c r="L191" s="306"/>
      <c r="M191" s="335">
        <f>M190</f>
        <v>119</v>
      </c>
      <c r="N191" s="310">
        <f>N190</f>
        <v>124</v>
      </c>
      <c r="O191" s="310">
        <f t="shared" ref="O191:T191" si="59">O190</f>
        <v>141</v>
      </c>
      <c r="P191" s="310">
        <f t="shared" si="59"/>
        <v>160</v>
      </c>
      <c r="Q191" s="310">
        <f t="shared" si="59"/>
        <v>175</v>
      </c>
      <c r="R191" s="310">
        <f t="shared" si="59"/>
        <v>171</v>
      </c>
      <c r="S191" s="310">
        <f t="shared" si="59"/>
        <v>90</v>
      </c>
      <c r="T191" s="310">
        <f t="shared" si="59"/>
        <v>1</v>
      </c>
      <c r="U191" s="309">
        <f>U190</f>
        <v>981</v>
      </c>
      <c r="V191" s="336">
        <f>V190</f>
        <v>2464</v>
      </c>
      <c r="W191" s="310">
        <f>W190</f>
        <v>1191</v>
      </c>
      <c r="X191" s="310">
        <f t="shared" ref="X191:AH191" si="60">X190</f>
        <v>2717</v>
      </c>
      <c r="Y191" s="310">
        <f t="shared" si="60"/>
        <v>1331</v>
      </c>
      <c r="Z191" s="310">
        <f t="shared" si="60"/>
        <v>3056</v>
      </c>
      <c r="AA191" s="310">
        <f t="shared" si="60"/>
        <v>1435</v>
      </c>
      <c r="AB191" s="310">
        <f t="shared" si="60"/>
        <v>3606</v>
      </c>
      <c r="AC191" s="310">
        <f t="shared" si="60"/>
        <v>1772</v>
      </c>
      <c r="AD191" s="310">
        <f t="shared" si="60"/>
        <v>4002</v>
      </c>
      <c r="AE191" s="310">
        <f t="shared" si="60"/>
        <v>1941</v>
      </c>
      <c r="AF191" s="310">
        <f t="shared" si="60"/>
        <v>3965</v>
      </c>
      <c r="AG191" s="310">
        <f t="shared" si="60"/>
        <v>1914</v>
      </c>
      <c r="AH191" s="310">
        <f t="shared" si="60"/>
        <v>19810</v>
      </c>
      <c r="AI191" s="309">
        <f>AI190</f>
        <v>9584</v>
      </c>
      <c r="AJ191" s="336">
        <f>AJ190</f>
        <v>446</v>
      </c>
      <c r="AK191" s="310">
        <f>AK190</f>
        <v>158</v>
      </c>
      <c r="AL191" s="310">
        <f>AL190</f>
        <v>15</v>
      </c>
      <c r="AM191" s="309">
        <f>AM190</f>
        <v>9</v>
      </c>
      <c r="AN191" s="1092"/>
    </row>
    <row r="192" spans="1:40" ht="17.100000000000001" customHeight="1">
      <c r="A192" s="168" t="s">
        <v>155</v>
      </c>
      <c r="B192" s="168" t="s">
        <v>9</v>
      </c>
      <c r="C192" s="168" t="s">
        <v>9</v>
      </c>
      <c r="D192" s="168" t="s">
        <v>4</v>
      </c>
      <c r="E192" s="168" t="s">
        <v>1048</v>
      </c>
      <c r="F192" s="71">
        <v>35674</v>
      </c>
      <c r="G192" s="50" t="s">
        <v>4467</v>
      </c>
      <c r="H192" s="72">
        <v>16751</v>
      </c>
      <c r="I192" s="52">
        <v>21952</v>
      </c>
      <c r="J192" s="53" t="s">
        <v>4468</v>
      </c>
      <c r="K192" s="53" t="s">
        <v>4469</v>
      </c>
      <c r="L192" s="54" t="s">
        <v>1049</v>
      </c>
      <c r="M192" s="338">
        <v>3</v>
      </c>
      <c r="N192" s="73">
        <v>4</v>
      </c>
      <c r="O192" s="73">
        <v>4</v>
      </c>
      <c r="P192" s="73">
        <v>5</v>
      </c>
      <c r="Q192" s="73">
        <v>5</v>
      </c>
      <c r="R192" s="73">
        <v>6</v>
      </c>
      <c r="S192" s="73">
        <v>3</v>
      </c>
      <c r="T192" s="73">
        <v>1</v>
      </c>
      <c r="U192" s="131">
        <f t="shared" ref="U192:U224" si="61">SUM(M192:T192)</f>
        <v>31</v>
      </c>
      <c r="V192" s="75">
        <v>69</v>
      </c>
      <c r="W192" s="73">
        <v>35</v>
      </c>
      <c r="X192" s="73">
        <v>86</v>
      </c>
      <c r="Y192" s="73">
        <v>50</v>
      </c>
      <c r="Z192" s="73">
        <v>90</v>
      </c>
      <c r="AA192" s="73">
        <v>42</v>
      </c>
      <c r="AB192" s="73">
        <v>111</v>
      </c>
      <c r="AC192" s="73">
        <v>56</v>
      </c>
      <c r="AD192" s="73">
        <v>129</v>
      </c>
      <c r="AE192" s="73">
        <v>65</v>
      </c>
      <c r="AF192" s="73">
        <v>152</v>
      </c>
      <c r="AG192" s="73">
        <v>70</v>
      </c>
      <c r="AH192" s="132">
        <f t="shared" ref="AH192:AH206" si="62">V192+X192+Z192+AB192+AD192+AF192</f>
        <v>637</v>
      </c>
      <c r="AI192" s="131">
        <f t="shared" ref="AI192:AI206" si="63">W192+Y192+AA192+AC192+AE192+AG192</f>
        <v>318</v>
      </c>
      <c r="AJ192" s="311">
        <v>13</v>
      </c>
      <c r="AK192" s="73">
        <v>5</v>
      </c>
      <c r="AL192" s="73">
        <v>22</v>
      </c>
      <c r="AM192" s="74">
        <v>9</v>
      </c>
      <c r="AN192" s="1093"/>
    </row>
    <row r="193" spans="1:40" ht="17.100000000000001" customHeight="1">
      <c r="A193" s="168" t="s">
        <v>155</v>
      </c>
      <c r="B193" s="168" t="s">
        <v>9</v>
      </c>
      <c r="C193" s="168" t="s">
        <v>9</v>
      </c>
      <c r="D193" s="168" t="s">
        <v>4</v>
      </c>
      <c r="E193" s="168" t="s">
        <v>1050</v>
      </c>
      <c r="F193" s="71">
        <v>34394</v>
      </c>
      <c r="G193" s="50" t="s">
        <v>4470</v>
      </c>
      <c r="H193" s="72">
        <v>11313</v>
      </c>
      <c r="I193" s="52">
        <v>21976</v>
      </c>
      <c r="J193" s="53" t="s">
        <v>1157</v>
      </c>
      <c r="K193" s="53" t="s">
        <v>1158</v>
      </c>
      <c r="L193" s="54" t="s">
        <v>1051</v>
      </c>
      <c r="M193" s="338">
        <v>2</v>
      </c>
      <c r="N193" s="73">
        <v>2</v>
      </c>
      <c r="O193" s="73">
        <v>2</v>
      </c>
      <c r="P193" s="73">
        <v>3</v>
      </c>
      <c r="Q193" s="73">
        <v>3</v>
      </c>
      <c r="R193" s="73">
        <v>3</v>
      </c>
      <c r="S193" s="73">
        <v>1</v>
      </c>
      <c r="T193" s="73">
        <v>0</v>
      </c>
      <c r="U193" s="131">
        <f t="shared" si="61"/>
        <v>16</v>
      </c>
      <c r="V193" s="75">
        <v>42</v>
      </c>
      <c r="W193" s="73">
        <v>22</v>
      </c>
      <c r="X193" s="73">
        <v>46</v>
      </c>
      <c r="Y193" s="73">
        <v>19</v>
      </c>
      <c r="Z193" s="73">
        <v>49</v>
      </c>
      <c r="AA193" s="73">
        <v>24</v>
      </c>
      <c r="AB193" s="73">
        <v>71</v>
      </c>
      <c r="AC193" s="73">
        <v>35</v>
      </c>
      <c r="AD193" s="73">
        <v>76</v>
      </c>
      <c r="AE193" s="73">
        <v>32</v>
      </c>
      <c r="AF193" s="73">
        <v>66</v>
      </c>
      <c r="AG193" s="73">
        <v>34</v>
      </c>
      <c r="AH193" s="132">
        <f t="shared" si="62"/>
        <v>350</v>
      </c>
      <c r="AI193" s="131">
        <f t="shared" si="63"/>
        <v>166</v>
      </c>
      <c r="AJ193" s="311">
        <v>6</v>
      </c>
      <c r="AK193" s="73">
        <v>3</v>
      </c>
      <c r="AL193" s="73">
        <v>0</v>
      </c>
      <c r="AM193" s="74">
        <v>0</v>
      </c>
      <c r="AN193" s="1093"/>
    </row>
    <row r="194" spans="1:40" ht="17.100000000000001" customHeight="1">
      <c r="A194" s="168" t="s">
        <v>155</v>
      </c>
      <c r="B194" s="168" t="s">
        <v>9</v>
      </c>
      <c r="C194" s="168" t="s">
        <v>9</v>
      </c>
      <c r="D194" s="168" t="s">
        <v>4</v>
      </c>
      <c r="E194" s="168" t="s">
        <v>1052</v>
      </c>
      <c r="F194" s="71">
        <v>27454</v>
      </c>
      <c r="G194" s="50" t="s">
        <v>2380</v>
      </c>
      <c r="H194" s="72">
        <v>15981</v>
      </c>
      <c r="I194" s="52">
        <v>21969</v>
      </c>
      <c r="J194" s="53" t="s">
        <v>1053</v>
      </c>
      <c r="K194" s="53" t="s">
        <v>1159</v>
      </c>
      <c r="L194" s="54" t="s">
        <v>1054</v>
      </c>
      <c r="M194" s="338">
        <v>5</v>
      </c>
      <c r="N194" s="73">
        <v>4</v>
      </c>
      <c r="O194" s="73">
        <v>5</v>
      </c>
      <c r="P194" s="73">
        <v>5</v>
      </c>
      <c r="Q194" s="73">
        <v>5</v>
      </c>
      <c r="R194" s="73">
        <v>4</v>
      </c>
      <c r="S194" s="73">
        <v>1</v>
      </c>
      <c r="T194" s="73">
        <v>0</v>
      </c>
      <c r="U194" s="131">
        <f t="shared" si="61"/>
        <v>29</v>
      </c>
      <c r="V194" s="75">
        <v>111</v>
      </c>
      <c r="W194" s="73">
        <v>45</v>
      </c>
      <c r="X194" s="73">
        <v>97</v>
      </c>
      <c r="Y194" s="73">
        <v>44</v>
      </c>
      <c r="Z194" s="73">
        <v>116</v>
      </c>
      <c r="AA194" s="73">
        <v>66</v>
      </c>
      <c r="AB194" s="73">
        <v>122</v>
      </c>
      <c r="AC194" s="73">
        <v>64</v>
      </c>
      <c r="AD194" s="73">
        <v>110</v>
      </c>
      <c r="AE194" s="73">
        <v>51</v>
      </c>
      <c r="AF194" s="73">
        <v>108</v>
      </c>
      <c r="AG194" s="73">
        <v>54</v>
      </c>
      <c r="AH194" s="132">
        <f t="shared" si="62"/>
        <v>664</v>
      </c>
      <c r="AI194" s="131">
        <f t="shared" si="63"/>
        <v>324</v>
      </c>
      <c r="AJ194" s="75">
        <v>5</v>
      </c>
      <c r="AK194" s="73">
        <v>1</v>
      </c>
      <c r="AL194" s="73">
        <v>0</v>
      </c>
      <c r="AM194" s="74">
        <v>0</v>
      </c>
      <c r="AN194" s="1093"/>
    </row>
    <row r="195" spans="1:40" ht="17.100000000000001" customHeight="1">
      <c r="A195" s="168" t="s">
        <v>155</v>
      </c>
      <c r="B195" s="168" t="s">
        <v>9</v>
      </c>
      <c r="C195" s="168" t="s">
        <v>9</v>
      </c>
      <c r="D195" s="168" t="s">
        <v>4</v>
      </c>
      <c r="E195" s="168" t="s">
        <v>1055</v>
      </c>
      <c r="F195" s="71">
        <v>38412</v>
      </c>
      <c r="G195" s="50" t="s">
        <v>1056</v>
      </c>
      <c r="H195" s="72">
        <v>12503</v>
      </c>
      <c r="I195" s="52">
        <v>21996</v>
      </c>
      <c r="J195" s="53" t="s">
        <v>1057</v>
      </c>
      <c r="K195" s="53" t="s">
        <v>1058</v>
      </c>
      <c r="L195" s="54" t="s">
        <v>1059</v>
      </c>
      <c r="M195" s="338">
        <v>4</v>
      </c>
      <c r="N195" s="73">
        <v>4</v>
      </c>
      <c r="O195" s="73">
        <v>5</v>
      </c>
      <c r="P195" s="73">
        <v>5</v>
      </c>
      <c r="Q195" s="73">
        <v>5</v>
      </c>
      <c r="R195" s="73">
        <v>6</v>
      </c>
      <c r="S195" s="73">
        <v>2</v>
      </c>
      <c r="T195" s="73">
        <v>0</v>
      </c>
      <c r="U195" s="131">
        <f t="shared" si="61"/>
        <v>31</v>
      </c>
      <c r="V195" s="75">
        <v>94</v>
      </c>
      <c r="W195" s="73">
        <v>44</v>
      </c>
      <c r="X195" s="73">
        <v>96</v>
      </c>
      <c r="Y195" s="73">
        <v>44</v>
      </c>
      <c r="Z195" s="73">
        <v>112</v>
      </c>
      <c r="AA195" s="73">
        <v>64</v>
      </c>
      <c r="AB195" s="73">
        <v>125</v>
      </c>
      <c r="AC195" s="73">
        <v>69</v>
      </c>
      <c r="AD195" s="73">
        <v>131</v>
      </c>
      <c r="AE195" s="73">
        <v>56</v>
      </c>
      <c r="AF195" s="73">
        <v>159</v>
      </c>
      <c r="AG195" s="73">
        <v>76</v>
      </c>
      <c r="AH195" s="132">
        <f t="shared" si="62"/>
        <v>717</v>
      </c>
      <c r="AI195" s="131">
        <f t="shared" si="63"/>
        <v>353</v>
      </c>
      <c r="AJ195" s="75">
        <v>9</v>
      </c>
      <c r="AK195" s="73">
        <v>1</v>
      </c>
      <c r="AL195" s="73">
        <v>0</v>
      </c>
      <c r="AM195" s="74">
        <v>0</v>
      </c>
      <c r="AN195" s="1093"/>
    </row>
    <row r="196" spans="1:40" ht="17.100000000000001" customHeight="1">
      <c r="A196" s="168" t="s">
        <v>155</v>
      </c>
      <c r="B196" s="168" t="s">
        <v>9</v>
      </c>
      <c r="C196" s="168" t="s">
        <v>9</v>
      </c>
      <c r="D196" s="168" t="s">
        <v>4</v>
      </c>
      <c r="E196" s="168" t="s">
        <v>1060</v>
      </c>
      <c r="F196" s="71">
        <v>40969</v>
      </c>
      <c r="G196" s="50" t="s">
        <v>2381</v>
      </c>
      <c r="H196" s="72">
        <v>11999.8</v>
      </c>
      <c r="I196" s="52">
        <v>22001</v>
      </c>
      <c r="J196" s="53" t="s">
        <v>1160</v>
      </c>
      <c r="K196" s="53" t="s">
        <v>1161</v>
      </c>
      <c r="L196" s="54" t="s">
        <v>1162</v>
      </c>
      <c r="M196" s="338">
        <v>4</v>
      </c>
      <c r="N196" s="73">
        <v>5</v>
      </c>
      <c r="O196" s="73">
        <v>5</v>
      </c>
      <c r="P196" s="73">
        <v>7</v>
      </c>
      <c r="Q196" s="73">
        <v>8</v>
      </c>
      <c r="R196" s="73">
        <v>8</v>
      </c>
      <c r="S196" s="73">
        <v>2</v>
      </c>
      <c r="T196" s="73">
        <v>0</v>
      </c>
      <c r="U196" s="131">
        <f t="shared" si="61"/>
        <v>39</v>
      </c>
      <c r="V196" s="75">
        <v>79</v>
      </c>
      <c r="W196" s="73">
        <v>38</v>
      </c>
      <c r="X196" s="73">
        <v>109</v>
      </c>
      <c r="Y196" s="73">
        <v>60</v>
      </c>
      <c r="Z196" s="73">
        <v>120</v>
      </c>
      <c r="AA196" s="73">
        <v>66</v>
      </c>
      <c r="AB196" s="73">
        <v>178</v>
      </c>
      <c r="AC196" s="73">
        <v>87</v>
      </c>
      <c r="AD196" s="73">
        <v>204</v>
      </c>
      <c r="AE196" s="73">
        <v>101</v>
      </c>
      <c r="AF196" s="73">
        <v>217</v>
      </c>
      <c r="AG196" s="73">
        <v>113</v>
      </c>
      <c r="AH196" s="132">
        <f t="shared" si="62"/>
        <v>907</v>
      </c>
      <c r="AI196" s="131">
        <f t="shared" si="63"/>
        <v>465</v>
      </c>
      <c r="AJ196" s="75">
        <v>10</v>
      </c>
      <c r="AK196" s="73">
        <v>6</v>
      </c>
      <c r="AL196" s="73">
        <v>0</v>
      </c>
      <c r="AM196" s="74">
        <v>0</v>
      </c>
      <c r="AN196" s="1093"/>
    </row>
    <row r="197" spans="1:40" ht="17.100000000000001" customHeight="1">
      <c r="A197" s="168" t="s">
        <v>155</v>
      </c>
      <c r="B197" s="168" t="s">
        <v>9</v>
      </c>
      <c r="C197" s="168" t="s">
        <v>9</v>
      </c>
      <c r="D197" s="168" t="s">
        <v>4</v>
      </c>
      <c r="E197" s="168" t="s">
        <v>1061</v>
      </c>
      <c r="F197" s="71">
        <v>34394</v>
      </c>
      <c r="G197" s="50" t="s">
        <v>4471</v>
      </c>
      <c r="H197" s="72">
        <v>11179.8</v>
      </c>
      <c r="I197" s="52">
        <v>21923</v>
      </c>
      <c r="J197" s="53" t="s">
        <v>1062</v>
      </c>
      <c r="K197" s="53" t="s">
        <v>1063</v>
      </c>
      <c r="L197" s="54" t="s">
        <v>1064</v>
      </c>
      <c r="M197" s="338">
        <v>3</v>
      </c>
      <c r="N197" s="73">
        <v>4</v>
      </c>
      <c r="O197" s="73">
        <v>4</v>
      </c>
      <c r="P197" s="73">
        <v>4</v>
      </c>
      <c r="Q197" s="73">
        <v>5</v>
      </c>
      <c r="R197" s="73">
        <v>6</v>
      </c>
      <c r="S197" s="73">
        <v>1</v>
      </c>
      <c r="T197" s="73">
        <v>2</v>
      </c>
      <c r="U197" s="131">
        <f t="shared" si="61"/>
        <v>29</v>
      </c>
      <c r="V197" s="75">
        <v>64</v>
      </c>
      <c r="W197" s="73">
        <v>28</v>
      </c>
      <c r="X197" s="73">
        <v>61</v>
      </c>
      <c r="Y197" s="73">
        <v>31</v>
      </c>
      <c r="Z197" s="73">
        <v>63</v>
      </c>
      <c r="AA197" s="73">
        <v>35</v>
      </c>
      <c r="AB197" s="73">
        <v>70</v>
      </c>
      <c r="AC197" s="73">
        <v>36</v>
      </c>
      <c r="AD197" s="73">
        <v>86</v>
      </c>
      <c r="AE197" s="73">
        <v>40</v>
      </c>
      <c r="AF197" s="73">
        <v>99</v>
      </c>
      <c r="AG197" s="73">
        <v>49</v>
      </c>
      <c r="AH197" s="132">
        <f t="shared" si="62"/>
        <v>443</v>
      </c>
      <c r="AI197" s="131">
        <f t="shared" si="63"/>
        <v>219</v>
      </c>
      <c r="AJ197" s="311">
        <v>5</v>
      </c>
      <c r="AK197" s="73">
        <v>0</v>
      </c>
      <c r="AL197" s="73">
        <v>20</v>
      </c>
      <c r="AM197" s="74">
        <v>9</v>
      </c>
      <c r="AN197" s="1093"/>
    </row>
    <row r="198" spans="1:40" ht="17.100000000000001" customHeight="1">
      <c r="A198" s="168" t="s">
        <v>155</v>
      </c>
      <c r="B198" s="168" t="s">
        <v>9</v>
      </c>
      <c r="C198" s="168" t="s">
        <v>9</v>
      </c>
      <c r="D198" s="168" t="s">
        <v>4</v>
      </c>
      <c r="E198" s="168" t="s">
        <v>1065</v>
      </c>
      <c r="F198" s="71">
        <v>43525</v>
      </c>
      <c r="G198" s="50" t="s">
        <v>4472</v>
      </c>
      <c r="H198" s="72">
        <v>29698</v>
      </c>
      <c r="I198" s="52">
        <v>22017</v>
      </c>
      <c r="J198" s="53" t="s">
        <v>1066</v>
      </c>
      <c r="K198" s="53" t="s">
        <v>1067</v>
      </c>
      <c r="L198" s="54" t="s">
        <v>4473</v>
      </c>
      <c r="M198" s="338">
        <v>8</v>
      </c>
      <c r="N198" s="73">
        <v>9</v>
      </c>
      <c r="O198" s="73">
        <v>9</v>
      </c>
      <c r="P198" s="73">
        <v>10</v>
      </c>
      <c r="Q198" s="73">
        <v>11</v>
      </c>
      <c r="R198" s="73">
        <v>10</v>
      </c>
      <c r="S198" s="73">
        <v>4</v>
      </c>
      <c r="T198" s="73">
        <v>0</v>
      </c>
      <c r="U198" s="131">
        <f t="shared" si="61"/>
        <v>61</v>
      </c>
      <c r="V198" s="75">
        <v>208</v>
      </c>
      <c r="W198" s="73">
        <v>106</v>
      </c>
      <c r="X198" s="73">
        <v>237</v>
      </c>
      <c r="Y198" s="73">
        <v>117</v>
      </c>
      <c r="Z198" s="73">
        <v>224</v>
      </c>
      <c r="AA198" s="73">
        <v>125</v>
      </c>
      <c r="AB198" s="73">
        <v>259</v>
      </c>
      <c r="AC198" s="73">
        <v>127</v>
      </c>
      <c r="AD198" s="73">
        <v>271</v>
      </c>
      <c r="AE198" s="73">
        <v>144</v>
      </c>
      <c r="AF198" s="73">
        <v>262</v>
      </c>
      <c r="AG198" s="73">
        <v>113</v>
      </c>
      <c r="AH198" s="132">
        <f t="shared" si="62"/>
        <v>1461</v>
      </c>
      <c r="AI198" s="131">
        <f t="shared" si="63"/>
        <v>732</v>
      </c>
      <c r="AJ198" s="311">
        <v>22</v>
      </c>
      <c r="AK198" s="73">
        <v>12</v>
      </c>
      <c r="AL198" s="73">
        <v>0</v>
      </c>
      <c r="AM198" s="74">
        <v>0</v>
      </c>
      <c r="AN198" s="1093"/>
    </row>
    <row r="199" spans="1:40" ht="17.100000000000001" customHeight="1">
      <c r="A199" s="168" t="s">
        <v>155</v>
      </c>
      <c r="B199" s="168" t="s">
        <v>9</v>
      </c>
      <c r="C199" s="168" t="s">
        <v>9</v>
      </c>
      <c r="D199" s="168" t="s">
        <v>4</v>
      </c>
      <c r="E199" s="168" t="s">
        <v>1068</v>
      </c>
      <c r="F199" s="71">
        <v>44075</v>
      </c>
      <c r="G199" s="50" t="s">
        <v>2382</v>
      </c>
      <c r="H199" s="72">
        <v>10900</v>
      </c>
      <c r="I199" s="52">
        <v>21980</v>
      </c>
      <c r="J199" s="53" t="s">
        <v>1069</v>
      </c>
      <c r="K199" s="53" t="s">
        <v>1070</v>
      </c>
      <c r="L199" s="54" t="s">
        <v>1071</v>
      </c>
      <c r="M199" s="338">
        <v>3</v>
      </c>
      <c r="N199" s="73">
        <v>4</v>
      </c>
      <c r="O199" s="73">
        <v>3</v>
      </c>
      <c r="P199" s="73">
        <v>4</v>
      </c>
      <c r="Q199" s="73">
        <v>4</v>
      </c>
      <c r="R199" s="73">
        <v>4</v>
      </c>
      <c r="S199" s="73">
        <v>2</v>
      </c>
      <c r="T199" s="73">
        <v>0</v>
      </c>
      <c r="U199" s="131">
        <f t="shared" si="61"/>
        <v>24</v>
      </c>
      <c r="V199" s="75">
        <v>71</v>
      </c>
      <c r="W199" s="73">
        <v>30</v>
      </c>
      <c r="X199" s="73">
        <v>84</v>
      </c>
      <c r="Y199" s="73">
        <v>39</v>
      </c>
      <c r="Z199" s="73">
        <v>71</v>
      </c>
      <c r="AA199" s="73">
        <v>37</v>
      </c>
      <c r="AB199" s="73">
        <v>94</v>
      </c>
      <c r="AC199" s="73">
        <v>53</v>
      </c>
      <c r="AD199" s="73">
        <v>88</v>
      </c>
      <c r="AE199" s="73">
        <v>48</v>
      </c>
      <c r="AF199" s="73">
        <v>84</v>
      </c>
      <c r="AG199" s="73">
        <v>38</v>
      </c>
      <c r="AH199" s="132">
        <f t="shared" si="62"/>
        <v>492</v>
      </c>
      <c r="AI199" s="131">
        <f t="shared" si="63"/>
        <v>245</v>
      </c>
      <c r="AJ199" s="75">
        <v>7</v>
      </c>
      <c r="AK199" s="73">
        <v>2</v>
      </c>
      <c r="AL199" s="73">
        <v>0</v>
      </c>
      <c r="AM199" s="74">
        <v>0</v>
      </c>
      <c r="AN199" s="1093"/>
    </row>
    <row r="200" spans="1:40" ht="17.100000000000001" customHeight="1">
      <c r="A200" s="168" t="s">
        <v>155</v>
      </c>
      <c r="B200" s="168" t="s">
        <v>9</v>
      </c>
      <c r="C200" s="168" t="s">
        <v>9</v>
      </c>
      <c r="D200" s="168" t="s">
        <v>4</v>
      </c>
      <c r="E200" s="168" t="s">
        <v>1072</v>
      </c>
      <c r="F200" s="71">
        <v>35309</v>
      </c>
      <c r="G200" s="50" t="s">
        <v>1073</v>
      </c>
      <c r="H200" s="72">
        <v>11363</v>
      </c>
      <c r="I200" s="52">
        <v>21973</v>
      </c>
      <c r="J200" s="53" t="s">
        <v>1074</v>
      </c>
      <c r="K200" s="53" t="s">
        <v>1075</v>
      </c>
      <c r="L200" s="54" t="s">
        <v>1076</v>
      </c>
      <c r="M200" s="338">
        <v>2</v>
      </c>
      <c r="N200" s="73">
        <v>3</v>
      </c>
      <c r="O200" s="73">
        <v>3</v>
      </c>
      <c r="P200" s="73">
        <v>3</v>
      </c>
      <c r="Q200" s="73">
        <v>3</v>
      </c>
      <c r="R200" s="73">
        <v>3</v>
      </c>
      <c r="S200" s="73">
        <v>3</v>
      </c>
      <c r="T200" s="73">
        <v>0</v>
      </c>
      <c r="U200" s="131">
        <f t="shared" si="61"/>
        <v>20</v>
      </c>
      <c r="V200" s="75">
        <v>44</v>
      </c>
      <c r="W200" s="73">
        <v>24</v>
      </c>
      <c r="X200" s="73">
        <v>54</v>
      </c>
      <c r="Y200" s="73">
        <v>26</v>
      </c>
      <c r="Z200" s="73">
        <v>53</v>
      </c>
      <c r="AA200" s="73">
        <v>27</v>
      </c>
      <c r="AB200" s="73">
        <v>67</v>
      </c>
      <c r="AC200" s="73">
        <v>35</v>
      </c>
      <c r="AD200" s="73">
        <v>72</v>
      </c>
      <c r="AE200" s="73">
        <v>33</v>
      </c>
      <c r="AF200" s="73">
        <v>71</v>
      </c>
      <c r="AG200" s="73">
        <v>39</v>
      </c>
      <c r="AH200" s="132">
        <f t="shared" si="62"/>
        <v>361</v>
      </c>
      <c r="AI200" s="131">
        <f t="shared" si="63"/>
        <v>184</v>
      </c>
      <c r="AJ200" s="75">
        <v>16</v>
      </c>
      <c r="AK200" s="73">
        <v>5</v>
      </c>
      <c r="AL200" s="73">
        <v>0</v>
      </c>
      <c r="AM200" s="74">
        <v>0</v>
      </c>
      <c r="AN200" s="1093"/>
    </row>
    <row r="201" spans="1:40" ht="17.100000000000001" customHeight="1">
      <c r="A201" s="168" t="s">
        <v>155</v>
      </c>
      <c r="B201" s="168" t="s">
        <v>9</v>
      </c>
      <c r="C201" s="168" t="s">
        <v>9</v>
      </c>
      <c r="D201" s="168" t="s">
        <v>4</v>
      </c>
      <c r="E201" s="168" t="s">
        <v>1077</v>
      </c>
      <c r="F201" s="71">
        <v>34029</v>
      </c>
      <c r="G201" s="50" t="s">
        <v>2383</v>
      </c>
      <c r="H201" s="72">
        <v>11362</v>
      </c>
      <c r="I201" s="52">
        <v>21910</v>
      </c>
      <c r="J201" s="53" t="s">
        <v>1078</v>
      </c>
      <c r="K201" s="53" t="s">
        <v>1079</v>
      </c>
      <c r="L201" s="54" t="s">
        <v>2384</v>
      </c>
      <c r="M201" s="338">
        <v>6</v>
      </c>
      <c r="N201" s="73">
        <v>5</v>
      </c>
      <c r="O201" s="73">
        <v>5</v>
      </c>
      <c r="P201" s="73">
        <v>5</v>
      </c>
      <c r="Q201" s="73">
        <v>6</v>
      </c>
      <c r="R201" s="73">
        <v>5</v>
      </c>
      <c r="S201" s="73">
        <v>3</v>
      </c>
      <c r="T201" s="73">
        <v>1</v>
      </c>
      <c r="U201" s="131">
        <f t="shared" si="61"/>
        <v>36</v>
      </c>
      <c r="V201" s="75">
        <v>109</v>
      </c>
      <c r="W201" s="73">
        <v>42</v>
      </c>
      <c r="X201" s="73">
        <v>81</v>
      </c>
      <c r="Y201" s="73">
        <v>36</v>
      </c>
      <c r="Z201" s="73">
        <v>92</v>
      </c>
      <c r="AA201" s="73">
        <v>46</v>
      </c>
      <c r="AB201" s="73">
        <v>87</v>
      </c>
      <c r="AC201" s="73">
        <v>44</v>
      </c>
      <c r="AD201" s="73">
        <v>100</v>
      </c>
      <c r="AE201" s="73">
        <v>48</v>
      </c>
      <c r="AF201" s="73">
        <v>84</v>
      </c>
      <c r="AG201" s="73">
        <v>37</v>
      </c>
      <c r="AH201" s="132">
        <f t="shared" si="62"/>
        <v>553</v>
      </c>
      <c r="AI201" s="131">
        <f t="shared" si="63"/>
        <v>253</v>
      </c>
      <c r="AJ201" s="75">
        <v>16</v>
      </c>
      <c r="AK201" s="73">
        <v>2</v>
      </c>
      <c r="AL201" s="73">
        <v>28</v>
      </c>
      <c r="AM201" s="74">
        <v>14</v>
      </c>
      <c r="AN201" s="1093"/>
    </row>
    <row r="202" spans="1:40" ht="17.100000000000001" customHeight="1">
      <c r="A202" s="168" t="s">
        <v>155</v>
      </c>
      <c r="B202" s="168" t="s">
        <v>9</v>
      </c>
      <c r="C202" s="168" t="s">
        <v>9</v>
      </c>
      <c r="D202" s="168" t="s">
        <v>4</v>
      </c>
      <c r="E202" s="168" t="s">
        <v>1080</v>
      </c>
      <c r="F202" s="71">
        <v>44256</v>
      </c>
      <c r="G202" s="50" t="s">
        <v>4474</v>
      </c>
      <c r="H202" s="72">
        <v>13171</v>
      </c>
      <c r="I202" s="52">
        <v>22023</v>
      </c>
      <c r="J202" s="53" t="s">
        <v>1081</v>
      </c>
      <c r="K202" s="53" t="s">
        <v>4475</v>
      </c>
      <c r="L202" s="54" t="s">
        <v>1082</v>
      </c>
      <c r="M202" s="338">
        <v>5</v>
      </c>
      <c r="N202" s="73">
        <v>6</v>
      </c>
      <c r="O202" s="73">
        <v>6</v>
      </c>
      <c r="P202" s="73">
        <v>7</v>
      </c>
      <c r="Q202" s="73">
        <v>7</v>
      </c>
      <c r="R202" s="73">
        <v>6</v>
      </c>
      <c r="S202" s="73">
        <v>2</v>
      </c>
      <c r="T202" s="73">
        <v>0</v>
      </c>
      <c r="U202" s="131">
        <f t="shared" si="61"/>
        <v>39</v>
      </c>
      <c r="V202" s="75">
        <v>138</v>
      </c>
      <c r="W202" s="73">
        <v>68</v>
      </c>
      <c r="X202" s="73">
        <v>139</v>
      </c>
      <c r="Y202" s="73">
        <v>69</v>
      </c>
      <c r="Z202" s="73">
        <v>162</v>
      </c>
      <c r="AA202" s="73">
        <v>69</v>
      </c>
      <c r="AB202" s="73">
        <v>162</v>
      </c>
      <c r="AC202" s="73">
        <v>78</v>
      </c>
      <c r="AD202" s="73">
        <v>159</v>
      </c>
      <c r="AE202" s="73">
        <v>69</v>
      </c>
      <c r="AF202" s="73">
        <v>147</v>
      </c>
      <c r="AG202" s="73">
        <v>79</v>
      </c>
      <c r="AH202" s="132">
        <f t="shared" si="62"/>
        <v>907</v>
      </c>
      <c r="AI202" s="131">
        <f t="shared" si="63"/>
        <v>432</v>
      </c>
      <c r="AJ202" s="311">
        <v>8</v>
      </c>
      <c r="AK202" s="73">
        <v>4</v>
      </c>
      <c r="AL202" s="73">
        <v>0</v>
      </c>
      <c r="AM202" s="74">
        <v>0</v>
      </c>
      <c r="AN202" s="1093"/>
    </row>
    <row r="203" spans="1:40" ht="17.100000000000001" customHeight="1">
      <c r="A203" s="168" t="s">
        <v>155</v>
      </c>
      <c r="B203" s="168" t="s">
        <v>9</v>
      </c>
      <c r="C203" s="168" t="s">
        <v>9</v>
      </c>
      <c r="D203" s="168" t="s">
        <v>4</v>
      </c>
      <c r="E203" s="168" t="s">
        <v>1083</v>
      </c>
      <c r="F203" s="71">
        <v>17624</v>
      </c>
      <c r="G203" s="50" t="s">
        <v>1156</v>
      </c>
      <c r="H203" s="72">
        <v>15911</v>
      </c>
      <c r="I203" s="52">
        <v>21939</v>
      </c>
      <c r="J203" s="53" t="s">
        <v>1084</v>
      </c>
      <c r="K203" s="53" t="s">
        <v>1085</v>
      </c>
      <c r="L203" s="54" t="s">
        <v>1086</v>
      </c>
      <c r="M203" s="338">
        <v>2</v>
      </c>
      <c r="N203" s="73">
        <v>2</v>
      </c>
      <c r="O203" s="73">
        <v>2</v>
      </c>
      <c r="P203" s="73">
        <v>3</v>
      </c>
      <c r="Q203" s="73">
        <v>3</v>
      </c>
      <c r="R203" s="73">
        <v>3</v>
      </c>
      <c r="S203" s="73">
        <v>2</v>
      </c>
      <c r="T203" s="73">
        <v>1</v>
      </c>
      <c r="U203" s="131">
        <f t="shared" si="61"/>
        <v>18</v>
      </c>
      <c r="V203" s="75">
        <v>34</v>
      </c>
      <c r="W203" s="73">
        <v>17</v>
      </c>
      <c r="X203" s="73">
        <v>37</v>
      </c>
      <c r="Y203" s="73">
        <v>17</v>
      </c>
      <c r="Z203" s="73">
        <v>32</v>
      </c>
      <c r="AA203" s="73">
        <v>17</v>
      </c>
      <c r="AB203" s="73">
        <v>52</v>
      </c>
      <c r="AC203" s="73">
        <v>23</v>
      </c>
      <c r="AD203" s="73">
        <v>53</v>
      </c>
      <c r="AE203" s="73">
        <v>29</v>
      </c>
      <c r="AF203" s="73">
        <v>49</v>
      </c>
      <c r="AG203" s="73">
        <v>23</v>
      </c>
      <c r="AH203" s="132">
        <f t="shared" si="62"/>
        <v>257</v>
      </c>
      <c r="AI203" s="131">
        <f t="shared" si="63"/>
        <v>126</v>
      </c>
      <c r="AJ203" s="75">
        <v>7</v>
      </c>
      <c r="AK203" s="73">
        <v>1</v>
      </c>
      <c r="AL203" s="73">
        <v>24</v>
      </c>
      <c r="AM203" s="74">
        <v>11</v>
      </c>
      <c r="AN203" s="1093"/>
    </row>
    <row r="204" spans="1:40" ht="17.100000000000001" customHeight="1">
      <c r="A204" s="168" t="s">
        <v>155</v>
      </c>
      <c r="B204" s="168" t="s">
        <v>9</v>
      </c>
      <c r="C204" s="168" t="s">
        <v>9</v>
      </c>
      <c r="D204" s="168" t="s">
        <v>4</v>
      </c>
      <c r="E204" s="168" t="s">
        <v>1087</v>
      </c>
      <c r="F204" s="71">
        <v>41699</v>
      </c>
      <c r="G204" s="50" t="s">
        <v>4476</v>
      </c>
      <c r="H204" s="72">
        <v>12242</v>
      </c>
      <c r="I204" s="52">
        <v>21986</v>
      </c>
      <c r="J204" s="53" t="s">
        <v>2385</v>
      </c>
      <c r="K204" s="53" t="s">
        <v>2385</v>
      </c>
      <c r="L204" s="54" t="s">
        <v>1088</v>
      </c>
      <c r="M204" s="338">
        <v>6</v>
      </c>
      <c r="N204" s="73">
        <v>6</v>
      </c>
      <c r="O204" s="73">
        <v>7</v>
      </c>
      <c r="P204" s="73">
        <v>8</v>
      </c>
      <c r="Q204" s="73">
        <v>8</v>
      </c>
      <c r="R204" s="73">
        <v>8</v>
      </c>
      <c r="S204" s="73">
        <v>1</v>
      </c>
      <c r="T204" s="73">
        <v>0</v>
      </c>
      <c r="U204" s="131">
        <f t="shared" si="61"/>
        <v>44</v>
      </c>
      <c r="V204" s="75">
        <v>136</v>
      </c>
      <c r="W204" s="73">
        <v>68</v>
      </c>
      <c r="X204" s="73">
        <v>166</v>
      </c>
      <c r="Y204" s="73">
        <v>89</v>
      </c>
      <c r="Z204" s="73">
        <v>167</v>
      </c>
      <c r="AA204" s="73">
        <v>80</v>
      </c>
      <c r="AB204" s="73">
        <v>190</v>
      </c>
      <c r="AC204" s="73">
        <v>109</v>
      </c>
      <c r="AD204" s="73">
        <v>212</v>
      </c>
      <c r="AE204" s="73">
        <v>95</v>
      </c>
      <c r="AF204" s="73">
        <v>195</v>
      </c>
      <c r="AG204" s="73">
        <v>92</v>
      </c>
      <c r="AH204" s="132">
        <f t="shared" si="62"/>
        <v>1066</v>
      </c>
      <c r="AI204" s="131">
        <f t="shared" si="63"/>
        <v>533</v>
      </c>
      <c r="AJ204" s="311">
        <v>4</v>
      </c>
      <c r="AK204" s="73">
        <v>0</v>
      </c>
      <c r="AL204" s="73">
        <v>0</v>
      </c>
      <c r="AM204" s="74">
        <v>0</v>
      </c>
      <c r="AN204" s="1093"/>
    </row>
    <row r="205" spans="1:40" ht="20.100000000000001" customHeight="1">
      <c r="A205" s="168" t="s">
        <v>155</v>
      </c>
      <c r="B205" s="168" t="s">
        <v>9</v>
      </c>
      <c r="C205" s="168" t="s">
        <v>9</v>
      </c>
      <c r="D205" s="168" t="s">
        <v>4</v>
      </c>
      <c r="E205" s="168" t="s">
        <v>4477</v>
      </c>
      <c r="F205" s="71">
        <v>45536</v>
      </c>
      <c r="G205" s="50" t="s">
        <v>4478</v>
      </c>
      <c r="H205" s="72">
        <v>14000</v>
      </c>
      <c r="I205" s="52">
        <v>22025</v>
      </c>
      <c r="J205" s="53" t="s">
        <v>2372</v>
      </c>
      <c r="K205" s="53" t="s">
        <v>2373</v>
      </c>
      <c r="L205" s="54" t="s">
        <v>4479</v>
      </c>
      <c r="M205" s="338">
        <v>10</v>
      </c>
      <c r="N205" s="73">
        <v>8</v>
      </c>
      <c r="O205" s="73">
        <v>7</v>
      </c>
      <c r="P205" s="73">
        <v>8</v>
      </c>
      <c r="Q205" s="73">
        <v>8</v>
      </c>
      <c r="R205" s="73">
        <v>7</v>
      </c>
      <c r="S205" s="73">
        <v>2</v>
      </c>
      <c r="T205" s="73">
        <v>0</v>
      </c>
      <c r="U205" s="131">
        <f t="shared" si="61"/>
        <v>50</v>
      </c>
      <c r="V205" s="75">
        <v>245</v>
      </c>
      <c r="W205" s="73">
        <v>116</v>
      </c>
      <c r="X205" s="73">
        <v>196</v>
      </c>
      <c r="Y205" s="73">
        <v>95</v>
      </c>
      <c r="Z205" s="73">
        <v>190</v>
      </c>
      <c r="AA205" s="73">
        <v>94</v>
      </c>
      <c r="AB205" s="73">
        <v>200</v>
      </c>
      <c r="AC205" s="73">
        <v>110</v>
      </c>
      <c r="AD205" s="73">
        <v>210</v>
      </c>
      <c r="AE205" s="73">
        <v>104</v>
      </c>
      <c r="AF205" s="73">
        <v>187</v>
      </c>
      <c r="AG205" s="73">
        <v>87</v>
      </c>
      <c r="AH205" s="132">
        <f t="shared" si="62"/>
        <v>1228</v>
      </c>
      <c r="AI205" s="131">
        <f t="shared" si="63"/>
        <v>606</v>
      </c>
      <c r="AJ205" s="311">
        <v>10</v>
      </c>
      <c r="AK205" s="73">
        <v>2</v>
      </c>
      <c r="AL205" s="73">
        <v>0</v>
      </c>
      <c r="AM205" s="74">
        <v>0</v>
      </c>
      <c r="AN205" s="1093"/>
    </row>
    <row r="206" spans="1:40" ht="17.100000000000001" customHeight="1">
      <c r="A206" s="168" t="s">
        <v>155</v>
      </c>
      <c r="B206" s="168" t="s">
        <v>9</v>
      </c>
      <c r="C206" s="168" t="s">
        <v>9</v>
      </c>
      <c r="D206" s="168" t="s">
        <v>4</v>
      </c>
      <c r="E206" s="168" t="s">
        <v>1089</v>
      </c>
      <c r="F206" s="71">
        <v>41334</v>
      </c>
      <c r="G206" s="50" t="s">
        <v>4480</v>
      </c>
      <c r="H206" s="72">
        <v>14780.45</v>
      </c>
      <c r="I206" s="52">
        <v>21983</v>
      </c>
      <c r="J206" s="53" t="s">
        <v>2386</v>
      </c>
      <c r="K206" s="53" t="s">
        <v>2386</v>
      </c>
      <c r="L206" s="54" t="s">
        <v>1090</v>
      </c>
      <c r="M206" s="338">
        <v>6</v>
      </c>
      <c r="N206" s="73">
        <v>5</v>
      </c>
      <c r="O206" s="73">
        <v>5</v>
      </c>
      <c r="P206" s="73">
        <v>5</v>
      </c>
      <c r="Q206" s="73">
        <v>6</v>
      </c>
      <c r="R206" s="73">
        <v>6</v>
      </c>
      <c r="S206" s="73">
        <v>3</v>
      </c>
      <c r="T206" s="73">
        <v>0</v>
      </c>
      <c r="U206" s="131">
        <f t="shared" si="61"/>
        <v>36</v>
      </c>
      <c r="V206" s="75">
        <v>134</v>
      </c>
      <c r="W206" s="73">
        <v>67</v>
      </c>
      <c r="X206" s="73">
        <v>114</v>
      </c>
      <c r="Y206" s="73">
        <v>55</v>
      </c>
      <c r="Z206" s="73">
        <v>134</v>
      </c>
      <c r="AA206" s="73">
        <v>71</v>
      </c>
      <c r="AB206" s="73">
        <v>126</v>
      </c>
      <c r="AC206" s="73">
        <v>66</v>
      </c>
      <c r="AD206" s="73">
        <v>142</v>
      </c>
      <c r="AE206" s="73">
        <v>64</v>
      </c>
      <c r="AF206" s="73">
        <v>159</v>
      </c>
      <c r="AG206" s="73">
        <v>69</v>
      </c>
      <c r="AH206" s="132">
        <f t="shared" si="62"/>
        <v>809</v>
      </c>
      <c r="AI206" s="131">
        <f t="shared" si="63"/>
        <v>392</v>
      </c>
      <c r="AJ206" s="311">
        <v>14</v>
      </c>
      <c r="AK206" s="73">
        <v>9</v>
      </c>
      <c r="AL206" s="73">
        <v>0</v>
      </c>
      <c r="AM206" s="74">
        <v>0</v>
      </c>
      <c r="AN206" s="1093"/>
    </row>
    <row r="207" spans="1:40" ht="17.100000000000001" customHeight="1">
      <c r="A207" s="168" t="s">
        <v>155</v>
      </c>
      <c r="B207" s="168" t="s">
        <v>9</v>
      </c>
      <c r="C207" s="168" t="s">
        <v>9</v>
      </c>
      <c r="D207" s="168" t="s">
        <v>4</v>
      </c>
      <c r="E207" s="168" t="s">
        <v>1091</v>
      </c>
      <c r="F207" s="71">
        <v>42248</v>
      </c>
      <c r="G207" s="50" t="s">
        <v>1163</v>
      </c>
      <c r="H207" s="72">
        <v>12687</v>
      </c>
      <c r="I207" s="52">
        <v>22009</v>
      </c>
      <c r="J207" s="53" t="s">
        <v>1092</v>
      </c>
      <c r="K207" s="53" t="s">
        <v>1164</v>
      </c>
      <c r="L207" s="54" t="s">
        <v>2387</v>
      </c>
      <c r="M207" s="338">
        <v>6</v>
      </c>
      <c r="N207" s="73">
        <v>5</v>
      </c>
      <c r="O207" s="73">
        <v>6</v>
      </c>
      <c r="P207" s="73">
        <v>7</v>
      </c>
      <c r="Q207" s="73">
        <v>8</v>
      </c>
      <c r="R207" s="73">
        <v>8</v>
      </c>
      <c r="S207" s="73">
        <v>1</v>
      </c>
      <c r="T207" s="73">
        <v>0</v>
      </c>
      <c r="U207" s="131">
        <f t="shared" si="61"/>
        <v>41</v>
      </c>
      <c r="V207" s="75">
        <v>139</v>
      </c>
      <c r="W207" s="73">
        <v>66</v>
      </c>
      <c r="X207" s="73">
        <v>129</v>
      </c>
      <c r="Y207" s="73">
        <v>68</v>
      </c>
      <c r="Z207" s="73">
        <v>141</v>
      </c>
      <c r="AA207" s="73">
        <v>66</v>
      </c>
      <c r="AB207" s="73">
        <v>172</v>
      </c>
      <c r="AC207" s="73">
        <v>87</v>
      </c>
      <c r="AD207" s="73">
        <v>184</v>
      </c>
      <c r="AE207" s="73">
        <v>87</v>
      </c>
      <c r="AF207" s="73">
        <v>186</v>
      </c>
      <c r="AG207" s="73">
        <v>99</v>
      </c>
      <c r="AH207" s="132">
        <v>951</v>
      </c>
      <c r="AI207" s="131">
        <v>473</v>
      </c>
      <c r="AJ207" s="311">
        <v>4</v>
      </c>
      <c r="AK207" s="73">
        <v>1</v>
      </c>
      <c r="AL207" s="73">
        <v>0</v>
      </c>
      <c r="AM207" s="74">
        <v>0</v>
      </c>
      <c r="AN207" s="1093"/>
    </row>
    <row r="208" spans="1:40" ht="17.100000000000001" customHeight="1">
      <c r="A208" s="168" t="s">
        <v>155</v>
      </c>
      <c r="B208" s="168" t="s">
        <v>9</v>
      </c>
      <c r="C208" s="168" t="s">
        <v>9</v>
      </c>
      <c r="D208" s="168" t="s">
        <v>4</v>
      </c>
      <c r="E208" s="168" t="s">
        <v>1093</v>
      </c>
      <c r="F208" s="71">
        <v>38777</v>
      </c>
      <c r="G208" s="50" t="s">
        <v>2388</v>
      </c>
      <c r="H208" s="72">
        <v>12500</v>
      </c>
      <c r="I208" s="52">
        <v>21996</v>
      </c>
      <c r="J208" s="53" t="s">
        <v>1094</v>
      </c>
      <c r="K208" s="53" t="s">
        <v>4481</v>
      </c>
      <c r="L208" s="54" t="s">
        <v>1095</v>
      </c>
      <c r="M208" s="338">
        <v>2</v>
      </c>
      <c r="N208" s="73">
        <v>3</v>
      </c>
      <c r="O208" s="73">
        <v>3</v>
      </c>
      <c r="P208" s="73">
        <v>3</v>
      </c>
      <c r="Q208" s="73">
        <v>4</v>
      </c>
      <c r="R208" s="73">
        <v>4</v>
      </c>
      <c r="S208" s="73">
        <v>2</v>
      </c>
      <c r="T208" s="73">
        <v>0</v>
      </c>
      <c r="U208" s="131">
        <f t="shared" si="61"/>
        <v>21</v>
      </c>
      <c r="V208" s="75">
        <v>50</v>
      </c>
      <c r="W208" s="73">
        <v>23</v>
      </c>
      <c r="X208" s="73">
        <v>65</v>
      </c>
      <c r="Y208" s="73">
        <v>32</v>
      </c>
      <c r="Z208" s="73">
        <v>63</v>
      </c>
      <c r="AA208" s="73">
        <v>28</v>
      </c>
      <c r="AB208" s="73">
        <v>76</v>
      </c>
      <c r="AC208" s="73">
        <v>36</v>
      </c>
      <c r="AD208" s="73">
        <v>92</v>
      </c>
      <c r="AE208" s="73">
        <v>47</v>
      </c>
      <c r="AF208" s="73">
        <v>100</v>
      </c>
      <c r="AG208" s="73">
        <v>53</v>
      </c>
      <c r="AH208" s="132">
        <f t="shared" ref="AH208:AH223" si="64">V208+X208+Z208+AB208+AD208+AF208</f>
        <v>446</v>
      </c>
      <c r="AI208" s="131">
        <f t="shared" ref="AI208:AI223" si="65">W208+Y208+AA208+AC208+AE208+AG208</f>
        <v>219</v>
      </c>
      <c r="AJ208" s="311">
        <v>8</v>
      </c>
      <c r="AK208" s="73">
        <v>5</v>
      </c>
      <c r="AL208" s="73">
        <v>0</v>
      </c>
      <c r="AM208" s="74">
        <v>0</v>
      </c>
      <c r="AN208" s="1093"/>
    </row>
    <row r="209" spans="1:40" ht="17.100000000000001" customHeight="1">
      <c r="A209" s="168" t="s">
        <v>155</v>
      </c>
      <c r="B209" s="168" t="s">
        <v>9</v>
      </c>
      <c r="C209" s="168" t="s">
        <v>9</v>
      </c>
      <c r="D209" s="168" t="s">
        <v>4</v>
      </c>
      <c r="E209" s="168" t="s">
        <v>1096</v>
      </c>
      <c r="F209" s="71">
        <v>40422</v>
      </c>
      <c r="G209" s="50" t="s">
        <v>1537</v>
      </c>
      <c r="H209" s="72">
        <v>12518</v>
      </c>
      <c r="I209" s="52">
        <v>22002</v>
      </c>
      <c r="J209" s="53" t="s">
        <v>1097</v>
      </c>
      <c r="K209" s="53" t="s">
        <v>1098</v>
      </c>
      <c r="L209" s="54" t="s">
        <v>1099</v>
      </c>
      <c r="M209" s="338">
        <v>8</v>
      </c>
      <c r="N209" s="73">
        <v>8</v>
      </c>
      <c r="O209" s="73">
        <v>8</v>
      </c>
      <c r="P209" s="73">
        <v>9</v>
      </c>
      <c r="Q209" s="73">
        <v>10</v>
      </c>
      <c r="R209" s="73">
        <v>10</v>
      </c>
      <c r="S209" s="73">
        <v>1</v>
      </c>
      <c r="T209" s="73">
        <v>0</v>
      </c>
      <c r="U209" s="131">
        <f t="shared" si="61"/>
        <v>54</v>
      </c>
      <c r="V209" s="75">
        <v>186</v>
      </c>
      <c r="W209" s="73">
        <v>98</v>
      </c>
      <c r="X209" s="73">
        <v>233</v>
      </c>
      <c r="Y209" s="73">
        <v>118</v>
      </c>
      <c r="Z209" s="73">
        <v>232</v>
      </c>
      <c r="AA209" s="73">
        <v>124</v>
      </c>
      <c r="AB209" s="73">
        <v>265</v>
      </c>
      <c r="AC209" s="73">
        <v>129</v>
      </c>
      <c r="AD209" s="73">
        <v>294</v>
      </c>
      <c r="AE209" s="73">
        <v>157</v>
      </c>
      <c r="AF209" s="73">
        <v>289</v>
      </c>
      <c r="AG209" s="73">
        <v>137</v>
      </c>
      <c r="AH209" s="132">
        <f t="shared" si="64"/>
        <v>1499</v>
      </c>
      <c r="AI209" s="131">
        <f t="shared" si="65"/>
        <v>763</v>
      </c>
      <c r="AJ209" s="75">
        <v>6</v>
      </c>
      <c r="AK209" s="73">
        <v>1</v>
      </c>
      <c r="AL209" s="73">
        <v>0</v>
      </c>
      <c r="AM209" s="74">
        <v>0</v>
      </c>
      <c r="AN209" s="1093"/>
    </row>
    <row r="210" spans="1:40" ht="17.100000000000001" customHeight="1">
      <c r="A210" s="168" t="s">
        <v>155</v>
      </c>
      <c r="B210" s="168" t="s">
        <v>9</v>
      </c>
      <c r="C210" s="168" t="s">
        <v>9</v>
      </c>
      <c r="D210" s="168" t="s">
        <v>4</v>
      </c>
      <c r="E210" s="168" t="s">
        <v>1100</v>
      </c>
      <c r="F210" s="71">
        <v>34394</v>
      </c>
      <c r="G210" s="50" t="s">
        <v>1101</v>
      </c>
      <c r="H210" s="72">
        <v>11325</v>
      </c>
      <c r="I210" s="52">
        <v>21974</v>
      </c>
      <c r="J210" s="53" t="s">
        <v>1102</v>
      </c>
      <c r="K210" s="53" t="s">
        <v>1165</v>
      </c>
      <c r="L210" s="54" t="s">
        <v>1103</v>
      </c>
      <c r="M210" s="338">
        <v>3</v>
      </c>
      <c r="N210" s="73">
        <v>4</v>
      </c>
      <c r="O210" s="73">
        <v>4</v>
      </c>
      <c r="P210" s="73">
        <v>4</v>
      </c>
      <c r="Q210" s="73">
        <v>5</v>
      </c>
      <c r="R210" s="73">
        <v>7</v>
      </c>
      <c r="S210" s="73">
        <v>1</v>
      </c>
      <c r="T210" s="73">
        <v>0</v>
      </c>
      <c r="U210" s="131">
        <f t="shared" si="61"/>
        <v>28</v>
      </c>
      <c r="V210" s="75">
        <v>81</v>
      </c>
      <c r="W210" s="73">
        <v>41</v>
      </c>
      <c r="X210" s="73">
        <v>105</v>
      </c>
      <c r="Y210" s="73">
        <v>54</v>
      </c>
      <c r="Z210" s="73">
        <v>106</v>
      </c>
      <c r="AA210" s="73">
        <v>59</v>
      </c>
      <c r="AB210" s="73">
        <v>105</v>
      </c>
      <c r="AC210" s="73">
        <v>50</v>
      </c>
      <c r="AD210" s="73">
        <v>129</v>
      </c>
      <c r="AE210" s="73">
        <v>58</v>
      </c>
      <c r="AF210" s="73">
        <v>168</v>
      </c>
      <c r="AG210" s="73">
        <v>92</v>
      </c>
      <c r="AH210" s="132">
        <f t="shared" si="64"/>
        <v>694</v>
      </c>
      <c r="AI210" s="131">
        <f t="shared" si="65"/>
        <v>354</v>
      </c>
      <c r="AJ210" s="75">
        <v>1</v>
      </c>
      <c r="AK210" s="73">
        <v>0</v>
      </c>
      <c r="AL210" s="73">
        <v>0</v>
      </c>
      <c r="AM210" s="74">
        <v>0</v>
      </c>
      <c r="AN210" s="1093"/>
    </row>
    <row r="211" spans="1:40" ht="17.100000000000001" customHeight="1">
      <c r="A211" s="168" t="s">
        <v>155</v>
      </c>
      <c r="B211" s="168" t="s">
        <v>9</v>
      </c>
      <c r="C211" s="168" t="s">
        <v>9</v>
      </c>
      <c r="D211" s="168" t="s">
        <v>4</v>
      </c>
      <c r="E211" s="168" t="s">
        <v>1104</v>
      </c>
      <c r="F211" s="71">
        <v>42430</v>
      </c>
      <c r="G211" s="50" t="s">
        <v>1105</v>
      </c>
      <c r="H211" s="72">
        <v>16663</v>
      </c>
      <c r="I211" s="52">
        <v>22002</v>
      </c>
      <c r="J211" s="53" t="s">
        <v>1106</v>
      </c>
      <c r="K211" s="53" t="s">
        <v>1107</v>
      </c>
      <c r="L211" s="54" t="s">
        <v>2389</v>
      </c>
      <c r="M211" s="338">
        <v>8</v>
      </c>
      <c r="N211" s="73">
        <v>8</v>
      </c>
      <c r="O211" s="73">
        <v>7</v>
      </c>
      <c r="P211" s="73">
        <v>8</v>
      </c>
      <c r="Q211" s="73">
        <v>9</v>
      </c>
      <c r="R211" s="73">
        <v>8</v>
      </c>
      <c r="S211" s="73">
        <v>3</v>
      </c>
      <c r="T211" s="73">
        <v>0</v>
      </c>
      <c r="U211" s="131">
        <f t="shared" si="61"/>
        <v>51</v>
      </c>
      <c r="V211" s="75">
        <v>194</v>
      </c>
      <c r="W211" s="73">
        <v>101</v>
      </c>
      <c r="X211" s="73">
        <v>194</v>
      </c>
      <c r="Y211" s="73">
        <v>101</v>
      </c>
      <c r="Z211" s="73">
        <v>172</v>
      </c>
      <c r="AA211" s="73">
        <v>79</v>
      </c>
      <c r="AB211" s="73">
        <v>192</v>
      </c>
      <c r="AC211" s="73">
        <v>89</v>
      </c>
      <c r="AD211" s="73">
        <v>235</v>
      </c>
      <c r="AE211" s="73">
        <v>114</v>
      </c>
      <c r="AF211" s="73">
        <v>192</v>
      </c>
      <c r="AG211" s="73">
        <v>87</v>
      </c>
      <c r="AH211" s="132">
        <f t="shared" si="64"/>
        <v>1179</v>
      </c>
      <c r="AI211" s="131">
        <f t="shared" si="65"/>
        <v>571</v>
      </c>
      <c r="AJ211" s="311">
        <v>15</v>
      </c>
      <c r="AK211" s="73">
        <v>5</v>
      </c>
      <c r="AL211" s="73">
        <v>0</v>
      </c>
      <c r="AM211" s="74">
        <v>0</v>
      </c>
      <c r="AN211" s="1093"/>
    </row>
    <row r="212" spans="1:40" ht="17.100000000000001" customHeight="1">
      <c r="A212" s="168" t="s">
        <v>155</v>
      </c>
      <c r="B212" s="168" t="s">
        <v>9</v>
      </c>
      <c r="C212" s="168" t="s">
        <v>9</v>
      </c>
      <c r="D212" s="168" t="s">
        <v>4</v>
      </c>
      <c r="E212" s="168" t="s">
        <v>1108</v>
      </c>
      <c r="F212" s="71">
        <v>33664</v>
      </c>
      <c r="G212" s="50" t="s">
        <v>2390</v>
      </c>
      <c r="H212" s="72">
        <v>11282.9</v>
      </c>
      <c r="I212" s="52">
        <v>21937</v>
      </c>
      <c r="J212" s="53" t="s">
        <v>2391</v>
      </c>
      <c r="K212" s="53" t="s">
        <v>2392</v>
      </c>
      <c r="L212" s="54" t="s">
        <v>1109</v>
      </c>
      <c r="M212" s="338">
        <v>2</v>
      </c>
      <c r="N212" s="73">
        <v>2</v>
      </c>
      <c r="O212" s="73">
        <v>2</v>
      </c>
      <c r="P212" s="73">
        <v>2</v>
      </c>
      <c r="Q212" s="73">
        <v>3</v>
      </c>
      <c r="R212" s="73">
        <v>2</v>
      </c>
      <c r="S212" s="73">
        <v>4</v>
      </c>
      <c r="T212" s="73">
        <v>0</v>
      </c>
      <c r="U212" s="131">
        <f t="shared" si="61"/>
        <v>17</v>
      </c>
      <c r="V212" s="75">
        <v>31</v>
      </c>
      <c r="W212" s="73">
        <v>12</v>
      </c>
      <c r="X212" s="73">
        <v>29</v>
      </c>
      <c r="Y212" s="73">
        <v>8</v>
      </c>
      <c r="Z212" s="73">
        <v>32</v>
      </c>
      <c r="AA212" s="73">
        <v>12</v>
      </c>
      <c r="AB212" s="73">
        <v>53</v>
      </c>
      <c r="AC212" s="73">
        <v>25</v>
      </c>
      <c r="AD212" s="73">
        <v>57</v>
      </c>
      <c r="AE212" s="73">
        <v>28</v>
      </c>
      <c r="AF212" s="73">
        <v>42</v>
      </c>
      <c r="AG212" s="73">
        <v>21</v>
      </c>
      <c r="AH212" s="132">
        <f t="shared" si="64"/>
        <v>244</v>
      </c>
      <c r="AI212" s="131">
        <f t="shared" si="65"/>
        <v>106</v>
      </c>
      <c r="AJ212" s="311">
        <v>15</v>
      </c>
      <c r="AK212" s="73">
        <v>6</v>
      </c>
      <c r="AL212" s="73">
        <v>0</v>
      </c>
      <c r="AM212" s="74">
        <v>0</v>
      </c>
      <c r="AN212" s="1093"/>
    </row>
    <row r="213" spans="1:40" ht="17.100000000000001" customHeight="1">
      <c r="A213" s="168" t="s">
        <v>155</v>
      </c>
      <c r="B213" s="168" t="s">
        <v>9</v>
      </c>
      <c r="C213" s="168" t="s">
        <v>9</v>
      </c>
      <c r="D213" s="168" t="s">
        <v>4</v>
      </c>
      <c r="E213" s="168" t="s">
        <v>1110</v>
      </c>
      <c r="F213" s="71">
        <v>34759</v>
      </c>
      <c r="G213" s="50" t="s">
        <v>4482</v>
      </c>
      <c r="H213" s="72">
        <v>11178</v>
      </c>
      <c r="I213" s="52">
        <v>21931</v>
      </c>
      <c r="J213" s="53" t="s">
        <v>4483</v>
      </c>
      <c r="K213" s="53" t="s">
        <v>4484</v>
      </c>
      <c r="L213" s="54" t="s">
        <v>2393</v>
      </c>
      <c r="M213" s="338">
        <v>3</v>
      </c>
      <c r="N213" s="73">
        <v>4</v>
      </c>
      <c r="O213" s="73">
        <v>4</v>
      </c>
      <c r="P213" s="73">
        <v>4</v>
      </c>
      <c r="Q213" s="73">
        <v>5</v>
      </c>
      <c r="R213" s="73">
        <v>5</v>
      </c>
      <c r="S213" s="73">
        <v>2</v>
      </c>
      <c r="T213" s="73">
        <v>1</v>
      </c>
      <c r="U213" s="131">
        <f t="shared" si="61"/>
        <v>28</v>
      </c>
      <c r="V213" s="75">
        <v>79</v>
      </c>
      <c r="W213" s="73">
        <v>46</v>
      </c>
      <c r="X213" s="73">
        <v>85</v>
      </c>
      <c r="Y213" s="73">
        <v>37</v>
      </c>
      <c r="Z213" s="73">
        <v>90</v>
      </c>
      <c r="AA213" s="73">
        <v>39</v>
      </c>
      <c r="AB213" s="73">
        <v>95</v>
      </c>
      <c r="AC213" s="73">
        <v>43</v>
      </c>
      <c r="AD213" s="73">
        <v>116</v>
      </c>
      <c r="AE213" s="73">
        <v>61</v>
      </c>
      <c r="AF213" s="73">
        <v>116</v>
      </c>
      <c r="AG213" s="73">
        <v>53</v>
      </c>
      <c r="AH213" s="132">
        <f t="shared" si="64"/>
        <v>581</v>
      </c>
      <c r="AI213" s="131">
        <f t="shared" si="65"/>
        <v>279</v>
      </c>
      <c r="AJ213" s="311">
        <v>10</v>
      </c>
      <c r="AK213" s="73">
        <v>5</v>
      </c>
      <c r="AL213" s="73">
        <v>28</v>
      </c>
      <c r="AM213" s="74">
        <v>10</v>
      </c>
      <c r="AN213" s="1093"/>
    </row>
    <row r="214" spans="1:40" ht="17.100000000000001" customHeight="1">
      <c r="A214" s="168" t="s">
        <v>155</v>
      </c>
      <c r="B214" s="168" t="s">
        <v>9</v>
      </c>
      <c r="C214" s="168" t="s">
        <v>9</v>
      </c>
      <c r="D214" s="168" t="s">
        <v>4</v>
      </c>
      <c r="E214" s="168" t="s">
        <v>1111</v>
      </c>
      <c r="F214" s="71">
        <v>43160</v>
      </c>
      <c r="G214" s="50" t="s">
        <v>4485</v>
      </c>
      <c r="H214" s="72">
        <v>12999.8</v>
      </c>
      <c r="I214" s="52">
        <v>22009</v>
      </c>
      <c r="J214" s="53" t="s">
        <v>1112</v>
      </c>
      <c r="K214" s="53" t="s">
        <v>1113</v>
      </c>
      <c r="L214" s="54" t="s">
        <v>1114</v>
      </c>
      <c r="M214" s="338">
        <v>7</v>
      </c>
      <c r="N214" s="73">
        <v>8</v>
      </c>
      <c r="O214" s="73">
        <v>7</v>
      </c>
      <c r="P214" s="73">
        <v>8</v>
      </c>
      <c r="Q214" s="73">
        <v>9</v>
      </c>
      <c r="R214" s="73">
        <v>8</v>
      </c>
      <c r="S214" s="73">
        <v>1</v>
      </c>
      <c r="T214" s="73">
        <v>0</v>
      </c>
      <c r="U214" s="131">
        <f t="shared" si="61"/>
        <v>48</v>
      </c>
      <c r="V214" s="75">
        <v>175</v>
      </c>
      <c r="W214" s="73">
        <v>98</v>
      </c>
      <c r="X214" s="73">
        <v>190</v>
      </c>
      <c r="Y214" s="73">
        <v>90</v>
      </c>
      <c r="Z214" s="73">
        <v>163</v>
      </c>
      <c r="AA214" s="73">
        <v>82</v>
      </c>
      <c r="AB214" s="73">
        <v>205</v>
      </c>
      <c r="AC214" s="73">
        <v>108</v>
      </c>
      <c r="AD214" s="73">
        <v>215</v>
      </c>
      <c r="AE214" s="73">
        <v>94</v>
      </c>
      <c r="AF214" s="73">
        <v>209</v>
      </c>
      <c r="AG214" s="73">
        <v>114</v>
      </c>
      <c r="AH214" s="132">
        <f t="shared" si="64"/>
        <v>1157</v>
      </c>
      <c r="AI214" s="131">
        <f t="shared" si="65"/>
        <v>586</v>
      </c>
      <c r="AJ214" s="311">
        <v>8</v>
      </c>
      <c r="AK214" s="73">
        <v>6</v>
      </c>
      <c r="AL214" s="73">
        <v>0</v>
      </c>
      <c r="AM214" s="74">
        <v>0</v>
      </c>
      <c r="AN214" s="1093"/>
    </row>
    <row r="215" spans="1:40" ht="17.100000000000001" customHeight="1">
      <c r="A215" s="168" t="s">
        <v>155</v>
      </c>
      <c r="B215" s="168" t="s">
        <v>9</v>
      </c>
      <c r="C215" s="168" t="s">
        <v>9</v>
      </c>
      <c r="D215" s="168" t="s">
        <v>4</v>
      </c>
      <c r="E215" s="168" t="s">
        <v>1115</v>
      </c>
      <c r="F215" s="71">
        <v>35309</v>
      </c>
      <c r="G215" s="50" t="s">
        <v>4486</v>
      </c>
      <c r="H215" s="72">
        <v>17022</v>
      </c>
      <c r="I215" s="52">
        <v>21950</v>
      </c>
      <c r="J215" s="53" t="s">
        <v>1116</v>
      </c>
      <c r="K215" s="53" t="s">
        <v>1117</v>
      </c>
      <c r="L215" s="54" t="s">
        <v>1118</v>
      </c>
      <c r="M215" s="338">
        <v>4</v>
      </c>
      <c r="N215" s="73">
        <v>4</v>
      </c>
      <c r="O215" s="73">
        <v>6</v>
      </c>
      <c r="P215" s="73">
        <v>5</v>
      </c>
      <c r="Q215" s="73">
        <v>6</v>
      </c>
      <c r="R215" s="73">
        <v>5</v>
      </c>
      <c r="S215" s="73">
        <v>3</v>
      </c>
      <c r="T215" s="73">
        <v>1</v>
      </c>
      <c r="U215" s="131">
        <f t="shared" si="61"/>
        <v>34</v>
      </c>
      <c r="V215" s="75">
        <v>88</v>
      </c>
      <c r="W215" s="73">
        <v>31</v>
      </c>
      <c r="X215" s="73">
        <v>110</v>
      </c>
      <c r="Y215" s="73">
        <v>52</v>
      </c>
      <c r="Z215" s="73">
        <v>142</v>
      </c>
      <c r="AA215" s="73">
        <v>71</v>
      </c>
      <c r="AB215" s="73">
        <v>116</v>
      </c>
      <c r="AC215" s="73">
        <v>55</v>
      </c>
      <c r="AD215" s="73">
        <v>152</v>
      </c>
      <c r="AE215" s="73">
        <v>86</v>
      </c>
      <c r="AF215" s="73">
        <v>122</v>
      </c>
      <c r="AG215" s="73">
        <v>64</v>
      </c>
      <c r="AH215" s="132">
        <f t="shared" si="64"/>
        <v>730</v>
      </c>
      <c r="AI215" s="131">
        <f t="shared" si="65"/>
        <v>359</v>
      </c>
      <c r="AJ215" s="75">
        <v>14</v>
      </c>
      <c r="AK215" s="73">
        <v>7</v>
      </c>
      <c r="AL215" s="73">
        <v>25</v>
      </c>
      <c r="AM215" s="74">
        <v>6</v>
      </c>
      <c r="AN215" s="1093"/>
    </row>
    <row r="216" spans="1:40" ht="17.100000000000001" customHeight="1">
      <c r="A216" s="168" t="s">
        <v>155</v>
      </c>
      <c r="B216" s="168" t="s">
        <v>9</v>
      </c>
      <c r="C216" s="168" t="s">
        <v>9</v>
      </c>
      <c r="D216" s="168" t="s">
        <v>4</v>
      </c>
      <c r="E216" s="168" t="s">
        <v>1119</v>
      </c>
      <c r="F216" s="71">
        <v>43891</v>
      </c>
      <c r="G216" s="50" t="s">
        <v>4487</v>
      </c>
      <c r="H216" s="72">
        <v>17767</v>
      </c>
      <c r="I216" s="52">
        <v>22019</v>
      </c>
      <c r="J216" s="53" t="s">
        <v>1120</v>
      </c>
      <c r="K216" s="53" t="s">
        <v>1121</v>
      </c>
      <c r="L216" s="54" t="s">
        <v>1122</v>
      </c>
      <c r="M216" s="338">
        <v>9</v>
      </c>
      <c r="N216" s="73">
        <v>9</v>
      </c>
      <c r="O216" s="73">
        <v>9</v>
      </c>
      <c r="P216" s="73">
        <v>11</v>
      </c>
      <c r="Q216" s="73">
        <v>10</v>
      </c>
      <c r="R216" s="73">
        <v>10</v>
      </c>
      <c r="S216" s="73">
        <v>3</v>
      </c>
      <c r="T216" s="73">
        <v>0</v>
      </c>
      <c r="U216" s="131">
        <f t="shared" si="61"/>
        <v>61</v>
      </c>
      <c r="V216" s="75">
        <v>222</v>
      </c>
      <c r="W216" s="73">
        <v>113</v>
      </c>
      <c r="X216" s="73">
        <v>231</v>
      </c>
      <c r="Y216" s="73">
        <v>101</v>
      </c>
      <c r="Z216" s="73">
        <v>243</v>
      </c>
      <c r="AA216" s="73">
        <v>114</v>
      </c>
      <c r="AB216" s="73">
        <v>267</v>
      </c>
      <c r="AC216" s="73">
        <v>134</v>
      </c>
      <c r="AD216" s="73">
        <v>249</v>
      </c>
      <c r="AE216" s="73">
        <v>128</v>
      </c>
      <c r="AF216" s="73">
        <v>253</v>
      </c>
      <c r="AG216" s="73">
        <v>116</v>
      </c>
      <c r="AH216" s="132">
        <f t="shared" si="64"/>
        <v>1465</v>
      </c>
      <c r="AI216" s="131">
        <f t="shared" si="65"/>
        <v>706</v>
      </c>
      <c r="AJ216" s="311">
        <v>14</v>
      </c>
      <c r="AK216" s="73">
        <v>6</v>
      </c>
      <c r="AL216" s="73">
        <v>0</v>
      </c>
      <c r="AM216" s="74">
        <v>0</v>
      </c>
      <c r="AN216" s="1093"/>
    </row>
    <row r="217" spans="1:40" ht="17.100000000000001" customHeight="1">
      <c r="A217" s="168" t="s">
        <v>155</v>
      </c>
      <c r="B217" s="168" t="s">
        <v>9</v>
      </c>
      <c r="C217" s="168" t="s">
        <v>9</v>
      </c>
      <c r="D217" s="168" t="s">
        <v>4</v>
      </c>
      <c r="E217" s="168" t="s">
        <v>1123</v>
      </c>
      <c r="F217" s="71">
        <v>26218</v>
      </c>
      <c r="G217" s="50" t="s">
        <v>1166</v>
      </c>
      <c r="H217" s="72">
        <v>11286</v>
      </c>
      <c r="I217" s="52">
        <v>21933</v>
      </c>
      <c r="J217" s="53" t="s">
        <v>1124</v>
      </c>
      <c r="K217" s="53" t="s">
        <v>1125</v>
      </c>
      <c r="L217" s="54" t="s">
        <v>1126</v>
      </c>
      <c r="M217" s="338">
        <v>2</v>
      </c>
      <c r="N217" s="73">
        <v>2</v>
      </c>
      <c r="O217" s="73">
        <v>2</v>
      </c>
      <c r="P217" s="73">
        <v>3</v>
      </c>
      <c r="Q217" s="73">
        <v>3</v>
      </c>
      <c r="R217" s="73">
        <v>3</v>
      </c>
      <c r="S217" s="73">
        <v>2</v>
      </c>
      <c r="T217" s="73">
        <v>0</v>
      </c>
      <c r="U217" s="131">
        <f t="shared" si="61"/>
        <v>17</v>
      </c>
      <c r="V217" s="75">
        <v>28</v>
      </c>
      <c r="W217" s="73">
        <v>15</v>
      </c>
      <c r="X217" s="73">
        <v>26</v>
      </c>
      <c r="Y217" s="73">
        <v>14</v>
      </c>
      <c r="Z217" s="73">
        <v>30</v>
      </c>
      <c r="AA217" s="73">
        <v>17</v>
      </c>
      <c r="AB217" s="73">
        <v>45</v>
      </c>
      <c r="AC217" s="73">
        <v>21</v>
      </c>
      <c r="AD217" s="73">
        <v>45</v>
      </c>
      <c r="AE217" s="73">
        <v>32</v>
      </c>
      <c r="AF217" s="73">
        <v>48</v>
      </c>
      <c r="AG217" s="73">
        <v>16</v>
      </c>
      <c r="AH217" s="132">
        <f t="shared" si="64"/>
        <v>222</v>
      </c>
      <c r="AI217" s="131">
        <f t="shared" si="65"/>
        <v>115</v>
      </c>
      <c r="AJ217" s="311">
        <v>10</v>
      </c>
      <c r="AK217" s="73">
        <v>2</v>
      </c>
      <c r="AL217" s="73">
        <v>0</v>
      </c>
      <c r="AM217" s="74">
        <v>0</v>
      </c>
      <c r="AN217" s="1093"/>
    </row>
    <row r="218" spans="1:40" ht="17.100000000000001" customHeight="1">
      <c r="A218" s="168" t="s">
        <v>155</v>
      </c>
      <c r="B218" s="168" t="s">
        <v>9</v>
      </c>
      <c r="C218" s="168" t="s">
        <v>9</v>
      </c>
      <c r="D218" s="168" t="s">
        <v>4</v>
      </c>
      <c r="E218" s="168" t="s">
        <v>1127</v>
      </c>
      <c r="F218" s="71">
        <v>42795</v>
      </c>
      <c r="G218" s="50" t="s">
        <v>1128</v>
      </c>
      <c r="H218" s="72">
        <v>12242</v>
      </c>
      <c r="I218" s="52">
        <v>21986</v>
      </c>
      <c r="J218" s="53" t="s">
        <v>2385</v>
      </c>
      <c r="K218" s="53" t="s">
        <v>2385</v>
      </c>
      <c r="L218" s="54" t="s">
        <v>1088</v>
      </c>
      <c r="M218" s="338">
        <v>9</v>
      </c>
      <c r="N218" s="73">
        <v>9</v>
      </c>
      <c r="O218" s="73">
        <v>10</v>
      </c>
      <c r="P218" s="73">
        <v>9</v>
      </c>
      <c r="Q218" s="73">
        <v>11</v>
      </c>
      <c r="R218" s="73">
        <v>11</v>
      </c>
      <c r="S218" s="73">
        <v>2</v>
      </c>
      <c r="T218" s="73">
        <v>0</v>
      </c>
      <c r="U218" s="131">
        <f t="shared" si="61"/>
        <v>61</v>
      </c>
      <c r="V218" s="75">
        <v>219</v>
      </c>
      <c r="W218" s="73">
        <v>102</v>
      </c>
      <c r="X218" s="73">
        <v>225</v>
      </c>
      <c r="Y218" s="73">
        <v>124</v>
      </c>
      <c r="Z218" s="73">
        <v>246</v>
      </c>
      <c r="AA218" s="73">
        <v>125</v>
      </c>
      <c r="AB218" s="73">
        <v>240</v>
      </c>
      <c r="AC218" s="73">
        <v>124</v>
      </c>
      <c r="AD218" s="73">
        <v>276</v>
      </c>
      <c r="AE218" s="73">
        <v>141</v>
      </c>
      <c r="AF218" s="73">
        <v>286</v>
      </c>
      <c r="AG218" s="73">
        <v>145</v>
      </c>
      <c r="AH218" s="132">
        <f t="shared" si="64"/>
        <v>1492</v>
      </c>
      <c r="AI218" s="131">
        <f t="shared" si="65"/>
        <v>761</v>
      </c>
      <c r="AJ218" s="311">
        <v>11</v>
      </c>
      <c r="AK218" s="73">
        <v>5</v>
      </c>
      <c r="AL218" s="73">
        <v>0</v>
      </c>
      <c r="AM218" s="74">
        <v>0</v>
      </c>
      <c r="AN218" s="1093"/>
    </row>
    <row r="219" spans="1:40" ht="17.100000000000001" customHeight="1">
      <c r="A219" s="168" t="s">
        <v>155</v>
      </c>
      <c r="B219" s="168" t="s">
        <v>9</v>
      </c>
      <c r="C219" s="168" t="s">
        <v>9</v>
      </c>
      <c r="D219" s="168" t="s">
        <v>4</v>
      </c>
      <c r="E219" s="168" t="s">
        <v>1129</v>
      </c>
      <c r="F219" s="71">
        <v>34759</v>
      </c>
      <c r="G219" s="50" t="s">
        <v>1130</v>
      </c>
      <c r="H219" s="72">
        <v>11303</v>
      </c>
      <c r="I219" s="52">
        <v>21967</v>
      </c>
      <c r="J219" s="53" t="s">
        <v>1131</v>
      </c>
      <c r="K219" s="53" t="s">
        <v>1131</v>
      </c>
      <c r="L219" s="54" t="s">
        <v>1132</v>
      </c>
      <c r="M219" s="338">
        <v>2</v>
      </c>
      <c r="N219" s="73">
        <v>3</v>
      </c>
      <c r="O219" s="73">
        <v>2</v>
      </c>
      <c r="P219" s="73">
        <v>3</v>
      </c>
      <c r="Q219" s="73">
        <v>3</v>
      </c>
      <c r="R219" s="73">
        <v>4</v>
      </c>
      <c r="S219" s="73">
        <v>1</v>
      </c>
      <c r="T219" s="73">
        <v>0</v>
      </c>
      <c r="U219" s="131">
        <f t="shared" si="61"/>
        <v>18</v>
      </c>
      <c r="V219" s="75">
        <v>36</v>
      </c>
      <c r="W219" s="73">
        <v>18</v>
      </c>
      <c r="X219" s="73">
        <v>66</v>
      </c>
      <c r="Y219" s="73">
        <v>35</v>
      </c>
      <c r="Z219" s="73">
        <v>46</v>
      </c>
      <c r="AA219" s="73">
        <v>18</v>
      </c>
      <c r="AB219" s="73">
        <v>70</v>
      </c>
      <c r="AC219" s="73">
        <v>38</v>
      </c>
      <c r="AD219" s="73">
        <v>79</v>
      </c>
      <c r="AE219" s="73">
        <v>40</v>
      </c>
      <c r="AF219" s="73">
        <v>94</v>
      </c>
      <c r="AG219" s="73">
        <v>46</v>
      </c>
      <c r="AH219" s="132">
        <f t="shared" si="64"/>
        <v>391</v>
      </c>
      <c r="AI219" s="131">
        <f t="shared" si="65"/>
        <v>195</v>
      </c>
      <c r="AJ219" s="75">
        <v>4</v>
      </c>
      <c r="AK219" s="73">
        <v>2</v>
      </c>
      <c r="AL219" s="73">
        <v>0</v>
      </c>
      <c r="AM219" s="74">
        <v>0</v>
      </c>
      <c r="AN219" s="1093"/>
    </row>
    <row r="220" spans="1:40" ht="17.100000000000001" customHeight="1">
      <c r="A220" s="168" t="s">
        <v>155</v>
      </c>
      <c r="B220" s="168" t="s">
        <v>9</v>
      </c>
      <c r="C220" s="168" t="s">
        <v>9</v>
      </c>
      <c r="D220" s="168" t="s">
        <v>4</v>
      </c>
      <c r="E220" s="168" t="s">
        <v>1133</v>
      </c>
      <c r="F220" s="71">
        <v>34759</v>
      </c>
      <c r="G220" s="50" t="s">
        <v>4488</v>
      </c>
      <c r="H220" s="72">
        <v>11878</v>
      </c>
      <c r="I220" s="52">
        <v>21915</v>
      </c>
      <c r="J220" s="53" t="s">
        <v>1134</v>
      </c>
      <c r="K220" s="53" t="s">
        <v>1134</v>
      </c>
      <c r="L220" s="54" t="s">
        <v>1135</v>
      </c>
      <c r="M220" s="338">
        <v>3</v>
      </c>
      <c r="N220" s="73">
        <v>4</v>
      </c>
      <c r="O220" s="73">
        <v>4</v>
      </c>
      <c r="P220" s="73">
        <v>4</v>
      </c>
      <c r="Q220" s="73">
        <v>4</v>
      </c>
      <c r="R220" s="73">
        <v>5</v>
      </c>
      <c r="S220" s="73">
        <v>3</v>
      </c>
      <c r="T220" s="73">
        <v>1</v>
      </c>
      <c r="U220" s="131">
        <f t="shared" si="61"/>
        <v>28</v>
      </c>
      <c r="V220" s="75">
        <v>61</v>
      </c>
      <c r="W220" s="73">
        <v>30</v>
      </c>
      <c r="X220" s="73">
        <v>68</v>
      </c>
      <c r="Y220" s="73">
        <v>34</v>
      </c>
      <c r="Z220" s="73">
        <v>78</v>
      </c>
      <c r="AA220" s="73">
        <v>45</v>
      </c>
      <c r="AB220" s="73">
        <v>72</v>
      </c>
      <c r="AC220" s="73">
        <v>35</v>
      </c>
      <c r="AD220" s="73">
        <v>71</v>
      </c>
      <c r="AE220" s="73">
        <v>28</v>
      </c>
      <c r="AF220" s="73">
        <v>90</v>
      </c>
      <c r="AG220" s="73">
        <v>40</v>
      </c>
      <c r="AH220" s="132">
        <f t="shared" si="64"/>
        <v>440</v>
      </c>
      <c r="AI220" s="131">
        <f t="shared" si="65"/>
        <v>212</v>
      </c>
      <c r="AJ220" s="75">
        <v>17</v>
      </c>
      <c r="AK220" s="73">
        <v>4</v>
      </c>
      <c r="AL220" s="73">
        <v>32</v>
      </c>
      <c r="AM220" s="74">
        <v>11</v>
      </c>
      <c r="AN220" s="1093"/>
    </row>
    <row r="221" spans="1:40" ht="17.100000000000001" customHeight="1">
      <c r="A221" s="168" t="s">
        <v>155</v>
      </c>
      <c r="B221" s="168" t="s">
        <v>9</v>
      </c>
      <c r="C221" s="168" t="s">
        <v>9</v>
      </c>
      <c r="D221" s="168" t="s">
        <v>4</v>
      </c>
      <c r="E221" s="168" t="s">
        <v>1136</v>
      </c>
      <c r="F221" s="71">
        <v>17059</v>
      </c>
      <c r="G221" s="50" t="s">
        <v>4489</v>
      </c>
      <c r="H221" s="72">
        <v>14866</v>
      </c>
      <c r="I221" s="52">
        <v>21941</v>
      </c>
      <c r="J221" s="53" t="s">
        <v>1137</v>
      </c>
      <c r="K221" s="53" t="s">
        <v>1138</v>
      </c>
      <c r="L221" s="54" t="s">
        <v>1139</v>
      </c>
      <c r="M221" s="338">
        <v>2</v>
      </c>
      <c r="N221" s="73">
        <v>2</v>
      </c>
      <c r="O221" s="73">
        <v>2</v>
      </c>
      <c r="P221" s="73">
        <v>3</v>
      </c>
      <c r="Q221" s="73">
        <v>3</v>
      </c>
      <c r="R221" s="73">
        <v>3</v>
      </c>
      <c r="S221" s="73">
        <v>2</v>
      </c>
      <c r="T221" s="73">
        <v>0</v>
      </c>
      <c r="U221" s="131">
        <f t="shared" si="61"/>
        <v>17</v>
      </c>
      <c r="V221" s="75">
        <v>28</v>
      </c>
      <c r="W221" s="73">
        <v>15</v>
      </c>
      <c r="X221" s="73">
        <v>38</v>
      </c>
      <c r="Y221" s="73">
        <v>18</v>
      </c>
      <c r="Z221" s="73">
        <v>30</v>
      </c>
      <c r="AA221" s="73">
        <v>12</v>
      </c>
      <c r="AB221" s="73">
        <v>43</v>
      </c>
      <c r="AC221" s="73">
        <v>17</v>
      </c>
      <c r="AD221" s="73">
        <v>46</v>
      </c>
      <c r="AE221" s="73">
        <v>17</v>
      </c>
      <c r="AF221" s="73">
        <v>47</v>
      </c>
      <c r="AG221" s="73">
        <v>24</v>
      </c>
      <c r="AH221" s="132">
        <f t="shared" si="64"/>
        <v>232</v>
      </c>
      <c r="AI221" s="131">
        <f t="shared" si="65"/>
        <v>103</v>
      </c>
      <c r="AJ221" s="75">
        <v>7</v>
      </c>
      <c r="AK221" s="73">
        <v>4</v>
      </c>
      <c r="AL221" s="73">
        <v>0</v>
      </c>
      <c r="AM221" s="74">
        <v>0</v>
      </c>
      <c r="AN221" s="1093"/>
    </row>
    <row r="222" spans="1:40" ht="17.100000000000001" customHeight="1">
      <c r="A222" s="168" t="s">
        <v>155</v>
      </c>
      <c r="B222" s="168" t="s">
        <v>9</v>
      </c>
      <c r="C222" s="168" t="s">
        <v>9</v>
      </c>
      <c r="D222" s="168" t="s">
        <v>4</v>
      </c>
      <c r="E222" s="168" t="s">
        <v>1140</v>
      </c>
      <c r="F222" s="71">
        <v>35855</v>
      </c>
      <c r="G222" s="50" t="s">
        <v>4490</v>
      </c>
      <c r="H222" s="72">
        <v>11272</v>
      </c>
      <c r="I222" s="52">
        <v>21922</v>
      </c>
      <c r="J222" s="53" t="s">
        <v>1141</v>
      </c>
      <c r="K222" s="53" t="s">
        <v>1142</v>
      </c>
      <c r="L222" s="54" t="s">
        <v>1143</v>
      </c>
      <c r="M222" s="338">
        <v>3</v>
      </c>
      <c r="N222" s="73">
        <v>3</v>
      </c>
      <c r="O222" s="73">
        <v>3</v>
      </c>
      <c r="P222" s="73">
        <v>4</v>
      </c>
      <c r="Q222" s="73">
        <v>5</v>
      </c>
      <c r="R222" s="73">
        <v>5</v>
      </c>
      <c r="S222" s="73">
        <v>4</v>
      </c>
      <c r="T222" s="73">
        <v>2</v>
      </c>
      <c r="U222" s="131">
        <f t="shared" si="61"/>
        <v>29</v>
      </c>
      <c r="V222" s="75">
        <v>54</v>
      </c>
      <c r="W222" s="73">
        <v>29</v>
      </c>
      <c r="X222" s="73">
        <v>52</v>
      </c>
      <c r="Y222" s="73">
        <v>24</v>
      </c>
      <c r="Z222" s="73">
        <v>55</v>
      </c>
      <c r="AA222" s="73">
        <v>28</v>
      </c>
      <c r="AB222" s="73">
        <v>74</v>
      </c>
      <c r="AC222" s="73">
        <v>43</v>
      </c>
      <c r="AD222" s="73">
        <v>82</v>
      </c>
      <c r="AE222" s="73">
        <v>40</v>
      </c>
      <c r="AF222" s="73">
        <v>81</v>
      </c>
      <c r="AG222" s="73">
        <v>44</v>
      </c>
      <c r="AH222" s="132">
        <f t="shared" si="64"/>
        <v>398</v>
      </c>
      <c r="AI222" s="131">
        <f t="shared" si="65"/>
        <v>208</v>
      </c>
      <c r="AJ222" s="311">
        <v>18</v>
      </c>
      <c r="AK222" s="73">
        <v>7</v>
      </c>
      <c r="AL222" s="73">
        <v>22</v>
      </c>
      <c r="AM222" s="74">
        <v>14</v>
      </c>
      <c r="AN222" s="1093"/>
    </row>
    <row r="223" spans="1:40" ht="17.100000000000001" customHeight="1">
      <c r="A223" s="168" t="s">
        <v>155</v>
      </c>
      <c r="B223" s="168" t="s">
        <v>9</v>
      </c>
      <c r="C223" s="168" t="s">
        <v>9</v>
      </c>
      <c r="D223" s="168" t="s">
        <v>4</v>
      </c>
      <c r="E223" s="168" t="s">
        <v>1144</v>
      </c>
      <c r="F223" s="71">
        <v>39326</v>
      </c>
      <c r="G223" s="50" t="s">
        <v>4491</v>
      </c>
      <c r="H223" s="72">
        <v>12500</v>
      </c>
      <c r="I223" s="52">
        <v>22000</v>
      </c>
      <c r="J223" s="53" t="s">
        <v>1536</v>
      </c>
      <c r="K223" s="53" t="s">
        <v>1536</v>
      </c>
      <c r="L223" s="54" t="s">
        <v>1145</v>
      </c>
      <c r="M223" s="338">
        <v>2</v>
      </c>
      <c r="N223" s="73">
        <v>3</v>
      </c>
      <c r="O223" s="73">
        <v>3</v>
      </c>
      <c r="P223" s="73">
        <v>4</v>
      </c>
      <c r="Q223" s="73">
        <v>4</v>
      </c>
      <c r="R223" s="73">
        <v>4</v>
      </c>
      <c r="S223" s="73">
        <v>3</v>
      </c>
      <c r="T223" s="73">
        <v>0</v>
      </c>
      <c r="U223" s="131">
        <f t="shared" si="61"/>
        <v>23</v>
      </c>
      <c r="V223" s="75">
        <v>52</v>
      </c>
      <c r="W223" s="73">
        <v>27</v>
      </c>
      <c r="X223" s="73">
        <v>73</v>
      </c>
      <c r="Y223" s="73">
        <v>39</v>
      </c>
      <c r="Z223" s="73">
        <v>69</v>
      </c>
      <c r="AA223" s="73">
        <v>34</v>
      </c>
      <c r="AB223" s="73">
        <v>88</v>
      </c>
      <c r="AC223" s="73">
        <v>38</v>
      </c>
      <c r="AD223" s="73">
        <v>89</v>
      </c>
      <c r="AE223" s="73">
        <v>44</v>
      </c>
      <c r="AF223" s="73">
        <v>109</v>
      </c>
      <c r="AG223" s="73">
        <v>54</v>
      </c>
      <c r="AH223" s="132">
        <f t="shared" si="64"/>
        <v>480</v>
      </c>
      <c r="AI223" s="131">
        <f t="shared" si="65"/>
        <v>236</v>
      </c>
      <c r="AJ223" s="311">
        <v>17</v>
      </c>
      <c r="AK223" s="73">
        <v>6</v>
      </c>
      <c r="AL223" s="73">
        <v>0</v>
      </c>
      <c r="AM223" s="74">
        <v>0</v>
      </c>
      <c r="AN223" s="1093"/>
    </row>
    <row r="224" spans="1:40" ht="17.100000000000001" customHeight="1">
      <c r="A224" s="168" t="s">
        <v>155</v>
      </c>
      <c r="B224" s="168" t="s">
        <v>9</v>
      </c>
      <c r="C224" s="168" t="s">
        <v>9</v>
      </c>
      <c r="D224" s="168" t="s">
        <v>4</v>
      </c>
      <c r="E224" s="168" t="s">
        <v>1146</v>
      </c>
      <c r="F224" s="71">
        <v>44256</v>
      </c>
      <c r="G224" s="50" t="s">
        <v>1167</v>
      </c>
      <c r="H224" s="72">
        <v>12683</v>
      </c>
      <c r="I224" s="52">
        <v>22026</v>
      </c>
      <c r="J224" s="53" t="s">
        <v>1147</v>
      </c>
      <c r="K224" s="53" t="s">
        <v>1147</v>
      </c>
      <c r="L224" s="54" t="s">
        <v>1148</v>
      </c>
      <c r="M224" s="338">
        <v>6</v>
      </c>
      <c r="N224" s="73">
        <v>5</v>
      </c>
      <c r="O224" s="73">
        <v>5</v>
      </c>
      <c r="P224" s="73">
        <v>6</v>
      </c>
      <c r="Q224" s="73">
        <v>6</v>
      </c>
      <c r="R224" s="73">
        <v>6</v>
      </c>
      <c r="S224" s="73">
        <v>2</v>
      </c>
      <c r="T224" s="73">
        <v>0</v>
      </c>
      <c r="U224" s="131">
        <f t="shared" si="61"/>
        <v>36</v>
      </c>
      <c r="V224" s="75">
        <v>134</v>
      </c>
      <c r="W224" s="73">
        <v>54</v>
      </c>
      <c r="X224" s="73">
        <v>129</v>
      </c>
      <c r="Y224" s="73">
        <v>61</v>
      </c>
      <c r="Z224" s="73">
        <v>132</v>
      </c>
      <c r="AA224" s="73">
        <v>59</v>
      </c>
      <c r="AB224" s="73">
        <v>144</v>
      </c>
      <c r="AC224" s="73">
        <v>66</v>
      </c>
      <c r="AD224" s="73">
        <v>160</v>
      </c>
      <c r="AE224" s="73">
        <v>82</v>
      </c>
      <c r="AF224" s="73">
        <v>157</v>
      </c>
      <c r="AG224" s="73">
        <v>72</v>
      </c>
      <c r="AH224" s="132">
        <v>856</v>
      </c>
      <c r="AI224" s="131">
        <v>394</v>
      </c>
      <c r="AJ224" s="75">
        <v>9</v>
      </c>
      <c r="AK224" s="73">
        <v>7</v>
      </c>
      <c r="AL224" s="73">
        <v>0</v>
      </c>
      <c r="AM224" s="74">
        <v>0</v>
      </c>
      <c r="AN224" s="1093"/>
    </row>
    <row r="225" spans="1:40" ht="17.100000000000001" customHeight="1">
      <c r="A225" s="1625" t="s">
        <v>429</v>
      </c>
      <c r="B225" s="1626"/>
      <c r="C225" s="1665"/>
      <c r="D225" s="179">
        <f>COUNTA(D192:D224)</f>
        <v>33</v>
      </c>
      <c r="E225" s="1094"/>
      <c r="F225" s="1095"/>
      <c r="G225" s="1096"/>
      <c r="H225" s="1097"/>
      <c r="I225" s="1098"/>
      <c r="J225" s="1099"/>
      <c r="K225" s="1099"/>
      <c r="L225" s="1100"/>
      <c r="M225" s="1101">
        <f>SUM(M192:M224)</f>
        <v>150</v>
      </c>
      <c r="N225" s="1102">
        <f>SUM(N192:N224)</f>
        <v>157</v>
      </c>
      <c r="O225" s="1102">
        <f t="shared" ref="O225:T225" si="66">SUM(O192:O224)</f>
        <v>159</v>
      </c>
      <c r="P225" s="1102">
        <f t="shared" si="66"/>
        <v>179</v>
      </c>
      <c r="Q225" s="1102">
        <f t="shared" si="66"/>
        <v>195</v>
      </c>
      <c r="R225" s="1102">
        <f t="shared" si="66"/>
        <v>193</v>
      </c>
      <c r="S225" s="1102">
        <f t="shared" si="66"/>
        <v>72</v>
      </c>
      <c r="T225" s="1102">
        <f t="shared" si="66"/>
        <v>10</v>
      </c>
      <c r="U225" s="291">
        <f>SUM(U192:U224)</f>
        <v>1115</v>
      </c>
      <c r="V225" s="1103">
        <f>SUM(V192:V224)</f>
        <v>3435</v>
      </c>
      <c r="W225" s="1102">
        <f>SUM(W192:W224)</f>
        <v>1669</v>
      </c>
      <c r="X225" s="1102">
        <f t="shared" ref="X225:AM225" si="67">SUM(X192:X224)</f>
        <v>3651</v>
      </c>
      <c r="Y225" s="1102">
        <f t="shared" si="67"/>
        <v>1801</v>
      </c>
      <c r="Z225" s="1102">
        <f t="shared" si="67"/>
        <v>3745</v>
      </c>
      <c r="AA225" s="1102">
        <f t="shared" si="67"/>
        <v>1875</v>
      </c>
      <c r="AB225" s="1102">
        <f t="shared" si="67"/>
        <v>4236</v>
      </c>
      <c r="AC225" s="1102">
        <f t="shared" si="67"/>
        <v>2130</v>
      </c>
      <c r="AD225" s="1102">
        <f t="shared" si="67"/>
        <v>4614</v>
      </c>
      <c r="AE225" s="1102">
        <f t="shared" si="67"/>
        <v>2263</v>
      </c>
      <c r="AF225" s="1102">
        <f t="shared" si="67"/>
        <v>4628</v>
      </c>
      <c r="AG225" s="1102">
        <f t="shared" si="67"/>
        <v>2250</v>
      </c>
      <c r="AH225" s="290">
        <f t="shared" si="67"/>
        <v>24309</v>
      </c>
      <c r="AI225" s="291">
        <f t="shared" si="67"/>
        <v>11988</v>
      </c>
      <c r="AJ225" s="1103">
        <f t="shared" si="67"/>
        <v>340</v>
      </c>
      <c r="AK225" s="1102">
        <f t="shared" si="67"/>
        <v>132</v>
      </c>
      <c r="AL225" s="1102">
        <f t="shared" si="67"/>
        <v>201</v>
      </c>
      <c r="AM225" s="1104">
        <f t="shared" si="67"/>
        <v>84</v>
      </c>
      <c r="AN225" s="1105"/>
    </row>
    <row r="226" spans="1:40" ht="17.100000000000001" customHeight="1">
      <c r="A226" s="167" t="s">
        <v>155</v>
      </c>
      <c r="B226" s="167" t="s">
        <v>9</v>
      </c>
      <c r="C226" s="168" t="s">
        <v>9</v>
      </c>
      <c r="D226" s="167" t="s">
        <v>5</v>
      </c>
      <c r="E226" s="168" t="s">
        <v>1149</v>
      </c>
      <c r="F226" s="71">
        <v>245</v>
      </c>
      <c r="G226" s="50" t="s">
        <v>1150</v>
      </c>
      <c r="H226" s="77">
        <v>6989</v>
      </c>
      <c r="I226" s="52">
        <v>21970</v>
      </c>
      <c r="J226" s="53" t="s">
        <v>1151</v>
      </c>
      <c r="K226" s="53" t="s">
        <v>1152</v>
      </c>
      <c r="L226" s="54" t="s">
        <v>1153</v>
      </c>
      <c r="M226" s="338">
        <v>3</v>
      </c>
      <c r="N226" s="78">
        <v>3</v>
      </c>
      <c r="O226" s="78">
        <v>3</v>
      </c>
      <c r="P226" s="78">
        <v>3</v>
      </c>
      <c r="Q226" s="78">
        <v>3</v>
      </c>
      <c r="R226" s="78">
        <v>3</v>
      </c>
      <c r="S226" s="78">
        <v>0</v>
      </c>
      <c r="T226" s="78">
        <v>0</v>
      </c>
      <c r="U226" s="131">
        <f t="shared" ref="U226" si="68">SUM(M226:T226)</f>
        <v>18</v>
      </c>
      <c r="V226" s="79">
        <v>84</v>
      </c>
      <c r="W226" s="78">
        <v>42</v>
      </c>
      <c r="X226" s="78">
        <v>84</v>
      </c>
      <c r="Y226" s="78">
        <v>42</v>
      </c>
      <c r="Z226" s="78">
        <v>84</v>
      </c>
      <c r="AA226" s="78">
        <v>42</v>
      </c>
      <c r="AB226" s="78">
        <v>84</v>
      </c>
      <c r="AC226" s="78">
        <v>42</v>
      </c>
      <c r="AD226" s="78">
        <v>84</v>
      </c>
      <c r="AE226" s="78">
        <v>39</v>
      </c>
      <c r="AF226" s="78">
        <v>76</v>
      </c>
      <c r="AG226" s="78">
        <v>38</v>
      </c>
      <c r="AH226" s="132">
        <f t="shared" ref="AH226:AI226" si="69">V226+X226+Z226+AB226+AD226+AF226</f>
        <v>496</v>
      </c>
      <c r="AI226" s="131">
        <f t="shared" si="69"/>
        <v>245</v>
      </c>
      <c r="AJ226" s="79">
        <v>0</v>
      </c>
      <c r="AK226" s="78">
        <v>0</v>
      </c>
      <c r="AL226" s="78">
        <v>0</v>
      </c>
      <c r="AM226" s="80">
        <v>0</v>
      </c>
      <c r="AN226" s="1106"/>
    </row>
    <row r="227" spans="1:40" ht="17.100000000000001" customHeight="1">
      <c r="A227" s="1656" t="s">
        <v>1154</v>
      </c>
      <c r="B227" s="1666"/>
      <c r="C227" s="1657"/>
      <c r="D227" s="188">
        <f>COUNTA(D226)</f>
        <v>1</v>
      </c>
      <c r="E227" s="1107"/>
      <c r="F227" s="1108"/>
      <c r="G227" s="1109"/>
      <c r="H227" s="1110"/>
      <c r="I227" s="1111"/>
      <c r="J227" s="1112"/>
      <c r="K227" s="1112"/>
      <c r="L227" s="1113"/>
      <c r="M227" s="1114">
        <f>M226</f>
        <v>3</v>
      </c>
      <c r="N227" s="1115">
        <f>N226</f>
        <v>3</v>
      </c>
      <c r="O227" s="1115">
        <f t="shared" ref="O227:T227" si="70">O226</f>
        <v>3</v>
      </c>
      <c r="P227" s="1115">
        <f t="shared" si="70"/>
        <v>3</v>
      </c>
      <c r="Q227" s="1115">
        <f t="shared" si="70"/>
        <v>3</v>
      </c>
      <c r="R227" s="1115">
        <f t="shared" si="70"/>
        <v>3</v>
      </c>
      <c r="S227" s="1115">
        <f t="shared" si="70"/>
        <v>0</v>
      </c>
      <c r="T227" s="1115">
        <f t="shared" si="70"/>
        <v>0</v>
      </c>
      <c r="U227" s="300">
        <f>U226</f>
        <v>18</v>
      </c>
      <c r="V227" s="1116">
        <f>V226</f>
        <v>84</v>
      </c>
      <c r="W227" s="1115">
        <f>W226</f>
        <v>42</v>
      </c>
      <c r="X227" s="1115">
        <f t="shared" ref="X227:AH227" si="71">X226</f>
        <v>84</v>
      </c>
      <c r="Y227" s="1115">
        <f t="shared" si="71"/>
        <v>42</v>
      </c>
      <c r="Z227" s="1115">
        <f t="shared" si="71"/>
        <v>84</v>
      </c>
      <c r="AA227" s="1115">
        <f t="shared" si="71"/>
        <v>42</v>
      </c>
      <c r="AB227" s="1115">
        <f t="shared" si="71"/>
        <v>84</v>
      </c>
      <c r="AC227" s="1115">
        <f t="shared" si="71"/>
        <v>42</v>
      </c>
      <c r="AD227" s="1115">
        <f t="shared" si="71"/>
        <v>84</v>
      </c>
      <c r="AE227" s="1115">
        <f t="shared" si="71"/>
        <v>39</v>
      </c>
      <c r="AF227" s="1115">
        <f t="shared" si="71"/>
        <v>76</v>
      </c>
      <c r="AG227" s="1115">
        <f t="shared" si="71"/>
        <v>38</v>
      </c>
      <c r="AH227" s="1115">
        <f t="shared" si="71"/>
        <v>496</v>
      </c>
      <c r="AI227" s="300">
        <f>AI226</f>
        <v>245</v>
      </c>
      <c r="AJ227" s="1116">
        <f>AJ226</f>
        <v>0</v>
      </c>
      <c r="AK227" s="1115">
        <f>AK226</f>
        <v>0</v>
      </c>
      <c r="AL227" s="1115">
        <f>AL226</f>
        <v>0</v>
      </c>
      <c r="AM227" s="1117">
        <f>AM226</f>
        <v>0</v>
      </c>
      <c r="AN227" s="1118"/>
    </row>
    <row r="228" spans="1:40" ht="17.100000000000001" customHeight="1">
      <c r="A228" s="1627" t="s">
        <v>1155</v>
      </c>
      <c r="B228" s="1628"/>
      <c r="C228" s="1628"/>
      <c r="D228" s="1629"/>
      <c r="E228" s="332">
        <f>D225+D227</f>
        <v>34</v>
      </c>
      <c r="F228" s="302"/>
      <c r="G228" s="222"/>
      <c r="H228" s="334"/>
      <c r="I228" s="305"/>
      <c r="J228" s="303"/>
      <c r="K228" s="303"/>
      <c r="L228" s="306"/>
      <c r="M228" s="335">
        <f>M225+M227</f>
        <v>153</v>
      </c>
      <c r="N228" s="310">
        <f>N225+N227</f>
        <v>160</v>
      </c>
      <c r="O228" s="310">
        <f t="shared" ref="O228:T228" si="72">O225+O227</f>
        <v>162</v>
      </c>
      <c r="P228" s="310">
        <f t="shared" si="72"/>
        <v>182</v>
      </c>
      <c r="Q228" s="310">
        <f t="shared" si="72"/>
        <v>198</v>
      </c>
      <c r="R228" s="310">
        <f t="shared" si="72"/>
        <v>196</v>
      </c>
      <c r="S228" s="310">
        <f t="shared" si="72"/>
        <v>72</v>
      </c>
      <c r="T228" s="310">
        <f t="shared" si="72"/>
        <v>10</v>
      </c>
      <c r="U228" s="309">
        <f>U225+U227</f>
        <v>1133</v>
      </c>
      <c r="V228" s="336">
        <f>V225+V227</f>
        <v>3519</v>
      </c>
      <c r="W228" s="310">
        <f>W225+W227</f>
        <v>1711</v>
      </c>
      <c r="X228" s="310">
        <f t="shared" ref="X228:AH228" si="73">X225+X227</f>
        <v>3735</v>
      </c>
      <c r="Y228" s="310">
        <f t="shared" si="73"/>
        <v>1843</v>
      </c>
      <c r="Z228" s="310">
        <f t="shared" si="73"/>
        <v>3829</v>
      </c>
      <c r="AA228" s="310">
        <f t="shared" si="73"/>
        <v>1917</v>
      </c>
      <c r="AB228" s="310">
        <f t="shared" si="73"/>
        <v>4320</v>
      </c>
      <c r="AC228" s="310">
        <f t="shared" si="73"/>
        <v>2172</v>
      </c>
      <c r="AD228" s="310">
        <f t="shared" si="73"/>
        <v>4698</v>
      </c>
      <c r="AE228" s="310">
        <f t="shared" si="73"/>
        <v>2302</v>
      </c>
      <c r="AF228" s="310">
        <f t="shared" si="73"/>
        <v>4704</v>
      </c>
      <c r="AG228" s="310">
        <f t="shared" si="73"/>
        <v>2288</v>
      </c>
      <c r="AH228" s="310">
        <f t="shared" si="73"/>
        <v>24805</v>
      </c>
      <c r="AI228" s="309">
        <f>AI225+AI227</f>
        <v>12233</v>
      </c>
      <c r="AJ228" s="336">
        <f>AJ225+AJ227</f>
        <v>340</v>
      </c>
      <c r="AK228" s="310">
        <f>AK225+AK227</f>
        <v>132</v>
      </c>
      <c r="AL228" s="310">
        <f>AL225+AL227</f>
        <v>201</v>
      </c>
      <c r="AM228" s="309">
        <f>AM225+AM227</f>
        <v>84</v>
      </c>
      <c r="AN228" s="337"/>
    </row>
    <row r="229" spans="1:40" ht="17.100000000000001" customHeight="1">
      <c r="A229" s="168" t="s">
        <v>156</v>
      </c>
      <c r="B229" s="168" t="s">
        <v>142</v>
      </c>
      <c r="C229" s="168" t="s">
        <v>142</v>
      </c>
      <c r="D229" s="168" t="s">
        <v>4</v>
      </c>
      <c r="E229" s="168" t="s">
        <v>4492</v>
      </c>
      <c r="F229" s="71">
        <v>38412</v>
      </c>
      <c r="G229" s="689" t="s">
        <v>4493</v>
      </c>
      <c r="H229" s="72">
        <v>11259</v>
      </c>
      <c r="I229" s="732">
        <v>22820</v>
      </c>
      <c r="J229" s="458" t="s">
        <v>4494</v>
      </c>
      <c r="K229" s="458" t="s">
        <v>1236</v>
      </c>
      <c r="L229" s="861" t="s">
        <v>1237</v>
      </c>
      <c r="M229" s="755">
        <v>2</v>
      </c>
      <c r="N229" s="73">
        <v>1</v>
      </c>
      <c r="O229" s="73">
        <v>2</v>
      </c>
      <c r="P229" s="73">
        <v>2</v>
      </c>
      <c r="Q229" s="73">
        <v>2</v>
      </c>
      <c r="R229" s="73">
        <v>2</v>
      </c>
      <c r="S229" s="73">
        <v>2</v>
      </c>
      <c r="T229" s="73">
        <v>0</v>
      </c>
      <c r="U229" s="131">
        <f t="shared" ref="U229:U236" si="74">SUM(M229:T229)</f>
        <v>13</v>
      </c>
      <c r="V229" s="75">
        <v>23</v>
      </c>
      <c r="W229" s="73">
        <v>13</v>
      </c>
      <c r="X229" s="73">
        <v>18</v>
      </c>
      <c r="Y229" s="73">
        <v>12</v>
      </c>
      <c r="Z229" s="73">
        <v>25</v>
      </c>
      <c r="AA229" s="73">
        <v>15</v>
      </c>
      <c r="AB229" s="73">
        <v>39</v>
      </c>
      <c r="AC229" s="73">
        <v>25</v>
      </c>
      <c r="AD229" s="73">
        <v>42</v>
      </c>
      <c r="AE229" s="73">
        <v>21</v>
      </c>
      <c r="AF229" s="73">
        <v>39</v>
      </c>
      <c r="AG229" s="73">
        <v>23</v>
      </c>
      <c r="AH229" s="132">
        <f t="shared" ref="AH229:AI234" si="75">V229+X229+Z229+AB229+AD229+AF229</f>
        <v>186</v>
      </c>
      <c r="AI229" s="131">
        <f t="shared" si="75"/>
        <v>109</v>
      </c>
      <c r="AJ229" s="311">
        <v>11</v>
      </c>
      <c r="AK229" s="73">
        <v>6</v>
      </c>
      <c r="AL229" s="73">
        <v>0</v>
      </c>
      <c r="AM229" s="74">
        <v>0</v>
      </c>
      <c r="AN229" s="76"/>
    </row>
    <row r="230" spans="1:40" ht="17.100000000000001" customHeight="1">
      <c r="A230" s="167" t="s">
        <v>156</v>
      </c>
      <c r="B230" s="167" t="s">
        <v>142</v>
      </c>
      <c r="C230" s="168" t="s">
        <v>142</v>
      </c>
      <c r="D230" s="167" t="s">
        <v>4</v>
      </c>
      <c r="E230" s="168" t="s">
        <v>4495</v>
      </c>
      <c r="F230" s="71">
        <v>34578</v>
      </c>
      <c r="G230" s="50" t="s">
        <v>4496</v>
      </c>
      <c r="H230" s="72">
        <v>10057</v>
      </c>
      <c r="I230" s="52">
        <v>22799</v>
      </c>
      <c r="J230" s="53" t="s">
        <v>1194</v>
      </c>
      <c r="K230" s="53" t="s">
        <v>1195</v>
      </c>
      <c r="L230" s="54" t="s">
        <v>1196</v>
      </c>
      <c r="M230" s="755">
        <v>2</v>
      </c>
      <c r="N230" s="78">
        <v>2</v>
      </c>
      <c r="O230" s="78">
        <v>2</v>
      </c>
      <c r="P230" s="78">
        <v>2</v>
      </c>
      <c r="Q230" s="78">
        <v>2</v>
      </c>
      <c r="R230" s="78">
        <v>2</v>
      </c>
      <c r="S230" s="78">
        <v>1</v>
      </c>
      <c r="T230" s="78">
        <v>0</v>
      </c>
      <c r="U230" s="131">
        <f t="shared" si="74"/>
        <v>13</v>
      </c>
      <c r="V230" s="79">
        <v>36</v>
      </c>
      <c r="W230" s="78">
        <v>20</v>
      </c>
      <c r="X230" s="78">
        <v>21</v>
      </c>
      <c r="Y230" s="78">
        <v>13</v>
      </c>
      <c r="Z230" s="78">
        <v>40</v>
      </c>
      <c r="AA230" s="78">
        <v>23</v>
      </c>
      <c r="AB230" s="78">
        <v>38</v>
      </c>
      <c r="AC230" s="78">
        <v>24</v>
      </c>
      <c r="AD230" s="78">
        <v>22</v>
      </c>
      <c r="AE230" s="78">
        <v>12</v>
      </c>
      <c r="AF230" s="78">
        <v>43</v>
      </c>
      <c r="AG230" s="78">
        <v>24</v>
      </c>
      <c r="AH230" s="132">
        <f t="shared" si="75"/>
        <v>200</v>
      </c>
      <c r="AI230" s="131">
        <f t="shared" si="75"/>
        <v>116</v>
      </c>
      <c r="AJ230" s="79">
        <v>6</v>
      </c>
      <c r="AK230" s="78">
        <v>1</v>
      </c>
      <c r="AL230" s="78">
        <v>0</v>
      </c>
      <c r="AM230" s="80">
        <v>0</v>
      </c>
      <c r="AN230" s="731"/>
    </row>
    <row r="231" spans="1:40" ht="17.100000000000001" customHeight="1">
      <c r="A231" s="167" t="s">
        <v>156</v>
      </c>
      <c r="B231" s="167" t="s">
        <v>142</v>
      </c>
      <c r="C231" s="168" t="s">
        <v>142</v>
      </c>
      <c r="D231" s="167" t="s">
        <v>4</v>
      </c>
      <c r="E231" s="168" t="s">
        <v>4497</v>
      </c>
      <c r="F231" s="71">
        <v>42248</v>
      </c>
      <c r="G231" s="50" t="s">
        <v>2395</v>
      </c>
      <c r="H231" s="72">
        <v>12414</v>
      </c>
      <c r="I231" s="52">
        <v>22858</v>
      </c>
      <c r="J231" s="53" t="s">
        <v>1263</v>
      </c>
      <c r="K231" s="53" t="s">
        <v>1263</v>
      </c>
      <c r="L231" s="54" t="s">
        <v>1264</v>
      </c>
      <c r="M231" s="755">
        <v>8</v>
      </c>
      <c r="N231" s="78">
        <v>9</v>
      </c>
      <c r="O231" s="78">
        <v>9</v>
      </c>
      <c r="P231" s="78">
        <v>12</v>
      </c>
      <c r="Q231" s="78">
        <v>12</v>
      </c>
      <c r="R231" s="78">
        <v>11</v>
      </c>
      <c r="S231" s="78">
        <v>3</v>
      </c>
      <c r="T231" s="78">
        <v>0</v>
      </c>
      <c r="U231" s="131">
        <f t="shared" si="74"/>
        <v>64</v>
      </c>
      <c r="V231" s="79">
        <v>182</v>
      </c>
      <c r="W231" s="78">
        <v>82</v>
      </c>
      <c r="X231" s="78">
        <v>208</v>
      </c>
      <c r="Y231" s="78">
        <v>114</v>
      </c>
      <c r="Z231" s="78">
        <v>207</v>
      </c>
      <c r="AA231" s="78">
        <v>88</v>
      </c>
      <c r="AB231" s="78">
        <v>283</v>
      </c>
      <c r="AC231" s="78">
        <v>145</v>
      </c>
      <c r="AD231" s="78">
        <v>296</v>
      </c>
      <c r="AE231" s="78">
        <v>132</v>
      </c>
      <c r="AF231" s="78">
        <v>260</v>
      </c>
      <c r="AG231" s="78">
        <v>125</v>
      </c>
      <c r="AH231" s="132">
        <f t="shared" si="75"/>
        <v>1436</v>
      </c>
      <c r="AI231" s="131">
        <f t="shared" si="75"/>
        <v>686</v>
      </c>
      <c r="AJ231" s="79">
        <v>22</v>
      </c>
      <c r="AK231" s="78">
        <v>6</v>
      </c>
      <c r="AL231" s="78">
        <v>0</v>
      </c>
      <c r="AM231" s="80">
        <v>0</v>
      </c>
      <c r="AN231" s="731"/>
    </row>
    <row r="232" spans="1:40" ht="17.100000000000001" customHeight="1">
      <c r="A232" s="167" t="s">
        <v>156</v>
      </c>
      <c r="B232" s="167" t="s">
        <v>142</v>
      </c>
      <c r="C232" s="168" t="s">
        <v>142</v>
      </c>
      <c r="D232" s="167" t="s">
        <v>4</v>
      </c>
      <c r="E232" s="168" t="s">
        <v>4498</v>
      </c>
      <c r="F232" s="71">
        <v>28550</v>
      </c>
      <c r="G232" s="50" t="s">
        <v>1174</v>
      </c>
      <c r="H232" s="77">
        <v>23291</v>
      </c>
      <c r="I232" s="52">
        <v>22811</v>
      </c>
      <c r="J232" s="53" t="s">
        <v>4499</v>
      </c>
      <c r="K232" s="53" t="s">
        <v>4500</v>
      </c>
      <c r="L232" s="54" t="s">
        <v>4501</v>
      </c>
      <c r="M232" s="755">
        <v>4</v>
      </c>
      <c r="N232" s="78">
        <v>4</v>
      </c>
      <c r="O232" s="78">
        <v>4</v>
      </c>
      <c r="P232" s="78">
        <v>5</v>
      </c>
      <c r="Q232" s="78">
        <v>5</v>
      </c>
      <c r="R232" s="78">
        <v>5</v>
      </c>
      <c r="S232" s="78">
        <v>2</v>
      </c>
      <c r="T232" s="78">
        <v>0</v>
      </c>
      <c r="U232" s="131">
        <f t="shared" si="74"/>
        <v>29</v>
      </c>
      <c r="V232" s="79">
        <v>105</v>
      </c>
      <c r="W232" s="78">
        <v>50</v>
      </c>
      <c r="X232" s="78">
        <v>94</v>
      </c>
      <c r="Y232" s="78">
        <v>51</v>
      </c>
      <c r="Z232" s="78">
        <v>99</v>
      </c>
      <c r="AA232" s="78">
        <v>45</v>
      </c>
      <c r="AB232" s="78">
        <v>113</v>
      </c>
      <c r="AC232" s="78">
        <v>53</v>
      </c>
      <c r="AD232" s="78">
        <v>124</v>
      </c>
      <c r="AE232" s="78">
        <v>64</v>
      </c>
      <c r="AF232" s="78">
        <v>109</v>
      </c>
      <c r="AG232" s="78">
        <v>50</v>
      </c>
      <c r="AH232" s="132">
        <f t="shared" si="75"/>
        <v>644</v>
      </c>
      <c r="AI232" s="131">
        <f t="shared" si="75"/>
        <v>313</v>
      </c>
      <c r="AJ232" s="314">
        <v>7</v>
      </c>
      <c r="AK232" s="78">
        <v>3</v>
      </c>
      <c r="AL232" s="78"/>
      <c r="AM232" s="80"/>
      <c r="AN232" s="731"/>
    </row>
    <row r="233" spans="1:40" ht="17.100000000000001" customHeight="1">
      <c r="A233" s="168" t="s">
        <v>156</v>
      </c>
      <c r="B233" s="168" t="s">
        <v>142</v>
      </c>
      <c r="C233" s="168" t="s">
        <v>142</v>
      </c>
      <c r="D233" s="168" t="s">
        <v>4</v>
      </c>
      <c r="E233" s="168" t="s">
        <v>4502</v>
      </c>
      <c r="F233" s="71">
        <v>31656</v>
      </c>
      <c r="G233" s="50" t="s">
        <v>1179</v>
      </c>
      <c r="H233" s="72">
        <v>12914</v>
      </c>
      <c r="I233" s="52">
        <v>22815</v>
      </c>
      <c r="J233" s="53" t="s">
        <v>1180</v>
      </c>
      <c r="K233" s="53" t="s">
        <v>1181</v>
      </c>
      <c r="L233" s="54" t="s">
        <v>1182</v>
      </c>
      <c r="M233" s="755">
        <v>3</v>
      </c>
      <c r="N233" s="73">
        <v>3</v>
      </c>
      <c r="O233" s="73">
        <v>2</v>
      </c>
      <c r="P233" s="73">
        <v>3</v>
      </c>
      <c r="Q233" s="73">
        <v>3</v>
      </c>
      <c r="R233" s="73">
        <v>3</v>
      </c>
      <c r="S233" s="73">
        <v>2</v>
      </c>
      <c r="T233" s="73">
        <v>0</v>
      </c>
      <c r="U233" s="131">
        <f t="shared" si="74"/>
        <v>19</v>
      </c>
      <c r="V233" s="75">
        <v>57</v>
      </c>
      <c r="W233" s="73">
        <v>26</v>
      </c>
      <c r="X233" s="73">
        <v>49</v>
      </c>
      <c r="Y233" s="73">
        <v>19</v>
      </c>
      <c r="Z233" s="73">
        <v>47</v>
      </c>
      <c r="AA233" s="73">
        <v>24</v>
      </c>
      <c r="AB233" s="73">
        <v>66</v>
      </c>
      <c r="AC233" s="73">
        <v>39</v>
      </c>
      <c r="AD233" s="73">
        <v>63</v>
      </c>
      <c r="AE233" s="73">
        <v>29</v>
      </c>
      <c r="AF233" s="73">
        <v>72</v>
      </c>
      <c r="AG233" s="73">
        <v>29</v>
      </c>
      <c r="AH233" s="132">
        <f t="shared" si="75"/>
        <v>354</v>
      </c>
      <c r="AI233" s="131">
        <f t="shared" si="75"/>
        <v>166</v>
      </c>
      <c r="AJ233" s="75">
        <v>9</v>
      </c>
      <c r="AK233" s="73">
        <v>4</v>
      </c>
      <c r="AL233" s="73">
        <v>0</v>
      </c>
      <c r="AM233" s="74">
        <v>0</v>
      </c>
      <c r="AN233" s="76"/>
    </row>
    <row r="234" spans="1:40" ht="17.100000000000001" customHeight="1">
      <c r="A234" s="167" t="s">
        <v>156</v>
      </c>
      <c r="B234" s="167" t="s">
        <v>142</v>
      </c>
      <c r="C234" s="168" t="s">
        <v>142</v>
      </c>
      <c r="D234" s="167" t="s">
        <v>4</v>
      </c>
      <c r="E234" s="168" t="s">
        <v>4503</v>
      </c>
      <c r="F234" s="71">
        <v>36770</v>
      </c>
      <c r="G234" s="50" t="s">
        <v>2396</v>
      </c>
      <c r="H234" s="77">
        <v>13449</v>
      </c>
      <c r="I234" s="52">
        <v>22779</v>
      </c>
      <c r="J234" s="53" t="s">
        <v>1210</v>
      </c>
      <c r="K234" s="53" t="s">
        <v>1276</v>
      </c>
      <c r="L234" s="54" t="s">
        <v>1211</v>
      </c>
      <c r="M234" s="755">
        <v>11</v>
      </c>
      <c r="N234" s="78">
        <v>11</v>
      </c>
      <c r="O234" s="78">
        <v>12</v>
      </c>
      <c r="P234" s="78">
        <v>12</v>
      </c>
      <c r="Q234" s="78">
        <v>13</v>
      </c>
      <c r="R234" s="78">
        <v>12</v>
      </c>
      <c r="S234" s="78">
        <v>3</v>
      </c>
      <c r="T234" s="78">
        <v>0</v>
      </c>
      <c r="U234" s="131">
        <f t="shared" si="74"/>
        <v>74</v>
      </c>
      <c r="V234" s="79">
        <v>332</v>
      </c>
      <c r="W234" s="78">
        <v>168</v>
      </c>
      <c r="X234" s="78">
        <v>321</v>
      </c>
      <c r="Y234" s="78">
        <v>151</v>
      </c>
      <c r="Z234" s="78">
        <v>363</v>
      </c>
      <c r="AA234" s="78">
        <v>168</v>
      </c>
      <c r="AB234" s="78">
        <v>361</v>
      </c>
      <c r="AC234" s="78">
        <v>185</v>
      </c>
      <c r="AD234" s="78">
        <v>384</v>
      </c>
      <c r="AE234" s="78">
        <v>184</v>
      </c>
      <c r="AF234" s="78">
        <v>328</v>
      </c>
      <c r="AG234" s="78">
        <v>171</v>
      </c>
      <c r="AH234" s="132">
        <f t="shared" si="75"/>
        <v>2089</v>
      </c>
      <c r="AI234" s="131">
        <f t="shared" si="75"/>
        <v>1027</v>
      </c>
      <c r="AJ234" s="79">
        <v>19</v>
      </c>
      <c r="AK234" s="78">
        <v>3</v>
      </c>
      <c r="AL234" s="78">
        <v>0</v>
      </c>
      <c r="AM234" s="80">
        <v>0</v>
      </c>
      <c r="AN234" s="731"/>
    </row>
    <row r="235" spans="1:40" ht="17.100000000000001" customHeight="1">
      <c r="A235" s="167" t="s">
        <v>156</v>
      </c>
      <c r="B235" s="167" t="s">
        <v>142</v>
      </c>
      <c r="C235" s="168" t="s">
        <v>142</v>
      </c>
      <c r="D235" s="167" t="s">
        <v>4</v>
      </c>
      <c r="E235" s="168" t="s">
        <v>1220</v>
      </c>
      <c r="F235" s="71">
        <v>37865</v>
      </c>
      <c r="G235" s="50" t="s">
        <v>2397</v>
      </c>
      <c r="H235" s="72">
        <v>11048.7</v>
      </c>
      <c r="I235" s="52">
        <v>22697</v>
      </c>
      <c r="J235" s="53" t="s">
        <v>2398</v>
      </c>
      <c r="K235" s="53" t="s">
        <v>2399</v>
      </c>
      <c r="L235" s="54" t="s">
        <v>1221</v>
      </c>
      <c r="M235" s="755">
        <v>5</v>
      </c>
      <c r="N235" s="73">
        <v>5</v>
      </c>
      <c r="O235" s="73">
        <v>5</v>
      </c>
      <c r="P235" s="73">
        <v>7</v>
      </c>
      <c r="Q235" s="73">
        <v>7</v>
      </c>
      <c r="R235" s="73">
        <v>7</v>
      </c>
      <c r="S235" s="73">
        <v>3</v>
      </c>
      <c r="T235" s="73">
        <v>0</v>
      </c>
      <c r="U235" s="131">
        <f t="shared" si="74"/>
        <v>39</v>
      </c>
      <c r="V235" s="311">
        <v>118</v>
      </c>
      <c r="W235" s="162">
        <v>53</v>
      </c>
      <c r="X235" s="162">
        <v>128</v>
      </c>
      <c r="Y235" s="162">
        <v>55</v>
      </c>
      <c r="Z235" s="162">
        <v>125</v>
      </c>
      <c r="AA235" s="162">
        <v>63</v>
      </c>
      <c r="AB235" s="162">
        <v>165</v>
      </c>
      <c r="AC235" s="162">
        <v>75</v>
      </c>
      <c r="AD235" s="162">
        <v>176</v>
      </c>
      <c r="AE235" s="162">
        <v>89</v>
      </c>
      <c r="AF235" s="162">
        <v>187</v>
      </c>
      <c r="AG235" s="162">
        <v>92</v>
      </c>
      <c r="AH235" s="138">
        <v>899</v>
      </c>
      <c r="AI235" s="137">
        <f t="shared" ref="AI235:AI243" si="76">W235+Y235+AA235+AC235+AE235+AG235</f>
        <v>427</v>
      </c>
      <c r="AJ235" s="311">
        <v>16</v>
      </c>
      <c r="AK235" s="73">
        <v>9</v>
      </c>
      <c r="AL235" s="73">
        <v>0</v>
      </c>
      <c r="AM235" s="74">
        <v>0</v>
      </c>
      <c r="AN235" s="76"/>
    </row>
    <row r="236" spans="1:40" ht="17.100000000000001" customHeight="1">
      <c r="A236" s="168" t="s">
        <v>156</v>
      </c>
      <c r="B236" s="168" t="s">
        <v>142</v>
      </c>
      <c r="C236" s="168" t="s">
        <v>142</v>
      </c>
      <c r="D236" s="168" t="s">
        <v>4</v>
      </c>
      <c r="E236" s="168" t="s">
        <v>4504</v>
      </c>
      <c r="F236" s="71">
        <v>33117</v>
      </c>
      <c r="G236" s="50" t="s">
        <v>4505</v>
      </c>
      <c r="H236" s="72">
        <v>15696</v>
      </c>
      <c r="I236" s="52">
        <v>22816</v>
      </c>
      <c r="J236" s="53" t="s">
        <v>4506</v>
      </c>
      <c r="K236" s="53" t="s">
        <v>4507</v>
      </c>
      <c r="L236" s="54" t="s">
        <v>4508</v>
      </c>
      <c r="M236" s="755">
        <v>1</v>
      </c>
      <c r="N236" s="73">
        <v>2</v>
      </c>
      <c r="O236" s="73">
        <v>1</v>
      </c>
      <c r="P236" s="73">
        <v>2</v>
      </c>
      <c r="Q236" s="73">
        <v>2</v>
      </c>
      <c r="R236" s="73">
        <v>2</v>
      </c>
      <c r="S236" s="73">
        <v>2</v>
      </c>
      <c r="T236" s="73">
        <v>0</v>
      </c>
      <c r="U236" s="131">
        <f t="shared" si="74"/>
        <v>12</v>
      </c>
      <c r="V236" s="75">
        <v>17</v>
      </c>
      <c r="W236" s="73">
        <v>7</v>
      </c>
      <c r="X236" s="73">
        <v>24</v>
      </c>
      <c r="Y236" s="73">
        <v>12</v>
      </c>
      <c r="Z236" s="73">
        <v>17</v>
      </c>
      <c r="AA236" s="73">
        <v>6</v>
      </c>
      <c r="AB236" s="73">
        <v>28</v>
      </c>
      <c r="AC236" s="73">
        <v>14</v>
      </c>
      <c r="AD236" s="73">
        <v>42</v>
      </c>
      <c r="AE236" s="73">
        <v>20</v>
      </c>
      <c r="AF236" s="73">
        <v>47</v>
      </c>
      <c r="AG236" s="73">
        <v>24</v>
      </c>
      <c r="AH236" s="132">
        <f t="shared" ref="AH236:AH267" si="77">V236+X236+Z236+AB236+AD236+AF236</f>
        <v>175</v>
      </c>
      <c r="AI236" s="131">
        <f t="shared" si="76"/>
        <v>83</v>
      </c>
      <c r="AJ236" s="311">
        <v>11</v>
      </c>
      <c r="AK236" s="73">
        <v>4</v>
      </c>
      <c r="AL236" s="73">
        <v>0</v>
      </c>
      <c r="AM236" s="74">
        <v>0</v>
      </c>
      <c r="AN236" s="76" t="s">
        <v>4509</v>
      </c>
    </row>
    <row r="237" spans="1:40" ht="17.100000000000001" customHeight="1">
      <c r="A237" s="167" t="s">
        <v>156</v>
      </c>
      <c r="B237" s="167" t="s">
        <v>142</v>
      </c>
      <c r="C237" s="168" t="s">
        <v>142</v>
      </c>
      <c r="D237" s="167" t="s">
        <v>4</v>
      </c>
      <c r="E237" s="168" t="s">
        <v>1222</v>
      </c>
      <c r="F237" s="71">
        <v>38047</v>
      </c>
      <c r="G237" s="50" t="s">
        <v>2401</v>
      </c>
      <c r="H237" s="72">
        <v>10395</v>
      </c>
      <c r="I237" s="52">
        <v>22704</v>
      </c>
      <c r="J237" s="53" t="s">
        <v>1223</v>
      </c>
      <c r="K237" s="53" t="s">
        <v>1224</v>
      </c>
      <c r="L237" s="54" t="s">
        <v>1225</v>
      </c>
      <c r="M237" s="755">
        <v>1</v>
      </c>
      <c r="N237" s="78">
        <v>2</v>
      </c>
      <c r="O237" s="78">
        <v>2</v>
      </c>
      <c r="P237" s="78">
        <v>2</v>
      </c>
      <c r="Q237" s="78">
        <v>2</v>
      </c>
      <c r="R237" s="78">
        <v>2</v>
      </c>
      <c r="S237" s="78">
        <v>2</v>
      </c>
      <c r="T237" s="78"/>
      <c r="U237" s="131">
        <f t="shared" ref="U237:U257" si="78">SUM(M237:T237)</f>
        <v>13</v>
      </c>
      <c r="V237" s="79">
        <v>17</v>
      </c>
      <c r="W237" s="78">
        <v>10</v>
      </c>
      <c r="X237" s="78">
        <v>20</v>
      </c>
      <c r="Y237" s="78">
        <v>10</v>
      </c>
      <c r="Z237" s="78">
        <v>26</v>
      </c>
      <c r="AA237" s="78">
        <v>14</v>
      </c>
      <c r="AB237" s="78">
        <v>23</v>
      </c>
      <c r="AC237" s="78">
        <v>16</v>
      </c>
      <c r="AD237" s="78">
        <v>34</v>
      </c>
      <c r="AE237" s="78">
        <v>13</v>
      </c>
      <c r="AF237" s="78">
        <v>32</v>
      </c>
      <c r="AG237" s="78">
        <v>15</v>
      </c>
      <c r="AH237" s="132">
        <f t="shared" si="77"/>
        <v>152</v>
      </c>
      <c r="AI237" s="131">
        <f t="shared" si="76"/>
        <v>78</v>
      </c>
      <c r="AJ237" s="314">
        <v>10</v>
      </c>
      <c r="AK237" s="78">
        <v>2</v>
      </c>
      <c r="AL237" s="78"/>
      <c r="AM237" s="80"/>
      <c r="AN237" s="731"/>
    </row>
    <row r="238" spans="1:40" ht="17.100000000000001" customHeight="1">
      <c r="A238" s="168" t="s">
        <v>156</v>
      </c>
      <c r="B238" s="168" t="s">
        <v>142</v>
      </c>
      <c r="C238" s="168" t="s">
        <v>142</v>
      </c>
      <c r="D238" s="168" t="s">
        <v>4</v>
      </c>
      <c r="E238" s="168" t="s">
        <v>4510</v>
      </c>
      <c r="F238" s="71">
        <v>40969</v>
      </c>
      <c r="G238" s="50" t="s">
        <v>4511</v>
      </c>
      <c r="H238" s="72">
        <v>11850</v>
      </c>
      <c r="I238" s="52">
        <v>22750</v>
      </c>
      <c r="J238" s="53" t="s">
        <v>4512</v>
      </c>
      <c r="K238" s="53" t="s">
        <v>4513</v>
      </c>
      <c r="L238" s="54" t="s">
        <v>4514</v>
      </c>
      <c r="M238" s="755">
        <v>5</v>
      </c>
      <c r="N238" s="73">
        <v>5</v>
      </c>
      <c r="O238" s="73">
        <v>5</v>
      </c>
      <c r="P238" s="73">
        <v>5</v>
      </c>
      <c r="Q238" s="73">
        <v>7</v>
      </c>
      <c r="R238" s="73">
        <v>7</v>
      </c>
      <c r="S238" s="73">
        <v>2</v>
      </c>
      <c r="T238" s="73">
        <v>0</v>
      </c>
      <c r="U238" s="131">
        <f t="shared" si="78"/>
        <v>36</v>
      </c>
      <c r="V238" s="75">
        <v>109</v>
      </c>
      <c r="W238" s="73">
        <v>52</v>
      </c>
      <c r="X238" s="73">
        <v>118</v>
      </c>
      <c r="Y238" s="73">
        <v>62</v>
      </c>
      <c r="Z238" s="73">
        <v>125</v>
      </c>
      <c r="AA238" s="73">
        <v>62</v>
      </c>
      <c r="AB238" s="73">
        <v>133</v>
      </c>
      <c r="AC238" s="73">
        <v>64</v>
      </c>
      <c r="AD238" s="73">
        <v>164</v>
      </c>
      <c r="AE238" s="73">
        <v>73</v>
      </c>
      <c r="AF238" s="73">
        <v>167</v>
      </c>
      <c r="AG238" s="73">
        <v>79</v>
      </c>
      <c r="AH238" s="132">
        <f t="shared" si="77"/>
        <v>816</v>
      </c>
      <c r="AI238" s="131">
        <f t="shared" si="76"/>
        <v>392</v>
      </c>
      <c r="AJ238" s="311">
        <v>7</v>
      </c>
      <c r="AK238" s="73">
        <v>0</v>
      </c>
      <c r="AL238" s="73">
        <v>0</v>
      </c>
      <c r="AM238" s="74">
        <v>0</v>
      </c>
      <c r="AN238" s="76"/>
    </row>
    <row r="239" spans="1:40" ht="17.100000000000001" customHeight="1">
      <c r="A239" s="167" t="s">
        <v>156</v>
      </c>
      <c r="B239" s="167" t="s">
        <v>142</v>
      </c>
      <c r="C239" s="168" t="s">
        <v>142</v>
      </c>
      <c r="D239" s="167" t="s">
        <v>4</v>
      </c>
      <c r="E239" s="168" t="s">
        <v>4515</v>
      </c>
      <c r="F239" s="71">
        <v>38473</v>
      </c>
      <c r="G239" s="50" t="s">
        <v>4516</v>
      </c>
      <c r="H239" s="77">
        <v>12886</v>
      </c>
      <c r="I239" s="52">
        <v>22692</v>
      </c>
      <c r="J239" s="53" t="s">
        <v>4517</v>
      </c>
      <c r="K239" s="53" t="s">
        <v>4518</v>
      </c>
      <c r="L239" s="54" t="s">
        <v>4519</v>
      </c>
      <c r="M239" s="755">
        <v>4</v>
      </c>
      <c r="N239" s="78">
        <v>4</v>
      </c>
      <c r="O239" s="78">
        <v>4</v>
      </c>
      <c r="P239" s="78">
        <v>5</v>
      </c>
      <c r="Q239" s="78">
        <v>5</v>
      </c>
      <c r="R239" s="78">
        <v>5</v>
      </c>
      <c r="S239" s="78">
        <v>3</v>
      </c>
      <c r="T239" s="78">
        <v>0</v>
      </c>
      <c r="U239" s="131">
        <f t="shared" si="78"/>
        <v>30</v>
      </c>
      <c r="V239" s="79">
        <v>86</v>
      </c>
      <c r="W239" s="78">
        <v>43</v>
      </c>
      <c r="X239" s="78">
        <v>95</v>
      </c>
      <c r="Y239" s="78">
        <v>42</v>
      </c>
      <c r="Z239" s="78">
        <v>78</v>
      </c>
      <c r="AA239" s="78">
        <v>38</v>
      </c>
      <c r="AB239" s="78">
        <v>100</v>
      </c>
      <c r="AC239" s="78">
        <v>44</v>
      </c>
      <c r="AD239" s="78">
        <v>101</v>
      </c>
      <c r="AE239" s="78">
        <v>50</v>
      </c>
      <c r="AF239" s="78">
        <v>107</v>
      </c>
      <c r="AG239" s="78">
        <v>48</v>
      </c>
      <c r="AH239" s="132">
        <f t="shared" si="77"/>
        <v>567</v>
      </c>
      <c r="AI239" s="131">
        <f t="shared" si="76"/>
        <v>265</v>
      </c>
      <c r="AJ239" s="79">
        <v>15</v>
      </c>
      <c r="AK239" s="78">
        <v>4</v>
      </c>
      <c r="AL239" s="78">
        <v>0</v>
      </c>
      <c r="AM239" s="80">
        <v>0</v>
      </c>
      <c r="AN239" s="731"/>
    </row>
    <row r="240" spans="1:40" ht="17.100000000000001" customHeight="1">
      <c r="A240" s="168" t="s">
        <v>156</v>
      </c>
      <c r="B240" s="168" t="s">
        <v>142</v>
      </c>
      <c r="C240" s="168" t="s">
        <v>142</v>
      </c>
      <c r="D240" s="168" t="s">
        <v>4</v>
      </c>
      <c r="E240" s="168" t="s">
        <v>1265</v>
      </c>
      <c r="F240" s="71">
        <v>43891</v>
      </c>
      <c r="G240" s="50" t="s">
        <v>1266</v>
      </c>
      <c r="H240" s="72">
        <v>21000</v>
      </c>
      <c r="I240" s="52">
        <v>22753</v>
      </c>
      <c r="J240" s="53" t="s">
        <v>1267</v>
      </c>
      <c r="K240" s="53" t="s">
        <v>1268</v>
      </c>
      <c r="L240" s="54" t="s">
        <v>1269</v>
      </c>
      <c r="M240" s="755">
        <v>7</v>
      </c>
      <c r="N240" s="73">
        <v>6</v>
      </c>
      <c r="O240" s="73">
        <v>7</v>
      </c>
      <c r="P240" s="73">
        <v>9</v>
      </c>
      <c r="Q240" s="73">
        <v>8</v>
      </c>
      <c r="R240" s="73">
        <v>6</v>
      </c>
      <c r="S240" s="73">
        <v>2</v>
      </c>
      <c r="T240" s="73">
        <v>0</v>
      </c>
      <c r="U240" s="131">
        <f t="shared" si="78"/>
        <v>45</v>
      </c>
      <c r="V240" s="75">
        <v>176</v>
      </c>
      <c r="W240" s="73">
        <v>88</v>
      </c>
      <c r="X240" s="73">
        <v>148</v>
      </c>
      <c r="Y240" s="73">
        <v>70</v>
      </c>
      <c r="Z240" s="73">
        <v>163</v>
      </c>
      <c r="AA240" s="73">
        <v>78</v>
      </c>
      <c r="AB240" s="73">
        <v>205</v>
      </c>
      <c r="AC240" s="73">
        <v>106</v>
      </c>
      <c r="AD240" s="73">
        <v>196</v>
      </c>
      <c r="AE240" s="73">
        <v>94</v>
      </c>
      <c r="AF240" s="73">
        <v>155</v>
      </c>
      <c r="AG240" s="73">
        <v>70</v>
      </c>
      <c r="AH240" s="132">
        <f t="shared" si="77"/>
        <v>1043</v>
      </c>
      <c r="AI240" s="131">
        <f t="shared" si="76"/>
        <v>506</v>
      </c>
      <c r="AJ240" s="311">
        <v>12</v>
      </c>
      <c r="AK240" s="73">
        <v>3</v>
      </c>
      <c r="AL240" s="73"/>
      <c r="AM240" s="74"/>
      <c r="AN240" s="76"/>
    </row>
    <row r="241" spans="1:40" ht="17.100000000000001" customHeight="1">
      <c r="A241" s="168" t="s">
        <v>156</v>
      </c>
      <c r="B241" s="168" t="s">
        <v>142</v>
      </c>
      <c r="C241" s="168" t="s">
        <v>142</v>
      </c>
      <c r="D241" s="168" t="s">
        <v>4</v>
      </c>
      <c r="E241" s="168" t="s">
        <v>4520</v>
      </c>
      <c r="F241" s="71">
        <v>40787</v>
      </c>
      <c r="G241" s="50" t="s">
        <v>4521</v>
      </c>
      <c r="H241" s="72">
        <v>10789</v>
      </c>
      <c r="I241" s="52">
        <v>22709</v>
      </c>
      <c r="J241" s="53" t="s">
        <v>1250</v>
      </c>
      <c r="K241" s="53" t="s">
        <v>1251</v>
      </c>
      <c r="L241" s="54" t="s">
        <v>1252</v>
      </c>
      <c r="M241" s="755">
        <v>2</v>
      </c>
      <c r="N241" s="73">
        <v>2</v>
      </c>
      <c r="O241" s="73">
        <v>2</v>
      </c>
      <c r="P241" s="73">
        <v>2</v>
      </c>
      <c r="Q241" s="73">
        <v>2</v>
      </c>
      <c r="R241" s="73">
        <v>2</v>
      </c>
      <c r="S241" s="73">
        <v>2</v>
      </c>
      <c r="T241" s="73">
        <v>0</v>
      </c>
      <c r="U241" s="131">
        <f t="shared" si="78"/>
        <v>14</v>
      </c>
      <c r="V241" s="75">
        <v>19</v>
      </c>
      <c r="W241" s="73">
        <v>7</v>
      </c>
      <c r="X241" s="73">
        <v>27</v>
      </c>
      <c r="Y241" s="73">
        <v>11</v>
      </c>
      <c r="Z241" s="73">
        <v>29</v>
      </c>
      <c r="AA241" s="73">
        <v>17</v>
      </c>
      <c r="AB241" s="73">
        <v>21</v>
      </c>
      <c r="AC241" s="73">
        <v>14</v>
      </c>
      <c r="AD241" s="73">
        <v>50</v>
      </c>
      <c r="AE241" s="73">
        <v>19</v>
      </c>
      <c r="AF241" s="73">
        <v>38</v>
      </c>
      <c r="AG241" s="73">
        <v>24</v>
      </c>
      <c r="AH241" s="132">
        <f t="shared" si="77"/>
        <v>184</v>
      </c>
      <c r="AI241" s="131">
        <f t="shared" si="76"/>
        <v>92</v>
      </c>
      <c r="AJ241" s="75">
        <v>9</v>
      </c>
      <c r="AK241" s="73">
        <v>5</v>
      </c>
      <c r="AL241" s="73"/>
      <c r="AM241" s="74"/>
      <c r="AN241" s="76"/>
    </row>
    <row r="242" spans="1:40" ht="17.100000000000001" customHeight="1">
      <c r="A242" s="167" t="s">
        <v>156</v>
      </c>
      <c r="B242" s="167" t="s">
        <v>142</v>
      </c>
      <c r="C242" s="168" t="s">
        <v>142</v>
      </c>
      <c r="D242" s="167" t="s">
        <v>4</v>
      </c>
      <c r="E242" s="168" t="s">
        <v>4522</v>
      </c>
      <c r="F242" s="71">
        <v>42064</v>
      </c>
      <c r="G242" s="50" t="s">
        <v>4523</v>
      </c>
      <c r="H242" s="72">
        <v>10000</v>
      </c>
      <c r="I242" s="52">
        <v>22763</v>
      </c>
      <c r="J242" s="53" t="s">
        <v>1260</v>
      </c>
      <c r="K242" s="53" t="s">
        <v>1261</v>
      </c>
      <c r="L242" s="54" t="s">
        <v>1262</v>
      </c>
      <c r="M242" s="755">
        <v>3</v>
      </c>
      <c r="N242" s="78">
        <v>3</v>
      </c>
      <c r="O242" s="78">
        <v>3</v>
      </c>
      <c r="P242" s="78">
        <v>4</v>
      </c>
      <c r="Q242" s="78">
        <v>4</v>
      </c>
      <c r="R242" s="78">
        <v>4</v>
      </c>
      <c r="S242" s="78">
        <v>2</v>
      </c>
      <c r="T242" s="78">
        <v>0</v>
      </c>
      <c r="U242" s="131">
        <f t="shared" si="78"/>
        <v>23</v>
      </c>
      <c r="V242" s="79">
        <v>59</v>
      </c>
      <c r="W242" s="78">
        <v>22</v>
      </c>
      <c r="X242" s="78">
        <v>70</v>
      </c>
      <c r="Y242" s="78">
        <v>34</v>
      </c>
      <c r="Z242" s="78">
        <v>54</v>
      </c>
      <c r="AA242" s="78">
        <v>25</v>
      </c>
      <c r="AB242" s="78">
        <v>81</v>
      </c>
      <c r="AC242" s="78">
        <v>43</v>
      </c>
      <c r="AD242" s="78">
        <v>92</v>
      </c>
      <c r="AE242" s="78">
        <v>37</v>
      </c>
      <c r="AF242" s="78">
        <v>87</v>
      </c>
      <c r="AG242" s="78">
        <v>36</v>
      </c>
      <c r="AH242" s="132">
        <f t="shared" si="77"/>
        <v>443</v>
      </c>
      <c r="AI242" s="131">
        <f t="shared" si="76"/>
        <v>197</v>
      </c>
      <c r="AJ242" s="314">
        <v>12</v>
      </c>
      <c r="AK242" s="78">
        <v>4</v>
      </c>
      <c r="AL242" s="78">
        <v>0</v>
      </c>
      <c r="AM242" s="80">
        <v>0</v>
      </c>
      <c r="AN242" s="731"/>
    </row>
    <row r="243" spans="1:40" ht="17.100000000000001" customHeight="1">
      <c r="A243" s="168" t="s">
        <v>156</v>
      </c>
      <c r="B243" s="168" t="s">
        <v>142</v>
      </c>
      <c r="C243" s="168" t="s">
        <v>142</v>
      </c>
      <c r="D243" s="168" t="s">
        <v>4</v>
      </c>
      <c r="E243" s="168" t="s">
        <v>4524</v>
      </c>
      <c r="F243" s="71">
        <v>32387</v>
      </c>
      <c r="G243" s="50" t="s">
        <v>4525</v>
      </c>
      <c r="H243" s="72">
        <v>14099</v>
      </c>
      <c r="I243" s="52">
        <v>22715</v>
      </c>
      <c r="J243" s="53" t="s">
        <v>1186</v>
      </c>
      <c r="K243" s="53" t="s">
        <v>1186</v>
      </c>
      <c r="L243" s="54" t="s">
        <v>1187</v>
      </c>
      <c r="M243" s="755">
        <v>11</v>
      </c>
      <c r="N243" s="73">
        <v>10</v>
      </c>
      <c r="O243" s="73">
        <v>9</v>
      </c>
      <c r="P243" s="73">
        <v>8</v>
      </c>
      <c r="Q243" s="73">
        <v>9</v>
      </c>
      <c r="R243" s="73">
        <v>6</v>
      </c>
      <c r="S243" s="73">
        <v>3</v>
      </c>
      <c r="T243" s="73">
        <v>0</v>
      </c>
      <c r="U243" s="131">
        <f t="shared" si="78"/>
        <v>56</v>
      </c>
      <c r="V243" s="75">
        <v>284</v>
      </c>
      <c r="W243" s="73">
        <v>139</v>
      </c>
      <c r="X243" s="73">
        <v>266</v>
      </c>
      <c r="Y243" s="73">
        <v>119</v>
      </c>
      <c r="Z243" s="73">
        <v>219</v>
      </c>
      <c r="AA243" s="73">
        <v>110</v>
      </c>
      <c r="AB243" s="73">
        <v>194</v>
      </c>
      <c r="AC243" s="73">
        <v>91</v>
      </c>
      <c r="AD243" s="73">
        <v>216</v>
      </c>
      <c r="AE243" s="73">
        <v>100</v>
      </c>
      <c r="AF243" s="73">
        <v>150</v>
      </c>
      <c r="AG243" s="73">
        <v>75</v>
      </c>
      <c r="AH243" s="132">
        <f t="shared" si="77"/>
        <v>1329</v>
      </c>
      <c r="AI243" s="131">
        <f t="shared" si="76"/>
        <v>634</v>
      </c>
      <c r="AJ243" s="311">
        <v>15</v>
      </c>
      <c r="AK243" s="73">
        <v>7</v>
      </c>
      <c r="AL243" s="73"/>
      <c r="AM243" s="74"/>
      <c r="AN243" s="76"/>
    </row>
    <row r="244" spans="1:40" ht="17.100000000000001" customHeight="1">
      <c r="A244" s="167" t="s">
        <v>156</v>
      </c>
      <c r="B244" s="167" t="s">
        <v>142</v>
      </c>
      <c r="C244" s="168" t="s">
        <v>142</v>
      </c>
      <c r="D244" s="167" t="s">
        <v>4</v>
      </c>
      <c r="E244" s="168" t="s">
        <v>1230</v>
      </c>
      <c r="F244" s="71">
        <v>38231</v>
      </c>
      <c r="G244" s="50" t="s">
        <v>1692</v>
      </c>
      <c r="H244" s="140">
        <v>12096</v>
      </c>
      <c r="I244" s="52">
        <v>22835</v>
      </c>
      <c r="J244" s="53" t="s">
        <v>1231</v>
      </c>
      <c r="K244" s="53" t="s">
        <v>1232</v>
      </c>
      <c r="L244" s="54" t="s">
        <v>1233</v>
      </c>
      <c r="M244" s="755">
        <v>3</v>
      </c>
      <c r="N244" s="169">
        <v>3</v>
      </c>
      <c r="O244" s="169">
        <v>3</v>
      </c>
      <c r="P244" s="169">
        <v>3</v>
      </c>
      <c r="Q244" s="169">
        <v>3</v>
      </c>
      <c r="R244" s="169">
        <v>3</v>
      </c>
      <c r="S244" s="169">
        <v>2</v>
      </c>
      <c r="T244" s="169">
        <v>0</v>
      </c>
      <c r="U244" s="131">
        <f t="shared" si="78"/>
        <v>20</v>
      </c>
      <c r="V244" s="314">
        <v>44</v>
      </c>
      <c r="W244" s="169">
        <v>22</v>
      </c>
      <c r="X244" s="169">
        <v>43</v>
      </c>
      <c r="Y244" s="169">
        <v>22</v>
      </c>
      <c r="Z244" s="169">
        <v>53</v>
      </c>
      <c r="AA244" s="169">
        <v>22</v>
      </c>
      <c r="AB244" s="169">
        <v>45</v>
      </c>
      <c r="AC244" s="169">
        <v>21</v>
      </c>
      <c r="AD244" s="169">
        <v>50</v>
      </c>
      <c r="AE244" s="169">
        <v>21</v>
      </c>
      <c r="AF244" s="169">
        <v>51</v>
      </c>
      <c r="AG244" s="78">
        <v>24</v>
      </c>
      <c r="AH244" s="132">
        <f t="shared" si="77"/>
        <v>286</v>
      </c>
      <c r="AI244" s="131">
        <f>SUM(W244,Y244,AA244,AC244,AE244,AG244)</f>
        <v>132</v>
      </c>
      <c r="AJ244" s="79">
        <v>8</v>
      </c>
      <c r="AK244" s="78">
        <v>3</v>
      </c>
      <c r="AL244" s="78">
        <v>0</v>
      </c>
      <c r="AM244" s="80">
        <v>0</v>
      </c>
      <c r="AN244" s="731"/>
    </row>
    <row r="245" spans="1:40" ht="17.100000000000001" customHeight="1">
      <c r="A245" s="167" t="s">
        <v>156</v>
      </c>
      <c r="B245" s="167" t="s">
        <v>142</v>
      </c>
      <c r="C245" s="168" t="s">
        <v>4526</v>
      </c>
      <c r="D245" s="167" t="s">
        <v>1357</v>
      </c>
      <c r="E245" s="168" t="s">
        <v>1168</v>
      </c>
      <c r="F245" s="71">
        <v>10968</v>
      </c>
      <c r="G245" s="50" t="s">
        <v>1677</v>
      </c>
      <c r="H245" s="140">
        <v>14692</v>
      </c>
      <c r="I245" s="52">
        <v>22723</v>
      </c>
      <c r="J245" s="53" t="s">
        <v>1169</v>
      </c>
      <c r="K245" s="53" t="s">
        <v>1170</v>
      </c>
      <c r="L245" s="54" t="s">
        <v>1171</v>
      </c>
      <c r="M245" s="755">
        <v>2</v>
      </c>
      <c r="N245" s="78">
        <v>2</v>
      </c>
      <c r="O245" s="78">
        <v>3</v>
      </c>
      <c r="P245" s="78">
        <v>3</v>
      </c>
      <c r="Q245" s="78">
        <v>3</v>
      </c>
      <c r="R245" s="78">
        <v>4</v>
      </c>
      <c r="S245" s="78">
        <v>3</v>
      </c>
      <c r="T245" s="78">
        <v>0</v>
      </c>
      <c r="U245" s="131">
        <f t="shared" si="78"/>
        <v>20</v>
      </c>
      <c r="V245" s="79">
        <v>43</v>
      </c>
      <c r="W245" s="78">
        <v>26</v>
      </c>
      <c r="X245" s="78">
        <v>46</v>
      </c>
      <c r="Y245" s="78">
        <v>25</v>
      </c>
      <c r="Z245" s="78">
        <v>60</v>
      </c>
      <c r="AA245" s="78">
        <v>33</v>
      </c>
      <c r="AB245" s="78">
        <v>64</v>
      </c>
      <c r="AC245" s="78">
        <v>31</v>
      </c>
      <c r="AD245" s="78">
        <v>78</v>
      </c>
      <c r="AE245" s="78">
        <v>41</v>
      </c>
      <c r="AF245" s="78">
        <v>88</v>
      </c>
      <c r="AG245" s="78">
        <v>39</v>
      </c>
      <c r="AH245" s="132">
        <f t="shared" si="77"/>
        <v>379</v>
      </c>
      <c r="AI245" s="131">
        <f t="shared" ref="AI245:AI267" si="79">W245+Y245+AA245+AC245+AE245+AG245</f>
        <v>195</v>
      </c>
      <c r="AJ245" s="79">
        <v>13</v>
      </c>
      <c r="AK245" s="78">
        <v>7</v>
      </c>
      <c r="AL245" s="78">
        <v>0</v>
      </c>
      <c r="AM245" s="80">
        <v>0</v>
      </c>
      <c r="AN245" s="731"/>
    </row>
    <row r="246" spans="1:40" ht="17.100000000000001" customHeight="1">
      <c r="A246" s="168" t="s">
        <v>156</v>
      </c>
      <c r="B246" s="168" t="s">
        <v>142</v>
      </c>
      <c r="C246" s="168" t="s">
        <v>142</v>
      </c>
      <c r="D246" s="168" t="s">
        <v>4</v>
      </c>
      <c r="E246" s="168" t="s">
        <v>4527</v>
      </c>
      <c r="F246" s="71">
        <v>30382</v>
      </c>
      <c r="G246" s="50" t="s">
        <v>4528</v>
      </c>
      <c r="H246" s="312">
        <v>13592</v>
      </c>
      <c r="I246" s="52">
        <v>22795</v>
      </c>
      <c r="J246" s="53" t="s">
        <v>2406</v>
      </c>
      <c r="K246" s="53" t="s">
        <v>1176</v>
      </c>
      <c r="L246" s="54" t="s">
        <v>2407</v>
      </c>
      <c r="M246" s="755">
        <v>2</v>
      </c>
      <c r="N246" s="73">
        <v>3</v>
      </c>
      <c r="O246" s="73">
        <v>3</v>
      </c>
      <c r="P246" s="73">
        <v>3</v>
      </c>
      <c r="Q246" s="73">
        <v>3</v>
      </c>
      <c r="R246" s="73">
        <v>3</v>
      </c>
      <c r="S246" s="73">
        <v>1</v>
      </c>
      <c r="T246" s="73">
        <v>0</v>
      </c>
      <c r="U246" s="131">
        <f t="shared" si="78"/>
        <v>18</v>
      </c>
      <c r="V246" s="75">
        <v>37</v>
      </c>
      <c r="W246" s="73">
        <v>19</v>
      </c>
      <c r="X246" s="73">
        <v>39</v>
      </c>
      <c r="Y246" s="73">
        <v>19</v>
      </c>
      <c r="Z246" s="73">
        <v>46</v>
      </c>
      <c r="AA246" s="73">
        <v>24</v>
      </c>
      <c r="AB246" s="73">
        <v>50</v>
      </c>
      <c r="AC246" s="73">
        <v>23</v>
      </c>
      <c r="AD246" s="73">
        <v>60</v>
      </c>
      <c r="AE246" s="73">
        <v>28</v>
      </c>
      <c r="AF246" s="73">
        <v>60</v>
      </c>
      <c r="AG246" s="73">
        <v>30</v>
      </c>
      <c r="AH246" s="132">
        <f t="shared" si="77"/>
        <v>292</v>
      </c>
      <c r="AI246" s="131">
        <f t="shared" si="79"/>
        <v>143</v>
      </c>
      <c r="AJ246" s="311">
        <v>3</v>
      </c>
      <c r="AK246" s="73">
        <v>2</v>
      </c>
      <c r="AL246" s="73">
        <v>0</v>
      </c>
      <c r="AM246" s="74">
        <v>0</v>
      </c>
      <c r="AN246" s="76"/>
    </row>
    <row r="247" spans="1:40" ht="17.100000000000001" customHeight="1">
      <c r="A247" s="167" t="s">
        <v>156</v>
      </c>
      <c r="B247" s="167" t="s">
        <v>142</v>
      </c>
      <c r="C247" s="168" t="s">
        <v>142</v>
      </c>
      <c r="D247" s="167" t="s">
        <v>4</v>
      </c>
      <c r="E247" s="168" t="s">
        <v>4529</v>
      </c>
      <c r="F247" s="71">
        <v>17069</v>
      </c>
      <c r="G247" s="50" t="s">
        <v>4530</v>
      </c>
      <c r="H247" s="77">
        <v>17979</v>
      </c>
      <c r="I247" s="52">
        <v>22801</v>
      </c>
      <c r="J247" s="53" t="s">
        <v>1172</v>
      </c>
      <c r="K247" s="53" t="s">
        <v>1173</v>
      </c>
      <c r="L247" s="54" t="s">
        <v>1173</v>
      </c>
      <c r="M247" s="755">
        <v>3</v>
      </c>
      <c r="N247" s="78">
        <v>4</v>
      </c>
      <c r="O247" s="78">
        <v>4</v>
      </c>
      <c r="P247" s="78">
        <v>4</v>
      </c>
      <c r="Q247" s="78">
        <v>5</v>
      </c>
      <c r="R247" s="78">
        <v>5</v>
      </c>
      <c r="S247" s="78">
        <v>3</v>
      </c>
      <c r="T247" s="78">
        <v>0</v>
      </c>
      <c r="U247" s="131">
        <f t="shared" si="78"/>
        <v>28</v>
      </c>
      <c r="V247" s="79">
        <v>56</v>
      </c>
      <c r="W247" s="78">
        <v>25</v>
      </c>
      <c r="X247" s="78">
        <v>61</v>
      </c>
      <c r="Y247" s="78">
        <v>35</v>
      </c>
      <c r="Z247" s="78">
        <v>65</v>
      </c>
      <c r="AA247" s="78">
        <v>23</v>
      </c>
      <c r="AB247" s="78">
        <v>67</v>
      </c>
      <c r="AC247" s="78">
        <v>29</v>
      </c>
      <c r="AD247" s="78">
        <v>83</v>
      </c>
      <c r="AE247" s="78">
        <v>41</v>
      </c>
      <c r="AF247" s="78">
        <v>87</v>
      </c>
      <c r="AG247" s="78">
        <v>44</v>
      </c>
      <c r="AH247" s="132">
        <f t="shared" si="77"/>
        <v>419</v>
      </c>
      <c r="AI247" s="131">
        <f t="shared" si="79"/>
        <v>197</v>
      </c>
      <c r="AJ247" s="314">
        <v>16</v>
      </c>
      <c r="AK247" s="78">
        <v>8</v>
      </c>
      <c r="AL247" s="78"/>
      <c r="AM247" s="80"/>
      <c r="AN247" s="731"/>
    </row>
    <row r="248" spans="1:40" ht="17.100000000000001" customHeight="1">
      <c r="A248" s="167" t="s">
        <v>156</v>
      </c>
      <c r="B248" s="167" t="s">
        <v>142</v>
      </c>
      <c r="C248" s="168" t="s">
        <v>142</v>
      </c>
      <c r="D248" s="167" t="s">
        <v>4</v>
      </c>
      <c r="E248" s="168" t="s">
        <v>4532</v>
      </c>
      <c r="F248" s="71">
        <v>31837</v>
      </c>
      <c r="G248" s="50" t="s">
        <v>4533</v>
      </c>
      <c r="H248" s="77">
        <v>13467</v>
      </c>
      <c r="I248" s="52">
        <v>22787</v>
      </c>
      <c r="J248" s="53" t="s">
        <v>1183</v>
      </c>
      <c r="K248" s="53" t="s">
        <v>1184</v>
      </c>
      <c r="L248" s="54" t="s">
        <v>1185</v>
      </c>
      <c r="M248" s="755">
        <v>2</v>
      </c>
      <c r="N248" s="78">
        <v>2</v>
      </c>
      <c r="O248" s="78">
        <v>2</v>
      </c>
      <c r="P248" s="78">
        <v>3</v>
      </c>
      <c r="Q248" s="78">
        <v>3</v>
      </c>
      <c r="R248" s="78">
        <v>3</v>
      </c>
      <c r="S248" s="78">
        <v>3</v>
      </c>
      <c r="T248" s="78">
        <v>0</v>
      </c>
      <c r="U248" s="131">
        <f t="shared" si="78"/>
        <v>18</v>
      </c>
      <c r="V248" s="79">
        <v>35</v>
      </c>
      <c r="W248" s="78">
        <v>17</v>
      </c>
      <c r="X248" s="78">
        <v>32</v>
      </c>
      <c r="Y248" s="78">
        <v>16</v>
      </c>
      <c r="Z248" s="78">
        <v>31</v>
      </c>
      <c r="AA248" s="78">
        <v>14</v>
      </c>
      <c r="AB248" s="78">
        <v>51</v>
      </c>
      <c r="AC248" s="78">
        <v>19</v>
      </c>
      <c r="AD248" s="78">
        <v>44</v>
      </c>
      <c r="AE248" s="78">
        <v>26</v>
      </c>
      <c r="AF248" s="78">
        <v>47</v>
      </c>
      <c r="AG248" s="78">
        <v>20</v>
      </c>
      <c r="AH248" s="132">
        <f t="shared" si="77"/>
        <v>240</v>
      </c>
      <c r="AI248" s="131">
        <f t="shared" si="79"/>
        <v>112</v>
      </c>
      <c r="AJ248" s="79">
        <v>14</v>
      </c>
      <c r="AK248" s="78">
        <v>8</v>
      </c>
      <c r="AL248" s="78">
        <v>0</v>
      </c>
      <c r="AM248" s="80">
        <v>0</v>
      </c>
      <c r="AN248" s="731"/>
    </row>
    <row r="249" spans="1:40" ht="17.100000000000001" customHeight="1">
      <c r="A249" s="168" t="s">
        <v>156</v>
      </c>
      <c r="B249" s="168" t="s">
        <v>142</v>
      </c>
      <c r="C249" s="168" t="s">
        <v>142</v>
      </c>
      <c r="D249" s="168" t="s">
        <v>4</v>
      </c>
      <c r="E249" s="168" t="s">
        <v>4534</v>
      </c>
      <c r="F249" s="71">
        <v>31472</v>
      </c>
      <c r="G249" s="50" t="s">
        <v>2408</v>
      </c>
      <c r="H249" s="72">
        <v>13703</v>
      </c>
      <c r="I249" s="52">
        <v>22779</v>
      </c>
      <c r="J249" s="53" t="s">
        <v>1177</v>
      </c>
      <c r="K249" s="53" t="s">
        <v>1177</v>
      </c>
      <c r="L249" s="54" t="s">
        <v>1178</v>
      </c>
      <c r="M249" s="755">
        <v>2</v>
      </c>
      <c r="N249" s="73">
        <v>3</v>
      </c>
      <c r="O249" s="73">
        <v>2</v>
      </c>
      <c r="P249" s="73">
        <v>3</v>
      </c>
      <c r="Q249" s="73">
        <v>3</v>
      </c>
      <c r="R249" s="73">
        <v>3</v>
      </c>
      <c r="S249" s="73">
        <v>3</v>
      </c>
      <c r="T249" s="73">
        <v>0</v>
      </c>
      <c r="U249" s="131">
        <f t="shared" si="78"/>
        <v>19</v>
      </c>
      <c r="V249" s="75">
        <v>32</v>
      </c>
      <c r="W249" s="73">
        <v>14</v>
      </c>
      <c r="X249" s="73">
        <v>53</v>
      </c>
      <c r="Y249" s="73">
        <v>23</v>
      </c>
      <c r="Z249" s="73">
        <v>49</v>
      </c>
      <c r="AA249" s="73">
        <v>22</v>
      </c>
      <c r="AB249" s="73">
        <v>67</v>
      </c>
      <c r="AC249" s="73">
        <v>21</v>
      </c>
      <c r="AD249" s="73">
        <v>60</v>
      </c>
      <c r="AE249" s="73">
        <v>33</v>
      </c>
      <c r="AF249" s="73">
        <v>64</v>
      </c>
      <c r="AG249" s="73">
        <v>36</v>
      </c>
      <c r="AH249" s="132">
        <f t="shared" si="77"/>
        <v>325</v>
      </c>
      <c r="AI249" s="131">
        <f t="shared" si="79"/>
        <v>149</v>
      </c>
      <c r="AJ249" s="311">
        <v>20</v>
      </c>
      <c r="AK249" s="73">
        <v>7</v>
      </c>
      <c r="AL249" s="73">
        <v>0</v>
      </c>
      <c r="AM249" s="74">
        <v>0</v>
      </c>
      <c r="AN249" s="76"/>
    </row>
    <row r="250" spans="1:40" ht="17.100000000000001" customHeight="1">
      <c r="A250" s="168" t="s">
        <v>156</v>
      </c>
      <c r="B250" s="168" t="s">
        <v>142</v>
      </c>
      <c r="C250" s="168" t="s">
        <v>142</v>
      </c>
      <c r="D250" s="168" t="s">
        <v>4</v>
      </c>
      <c r="E250" s="1246" t="s">
        <v>4535</v>
      </c>
      <c r="F250" s="71">
        <v>30011</v>
      </c>
      <c r="G250" s="50" t="s">
        <v>4536</v>
      </c>
      <c r="H250" s="140">
        <v>17006</v>
      </c>
      <c r="I250" s="52">
        <v>22782</v>
      </c>
      <c r="J250" s="53" t="s">
        <v>4537</v>
      </c>
      <c r="K250" s="53" t="s">
        <v>4538</v>
      </c>
      <c r="L250" s="54" t="s">
        <v>4539</v>
      </c>
      <c r="M250" s="1247">
        <v>2</v>
      </c>
      <c r="N250" s="162">
        <v>2</v>
      </c>
      <c r="O250" s="162">
        <v>2</v>
      </c>
      <c r="P250" s="162">
        <v>3</v>
      </c>
      <c r="Q250" s="162">
        <v>3</v>
      </c>
      <c r="R250" s="162">
        <v>3</v>
      </c>
      <c r="S250" s="162">
        <v>2</v>
      </c>
      <c r="T250" s="162">
        <v>0</v>
      </c>
      <c r="U250" s="131">
        <f t="shared" si="78"/>
        <v>17</v>
      </c>
      <c r="V250" s="75">
        <v>26</v>
      </c>
      <c r="W250" s="73">
        <v>14</v>
      </c>
      <c r="X250" s="73">
        <v>32</v>
      </c>
      <c r="Y250" s="73">
        <v>17</v>
      </c>
      <c r="Z250" s="73">
        <v>25</v>
      </c>
      <c r="AA250" s="73">
        <v>13</v>
      </c>
      <c r="AB250" s="73">
        <v>41</v>
      </c>
      <c r="AC250" s="73">
        <v>21</v>
      </c>
      <c r="AD250" s="73">
        <v>46</v>
      </c>
      <c r="AE250" s="73">
        <v>25</v>
      </c>
      <c r="AF250" s="73">
        <v>50</v>
      </c>
      <c r="AG250" s="73">
        <v>22</v>
      </c>
      <c r="AH250" s="132">
        <f t="shared" si="77"/>
        <v>220</v>
      </c>
      <c r="AI250" s="131">
        <f t="shared" si="79"/>
        <v>112</v>
      </c>
      <c r="AJ250" s="75">
        <v>6</v>
      </c>
      <c r="AK250" s="73">
        <v>1</v>
      </c>
      <c r="AL250" s="73">
        <v>0</v>
      </c>
      <c r="AM250" s="74">
        <v>0</v>
      </c>
      <c r="AN250" s="76"/>
    </row>
    <row r="251" spans="1:40" ht="17.100000000000001" customHeight="1">
      <c r="A251" s="167" t="s">
        <v>156</v>
      </c>
      <c r="B251" s="167" t="s">
        <v>142</v>
      </c>
      <c r="C251" s="168" t="s">
        <v>142</v>
      </c>
      <c r="D251" s="167" t="s">
        <v>4</v>
      </c>
      <c r="E251" s="168" t="s">
        <v>4540</v>
      </c>
      <c r="F251" s="71">
        <v>35855</v>
      </c>
      <c r="G251" s="50" t="s">
        <v>1203</v>
      </c>
      <c r="H251" s="72">
        <v>11899</v>
      </c>
      <c r="I251" s="52">
        <v>22711</v>
      </c>
      <c r="J251" s="53" t="s">
        <v>1204</v>
      </c>
      <c r="K251" s="53" t="s">
        <v>1205</v>
      </c>
      <c r="L251" s="54" t="s">
        <v>1206</v>
      </c>
      <c r="M251" s="755">
        <v>2</v>
      </c>
      <c r="N251" s="78">
        <v>2</v>
      </c>
      <c r="O251" s="78">
        <v>2</v>
      </c>
      <c r="P251" s="78">
        <v>2</v>
      </c>
      <c r="Q251" s="78">
        <v>2</v>
      </c>
      <c r="R251" s="78">
        <v>2</v>
      </c>
      <c r="S251" s="78">
        <v>1</v>
      </c>
      <c r="T251" s="78">
        <v>0</v>
      </c>
      <c r="U251" s="131">
        <f t="shared" si="78"/>
        <v>13</v>
      </c>
      <c r="V251" s="79">
        <v>22</v>
      </c>
      <c r="W251" s="78">
        <v>10</v>
      </c>
      <c r="X251" s="78">
        <v>26</v>
      </c>
      <c r="Y251" s="78">
        <v>14</v>
      </c>
      <c r="Z251" s="78">
        <v>24</v>
      </c>
      <c r="AA251" s="78">
        <v>10</v>
      </c>
      <c r="AB251" s="78">
        <v>30</v>
      </c>
      <c r="AC251" s="78">
        <v>18</v>
      </c>
      <c r="AD251" s="78">
        <v>35</v>
      </c>
      <c r="AE251" s="78">
        <v>17</v>
      </c>
      <c r="AF251" s="78">
        <v>37</v>
      </c>
      <c r="AG251" s="78">
        <v>17</v>
      </c>
      <c r="AH251" s="132">
        <f t="shared" si="77"/>
        <v>174</v>
      </c>
      <c r="AI251" s="131">
        <f t="shared" si="79"/>
        <v>86</v>
      </c>
      <c r="AJ251" s="79">
        <v>1</v>
      </c>
      <c r="AK251" s="78">
        <v>0</v>
      </c>
      <c r="AL251" s="78">
        <v>0</v>
      </c>
      <c r="AM251" s="80">
        <v>0</v>
      </c>
      <c r="AN251" s="731"/>
    </row>
    <row r="252" spans="1:40" ht="17.100000000000001" customHeight="1">
      <c r="A252" s="168" t="s">
        <v>156</v>
      </c>
      <c r="B252" s="168" t="s">
        <v>142</v>
      </c>
      <c r="C252" s="168" t="s">
        <v>142</v>
      </c>
      <c r="D252" s="168" t="s">
        <v>4</v>
      </c>
      <c r="E252" s="168" t="s">
        <v>1212</v>
      </c>
      <c r="F252" s="71">
        <v>37500</v>
      </c>
      <c r="G252" s="50" t="s">
        <v>1277</v>
      </c>
      <c r="H252" s="72">
        <v>10755</v>
      </c>
      <c r="I252" s="52">
        <v>22729</v>
      </c>
      <c r="J252" s="53" t="s">
        <v>1213</v>
      </c>
      <c r="K252" s="53" t="s">
        <v>1214</v>
      </c>
      <c r="L252" s="54" t="s">
        <v>1215</v>
      </c>
      <c r="M252" s="755">
        <v>2</v>
      </c>
      <c r="N252" s="73">
        <v>2</v>
      </c>
      <c r="O252" s="73">
        <v>2</v>
      </c>
      <c r="P252" s="73">
        <v>2</v>
      </c>
      <c r="Q252" s="73">
        <v>3</v>
      </c>
      <c r="R252" s="73">
        <v>3</v>
      </c>
      <c r="S252" s="73">
        <v>3</v>
      </c>
      <c r="T252" s="73"/>
      <c r="U252" s="131">
        <f t="shared" si="78"/>
        <v>17</v>
      </c>
      <c r="V252" s="75">
        <v>38</v>
      </c>
      <c r="W252" s="73">
        <v>15</v>
      </c>
      <c r="X252" s="73">
        <v>19</v>
      </c>
      <c r="Y252" s="73">
        <v>11</v>
      </c>
      <c r="Z252" s="73">
        <v>33</v>
      </c>
      <c r="AA252" s="73">
        <v>11</v>
      </c>
      <c r="AB252" s="73">
        <v>33</v>
      </c>
      <c r="AC252" s="73">
        <v>16</v>
      </c>
      <c r="AD252" s="73">
        <v>56</v>
      </c>
      <c r="AE252" s="73">
        <v>27</v>
      </c>
      <c r="AF252" s="73">
        <v>54</v>
      </c>
      <c r="AG252" s="73">
        <v>32</v>
      </c>
      <c r="AH252" s="132">
        <f t="shared" si="77"/>
        <v>233</v>
      </c>
      <c r="AI252" s="131">
        <f t="shared" si="79"/>
        <v>112</v>
      </c>
      <c r="AJ252" s="75">
        <v>12</v>
      </c>
      <c r="AK252" s="73">
        <v>4</v>
      </c>
      <c r="AL252" s="73"/>
      <c r="AM252" s="74"/>
      <c r="AN252" s="76"/>
    </row>
    <row r="253" spans="1:40" ht="20.100000000000001" customHeight="1">
      <c r="A253" s="167" t="s">
        <v>156</v>
      </c>
      <c r="B253" s="167" t="s">
        <v>142</v>
      </c>
      <c r="C253" s="168" t="s">
        <v>142</v>
      </c>
      <c r="D253" s="167" t="s">
        <v>4</v>
      </c>
      <c r="E253" s="168" t="s">
        <v>4541</v>
      </c>
      <c r="F253" s="71">
        <v>38231</v>
      </c>
      <c r="G253" s="50" t="s">
        <v>4542</v>
      </c>
      <c r="H253" s="72">
        <v>11791</v>
      </c>
      <c r="I253" s="740">
        <v>22705</v>
      </c>
      <c r="J253" s="726" t="s">
        <v>4543</v>
      </c>
      <c r="K253" s="726" t="s">
        <v>1234</v>
      </c>
      <c r="L253" s="741" t="s">
        <v>1235</v>
      </c>
      <c r="M253" s="755">
        <v>1</v>
      </c>
      <c r="N253" s="78">
        <v>1</v>
      </c>
      <c r="O253" s="78">
        <v>2</v>
      </c>
      <c r="P253" s="78">
        <v>3</v>
      </c>
      <c r="Q253" s="78">
        <v>3</v>
      </c>
      <c r="R253" s="78">
        <v>3</v>
      </c>
      <c r="S253" s="78">
        <v>2</v>
      </c>
      <c r="T253" s="78">
        <v>0</v>
      </c>
      <c r="U253" s="131">
        <f t="shared" si="78"/>
        <v>15</v>
      </c>
      <c r="V253" s="79">
        <v>21</v>
      </c>
      <c r="W253" s="78">
        <v>11</v>
      </c>
      <c r="X253" s="78">
        <v>20</v>
      </c>
      <c r="Y253" s="78">
        <v>9</v>
      </c>
      <c r="Z253" s="78">
        <v>40</v>
      </c>
      <c r="AA253" s="78">
        <v>14</v>
      </c>
      <c r="AB253" s="78">
        <v>54</v>
      </c>
      <c r="AC253" s="78">
        <v>28</v>
      </c>
      <c r="AD253" s="78">
        <v>61</v>
      </c>
      <c r="AE253" s="78">
        <v>32</v>
      </c>
      <c r="AF253" s="78">
        <v>77</v>
      </c>
      <c r="AG253" s="78">
        <v>36</v>
      </c>
      <c r="AH253" s="132">
        <f t="shared" si="77"/>
        <v>273</v>
      </c>
      <c r="AI253" s="131">
        <f t="shared" si="79"/>
        <v>130</v>
      </c>
      <c r="AJ253" s="79">
        <v>9</v>
      </c>
      <c r="AK253" s="78">
        <v>3</v>
      </c>
      <c r="AL253" s="78">
        <v>0</v>
      </c>
      <c r="AM253" s="80">
        <v>0</v>
      </c>
      <c r="AN253" s="731"/>
    </row>
    <row r="254" spans="1:40" ht="17.100000000000001" customHeight="1">
      <c r="A254" s="168" t="s">
        <v>156</v>
      </c>
      <c r="B254" s="168" t="s">
        <v>142</v>
      </c>
      <c r="C254" s="168" t="s">
        <v>142</v>
      </c>
      <c r="D254" s="168" t="s">
        <v>4</v>
      </c>
      <c r="E254" s="168" t="s">
        <v>1188</v>
      </c>
      <c r="F254" s="71">
        <v>32752</v>
      </c>
      <c r="G254" s="50" t="s">
        <v>1189</v>
      </c>
      <c r="H254" s="312">
        <v>15534</v>
      </c>
      <c r="I254" s="52">
        <v>22805</v>
      </c>
      <c r="J254" s="53" t="s">
        <v>1190</v>
      </c>
      <c r="K254" s="53" t="s">
        <v>1191</v>
      </c>
      <c r="L254" s="54" t="s">
        <v>1192</v>
      </c>
      <c r="M254" s="755">
        <v>1</v>
      </c>
      <c r="N254" s="73">
        <v>1</v>
      </c>
      <c r="O254" s="73">
        <v>1</v>
      </c>
      <c r="P254" s="73">
        <v>1</v>
      </c>
      <c r="Q254" s="73">
        <v>2</v>
      </c>
      <c r="R254" s="73">
        <v>2</v>
      </c>
      <c r="S254" s="73">
        <v>3</v>
      </c>
      <c r="T254" s="73">
        <v>0</v>
      </c>
      <c r="U254" s="131">
        <f t="shared" si="78"/>
        <v>11</v>
      </c>
      <c r="V254" s="75">
        <v>11</v>
      </c>
      <c r="W254" s="73">
        <v>5</v>
      </c>
      <c r="X254" s="73">
        <v>20</v>
      </c>
      <c r="Y254" s="73">
        <v>11</v>
      </c>
      <c r="Z254" s="73">
        <v>15</v>
      </c>
      <c r="AA254" s="73">
        <v>8</v>
      </c>
      <c r="AB254" s="73">
        <v>19</v>
      </c>
      <c r="AC254" s="73">
        <v>7</v>
      </c>
      <c r="AD254" s="73">
        <v>23</v>
      </c>
      <c r="AE254" s="73">
        <v>12</v>
      </c>
      <c r="AF254" s="73">
        <v>38</v>
      </c>
      <c r="AG254" s="73">
        <v>13</v>
      </c>
      <c r="AH254" s="132">
        <f t="shared" si="77"/>
        <v>126</v>
      </c>
      <c r="AI254" s="131">
        <f t="shared" si="79"/>
        <v>56</v>
      </c>
      <c r="AJ254" s="75">
        <v>13</v>
      </c>
      <c r="AK254" s="73">
        <v>2</v>
      </c>
      <c r="AL254" s="73">
        <v>0</v>
      </c>
      <c r="AM254" s="74">
        <v>0</v>
      </c>
      <c r="AN254" s="76"/>
    </row>
    <row r="255" spans="1:40" ht="17.100000000000001" customHeight="1">
      <c r="A255" s="167" t="s">
        <v>156</v>
      </c>
      <c r="B255" s="167" t="s">
        <v>142</v>
      </c>
      <c r="C255" s="168" t="s">
        <v>142</v>
      </c>
      <c r="D255" s="167" t="s">
        <v>4</v>
      </c>
      <c r="E255" s="168" t="s">
        <v>4544</v>
      </c>
      <c r="F255" s="71">
        <v>40422</v>
      </c>
      <c r="G255" s="50" t="s">
        <v>2411</v>
      </c>
      <c r="H255" s="140">
        <v>11996.6</v>
      </c>
      <c r="I255" s="52">
        <v>22735</v>
      </c>
      <c r="J255" s="53" t="s">
        <v>1246</v>
      </c>
      <c r="K255" s="53" t="s">
        <v>1247</v>
      </c>
      <c r="L255" s="54" t="s">
        <v>1248</v>
      </c>
      <c r="M255" s="755">
        <v>6</v>
      </c>
      <c r="N255" s="78">
        <v>7</v>
      </c>
      <c r="O255" s="78">
        <v>9</v>
      </c>
      <c r="P255" s="78">
        <v>8</v>
      </c>
      <c r="Q255" s="78">
        <v>9</v>
      </c>
      <c r="R255" s="78">
        <v>9</v>
      </c>
      <c r="S255" s="78">
        <v>3</v>
      </c>
      <c r="T255" s="78">
        <v>0</v>
      </c>
      <c r="U255" s="131">
        <f t="shared" si="78"/>
        <v>51</v>
      </c>
      <c r="V255" s="79">
        <v>137</v>
      </c>
      <c r="W255" s="78">
        <v>74</v>
      </c>
      <c r="X255" s="78">
        <v>179</v>
      </c>
      <c r="Y255" s="78">
        <v>94</v>
      </c>
      <c r="Z255" s="78">
        <v>230</v>
      </c>
      <c r="AA255" s="78">
        <v>103</v>
      </c>
      <c r="AB255" s="78">
        <v>198</v>
      </c>
      <c r="AC255" s="78">
        <v>98</v>
      </c>
      <c r="AD255" s="78">
        <v>229</v>
      </c>
      <c r="AE255" s="78">
        <v>95</v>
      </c>
      <c r="AF255" s="78">
        <v>225</v>
      </c>
      <c r="AG255" s="78">
        <v>129</v>
      </c>
      <c r="AH255" s="132">
        <f t="shared" si="77"/>
        <v>1198</v>
      </c>
      <c r="AI255" s="131">
        <f t="shared" si="79"/>
        <v>593</v>
      </c>
      <c r="AJ255" s="79">
        <v>18</v>
      </c>
      <c r="AK255" s="78">
        <v>6</v>
      </c>
      <c r="AL255" s="78">
        <v>0</v>
      </c>
      <c r="AM255" s="80">
        <v>0</v>
      </c>
      <c r="AN255" s="731"/>
    </row>
    <row r="256" spans="1:40" ht="17.100000000000001" customHeight="1">
      <c r="A256" s="167" t="s">
        <v>156</v>
      </c>
      <c r="B256" s="167" t="s">
        <v>142</v>
      </c>
      <c r="C256" s="168" t="s">
        <v>142</v>
      </c>
      <c r="D256" s="167" t="s">
        <v>4</v>
      </c>
      <c r="E256" s="168" t="s">
        <v>4545</v>
      </c>
      <c r="F256" s="71">
        <v>41334</v>
      </c>
      <c r="G256" s="50" t="s">
        <v>4546</v>
      </c>
      <c r="H256" s="140">
        <v>10565</v>
      </c>
      <c r="I256" s="52">
        <v>22747</v>
      </c>
      <c r="J256" s="53" t="s">
        <v>4547</v>
      </c>
      <c r="K256" s="53" t="s">
        <v>4547</v>
      </c>
      <c r="L256" s="54" t="s">
        <v>4548</v>
      </c>
      <c r="M256" s="755">
        <v>5</v>
      </c>
      <c r="N256" s="65">
        <v>6</v>
      </c>
      <c r="O256" s="65">
        <v>7</v>
      </c>
      <c r="P256" s="65">
        <v>8</v>
      </c>
      <c r="Q256" s="65">
        <v>8</v>
      </c>
      <c r="R256" s="65">
        <v>9</v>
      </c>
      <c r="S256" s="65">
        <v>2</v>
      </c>
      <c r="T256" s="78"/>
      <c r="U256" s="131">
        <f t="shared" si="78"/>
        <v>45</v>
      </c>
      <c r="V256" s="79">
        <v>125</v>
      </c>
      <c r="W256" s="78">
        <v>73</v>
      </c>
      <c r="X256" s="78">
        <v>154</v>
      </c>
      <c r="Y256" s="78">
        <v>87</v>
      </c>
      <c r="Z256" s="78">
        <v>162</v>
      </c>
      <c r="AA256" s="78">
        <v>82</v>
      </c>
      <c r="AB256" s="78">
        <v>203</v>
      </c>
      <c r="AC256" s="78">
        <v>102</v>
      </c>
      <c r="AD256" s="78">
        <v>212</v>
      </c>
      <c r="AE256" s="78">
        <v>98</v>
      </c>
      <c r="AF256" s="78">
        <v>218</v>
      </c>
      <c r="AG256" s="78">
        <v>99</v>
      </c>
      <c r="AH256" s="132">
        <f t="shared" si="77"/>
        <v>1074</v>
      </c>
      <c r="AI256" s="131">
        <f t="shared" si="79"/>
        <v>541</v>
      </c>
      <c r="AJ256" s="314">
        <v>8</v>
      </c>
      <c r="AK256" s="78">
        <v>4</v>
      </c>
      <c r="AL256" s="78"/>
      <c r="AM256" s="80"/>
      <c r="AN256" s="731"/>
    </row>
    <row r="257" spans="1:40" ht="17.100000000000001" customHeight="1">
      <c r="A257" s="168" t="s">
        <v>4549</v>
      </c>
      <c r="B257" s="168" t="s">
        <v>142</v>
      </c>
      <c r="C257" s="168" t="s">
        <v>142</v>
      </c>
      <c r="D257" s="168" t="s">
        <v>4</v>
      </c>
      <c r="E257" s="168" t="s">
        <v>1253</v>
      </c>
      <c r="F257" s="71">
        <v>41153</v>
      </c>
      <c r="G257" s="50" t="s">
        <v>2412</v>
      </c>
      <c r="H257" s="140">
        <v>11849</v>
      </c>
      <c r="I257" s="52">
        <v>22764</v>
      </c>
      <c r="J257" s="53" t="s">
        <v>1254</v>
      </c>
      <c r="K257" s="53" t="s">
        <v>1255</v>
      </c>
      <c r="L257" s="54" t="s">
        <v>1256</v>
      </c>
      <c r="M257" s="755">
        <v>4</v>
      </c>
      <c r="N257" s="73">
        <v>5</v>
      </c>
      <c r="O257" s="73">
        <v>5</v>
      </c>
      <c r="P257" s="73">
        <v>6</v>
      </c>
      <c r="Q257" s="73">
        <v>5</v>
      </c>
      <c r="R257" s="73">
        <v>6</v>
      </c>
      <c r="S257" s="73">
        <v>1</v>
      </c>
      <c r="T257" s="73">
        <v>0</v>
      </c>
      <c r="U257" s="131">
        <f t="shared" si="78"/>
        <v>32</v>
      </c>
      <c r="V257" s="75">
        <v>84</v>
      </c>
      <c r="W257" s="73">
        <v>40</v>
      </c>
      <c r="X257" s="73">
        <v>116</v>
      </c>
      <c r="Y257" s="73">
        <v>49</v>
      </c>
      <c r="Z257" s="73">
        <v>114</v>
      </c>
      <c r="AA257" s="73">
        <v>50</v>
      </c>
      <c r="AB257" s="73">
        <v>138</v>
      </c>
      <c r="AC257" s="73">
        <v>69</v>
      </c>
      <c r="AD257" s="73">
        <v>134</v>
      </c>
      <c r="AE257" s="73">
        <v>63</v>
      </c>
      <c r="AF257" s="73">
        <v>154</v>
      </c>
      <c r="AG257" s="73">
        <v>76</v>
      </c>
      <c r="AH257" s="132">
        <f t="shared" si="77"/>
        <v>740</v>
      </c>
      <c r="AI257" s="131">
        <f t="shared" si="79"/>
        <v>347</v>
      </c>
      <c r="AJ257" s="311">
        <v>4</v>
      </c>
      <c r="AK257" s="73">
        <v>1</v>
      </c>
      <c r="AL257" s="73">
        <v>0</v>
      </c>
      <c r="AM257" s="74">
        <v>0</v>
      </c>
      <c r="AN257" s="76"/>
    </row>
    <row r="258" spans="1:40" ht="17.100000000000001" customHeight="1">
      <c r="A258" s="168" t="s">
        <v>156</v>
      </c>
      <c r="B258" s="168" t="s">
        <v>142</v>
      </c>
      <c r="C258" s="168" t="s">
        <v>142</v>
      </c>
      <c r="D258" s="168" t="s">
        <v>4</v>
      </c>
      <c r="E258" s="168" t="s">
        <v>1270</v>
      </c>
      <c r="F258" s="71">
        <v>44256</v>
      </c>
      <c r="G258" s="50" t="s">
        <v>699</v>
      </c>
      <c r="H258" s="72">
        <v>12000.1</v>
      </c>
      <c r="I258" s="52">
        <v>22748</v>
      </c>
      <c r="J258" s="53" t="s">
        <v>2413</v>
      </c>
      <c r="K258" s="53" t="s">
        <v>1271</v>
      </c>
      <c r="L258" s="54" t="s">
        <v>1272</v>
      </c>
      <c r="M258" s="755">
        <v>3</v>
      </c>
      <c r="N258" s="73">
        <v>3</v>
      </c>
      <c r="O258" s="73">
        <v>3</v>
      </c>
      <c r="P258" s="73">
        <v>4</v>
      </c>
      <c r="Q258" s="73">
        <v>3</v>
      </c>
      <c r="R258" s="73">
        <v>4</v>
      </c>
      <c r="S258" s="73">
        <v>1</v>
      </c>
      <c r="T258" s="73">
        <v>0</v>
      </c>
      <c r="U258" s="131">
        <v>21</v>
      </c>
      <c r="V258" s="75">
        <v>55</v>
      </c>
      <c r="W258" s="73">
        <v>17</v>
      </c>
      <c r="X258" s="73">
        <v>65</v>
      </c>
      <c r="Y258" s="73">
        <v>31</v>
      </c>
      <c r="Z258" s="73">
        <v>64</v>
      </c>
      <c r="AA258" s="73">
        <v>32</v>
      </c>
      <c r="AB258" s="73">
        <v>97</v>
      </c>
      <c r="AC258" s="73">
        <v>50</v>
      </c>
      <c r="AD258" s="73">
        <v>74</v>
      </c>
      <c r="AE258" s="73">
        <v>37</v>
      </c>
      <c r="AF258" s="73">
        <v>89</v>
      </c>
      <c r="AG258" s="73">
        <v>38</v>
      </c>
      <c r="AH258" s="132">
        <f t="shared" si="77"/>
        <v>444</v>
      </c>
      <c r="AI258" s="131">
        <f t="shared" si="79"/>
        <v>205</v>
      </c>
      <c r="AJ258" s="311">
        <v>4</v>
      </c>
      <c r="AK258" s="73">
        <v>1</v>
      </c>
      <c r="AL258" s="73">
        <v>0</v>
      </c>
      <c r="AM258" s="74">
        <v>0</v>
      </c>
      <c r="AN258" s="76"/>
    </row>
    <row r="259" spans="1:40" ht="17.100000000000001" customHeight="1">
      <c r="A259" s="168" t="s">
        <v>156</v>
      </c>
      <c r="B259" s="168" t="s">
        <v>142</v>
      </c>
      <c r="C259" s="168" t="s">
        <v>142</v>
      </c>
      <c r="D259" s="168" t="s">
        <v>4</v>
      </c>
      <c r="E259" s="168" t="s">
        <v>4550</v>
      </c>
      <c r="F259" s="71">
        <v>40603</v>
      </c>
      <c r="G259" s="50" t="s">
        <v>4551</v>
      </c>
      <c r="H259" s="72">
        <v>12000.3</v>
      </c>
      <c r="I259" s="52">
        <v>22740</v>
      </c>
      <c r="J259" s="53" t="s">
        <v>4552</v>
      </c>
      <c r="K259" s="53" t="s">
        <v>4553</v>
      </c>
      <c r="L259" s="54" t="s">
        <v>4554</v>
      </c>
      <c r="M259" s="755">
        <v>5</v>
      </c>
      <c r="N259" s="73">
        <v>5</v>
      </c>
      <c r="O259" s="73">
        <v>6</v>
      </c>
      <c r="P259" s="73">
        <v>6</v>
      </c>
      <c r="Q259" s="73">
        <v>6</v>
      </c>
      <c r="R259" s="73">
        <v>6</v>
      </c>
      <c r="S259" s="73">
        <v>3</v>
      </c>
      <c r="T259" s="73">
        <v>0</v>
      </c>
      <c r="U259" s="131">
        <f t="shared" ref="U259:U267" si="80">SUM(M259:T259)</f>
        <v>37</v>
      </c>
      <c r="V259" s="75">
        <v>119</v>
      </c>
      <c r="W259" s="73">
        <v>48</v>
      </c>
      <c r="X259" s="73">
        <v>118</v>
      </c>
      <c r="Y259" s="73">
        <v>56</v>
      </c>
      <c r="Z259" s="73">
        <v>145</v>
      </c>
      <c r="AA259" s="73">
        <v>69</v>
      </c>
      <c r="AB259" s="73">
        <v>142</v>
      </c>
      <c r="AC259" s="73">
        <v>72</v>
      </c>
      <c r="AD259" s="73">
        <v>154</v>
      </c>
      <c r="AE259" s="73">
        <v>79</v>
      </c>
      <c r="AF259" s="73">
        <v>142</v>
      </c>
      <c r="AG259" s="73">
        <v>62</v>
      </c>
      <c r="AH259" s="132">
        <f t="shared" si="77"/>
        <v>820</v>
      </c>
      <c r="AI259" s="131">
        <f t="shared" si="79"/>
        <v>386</v>
      </c>
      <c r="AJ259" s="311">
        <v>15</v>
      </c>
      <c r="AK259" s="73">
        <v>3</v>
      </c>
      <c r="AL259" s="73">
        <v>0</v>
      </c>
      <c r="AM259" s="74">
        <v>0</v>
      </c>
      <c r="AN259" s="76"/>
    </row>
    <row r="260" spans="1:40" ht="17.100000000000001" customHeight="1">
      <c r="A260" s="168" t="s">
        <v>156</v>
      </c>
      <c r="B260" s="168" t="s">
        <v>142</v>
      </c>
      <c r="C260" s="168" t="s">
        <v>142</v>
      </c>
      <c r="D260" s="168" t="s">
        <v>4</v>
      </c>
      <c r="E260" s="168" t="s">
        <v>4555</v>
      </c>
      <c r="F260" s="71">
        <v>40969</v>
      </c>
      <c r="G260" s="50" t="s">
        <v>4556</v>
      </c>
      <c r="H260" s="312">
        <v>23003</v>
      </c>
      <c r="I260" s="52">
        <v>22765</v>
      </c>
      <c r="J260" s="53" t="s">
        <v>4557</v>
      </c>
      <c r="K260" s="53" t="s">
        <v>4558</v>
      </c>
      <c r="L260" s="54" t="s">
        <v>4559</v>
      </c>
      <c r="M260" s="755">
        <v>9</v>
      </c>
      <c r="N260" s="73">
        <v>9</v>
      </c>
      <c r="O260" s="73">
        <v>11</v>
      </c>
      <c r="P260" s="73">
        <v>12</v>
      </c>
      <c r="Q260" s="73">
        <v>13</v>
      </c>
      <c r="R260" s="73">
        <v>13</v>
      </c>
      <c r="S260" s="73">
        <v>4</v>
      </c>
      <c r="T260" s="73"/>
      <c r="U260" s="131">
        <f t="shared" si="80"/>
        <v>71</v>
      </c>
      <c r="V260" s="75">
        <v>227</v>
      </c>
      <c r="W260" s="73">
        <v>102</v>
      </c>
      <c r="X260" s="73">
        <v>231</v>
      </c>
      <c r="Y260" s="73">
        <v>123</v>
      </c>
      <c r="Z260" s="73">
        <v>277</v>
      </c>
      <c r="AA260" s="73">
        <v>137</v>
      </c>
      <c r="AB260" s="73">
        <v>321</v>
      </c>
      <c r="AC260" s="73">
        <v>187</v>
      </c>
      <c r="AD260" s="73">
        <v>338</v>
      </c>
      <c r="AE260" s="73">
        <v>156</v>
      </c>
      <c r="AF260" s="73">
        <v>335</v>
      </c>
      <c r="AG260" s="73">
        <v>175</v>
      </c>
      <c r="AH260" s="132">
        <f t="shared" si="77"/>
        <v>1729</v>
      </c>
      <c r="AI260" s="131">
        <f t="shared" si="79"/>
        <v>880</v>
      </c>
      <c r="AJ260" s="311">
        <v>21</v>
      </c>
      <c r="AK260" s="73">
        <v>9</v>
      </c>
      <c r="AL260" s="73"/>
      <c r="AM260" s="74"/>
      <c r="AN260" s="76"/>
    </row>
    <row r="261" spans="1:40" s="339" customFormat="1" ht="17.100000000000001" customHeight="1">
      <c r="A261" s="1246" t="s">
        <v>156</v>
      </c>
      <c r="B261" s="1246" t="s">
        <v>142</v>
      </c>
      <c r="C261" s="1246" t="s">
        <v>2824</v>
      </c>
      <c r="D261" s="1246" t="s">
        <v>4</v>
      </c>
      <c r="E261" s="1246" t="s">
        <v>1197</v>
      </c>
      <c r="F261" s="1325">
        <v>11890</v>
      </c>
      <c r="G261" s="1326" t="s">
        <v>2400</v>
      </c>
      <c r="H261" s="1327">
        <v>11973</v>
      </c>
      <c r="I261" s="1328">
        <v>22601</v>
      </c>
      <c r="J261" s="1329" t="s">
        <v>1198</v>
      </c>
      <c r="K261" s="1329" t="s">
        <v>1199</v>
      </c>
      <c r="L261" s="1330" t="s">
        <v>1200</v>
      </c>
      <c r="M261" s="1247">
        <v>4</v>
      </c>
      <c r="N261" s="162">
        <v>4</v>
      </c>
      <c r="O261" s="162">
        <v>4</v>
      </c>
      <c r="P261" s="162">
        <v>5</v>
      </c>
      <c r="Q261" s="162">
        <v>5</v>
      </c>
      <c r="R261" s="162">
        <v>5</v>
      </c>
      <c r="S261" s="162">
        <v>4</v>
      </c>
      <c r="T261" s="162">
        <v>0</v>
      </c>
      <c r="U261" s="137">
        <v>31</v>
      </c>
      <c r="V261" s="311">
        <v>96</v>
      </c>
      <c r="W261" s="162">
        <v>46</v>
      </c>
      <c r="X261" s="162">
        <v>98</v>
      </c>
      <c r="Y261" s="162">
        <v>48</v>
      </c>
      <c r="Z261" s="162">
        <v>90</v>
      </c>
      <c r="AA261" s="162">
        <v>44</v>
      </c>
      <c r="AB261" s="162">
        <v>112</v>
      </c>
      <c r="AC261" s="162">
        <v>57</v>
      </c>
      <c r="AD261" s="162">
        <v>122</v>
      </c>
      <c r="AE261" s="162">
        <v>60</v>
      </c>
      <c r="AF261" s="162">
        <v>126</v>
      </c>
      <c r="AG261" s="162">
        <v>60</v>
      </c>
      <c r="AH261" s="138">
        <f>V261+X261+Z261+AB261+AD261+AF261</f>
        <v>644</v>
      </c>
      <c r="AI261" s="137">
        <f>W261+Y261+AA261+AC261+AE261+AG261</f>
        <v>315</v>
      </c>
      <c r="AJ261" s="311">
        <v>20</v>
      </c>
      <c r="AK261" s="162">
        <v>5</v>
      </c>
      <c r="AL261" s="162">
        <v>0</v>
      </c>
      <c r="AM261" s="800">
        <v>0</v>
      </c>
      <c r="AN261" s="1331"/>
    </row>
    <row r="262" spans="1:40" ht="17.100000000000001" customHeight="1">
      <c r="A262" s="167" t="s">
        <v>156</v>
      </c>
      <c r="B262" s="167" t="s">
        <v>142</v>
      </c>
      <c r="C262" s="168" t="s">
        <v>2824</v>
      </c>
      <c r="D262" s="167" t="s">
        <v>4</v>
      </c>
      <c r="E262" s="168" t="s">
        <v>4560</v>
      </c>
      <c r="F262" s="71">
        <v>36220</v>
      </c>
      <c r="G262" s="50" t="s">
        <v>1275</v>
      </c>
      <c r="H262" s="140">
        <v>12949.2</v>
      </c>
      <c r="I262" s="52">
        <v>22613</v>
      </c>
      <c r="J262" s="53" t="s">
        <v>1208</v>
      </c>
      <c r="K262" s="53" t="s">
        <v>1208</v>
      </c>
      <c r="L262" s="54" t="s">
        <v>1209</v>
      </c>
      <c r="M262" s="755">
        <v>2</v>
      </c>
      <c r="N262" s="78">
        <v>2</v>
      </c>
      <c r="O262" s="78">
        <v>2</v>
      </c>
      <c r="P262" s="78">
        <v>3</v>
      </c>
      <c r="Q262" s="78">
        <v>3</v>
      </c>
      <c r="R262" s="78">
        <v>3</v>
      </c>
      <c r="S262" s="78">
        <v>1</v>
      </c>
      <c r="T262" s="78"/>
      <c r="U262" s="131">
        <f t="shared" si="80"/>
        <v>16</v>
      </c>
      <c r="V262" s="79">
        <v>34</v>
      </c>
      <c r="W262" s="78">
        <v>18</v>
      </c>
      <c r="X262" s="78">
        <v>31</v>
      </c>
      <c r="Y262" s="78">
        <v>16</v>
      </c>
      <c r="Z262" s="78">
        <v>36</v>
      </c>
      <c r="AA262" s="78">
        <v>16</v>
      </c>
      <c r="AB262" s="78">
        <v>45</v>
      </c>
      <c r="AC262" s="78">
        <v>22</v>
      </c>
      <c r="AD262" s="78">
        <v>62</v>
      </c>
      <c r="AE262" s="78">
        <v>28</v>
      </c>
      <c r="AF262" s="78">
        <v>45</v>
      </c>
      <c r="AG262" s="78">
        <v>26</v>
      </c>
      <c r="AH262" s="132">
        <f t="shared" si="77"/>
        <v>253</v>
      </c>
      <c r="AI262" s="131">
        <f t="shared" si="79"/>
        <v>126</v>
      </c>
      <c r="AJ262" s="314">
        <v>5</v>
      </c>
      <c r="AK262" s="78">
        <v>1</v>
      </c>
      <c r="AL262" s="78"/>
      <c r="AM262" s="80"/>
      <c r="AN262" s="731"/>
    </row>
    <row r="263" spans="1:40" ht="17.100000000000001" customHeight="1">
      <c r="A263" s="167" t="s">
        <v>156</v>
      </c>
      <c r="B263" s="167" t="s">
        <v>142</v>
      </c>
      <c r="C263" s="168" t="s">
        <v>2824</v>
      </c>
      <c r="D263" s="167" t="s">
        <v>4</v>
      </c>
      <c r="E263" s="168" t="s">
        <v>4561</v>
      </c>
      <c r="F263" s="71">
        <v>39142</v>
      </c>
      <c r="G263" s="50" t="s">
        <v>1281</v>
      </c>
      <c r="H263" s="140">
        <v>12296</v>
      </c>
      <c r="I263" s="52">
        <v>22633</v>
      </c>
      <c r="J263" s="53" t="s">
        <v>1240</v>
      </c>
      <c r="K263" s="53" t="s">
        <v>1241</v>
      </c>
      <c r="L263" s="54" t="s">
        <v>1242</v>
      </c>
      <c r="M263" s="755">
        <v>3</v>
      </c>
      <c r="N263" s="65">
        <v>3</v>
      </c>
      <c r="O263" s="65">
        <v>3</v>
      </c>
      <c r="P263" s="65">
        <v>5</v>
      </c>
      <c r="Q263" s="65">
        <v>4</v>
      </c>
      <c r="R263" s="65">
        <v>4</v>
      </c>
      <c r="S263" s="65">
        <v>3</v>
      </c>
      <c r="T263" s="78">
        <v>0</v>
      </c>
      <c r="U263" s="131">
        <f t="shared" si="80"/>
        <v>25</v>
      </c>
      <c r="V263" s="79">
        <v>61</v>
      </c>
      <c r="W263" s="78">
        <v>31</v>
      </c>
      <c r="X263" s="78">
        <v>80</v>
      </c>
      <c r="Y263" s="78">
        <v>36</v>
      </c>
      <c r="Z263" s="78">
        <v>65</v>
      </c>
      <c r="AA263" s="78">
        <v>25</v>
      </c>
      <c r="AB263" s="78">
        <v>104</v>
      </c>
      <c r="AC263" s="78">
        <v>52</v>
      </c>
      <c r="AD263" s="78">
        <v>91</v>
      </c>
      <c r="AE263" s="78">
        <v>47</v>
      </c>
      <c r="AF263" s="78">
        <v>81</v>
      </c>
      <c r="AG263" s="78">
        <v>40</v>
      </c>
      <c r="AH263" s="132">
        <f t="shared" si="77"/>
        <v>482</v>
      </c>
      <c r="AI263" s="131">
        <f t="shared" si="79"/>
        <v>231</v>
      </c>
      <c r="AJ263" s="314">
        <v>15</v>
      </c>
      <c r="AK263" s="78">
        <v>5</v>
      </c>
      <c r="AL263" s="78">
        <v>0</v>
      </c>
      <c r="AM263" s="80">
        <v>0</v>
      </c>
      <c r="AN263" s="731"/>
    </row>
    <row r="264" spans="1:40" ht="17.100000000000001" customHeight="1">
      <c r="A264" s="167" t="s">
        <v>156</v>
      </c>
      <c r="B264" s="167" t="s">
        <v>142</v>
      </c>
      <c r="C264" s="168" t="s">
        <v>2824</v>
      </c>
      <c r="D264" s="167" t="s">
        <v>4</v>
      </c>
      <c r="E264" s="168" t="s">
        <v>4562</v>
      </c>
      <c r="F264" s="71">
        <v>20396</v>
      </c>
      <c r="G264" s="50" t="s">
        <v>4563</v>
      </c>
      <c r="H264" s="312">
        <v>14633</v>
      </c>
      <c r="I264" s="52">
        <v>22651</v>
      </c>
      <c r="J264" s="53" t="s">
        <v>4564</v>
      </c>
      <c r="K264" s="53" t="s">
        <v>4565</v>
      </c>
      <c r="L264" s="54" t="s">
        <v>4566</v>
      </c>
      <c r="M264" s="755">
        <v>4</v>
      </c>
      <c r="N264" s="78">
        <v>5</v>
      </c>
      <c r="O264" s="78">
        <v>4</v>
      </c>
      <c r="P264" s="78">
        <v>5</v>
      </c>
      <c r="Q264" s="78">
        <v>6</v>
      </c>
      <c r="R264" s="78">
        <v>6</v>
      </c>
      <c r="S264" s="78">
        <v>3</v>
      </c>
      <c r="T264" s="78">
        <v>0</v>
      </c>
      <c r="U264" s="131">
        <f t="shared" si="80"/>
        <v>33</v>
      </c>
      <c r="V264" s="79">
        <v>100</v>
      </c>
      <c r="W264" s="78">
        <v>57</v>
      </c>
      <c r="X264" s="78">
        <v>111</v>
      </c>
      <c r="Y264" s="78">
        <v>56</v>
      </c>
      <c r="Z264" s="78">
        <v>104</v>
      </c>
      <c r="AA264" s="78">
        <v>55</v>
      </c>
      <c r="AB264" s="78">
        <v>111</v>
      </c>
      <c r="AC264" s="78">
        <v>49</v>
      </c>
      <c r="AD264" s="78">
        <v>138</v>
      </c>
      <c r="AE264" s="78">
        <v>67</v>
      </c>
      <c r="AF264" s="78">
        <v>135</v>
      </c>
      <c r="AG264" s="78">
        <v>55</v>
      </c>
      <c r="AH264" s="132">
        <f t="shared" si="77"/>
        <v>699</v>
      </c>
      <c r="AI264" s="131">
        <f t="shared" si="79"/>
        <v>339</v>
      </c>
      <c r="AJ264" s="314">
        <v>12</v>
      </c>
      <c r="AK264" s="78">
        <v>6</v>
      </c>
      <c r="AL264" s="78">
        <f>-AM264</f>
        <v>0</v>
      </c>
      <c r="AM264" s="80">
        <v>0</v>
      </c>
      <c r="AN264" s="731"/>
    </row>
    <row r="265" spans="1:40" ht="17.100000000000001" customHeight="1">
      <c r="A265" s="167" t="s">
        <v>156</v>
      </c>
      <c r="B265" s="167" t="s">
        <v>142</v>
      </c>
      <c r="C265" s="168" t="s">
        <v>2824</v>
      </c>
      <c r="D265" s="167" t="s">
        <v>4</v>
      </c>
      <c r="E265" s="168" t="s">
        <v>4567</v>
      </c>
      <c r="F265" s="71">
        <v>36404</v>
      </c>
      <c r="G265" s="50" t="s">
        <v>4568</v>
      </c>
      <c r="H265" s="312">
        <v>12650</v>
      </c>
      <c r="I265" s="52">
        <v>22678</v>
      </c>
      <c r="J265" s="53" t="s">
        <v>4569</v>
      </c>
      <c r="K265" s="53" t="s">
        <v>4570</v>
      </c>
      <c r="L265" s="54" t="s">
        <v>4571</v>
      </c>
      <c r="M265" s="755">
        <v>4</v>
      </c>
      <c r="N265" s="78">
        <v>3</v>
      </c>
      <c r="O265" s="78">
        <v>5</v>
      </c>
      <c r="P265" s="78">
        <v>5</v>
      </c>
      <c r="Q265" s="78">
        <v>5</v>
      </c>
      <c r="R265" s="78">
        <v>5</v>
      </c>
      <c r="S265" s="78">
        <v>3</v>
      </c>
      <c r="T265" s="78"/>
      <c r="U265" s="131">
        <f t="shared" si="80"/>
        <v>30</v>
      </c>
      <c r="V265" s="79">
        <v>95</v>
      </c>
      <c r="W265" s="78">
        <v>37</v>
      </c>
      <c r="X265" s="78">
        <v>82</v>
      </c>
      <c r="Y265" s="78">
        <v>40</v>
      </c>
      <c r="Z265" s="78">
        <v>115</v>
      </c>
      <c r="AA265" s="78">
        <v>49</v>
      </c>
      <c r="AB265" s="78">
        <v>117</v>
      </c>
      <c r="AC265" s="78">
        <v>61</v>
      </c>
      <c r="AD265" s="78">
        <v>129</v>
      </c>
      <c r="AE265" s="78">
        <v>75</v>
      </c>
      <c r="AF265" s="78">
        <v>114</v>
      </c>
      <c r="AG265" s="78">
        <v>53</v>
      </c>
      <c r="AH265" s="132">
        <f t="shared" si="77"/>
        <v>652</v>
      </c>
      <c r="AI265" s="131">
        <f t="shared" si="79"/>
        <v>315</v>
      </c>
      <c r="AJ265" s="314">
        <v>14</v>
      </c>
      <c r="AK265" s="78">
        <v>4</v>
      </c>
      <c r="AL265" s="78"/>
      <c r="AM265" s="80"/>
      <c r="AN265" s="731"/>
    </row>
    <row r="266" spans="1:40" ht="17.100000000000001" customHeight="1">
      <c r="A266" s="168" t="s">
        <v>156</v>
      </c>
      <c r="B266" s="168" t="s">
        <v>142</v>
      </c>
      <c r="C266" s="168" t="s">
        <v>2824</v>
      </c>
      <c r="D266" s="168" t="s">
        <v>4</v>
      </c>
      <c r="E266" s="168" t="s">
        <v>4572</v>
      </c>
      <c r="F266" s="71">
        <v>37500</v>
      </c>
      <c r="G266" s="50" t="s">
        <v>4573</v>
      </c>
      <c r="H266" s="312">
        <v>12166</v>
      </c>
      <c r="I266" s="52">
        <v>22640</v>
      </c>
      <c r="J266" s="53" t="s">
        <v>1216</v>
      </c>
      <c r="K266" s="53" t="s">
        <v>1217</v>
      </c>
      <c r="L266" s="54" t="s">
        <v>1218</v>
      </c>
      <c r="M266" s="755">
        <v>4</v>
      </c>
      <c r="N266" s="73">
        <v>4</v>
      </c>
      <c r="O266" s="73">
        <v>5</v>
      </c>
      <c r="P266" s="73">
        <v>6</v>
      </c>
      <c r="Q266" s="73">
        <v>6</v>
      </c>
      <c r="R266" s="73">
        <v>7</v>
      </c>
      <c r="S266" s="73">
        <v>3</v>
      </c>
      <c r="T266" s="73">
        <v>0</v>
      </c>
      <c r="U266" s="131">
        <f t="shared" si="80"/>
        <v>35</v>
      </c>
      <c r="V266" s="75">
        <v>61</v>
      </c>
      <c r="W266" s="73">
        <v>30</v>
      </c>
      <c r="X266" s="73">
        <v>72</v>
      </c>
      <c r="Y266" s="73">
        <v>30</v>
      </c>
      <c r="Z266" s="73">
        <v>76</v>
      </c>
      <c r="AA266" s="73">
        <v>37</v>
      </c>
      <c r="AB266" s="73">
        <v>95</v>
      </c>
      <c r="AC266" s="73">
        <v>44</v>
      </c>
      <c r="AD266" s="73">
        <v>128</v>
      </c>
      <c r="AE266" s="73">
        <v>62</v>
      </c>
      <c r="AF266" s="73">
        <v>125</v>
      </c>
      <c r="AG266" s="73">
        <v>62</v>
      </c>
      <c r="AH266" s="132">
        <f t="shared" si="77"/>
        <v>557</v>
      </c>
      <c r="AI266" s="131">
        <f t="shared" si="79"/>
        <v>265</v>
      </c>
      <c r="AJ266" s="311">
        <v>15</v>
      </c>
      <c r="AK266" s="73">
        <v>2</v>
      </c>
      <c r="AL266" s="73">
        <v>0</v>
      </c>
      <c r="AM266" s="74">
        <v>0</v>
      </c>
      <c r="AN266" s="76"/>
    </row>
    <row r="267" spans="1:40" ht="17.100000000000001" customHeight="1">
      <c r="A267" s="167" t="s">
        <v>156</v>
      </c>
      <c r="B267" s="167" t="s">
        <v>142</v>
      </c>
      <c r="C267" s="168" t="s">
        <v>2824</v>
      </c>
      <c r="D267" s="167" t="s">
        <v>4</v>
      </c>
      <c r="E267" s="168" t="s">
        <v>1219</v>
      </c>
      <c r="F267" s="71">
        <v>37681</v>
      </c>
      <c r="G267" s="50" t="s">
        <v>2402</v>
      </c>
      <c r="H267" s="312">
        <v>12360</v>
      </c>
      <c r="I267" s="52">
        <v>22628</v>
      </c>
      <c r="J267" s="53" t="s">
        <v>1278</v>
      </c>
      <c r="K267" s="53" t="s">
        <v>1279</v>
      </c>
      <c r="L267" s="54" t="s">
        <v>4574</v>
      </c>
      <c r="M267" s="755">
        <v>3</v>
      </c>
      <c r="N267" s="78">
        <v>3</v>
      </c>
      <c r="O267" s="78">
        <v>3</v>
      </c>
      <c r="P267" s="78">
        <v>4</v>
      </c>
      <c r="Q267" s="78">
        <v>3</v>
      </c>
      <c r="R267" s="78">
        <v>4</v>
      </c>
      <c r="S267" s="78">
        <v>2</v>
      </c>
      <c r="T267" s="78">
        <v>0</v>
      </c>
      <c r="U267" s="131">
        <f t="shared" si="80"/>
        <v>22</v>
      </c>
      <c r="V267" s="79">
        <v>59</v>
      </c>
      <c r="W267" s="78">
        <v>29</v>
      </c>
      <c r="X267" s="78">
        <v>56</v>
      </c>
      <c r="Y267" s="78">
        <v>28</v>
      </c>
      <c r="Z267" s="78">
        <v>68</v>
      </c>
      <c r="AA267" s="78">
        <v>28</v>
      </c>
      <c r="AB267" s="78">
        <v>86</v>
      </c>
      <c r="AC267" s="78">
        <v>37</v>
      </c>
      <c r="AD267" s="78">
        <v>72</v>
      </c>
      <c r="AE267" s="78">
        <v>39</v>
      </c>
      <c r="AF267" s="78">
        <v>84</v>
      </c>
      <c r="AG267" s="78">
        <v>47</v>
      </c>
      <c r="AH267" s="132">
        <f t="shared" si="77"/>
        <v>425</v>
      </c>
      <c r="AI267" s="131">
        <f t="shared" si="79"/>
        <v>208</v>
      </c>
      <c r="AJ267" s="314">
        <v>10</v>
      </c>
      <c r="AK267" s="78">
        <v>5</v>
      </c>
      <c r="AL267" s="78"/>
      <c r="AM267" s="80"/>
      <c r="AN267" s="731"/>
    </row>
    <row r="268" spans="1:40" ht="17.100000000000001" customHeight="1">
      <c r="A268" s="168" t="s">
        <v>156</v>
      </c>
      <c r="B268" s="168" t="s">
        <v>142</v>
      </c>
      <c r="C268" s="168" t="s">
        <v>2824</v>
      </c>
      <c r="D268" s="168" t="s">
        <v>4</v>
      </c>
      <c r="E268" s="168" t="s">
        <v>1226</v>
      </c>
      <c r="F268" s="71">
        <v>38078</v>
      </c>
      <c r="G268" s="50" t="s">
        <v>2403</v>
      </c>
      <c r="H268" s="72">
        <v>10780</v>
      </c>
      <c r="I268" s="719">
        <v>22683</v>
      </c>
      <c r="J268" s="55" t="s">
        <v>1227</v>
      </c>
      <c r="K268" s="55" t="s">
        <v>1228</v>
      </c>
      <c r="L268" s="55" t="s">
        <v>1229</v>
      </c>
      <c r="M268" s="755">
        <v>3</v>
      </c>
      <c r="N268" s="73">
        <v>3</v>
      </c>
      <c r="O268" s="73">
        <v>3</v>
      </c>
      <c r="P268" s="73">
        <v>4</v>
      </c>
      <c r="Q268" s="73">
        <v>5</v>
      </c>
      <c r="R268" s="73">
        <v>4</v>
      </c>
      <c r="S268" s="73">
        <v>2</v>
      </c>
      <c r="T268" s="73"/>
      <c r="U268" s="131">
        <v>24</v>
      </c>
      <c r="V268" s="75">
        <v>54</v>
      </c>
      <c r="W268" s="73">
        <v>28</v>
      </c>
      <c r="X268" s="73">
        <v>62</v>
      </c>
      <c r="Y268" s="73">
        <v>30</v>
      </c>
      <c r="Z268" s="73">
        <v>67</v>
      </c>
      <c r="AA268" s="73">
        <v>34</v>
      </c>
      <c r="AB268" s="73">
        <v>85</v>
      </c>
      <c r="AC268" s="73">
        <v>38</v>
      </c>
      <c r="AD268" s="73">
        <v>107</v>
      </c>
      <c r="AE268" s="73">
        <v>57</v>
      </c>
      <c r="AF268" s="73">
        <v>90</v>
      </c>
      <c r="AG268" s="73">
        <v>44</v>
      </c>
      <c r="AH268" s="132">
        <v>465</v>
      </c>
      <c r="AI268" s="131">
        <v>231</v>
      </c>
      <c r="AJ268" s="311">
        <v>9</v>
      </c>
      <c r="AK268" s="73">
        <v>4</v>
      </c>
      <c r="AL268" s="73"/>
      <c r="AM268" s="74"/>
      <c r="AN268" s="76"/>
    </row>
    <row r="269" spans="1:40" ht="17.100000000000001" customHeight="1">
      <c r="A269" s="167" t="s">
        <v>156</v>
      </c>
      <c r="B269" s="167" t="s">
        <v>142</v>
      </c>
      <c r="C269" s="168" t="s">
        <v>2824</v>
      </c>
      <c r="D269" s="167" t="s">
        <v>4</v>
      </c>
      <c r="E269" s="168" t="s">
        <v>4575</v>
      </c>
      <c r="F269" s="71">
        <v>26232</v>
      </c>
      <c r="G269" s="50" t="s">
        <v>4576</v>
      </c>
      <c r="H269" s="77">
        <v>11232</v>
      </c>
      <c r="I269" s="52">
        <v>22675</v>
      </c>
      <c r="J269" s="53" t="s">
        <v>4577</v>
      </c>
      <c r="K269" s="53" t="s">
        <v>4578</v>
      </c>
      <c r="L269" s="54" t="s">
        <v>4579</v>
      </c>
      <c r="M269" s="755">
        <v>4</v>
      </c>
      <c r="N269" s="78">
        <v>4</v>
      </c>
      <c r="O269" s="78">
        <v>4</v>
      </c>
      <c r="P269" s="78">
        <v>5</v>
      </c>
      <c r="Q269" s="78">
        <v>6</v>
      </c>
      <c r="R269" s="78">
        <v>6</v>
      </c>
      <c r="S269" s="78">
        <v>2</v>
      </c>
      <c r="T269" s="78"/>
      <c r="U269" s="131">
        <f t="shared" ref="U269:U282" si="81">SUM(M269:T269)</f>
        <v>31</v>
      </c>
      <c r="V269" s="79">
        <v>93</v>
      </c>
      <c r="W269" s="78">
        <v>46</v>
      </c>
      <c r="X269" s="78">
        <v>103</v>
      </c>
      <c r="Y269" s="78">
        <v>53</v>
      </c>
      <c r="Z269" s="78">
        <v>105</v>
      </c>
      <c r="AA269" s="78">
        <v>44</v>
      </c>
      <c r="AB269" s="78">
        <v>126</v>
      </c>
      <c r="AC269" s="78">
        <v>53</v>
      </c>
      <c r="AD269" s="78">
        <v>161</v>
      </c>
      <c r="AE269" s="78">
        <v>91</v>
      </c>
      <c r="AF269" s="78">
        <v>144</v>
      </c>
      <c r="AG269" s="78">
        <v>71</v>
      </c>
      <c r="AH269" s="132">
        <f t="shared" ref="AH269:AH280" si="82">V269+X269+Z269+AB269+AD269+AF269</f>
        <v>732</v>
      </c>
      <c r="AI269" s="131">
        <f t="shared" ref="AI269:AI280" si="83">W269+Y269+AA269+AC269+AE269+AG269</f>
        <v>358</v>
      </c>
      <c r="AJ269" s="314">
        <v>13</v>
      </c>
      <c r="AK269" s="78">
        <v>1</v>
      </c>
      <c r="AL269" s="78"/>
      <c r="AM269" s="80"/>
      <c r="AN269" s="731"/>
    </row>
    <row r="270" spans="1:40" ht="17.100000000000001" customHeight="1">
      <c r="A270" s="168" t="s">
        <v>156</v>
      </c>
      <c r="B270" s="168" t="s">
        <v>142</v>
      </c>
      <c r="C270" s="168" t="s">
        <v>2824</v>
      </c>
      <c r="D270" s="168" t="s">
        <v>4</v>
      </c>
      <c r="E270" s="168" t="s">
        <v>4580</v>
      </c>
      <c r="F270" s="71">
        <v>36220</v>
      </c>
      <c r="G270" s="50" t="s">
        <v>4581</v>
      </c>
      <c r="H270" s="72">
        <v>12290</v>
      </c>
      <c r="I270" s="52">
        <v>22631</v>
      </c>
      <c r="J270" s="53" t="s">
        <v>2404</v>
      </c>
      <c r="K270" s="53" t="s">
        <v>2405</v>
      </c>
      <c r="L270" s="54" t="s">
        <v>1207</v>
      </c>
      <c r="M270" s="755">
        <v>4</v>
      </c>
      <c r="N270" s="73">
        <v>3</v>
      </c>
      <c r="O270" s="73">
        <v>4</v>
      </c>
      <c r="P270" s="73">
        <v>4</v>
      </c>
      <c r="Q270" s="73">
        <v>5</v>
      </c>
      <c r="R270" s="73">
        <v>5</v>
      </c>
      <c r="S270" s="73">
        <v>3</v>
      </c>
      <c r="T270" s="73">
        <v>0</v>
      </c>
      <c r="U270" s="131">
        <f t="shared" si="81"/>
        <v>28</v>
      </c>
      <c r="V270" s="75">
        <v>101</v>
      </c>
      <c r="W270" s="73">
        <v>49</v>
      </c>
      <c r="X270" s="73">
        <v>70</v>
      </c>
      <c r="Y270" s="73">
        <v>34</v>
      </c>
      <c r="Z270" s="73">
        <v>95</v>
      </c>
      <c r="AA270" s="73">
        <v>42</v>
      </c>
      <c r="AB270" s="73">
        <v>111</v>
      </c>
      <c r="AC270" s="73">
        <v>55</v>
      </c>
      <c r="AD270" s="73">
        <v>115</v>
      </c>
      <c r="AE270" s="73">
        <v>61</v>
      </c>
      <c r="AF270" s="73">
        <v>135</v>
      </c>
      <c r="AG270" s="73">
        <v>63</v>
      </c>
      <c r="AH270" s="132">
        <f t="shared" si="82"/>
        <v>627</v>
      </c>
      <c r="AI270" s="131">
        <f t="shared" si="83"/>
        <v>304</v>
      </c>
      <c r="AJ270" s="75">
        <v>15</v>
      </c>
      <c r="AK270" s="73">
        <v>4</v>
      </c>
      <c r="AL270" s="78">
        <v>0</v>
      </c>
      <c r="AM270" s="80">
        <v>0</v>
      </c>
      <c r="AN270" s="76"/>
    </row>
    <row r="271" spans="1:40" ht="17.100000000000001" customHeight="1">
      <c r="A271" s="167" t="s">
        <v>156</v>
      </c>
      <c r="B271" s="167" t="s">
        <v>142</v>
      </c>
      <c r="C271" s="168" t="s">
        <v>2824</v>
      </c>
      <c r="D271" s="167" t="s">
        <v>4</v>
      </c>
      <c r="E271" s="168" t="s">
        <v>4582</v>
      </c>
      <c r="F271" s="71">
        <v>45170</v>
      </c>
      <c r="G271" s="50" t="s">
        <v>4583</v>
      </c>
      <c r="H271" s="77">
        <v>14000</v>
      </c>
      <c r="I271" s="52">
        <v>22874</v>
      </c>
      <c r="J271" s="53" t="s">
        <v>4584</v>
      </c>
      <c r="K271" s="53" t="s">
        <v>4585</v>
      </c>
      <c r="L271" s="54" t="s">
        <v>4586</v>
      </c>
      <c r="M271" s="755">
        <v>9</v>
      </c>
      <c r="N271" s="78">
        <v>8</v>
      </c>
      <c r="O271" s="78">
        <v>9</v>
      </c>
      <c r="P271" s="78">
        <v>8</v>
      </c>
      <c r="Q271" s="78">
        <v>8</v>
      </c>
      <c r="R271" s="78">
        <v>7</v>
      </c>
      <c r="S271" s="78">
        <v>2</v>
      </c>
      <c r="T271" s="78">
        <v>0</v>
      </c>
      <c r="U271" s="131">
        <f t="shared" si="81"/>
        <v>51</v>
      </c>
      <c r="V271" s="79">
        <v>216</v>
      </c>
      <c r="W271" s="78">
        <v>118</v>
      </c>
      <c r="X271" s="78">
        <v>203</v>
      </c>
      <c r="Y271" s="78">
        <v>106</v>
      </c>
      <c r="Z271" s="78">
        <v>220</v>
      </c>
      <c r="AA271" s="78">
        <v>114</v>
      </c>
      <c r="AB271" s="78">
        <v>194</v>
      </c>
      <c r="AC271" s="78">
        <v>97</v>
      </c>
      <c r="AD271" s="78">
        <v>195</v>
      </c>
      <c r="AE271" s="78">
        <v>100</v>
      </c>
      <c r="AF271" s="78">
        <v>170</v>
      </c>
      <c r="AG271" s="78">
        <v>77</v>
      </c>
      <c r="AH271" s="132">
        <f t="shared" si="82"/>
        <v>1198</v>
      </c>
      <c r="AI271" s="131">
        <f t="shared" si="83"/>
        <v>612</v>
      </c>
      <c r="AJ271" s="79">
        <v>10</v>
      </c>
      <c r="AK271" s="78">
        <v>2</v>
      </c>
      <c r="AL271" s="78">
        <v>0</v>
      </c>
      <c r="AM271" s="80">
        <v>0</v>
      </c>
      <c r="AN271" s="731"/>
    </row>
    <row r="272" spans="1:40" ht="17.100000000000001" customHeight="1">
      <c r="A272" s="168" t="s">
        <v>156</v>
      </c>
      <c r="B272" s="168" t="s">
        <v>142</v>
      </c>
      <c r="C272" s="168" t="s">
        <v>2824</v>
      </c>
      <c r="D272" s="168" t="s">
        <v>4</v>
      </c>
      <c r="E272" s="168" t="s">
        <v>4587</v>
      </c>
      <c r="F272" s="71">
        <v>44986</v>
      </c>
      <c r="G272" s="50" t="s">
        <v>4588</v>
      </c>
      <c r="H272" s="312">
        <v>14001</v>
      </c>
      <c r="I272" s="52">
        <v>22878</v>
      </c>
      <c r="J272" s="53" t="s">
        <v>4589</v>
      </c>
      <c r="K272" s="53" t="s">
        <v>4590</v>
      </c>
      <c r="L272" s="54" t="s">
        <v>4591</v>
      </c>
      <c r="M272" s="755">
        <v>10</v>
      </c>
      <c r="N272" s="73">
        <v>9</v>
      </c>
      <c r="O272" s="73">
        <v>7</v>
      </c>
      <c r="P272" s="73">
        <v>8</v>
      </c>
      <c r="Q272" s="73">
        <v>7</v>
      </c>
      <c r="R272" s="73">
        <v>6</v>
      </c>
      <c r="S272" s="73">
        <v>2</v>
      </c>
      <c r="T272" s="73">
        <v>0</v>
      </c>
      <c r="U272" s="131">
        <f t="shared" si="81"/>
        <v>49</v>
      </c>
      <c r="V272" s="75">
        <v>213</v>
      </c>
      <c r="W272" s="73">
        <v>96</v>
      </c>
      <c r="X272" s="73">
        <v>180</v>
      </c>
      <c r="Y272" s="73">
        <v>91</v>
      </c>
      <c r="Z272" s="73">
        <v>155</v>
      </c>
      <c r="AA272" s="73">
        <v>85</v>
      </c>
      <c r="AB272" s="73">
        <v>165</v>
      </c>
      <c r="AC272" s="73">
        <v>74</v>
      </c>
      <c r="AD272" s="73">
        <v>141</v>
      </c>
      <c r="AE272" s="73">
        <v>69</v>
      </c>
      <c r="AF272" s="73">
        <v>125</v>
      </c>
      <c r="AG272" s="73">
        <v>62</v>
      </c>
      <c r="AH272" s="132">
        <f t="shared" si="82"/>
        <v>979</v>
      </c>
      <c r="AI272" s="131">
        <f t="shared" si="83"/>
        <v>477</v>
      </c>
      <c r="AJ272" s="75">
        <v>11</v>
      </c>
      <c r="AK272" s="73">
        <v>4</v>
      </c>
      <c r="AL272" s="78">
        <v>0</v>
      </c>
      <c r="AM272" s="80">
        <v>0</v>
      </c>
      <c r="AN272" s="76"/>
    </row>
    <row r="273" spans="1:40" ht="17.100000000000001" customHeight="1">
      <c r="A273" s="168" t="s">
        <v>156</v>
      </c>
      <c r="B273" s="168" t="s">
        <v>142</v>
      </c>
      <c r="C273" s="168" t="s">
        <v>2824</v>
      </c>
      <c r="D273" s="168" t="s">
        <v>4</v>
      </c>
      <c r="E273" s="168" t="s">
        <v>4592</v>
      </c>
      <c r="F273" s="71">
        <v>39326</v>
      </c>
      <c r="G273" s="50" t="s">
        <v>2410</v>
      </c>
      <c r="H273" s="72">
        <v>11869</v>
      </c>
      <c r="I273" s="52">
        <v>22636</v>
      </c>
      <c r="J273" s="53" t="s">
        <v>1243</v>
      </c>
      <c r="K273" s="53" t="s">
        <v>1244</v>
      </c>
      <c r="L273" s="54" t="s">
        <v>1245</v>
      </c>
      <c r="M273" s="755">
        <v>3</v>
      </c>
      <c r="N273" s="73">
        <v>2</v>
      </c>
      <c r="O273" s="73">
        <v>2</v>
      </c>
      <c r="P273" s="73">
        <v>3</v>
      </c>
      <c r="Q273" s="73">
        <v>4</v>
      </c>
      <c r="R273" s="73">
        <v>4</v>
      </c>
      <c r="S273" s="73">
        <v>1</v>
      </c>
      <c r="T273" s="73">
        <v>0</v>
      </c>
      <c r="U273" s="131">
        <f t="shared" si="81"/>
        <v>19</v>
      </c>
      <c r="V273" s="75">
        <v>59</v>
      </c>
      <c r="W273" s="73">
        <v>31</v>
      </c>
      <c r="X273" s="73">
        <v>53</v>
      </c>
      <c r="Y273" s="73">
        <v>28</v>
      </c>
      <c r="Z273" s="73">
        <v>53</v>
      </c>
      <c r="AA273" s="73">
        <v>23</v>
      </c>
      <c r="AB273" s="73">
        <v>75</v>
      </c>
      <c r="AC273" s="73">
        <v>41</v>
      </c>
      <c r="AD273" s="73">
        <v>98</v>
      </c>
      <c r="AE273" s="73">
        <v>52</v>
      </c>
      <c r="AF273" s="73">
        <v>85</v>
      </c>
      <c r="AG273" s="73">
        <v>42</v>
      </c>
      <c r="AH273" s="132">
        <f t="shared" si="82"/>
        <v>423</v>
      </c>
      <c r="AI273" s="131">
        <f t="shared" si="83"/>
        <v>217</v>
      </c>
      <c r="AJ273" s="75">
        <v>6</v>
      </c>
      <c r="AK273" s="73">
        <v>2</v>
      </c>
      <c r="AL273" s="73">
        <v>0</v>
      </c>
      <c r="AM273" s="74">
        <v>0</v>
      </c>
      <c r="AN273" s="76"/>
    </row>
    <row r="274" spans="1:40" ht="17.100000000000001" customHeight="1">
      <c r="A274" s="168" t="s">
        <v>156</v>
      </c>
      <c r="B274" s="168" t="s">
        <v>142</v>
      </c>
      <c r="C274" s="168" t="s">
        <v>2824</v>
      </c>
      <c r="D274" s="168" t="s">
        <v>4</v>
      </c>
      <c r="E274" s="1246" t="s">
        <v>4593</v>
      </c>
      <c r="F274" s="71">
        <v>38412</v>
      </c>
      <c r="G274" s="50" t="s">
        <v>4594</v>
      </c>
      <c r="H274" s="72">
        <v>11833</v>
      </c>
      <c r="I274" s="52">
        <v>22615</v>
      </c>
      <c r="J274" s="53" t="s">
        <v>4595</v>
      </c>
      <c r="K274" s="53" t="s">
        <v>4596</v>
      </c>
      <c r="L274" s="54" t="s">
        <v>4597</v>
      </c>
      <c r="M274" s="1247">
        <v>3</v>
      </c>
      <c r="N274" s="162">
        <v>4</v>
      </c>
      <c r="O274" s="162">
        <v>4</v>
      </c>
      <c r="P274" s="162">
        <v>5</v>
      </c>
      <c r="Q274" s="162">
        <v>5</v>
      </c>
      <c r="R274" s="162">
        <v>5</v>
      </c>
      <c r="S274" s="162">
        <v>2</v>
      </c>
      <c r="T274" s="162">
        <v>0</v>
      </c>
      <c r="U274" s="131">
        <f t="shared" si="81"/>
        <v>28</v>
      </c>
      <c r="V274" s="75">
        <v>48</v>
      </c>
      <c r="W274" s="73">
        <v>27</v>
      </c>
      <c r="X274" s="73">
        <v>71</v>
      </c>
      <c r="Y274" s="73">
        <v>34</v>
      </c>
      <c r="Z274" s="73">
        <v>65</v>
      </c>
      <c r="AA274" s="73">
        <v>28</v>
      </c>
      <c r="AB274" s="73">
        <v>88</v>
      </c>
      <c r="AC274" s="73">
        <v>40</v>
      </c>
      <c r="AD274" s="73">
        <v>90</v>
      </c>
      <c r="AE274" s="73">
        <v>48</v>
      </c>
      <c r="AF274" s="73">
        <v>83</v>
      </c>
      <c r="AG274" s="73">
        <v>50</v>
      </c>
      <c r="AH274" s="132">
        <f t="shared" si="82"/>
        <v>445</v>
      </c>
      <c r="AI274" s="131">
        <f t="shared" si="83"/>
        <v>227</v>
      </c>
      <c r="AJ274" s="311">
        <v>10</v>
      </c>
      <c r="AK274" s="73">
        <v>5</v>
      </c>
      <c r="AL274" s="73" t="s">
        <v>4531</v>
      </c>
      <c r="AM274" s="74" t="s">
        <v>4531</v>
      </c>
      <c r="AN274" s="76"/>
    </row>
    <row r="275" spans="1:40" ht="17.100000000000001" customHeight="1">
      <c r="A275" s="168" t="s">
        <v>156</v>
      </c>
      <c r="B275" s="168" t="s">
        <v>142</v>
      </c>
      <c r="C275" s="168" t="s">
        <v>2824</v>
      </c>
      <c r="D275" s="168" t="s">
        <v>4</v>
      </c>
      <c r="E275" s="168" t="s">
        <v>4598</v>
      </c>
      <c r="F275" s="71">
        <v>38596</v>
      </c>
      <c r="G275" s="50" t="s">
        <v>1685</v>
      </c>
      <c r="H275" s="72">
        <v>11247.3</v>
      </c>
      <c r="I275" s="52">
        <v>22681</v>
      </c>
      <c r="J275" s="53" t="s">
        <v>1238</v>
      </c>
      <c r="K275" s="53" t="s">
        <v>1239</v>
      </c>
      <c r="L275" s="54" t="s">
        <v>1280</v>
      </c>
      <c r="M275" s="755">
        <v>2</v>
      </c>
      <c r="N275" s="737">
        <v>2</v>
      </c>
      <c r="O275" s="737">
        <v>2</v>
      </c>
      <c r="P275" s="737">
        <v>2</v>
      </c>
      <c r="Q275" s="737">
        <v>3</v>
      </c>
      <c r="R275" s="737">
        <v>3</v>
      </c>
      <c r="S275" s="737">
        <v>2</v>
      </c>
      <c r="T275" s="737">
        <v>0</v>
      </c>
      <c r="U275" s="749">
        <f t="shared" si="81"/>
        <v>16</v>
      </c>
      <c r="V275" s="75">
        <v>30</v>
      </c>
      <c r="W275" s="73">
        <v>14</v>
      </c>
      <c r="X275" s="73">
        <v>34</v>
      </c>
      <c r="Y275" s="73">
        <v>15</v>
      </c>
      <c r="Z275" s="73">
        <v>56</v>
      </c>
      <c r="AA275" s="73">
        <v>32</v>
      </c>
      <c r="AB275" s="73">
        <v>49</v>
      </c>
      <c r="AC275" s="73">
        <v>23</v>
      </c>
      <c r="AD275" s="73">
        <v>52</v>
      </c>
      <c r="AE275" s="73">
        <v>21</v>
      </c>
      <c r="AF275" s="73">
        <v>65</v>
      </c>
      <c r="AG275" s="73">
        <v>32</v>
      </c>
      <c r="AH275" s="132">
        <f t="shared" si="82"/>
        <v>286</v>
      </c>
      <c r="AI275" s="131">
        <f t="shared" si="83"/>
        <v>137</v>
      </c>
      <c r="AJ275" s="75">
        <v>8</v>
      </c>
      <c r="AK275" s="73">
        <v>3</v>
      </c>
      <c r="AL275" s="73"/>
      <c r="AM275" s="74"/>
      <c r="AN275" s="76"/>
    </row>
    <row r="276" spans="1:40" ht="17.100000000000001" customHeight="1">
      <c r="A276" s="167" t="s">
        <v>156</v>
      </c>
      <c r="B276" s="167" t="s">
        <v>142</v>
      </c>
      <c r="C276" s="168" t="s">
        <v>2824</v>
      </c>
      <c r="D276" s="167" t="s">
        <v>4</v>
      </c>
      <c r="E276" s="168" t="s">
        <v>4599</v>
      </c>
      <c r="F276" s="71">
        <v>44805</v>
      </c>
      <c r="G276" s="50" t="s">
        <v>4600</v>
      </c>
      <c r="H276" s="312">
        <v>14000</v>
      </c>
      <c r="I276" s="52">
        <v>22861</v>
      </c>
      <c r="J276" s="53" t="s">
        <v>4601</v>
      </c>
      <c r="K276" s="53" t="s">
        <v>4602</v>
      </c>
      <c r="L276" s="54" t="s">
        <v>4603</v>
      </c>
      <c r="M276" s="755">
        <v>12</v>
      </c>
      <c r="N276" s="78">
        <v>12</v>
      </c>
      <c r="O276" s="78">
        <v>13</v>
      </c>
      <c r="P276" s="78">
        <v>14</v>
      </c>
      <c r="Q276" s="78">
        <v>13</v>
      </c>
      <c r="R276" s="78">
        <v>12</v>
      </c>
      <c r="S276" s="78">
        <v>4</v>
      </c>
      <c r="T276" s="78">
        <v>0</v>
      </c>
      <c r="U276" s="315">
        <f t="shared" si="81"/>
        <v>80</v>
      </c>
      <c r="V276" s="75">
        <v>289</v>
      </c>
      <c r="W276" s="73">
        <v>133</v>
      </c>
      <c r="X276" s="73">
        <v>296</v>
      </c>
      <c r="Y276" s="73">
        <v>151</v>
      </c>
      <c r="Z276" s="73">
        <v>317</v>
      </c>
      <c r="AA276" s="73">
        <v>143</v>
      </c>
      <c r="AB276" s="73">
        <v>363</v>
      </c>
      <c r="AC276" s="73">
        <v>181</v>
      </c>
      <c r="AD276" s="73">
        <v>326</v>
      </c>
      <c r="AE276" s="73">
        <v>167</v>
      </c>
      <c r="AF276" s="73">
        <v>308</v>
      </c>
      <c r="AG276" s="73">
        <v>150</v>
      </c>
      <c r="AH276" s="132">
        <f t="shared" si="82"/>
        <v>1899</v>
      </c>
      <c r="AI276" s="131">
        <f t="shared" si="83"/>
        <v>925</v>
      </c>
      <c r="AJ276" s="314">
        <v>26</v>
      </c>
      <c r="AK276" s="78">
        <v>7</v>
      </c>
      <c r="AL276" s="78">
        <v>0</v>
      </c>
      <c r="AM276" s="80">
        <v>0</v>
      </c>
      <c r="AN276" s="731"/>
    </row>
    <row r="277" spans="1:40" ht="17.100000000000001" customHeight="1">
      <c r="A277" s="167" t="s">
        <v>156</v>
      </c>
      <c r="B277" s="167" t="s">
        <v>142</v>
      </c>
      <c r="C277" s="168" t="s">
        <v>2824</v>
      </c>
      <c r="D277" s="167" t="s">
        <v>4</v>
      </c>
      <c r="E277" s="168" t="s">
        <v>4604</v>
      </c>
      <c r="F277" s="71">
        <v>18142</v>
      </c>
      <c r="G277" s="50" t="s">
        <v>4605</v>
      </c>
      <c r="H277" s="140">
        <v>12215</v>
      </c>
      <c r="I277" s="52">
        <v>22646</v>
      </c>
      <c r="J277" s="53" t="s">
        <v>1202</v>
      </c>
      <c r="K277" s="53" t="s">
        <v>1273</v>
      </c>
      <c r="L277" s="54" t="s">
        <v>1274</v>
      </c>
      <c r="M277" s="755">
        <v>3</v>
      </c>
      <c r="N277" s="78">
        <v>3</v>
      </c>
      <c r="O277" s="78">
        <v>4</v>
      </c>
      <c r="P277" s="78">
        <v>4</v>
      </c>
      <c r="Q277" s="78">
        <v>4</v>
      </c>
      <c r="R277" s="78">
        <v>4</v>
      </c>
      <c r="S277" s="78">
        <v>2</v>
      </c>
      <c r="T277" s="78"/>
      <c r="U277" s="131">
        <f t="shared" si="81"/>
        <v>24</v>
      </c>
      <c r="V277" s="79">
        <v>49</v>
      </c>
      <c r="W277" s="78">
        <v>21</v>
      </c>
      <c r="X277" s="78">
        <v>50</v>
      </c>
      <c r="Y277" s="78">
        <v>27</v>
      </c>
      <c r="Z277" s="78">
        <v>46</v>
      </c>
      <c r="AA277" s="78">
        <v>20</v>
      </c>
      <c r="AB277" s="78">
        <v>66</v>
      </c>
      <c r="AC277" s="78">
        <v>27</v>
      </c>
      <c r="AD277" s="78">
        <v>72</v>
      </c>
      <c r="AE277" s="78">
        <v>35</v>
      </c>
      <c r="AF277" s="78">
        <v>64</v>
      </c>
      <c r="AG277" s="78">
        <v>27</v>
      </c>
      <c r="AH277" s="132">
        <f t="shared" si="82"/>
        <v>347</v>
      </c>
      <c r="AI277" s="131">
        <f t="shared" si="83"/>
        <v>157</v>
      </c>
      <c r="AJ277" s="314">
        <v>7</v>
      </c>
      <c r="AK277" s="78">
        <v>4</v>
      </c>
      <c r="AL277" s="78">
        <v>0</v>
      </c>
      <c r="AM277" s="80">
        <v>0</v>
      </c>
      <c r="AN277" s="731"/>
    </row>
    <row r="278" spans="1:40" ht="20.100000000000001" customHeight="1">
      <c r="A278" s="168" t="s">
        <v>156</v>
      </c>
      <c r="B278" s="168" t="s">
        <v>142</v>
      </c>
      <c r="C278" s="168" t="s">
        <v>2824</v>
      </c>
      <c r="D278" s="168" t="s">
        <v>4</v>
      </c>
      <c r="E278" s="168" t="s">
        <v>4606</v>
      </c>
      <c r="F278" s="71">
        <v>45170</v>
      </c>
      <c r="G278" s="50" t="s">
        <v>4607</v>
      </c>
      <c r="H278" s="312">
        <v>13000</v>
      </c>
      <c r="I278" s="52">
        <v>22687</v>
      </c>
      <c r="J278" s="53" t="s">
        <v>1285</v>
      </c>
      <c r="K278" s="53" t="s">
        <v>1286</v>
      </c>
      <c r="L278" s="54" t="s">
        <v>1287</v>
      </c>
      <c r="M278" s="755">
        <v>7</v>
      </c>
      <c r="N278" s="73">
        <v>6</v>
      </c>
      <c r="O278" s="73">
        <v>7</v>
      </c>
      <c r="P278" s="73">
        <v>5</v>
      </c>
      <c r="Q278" s="73">
        <v>5</v>
      </c>
      <c r="R278" s="73">
        <v>4</v>
      </c>
      <c r="S278" s="73">
        <v>3</v>
      </c>
      <c r="T278" s="73">
        <v>0</v>
      </c>
      <c r="U278" s="131">
        <f t="shared" si="81"/>
        <v>37</v>
      </c>
      <c r="V278" s="75">
        <v>178</v>
      </c>
      <c r="W278" s="73">
        <v>91</v>
      </c>
      <c r="X278" s="73">
        <v>154</v>
      </c>
      <c r="Y278" s="73">
        <v>73</v>
      </c>
      <c r="Z278" s="73">
        <v>168</v>
      </c>
      <c r="AA278" s="73">
        <v>80</v>
      </c>
      <c r="AB278" s="73">
        <v>119</v>
      </c>
      <c r="AC278" s="73">
        <v>64</v>
      </c>
      <c r="AD278" s="73">
        <v>127</v>
      </c>
      <c r="AE278" s="73">
        <v>74</v>
      </c>
      <c r="AF278" s="73">
        <v>94</v>
      </c>
      <c r="AG278" s="73">
        <v>39</v>
      </c>
      <c r="AH278" s="132">
        <f t="shared" si="82"/>
        <v>840</v>
      </c>
      <c r="AI278" s="131">
        <f t="shared" si="83"/>
        <v>421</v>
      </c>
      <c r="AJ278" s="311">
        <v>13</v>
      </c>
      <c r="AK278" s="73">
        <v>3</v>
      </c>
      <c r="AL278" s="73">
        <v>0</v>
      </c>
      <c r="AM278" s="74">
        <v>0</v>
      </c>
      <c r="AN278" s="76"/>
    </row>
    <row r="279" spans="1:40" ht="17.100000000000001" customHeight="1">
      <c r="A279" s="168" t="s">
        <v>156</v>
      </c>
      <c r="B279" s="168" t="s">
        <v>142</v>
      </c>
      <c r="C279" s="168" t="s">
        <v>2824</v>
      </c>
      <c r="D279" s="168" t="s">
        <v>4</v>
      </c>
      <c r="E279" s="168" t="s">
        <v>4608</v>
      </c>
      <c r="F279" s="71">
        <v>44440</v>
      </c>
      <c r="G279" s="50" t="s">
        <v>4609</v>
      </c>
      <c r="H279" s="140">
        <v>14000</v>
      </c>
      <c r="I279" s="52">
        <v>22859</v>
      </c>
      <c r="J279" s="53" t="s">
        <v>4610</v>
      </c>
      <c r="K279" s="53" t="s">
        <v>4611</v>
      </c>
      <c r="L279" s="54" t="s">
        <v>4612</v>
      </c>
      <c r="M279" s="755">
        <v>9</v>
      </c>
      <c r="N279" s="73">
        <v>10</v>
      </c>
      <c r="O279" s="73">
        <v>11</v>
      </c>
      <c r="P279" s="73">
        <v>11</v>
      </c>
      <c r="Q279" s="73">
        <v>11</v>
      </c>
      <c r="R279" s="73">
        <v>10</v>
      </c>
      <c r="S279" s="73">
        <v>4</v>
      </c>
      <c r="T279" s="73"/>
      <c r="U279" s="131">
        <f t="shared" si="81"/>
        <v>66</v>
      </c>
      <c r="V279" s="75">
        <v>225</v>
      </c>
      <c r="W279" s="73">
        <v>112</v>
      </c>
      <c r="X279" s="73">
        <v>258</v>
      </c>
      <c r="Y279" s="73">
        <v>130</v>
      </c>
      <c r="Z279" s="73">
        <v>275</v>
      </c>
      <c r="AA279" s="73">
        <v>154</v>
      </c>
      <c r="AB279" s="73">
        <v>273</v>
      </c>
      <c r="AC279" s="73">
        <v>134</v>
      </c>
      <c r="AD279" s="73">
        <v>278</v>
      </c>
      <c r="AE279" s="73">
        <v>131</v>
      </c>
      <c r="AF279" s="73">
        <v>250</v>
      </c>
      <c r="AG279" s="73">
        <v>132</v>
      </c>
      <c r="AH279" s="132">
        <f t="shared" si="82"/>
        <v>1559</v>
      </c>
      <c r="AI279" s="131">
        <f t="shared" si="83"/>
        <v>793</v>
      </c>
      <c r="AJ279" s="75">
        <v>20</v>
      </c>
      <c r="AK279" s="73">
        <v>3</v>
      </c>
      <c r="AL279" s="73"/>
      <c r="AM279" s="74"/>
      <c r="AN279" s="76"/>
    </row>
    <row r="280" spans="1:40" ht="17.100000000000001" customHeight="1">
      <c r="A280" s="167" t="s">
        <v>156</v>
      </c>
      <c r="B280" s="167" t="s">
        <v>142</v>
      </c>
      <c r="C280" s="168" t="s">
        <v>2824</v>
      </c>
      <c r="D280" s="167" t="s">
        <v>4</v>
      </c>
      <c r="E280" s="168" t="s">
        <v>4613</v>
      </c>
      <c r="F280" s="71">
        <v>44440</v>
      </c>
      <c r="G280" s="50" t="s">
        <v>4614</v>
      </c>
      <c r="H280" s="77">
        <v>17366</v>
      </c>
      <c r="I280" s="52">
        <v>22871</v>
      </c>
      <c r="J280" s="53" t="s">
        <v>4615</v>
      </c>
      <c r="K280" s="53" t="s">
        <v>4616</v>
      </c>
      <c r="L280" s="54" t="s">
        <v>4617</v>
      </c>
      <c r="M280" s="755">
        <v>11</v>
      </c>
      <c r="N280" s="78">
        <v>11</v>
      </c>
      <c r="O280" s="78">
        <v>10</v>
      </c>
      <c r="P280" s="78">
        <v>11</v>
      </c>
      <c r="Q280" s="78">
        <v>11</v>
      </c>
      <c r="R280" s="78">
        <v>10</v>
      </c>
      <c r="S280" s="78">
        <v>4</v>
      </c>
      <c r="T280" s="78">
        <v>0</v>
      </c>
      <c r="U280" s="131">
        <f t="shared" si="81"/>
        <v>68</v>
      </c>
      <c r="V280" s="79">
        <v>280</v>
      </c>
      <c r="W280" s="78">
        <v>132</v>
      </c>
      <c r="X280" s="78">
        <v>272</v>
      </c>
      <c r="Y280" s="78">
        <v>132</v>
      </c>
      <c r="Z280" s="78">
        <v>274</v>
      </c>
      <c r="AA280" s="78">
        <v>123</v>
      </c>
      <c r="AB280" s="78">
        <v>298</v>
      </c>
      <c r="AC280" s="78">
        <v>149</v>
      </c>
      <c r="AD280" s="78">
        <v>284</v>
      </c>
      <c r="AE280" s="78">
        <v>139</v>
      </c>
      <c r="AF280" s="78">
        <v>250</v>
      </c>
      <c r="AG280" s="78">
        <v>125</v>
      </c>
      <c r="AH280" s="132">
        <f t="shared" si="82"/>
        <v>1658</v>
      </c>
      <c r="AI280" s="131">
        <f t="shared" si="83"/>
        <v>800</v>
      </c>
      <c r="AJ280" s="314">
        <v>20</v>
      </c>
      <c r="AK280" s="78">
        <v>5</v>
      </c>
      <c r="AL280" s="78">
        <v>0</v>
      </c>
      <c r="AM280" s="80">
        <v>0</v>
      </c>
      <c r="AN280" s="731"/>
    </row>
    <row r="281" spans="1:40" ht="17.100000000000001" customHeight="1">
      <c r="A281" s="167" t="s">
        <v>156</v>
      </c>
      <c r="B281" s="167" t="s">
        <v>142</v>
      </c>
      <c r="C281" s="168" t="s">
        <v>2824</v>
      </c>
      <c r="D281" s="167" t="s">
        <v>4</v>
      </c>
      <c r="E281" s="168" t="s">
        <v>4618</v>
      </c>
      <c r="F281" s="71">
        <v>45901</v>
      </c>
      <c r="G281" s="50" t="s">
        <v>4619</v>
      </c>
      <c r="H281" s="72">
        <v>15000</v>
      </c>
      <c r="I281" s="52">
        <v>22888</v>
      </c>
      <c r="J281" s="53" t="s">
        <v>4620</v>
      </c>
      <c r="K281" s="53" t="s">
        <v>4621</v>
      </c>
      <c r="L281" s="54" t="s">
        <v>4622</v>
      </c>
      <c r="M281" s="755">
        <v>15</v>
      </c>
      <c r="N281" s="73">
        <v>12</v>
      </c>
      <c r="O281" s="73">
        <v>12</v>
      </c>
      <c r="P281" s="73">
        <v>12</v>
      </c>
      <c r="Q281" s="73">
        <v>12</v>
      </c>
      <c r="R281" s="73">
        <v>11</v>
      </c>
      <c r="S281" s="73">
        <v>3</v>
      </c>
      <c r="T281" s="73">
        <v>0</v>
      </c>
      <c r="U281" s="131">
        <f t="shared" si="81"/>
        <v>77</v>
      </c>
      <c r="V281" s="75">
        <v>325</v>
      </c>
      <c r="W281" s="73">
        <v>158</v>
      </c>
      <c r="X281" s="73">
        <v>263</v>
      </c>
      <c r="Y281" s="73">
        <v>119</v>
      </c>
      <c r="Z281" s="73">
        <v>281</v>
      </c>
      <c r="AA281" s="73">
        <v>139</v>
      </c>
      <c r="AB281" s="73">
        <v>271</v>
      </c>
      <c r="AC281" s="73">
        <v>155</v>
      </c>
      <c r="AD281" s="73">
        <v>276</v>
      </c>
      <c r="AE281" s="73">
        <v>146</v>
      </c>
      <c r="AF281" s="73">
        <v>235</v>
      </c>
      <c r="AG281" s="73">
        <v>125</v>
      </c>
      <c r="AH281" s="132">
        <v>1651</v>
      </c>
      <c r="AI281" s="131">
        <v>842</v>
      </c>
      <c r="AJ281" s="311">
        <v>16</v>
      </c>
      <c r="AK281" s="73">
        <v>4</v>
      </c>
      <c r="AL281" s="73">
        <v>0</v>
      </c>
      <c r="AM281" s="74">
        <v>0</v>
      </c>
      <c r="AN281" s="76"/>
    </row>
    <row r="282" spans="1:40" ht="17.100000000000001" customHeight="1">
      <c r="A282" s="167" t="s">
        <v>156</v>
      </c>
      <c r="B282" s="167" t="s">
        <v>142</v>
      </c>
      <c r="C282" s="168" t="s">
        <v>2824</v>
      </c>
      <c r="D282" s="167" t="s">
        <v>4</v>
      </c>
      <c r="E282" s="168" t="s">
        <v>4623</v>
      </c>
      <c r="F282" s="71">
        <v>46082</v>
      </c>
      <c r="G282" s="50" t="s">
        <v>4624</v>
      </c>
      <c r="H282" s="77">
        <v>15000</v>
      </c>
      <c r="I282" s="52">
        <v>22884</v>
      </c>
      <c r="J282" s="53" t="s">
        <v>4625</v>
      </c>
      <c r="K282" s="53" t="s">
        <v>4626</v>
      </c>
      <c r="L282" s="54" t="s">
        <v>4627</v>
      </c>
      <c r="M282" s="755">
        <v>5</v>
      </c>
      <c r="N282" s="78">
        <v>5</v>
      </c>
      <c r="O282" s="78">
        <v>5</v>
      </c>
      <c r="P282" s="78">
        <v>5</v>
      </c>
      <c r="Q282" s="78">
        <v>5</v>
      </c>
      <c r="R282" s="78">
        <v>5</v>
      </c>
      <c r="S282" s="78">
        <v>1</v>
      </c>
      <c r="T282" s="78">
        <v>0</v>
      </c>
      <c r="U282" s="131">
        <f t="shared" si="81"/>
        <v>31</v>
      </c>
      <c r="V282" s="79">
        <v>62</v>
      </c>
      <c r="W282" s="78">
        <v>32</v>
      </c>
      <c r="X282" s="78">
        <v>50</v>
      </c>
      <c r="Y282" s="78">
        <v>32</v>
      </c>
      <c r="Z282" s="78">
        <v>60</v>
      </c>
      <c r="AA282" s="78">
        <v>28</v>
      </c>
      <c r="AB282" s="78">
        <v>53</v>
      </c>
      <c r="AC282" s="78">
        <v>23</v>
      </c>
      <c r="AD282" s="78">
        <v>50</v>
      </c>
      <c r="AE282" s="78">
        <v>29</v>
      </c>
      <c r="AF282" s="78">
        <v>29</v>
      </c>
      <c r="AG282" s="78">
        <v>11</v>
      </c>
      <c r="AH282" s="132">
        <f>V282+X282+Z282+AB282+AD282+AF282</f>
        <v>304</v>
      </c>
      <c r="AI282" s="131">
        <f>W282+Y282+AA282+AC282+AE282+AG282</f>
        <v>155</v>
      </c>
      <c r="AJ282" s="79">
        <v>4</v>
      </c>
      <c r="AK282" s="78">
        <v>1</v>
      </c>
      <c r="AL282" s="78">
        <v>0</v>
      </c>
      <c r="AM282" s="80">
        <v>0</v>
      </c>
      <c r="AN282" s="731"/>
    </row>
    <row r="283" spans="1:40" ht="20.100000000000001" customHeight="1">
      <c r="A283" s="1625" t="s">
        <v>432</v>
      </c>
      <c r="B283" s="1626"/>
      <c r="C283" s="1066"/>
      <c r="D283" s="179">
        <f>COUNTA(D229:D282)</f>
        <v>54</v>
      </c>
      <c r="E283" s="283"/>
      <c r="F283" s="284"/>
      <c r="G283" s="181"/>
      <c r="H283" s="286"/>
      <c r="I283" s="287"/>
      <c r="J283" s="285"/>
      <c r="K283" s="285"/>
      <c r="L283" s="288"/>
      <c r="M283" s="330">
        <f t="shared" ref="M283:AM283" si="84">SUM(M229:M282)</f>
        <v>247</v>
      </c>
      <c r="N283" s="290">
        <f t="shared" si="84"/>
        <v>247</v>
      </c>
      <c r="O283" s="290">
        <f t="shared" si="84"/>
        <v>259</v>
      </c>
      <c r="P283" s="290">
        <f t="shared" si="84"/>
        <v>288</v>
      </c>
      <c r="Q283" s="290">
        <f t="shared" si="84"/>
        <v>296</v>
      </c>
      <c r="R283" s="290">
        <f t="shared" si="84"/>
        <v>287</v>
      </c>
      <c r="S283" s="290">
        <f t="shared" si="84"/>
        <v>130</v>
      </c>
      <c r="T283" s="290">
        <f t="shared" si="84"/>
        <v>0</v>
      </c>
      <c r="U283" s="291">
        <f t="shared" si="84"/>
        <v>1754</v>
      </c>
      <c r="V283" s="289">
        <f t="shared" si="84"/>
        <v>5460</v>
      </c>
      <c r="W283" s="290">
        <f t="shared" si="84"/>
        <v>2648</v>
      </c>
      <c r="X283" s="290">
        <f t="shared" si="84"/>
        <v>5510</v>
      </c>
      <c r="Y283" s="290">
        <f t="shared" si="84"/>
        <v>2726</v>
      </c>
      <c r="Z283" s="290">
        <f t="shared" si="84"/>
        <v>5841</v>
      </c>
      <c r="AA283" s="290">
        <f t="shared" si="84"/>
        <v>2786</v>
      </c>
      <c r="AB283" s="290">
        <f t="shared" si="84"/>
        <v>6476</v>
      </c>
      <c r="AC283" s="290">
        <f t="shared" si="84"/>
        <v>3226</v>
      </c>
      <c r="AD283" s="290">
        <f t="shared" si="84"/>
        <v>6853</v>
      </c>
      <c r="AE283" s="290">
        <f t="shared" si="84"/>
        <v>3366</v>
      </c>
      <c r="AF283" s="290">
        <f t="shared" si="84"/>
        <v>6474</v>
      </c>
      <c r="AG283" s="290">
        <f t="shared" si="84"/>
        <v>3170</v>
      </c>
      <c r="AH283" s="290">
        <f t="shared" si="84"/>
        <v>36614</v>
      </c>
      <c r="AI283" s="291">
        <f t="shared" si="84"/>
        <v>17922</v>
      </c>
      <c r="AJ283" s="289">
        <f t="shared" si="84"/>
        <v>645</v>
      </c>
      <c r="AK283" s="290">
        <f t="shared" si="84"/>
        <v>210</v>
      </c>
      <c r="AL283" s="290">
        <f t="shared" si="84"/>
        <v>0</v>
      </c>
      <c r="AM283" s="291">
        <f t="shared" si="84"/>
        <v>0</v>
      </c>
      <c r="AN283" s="331"/>
    </row>
    <row r="284" spans="1:40" ht="20.100000000000001" customHeight="1">
      <c r="A284" s="1627" t="s">
        <v>434</v>
      </c>
      <c r="B284" s="1628"/>
      <c r="C284" s="1628"/>
      <c r="D284" s="1629"/>
      <c r="E284" s="332">
        <f>D283</f>
        <v>54</v>
      </c>
      <c r="F284" s="302"/>
      <c r="G284" s="222"/>
      <c r="H284" s="334"/>
      <c r="I284" s="305"/>
      <c r="J284" s="303"/>
      <c r="K284" s="303"/>
      <c r="L284" s="306"/>
      <c r="M284" s="335">
        <f>M283</f>
        <v>247</v>
      </c>
      <c r="N284" s="310">
        <f>N283</f>
        <v>247</v>
      </c>
      <c r="O284" s="310">
        <f t="shared" ref="O284:T284" si="85">O283</f>
        <v>259</v>
      </c>
      <c r="P284" s="310">
        <f t="shared" si="85"/>
        <v>288</v>
      </c>
      <c r="Q284" s="310">
        <f t="shared" si="85"/>
        <v>296</v>
      </c>
      <c r="R284" s="310">
        <f t="shared" si="85"/>
        <v>287</v>
      </c>
      <c r="S284" s="310">
        <f t="shared" si="85"/>
        <v>130</v>
      </c>
      <c r="T284" s="310">
        <f t="shared" si="85"/>
        <v>0</v>
      </c>
      <c r="U284" s="309">
        <f>U283</f>
        <v>1754</v>
      </c>
      <c r="V284" s="336">
        <f>V283</f>
        <v>5460</v>
      </c>
      <c r="W284" s="310">
        <f>W283</f>
        <v>2648</v>
      </c>
      <c r="X284" s="310">
        <f t="shared" ref="X284:AH284" si="86">X283</f>
        <v>5510</v>
      </c>
      <c r="Y284" s="310">
        <f t="shared" si="86"/>
        <v>2726</v>
      </c>
      <c r="Z284" s="310">
        <f t="shared" si="86"/>
        <v>5841</v>
      </c>
      <c r="AA284" s="310">
        <f t="shared" si="86"/>
        <v>2786</v>
      </c>
      <c r="AB284" s="310">
        <f t="shared" si="86"/>
        <v>6476</v>
      </c>
      <c r="AC284" s="310">
        <f t="shared" si="86"/>
        <v>3226</v>
      </c>
      <c r="AD284" s="310">
        <f t="shared" si="86"/>
        <v>6853</v>
      </c>
      <c r="AE284" s="310">
        <f t="shared" si="86"/>
        <v>3366</v>
      </c>
      <c r="AF284" s="310">
        <f t="shared" si="86"/>
        <v>6474</v>
      </c>
      <c r="AG284" s="310">
        <f t="shared" si="86"/>
        <v>3170</v>
      </c>
      <c r="AH284" s="310">
        <f t="shared" si="86"/>
        <v>36614</v>
      </c>
      <c r="AI284" s="309">
        <f>AI283</f>
        <v>17922</v>
      </c>
      <c r="AJ284" s="336">
        <f>AJ283</f>
        <v>645</v>
      </c>
      <c r="AK284" s="310">
        <f>AK283</f>
        <v>210</v>
      </c>
      <c r="AL284" s="310">
        <f>AL283</f>
        <v>0</v>
      </c>
      <c r="AM284" s="309">
        <f>AM283</f>
        <v>0</v>
      </c>
      <c r="AN284" s="337"/>
    </row>
    <row r="285" spans="1:40" ht="17.100000000000001" customHeight="1">
      <c r="A285" s="1211" t="s">
        <v>157</v>
      </c>
      <c r="B285" s="1211" t="s">
        <v>158</v>
      </c>
      <c r="C285" s="1211" t="s">
        <v>158</v>
      </c>
      <c r="D285" s="1211" t="s">
        <v>4</v>
      </c>
      <c r="E285" s="1211" t="s">
        <v>4912</v>
      </c>
      <c r="F285" s="1212">
        <v>25628</v>
      </c>
      <c r="G285" s="1213" t="s">
        <v>4913</v>
      </c>
      <c r="H285" s="1214">
        <v>12421</v>
      </c>
      <c r="I285" s="1215">
        <v>23025</v>
      </c>
      <c r="J285" s="1216" t="s">
        <v>1346</v>
      </c>
      <c r="K285" s="1216" t="s">
        <v>1347</v>
      </c>
      <c r="L285" s="1217" t="s">
        <v>1292</v>
      </c>
      <c r="M285" s="1218">
        <v>3</v>
      </c>
      <c r="N285" s="1219">
        <v>3</v>
      </c>
      <c r="O285" s="1219">
        <v>3</v>
      </c>
      <c r="P285" s="1219">
        <v>4</v>
      </c>
      <c r="Q285" s="1219">
        <v>4</v>
      </c>
      <c r="R285" s="1219">
        <v>4</v>
      </c>
      <c r="S285" s="1219">
        <v>2</v>
      </c>
      <c r="T285" s="1219">
        <v>0</v>
      </c>
      <c r="U285" s="1220">
        <f t="shared" ref="U285:U304" si="87">SUM(M285:T285)</f>
        <v>23</v>
      </c>
      <c r="V285" s="1221">
        <v>63</v>
      </c>
      <c r="W285" s="1219">
        <v>29</v>
      </c>
      <c r="X285" s="1219">
        <v>52</v>
      </c>
      <c r="Y285" s="1219">
        <v>25</v>
      </c>
      <c r="Z285" s="1219">
        <v>67</v>
      </c>
      <c r="AA285" s="1219">
        <v>37</v>
      </c>
      <c r="AB285" s="1219">
        <v>90</v>
      </c>
      <c r="AC285" s="1219">
        <v>45</v>
      </c>
      <c r="AD285" s="1219">
        <v>87</v>
      </c>
      <c r="AE285" s="1219">
        <v>40</v>
      </c>
      <c r="AF285" s="1219">
        <v>96</v>
      </c>
      <c r="AG285" s="1219">
        <v>49</v>
      </c>
      <c r="AH285" s="1222">
        <f t="shared" ref="AH285:AH304" si="88">V285+X285+Z285+AB285+AD285+AF285</f>
        <v>455</v>
      </c>
      <c r="AI285" s="1220">
        <f t="shared" ref="AI285:AI304" si="89">W285+Y285+AA285+AC285+AE285+AG285</f>
        <v>225</v>
      </c>
      <c r="AJ285" s="1370">
        <v>11</v>
      </c>
      <c r="AK285" s="1219">
        <v>5</v>
      </c>
      <c r="AL285" s="1219">
        <v>0</v>
      </c>
      <c r="AM285" s="1223">
        <v>0</v>
      </c>
      <c r="AN285" s="1224"/>
    </row>
    <row r="286" spans="1:40" ht="17.100000000000001" customHeight="1">
      <c r="A286" s="168" t="s">
        <v>157</v>
      </c>
      <c r="B286" s="168" t="s">
        <v>158</v>
      </c>
      <c r="C286" s="168" t="s">
        <v>158</v>
      </c>
      <c r="D286" s="168" t="s">
        <v>4</v>
      </c>
      <c r="E286" s="168" t="s">
        <v>4914</v>
      </c>
      <c r="F286" s="71" t="s">
        <v>1343</v>
      </c>
      <c r="G286" s="50" t="s">
        <v>1344</v>
      </c>
      <c r="H286" s="72">
        <v>12394</v>
      </c>
      <c r="I286" s="52">
        <v>23030</v>
      </c>
      <c r="J286" s="53" t="s">
        <v>1288</v>
      </c>
      <c r="K286" s="53" t="s">
        <v>1289</v>
      </c>
      <c r="L286" s="54" t="s">
        <v>1290</v>
      </c>
      <c r="M286" s="338">
        <v>1</v>
      </c>
      <c r="N286" s="73">
        <v>2</v>
      </c>
      <c r="O286" s="73">
        <v>2</v>
      </c>
      <c r="P286" s="73">
        <v>2</v>
      </c>
      <c r="Q286" s="73">
        <v>2</v>
      </c>
      <c r="R286" s="73">
        <v>2</v>
      </c>
      <c r="S286" s="73">
        <v>2</v>
      </c>
      <c r="T286" s="73">
        <v>0</v>
      </c>
      <c r="U286" s="131">
        <f t="shared" si="87"/>
        <v>13</v>
      </c>
      <c r="V286" s="75">
        <v>19</v>
      </c>
      <c r="W286" s="73">
        <v>7</v>
      </c>
      <c r="X286" s="73">
        <v>21</v>
      </c>
      <c r="Y286" s="73">
        <v>13</v>
      </c>
      <c r="Z286" s="73">
        <v>29</v>
      </c>
      <c r="AA286" s="73">
        <v>11</v>
      </c>
      <c r="AB286" s="73">
        <v>38</v>
      </c>
      <c r="AC286" s="73">
        <v>21</v>
      </c>
      <c r="AD286" s="73">
        <v>32</v>
      </c>
      <c r="AE286" s="73">
        <v>14</v>
      </c>
      <c r="AF286" s="73">
        <v>46</v>
      </c>
      <c r="AG286" s="73">
        <v>19</v>
      </c>
      <c r="AH286" s="132">
        <f t="shared" si="88"/>
        <v>185</v>
      </c>
      <c r="AI286" s="131">
        <f t="shared" si="89"/>
        <v>85</v>
      </c>
      <c r="AJ286" s="311">
        <v>11</v>
      </c>
      <c r="AK286" s="73">
        <v>5</v>
      </c>
      <c r="AL286" s="73">
        <v>0</v>
      </c>
      <c r="AM286" s="74">
        <v>0</v>
      </c>
      <c r="AN286" s="76"/>
    </row>
    <row r="287" spans="1:40" ht="17.100000000000001" customHeight="1">
      <c r="A287" s="168" t="s">
        <v>157</v>
      </c>
      <c r="B287" s="168" t="s">
        <v>158</v>
      </c>
      <c r="C287" s="168" t="s">
        <v>158</v>
      </c>
      <c r="D287" s="168" t="s">
        <v>4</v>
      </c>
      <c r="E287" s="168" t="s">
        <v>4915</v>
      </c>
      <c r="F287" s="71">
        <v>4475</v>
      </c>
      <c r="G287" s="50" t="s">
        <v>4916</v>
      </c>
      <c r="H287" s="312">
        <v>16367</v>
      </c>
      <c r="I287" s="52">
        <v>23002</v>
      </c>
      <c r="J287" s="53" t="s">
        <v>1333</v>
      </c>
      <c r="K287" s="53" t="s">
        <v>1334</v>
      </c>
      <c r="L287" s="54" t="s">
        <v>1335</v>
      </c>
      <c r="M287" s="338">
        <v>1</v>
      </c>
      <c r="N287" s="73">
        <v>1</v>
      </c>
      <c r="O287" s="73">
        <v>1</v>
      </c>
      <c r="P287" s="73">
        <v>1</v>
      </c>
      <c r="Q287" s="73">
        <v>1</v>
      </c>
      <c r="R287" s="73">
        <v>1</v>
      </c>
      <c r="S287" s="73">
        <v>1</v>
      </c>
      <c r="T287" s="73">
        <v>0</v>
      </c>
      <c r="U287" s="131">
        <f t="shared" si="87"/>
        <v>7</v>
      </c>
      <c r="V287" s="75">
        <v>3</v>
      </c>
      <c r="W287" s="73">
        <v>0</v>
      </c>
      <c r="X287" s="73">
        <v>1</v>
      </c>
      <c r="Y287" s="73">
        <v>1</v>
      </c>
      <c r="Z287" s="73">
        <v>1</v>
      </c>
      <c r="AA287" s="73">
        <v>0</v>
      </c>
      <c r="AB287" s="73">
        <v>5</v>
      </c>
      <c r="AC287" s="73">
        <v>1</v>
      </c>
      <c r="AD287" s="73">
        <v>1</v>
      </c>
      <c r="AE287" s="73">
        <v>0</v>
      </c>
      <c r="AF287" s="73">
        <v>8</v>
      </c>
      <c r="AG287" s="73">
        <v>4</v>
      </c>
      <c r="AH287" s="132">
        <f t="shared" si="88"/>
        <v>19</v>
      </c>
      <c r="AI287" s="131">
        <f t="shared" si="89"/>
        <v>6</v>
      </c>
      <c r="AJ287" s="311">
        <v>2</v>
      </c>
      <c r="AK287" s="73">
        <v>1</v>
      </c>
      <c r="AL287" s="73">
        <v>0</v>
      </c>
      <c r="AM287" s="74">
        <v>0</v>
      </c>
      <c r="AN287" s="76"/>
    </row>
    <row r="288" spans="1:40" ht="17.100000000000001" customHeight="1">
      <c r="A288" s="168" t="s">
        <v>157</v>
      </c>
      <c r="B288" s="168" t="s">
        <v>158</v>
      </c>
      <c r="C288" s="168" t="s">
        <v>158</v>
      </c>
      <c r="D288" s="168" t="s">
        <v>4</v>
      </c>
      <c r="E288" s="168" t="s">
        <v>4917</v>
      </c>
      <c r="F288" s="71">
        <v>2383</v>
      </c>
      <c r="G288" s="50" t="s">
        <v>4918</v>
      </c>
      <c r="H288" s="72">
        <v>17820</v>
      </c>
      <c r="I288" s="52">
        <v>23050</v>
      </c>
      <c r="J288" s="53" t="s">
        <v>1307</v>
      </c>
      <c r="K288" s="53" t="s">
        <v>1308</v>
      </c>
      <c r="L288" s="54" t="s">
        <v>1309</v>
      </c>
      <c r="M288" s="338">
        <v>1</v>
      </c>
      <c r="N288" s="73">
        <v>1</v>
      </c>
      <c r="O288" s="73">
        <v>1</v>
      </c>
      <c r="P288" s="73">
        <v>2</v>
      </c>
      <c r="Q288" s="73">
        <v>2</v>
      </c>
      <c r="R288" s="73">
        <v>2</v>
      </c>
      <c r="S288" s="73">
        <v>1</v>
      </c>
      <c r="T288" s="73">
        <v>0</v>
      </c>
      <c r="U288" s="131">
        <f t="shared" si="87"/>
        <v>10</v>
      </c>
      <c r="V288" s="75">
        <v>15</v>
      </c>
      <c r="W288" s="73">
        <v>10</v>
      </c>
      <c r="X288" s="73">
        <v>18</v>
      </c>
      <c r="Y288" s="73">
        <v>10</v>
      </c>
      <c r="Z288" s="73">
        <v>16</v>
      </c>
      <c r="AA288" s="73">
        <v>6</v>
      </c>
      <c r="AB288" s="73">
        <v>25</v>
      </c>
      <c r="AC288" s="73">
        <v>10</v>
      </c>
      <c r="AD288" s="73">
        <v>29</v>
      </c>
      <c r="AE288" s="73">
        <v>14</v>
      </c>
      <c r="AF288" s="73">
        <v>29</v>
      </c>
      <c r="AG288" s="73">
        <v>15</v>
      </c>
      <c r="AH288" s="132">
        <f t="shared" si="88"/>
        <v>132</v>
      </c>
      <c r="AI288" s="131">
        <f t="shared" si="89"/>
        <v>65</v>
      </c>
      <c r="AJ288" s="311">
        <v>5</v>
      </c>
      <c r="AK288" s="73">
        <v>1</v>
      </c>
      <c r="AL288" s="73">
        <v>0</v>
      </c>
      <c r="AM288" s="74">
        <v>0</v>
      </c>
      <c r="AN288" s="76"/>
    </row>
    <row r="289" spans="1:40" ht="17.100000000000001" customHeight="1">
      <c r="A289" s="168" t="s">
        <v>157</v>
      </c>
      <c r="B289" s="168" t="s">
        <v>158</v>
      </c>
      <c r="C289" s="168" t="s">
        <v>158</v>
      </c>
      <c r="D289" s="168" t="s">
        <v>4</v>
      </c>
      <c r="E289" s="168" t="s">
        <v>4919</v>
      </c>
      <c r="F289" s="71">
        <v>12033</v>
      </c>
      <c r="G289" s="50" t="s">
        <v>4920</v>
      </c>
      <c r="H289" s="72">
        <v>13358</v>
      </c>
      <c r="I289" s="52">
        <v>23018</v>
      </c>
      <c r="J289" s="53" t="s">
        <v>4109</v>
      </c>
      <c r="K289" s="53" t="s">
        <v>1321</v>
      </c>
      <c r="L289" s="54" t="s">
        <v>1322</v>
      </c>
      <c r="M289" s="338">
        <v>1</v>
      </c>
      <c r="N289" s="73">
        <v>1</v>
      </c>
      <c r="O289" s="73">
        <v>1</v>
      </c>
      <c r="P289" s="73">
        <v>1</v>
      </c>
      <c r="Q289" s="73">
        <v>1</v>
      </c>
      <c r="R289" s="73">
        <v>1</v>
      </c>
      <c r="S289" s="73">
        <v>1</v>
      </c>
      <c r="T289" s="73">
        <v>0</v>
      </c>
      <c r="U289" s="131">
        <f t="shared" si="87"/>
        <v>7</v>
      </c>
      <c r="V289" s="75">
        <v>5</v>
      </c>
      <c r="W289" s="73">
        <v>1</v>
      </c>
      <c r="X289" s="73">
        <v>13</v>
      </c>
      <c r="Y289" s="73">
        <v>4</v>
      </c>
      <c r="Z289" s="73">
        <v>11</v>
      </c>
      <c r="AA289" s="73">
        <v>3</v>
      </c>
      <c r="AB289" s="73">
        <v>9</v>
      </c>
      <c r="AC289" s="73">
        <v>3</v>
      </c>
      <c r="AD289" s="73">
        <v>7</v>
      </c>
      <c r="AE289" s="73">
        <v>5</v>
      </c>
      <c r="AF289" s="73">
        <v>10</v>
      </c>
      <c r="AG289" s="73">
        <v>2</v>
      </c>
      <c r="AH289" s="132">
        <f t="shared" si="88"/>
        <v>55</v>
      </c>
      <c r="AI289" s="131">
        <f t="shared" si="89"/>
        <v>18</v>
      </c>
      <c r="AJ289" s="311">
        <v>7</v>
      </c>
      <c r="AK289" s="73">
        <v>4</v>
      </c>
      <c r="AL289" s="73">
        <v>0</v>
      </c>
      <c r="AM289" s="74">
        <v>0</v>
      </c>
      <c r="AN289" s="76"/>
    </row>
    <row r="290" spans="1:40" ht="17.100000000000001" customHeight="1">
      <c r="A290" s="168" t="s">
        <v>157</v>
      </c>
      <c r="B290" s="168" t="s">
        <v>158</v>
      </c>
      <c r="C290" s="168" t="s">
        <v>158</v>
      </c>
      <c r="D290" s="168" t="s">
        <v>4</v>
      </c>
      <c r="E290" s="168" t="s">
        <v>4921</v>
      </c>
      <c r="F290" s="71">
        <v>23462</v>
      </c>
      <c r="G290" s="50" t="s">
        <v>1293</v>
      </c>
      <c r="H290" s="72">
        <v>10323</v>
      </c>
      <c r="I290" s="52">
        <v>23021</v>
      </c>
      <c r="J290" s="53" t="s">
        <v>1294</v>
      </c>
      <c r="K290" s="53" t="s">
        <v>1294</v>
      </c>
      <c r="L290" s="54" t="s">
        <v>1295</v>
      </c>
      <c r="M290" s="338">
        <v>1</v>
      </c>
      <c r="N290" s="73">
        <v>1</v>
      </c>
      <c r="O290" s="73">
        <v>1</v>
      </c>
      <c r="P290" s="73">
        <v>1</v>
      </c>
      <c r="Q290" s="73">
        <v>2</v>
      </c>
      <c r="R290" s="73">
        <v>2</v>
      </c>
      <c r="S290" s="73">
        <v>1</v>
      </c>
      <c r="T290" s="73">
        <v>0</v>
      </c>
      <c r="U290" s="131">
        <f t="shared" si="87"/>
        <v>9</v>
      </c>
      <c r="V290" s="75">
        <v>14</v>
      </c>
      <c r="W290" s="73">
        <v>9</v>
      </c>
      <c r="X290" s="73">
        <v>8</v>
      </c>
      <c r="Y290" s="73">
        <v>7</v>
      </c>
      <c r="Z290" s="73">
        <v>19</v>
      </c>
      <c r="AA290" s="73">
        <v>8</v>
      </c>
      <c r="AB290" s="73">
        <v>18</v>
      </c>
      <c r="AC290" s="73">
        <v>7</v>
      </c>
      <c r="AD290" s="73">
        <v>21</v>
      </c>
      <c r="AE290" s="73">
        <v>13</v>
      </c>
      <c r="AF290" s="73">
        <v>25</v>
      </c>
      <c r="AG290" s="73">
        <v>6</v>
      </c>
      <c r="AH290" s="132">
        <f t="shared" si="88"/>
        <v>105</v>
      </c>
      <c r="AI290" s="131">
        <f t="shared" si="89"/>
        <v>50</v>
      </c>
      <c r="AJ290" s="75">
        <v>6</v>
      </c>
      <c r="AK290" s="73">
        <v>3</v>
      </c>
      <c r="AL290" s="73">
        <v>0</v>
      </c>
      <c r="AM290" s="74">
        <v>0</v>
      </c>
      <c r="AN290" s="76"/>
    </row>
    <row r="291" spans="1:40" ht="17.100000000000001" customHeight="1">
      <c r="A291" s="168" t="s">
        <v>157</v>
      </c>
      <c r="B291" s="168" t="s">
        <v>158</v>
      </c>
      <c r="C291" s="168" t="s">
        <v>158</v>
      </c>
      <c r="D291" s="168" t="s">
        <v>4</v>
      </c>
      <c r="E291" s="168" t="s">
        <v>4922</v>
      </c>
      <c r="F291" s="71">
        <v>16163</v>
      </c>
      <c r="G291" s="50" t="s">
        <v>1747</v>
      </c>
      <c r="H291" s="72">
        <v>13523</v>
      </c>
      <c r="I291" s="52">
        <v>23016</v>
      </c>
      <c r="J291" s="53" t="s">
        <v>2415</v>
      </c>
      <c r="K291" s="53" t="s">
        <v>1325</v>
      </c>
      <c r="L291" s="54" t="s">
        <v>1326</v>
      </c>
      <c r="M291" s="338">
        <v>1</v>
      </c>
      <c r="N291" s="73">
        <v>1</v>
      </c>
      <c r="O291" s="73">
        <v>1</v>
      </c>
      <c r="P291" s="73">
        <v>1</v>
      </c>
      <c r="Q291" s="73">
        <v>1</v>
      </c>
      <c r="R291" s="73">
        <v>1</v>
      </c>
      <c r="S291" s="73">
        <v>0</v>
      </c>
      <c r="T291" s="73">
        <v>0</v>
      </c>
      <c r="U291" s="131">
        <f t="shared" si="87"/>
        <v>6</v>
      </c>
      <c r="V291" s="75">
        <v>6</v>
      </c>
      <c r="W291" s="73">
        <v>4</v>
      </c>
      <c r="X291" s="73">
        <v>10</v>
      </c>
      <c r="Y291" s="73">
        <v>6</v>
      </c>
      <c r="Z291" s="73">
        <v>7</v>
      </c>
      <c r="AA291" s="73">
        <v>3</v>
      </c>
      <c r="AB291" s="73">
        <v>10</v>
      </c>
      <c r="AC291" s="73">
        <v>6</v>
      </c>
      <c r="AD291" s="73">
        <v>12</v>
      </c>
      <c r="AE291" s="73">
        <v>5</v>
      </c>
      <c r="AF291" s="73">
        <v>7</v>
      </c>
      <c r="AG291" s="73">
        <v>3</v>
      </c>
      <c r="AH291" s="132">
        <f t="shared" si="88"/>
        <v>52</v>
      </c>
      <c r="AI291" s="131">
        <f t="shared" si="89"/>
        <v>27</v>
      </c>
      <c r="AJ291" s="75">
        <v>0</v>
      </c>
      <c r="AK291" s="73">
        <v>0</v>
      </c>
      <c r="AL291" s="73">
        <v>0</v>
      </c>
      <c r="AM291" s="74">
        <v>0</v>
      </c>
      <c r="AN291" s="76"/>
    </row>
    <row r="292" spans="1:40" ht="17.100000000000001" customHeight="1">
      <c r="A292" s="168" t="s">
        <v>157</v>
      </c>
      <c r="B292" s="168" t="s">
        <v>158</v>
      </c>
      <c r="C292" s="168" t="s">
        <v>158</v>
      </c>
      <c r="D292" s="168" t="s">
        <v>4</v>
      </c>
      <c r="E292" s="168" t="s">
        <v>4923</v>
      </c>
      <c r="F292" s="71">
        <v>12694</v>
      </c>
      <c r="G292" s="50" t="s">
        <v>2416</v>
      </c>
      <c r="H292" s="72">
        <v>12729</v>
      </c>
      <c r="I292" s="52">
        <v>23046</v>
      </c>
      <c r="J292" s="53" t="s">
        <v>1300</v>
      </c>
      <c r="K292" s="53" t="s">
        <v>1301</v>
      </c>
      <c r="L292" s="54" t="s">
        <v>1302</v>
      </c>
      <c r="M292" s="338">
        <v>1</v>
      </c>
      <c r="N292" s="73">
        <v>1</v>
      </c>
      <c r="O292" s="73">
        <v>1</v>
      </c>
      <c r="P292" s="73">
        <v>1</v>
      </c>
      <c r="Q292" s="73">
        <v>1</v>
      </c>
      <c r="R292" s="73">
        <v>1</v>
      </c>
      <c r="S292" s="73">
        <v>0</v>
      </c>
      <c r="T292" s="73">
        <v>0</v>
      </c>
      <c r="U292" s="131">
        <f t="shared" si="87"/>
        <v>6</v>
      </c>
      <c r="V292" s="75">
        <v>12</v>
      </c>
      <c r="W292" s="73">
        <v>4</v>
      </c>
      <c r="X292" s="73">
        <v>9</v>
      </c>
      <c r="Y292" s="73">
        <v>7</v>
      </c>
      <c r="Z292" s="73">
        <v>7</v>
      </c>
      <c r="AA292" s="73">
        <v>4</v>
      </c>
      <c r="AB292" s="73">
        <v>10</v>
      </c>
      <c r="AC292" s="73">
        <v>6</v>
      </c>
      <c r="AD292" s="73">
        <v>9</v>
      </c>
      <c r="AE292" s="73">
        <v>4</v>
      </c>
      <c r="AF292" s="73">
        <v>9</v>
      </c>
      <c r="AG292" s="73">
        <v>6</v>
      </c>
      <c r="AH292" s="132">
        <f t="shared" si="88"/>
        <v>56</v>
      </c>
      <c r="AI292" s="131">
        <f t="shared" si="89"/>
        <v>31</v>
      </c>
      <c r="AJ292" s="75">
        <v>0</v>
      </c>
      <c r="AK292" s="73">
        <v>0</v>
      </c>
      <c r="AL292" s="73">
        <v>0</v>
      </c>
      <c r="AM292" s="74">
        <v>0</v>
      </c>
      <c r="AN292" s="76"/>
    </row>
    <row r="293" spans="1:40" ht="17.100000000000001" customHeight="1">
      <c r="A293" s="168" t="s">
        <v>157</v>
      </c>
      <c r="B293" s="168" t="s">
        <v>158</v>
      </c>
      <c r="C293" s="168" t="s">
        <v>158</v>
      </c>
      <c r="D293" s="168" t="s">
        <v>4</v>
      </c>
      <c r="E293" s="1246" t="s">
        <v>4924</v>
      </c>
      <c r="F293" s="71">
        <v>11625</v>
      </c>
      <c r="G293" s="50" t="s">
        <v>1348</v>
      </c>
      <c r="H293" s="312">
        <v>9041</v>
      </c>
      <c r="I293" s="52">
        <v>23005</v>
      </c>
      <c r="J293" s="53" t="s">
        <v>1336</v>
      </c>
      <c r="K293" s="53" t="s">
        <v>1337</v>
      </c>
      <c r="L293" s="54" t="s">
        <v>1338</v>
      </c>
      <c r="M293" s="338">
        <v>1</v>
      </c>
      <c r="N293" s="73">
        <v>1</v>
      </c>
      <c r="O293" s="73">
        <v>1</v>
      </c>
      <c r="P293" s="73">
        <v>1</v>
      </c>
      <c r="Q293" s="162">
        <v>0</v>
      </c>
      <c r="R293" s="162">
        <v>1</v>
      </c>
      <c r="S293" s="73">
        <v>0</v>
      </c>
      <c r="T293" s="73">
        <v>0</v>
      </c>
      <c r="U293" s="131">
        <f t="shared" si="87"/>
        <v>5</v>
      </c>
      <c r="V293" s="75">
        <v>3</v>
      </c>
      <c r="W293" s="73">
        <v>1</v>
      </c>
      <c r="X293" s="73">
        <v>3</v>
      </c>
      <c r="Y293" s="73">
        <v>2</v>
      </c>
      <c r="Z293" s="73">
        <v>3</v>
      </c>
      <c r="AA293" s="73">
        <v>2</v>
      </c>
      <c r="AB293" s="73">
        <v>3</v>
      </c>
      <c r="AC293" s="73">
        <v>2</v>
      </c>
      <c r="AD293" s="73">
        <v>3</v>
      </c>
      <c r="AE293" s="73">
        <v>0</v>
      </c>
      <c r="AF293" s="73">
        <v>1</v>
      </c>
      <c r="AG293" s="73">
        <v>0</v>
      </c>
      <c r="AH293" s="132">
        <f t="shared" si="88"/>
        <v>16</v>
      </c>
      <c r="AI293" s="131">
        <f t="shared" si="89"/>
        <v>7</v>
      </c>
      <c r="AJ293" s="75">
        <v>0</v>
      </c>
      <c r="AK293" s="73">
        <v>0</v>
      </c>
      <c r="AL293" s="73">
        <v>0</v>
      </c>
      <c r="AM293" s="74">
        <v>0</v>
      </c>
      <c r="AN293" s="915" t="s">
        <v>4925</v>
      </c>
    </row>
    <row r="294" spans="1:40" s="339" customFormat="1" ht="17.100000000000001" customHeight="1">
      <c r="A294" s="168" t="s">
        <v>157</v>
      </c>
      <c r="B294" s="168" t="s">
        <v>158</v>
      </c>
      <c r="C294" s="168" t="s">
        <v>158</v>
      </c>
      <c r="D294" s="168" t="s">
        <v>4</v>
      </c>
      <c r="E294" s="168" t="s">
        <v>4926</v>
      </c>
      <c r="F294" s="71">
        <v>22756</v>
      </c>
      <c r="G294" s="50" t="s">
        <v>1303</v>
      </c>
      <c r="H294" s="72">
        <v>33183</v>
      </c>
      <c r="I294" s="52">
        <v>23038</v>
      </c>
      <c r="J294" s="53" t="s">
        <v>1304</v>
      </c>
      <c r="K294" s="53" t="s">
        <v>1305</v>
      </c>
      <c r="L294" s="54" t="s">
        <v>1306</v>
      </c>
      <c r="M294" s="338">
        <v>1</v>
      </c>
      <c r="N294" s="73">
        <v>0</v>
      </c>
      <c r="O294" s="73">
        <v>1</v>
      </c>
      <c r="P294" s="73">
        <v>1</v>
      </c>
      <c r="Q294" s="73">
        <v>1</v>
      </c>
      <c r="R294" s="73">
        <v>1</v>
      </c>
      <c r="S294" s="73">
        <v>1</v>
      </c>
      <c r="T294" s="73">
        <v>0</v>
      </c>
      <c r="U294" s="131">
        <f t="shared" si="87"/>
        <v>6</v>
      </c>
      <c r="V294" s="75">
        <v>4</v>
      </c>
      <c r="W294" s="73">
        <v>1</v>
      </c>
      <c r="X294" s="73">
        <v>0</v>
      </c>
      <c r="Y294" s="73">
        <v>0</v>
      </c>
      <c r="Z294" s="73">
        <v>3</v>
      </c>
      <c r="AA294" s="73">
        <v>1</v>
      </c>
      <c r="AB294" s="73">
        <v>6</v>
      </c>
      <c r="AC294" s="73">
        <v>1</v>
      </c>
      <c r="AD294" s="73">
        <v>3</v>
      </c>
      <c r="AE294" s="73">
        <v>3</v>
      </c>
      <c r="AF294" s="73">
        <v>3</v>
      </c>
      <c r="AG294" s="73">
        <v>2</v>
      </c>
      <c r="AH294" s="132">
        <f t="shared" si="88"/>
        <v>19</v>
      </c>
      <c r="AI294" s="131">
        <f t="shared" si="89"/>
        <v>8</v>
      </c>
      <c r="AJ294" s="75">
        <v>4</v>
      </c>
      <c r="AK294" s="73">
        <v>1</v>
      </c>
      <c r="AL294" s="73">
        <v>0</v>
      </c>
      <c r="AM294" s="74">
        <v>0</v>
      </c>
      <c r="AN294" s="76"/>
    </row>
    <row r="295" spans="1:40" ht="17.100000000000001" customHeight="1">
      <c r="A295" s="168" t="s">
        <v>157</v>
      </c>
      <c r="B295" s="168" t="s">
        <v>158</v>
      </c>
      <c r="C295" s="168" t="s">
        <v>158</v>
      </c>
      <c r="D295" s="168" t="s">
        <v>4</v>
      </c>
      <c r="E295" s="168" t="s">
        <v>4927</v>
      </c>
      <c r="F295" s="71">
        <v>13106</v>
      </c>
      <c r="G295" s="50" t="s">
        <v>2417</v>
      </c>
      <c r="H295" s="312">
        <v>17203</v>
      </c>
      <c r="I295" s="52">
        <v>23008</v>
      </c>
      <c r="J295" s="53" t="s">
        <v>1342</v>
      </c>
      <c r="K295" s="53" t="s">
        <v>257</v>
      </c>
      <c r="L295" s="54" t="s">
        <v>258</v>
      </c>
      <c r="M295" s="75">
        <v>0</v>
      </c>
      <c r="N295" s="73">
        <v>0</v>
      </c>
      <c r="O295" s="73">
        <v>0</v>
      </c>
      <c r="P295" s="73">
        <v>1</v>
      </c>
      <c r="Q295" s="73">
        <v>0</v>
      </c>
      <c r="R295" s="73">
        <v>0</v>
      </c>
      <c r="S295" s="73">
        <v>0</v>
      </c>
      <c r="T295" s="73">
        <v>0</v>
      </c>
      <c r="U295" s="131">
        <f t="shared" si="87"/>
        <v>1</v>
      </c>
      <c r="V295" s="75">
        <v>0</v>
      </c>
      <c r="W295" s="73">
        <v>0</v>
      </c>
      <c r="X295" s="73">
        <v>0</v>
      </c>
      <c r="Y295" s="73">
        <v>0</v>
      </c>
      <c r="Z295" s="73">
        <v>2</v>
      </c>
      <c r="AA295" s="73">
        <v>2</v>
      </c>
      <c r="AB295" s="73">
        <v>1</v>
      </c>
      <c r="AC295" s="73">
        <v>0</v>
      </c>
      <c r="AD295" s="73">
        <v>0</v>
      </c>
      <c r="AE295" s="73">
        <v>0</v>
      </c>
      <c r="AF295" s="73">
        <v>0</v>
      </c>
      <c r="AG295" s="73">
        <v>0</v>
      </c>
      <c r="AH295" s="132">
        <f t="shared" si="88"/>
        <v>3</v>
      </c>
      <c r="AI295" s="131">
        <f t="shared" si="89"/>
        <v>2</v>
      </c>
      <c r="AJ295" s="75">
        <v>0</v>
      </c>
      <c r="AK295" s="73">
        <v>0</v>
      </c>
      <c r="AL295" s="73">
        <v>0</v>
      </c>
      <c r="AM295" s="74">
        <v>0</v>
      </c>
      <c r="AN295" s="915" t="s">
        <v>4938</v>
      </c>
    </row>
    <row r="296" spans="1:40" ht="17.100000000000001" customHeight="1">
      <c r="A296" s="168" t="s">
        <v>157</v>
      </c>
      <c r="B296" s="168" t="s">
        <v>158</v>
      </c>
      <c r="C296" s="168" t="s">
        <v>158</v>
      </c>
      <c r="D296" s="168" t="s">
        <v>4</v>
      </c>
      <c r="E296" s="168" t="s">
        <v>4928</v>
      </c>
      <c r="F296" s="71">
        <v>8493</v>
      </c>
      <c r="G296" s="50" t="s">
        <v>1296</v>
      </c>
      <c r="H296" s="72">
        <v>19721</v>
      </c>
      <c r="I296" s="52">
        <v>23044</v>
      </c>
      <c r="J296" s="53" t="s">
        <v>1297</v>
      </c>
      <c r="K296" s="53" t="s">
        <v>1298</v>
      </c>
      <c r="L296" s="54" t="s">
        <v>1299</v>
      </c>
      <c r="M296" s="338">
        <v>2</v>
      </c>
      <c r="N296" s="73">
        <v>2</v>
      </c>
      <c r="O296" s="73">
        <v>2</v>
      </c>
      <c r="P296" s="73">
        <v>2</v>
      </c>
      <c r="Q296" s="73">
        <v>2</v>
      </c>
      <c r="R296" s="73">
        <v>2</v>
      </c>
      <c r="S296" s="73">
        <v>1</v>
      </c>
      <c r="T296" s="73">
        <v>0</v>
      </c>
      <c r="U296" s="131">
        <f t="shared" si="87"/>
        <v>13</v>
      </c>
      <c r="V296" s="75">
        <v>39</v>
      </c>
      <c r="W296" s="73">
        <v>22</v>
      </c>
      <c r="X296" s="73">
        <v>32</v>
      </c>
      <c r="Y296" s="73">
        <v>12</v>
      </c>
      <c r="Z296" s="73">
        <v>38</v>
      </c>
      <c r="AA296" s="73">
        <v>26</v>
      </c>
      <c r="AB296" s="73">
        <v>37</v>
      </c>
      <c r="AC296" s="73">
        <v>14</v>
      </c>
      <c r="AD296" s="73">
        <v>45</v>
      </c>
      <c r="AE296" s="73">
        <v>20</v>
      </c>
      <c r="AF296" s="73">
        <v>36</v>
      </c>
      <c r="AG296" s="73">
        <v>21</v>
      </c>
      <c r="AH296" s="132">
        <f t="shared" si="88"/>
        <v>227</v>
      </c>
      <c r="AI296" s="131">
        <f t="shared" si="89"/>
        <v>115</v>
      </c>
      <c r="AJ296" s="311">
        <v>5</v>
      </c>
      <c r="AK296" s="73">
        <v>2</v>
      </c>
      <c r="AL296" s="73">
        <v>0</v>
      </c>
      <c r="AM296" s="74">
        <v>0</v>
      </c>
      <c r="AN296" s="76"/>
    </row>
    <row r="297" spans="1:40" ht="17.100000000000001" customHeight="1">
      <c r="A297" s="168" t="s">
        <v>157</v>
      </c>
      <c r="B297" s="168" t="s">
        <v>158</v>
      </c>
      <c r="C297" s="168" t="s">
        <v>158</v>
      </c>
      <c r="D297" s="168" t="s">
        <v>4</v>
      </c>
      <c r="E297" s="168" t="s">
        <v>4929</v>
      </c>
      <c r="F297" s="71">
        <v>12333</v>
      </c>
      <c r="G297" s="50" t="s">
        <v>2418</v>
      </c>
      <c r="H297" s="72">
        <v>19173</v>
      </c>
      <c r="I297" s="52">
        <v>23019</v>
      </c>
      <c r="J297" s="53" t="s">
        <v>1330</v>
      </c>
      <c r="K297" s="53" t="s">
        <v>1331</v>
      </c>
      <c r="L297" s="54" t="s">
        <v>1332</v>
      </c>
      <c r="M297" s="338">
        <v>1</v>
      </c>
      <c r="N297" s="73">
        <v>1</v>
      </c>
      <c r="O297" s="73">
        <v>1</v>
      </c>
      <c r="P297" s="73">
        <v>1</v>
      </c>
      <c r="Q297" s="73">
        <v>1</v>
      </c>
      <c r="R297" s="73">
        <v>1</v>
      </c>
      <c r="S297" s="73">
        <v>0</v>
      </c>
      <c r="T297" s="73">
        <v>0</v>
      </c>
      <c r="U297" s="131">
        <f t="shared" si="87"/>
        <v>6</v>
      </c>
      <c r="V297" s="75">
        <v>6</v>
      </c>
      <c r="W297" s="73">
        <v>2</v>
      </c>
      <c r="X297" s="73">
        <v>1</v>
      </c>
      <c r="Y297" s="73">
        <v>0</v>
      </c>
      <c r="Z297" s="73">
        <v>5</v>
      </c>
      <c r="AA297" s="73">
        <v>3</v>
      </c>
      <c r="AB297" s="73">
        <v>7</v>
      </c>
      <c r="AC297" s="73">
        <v>2</v>
      </c>
      <c r="AD297" s="73">
        <v>6</v>
      </c>
      <c r="AE297" s="73">
        <v>2</v>
      </c>
      <c r="AF297" s="73">
        <v>11</v>
      </c>
      <c r="AG297" s="73">
        <v>4</v>
      </c>
      <c r="AH297" s="132">
        <f t="shared" si="88"/>
        <v>36</v>
      </c>
      <c r="AI297" s="131">
        <f t="shared" si="89"/>
        <v>13</v>
      </c>
      <c r="AJ297" s="75">
        <v>0</v>
      </c>
      <c r="AK297" s="73">
        <v>0</v>
      </c>
      <c r="AL297" s="73">
        <v>0</v>
      </c>
      <c r="AM297" s="74">
        <v>0</v>
      </c>
      <c r="AN297" s="76"/>
    </row>
    <row r="298" spans="1:40" ht="17.100000000000001" customHeight="1">
      <c r="A298" s="168" t="s">
        <v>157</v>
      </c>
      <c r="B298" s="168" t="s">
        <v>158</v>
      </c>
      <c r="C298" s="168" t="s">
        <v>158</v>
      </c>
      <c r="D298" s="168" t="s">
        <v>4</v>
      </c>
      <c r="E298" s="168" t="s">
        <v>4930</v>
      </c>
      <c r="F298" s="71">
        <v>3014</v>
      </c>
      <c r="G298" s="50" t="s">
        <v>4931</v>
      </c>
      <c r="H298" s="72">
        <v>13249</v>
      </c>
      <c r="I298" s="52">
        <v>23056</v>
      </c>
      <c r="J298" s="53" t="s">
        <v>1314</v>
      </c>
      <c r="K298" s="53" t="s">
        <v>1315</v>
      </c>
      <c r="L298" s="54" t="s">
        <v>1316</v>
      </c>
      <c r="M298" s="338">
        <v>1</v>
      </c>
      <c r="N298" s="73">
        <v>1</v>
      </c>
      <c r="O298" s="73">
        <v>1</v>
      </c>
      <c r="P298" s="73">
        <v>1</v>
      </c>
      <c r="Q298" s="73">
        <v>1</v>
      </c>
      <c r="R298" s="73">
        <v>1</v>
      </c>
      <c r="S298" s="73">
        <v>1</v>
      </c>
      <c r="T298" s="73">
        <v>0</v>
      </c>
      <c r="U298" s="131">
        <f t="shared" si="87"/>
        <v>7</v>
      </c>
      <c r="V298" s="75">
        <v>6</v>
      </c>
      <c r="W298" s="73">
        <v>3</v>
      </c>
      <c r="X298" s="73">
        <v>5</v>
      </c>
      <c r="Y298" s="73">
        <v>4</v>
      </c>
      <c r="Z298" s="73">
        <v>8</v>
      </c>
      <c r="AA298" s="73">
        <v>3</v>
      </c>
      <c r="AB298" s="73">
        <v>8</v>
      </c>
      <c r="AC298" s="73">
        <v>5</v>
      </c>
      <c r="AD298" s="73">
        <v>10</v>
      </c>
      <c r="AE298" s="73">
        <v>6</v>
      </c>
      <c r="AF298" s="73">
        <v>13</v>
      </c>
      <c r="AG298" s="73">
        <v>9</v>
      </c>
      <c r="AH298" s="132">
        <f t="shared" si="88"/>
        <v>50</v>
      </c>
      <c r="AI298" s="131">
        <f t="shared" si="89"/>
        <v>30</v>
      </c>
      <c r="AJ298" s="75">
        <v>2</v>
      </c>
      <c r="AK298" s="73">
        <v>0</v>
      </c>
      <c r="AL298" s="73">
        <v>0</v>
      </c>
      <c r="AM298" s="74">
        <v>0</v>
      </c>
      <c r="AN298" s="76"/>
    </row>
    <row r="299" spans="1:40" ht="17.100000000000001" customHeight="1">
      <c r="A299" s="168" t="s">
        <v>157</v>
      </c>
      <c r="B299" s="168" t="s">
        <v>158</v>
      </c>
      <c r="C299" s="168" t="s">
        <v>158</v>
      </c>
      <c r="D299" s="168" t="s">
        <v>4</v>
      </c>
      <c r="E299" s="168" t="s">
        <v>4932</v>
      </c>
      <c r="F299" s="71">
        <v>11293</v>
      </c>
      <c r="G299" s="50" t="s">
        <v>2419</v>
      </c>
      <c r="H299" s="72">
        <v>13869</v>
      </c>
      <c r="I299" s="52">
        <v>23012</v>
      </c>
      <c r="J299" s="53" t="s">
        <v>1327</v>
      </c>
      <c r="K299" s="53" t="s">
        <v>1328</v>
      </c>
      <c r="L299" s="54" t="s">
        <v>1329</v>
      </c>
      <c r="M299" s="338">
        <v>1</v>
      </c>
      <c r="N299" s="73">
        <v>1</v>
      </c>
      <c r="O299" s="73">
        <v>1</v>
      </c>
      <c r="P299" s="73">
        <v>1</v>
      </c>
      <c r="Q299" s="73">
        <v>1</v>
      </c>
      <c r="R299" s="73">
        <v>1</v>
      </c>
      <c r="S299" s="73">
        <v>1</v>
      </c>
      <c r="T299" s="73">
        <v>0</v>
      </c>
      <c r="U299" s="131">
        <f t="shared" si="87"/>
        <v>7</v>
      </c>
      <c r="V299" s="75">
        <v>7</v>
      </c>
      <c r="W299" s="73">
        <v>3</v>
      </c>
      <c r="X299" s="73">
        <v>5</v>
      </c>
      <c r="Y299" s="73">
        <v>2</v>
      </c>
      <c r="Z299" s="73">
        <v>3</v>
      </c>
      <c r="AA299" s="73">
        <v>0</v>
      </c>
      <c r="AB299" s="73">
        <v>3</v>
      </c>
      <c r="AC299" s="73">
        <v>0</v>
      </c>
      <c r="AD299" s="73">
        <v>8</v>
      </c>
      <c r="AE299" s="73">
        <v>3</v>
      </c>
      <c r="AF299" s="73">
        <v>8</v>
      </c>
      <c r="AG299" s="73">
        <v>5</v>
      </c>
      <c r="AH299" s="132">
        <f t="shared" si="88"/>
        <v>34</v>
      </c>
      <c r="AI299" s="131">
        <f t="shared" si="89"/>
        <v>13</v>
      </c>
      <c r="AJ299" s="75">
        <v>6</v>
      </c>
      <c r="AK299" s="73">
        <v>1</v>
      </c>
      <c r="AL299" s="73">
        <v>0</v>
      </c>
      <c r="AM299" s="74">
        <v>0</v>
      </c>
      <c r="AN299" s="76"/>
    </row>
    <row r="300" spans="1:40" ht="17.100000000000001" customHeight="1">
      <c r="A300" s="168" t="s">
        <v>157</v>
      </c>
      <c r="B300" s="168" t="s">
        <v>158</v>
      </c>
      <c r="C300" s="168" t="s">
        <v>158</v>
      </c>
      <c r="D300" s="168" t="s">
        <v>4</v>
      </c>
      <c r="E300" s="168" t="s">
        <v>4933</v>
      </c>
      <c r="F300" s="71">
        <v>15797</v>
      </c>
      <c r="G300" s="50" t="s">
        <v>1317</v>
      </c>
      <c r="H300" s="72">
        <v>14077</v>
      </c>
      <c r="I300" s="52">
        <v>23058</v>
      </c>
      <c r="J300" s="53" t="s">
        <v>1318</v>
      </c>
      <c r="K300" s="53" t="s">
        <v>1319</v>
      </c>
      <c r="L300" s="54" t="s">
        <v>1320</v>
      </c>
      <c r="M300" s="338">
        <v>1</v>
      </c>
      <c r="N300" s="73">
        <v>1</v>
      </c>
      <c r="O300" s="73">
        <v>1</v>
      </c>
      <c r="P300" s="73">
        <v>1</v>
      </c>
      <c r="Q300" s="73">
        <v>1</v>
      </c>
      <c r="R300" s="73">
        <v>1</v>
      </c>
      <c r="S300" s="73">
        <v>1</v>
      </c>
      <c r="T300" s="73">
        <v>0</v>
      </c>
      <c r="U300" s="131">
        <f t="shared" si="87"/>
        <v>7</v>
      </c>
      <c r="V300" s="75">
        <v>3</v>
      </c>
      <c r="W300" s="73">
        <v>1</v>
      </c>
      <c r="X300" s="73">
        <v>5</v>
      </c>
      <c r="Y300" s="73">
        <v>1</v>
      </c>
      <c r="Z300" s="73">
        <v>7</v>
      </c>
      <c r="AA300" s="73">
        <v>5</v>
      </c>
      <c r="AB300" s="73">
        <v>8</v>
      </c>
      <c r="AC300" s="73">
        <v>5</v>
      </c>
      <c r="AD300" s="73">
        <v>10</v>
      </c>
      <c r="AE300" s="73">
        <v>3</v>
      </c>
      <c r="AF300" s="73">
        <v>4</v>
      </c>
      <c r="AG300" s="73">
        <v>2</v>
      </c>
      <c r="AH300" s="132">
        <f t="shared" si="88"/>
        <v>37</v>
      </c>
      <c r="AI300" s="131">
        <f t="shared" si="89"/>
        <v>17</v>
      </c>
      <c r="AJ300" s="75">
        <v>6</v>
      </c>
      <c r="AK300" s="73">
        <v>2</v>
      </c>
      <c r="AL300" s="73">
        <v>0</v>
      </c>
      <c r="AM300" s="74">
        <v>0</v>
      </c>
      <c r="AN300" s="76"/>
    </row>
    <row r="301" spans="1:40" ht="17.100000000000001" customHeight="1">
      <c r="A301" s="168" t="s">
        <v>157</v>
      </c>
      <c r="B301" s="168" t="s">
        <v>158</v>
      </c>
      <c r="C301" s="168" t="s">
        <v>158</v>
      </c>
      <c r="D301" s="168" t="s">
        <v>4</v>
      </c>
      <c r="E301" s="168" t="s">
        <v>4934</v>
      </c>
      <c r="F301" s="71">
        <v>2741</v>
      </c>
      <c r="G301" s="50" t="s">
        <v>2420</v>
      </c>
      <c r="H301" s="72">
        <v>12424</v>
      </c>
      <c r="I301" s="52">
        <v>23015</v>
      </c>
      <c r="J301" s="53" t="s">
        <v>4935</v>
      </c>
      <c r="K301" s="53" t="s">
        <v>1323</v>
      </c>
      <c r="L301" s="54" t="s">
        <v>1324</v>
      </c>
      <c r="M301" s="338">
        <v>1</v>
      </c>
      <c r="N301" s="73">
        <v>1</v>
      </c>
      <c r="O301" s="73">
        <v>1</v>
      </c>
      <c r="P301" s="73">
        <v>1</v>
      </c>
      <c r="Q301" s="73">
        <v>1</v>
      </c>
      <c r="R301" s="73">
        <v>1</v>
      </c>
      <c r="S301" s="73">
        <v>0</v>
      </c>
      <c r="T301" s="73">
        <v>0</v>
      </c>
      <c r="U301" s="131">
        <f t="shared" si="87"/>
        <v>6</v>
      </c>
      <c r="V301" s="75">
        <v>4</v>
      </c>
      <c r="W301" s="73">
        <v>3</v>
      </c>
      <c r="X301" s="73">
        <v>9</v>
      </c>
      <c r="Y301" s="73">
        <v>5</v>
      </c>
      <c r="Z301" s="73">
        <v>7</v>
      </c>
      <c r="AA301" s="73">
        <v>2</v>
      </c>
      <c r="AB301" s="73">
        <v>6</v>
      </c>
      <c r="AC301" s="73">
        <v>2</v>
      </c>
      <c r="AD301" s="73">
        <v>6</v>
      </c>
      <c r="AE301" s="73">
        <v>5</v>
      </c>
      <c r="AF301" s="73">
        <v>11</v>
      </c>
      <c r="AG301" s="73">
        <v>5</v>
      </c>
      <c r="AH301" s="132">
        <f t="shared" si="88"/>
        <v>43</v>
      </c>
      <c r="AI301" s="131">
        <f t="shared" si="89"/>
        <v>22</v>
      </c>
      <c r="AJ301" s="75">
        <v>0</v>
      </c>
      <c r="AK301" s="73">
        <v>0</v>
      </c>
      <c r="AL301" s="73">
        <v>0</v>
      </c>
      <c r="AM301" s="74">
        <v>0</v>
      </c>
      <c r="AN301" s="76"/>
    </row>
    <row r="302" spans="1:40" ht="17.100000000000001" customHeight="1">
      <c r="A302" s="168" t="s">
        <v>157</v>
      </c>
      <c r="B302" s="168" t="s">
        <v>158</v>
      </c>
      <c r="C302" s="168" t="s">
        <v>158</v>
      </c>
      <c r="D302" s="168" t="s">
        <v>4</v>
      </c>
      <c r="E302" s="168" t="s">
        <v>4936</v>
      </c>
      <c r="F302" s="71">
        <v>3439</v>
      </c>
      <c r="G302" s="50" t="s">
        <v>2421</v>
      </c>
      <c r="H302" s="140">
        <v>7423</v>
      </c>
      <c r="I302" s="52">
        <v>23034</v>
      </c>
      <c r="J302" s="53" t="s">
        <v>1312</v>
      </c>
      <c r="K302" s="53" t="s">
        <v>1345</v>
      </c>
      <c r="L302" s="54" t="s">
        <v>1291</v>
      </c>
      <c r="M302" s="338">
        <v>1</v>
      </c>
      <c r="N302" s="78">
        <v>1</v>
      </c>
      <c r="O302" s="78">
        <v>2</v>
      </c>
      <c r="P302" s="78">
        <v>1</v>
      </c>
      <c r="Q302" s="78">
        <v>2</v>
      </c>
      <c r="R302" s="78">
        <v>2</v>
      </c>
      <c r="S302" s="78">
        <v>1</v>
      </c>
      <c r="T302" s="78">
        <v>0</v>
      </c>
      <c r="U302" s="131">
        <f t="shared" si="87"/>
        <v>10</v>
      </c>
      <c r="V302" s="79">
        <v>19</v>
      </c>
      <c r="W302" s="78">
        <v>6</v>
      </c>
      <c r="X302" s="78">
        <v>15</v>
      </c>
      <c r="Y302" s="78">
        <v>5</v>
      </c>
      <c r="Z302" s="78">
        <v>23</v>
      </c>
      <c r="AA302" s="78">
        <v>11</v>
      </c>
      <c r="AB302" s="78">
        <v>18</v>
      </c>
      <c r="AC302" s="78">
        <v>9</v>
      </c>
      <c r="AD302" s="78">
        <v>24</v>
      </c>
      <c r="AE302" s="78">
        <v>9</v>
      </c>
      <c r="AF302" s="78">
        <v>22</v>
      </c>
      <c r="AG302" s="78">
        <v>12</v>
      </c>
      <c r="AH302" s="132">
        <f t="shared" si="88"/>
        <v>121</v>
      </c>
      <c r="AI302" s="131">
        <f t="shared" si="89"/>
        <v>52</v>
      </c>
      <c r="AJ302" s="314">
        <v>4</v>
      </c>
      <c r="AK302" s="78">
        <v>3</v>
      </c>
      <c r="AL302" s="78">
        <v>0</v>
      </c>
      <c r="AM302" s="80">
        <v>0</v>
      </c>
      <c r="AN302" s="731"/>
    </row>
    <row r="303" spans="1:40" ht="17.100000000000001" customHeight="1">
      <c r="A303" s="168" t="s">
        <v>157</v>
      </c>
      <c r="B303" s="168" t="s">
        <v>158</v>
      </c>
      <c r="C303" s="168" t="s">
        <v>158</v>
      </c>
      <c r="D303" s="168" t="s">
        <v>4</v>
      </c>
      <c r="E303" s="168" t="s">
        <v>4937</v>
      </c>
      <c r="F303" s="71">
        <v>15797</v>
      </c>
      <c r="G303" s="50" t="s">
        <v>1349</v>
      </c>
      <c r="H303" s="77">
        <v>11271</v>
      </c>
      <c r="I303" s="52">
        <v>23007</v>
      </c>
      <c r="J303" s="53" t="s">
        <v>1339</v>
      </c>
      <c r="K303" s="53" t="s">
        <v>1340</v>
      </c>
      <c r="L303" s="54" t="s">
        <v>1341</v>
      </c>
      <c r="M303" s="338">
        <v>1</v>
      </c>
      <c r="N303" s="78">
        <v>0</v>
      </c>
      <c r="O303" s="78">
        <v>0</v>
      </c>
      <c r="P303" s="78">
        <v>1</v>
      </c>
      <c r="Q303" s="78">
        <v>1</v>
      </c>
      <c r="R303" s="78">
        <v>0</v>
      </c>
      <c r="S303" s="78">
        <v>0</v>
      </c>
      <c r="T303" s="78">
        <v>0</v>
      </c>
      <c r="U303" s="131">
        <f t="shared" si="87"/>
        <v>3</v>
      </c>
      <c r="V303" s="79">
        <v>2</v>
      </c>
      <c r="W303" s="78">
        <v>0</v>
      </c>
      <c r="X303" s="78">
        <v>0</v>
      </c>
      <c r="Y303" s="78">
        <v>0</v>
      </c>
      <c r="Z303" s="78">
        <v>1</v>
      </c>
      <c r="AA303" s="78">
        <v>0</v>
      </c>
      <c r="AB303" s="78">
        <v>2</v>
      </c>
      <c r="AC303" s="78">
        <v>0</v>
      </c>
      <c r="AD303" s="78">
        <v>3</v>
      </c>
      <c r="AE303" s="78">
        <v>1</v>
      </c>
      <c r="AF303" s="78">
        <v>0</v>
      </c>
      <c r="AG303" s="78">
        <v>0</v>
      </c>
      <c r="AH303" s="132">
        <f t="shared" si="88"/>
        <v>8</v>
      </c>
      <c r="AI303" s="131">
        <f t="shared" si="89"/>
        <v>1</v>
      </c>
      <c r="AJ303" s="79">
        <v>0</v>
      </c>
      <c r="AK303" s="78">
        <v>0</v>
      </c>
      <c r="AL303" s="78">
        <v>0</v>
      </c>
      <c r="AM303" s="80">
        <v>0</v>
      </c>
      <c r="AN303" s="903" t="s">
        <v>4938</v>
      </c>
    </row>
    <row r="304" spans="1:40" ht="17.100000000000001" customHeight="1">
      <c r="A304" s="168" t="s">
        <v>157</v>
      </c>
      <c r="B304" s="168" t="s">
        <v>158</v>
      </c>
      <c r="C304" s="168" t="s">
        <v>158</v>
      </c>
      <c r="D304" s="168" t="s">
        <v>4</v>
      </c>
      <c r="E304" s="168" t="s">
        <v>4939</v>
      </c>
      <c r="F304" s="71">
        <v>10414</v>
      </c>
      <c r="G304" s="50" t="s">
        <v>1310</v>
      </c>
      <c r="H304" s="140">
        <v>14313</v>
      </c>
      <c r="I304" s="52">
        <v>23060</v>
      </c>
      <c r="J304" s="53" t="s">
        <v>1311</v>
      </c>
      <c r="K304" s="53" t="s">
        <v>1312</v>
      </c>
      <c r="L304" s="54" t="s">
        <v>1313</v>
      </c>
      <c r="M304" s="338">
        <v>0</v>
      </c>
      <c r="N304" s="78">
        <v>1</v>
      </c>
      <c r="O304" s="78">
        <v>1</v>
      </c>
      <c r="P304" s="78">
        <v>1</v>
      </c>
      <c r="Q304" s="78">
        <v>1</v>
      </c>
      <c r="R304" s="78">
        <v>1</v>
      </c>
      <c r="S304" s="78">
        <v>1</v>
      </c>
      <c r="T304" s="78">
        <v>0</v>
      </c>
      <c r="U304" s="131">
        <f t="shared" si="87"/>
        <v>6</v>
      </c>
      <c r="V304" s="79">
        <v>2</v>
      </c>
      <c r="W304" s="78">
        <v>2</v>
      </c>
      <c r="X304" s="78">
        <v>2</v>
      </c>
      <c r="Y304" s="78">
        <v>0</v>
      </c>
      <c r="Z304" s="78">
        <v>7</v>
      </c>
      <c r="AA304" s="78">
        <v>2</v>
      </c>
      <c r="AB304" s="78">
        <v>5</v>
      </c>
      <c r="AC304" s="78">
        <v>3</v>
      </c>
      <c r="AD304" s="78">
        <v>8</v>
      </c>
      <c r="AE304" s="78">
        <v>4</v>
      </c>
      <c r="AF304" s="78">
        <v>11</v>
      </c>
      <c r="AG304" s="78">
        <v>7</v>
      </c>
      <c r="AH304" s="132">
        <f t="shared" si="88"/>
        <v>35</v>
      </c>
      <c r="AI304" s="131">
        <f t="shared" si="89"/>
        <v>18</v>
      </c>
      <c r="AJ304" s="79">
        <v>1</v>
      </c>
      <c r="AK304" s="78">
        <v>0</v>
      </c>
      <c r="AL304" s="78">
        <v>0</v>
      </c>
      <c r="AM304" s="80">
        <v>0</v>
      </c>
      <c r="AN304" s="903" t="s">
        <v>4940</v>
      </c>
    </row>
    <row r="305" spans="1:40" ht="17.100000000000001" customHeight="1">
      <c r="A305" s="1625" t="s">
        <v>435</v>
      </c>
      <c r="B305" s="1626"/>
      <c r="C305" s="1066"/>
      <c r="D305" s="179">
        <f>COUNTA(D285:D304)</f>
        <v>20</v>
      </c>
      <c r="E305" s="283"/>
      <c r="F305" s="284"/>
      <c r="G305" s="181"/>
      <c r="H305" s="286"/>
      <c r="I305" s="287"/>
      <c r="J305" s="285"/>
      <c r="K305" s="285"/>
      <c r="L305" s="288"/>
      <c r="M305" s="330">
        <f>SUM(M285:M304)</f>
        <v>21</v>
      </c>
      <c r="N305" s="290">
        <f t="shared" ref="N305:AM305" si="90">SUM(N285:N304)</f>
        <v>21</v>
      </c>
      <c r="O305" s="290">
        <f t="shared" si="90"/>
        <v>23</v>
      </c>
      <c r="P305" s="290">
        <f t="shared" si="90"/>
        <v>26</v>
      </c>
      <c r="Q305" s="290">
        <f t="shared" si="90"/>
        <v>26</v>
      </c>
      <c r="R305" s="290">
        <f t="shared" si="90"/>
        <v>26</v>
      </c>
      <c r="S305" s="290">
        <f t="shared" si="90"/>
        <v>15</v>
      </c>
      <c r="T305" s="290">
        <f t="shared" si="90"/>
        <v>0</v>
      </c>
      <c r="U305" s="291">
        <f t="shared" si="90"/>
        <v>158</v>
      </c>
      <c r="V305" s="289">
        <f t="shared" si="90"/>
        <v>232</v>
      </c>
      <c r="W305" s="290">
        <f t="shared" si="90"/>
        <v>108</v>
      </c>
      <c r="X305" s="290">
        <f t="shared" si="90"/>
        <v>209</v>
      </c>
      <c r="Y305" s="290">
        <f t="shared" si="90"/>
        <v>104</v>
      </c>
      <c r="Z305" s="290">
        <f t="shared" si="90"/>
        <v>264</v>
      </c>
      <c r="AA305" s="290">
        <f t="shared" si="90"/>
        <v>129</v>
      </c>
      <c r="AB305" s="290">
        <f t="shared" si="90"/>
        <v>309</v>
      </c>
      <c r="AC305" s="290">
        <f t="shared" si="90"/>
        <v>142</v>
      </c>
      <c r="AD305" s="290">
        <f t="shared" si="90"/>
        <v>324</v>
      </c>
      <c r="AE305" s="290">
        <f t="shared" si="90"/>
        <v>151</v>
      </c>
      <c r="AF305" s="290">
        <f t="shared" si="90"/>
        <v>350</v>
      </c>
      <c r="AG305" s="290">
        <f t="shared" si="90"/>
        <v>171</v>
      </c>
      <c r="AH305" s="290">
        <f t="shared" si="90"/>
        <v>1688</v>
      </c>
      <c r="AI305" s="291">
        <f t="shared" si="90"/>
        <v>805</v>
      </c>
      <c r="AJ305" s="289">
        <f t="shared" si="90"/>
        <v>70</v>
      </c>
      <c r="AK305" s="290">
        <f t="shared" si="90"/>
        <v>28</v>
      </c>
      <c r="AL305" s="290">
        <f t="shared" si="90"/>
        <v>0</v>
      </c>
      <c r="AM305" s="291">
        <f t="shared" si="90"/>
        <v>0</v>
      </c>
      <c r="AN305" s="331"/>
    </row>
    <row r="306" spans="1:40" ht="17.100000000000001" customHeight="1">
      <c r="A306" s="1627" t="s">
        <v>437</v>
      </c>
      <c r="B306" s="1628"/>
      <c r="C306" s="1628"/>
      <c r="D306" s="1629"/>
      <c r="E306" s="332">
        <f>D305</f>
        <v>20</v>
      </c>
      <c r="F306" s="302"/>
      <c r="G306" s="222"/>
      <c r="H306" s="334"/>
      <c r="I306" s="305"/>
      <c r="J306" s="303"/>
      <c r="K306" s="303"/>
      <c r="L306" s="306"/>
      <c r="M306" s="335">
        <f>M305</f>
        <v>21</v>
      </c>
      <c r="N306" s="310">
        <f>N305</f>
        <v>21</v>
      </c>
      <c r="O306" s="310">
        <f t="shared" ref="O306:T306" si="91">O305</f>
        <v>23</v>
      </c>
      <c r="P306" s="310">
        <f t="shared" si="91"/>
        <v>26</v>
      </c>
      <c r="Q306" s="310">
        <f t="shared" si="91"/>
        <v>26</v>
      </c>
      <c r="R306" s="310">
        <f t="shared" si="91"/>
        <v>26</v>
      </c>
      <c r="S306" s="310">
        <f t="shared" si="91"/>
        <v>15</v>
      </c>
      <c r="T306" s="310">
        <f t="shared" si="91"/>
        <v>0</v>
      </c>
      <c r="U306" s="309">
        <f>U305</f>
        <v>158</v>
      </c>
      <c r="V306" s="336">
        <f>V305</f>
        <v>232</v>
      </c>
      <c r="W306" s="310">
        <f>W305</f>
        <v>108</v>
      </c>
      <c r="X306" s="310">
        <f t="shared" ref="X306:AH306" si="92">X305</f>
        <v>209</v>
      </c>
      <c r="Y306" s="310">
        <f t="shared" si="92"/>
        <v>104</v>
      </c>
      <c r="Z306" s="310">
        <f t="shared" si="92"/>
        <v>264</v>
      </c>
      <c r="AA306" s="310">
        <f t="shared" si="92"/>
        <v>129</v>
      </c>
      <c r="AB306" s="310">
        <f t="shared" si="92"/>
        <v>309</v>
      </c>
      <c r="AC306" s="310">
        <f t="shared" si="92"/>
        <v>142</v>
      </c>
      <c r="AD306" s="310">
        <f t="shared" si="92"/>
        <v>324</v>
      </c>
      <c r="AE306" s="310">
        <f t="shared" si="92"/>
        <v>151</v>
      </c>
      <c r="AF306" s="310">
        <f t="shared" si="92"/>
        <v>350</v>
      </c>
      <c r="AG306" s="310">
        <f t="shared" si="92"/>
        <v>171</v>
      </c>
      <c r="AH306" s="310">
        <f t="shared" si="92"/>
        <v>1688</v>
      </c>
      <c r="AI306" s="309">
        <f>AI305</f>
        <v>805</v>
      </c>
      <c r="AJ306" s="336">
        <f>AJ305</f>
        <v>70</v>
      </c>
      <c r="AK306" s="310">
        <f>AK305</f>
        <v>28</v>
      </c>
      <c r="AL306" s="310">
        <f>AL305</f>
        <v>0</v>
      </c>
      <c r="AM306" s="309">
        <f>AM305</f>
        <v>0</v>
      </c>
      <c r="AN306" s="337"/>
    </row>
    <row r="307" spans="1:40" ht="20.100000000000001" customHeight="1">
      <c r="A307" s="1571" t="s">
        <v>402</v>
      </c>
      <c r="B307" s="1572"/>
      <c r="C307" s="1572"/>
      <c r="D307" s="1572"/>
      <c r="E307" s="1572"/>
      <c r="F307" s="365" t="s">
        <v>4941</v>
      </c>
      <c r="G307" s="176"/>
      <c r="H307" s="366"/>
      <c r="I307" s="367"/>
      <c r="J307" s="368"/>
      <c r="K307" s="368"/>
      <c r="L307" s="369"/>
      <c r="M307" s="370">
        <f t="shared" ref="M307:AM307" si="93">M30+M41+M54+M75+M120+M150+M191+M228+M284+M306</f>
        <v>931</v>
      </c>
      <c r="N307" s="371">
        <f t="shared" si="93"/>
        <v>956</v>
      </c>
      <c r="O307" s="371">
        <f t="shared" si="93"/>
        <v>999</v>
      </c>
      <c r="P307" s="371">
        <f t="shared" si="93"/>
        <v>1117</v>
      </c>
      <c r="Q307" s="371">
        <f t="shared" si="93"/>
        <v>1173</v>
      </c>
      <c r="R307" s="371">
        <f t="shared" si="93"/>
        <v>1149</v>
      </c>
      <c r="S307" s="371">
        <f t="shared" si="93"/>
        <v>572</v>
      </c>
      <c r="T307" s="371">
        <f t="shared" si="93"/>
        <v>14</v>
      </c>
      <c r="U307" s="372">
        <f t="shared" si="93"/>
        <v>6911</v>
      </c>
      <c r="V307" s="370">
        <f t="shared" si="93"/>
        <v>19647</v>
      </c>
      <c r="W307" s="371">
        <f t="shared" si="93"/>
        <v>9502</v>
      </c>
      <c r="X307" s="371">
        <f t="shared" si="93"/>
        <v>20617</v>
      </c>
      <c r="Y307" s="371">
        <f t="shared" si="93"/>
        <v>10077</v>
      </c>
      <c r="Z307" s="371">
        <f t="shared" si="93"/>
        <v>21781</v>
      </c>
      <c r="AA307" s="371">
        <f t="shared" si="93"/>
        <v>10503</v>
      </c>
      <c r="AB307" s="371">
        <f t="shared" si="93"/>
        <v>24668</v>
      </c>
      <c r="AC307" s="371">
        <f t="shared" si="93"/>
        <v>12249</v>
      </c>
      <c r="AD307" s="371">
        <f t="shared" si="93"/>
        <v>26369</v>
      </c>
      <c r="AE307" s="371">
        <f t="shared" si="93"/>
        <v>12875</v>
      </c>
      <c r="AF307" s="371">
        <f t="shared" si="93"/>
        <v>25754</v>
      </c>
      <c r="AG307" s="371">
        <f t="shared" si="93"/>
        <v>12593</v>
      </c>
      <c r="AH307" s="373">
        <f t="shared" si="93"/>
        <v>138836</v>
      </c>
      <c r="AI307" s="374">
        <f t="shared" si="93"/>
        <v>67799</v>
      </c>
      <c r="AJ307" s="370">
        <f t="shared" si="93"/>
        <v>2798</v>
      </c>
      <c r="AK307" s="371">
        <f t="shared" si="93"/>
        <v>962</v>
      </c>
      <c r="AL307" s="371">
        <f t="shared" si="93"/>
        <v>270</v>
      </c>
      <c r="AM307" s="375">
        <f t="shared" si="93"/>
        <v>119</v>
      </c>
      <c r="AN307" s="376"/>
    </row>
    <row r="308" spans="1:40" ht="16.5" customHeight="1">
      <c r="E308" s="480"/>
      <c r="U308" s="728"/>
      <c r="AH308" s="729"/>
    </row>
    <row r="309" spans="1:40" ht="16.5" customHeight="1">
      <c r="A309" s="1567" t="s">
        <v>1350</v>
      </c>
      <c r="B309" s="1567"/>
      <c r="C309" s="820"/>
      <c r="D309" s="377" t="s">
        <v>4274</v>
      </c>
      <c r="E309" s="248"/>
      <c r="F309" s="248"/>
      <c r="G309" s="248"/>
      <c r="H309" s="248"/>
      <c r="I309" s="248"/>
      <c r="J309" s="248"/>
      <c r="K309" s="248"/>
      <c r="L309" s="378"/>
      <c r="M309" s="254">
        <f t="shared" ref="M309:AM309" si="94">M30+M41+M54+M75</f>
        <v>192</v>
      </c>
      <c r="N309" s="250">
        <f t="shared" si="94"/>
        <v>194</v>
      </c>
      <c r="O309" s="250">
        <f t="shared" si="94"/>
        <v>201</v>
      </c>
      <c r="P309" s="250">
        <f t="shared" si="94"/>
        <v>221</v>
      </c>
      <c r="Q309" s="250">
        <f t="shared" si="94"/>
        <v>228</v>
      </c>
      <c r="R309" s="250">
        <f t="shared" si="94"/>
        <v>220</v>
      </c>
      <c r="S309" s="250">
        <f t="shared" si="94"/>
        <v>131</v>
      </c>
      <c r="T309" s="250">
        <f t="shared" si="94"/>
        <v>2</v>
      </c>
      <c r="U309" s="379">
        <f t="shared" si="94"/>
        <v>1389</v>
      </c>
      <c r="V309" s="250">
        <f t="shared" si="94"/>
        <v>3979</v>
      </c>
      <c r="W309" s="250">
        <f t="shared" si="94"/>
        <v>1930</v>
      </c>
      <c r="X309" s="250">
        <f t="shared" si="94"/>
        <v>4246</v>
      </c>
      <c r="Y309" s="250">
        <f t="shared" si="94"/>
        <v>2011</v>
      </c>
      <c r="Z309" s="250">
        <f t="shared" si="94"/>
        <v>4397</v>
      </c>
      <c r="AA309" s="250">
        <f t="shared" si="94"/>
        <v>2133</v>
      </c>
      <c r="AB309" s="250">
        <f t="shared" si="94"/>
        <v>4857</v>
      </c>
      <c r="AC309" s="250">
        <f t="shared" si="94"/>
        <v>2446</v>
      </c>
      <c r="AD309" s="250">
        <f t="shared" si="94"/>
        <v>5162</v>
      </c>
      <c r="AE309" s="250">
        <f t="shared" si="94"/>
        <v>2447</v>
      </c>
      <c r="AF309" s="250">
        <f t="shared" si="94"/>
        <v>4912</v>
      </c>
      <c r="AG309" s="250">
        <f t="shared" si="94"/>
        <v>2419</v>
      </c>
      <c r="AH309" s="380">
        <f t="shared" si="94"/>
        <v>27553</v>
      </c>
      <c r="AI309" s="381">
        <f t="shared" si="94"/>
        <v>13386</v>
      </c>
      <c r="AJ309" s="254">
        <f t="shared" si="94"/>
        <v>669</v>
      </c>
      <c r="AK309" s="251">
        <f t="shared" si="94"/>
        <v>225</v>
      </c>
      <c r="AL309" s="251">
        <f t="shared" si="94"/>
        <v>37</v>
      </c>
      <c r="AM309" s="255">
        <f t="shared" si="94"/>
        <v>19</v>
      </c>
      <c r="AN309" s="256"/>
    </row>
    <row r="310" spans="1:40">
      <c r="A310" s="1567" t="s">
        <v>1351</v>
      </c>
      <c r="B310" s="1567"/>
      <c r="C310" s="820"/>
      <c r="D310" s="377" t="s">
        <v>1360</v>
      </c>
      <c r="E310" s="248"/>
      <c r="F310" s="248"/>
      <c r="G310" s="248"/>
      <c r="H310" s="248"/>
      <c r="I310" s="248"/>
      <c r="J310" s="248"/>
      <c r="K310" s="248"/>
      <c r="L310" s="378"/>
      <c r="M310" s="254">
        <f t="shared" ref="M310:AM310" si="95">M120+M150</f>
        <v>199</v>
      </c>
      <c r="N310" s="250">
        <f t="shared" si="95"/>
        <v>210</v>
      </c>
      <c r="O310" s="250">
        <f t="shared" si="95"/>
        <v>213</v>
      </c>
      <c r="P310" s="250">
        <f t="shared" si="95"/>
        <v>240</v>
      </c>
      <c r="Q310" s="250">
        <f t="shared" si="95"/>
        <v>250</v>
      </c>
      <c r="R310" s="250">
        <f t="shared" si="95"/>
        <v>249</v>
      </c>
      <c r="S310" s="250">
        <f t="shared" si="95"/>
        <v>134</v>
      </c>
      <c r="T310" s="250">
        <f t="shared" si="95"/>
        <v>1</v>
      </c>
      <c r="U310" s="379">
        <f t="shared" si="95"/>
        <v>1496</v>
      </c>
      <c r="V310" s="250">
        <f t="shared" si="95"/>
        <v>3993</v>
      </c>
      <c r="W310" s="250">
        <f t="shared" si="95"/>
        <v>1914</v>
      </c>
      <c r="X310" s="250">
        <f t="shared" si="95"/>
        <v>4200</v>
      </c>
      <c r="Y310" s="250">
        <f t="shared" si="95"/>
        <v>2062</v>
      </c>
      <c r="Z310" s="250">
        <f t="shared" si="95"/>
        <v>4394</v>
      </c>
      <c r="AA310" s="250">
        <f t="shared" si="95"/>
        <v>2103</v>
      </c>
      <c r="AB310" s="250">
        <f t="shared" si="95"/>
        <v>5100</v>
      </c>
      <c r="AC310" s="250">
        <f t="shared" si="95"/>
        <v>2491</v>
      </c>
      <c r="AD310" s="250">
        <f t="shared" si="95"/>
        <v>5330</v>
      </c>
      <c r="AE310" s="250">
        <f t="shared" si="95"/>
        <v>2668</v>
      </c>
      <c r="AF310" s="250">
        <f t="shared" si="95"/>
        <v>5349</v>
      </c>
      <c r="AG310" s="250">
        <f t="shared" si="95"/>
        <v>2631</v>
      </c>
      <c r="AH310" s="380">
        <f t="shared" si="95"/>
        <v>28366</v>
      </c>
      <c r="AI310" s="381">
        <f t="shared" si="95"/>
        <v>13869</v>
      </c>
      <c r="AJ310" s="254">
        <f t="shared" si="95"/>
        <v>628</v>
      </c>
      <c r="AK310" s="251">
        <f t="shared" si="95"/>
        <v>209</v>
      </c>
      <c r="AL310" s="251">
        <f t="shared" si="95"/>
        <v>17</v>
      </c>
      <c r="AM310" s="255">
        <f t="shared" si="95"/>
        <v>7</v>
      </c>
      <c r="AN310" s="256"/>
    </row>
    <row r="311" spans="1:40">
      <c r="A311" s="1567" t="s">
        <v>1352</v>
      </c>
      <c r="B311" s="1567"/>
      <c r="C311" s="820"/>
      <c r="D311" s="247">
        <f>E191+E228</f>
        <v>73</v>
      </c>
      <c r="E311" s="248"/>
      <c r="F311" s="248"/>
      <c r="G311" s="248"/>
      <c r="H311" s="248"/>
      <c r="I311" s="248"/>
      <c r="J311" s="248"/>
      <c r="K311" s="248"/>
      <c r="L311" s="378"/>
      <c r="M311" s="254">
        <f t="shared" ref="M311:AM311" si="96">M191+M228</f>
        <v>272</v>
      </c>
      <c r="N311" s="250">
        <f t="shared" si="96"/>
        <v>284</v>
      </c>
      <c r="O311" s="250">
        <f t="shared" si="96"/>
        <v>303</v>
      </c>
      <c r="P311" s="250">
        <f t="shared" si="96"/>
        <v>342</v>
      </c>
      <c r="Q311" s="250">
        <f t="shared" si="96"/>
        <v>373</v>
      </c>
      <c r="R311" s="250">
        <f t="shared" si="96"/>
        <v>367</v>
      </c>
      <c r="S311" s="250">
        <f t="shared" si="96"/>
        <v>162</v>
      </c>
      <c r="T311" s="250">
        <f t="shared" si="96"/>
        <v>11</v>
      </c>
      <c r="U311" s="379">
        <f t="shared" si="96"/>
        <v>2114</v>
      </c>
      <c r="V311" s="250">
        <f t="shared" si="96"/>
        <v>5983</v>
      </c>
      <c r="W311" s="250">
        <f t="shared" si="96"/>
        <v>2902</v>
      </c>
      <c r="X311" s="250">
        <f t="shared" si="96"/>
        <v>6452</v>
      </c>
      <c r="Y311" s="250">
        <f t="shared" si="96"/>
        <v>3174</v>
      </c>
      <c r="Z311" s="250">
        <f t="shared" si="96"/>
        <v>6885</v>
      </c>
      <c r="AA311" s="250">
        <f t="shared" si="96"/>
        <v>3352</v>
      </c>
      <c r="AB311" s="250">
        <f t="shared" si="96"/>
        <v>7926</v>
      </c>
      <c r="AC311" s="250">
        <f t="shared" si="96"/>
        <v>3944</v>
      </c>
      <c r="AD311" s="250">
        <f t="shared" si="96"/>
        <v>8700</v>
      </c>
      <c r="AE311" s="250">
        <f t="shared" si="96"/>
        <v>4243</v>
      </c>
      <c r="AF311" s="250">
        <f t="shared" si="96"/>
        <v>8669</v>
      </c>
      <c r="AG311" s="250">
        <f t="shared" si="96"/>
        <v>4202</v>
      </c>
      <c r="AH311" s="380">
        <f t="shared" si="96"/>
        <v>44615</v>
      </c>
      <c r="AI311" s="381">
        <f t="shared" si="96"/>
        <v>21817</v>
      </c>
      <c r="AJ311" s="254">
        <f t="shared" si="96"/>
        <v>786</v>
      </c>
      <c r="AK311" s="251">
        <f t="shared" si="96"/>
        <v>290</v>
      </c>
      <c r="AL311" s="251">
        <f t="shared" si="96"/>
        <v>216</v>
      </c>
      <c r="AM311" s="255">
        <f t="shared" si="96"/>
        <v>93</v>
      </c>
      <c r="AN311" s="256"/>
    </row>
    <row r="312" spans="1:40">
      <c r="A312" s="1567" t="s">
        <v>1353</v>
      </c>
      <c r="B312" s="1567"/>
      <c r="C312" s="820"/>
      <c r="D312" s="247">
        <f>E284</f>
        <v>54</v>
      </c>
      <c r="E312" s="248"/>
      <c r="F312" s="248"/>
      <c r="G312" s="248"/>
      <c r="H312" s="248"/>
      <c r="I312" s="248"/>
      <c r="J312" s="248"/>
      <c r="K312" s="248"/>
      <c r="L312" s="378"/>
      <c r="M312" s="254">
        <f>M284</f>
        <v>247</v>
      </c>
      <c r="N312" s="250">
        <f>N284</f>
        <v>247</v>
      </c>
      <c r="O312" s="250">
        <f t="shared" ref="O312:T312" si="97">O284</f>
        <v>259</v>
      </c>
      <c r="P312" s="250">
        <f t="shared" si="97"/>
        <v>288</v>
      </c>
      <c r="Q312" s="250">
        <f t="shared" si="97"/>
        <v>296</v>
      </c>
      <c r="R312" s="250">
        <f t="shared" si="97"/>
        <v>287</v>
      </c>
      <c r="S312" s="250">
        <f t="shared" si="97"/>
        <v>130</v>
      </c>
      <c r="T312" s="250">
        <f t="shared" si="97"/>
        <v>0</v>
      </c>
      <c r="U312" s="379">
        <f>U284</f>
        <v>1754</v>
      </c>
      <c r="V312" s="250">
        <f>V284</f>
        <v>5460</v>
      </c>
      <c r="W312" s="250">
        <f>W284</f>
        <v>2648</v>
      </c>
      <c r="X312" s="250">
        <f t="shared" ref="X312:AG312" si="98">X284</f>
        <v>5510</v>
      </c>
      <c r="Y312" s="250">
        <f t="shared" si="98"/>
        <v>2726</v>
      </c>
      <c r="Z312" s="250">
        <f t="shared" si="98"/>
        <v>5841</v>
      </c>
      <c r="AA312" s="250">
        <f t="shared" si="98"/>
        <v>2786</v>
      </c>
      <c r="AB312" s="250">
        <f t="shared" si="98"/>
        <v>6476</v>
      </c>
      <c r="AC312" s="250">
        <f t="shared" si="98"/>
        <v>3226</v>
      </c>
      <c r="AD312" s="250">
        <f t="shared" si="98"/>
        <v>6853</v>
      </c>
      <c r="AE312" s="250">
        <f t="shared" si="98"/>
        <v>3366</v>
      </c>
      <c r="AF312" s="250">
        <f t="shared" si="98"/>
        <v>6474</v>
      </c>
      <c r="AG312" s="250">
        <f t="shared" si="98"/>
        <v>3170</v>
      </c>
      <c r="AH312" s="380">
        <f t="shared" ref="AH312:AM312" si="99">AH284</f>
        <v>36614</v>
      </c>
      <c r="AI312" s="381">
        <f t="shared" si="99"/>
        <v>17922</v>
      </c>
      <c r="AJ312" s="254">
        <f t="shared" si="99"/>
        <v>645</v>
      </c>
      <c r="AK312" s="251">
        <f t="shared" si="99"/>
        <v>210</v>
      </c>
      <c r="AL312" s="251">
        <f t="shared" si="99"/>
        <v>0</v>
      </c>
      <c r="AM312" s="255">
        <f t="shared" si="99"/>
        <v>0</v>
      </c>
      <c r="AN312" s="256"/>
    </row>
    <row r="313" spans="1:40">
      <c r="A313" s="1567" t="s">
        <v>1354</v>
      </c>
      <c r="B313" s="1567"/>
      <c r="C313" s="820"/>
      <c r="D313" s="247">
        <f>E306</f>
        <v>20</v>
      </c>
      <c r="E313" s="248"/>
      <c r="F313" s="248"/>
      <c r="G313" s="248"/>
      <c r="H313" s="248"/>
      <c r="I313" s="248"/>
      <c r="J313" s="248"/>
      <c r="K313" s="248"/>
      <c r="L313" s="378"/>
      <c r="M313" s="254">
        <f>M306</f>
        <v>21</v>
      </c>
      <c r="N313" s="250">
        <f t="shared" ref="N313:AM313" si="100">N306</f>
        <v>21</v>
      </c>
      <c r="O313" s="250">
        <f t="shared" si="100"/>
        <v>23</v>
      </c>
      <c r="P313" s="250">
        <f t="shared" si="100"/>
        <v>26</v>
      </c>
      <c r="Q313" s="250">
        <f t="shared" si="100"/>
        <v>26</v>
      </c>
      <c r="R313" s="250">
        <f t="shared" si="100"/>
        <v>26</v>
      </c>
      <c r="S313" s="250">
        <f t="shared" si="100"/>
        <v>15</v>
      </c>
      <c r="T313" s="250">
        <f t="shared" si="100"/>
        <v>0</v>
      </c>
      <c r="U313" s="379">
        <f t="shared" si="100"/>
        <v>158</v>
      </c>
      <c r="V313" s="250">
        <f t="shared" si="100"/>
        <v>232</v>
      </c>
      <c r="W313" s="250">
        <f t="shared" si="100"/>
        <v>108</v>
      </c>
      <c r="X313" s="250">
        <f t="shared" si="100"/>
        <v>209</v>
      </c>
      <c r="Y313" s="250">
        <f t="shared" si="100"/>
        <v>104</v>
      </c>
      <c r="Z313" s="250">
        <f t="shared" si="100"/>
        <v>264</v>
      </c>
      <c r="AA313" s="250">
        <f t="shared" si="100"/>
        <v>129</v>
      </c>
      <c r="AB313" s="250">
        <f t="shared" si="100"/>
        <v>309</v>
      </c>
      <c r="AC313" s="250">
        <f t="shared" si="100"/>
        <v>142</v>
      </c>
      <c r="AD313" s="250">
        <f t="shared" si="100"/>
        <v>324</v>
      </c>
      <c r="AE313" s="250">
        <f t="shared" si="100"/>
        <v>151</v>
      </c>
      <c r="AF313" s="250">
        <f t="shared" si="100"/>
        <v>350</v>
      </c>
      <c r="AG313" s="250">
        <f t="shared" si="100"/>
        <v>171</v>
      </c>
      <c r="AH313" s="380">
        <f t="shared" si="100"/>
        <v>1688</v>
      </c>
      <c r="AI313" s="381">
        <f t="shared" si="100"/>
        <v>805</v>
      </c>
      <c r="AJ313" s="254">
        <f t="shared" si="100"/>
        <v>70</v>
      </c>
      <c r="AK313" s="251">
        <f t="shared" si="100"/>
        <v>28</v>
      </c>
      <c r="AL313" s="251">
        <f t="shared" si="100"/>
        <v>0</v>
      </c>
      <c r="AM313" s="255">
        <f t="shared" si="100"/>
        <v>0</v>
      </c>
      <c r="AN313" s="256"/>
    </row>
    <row r="314" spans="1:40">
      <c r="A314" s="1566" t="s">
        <v>1355</v>
      </c>
      <c r="B314" s="1566"/>
      <c r="C314" s="821"/>
      <c r="D314" s="382" t="s">
        <v>4941</v>
      </c>
      <c r="E314" s="258"/>
      <c r="F314" s="258"/>
      <c r="G314" s="258"/>
      <c r="H314" s="258"/>
      <c r="I314" s="258"/>
      <c r="J314" s="258"/>
      <c r="K314" s="258"/>
      <c r="L314" s="383"/>
      <c r="M314" s="262">
        <f>SUM(M309:M313)</f>
        <v>931</v>
      </c>
      <c r="N314" s="260">
        <f t="shared" ref="N314:AM314" si="101">SUM(N309:N313)</f>
        <v>956</v>
      </c>
      <c r="O314" s="260">
        <f t="shared" si="101"/>
        <v>999</v>
      </c>
      <c r="P314" s="260">
        <f t="shared" si="101"/>
        <v>1117</v>
      </c>
      <c r="Q314" s="260">
        <f t="shared" si="101"/>
        <v>1173</v>
      </c>
      <c r="R314" s="260">
        <f t="shared" si="101"/>
        <v>1149</v>
      </c>
      <c r="S314" s="260">
        <f t="shared" si="101"/>
        <v>572</v>
      </c>
      <c r="T314" s="260">
        <f t="shared" si="101"/>
        <v>14</v>
      </c>
      <c r="U314" s="379">
        <f t="shared" si="101"/>
        <v>6911</v>
      </c>
      <c r="V314" s="260">
        <f t="shared" si="101"/>
        <v>19647</v>
      </c>
      <c r="W314" s="260">
        <f t="shared" si="101"/>
        <v>9502</v>
      </c>
      <c r="X314" s="260">
        <f t="shared" si="101"/>
        <v>20617</v>
      </c>
      <c r="Y314" s="260">
        <f t="shared" si="101"/>
        <v>10077</v>
      </c>
      <c r="Z314" s="260">
        <f t="shared" si="101"/>
        <v>21781</v>
      </c>
      <c r="AA314" s="260">
        <f t="shared" si="101"/>
        <v>10503</v>
      </c>
      <c r="AB314" s="260">
        <f t="shared" si="101"/>
        <v>24668</v>
      </c>
      <c r="AC314" s="260">
        <f t="shared" si="101"/>
        <v>12249</v>
      </c>
      <c r="AD314" s="260">
        <f t="shared" si="101"/>
        <v>26369</v>
      </c>
      <c r="AE314" s="260">
        <f t="shared" si="101"/>
        <v>12875</v>
      </c>
      <c r="AF314" s="260">
        <f t="shared" si="101"/>
        <v>25754</v>
      </c>
      <c r="AG314" s="260">
        <f t="shared" si="101"/>
        <v>12593</v>
      </c>
      <c r="AH314" s="380">
        <f t="shared" si="101"/>
        <v>138836</v>
      </c>
      <c r="AI314" s="381">
        <f t="shared" si="101"/>
        <v>67799</v>
      </c>
      <c r="AJ314" s="262">
        <f t="shared" si="101"/>
        <v>2798</v>
      </c>
      <c r="AK314" s="261">
        <f t="shared" si="101"/>
        <v>962</v>
      </c>
      <c r="AL314" s="261">
        <f t="shared" si="101"/>
        <v>270</v>
      </c>
      <c r="AM314" s="263">
        <f t="shared" si="101"/>
        <v>119</v>
      </c>
      <c r="AN314" s="264"/>
    </row>
    <row r="315" spans="1:40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728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H315" s="729"/>
    </row>
    <row r="316" spans="1:40">
      <c r="A316" s="1567" t="s">
        <v>1356</v>
      </c>
      <c r="B316" s="1567"/>
      <c r="C316" s="820"/>
      <c r="D316" s="247">
        <f>D122</f>
        <v>1</v>
      </c>
      <c r="E316" s="361"/>
      <c r="F316" s="361"/>
      <c r="G316" s="361"/>
      <c r="H316" s="361"/>
      <c r="I316" s="361"/>
      <c r="J316" s="361"/>
      <c r="K316" s="361"/>
      <c r="L316" s="384"/>
      <c r="M316" s="385">
        <f t="shared" ref="M316:AM316" si="102">M122</f>
        <v>4</v>
      </c>
      <c r="N316" s="267">
        <f t="shared" si="102"/>
        <v>4</v>
      </c>
      <c r="O316" s="267">
        <f t="shared" si="102"/>
        <v>4</v>
      </c>
      <c r="P316" s="267">
        <f t="shared" si="102"/>
        <v>4</v>
      </c>
      <c r="Q316" s="267">
        <f t="shared" si="102"/>
        <v>4</v>
      </c>
      <c r="R316" s="267">
        <f t="shared" si="102"/>
        <v>4</v>
      </c>
      <c r="S316" s="267">
        <f t="shared" si="102"/>
        <v>1</v>
      </c>
      <c r="T316" s="267">
        <f t="shared" si="102"/>
        <v>0</v>
      </c>
      <c r="U316" s="386">
        <f t="shared" si="102"/>
        <v>25</v>
      </c>
      <c r="V316" s="267">
        <f t="shared" si="102"/>
        <v>80</v>
      </c>
      <c r="W316" s="267">
        <f t="shared" si="102"/>
        <v>40</v>
      </c>
      <c r="X316" s="267">
        <f t="shared" si="102"/>
        <v>80</v>
      </c>
      <c r="Y316" s="267">
        <f t="shared" si="102"/>
        <v>40</v>
      </c>
      <c r="Z316" s="267">
        <f t="shared" si="102"/>
        <v>96</v>
      </c>
      <c r="AA316" s="267">
        <f t="shared" si="102"/>
        <v>48</v>
      </c>
      <c r="AB316" s="267">
        <f t="shared" si="102"/>
        <v>96</v>
      </c>
      <c r="AC316" s="267">
        <f t="shared" si="102"/>
        <v>48</v>
      </c>
      <c r="AD316" s="267">
        <f t="shared" si="102"/>
        <v>96</v>
      </c>
      <c r="AE316" s="267">
        <f t="shared" si="102"/>
        <v>48</v>
      </c>
      <c r="AF316" s="267">
        <f t="shared" si="102"/>
        <v>95</v>
      </c>
      <c r="AG316" s="267">
        <f t="shared" si="102"/>
        <v>48</v>
      </c>
      <c r="AH316" s="387">
        <f t="shared" si="102"/>
        <v>543</v>
      </c>
      <c r="AI316" s="388">
        <f t="shared" si="102"/>
        <v>272</v>
      </c>
      <c r="AJ316" s="385">
        <f t="shared" si="102"/>
        <v>6</v>
      </c>
      <c r="AK316" s="268">
        <f t="shared" si="102"/>
        <v>3</v>
      </c>
      <c r="AL316" s="268">
        <f t="shared" si="102"/>
        <v>0</v>
      </c>
      <c r="AM316" s="389">
        <f t="shared" si="102"/>
        <v>0</v>
      </c>
      <c r="AN316" s="267"/>
    </row>
    <row r="317" spans="1:40">
      <c r="A317" s="1623" t="s">
        <v>1357</v>
      </c>
      <c r="B317" s="1624"/>
      <c r="C317" s="822"/>
      <c r="D317" s="377" t="s">
        <v>4942</v>
      </c>
      <c r="E317" s="361"/>
      <c r="F317" s="361"/>
      <c r="G317" s="361"/>
      <c r="H317" s="361"/>
      <c r="I317" s="361"/>
      <c r="J317" s="361"/>
      <c r="K317" s="361"/>
      <c r="L317" s="384"/>
      <c r="M317" s="385">
        <f t="shared" ref="M317:AM317" si="103">M29+M37+M53+M72+M117+M149+M190+M225+M283+M305</f>
        <v>914</v>
      </c>
      <c r="N317" s="267">
        <f t="shared" si="103"/>
        <v>938</v>
      </c>
      <c r="O317" s="267">
        <f t="shared" si="103"/>
        <v>981</v>
      </c>
      <c r="P317" s="267">
        <f t="shared" si="103"/>
        <v>1100</v>
      </c>
      <c r="Q317" s="267">
        <f t="shared" si="103"/>
        <v>1156</v>
      </c>
      <c r="R317" s="267">
        <f t="shared" si="103"/>
        <v>1133</v>
      </c>
      <c r="S317" s="267">
        <f t="shared" si="103"/>
        <v>571</v>
      </c>
      <c r="T317" s="267">
        <f t="shared" si="103"/>
        <v>14</v>
      </c>
      <c r="U317" s="386">
        <f t="shared" si="103"/>
        <v>6807</v>
      </c>
      <c r="V317" s="267">
        <f t="shared" si="103"/>
        <v>19201</v>
      </c>
      <c r="W317" s="267">
        <f t="shared" si="103"/>
        <v>9280</v>
      </c>
      <c r="X317" s="267">
        <f t="shared" si="103"/>
        <v>20141</v>
      </c>
      <c r="Y317" s="267">
        <f t="shared" si="103"/>
        <v>9848</v>
      </c>
      <c r="Z317" s="267">
        <f t="shared" si="103"/>
        <v>21315</v>
      </c>
      <c r="AA317" s="267">
        <f t="shared" si="103"/>
        <v>10273</v>
      </c>
      <c r="AB317" s="267">
        <f t="shared" si="103"/>
        <v>24231</v>
      </c>
      <c r="AC317" s="267">
        <f t="shared" si="103"/>
        <v>12037</v>
      </c>
      <c r="AD317" s="267">
        <f t="shared" si="103"/>
        <v>25937</v>
      </c>
      <c r="AE317" s="267">
        <f t="shared" si="103"/>
        <v>12673</v>
      </c>
      <c r="AF317" s="267">
        <f t="shared" si="103"/>
        <v>25369</v>
      </c>
      <c r="AG317" s="267">
        <f t="shared" si="103"/>
        <v>12403</v>
      </c>
      <c r="AH317" s="387">
        <f t="shared" si="103"/>
        <v>136194</v>
      </c>
      <c r="AI317" s="388">
        <f t="shared" si="103"/>
        <v>66514</v>
      </c>
      <c r="AJ317" s="275">
        <f t="shared" si="103"/>
        <v>2792</v>
      </c>
      <c r="AK317" s="276">
        <f t="shared" si="103"/>
        <v>959</v>
      </c>
      <c r="AL317" s="276">
        <f t="shared" si="103"/>
        <v>270</v>
      </c>
      <c r="AM317" s="277">
        <f t="shared" si="103"/>
        <v>119</v>
      </c>
      <c r="AN317" s="267"/>
    </row>
    <row r="318" spans="1:40">
      <c r="A318" s="1567" t="s">
        <v>1358</v>
      </c>
      <c r="B318" s="1567"/>
      <c r="C318" s="820"/>
      <c r="D318" s="247">
        <f>D40+D74+D119+D227</f>
        <v>5</v>
      </c>
      <c r="E318" s="361"/>
      <c r="F318" s="361"/>
      <c r="G318" s="361"/>
      <c r="H318" s="361"/>
      <c r="I318" s="361"/>
      <c r="J318" s="361"/>
      <c r="K318" s="361"/>
      <c r="L318" s="384"/>
      <c r="M318" s="385">
        <f t="shared" ref="M318:AM318" si="104">M40+M74+M119+M227</f>
        <v>13</v>
      </c>
      <c r="N318" s="267">
        <f t="shared" si="104"/>
        <v>14</v>
      </c>
      <c r="O318" s="267">
        <f t="shared" si="104"/>
        <v>14</v>
      </c>
      <c r="P318" s="267">
        <f t="shared" si="104"/>
        <v>13</v>
      </c>
      <c r="Q318" s="267">
        <f t="shared" si="104"/>
        <v>13</v>
      </c>
      <c r="R318" s="267">
        <f t="shared" si="104"/>
        <v>12</v>
      </c>
      <c r="S318" s="267">
        <f t="shared" si="104"/>
        <v>0</v>
      </c>
      <c r="T318" s="267">
        <f t="shared" si="104"/>
        <v>0</v>
      </c>
      <c r="U318" s="386">
        <f t="shared" si="104"/>
        <v>79</v>
      </c>
      <c r="V318" s="267">
        <f t="shared" si="104"/>
        <v>366</v>
      </c>
      <c r="W318" s="267">
        <f t="shared" si="104"/>
        <v>182</v>
      </c>
      <c r="X318" s="267">
        <f t="shared" si="104"/>
        <v>396</v>
      </c>
      <c r="Y318" s="267">
        <f t="shared" si="104"/>
        <v>189</v>
      </c>
      <c r="Z318" s="267">
        <f t="shared" si="104"/>
        <v>370</v>
      </c>
      <c r="AA318" s="267">
        <f t="shared" si="104"/>
        <v>182</v>
      </c>
      <c r="AB318" s="267">
        <f t="shared" si="104"/>
        <v>341</v>
      </c>
      <c r="AC318" s="267">
        <f t="shared" si="104"/>
        <v>164</v>
      </c>
      <c r="AD318" s="267">
        <f t="shared" si="104"/>
        <v>336</v>
      </c>
      <c r="AE318" s="267">
        <f t="shared" si="104"/>
        <v>154</v>
      </c>
      <c r="AF318" s="267">
        <f t="shared" si="104"/>
        <v>290</v>
      </c>
      <c r="AG318" s="267">
        <f t="shared" si="104"/>
        <v>142</v>
      </c>
      <c r="AH318" s="387">
        <f t="shared" si="104"/>
        <v>2099</v>
      </c>
      <c r="AI318" s="388">
        <f t="shared" si="104"/>
        <v>1013</v>
      </c>
      <c r="AJ318" s="272">
        <f t="shared" si="104"/>
        <v>0</v>
      </c>
      <c r="AK318" s="273">
        <f t="shared" si="104"/>
        <v>0</v>
      </c>
      <c r="AL318" s="273">
        <f t="shared" si="104"/>
        <v>0</v>
      </c>
      <c r="AM318" s="274">
        <f t="shared" si="104"/>
        <v>0</v>
      </c>
      <c r="AN318" s="267"/>
    </row>
    <row r="319" spans="1:40">
      <c r="A319" s="1566" t="s">
        <v>1359</v>
      </c>
      <c r="B319" s="1566"/>
      <c r="C319" s="821"/>
      <c r="D319" s="382" t="s">
        <v>4941</v>
      </c>
      <c r="E319" s="362"/>
      <c r="F319" s="362"/>
      <c r="G319" s="362"/>
      <c r="H319" s="362"/>
      <c r="I319" s="362"/>
      <c r="J319" s="362"/>
      <c r="K319" s="362"/>
      <c r="L319" s="390"/>
      <c r="M319" s="391">
        <f>SUM(M316:M318)</f>
        <v>931</v>
      </c>
      <c r="N319" s="279">
        <f t="shared" ref="N319:AI319" si="105">SUM(N316:N318)</f>
        <v>956</v>
      </c>
      <c r="O319" s="279">
        <f t="shared" si="105"/>
        <v>999</v>
      </c>
      <c r="P319" s="279">
        <f t="shared" si="105"/>
        <v>1117</v>
      </c>
      <c r="Q319" s="279">
        <f t="shared" si="105"/>
        <v>1173</v>
      </c>
      <c r="R319" s="279">
        <f t="shared" si="105"/>
        <v>1149</v>
      </c>
      <c r="S319" s="279">
        <f t="shared" si="105"/>
        <v>572</v>
      </c>
      <c r="T319" s="279">
        <f t="shared" si="105"/>
        <v>14</v>
      </c>
      <c r="U319" s="386">
        <f t="shared" si="105"/>
        <v>6911</v>
      </c>
      <c r="V319" s="279">
        <f t="shared" si="105"/>
        <v>19647</v>
      </c>
      <c r="W319" s="279">
        <f t="shared" si="105"/>
        <v>9502</v>
      </c>
      <c r="X319" s="279">
        <f t="shared" si="105"/>
        <v>20617</v>
      </c>
      <c r="Y319" s="279">
        <f t="shared" si="105"/>
        <v>10077</v>
      </c>
      <c r="Z319" s="279">
        <f t="shared" si="105"/>
        <v>21781</v>
      </c>
      <c r="AA319" s="279">
        <f t="shared" si="105"/>
        <v>10503</v>
      </c>
      <c r="AB319" s="279">
        <f t="shared" si="105"/>
        <v>24668</v>
      </c>
      <c r="AC319" s="279">
        <f t="shared" si="105"/>
        <v>12249</v>
      </c>
      <c r="AD319" s="279">
        <f t="shared" si="105"/>
        <v>26369</v>
      </c>
      <c r="AE319" s="279">
        <f t="shared" si="105"/>
        <v>12875</v>
      </c>
      <c r="AF319" s="279">
        <f t="shared" si="105"/>
        <v>25754</v>
      </c>
      <c r="AG319" s="279">
        <f t="shared" si="105"/>
        <v>12593</v>
      </c>
      <c r="AH319" s="387">
        <f t="shared" si="105"/>
        <v>138836</v>
      </c>
      <c r="AI319" s="388">
        <f t="shared" si="105"/>
        <v>67799</v>
      </c>
      <c r="AJ319" s="272">
        <f>SUM(AJ316:AJ318)</f>
        <v>2798</v>
      </c>
      <c r="AK319" s="273">
        <f>SUM(AK316:AK318)</f>
        <v>962</v>
      </c>
      <c r="AL319" s="273">
        <f>SUM(AL316:AL318)</f>
        <v>270</v>
      </c>
      <c r="AM319" s="274">
        <f>SUM(AM316:AM318)</f>
        <v>119</v>
      </c>
      <c r="AN319" s="279"/>
    </row>
    <row r="320" spans="1:40" ht="16.5" customHeight="1">
      <c r="A320" s="5"/>
    </row>
    <row r="321" spans="14:33">
      <c r="N321" s="733"/>
      <c r="P321" s="733"/>
      <c r="S321" s="733"/>
      <c r="T321" s="733"/>
      <c r="AG321" s="793"/>
    </row>
    <row r="322" spans="14:33">
      <c r="AG322" s="793"/>
    </row>
  </sheetData>
  <sortState xmlns:xlrd2="http://schemas.microsoft.com/office/spreadsheetml/2017/richdata2" ref="A55:AN71">
    <sortCondition ref="E55:E71"/>
  </sortState>
  <mergeCells count="60">
    <mergeCell ref="A190:C190"/>
    <mergeCell ref="A225:C225"/>
    <mergeCell ref="A227:C227"/>
    <mergeCell ref="A150:D150"/>
    <mergeCell ref="A117:B117"/>
    <mergeCell ref="A119:B119"/>
    <mergeCell ref="A120:D120"/>
    <mergeCell ref="A72:B72"/>
    <mergeCell ref="A74:B74"/>
    <mergeCell ref="A75:D75"/>
    <mergeCell ref="A122:B122"/>
    <mergeCell ref="A149:B149"/>
    <mergeCell ref="A37:B37"/>
    <mergeCell ref="A40:B40"/>
    <mergeCell ref="A41:D41"/>
    <mergeCell ref="A53:B53"/>
    <mergeCell ref="A54:D54"/>
    <mergeCell ref="AN3:AN5"/>
    <mergeCell ref="V4:W4"/>
    <mergeCell ref="X4:Y4"/>
    <mergeCell ref="Z4:AA4"/>
    <mergeCell ref="AB4:AC4"/>
    <mergeCell ref="AD4:AE4"/>
    <mergeCell ref="AF4:AG4"/>
    <mergeCell ref="AH4:AI4"/>
    <mergeCell ref="AJ3:AK4"/>
    <mergeCell ref="AL3:AM4"/>
    <mergeCell ref="A29:B29"/>
    <mergeCell ref="A30:D30"/>
    <mergeCell ref="M3:U4"/>
    <mergeCell ref="V3:AI3"/>
    <mergeCell ref="L3:L5"/>
    <mergeCell ref="A3:A5"/>
    <mergeCell ref="B3:B5"/>
    <mergeCell ref="D3:D5"/>
    <mergeCell ref="E3:E5"/>
    <mergeCell ref="F3:F5"/>
    <mergeCell ref="G3:G5"/>
    <mergeCell ref="I3:I5"/>
    <mergeCell ref="J3:J5"/>
    <mergeCell ref="K3:K5"/>
    <mergeCell ref="H3:H5"/>
    <mergeCell ref="C3:C5"/>
    <mergeCell ref="A305:B305"/>
    <mergeCell ref="A306:D306"/>
    <mergeCell ref="A191:D191"/>
    <mergeCell ref="A228:D228"/>
    <mergeCell ref="A283:B283"/>
    <mergeCell ref="A284:D284"/>
    <mergeCell ref="A307:E307"/>
    <mergeCell ref="A309:B309"/>
    <mergeCell ref="A310:B310"/>
    <mergeCell ref="A311:B311"/>
    <mergeCell ref="A312:B312"/>
    <mergeCell ref="A319:B319"/>
    <mergeCell ref="A313:B313"/>
    <mergeCell ref="A314:B314"/>
    <mergeCell ref="A316:B316"/>
    <mergeCell ref="A317:B317"/>
    <mergeCell ref="A318:B318"/>
  </mergeCells>
  <phoneticPr fontId="3" type="noConversion"/>
  <dataValidations count="4">
    <dataValidation type="list" allowBlank="1" showInputMessage="1" showErrorMessage="1" sqref="A121 A6:A28 A31:A36 A38:A39 A42:A52 A73 A55:A71 A76:A116 A118 A139:A148 A123:A137 A151:A189 A192:A224 A226 A286:A304 A255:A282 A229:A253" xr:uid="{22630956-3A8A-4EA2-8CFE-563AB00757F0}">
      <formula1>"남부,북부,동부,서부,강화"</formula1>
    </dataValidation>
    <dataValidation type="list" allowBlank="1" showInputMessage="1" showErrorMessage="1" sqref="B121 B6:B28 B31:B36 B38:B39 B42:B52 B73 B55:B71 B76:B116 B118 C145 B139:B148 B123:B137 B151:B189 B192:B224 B226 B286:B304 B255:B282 B229:B253" xr:uid="{CA787FD6-DF71-4282-B129-D65036F3DFF6}">
      <formula1>"미추홀구,동구,옹진군,중구,부평구,계양구,남동구,연수구,서구,강화군"</formula1>
    </dataValidation>
    <dataValidation type="list" allowBlank="1" showInputMessage="1" showErrorMessage="1" sqref="D121 D6:D28 D31:D36 D38:D39 D42:D52 D73 D55:D71 D77:D116 D118 D139:E139 D135:D137 D140:D148 D123:D133 D151:D189 D192:D224 D226 D253 D286:D304 D255:D282 D229:D251" xr:uid="{9EE277E6-3C64-4C58-B32F-30C7F76BD6BB}">
      <formula1>"국립,공립,사립"</formula1>
    </dataValidation>
    <dataValidation type="list" allowBlank="1" showInputMessage="1" showErrorMessage="1" sqref="C6:C28 C31:C36 C38:C39 C42:C52 C73 C55:C71 C76:C116 C118 C146:C148 C123:C144 C121 C151:C189 C192:C224 C226 C286:C304 C255:C282 C229:C253" xr:uid="{AE90AA3A-5404-4469-978E-1998EB0ECEF3}">
      <formula1>"미추홀구,제물포구,영종구,옹진군,부평구,계양구,남동구,연수구,서구,검단구,강화군"</formula1>
    </dataValidation>
  </dataValidations>
  <pageMargins left="0.25" right="0.25" top="0.75" bottom="0.75" header="0.3" footer="0.3"/>
  <pageSetup paperSize="9" scale="33" fitToHeight="0" orientation="landscape" r:id="rId1"/>
  <ignoredErrors>
    <ignoredError sqref="U37 AI37 U117 AH117:AI117 U122 AH122:AI12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193"/>
  <sheetViews>
    <sheetView zoomScale="90" zoomScaleNormal="90" workbookViewId="0">
      <pane ySplit="5" topLeftCell="A6" activePane="bottomLeft" state="frozen"/>
      <selection pane="bottomLeft" activeCell="C1" sqref="C1"/>
    </sheetView>
  </sheetViews>
  <sheetFormatPr defaultRowHeight="16.5"/>
  <cols>
    <col min="1" max="5" width="9.625" style="16" customWidth="1"/>
    <col min="6" max="6" width="25.625" style="16" customWidth="1"/>
    <col min="7" max="7" width="11" style="16" customWidth="1"/>
    <col min="8" max="8" width="40.625" style="16" customWidth="1"/>
    <col min="9" max="9" width="11.125" style="16" customWidth="1"/>
    <col min="10" max="10" width="8.625" style="16" customWidth="1"/>
    <col min="11" max="13" width="9.125" style="16" customWidth="1"/>
    <col min="14" max="19" width="7.625" style="16" customWidth="1"/>
    <col min="20" max="27" width="8.125" style="16" customWidth="1"/>
    <col min="28" max="31" width="7.625" style="16" customWidth="1"/>
  </cols>
  <sheetData>
    <row r="1" spans="1:31" s="23" customFormat="1" ht="26.25" customHeight="1">
      <c r="A1" s="17" t="s">
        <v>96</v>
      </c>
      <c r="B1" s="17"/>
      <c r="C1" s="17"/>
      <c r="D1" s="17"/>
      <c r="E1" s="17"/>
      <c r="F1" s="17"/>
      <c r="G1" s="1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s="3" customFormat="1" ht="20.100000000000001" customHeight="1">
      <c r="A2" s="11" t="s">
        <v>3243</v>
      </c>
      <c r="B2" s="24"/>
      <c r="C2" s="24"/>
      <c r="D2" s="24"/>
      <c r="E2" s="24"/>
      <c r="F2" s="25"/>
      <c r="G2" s="26"/>
      <c r="H2" s="27"/>
      <c r="I2" s="27"/>
      <c r="J2" s="27"/>
      <c r="K2" s="28"/>
      <c r="L2" s="28"/>
      <c r="M2" s="27"/>
      <c r="N2" s="27"/>
      <c r="O2" s="29"/>
      <c r="P2" s="29"/>
      <c r="Q2" s="29"/>
      <c r="R2" s="29"/>
      <c r="S2" s="29"/>
      <c r="T2" s="29"/>
      <c r="U2" s="29"/>
      <c r="V2" s="29"/>
      <c r="W2" s="12"/>
      <c r="X2" s="30"/>
      <c r="Y2" s="12"/>
      <c r="Z2" s="12"/>
      <c r="AA2" s="12"/>
      <c r="AB2" s="12"/>
      <c r="AC2" s="12"/>
      <c r="AD2" s="12"/>
      <c r="AE2" s="12"/>
    </row>
    <row r="3" spans="1:31" ht="17.25" customHeight="1">
      <c r="A3" s="1636" t="s">
        <v>145</v>
      </c>
      <c r="B3" s="1631" t="s">
        <v>106</v>
      </c>
      <c r="C3" s="1641" t="s">
        <v>4275</v>
      </c>
      <c r="D3" s="1631" t="s">
        <v>146</v>
      </c>
      <c r="E3" s="1638" t="s">
        <v>113</v>
      </c>
      <c r="F3" s="1631" t="s">
        <v>108</v>
      </c>
      <c r="G3" s="1631" t="s">
        <v>109</v>
      </c>
      <c r="H3" s="1631" t="s">
        <v>147</v>
      </c>
      <c r="I3" s="1638" t="s">
        <v>101</v>
      </c>
      <c r="J3" s="1631" t="s">
        <v>148</v>
      </c>
      <c r="K3" s="1636" t="s">
        <v>149</v>
      </c>
      <c r="L3" s="1636" t="s">
        <v>150</v>
      </c>
      <c r="M3" s="1633" t="s">
        <v>151</v>
      </c>
      <c r="N3" s="1630" t="s">
        <v>35</v>
      </c>
      <c r="O3" s="1631"/>
      <c r="P3" s="1631"/>
      <c r="Q3" s="1631"/>
      <c r="R3" s="1631"/>
      <c r="S3" s="1632"/>
      <c r="T3" s="1630" t="s">
        <v>99</v>
      </c>
      <c r="U3" s="1631"/>
      <c r="V3" s="1631"/>
      <c r="W3" s="1631"/>
      <c r="X3" s="1631"/>
      <c r="Y3" s="1631"/>
      <c r="Z3" s="1631"/>
      <c r="AA3" s="1632"/>
      <c r="AB3" s="1648" t="s">
        <v>152</v>
      </c>
      <c r="AC3" s="1679"/>
      <c r="AD3" s="1631" t="s">
        <v>137</v>
      </c>
      <c r="AE3" s="1631"/>
    </row>
    <row r="4" spans="1:31" ht="17.25" customHeight="1">
      <c r="A4" s="1631"/>
      <c r="B4" s="1631"/>
      <c r="C4" s="1642"/>
      <c r="D4" s="1631"/>
      <c r="E4" s="1639"/>
      <c r="F4" s="1631"/>
      <c r="G4" s="1631"/>
      <c r="H4" s="1631"/>
      <c r="I4" s="1639"/>
      <c r="J4" s="1631"/>
      <c r="K4" s="1631"/>
      <c r="L4" s="1631"/>
      <c r="M4" s="1634"/>
      <c r="N4" s="1630"/>
      <c r="O4" s="1631"/>
      <c r="P4" s="1631"/>
      <c r="Q4" s="1631"/>
      <c r="R4" s="1631"/>
      <c r="S4" s="1632"/>
      <c r="T4" s="1630" t="s">
        <v>17</v>
      </c>
      <c r="U4" s="1631"/>
      <c r="V4" s="1631" t="s">
        <v>18</v>
      </c>
      <c r="W4" s="1631"/>
      <c r="X4" s="1631" t="s">
        <v>19</v>
      </c>
      <c r="Y4" s="1631"/>
      <c r="Z4" s="1677" t="s">
        <v>6</v>
      </c>
      <c r="AA4" s="1678"/>
      <c r="AB4" s="1650"/>
      <c r="AC4" s="1680"/>
      <c r="AD4" s="1631"/>
      <c r="AE4" s="1631"/>
    </row>
    <row r="5" spans="1:31" ht="17.25" customHeight="1" thickBot="1">
      <c r="A5" s="1637"/>
      <c r="B5" s="1637"/>
      <c r="C5" s="1643"/>
      <c r="D5" s="1637"/>
      <c r="E5" s="1640"/>
      <c r="F5" s="1637"/>
      <c r="G5" s="1637"/>
      <c r="H5" s="1637"/>
      <c r="I5" s="1640"/>
      <c r="J5" s="1637"/>
      <c r="K5" s="1637"/>
      <c r="L5" s="1637"/>
      <c r="M5" s="1635"/>
      <c r="N5" s="44" t="s">
        <v>17</v>
      </c>
      <c r="O5" s="779" t="s">
        <v>18</v>
      </c>
      <c r="P5" s="779" t="s">
        <v>19</v>
      </c>
      <c r="Q5" s="779" t="s">
        <v>23</v>
      </c>
      <c r="R5" s="779" t="s">
        <v>153</v>
      </c>
      <c r="S5" s="142" t="s">
        <v>1</v>
      </c>
      <c r="T5" s="44" t="s">
        <v>1</v>
      </c>
      <c r="U5" s="779" t="s">
        <v>24</v>
      </c>
      <c r="V5" s="779" t="s">
        <v>1</v>
      </c>
      <c r="W5" s="779" t="s">
        <v>24</v>
      </c>
      <c r="X5" s="779" t="s">
        <v>1</v>
      </c>
      <c r="Y5" s="779" t="s">
        <v>24</v>
      </c>
      <c r="Z5" s="143" t="s">
        <v>1</v>
      </c>
      <c r="AA5" s="142" t="s">
        <v>24</v>
      </c>
      <c r="AB5" s="44" t="s">
        <v>41</v>
      </c>
      <c r="AC5" s="1287" t="s">
        <v>82</v>
      </c>
      <c r="AD5" s="1304" t="s">
        <v>91</v>
      </c>
      <c r="AE5" s="1304" t="s">
        <v>92</v>
      </c>
    </row>
    <row r="6" spans="1:31" s="81" customFormat="1" ht="17.100000000000001" customHeight="1" thickTop="1">
      <c r="A6" s="1120" t="s">
        <v>25</v>
      </c>
      <c r="B6" s="139" t="s">
        <v>130</v>
      </c>
      <c r="C6" s="139" t="s">
        <v>130</v>
      </c>
      <c r="D6" s="139" t="s">
        <v>4</v>
      </c>
      <c r="E6" s="139" t="s">
        <v>24</v>
      </c>
      <c r="F6" s="139" t="s">
        <v>2072</v>
      </c>
      <c r="G6" s="757">
        <v>30742</v>
      </c>
      <c r="H6" s="156" t="s">
        <v>4628</v>
      </c>
      <c r="I6" s="1121">
        <v>15853</v>
      </c>
      <c r="J6" s="758">
        <v>22232</v>
      </c>
      <c r="K6" s="756" t="s">
        <v>4629</v>
      </c>
      <c r="L6" s="756" t="s">
        <v>4630</v>
      </c>
      <c r="M6" s="1122" t="s">
        <v>4631</v>
      </c>
      <c r="N6" s="146">
        <v>7</v>
      </c>
      <c r="O6" s="147">
        <v>10</v>
      </c>
      <c r="P6" s="147">
        <v>8</v>
      </c>
      <c r="Q6" s="147">
        <v>2</v>
      </c>
      <c r="R6" s="147"/>
      <c r="S6" s="1123">
        <f>SUM(N6:R6)</f>
        <v>27</v>
      </c>
      <c r="T6" s="1124">
        <v>173</v>
      </c>
      <c r="U6" s="147">
        <v>173</v>
      </c>
      <c r="V6" s="147">
        <v>231</v>
      </c>
      <c r="W6" s="147">
        <v>231</v>
      </c>
      <c r="X6" s="147">
        <v>188</v>
      </c>
      <c r="Y6" s="147">
        <v>188</v>
      </c>
      <c r="Z6" s="1125">
        <f>T6+V6+X6</f>
        <v>592</v>
      </c>
      <c r="AA6" s="1126">
        <f>U6+W6+Y6</f>
        <v>592</v>
      </c>
      <c r="AB6" s="146">
        <v>10</v>
      </c>
      <c r="AC6" s="1288">
        <v>10</v>
      </c>
      <c r="AD6" s="73">
        <v>0</v>
      </c>
      <c r="AE6" s="73">
        <v>0</v>
      </c>
    </row>
    <row r="7" spans="1:31" s="81" customFormat="1" ht="17.100000000000001" customHeight="1">
      <c r="A7" s="730" t="s">
        <v>25</v>
      </c>
      <c r="B7" s="167" t="s">
        <v>131</v>
      </c>
      <c r="C7" s="167" t="s">
        <v>131</v>
      </c>
      <c r="D7" s="167" t="s">
        <v>4</v>
      </c>
      <c r="E7" s="167" t="s">
        <v>144</v>
      </c>
      <c r="F7" s="167" t="s">
        <v>4632</v>
      </c>
      <c r="G7" s="130">
        <v>32933</v>
      </c>
      <c r="H7" s="154" t="s">
        <v>4633</v>
      </c>
      <c r="I7" s="140">
        <v>15223</v>
      </c>
      <c r="J7" s="719">
        <v>22240</v>
      </c>
      <c r="K7" s="55" t="s">
        <v>447</v>
      </c>
      <c r="L7" s="55" t="s">
        <v>448</v>
      </c>
      <c r="M7" s="720" t="s">
        <v>449</v>
      </c>
      <c r="N7" s="79">
        <v>9</v>
      </c>
      <c r="O7" s="78">
        <v>10</v>
      </c>
      <c r="P7" s="78">
        <v>10</v>
      </c>
      <c r="Q7" s="78">
        <v>4</v>
      </c>
      <c r="R7" s="78"/>
      <c r="S7" s="721">
        <f t="shared" ref="S7:S45" si="0">SUM(N7:R7)</f>
        <v>33</v>
      </c>
      <c r="T7" s="129">
        <v>239</v>
      </c>
      <c r="U7" s="78">
        <v>0</v>
      </c>
      <c r="V7" s="78">
        <v>283</v>
      </c>
      <c r="W7" s="78">
        <v>0</v>
      </c>
      <c r="X7" s="78">
        <v>300</v>
      </c>
      <c r="Y7" s="78">
        <v>0</v>
      </c>
      <c r="Z7" s="722">
        <f t="shared" ref="Z7:AA45" si="1">T7+V7+X7</f>
        <v>822</v>
      </c>
      <c r="AA7" s="723">
        <f t="shared" si="1"/>
        <v>0</v>
      </c>
      <c r="AB7" s="314">
        <v>22</v>
      </c>
      <c r="AC7" s="1292">
        <v>0</v>
      </c>
      <c r="AD7" s="78">
        <v>0</v>
      </c>
      <c r="AE7" s="78">
        <v>0</v>
      </c>
    </row>
    <row r="8" spans="1:31" s="81" customFormat="1" ht="17.100000000000001" customHeight="1">
      <c r="A8" s="730" t="s">
        <v>25</v>
      </c>
      <c r="B8" s="167" t="s">
        <v>131</v>
      </c>
      <c r="C8" s="167" t="s">
        <v>131</v>
      </c>
      <c r="D8" s="167" t="s">
        <v>4</v>
      </c>
      <c r="E8" s="167" t="s">
        <v>24</v>
      </c>
      <c r="F8" s="167" t="s">
        <v>2073</v>
      </c>
      <c r="G8" s="130">
        <v>16539</v>
      </c>
      <c r="H8" s="154" t="s">
        <v>4634</v>
      </c>
      <c r="I8" s="140">
        <v>14659</v>
      </c>
      <c r="J8" s="719">
        <v>22240</v>
      </c>
      <c r="K8" s="55" t="s">
        <v>4635</v>
      </c>
      <c r="L8" s="55" t="s">
        <v>4635</v>
      </c>
      <c r="M8" s="720" t="s">
        <v>4636</v>
      </c>
      <c r="N8" s="79">
        <v>8</v>
      </c>
      <c r="O8" s="78">
        <v>9</v>
      </c>
      <c r="P8" s="78">
        <v>8</v>
      </c>
      <c r="Q8" s="78">
        <v>2</v>
      </c>
      <c r="R8" s="78">
        <v>0</v>
      </c>
      <c r="S8" s="721">
        <f t="shared" si="0"/>
        <v>27</v>
      </c>
      <c r="T8" s="129">
        <v>184</v>
      </c>
      <c r="U8" s="78">
        <v>184</v>
      </c>
      <c r="V8" s="78">
        <v>221</v>
      </c>
      <c r="W8" s="78">
        <v>221</v>
      </c>
      <c r="X8" s="78">
        <v>235</v>
      </c>
      <c r="Y8" s="78">
        <v>235</v>
      </c>
      <c r="Z8" s="722">
        <f t="shared" si="1"/>
        <v>640</v>
      </c>
      <c r="AA8" s="723">
        <f t="shared" si="1"/>
        <v>640</v>
      </c>
      <c r="AB8" s="79">
        <v>7</v>
      </c>
      <c r="AC8" s="1289">
        <v>7</v>
      </c>
      <c r="AD8" s="78">
        <v>0</v>
      </c>
      <c r="AE8" s="78">
        <v>0</v>
      </c>
    </row>
    <row r="9" spans="1:31" s="81" customFormat="1" ht="17.100000000000001" customHeight="1">
      <c r="A9" s="730" t="s">
        <v>25</v>
      </c>
      <c r="B9" s="167" t="s">
        <v>131</v>
      </c>
      <c r="C9" s="167" t="s">
        <v>131</v>
      </c>
      <c r="D9" s="167" t="s">
        <v>4</v>
      </c>
      <c r="E9" s="167" t="s">
        <v>144</v>
      </c>
      <c r="F9" s="167" t="s">
        <v>2074</v>
      </c>
      <c r="G9" s="130">
        <v>17460</v>
      </c>
      <c r="H9" s="154" t="s">
        <v>4637</v>
      </c>
      <c r="I9" s="140">
        <v>72821</v>
      </c>
      <c r="J9" s="719">
        <v>22100</v>
      </c>
      <c r="K9" s="55" t="s">
        <v>4638</v>
      </c>
      <c r="L9" s="55" t="s">
        <v>4639</v>
      </c>
      <c r="M9" s="720" t="s">
        <v>4640</v>
      </c>
      <c r="N9" s="79">
        <v>3</v>
      </c>
      <c r="O9" s="78">
        <v>4</v>
      </c>
      <c r="P9" s="78">
        <v>5</v>
      </c>
      <c r="Q9" s="78">
        <v>3</v>
      </c>
      <c r="R9" s="78"/>
      <c r="S9" s="721">
        <f t="shared" si="0"/>
        <v>15</v>
      </c>
      <c r="T9" s="129">
        <v>73</v>
      </c>
      <c r="U9" s="78">
        <v>0</v>
      </c>
      <c r="V9" s="78">
        <v>94</v>
      </c>
      <c r="W9" s="78">
        <v>0</v>
      </c>
      <c r="X9" s="78">
        <v>85</v>
      </c>
      <c r="Y9" s="78">
        <v>0</v>
      </c>
      <c r="Z9" s="722">
        <f t="shared" si="1"/>
        <v>252</v>
      </c>
      <c r="AA9" s="723">
        <f t="shared" si="1"/>
        <v>0</v>
      </c>
      <c r="AB9" s="314">
        <v>14</v>
      </c>
      <c r="AC9" s="1292">
        <v>0</v>
      </c>
      <c r="AD9" s="78">
        <v>0</v>
      </c>
      <c r="AE9" s="78">
        <v>0</v>
      </c>
    </row>
    <row r="10" spans="1:31" s="81" customFormat="1" ht="17.100000000000001" customHeight="1">
      <c r="A10" s="730" t="s">
        <v>25</v>
      </c>
      <c r="B10" s="167" t="s">
        <v>131</v>
      </c>
      <c r="C10" s="167" t="s">
        <v>131</v>
      </c>
      <c r="D10" s="167" t="s">
        <v>4</v>
      </c>
      <c r="E10" s="167" t="s">
        <v>24</v>
      </c>
      <c r="F10" s="167" t="s">
        <v>4641</v>
      </c>
      <c r="G10" s="130">
        <v>25265</v>
      </c>
      <c r="H10" s="154" t="s">
        <v>4637</v>
      </c>
      <c r="I10" s="140">
        <v>43914</v>
      </c>
      <c r="J10" s="719">
        <v>22100</v>
      </c>
      <c r="K10" s="55" t="s">
        <v>4642</v>
      </c>
      <c r="L10" s="55" t="s">
        <v>4643</v>
      </c>
      <c r="M10" s="720" t="s">
        <v>4644</v>
      </c>
      <c r="N10" s="79">
        <v>6</v>
      </c>
      <c r="O10" s="78">
        <v>6</v>
      </c>
      <c r="P10" s="78">
        <v>6</v>
      </c>
      <c r="Q10" s="78">
        <v>2</v>
      </c>
      <c r="R10" s="78">
        <v>0</v>
      </c>
      <c r="S10" s="721">
        <f t="shared" si="0"/>
        <v>20</v>
      </c>
      <c r="T10" s="129">
        <v>97</v>
      </c>
      <c r="U10" s="78">
        <v>97</v>
      </c>
      <c r="V10" s="78">
        <v>153</v>
      </c>
      <c r="W10" s="78">
        <v>153</v>
      </c>
      <c r="X10" s="78">
        <v>178</v>
      </c>
      <c r="Y10" s="78">
        <v>178</v>
      </c>
      <c r="Z10" s="722">
        <f t="shared" si="1"/>
        <v>428</v>
      </c>
      <c r="AA10" s="723">
        <f t="shared" si="1"/>
        <v>428</v>
      </c>
      <c r="AB10" s="314">
        <v>11</v>
      </c>
      <c r="AC10" s="1292">
        <v>11</v>
      </c>
      <c r="AD10" s="78">
        <v>0</v>
      </c>
      <c r="AE10" s="78">
        <v>0</v>
      </c>
    </row>
    <row r="11" spans="1:31" s="81" customFormat="1" ht="17.100000000000001" customHeight="1">
      <c r="A11" s="730" t="s">
        <v>25</v>
      </c>
      <c r="B11" s="167" t="s">
        <v>130</v>
      </c>
      <c r="C11" s="167" t="s">
        <v>130</v>
      </c>
      <c r="D11" s="167" t="s">
        <v>4</v>
      </c>
      <c r="E11" s="167" t="s">
        <v>24</v>
      </c>
      <c r="F11" s="167" t="s">
        <v>4645</v>
      </c>
      <c r="G11" s="130">
        <v>31110</v>
      </c>
      <c r="H11" s="154" t="s">
        <v>461</v>
      </c>
      <c r="I11" s="140">
        <v>15705</v>
      </c>
      <c r="J11" s="719">
        <v>22189</v>
      </c>
      <c r="K11" s="55" t="s">
        <v>450</v>
      </c>
      <c r="L11" s="55" t="s">
        <v>451</v>
      </c>
      <c r="M11" s="720" t="s">
        <v>452</v>
      </c>
      <c r="N11" s="79">
        <v>8</v>
      </c>
      <c r="O11" s="78">
        <v>8</v>
      </c>
      <c r="P11" s="78">
        <v>8</v>
      </c>
      <c r="Q11" s="78">
        <v>1</v>
      </c>
      <c r="R11" s="78">
        <v>0</v>
      </c>
      <c r="S11" s="721">
        <v>25</v>
      </c>
      <c r="T11" s="129">
        <v>256</v>
      </c>
      <c r="U11" s="78">
        <v>256</v>
      </c>
      <c r="V11" s="78">
        <v>256</v>
      </c>
      <c r="W11" s="78">
        <v>256</v>
      </c>
      <c r="X11" s="78">
        <v>254</v>
      </c>
      <c r="Y11" s="78">
        <v>254</v>
      </c>
      <c r="Z11" s="722">
        <v>766</v>
      </c>
      <c r="AA11" s="723">
        <v>766</v>
      </c>
      <c r="AB11" s="314">
        <v>5</v>
      </c>
      <c r="AC11" s="1292">
        <v>5</v>
      </c>
      <c r="AD11" s="78">
        <v>0</v>
      </c>
      <c r="AE11" s="78">
        <v>0</v>
      </c>
    </row>
    <row r="12" spans="1:31" s="81" customFormat="1" ht="17.100000000000001" customHeight="1">
      <c r="A12" s="730" t="s">
        <v>25</v>
      </c>
      <c r="B12" s="167" t="s">
        <v>131</v>
      </c>
      <c r="C12" s="167" t="s">
        <v>131</v>
      </c>
      <c r="D12" s="167" t="s">
        <v>4</v>
      </c>
      <c r="E12" s="167" t="s">
        <v>144</v>
      </c>
      <c r="F12" s="167" t="s">
        <v>4646</v>
      </c>
      <c r="G12" s="130">
        <v>31476</v>
      </c>
      <c r="H12" s="154" t="s">
        <v>4647</v>
      </c>
      <c r="I12" s="140">
        <v>16218</v>
      </c>
      <c r="J12" s="719">
        <v>22189</v>
      </c>
      <c r="K12" s="55" t="s">
        <v>4648</v>
      </c>
      <c r="L12" s="55" t="s">
        <v>4649</v>
      </c>
      <c r="M12" s="720" t="s">
        <v>4650</v>
      </c>
      <c r="N12" s="79">
        <v>8</v>
      </c>
      <c r="O12" s="78">
        <v>8</v>
      </c>
      <c r="P12" s="78">
        <v>8</v>
      </c>
      <c r="Q12" s="78">
        <v>2</v>
      </c>
      <c r="R12" s="78"/>
      <c r="S12" s="721">
        <f t="shared" si="0"/>
        <v>26</v>
      </c>
      <c r="T12" s="129">
        <v>252</v>
      </c>
      <c r="U12" s="78">
        <v>0</v>
      </c>
      <c r="V12" s="78">
        <v>256</v>
      </c>
      <c r="W12" s="78">
        <v>0</v>
      </c>
      <c r="X12" s="78">
        <v>251</v>
      </c>
      <c r="Y12" s="78">
        <v>0</v>
      </c>
      <c r="Z12" s="722">
        <f t="shared" si="1"/>
        <v>759</v>
      </c>
      <c r="AA12" s="723">
        <f t="shared" si="1"/>
        <v>0</v>
      </c>
      <c r="AB12" s="314">
        <v>13</v>
      </c>
      <c r="AC12" s="1292">
        <v>0</v>
      </c>
      <c r="AD12" s="78">
        <v>0</v>
      </c>
      <c r="AE12" s="78">
        <v>0</v>
      </c>
    </row>
    <row r="13" spans="1:31" s="81" customFormat="1" ht="17.100000000000001" customHeight="1">
      <c r="A13" s="730" t="s">
        <v>25</v>
      </c>
      <c r="B13" s="167" t="s">
        <v>131</v>
      </c>
      <c r="C13" s="167" t="s">
        <v>131</v>
      </c>
      <c r="D13" s="167" t="s">
        <v>4</v>
      </c>
      <c r="E13" s="167" t="s">
        <v>26</v>
      </c>
      <c r="F13" s="167" t="s">
        <v>2075</v>
      </c>
      <c r="G13" s="130">
        <v>38047</v>
      </c>
      <c r="H13" s="154" t="s">
        <v>4651</v>
      </c>
      <c r="I13" s="140">
        <v>10000</v>
      </c>
      <c r="J13" s="719">
        <v>22202</v>
      </c>
      <c r="K13" s="55" t="s">
        <v>4652</v>
      </c>
      <c r="L13" s="55" t="s">
        <v>4653</v>
      </c>
      <c r="M13" s="720" t="s">
        <v>4654</v>
      </c>
      <c r="N13" s="79">
        <v>10</v>
      </c>
      <c r="O13" s="78">
        <v>10</v>
      </c>
      <c r="P13" s="78">
        <v>10</v>
      </c>
      <c r="Q13" s="78">
        <v>3</v>
      </c>
      <c r="R13" s="78"/>
      <c r="S13" s="721">
        <f t="shared" si="0"/>
        <v>33</v>
      </c>
      <c r="T13" s="129">
        <v>318</v>
      </c>
      <c r="U13" s="78">
        <v>177</v>
      </c>
      <c r="V13" s="78">
        <v>320</v>
      </c>
      <c r="W13" s="78">
        <v>159</v>
      </c>
      <c r="X13" s="78">
        <v>321</v>
      </c>
      <c r="Y13" s="78">
        <v>159</v>
      </c>
      <c r="Z13" s="722">
        <f t="shared" si="1"/>
        <v>959</v>
      </c>
      <c r="AA13" s="723">
        <f t="shared" si="1"/>
        <v>495</v>
      </c>
      <c r="AB13" s="79">
        <v>19</v>
      </c>
      <c r="AC13" s="1289">
        <v>2</v>
      </c>
      <c r="AD13" s="78">
        <v>0</v>
      </c>
      <c r="AE13" s="78">
        <v>0</v>
      </c>
    </row>
    <row r="14" spans="1:31" s="81" customFormat="1" ht="17.100000000000001" customHeight="1">
      <c r="A14" s="730" t="s">
        <v>25</v>
      </c>
      <c r="B14" s="167" t="s">
        <v>131</v>
      </c>
      <c r="C14" s="167" t="s">
        <v>131</v>
      </c>
      <c r="D14" s="167" t="s">
        <v>4</v>
      </c>
      <c r="E14" s="167" t="s">
        <v>144</v>
      </c>
      <c r="F14" s="167" t="s">
        <v>4655</v>
      </c>
      <c r="G14" s="130">
        <v>17072</v>
      </c>
      <c r="H14" s="154" t="s">
        <v>4656</v>
      </c>
      <c r="I14" s="140">
        <v>26902</v>
      </c>
      <c r="J14" s="719">
        <v>22163</v>
      </c>
      <c r="K14" s="55" t="s">
        <v>4657</v>
      </c>
      <c r="L14" s="55" t="s">
        <v>4658</v>
      </c>
      <c r="M14" s="720" t="s">
        <v>4659</v>
      </c>
      <c r="N14" s="79">
        <v>6</v>
      </c>
      <c r="O14" s="78">
        <v>6</v>
      </c>
      <c r="P14" s="78">
        <v>6</v>
      </c>
      <c r="Q14" s="78">
        <v>3</v>
      </c>
      <c r="R14" s="78"/>
      <c r="S14" s="721">
        <f t="shared" si="0"/>
        <v>21</v>
      </c>
      <c r="T14" s="129">
        <v>164</v>
      </c>
      <c r="U14" s="78">
        <v>0</v>
      </c>
      <c r="V14" s="78">
        <v>168</v>
      </c>
      <c r="W14" s="78">
        <v>0</v>
      </c>
      <c r="X14" s="78">
        <v>147</v>
      </c>
      <c r="Y14" s="78">
        <v>0</v>
      </c>
      <c r="Z14" s="722">
        <f t="shared" si="1"/>
        <v>479</v>
      </c>
      <c r="AA14" s="723">
        <f t="shared" si="1"/>
        <v>0</v>
      </c>
      <c r="AB14" s="79">
        <v>23</v>
      </c>
      <c r="AC14" s="1289">
        <v>0</v>
      </c>
      <c r="AD14" s="78">
        <v>0</v>
      </c>
      <c r="AE14" s="78">
        <v>0</v>
      </c>
    </row>
    <row r="15" spans="1:31" s="81" customFormat="1" ht="17.100000000000001" customHeight="1">
      <c r="A15" s="730" t="s">
        <v>25</v>
      </c>
      <c r="B15" s="167" t="s">
        <v>131</v>
      </c>
      <c r="C15" s="167" t="s">
        <v>131</v>
      </c>
      <c r="D15" s="167" t="s">
        <v>4</v>
      </c>
      <c r="E15" s="167" t="s">
        <v>24</v>
      </c>
      <c r="F15" s="167" t="s">
        <v>4660</v>
      </c>
      <c r="G15" s="130">
        <v>23694</v>
      </c>
      <c r="H15" s="154" t="s">
        <v>552</v>
      </c>
      <c r="I15" s="140">
        <v>24009</v>
      </c>
      <c r="J15" s="719">
        <v>22100</v>
      </c>
      <c r="K15" s="55" t="s">
        <v>453</v>
      </c>
      <c r="L15" s="55" t="s">
        <v>454</v>
      </c>
      <c r="M15" s="720" t="s">
        <v>455</v>
      </c>
      <c r="N15" s="79">
        <v>10</v>
      </c>
      <c r="O15" s="78">
        <v>10</v>
      </c>
      <c r="P15" s="78">
        <v>9</v>
      </c>
      <c r="Q15" s="78">
        <v>3</v>
      </c>
      <c r="R15" s="78"/>
      <c r="S15" s="721">
        <f t="shared" si="0"/>
        <v>32</v>
      </c>
      <c r="T15" s="129">
        <v>307</v>
      </c>
      <c r="U15" s="78">
        <v>307</v>
      </c>
      <c r="V15" s="78">
        <v>319</v>
      </c>
      <c r="W15" s="78">
        <v>319</v>
      </c>
      <c r="X15" s="78">
        <v>281</v>
      </c>
      <c r="Y15" s="78">
        <v>281</v>
      </c>
      <c r="Z15" s="722">
        <f t="shared" si="1"/>
        <v>907</v>
      </c>
      <c r="AA15" s="723">
        <f t="shared" si="1"/>
        <v>907</v>
      </c>
      <c r="AB15" s="314">
        <v>14</v>
      </c>
      <c r="AC15" s="1292">
        <v>14</v>
      </c>
      <c r="AD15" s="78">
        <v>0</v>
      </c>
      <c r="AE15" s="78">
        <v>0</v>
      </c>
    </row>
    <row r="16" spans="1:31" s="81" customFormat="1" ht="17.100000000000001" customHeight="1">
      <c r="A16" s="730" t="s">
        <v>25</v>
      </c>
      <c r="B16" s="167" t="s">
        <v>131</v>
      </c>
      <c r="C16" s="167" t="s">
        <v>131</v>
      </c>
      <c r="D16" s="167" t="s">
        <v>4</v>
      </c>
      <c r="E16" s="167" t="s">
        <v>24</v>
      </c>
      <c r="F16" s="167" t="s">
        <v>2076</v>
      </c>
      <c r="G16" s="130">
        <v>29281</v>
      </c>
      <c r="H16" s="154" t="s">
        <v>4661</v>
      </c>
      <c r="I16" s="140">
        <v>24612</v>
      </c>
      <c r="J16" s="719">
        <v>22228</v>
      </c>
      <c r="K16" s="55" t="s">
        <v>4662</v>
      </c>
      <c r="L16" s="55" t="s">
        <v>4663</v>
      </c>
      <c r="M16" s="720" t="s">
        <v>456</v>
      </c>
      <c r="N16" s="79">
        <v>4</v>
      </c>
      <c r="O16" s="78">
        <v>5</v>
      </c>
      <c r="P16" s="78">
        <v>5</v>
      </c>
      <c r="Q16" s="78">
        <v>3</v>
      </c>
      <c r="R16" s="78">
        <v>0</v>
      </c>
      <c r="S16" s="721">
        <f t="shared" si="0"/>
        <v>17</v>
      </c>
      <c r="T16" s="129">
        <v>86</v>
      </c>
      <c r="U16" s="78">
        <v>86</v>
      </c>
      <c r="V16" s="78">
        <v>137</v>
      </c>
      <c r="W16" s="78">
        <v>137</v>
      </c>
      <c r="X16" s="78">
        <v>134</v>
      </c>
      <c r="Y16" s="78">
        <v>134</v>
      </c>
      <c r="Z16" s="722">
        <f t="shared" si="1"/>
        <v>357</v>
      </c>
      <c r="AA16" s="723">
        <f t="shared" si="1"/>
        <v>357</v>
      </c>
      <c r="AB16" s="79">
        <v>18</v>
      </c>
      <c r="AC16" s="1289">
        <v>18</v>
      </c>
      <c r="AD16" s="78">
        <v>0</v>
      </c>
      <c r="AE16" s="78">
        <v>0</v>
      </c>
    </row>
    <row r="17" spans="1:31" s="81" customFormat="1" ht="17.100000000000001" customHeight="1">
      <c r="A17" s="1673" t="s">
        <v>409</v>
      </c>
      <c r="B17" s="1674"/>
      <c r="C17" s="1674"/>
      <c r="D17" s="1674"/>
      <c r="E17" s="1127">
        <f>COUNTA(E6:E16)</f>
        <v>11</v>
      </c>
      <c r="F17" s="1128"/>
      <c r="G17" s="1129"/>
      <c r="H17" s="1130"/>
      <c r="I17" s="1131"/>
      <c r="J17" s="1132"/>
      <c r="K17" s="1130"/>
      <c r="L17" s="1130"/>
      <c r="M17" s="1133"/>
      <c r="N17" s="1134">
        <f t="shared" ref="N17:AE17" si="2">SUM(N6:N16)</f>
        <v>79</v>
      </c>
      <c r="O17" s="1135">
        <f t="shared" si="2"/>
        <v>86</v>
      </c>
      <c r="P17" s="1135">
        <f t="shared" si="2"/>
        <v>83</v>
      </c>
      <c r="Q17" s="1135">
        <f t="shared" si="2"/>
        <v>28</v>
      </c>
      <c r="R17" s="1135">
        <f t="shared" si="2"/>
        <v>0</v>
      </c>
      <c r="S17" s="1136">
        <f t="shared" si="2"/>
        <v>276</v>
      </c>
      <c r="T17" s="1137">
        <f t="shared" si="2"/>
        <v>2149</v>
      </c>
      <c r="U17" s="1135">
        <f t="shared" si="2"/>
        <v>1280</v>
      </c>
      <c r="V17" s="1135">
        <f t="shared" si="2"/>
        <v>2438</v>
      </c>
      <c r="W17" s="1135">
        <f t="shared" si="2"/>
        <v>1476</v>
      </c>
      <c r="X17" s="1135">
        <f t="shared" si="2"/>
        <v>2374</v>
      </c>
      <c r="Y17" s="1135">
        <f t="shared" si="2"/>
        <v>1429</v>
      </c>
      <c r="Z17" s="1135">
        <f t="shared" si="2"/>
        <v>6961</v>
      </c>
      <c r="AA17" s="1138">
        <f t="shared" si="2"/>
        <v>4185</v>
      </c>
      <c r="AB17" s="1134">
        <f t="shared" si="2"/>
        <v>156</v>
      </c>
      <c r="AC17" s="1136">
        <f t="shared" si="2"/>
        <v>67</v>
      </c>
      <c r="AD17" s="1137">
        <f t="shared" si="2"/>
        <v>0</v>
      </c>
      <c r="AE17" s="1136">
        <f t="shared" si="2"/>
        <v>0</v>
      </c>
    </row>
    <row r="18" spans="1:31" s="81" customFormat="1" ht="17.100000000000001" customHeight="1">
      <c r="A18" s="730" t="s">
        <v>25</v>
      </c>
      <c r="B18" s="167" t="s">
        <v>131</v>
      </c>
      <c r="C18" s="167" t="s">
        <v>131</v>
      </c>
      <c r="D18" s="167" t="s">
        <v>445</v>
      </c>
      <c r="E18" s="167" t="s">
        <v>2859</v>
      </c>
      <c r="F18" s="167" t="s">
        <v>462</v>
      </c>
      <c r="G18" s="130">
        <v>25265</v>
      </c>
      <c r="H18" s="154" t="s">
        <v>233</v>
      </c>
      <c r="I18" s="140">
        <v>48526</v>
      </c>
      <c r="J18" s="719">
        <v>22211</v>
      </c>
      <c r="K18" s="55" t="s">
        <v>457</v>
      </c>
      <c r="L18" s="55" t="s">
        <v>458</v>
      </c>
      <c r="M18" s="720" t="s">
        <v>459</v>
      </c>
      <c r="N18" s="79">
        <v>9</v>
      </c>
      <c r="O18" s="78">
        <v>9</v>
      </c>
      <c r="P18" s="78">
        <v>9</v>
      </c>
      <c r="Q18" s="78">
        <v>0</v>
      </c>
      <c r="R18" s="78">
        <v>0</v>
      </c>
      <c r="S18" s="721">
        <f t="shared" si="0"/>
        <v>27</v>
      </c>
      <c r="T18" s="129">
        <v>190</v>
      </c>
      <c r="U18" s="78">
        <v>0</v>
      </c>
      <c r="V18" s="78">
        <v>258</v>
      </c>
      <c r="W18" s="78">
        <v>0</v>
      </c>
      <c r="X18" s="78">
        <v>259</v>
      </c>
      <c r="Y18" s="78">
        <v>0</v>
      </c>
      <c r="Z18" s="722">
        <f t="shared" si="1"/>
        <v>707</v>
      </c>
      <c r="AA18" s="723">
        <f t="shared" si="1"/>
        <v>0</v>
      </c>
      <c r="AB18" s="79">
        <v>0</v>
      </c>
      <c r="AC18" s="80">
        <v>0</v>
      </c>
      <c r="AD18" s="129">
        <v>0</v>
      </c>
      <c r="AE18" s="80">
        <v>0</v>
      </c>
    </row>
    <row r="19" spans="1:31" s="81" customFormat="1" ht="17.100000000000001" customHeight="1">
      <c r="A19" s="1669" t="s">
        <v>410</v>
      </c>
      <c r="B19" s="1670"/>
      <c r="C19" s="1670"/>
      <c r="D19" s="1670"/>
      <c r="E19" s="1139">
        <f>COUNTA(E18)</f>
        <v>1</v>
      </c>
      <c r="F19" s="823"/>
      <c r="G19" s="1140"/>
      <c r="H19" s="1141"/>
      <c r="I19" s="1142"/>
      <c r="J19" s="1143"/>
      <c r="K19" s="1141"/>
      <c r="L19" s="1141"/>
      <c r="M19" s="1144"/>
      <c r="N19" s="1145">
        <f t="shared" ref="N19:AE19" si="3">N18</f>
        <v>9</v>
      </c>
      <c r="O19" s="1146">
        <f t="shared" si="3"/>
        <v>9</v>
      </c>
      <c r="P19" s="1146">
        <f t="shared" si="3"/>
        <v>9</v>
      </c>
      <c r="Q19" s="1146">
        <f t="shared" si="3"/>
        <v>0</v>
      </c>
      <c r="R19" s="1146">
        <f t="shared" si="3"/>
        <v>0</v>
      </c>
      <c r="S19" s="1147">
        <f t="shared" si="3"/>
        <v>27</v>
      </c>
      <c r="T19" s="1148">
        <f t="shared" si="3"/>
        <v>190</v>
      </c>
      <c r="U19" s="1146">
        <f t="shared" si="3"/>
        <v>0</v>
      </c>
      <c r="V19" s="1146">
        <f t="shared" si="3"/>
        <v>258</v>
      </c>
      <c r="W19" s="1146">
        <f t="shared" si="3"/>
        <v>0</v>
      </c>
      <c r="X19" s="1146">
        <f t="shared" si="3"/>
        <v>259</v>
      </c>
      <c r="Y19" s="1146">
        <f t="shared" si="3"/>
        <v>0</v>
      </c>
      <c r="Z19" s="1146">
        <f t="shared" si="3"/>
        <v>707</v>
      </c>
      <c r="AA19" s="1149">
        <f t="shared" si="3"/>
        <v>0</v>
      </c>
      <c r="AB19" s="1145">
        <f t="shared" si="3"/>
        <v>0</v>
      </c>
      <c r="AC19" s="1147">
        <f t="shared" si="3"/>
        <v>0</v>
      </c>
      <c r="AD19" s="1148">
        <f t="shared" si="3"/>
        <v>0</v>
      </c>
      <c r="AE19" s="1147">
        <f t="shared" si="3"/>
        <v>0</v>
      </c>
    </row>
    <row r="20" spans="1:31" s="81" customFormat="1" ht="17.100000000000001" customHeight="1">
      <c r="A20" s="1671" t="s">
        <v>411</v>
      </c>
      <c r="B20" s="1672"/>
      <c r="C20" s="1672"/>
      <c r="D20" s="1672"/>
      <c r="E20" s="1672"/>
      <c r="F20" s="1150">
        <f>E17+E19</f>
        <v>12</v>
      </c>
      <c r="G20" s="1151"/>
      <c r="H20" s="1152"/>
      <c r="I20" s="1153"/>
      <c r="J20" s="1154"/>
      <c r="K20" s="1152"/>
      <c r="L20" s="1152"/>
      <c r="M20" s="1155"/>
      <c r="N20" s="1156">
        <f t="shared" ref="N20:AE20" si="4">N17+N19</f>
        <v>88</v>
      </c>
      <c r="O20" s="1157">
        <f t="shared" si="4"/>
        <v>95</v>
      </c>
      <c r="P20" s="1157">
        <f t="shared" si="4"/>
        <v>92</v>
      </c>
      <c r="Q20" s="1157">
        <f t="shared" si="4"/>
        <v>28</v>
      </c>
      <c r="R20" s="1157">
        <f t="shared" si="4"/>
        <v>0</v>
      </c>
      <c r="S20" s="1158">
        <f t="shared" si="4"/>
        <v>303</v>
      </c>
      <c r="T20" s="1159">
        <f t="shared" si="4"/>
        <v>2339</v>
      </c>
      <c r="U20" s="1157">
        <f t="shared" si="4"/>
        <v>1280</v>
      </c>
      <c r="V20" s="1157">
        <f t="shared" si="4"/>
        <v>2696</v>
      </c>
      <c r="W20" s="1157">
        <f t="shared" si="4"/>
        <v>1476</v>
      </c>
      <c r="X20" s="1157">
        <f t="shared" si="4"/>
        <v>2633</v>
      </c>
      <c r="Y20" s="1157">
        <f t="shared" si="4"/>
        <v>1429</v>
      </c>
      <c r="Z20" s="1157">
        <f t="shared" si="4"/>
        <v>7668</v>
      </c>
      <c r="AA20" s="1160">
        <f t="shared" si="4"/>
        <v>4185</v>
      </c>
      <c r="AB20" s="1156">
        <f t="shared" si="4"/>
        <v>156</v>
      </c>
      <c r="AC20" s="1158">
        <f t="shared" si="4"/>
        <v>67</v>
      </c>
      <c r="AD20" s="1297">
        <f t="shared" si="4"/>
        <v>0</v>
      </c>
      <c r="AE20" s="1298">
        <f t="shared" si="4"/>
        <v>0</v>
      </c>
    </row>
    <row r="21" spans="1:31" s="282" customFormat="1" ht="17.100000000000001" customHeight="1">
      <c r="A21" s="730" t="s">
        <v>25</v>
      </c>
      <c r="B21" s="167" t="s">
        <v>1904</v>
      </c>
      <c r="C21" s="167" t="s">
        <v>2821</v>
      </c>
      <c r="D21" s="167" t="s">
        <v>444</v>
      </c>
      <c r="E21" s="167" t="s">
        <v>1910</v>
      </c>
      <c r="F21" s="167" t="s">
        <v>4664</v>
      </c>
      <c r="G21" s="130">
        <v>33659</v>
      </c>
      <c r="H21" s="154" t="s">
        <v>4665</v>
      </c>
      <c r="I21" s="140">
        <v>11937</v>
      </c>
      <c r="J21" s="719">
        <v>22513</v>
      </c>
      <c r="K21" s="55" t="s">
        <v>4666</v>
      </c>
      <c r="L21" s="55" t="s">
        <v>4667</v>
      </c>
      <c r="M21" s="720" t="s">
        <v>4668</v>
      </c>
      <c r="N21" s="79">
        <v>5</v>
      </c>
      <c r="O21" s="78">
        <v>5</v>
      </c>
      <c r="P21" s="78">
        <v>5</v>
      </c>
      <c r="Q21" s="78">
        <v>4</v>
      </c>
      <c r="R21" s="78">
        <v>0</v>
      </c>
      <c r="S21" s="721">
        <f t="shared" si="0"/>
        <v>19</v>
      </c>
      <c r="T21" s="129">
        <v>111</v>
      </c>
      <c r="U21" s="78">
        <v>53</v>
      </c>
      <c r="V21" s="78">
        <v>115</v>
      </c>
      <c r="W21" s="78">
        <v>54</v>
      </c>
      <c r="X21" s="78">
        <v>110</v>
      </c>
      <c r="Y21" s="78">
        <v>57</v>
      </c>
      <c r="Z21" s="722">
        <f t="shared" si="1"/>
        <v>336</v>
      </c>
      <c r="AA21" s="723">
        <f t="shared" si="1"/>
        <v>164</v>
      </c>
      <c r="AB21" s="314">
        <v>26</v>
      </c>
      <c r="AC21" s="1292">
        <v>6</v>
      </c>
      <c r="AD21" s="78">
        <v>0</v>
      </c>
      <c r="AE21" s="78">
        <v>0</v>
      </c>
    </row>
    <row r="22" spans="1:31" s="282" customFormat="1" ht="17.100000000000001" customHeight="1">
      <c r="A22" s="1673" t="s">
        <v>463</v>
      </c>
      <c r="B22" s="1674"/>
      <c r="C22" s="1674"/>
      <c r="D22" s="1674"/>
      <c r="E22" s="1127">
        <f>COUNTA(E21)</f>
        <v>1</v>
      </c>
      <c r="F22" s="1161"/>
      <c r="G22" s="1162"/>
      <c r="H22" s="1130"/>
      <c r="I22" s="1163"/>
      <c r="J22" s="1164"/>
      <c r="K22" s="1165"/>
      <c r="L22" s="1165"/>
      <c r="M22" s="1166"/>
      <c r="N22" s="320">
        <f t="shared" ref="N22:AE22" si="5">N21</f>
        <v>5</v>
      </c>
      <c r="O22" s="321">
        <f t="shared" si="5"/>
        <v>5</v>
      </c>
      <c r="P22" s="321">
        <f t="shared" si="5"/>
        <v>5</v>
      </c>
      <c r="Q22" s="321">
        <f t="shared" si="5"/>
        <v>4</v>
      </c>
      <c r="R22" s="321">
        <f t="shared" si="5"/>
        <v>0</v>
      </c>
      <c r="S22" s="1167">
        <f t="shared" si="5"/>
        <v>19</v>
      </c>
      <c r="T22" s="322">
        <f t="shared" si="5"/>
        <v>111</v>
      </c>
      <c r="U22" s="321">
        <f t="shared" si="5"/>
        <v>53</v>
      </c>
      <c r="V22" s="321">
        <f t="shared" si="5"/>
        <v>115</v>
      </c>
      <c r="W22" s="321">
        <f t="shared" si="5"/>
        <v>54</v>
      </c>
      <c r="X22" s="321">
        <f t="shared" si="5"/>
        <v>110</v>
      </c>
      <c r="Y22" s="321">
        <f t="shared" si="5"/>
        <v>57</v>
      </c>
      <c r="Z22" s="321">
        <f t="shared" si="5"/>
        <v>336</v>
      </c>
      <c r="AA22" s="1168">
        <f t="shared" si="5"/>
        <v>164</v>
      </c>
      <c r="AB22" s="320">
        <f t="shared" si="5"/>
        <v>26</v>
      </c>
      <c r="AC22" s="1167">
        <f t="shared" si="5"/>
        <v>6</v>
      </c>
      <c r="AD22" s="322">
        <f t="shared" si="5"/>
        <v>0</v>
      </c>
      <c r="AE22" s="1167">
        <f t="shared" si="5"/>
        <v>0</v>
      </c>
    </row>
    <row r="23" spans="1:31" s="282" customFormat="1" ht="17.100000000000001" customHeight="1">
      <c r="A23" s="730" t="s">
        <v>25</v>
      </c>
      <c r="B23" s="167" t="s">
        <v>1904</v>
      </c>
      <c r="C23" s="167" t="s">
        <v>2820</v>
      </c>
      <c r="D23" s="167" t="s">
        <v>445</v>
      </c>
      <c r="E23" s="167" t="s">
        <v>2859</v>
      </c>
      <c r="F23" s="167" t="s">
        <v>4669</v>
      </c>
      <c r="G23" s="130">
        <v>14075</v>
      </c>
      <c r="H23" s="154" t="s">
        <v>464</v>
      </c>
      <c r="I23" s="140">
        <v>40143.300000000003</v>
      </c>
      <c r="J23" s="719">
        <v>22559</v>
      </c>
      <c r="K23" s="55" t="s">
        <v>4670</v>
      </c>
      <c r="L23" s="55" t="s">
        <v>4670</v>
      </c>
      <c r="M23" s="720" t="s">
        <v>465</v>
      </c>
      <c r="N23" s="79">
        <v>7</v>
      </c>
      <c r="O23" s="78">
        <v>7</v>
      </c>
      <c r="P23" s="78">
        <v>7</v>
      </c>
      <c r="Q23" s="78">
        <v>0</v>
      </c>
      <c r="R23" s="78">
        <v>0</v>
      </c>
      <c r="S23" s="721">
        <f t="shared" si="0"/>
        <v>21</v>
      </c>
      <c r="T23" s="129">
        <v>199</v>
      </c>
      <c r="U23" s="78">
        <v>0</v>
      </c>
      <c r="V23" s="78">
        <v>209</v>
      </c>
      <c r="W23" s="78">
        <v>0</v>
      </c>
      <c r="X23" s="78">
        <v>197</v>
      </c>
      <c r="Y23" s="78">
        <v>0</v>
      </c>
      <c r="Z23" s="722">
        <f t="shared" si="1"/>
        <v>605</v>
      </c>
      <c r="AA23" s="723">
        <f t="shared" si="1"/>
        <v>0</v>
      </c>
      <c r="AB23" s="79">
        <v>0</v>
      </c>
      <c r="AC23" s="80">
        <v>0</v>
      </c>
      <c r="AD23" s="129">
        <v>0</v>
      </c>
      <c r="AE23" s="80">
        <v>0</v>
      </c>
    </row>
    <row r="24" spans="1:31" s="282" customFormat="1" ht="17.100000000000001" customHeight="1">
      <c r="A24" s="730" t="s">
        <v>25</v>
      </c>
      <c r="B24" s="167" t="s">
        <v>1904</v>
      </c>
      <c r="C24" s="167" t="s">
        <v>2821</v>
      </c>
      <c r="D24" s="167" t="s">
        <v>445</v>
      </c>
      <c r="E24" s="167" t="s">
        <v>2859</v>
      </c>
      <c r="F24" s="167" t="s">
        <v>4671</v>
      </c>
      <c r="G24" s="130">
        <v>23806</v>
      </c>
      <c r="H24" s="154" t="s">
        <v>4672</v>
      </c>
      <c r="I24" s="140">
        <v>6541</v>
      </c>
      <c r="J24" s="719">
        <v>22573</v>
      </c>
      <c r="K24" s="55" t="s">
        <v>4673</v>
      </c>
      <c r="L24" s="55" t="s">
        <v>4674</v>
      </c>
      <c r="M24" s="720" t="s">
        <v>4675</v>
      </c>
      <c r="N24" s="79">
        <v>4</v>
      </c>
      <c r="O24" s="78">
        <v>5</v>
      </c>
      <c r="P24" s="78">
        <v>5</v>
      </c>
      <c r="Q24" s="78">
        <v>0</v>
      </c>
      <c r="R24" s="78">
        <v>0</v>
      </c>
      <c r="S24" s="721">
        <f t="shared" si="0"/>
        <v>14</v>
      </c>
      <c r="T24" s="129">
        <v>56</v>
      </c>
      <c r="U24" s="78">
        <v>0</v>
      </c>
      <c r="V24" s="78">
        <v>92</v>
      </c>
      <c r="W24" s="78">
        <v>0</v>
      </c>
      <c r="X24" s="78">
        <v>92</v>
      </c>
      <c r="Y24" s="78">
        <v>0</v>
      </c>
      <c r="Z24" s="722">
        <f t="shared" si="1"/>
        <v>240</v>
      </c>
      <c r="AA24" s="723">
        <f t="shared" si="1"/>
        <v>0</v>
      </c>
      <c r="AB24" s="79">
        <v>0</v>
      </c>
      <c r="AC24" s="80">
        <v>0</v>
      </c>
      <c r="AD24" s="129">
        <v>0</v>
      </c>
      <c r="AE24" s="80">
        <v>0</v>
      </c>
    </row>
    <row r="25" spans="1:31" s="282" customFormat="1" ht="17.100000000000001" customHeight="1">
      <c r="A25" s="1669" t="s">
        <v>412</v>
      </c>
      <c r="B25" s="1670"/>
      <c r="C25" s="1670"/>
      <c r="D25" s="1670"/>
      <c r="E25" s="1139">
        <f>COUNTA(E23:E24)</f>
        <v>2</v>
      </c>
      <c r="F25" s="1169"/>
      <c r="G25" s="1170"/>
      <c r="H25" s="1141"/>
      <c r="I25" s="295"/>
      <c r="J25" s="1171"/>
      <c r="K25" s="1172"/>
      <c r="L25" s="1172"/>
      <c r="M25" s="1173"/>
      <c r="N25" s="298">
        <f>SUM(N23:N24)</f>
        <v>11</v>
      </c>
      <c r="O25" s="299">
        <f>SUM(O23:O24)</f>
        <v>12</v>
      </c>
      <c r="P25" s="299">
        <f t="shared" ref="P25:AE25" si="6">SUM(P23:P24)</f>
        <v>12</v>
      </c>
      <c r="Q25" s="299">
        <f t="shared" si="6"/>
        <v>0</v>
      </c>
      <c r="R25" s="299">
        <f t="shared" si="6"/>
        <v>0</v>
      </c>
      <c r="S25" s="1174">
        <f>SUM(S23:S24)</f>
        <v>35</v>
      </c>
      <c r="T25" s="326">
        <f>SUM(T23:T24)</f>
        <v>255</v>
      </c>
      <c r="U25" s="299">
        <f>SUM(U23:U24)</f>
        <v>0</v>
      </c>
      <c r="V25" s="299">
        <f t="shared" si="6"/>
        <v>301</v>
      </c>
      <c r="W25" s="299">
        <f t="shared" si="6"/>
        <v>0</v>
      </c>
      <c r="X25" s="299">
        <f t="shared" si="6"/>
        <v>289</v>
      </c>
      <c r="Y25" s="299">
        <f t="shared" si="6"/>
        <v>0</v>
      </c>
      <c r="Z25" s="299">
        <f t="shared" si="6"/>
        <v>845</v>
      </c>
      <c r="AA25" s="1175">
        <f t="shared" si="6"/>
        <v>0</v>
      </c>
      <c r="AB25" s="298">
        <f t="shared" si="6"/>
        <v>0</v>
      </c>
      <c r="AC25" s="1174">
        <f t="shared" si="6"/>
        <v>0</v>
      </c>
      <c r="AD25" s="326">
        <f t="shared" si="6"/>
        <v>0</v>
      </c>
      <c r="AE25" s="1174">
        <f t="shared" si="6"/>
        <v>0</v>
      </c>
    </row>
    <row r="26" spans="1:31" s="282" customFormat="1" ht="17.100000000000001" customHeight="1">
      <c r="A26" s="1675" t="s">
        <v>413</v>
      </c>
      <c r="B26" s="1676"/>
      <c r="C26" s="1676"/>
      <c r="D26" s="1676"/>
      <c r="E26" s="1676"/>
      <c r="F26" s="1150">
        <f>E22+E25</f>
        <v>3</v>
      </c>
      <c r="G26" s="1176"/>
      <c r="H26" s="1152"/>
      <c r="I26" s="304"/>
      <c r="J26" s="1177"/>
      <c r="K26" s="1178"/>
      <c r="L26" s="1178"/>
      <c r="M26" s="1179"/>
      <c r="N26" s="307">
        <f>N22+N25</f>
        <v>16</v>
      </c>
      <c r="O26" s="308">
        <f>O22+O25</f>
        <v>17</v>
      </c>
      <c r="P26" s="308">
        <f t="shared" ref="P26:AE26" si="7">P22+P25</f>
        <v>17</v>
      </c>
      <c r="Q26" s="308">
        <f t="shared" si="7"/>
        <v>4</v>
      </c>
      <c r="R26" s="308">
        <f t="shared" si="7"/>
        <v>0</v>
      </c>
      <c r="S26" s="1180">
        <f t="shared" si="7"/>
        <v>54</v>
      </c>
      <c r="T26" s="324">
        <f t="shared" si="7"/>
        <v>366</v>
      </c>
      <c r="U26" s="308">
        <f t="shared" si="7"/>
        <v>53</v>
      </c>
      <c r="V26" s="308">
        <f t="shared" si="7"/>
        <v>416</v>
      </c>
      <c r="W26" s="308">
        <f t="shared" si="7"/>
        <v>54</v>
      </c>
      <c r="X26" s="308">
        <f t="shared" si="7"/>
        <v>399</v>
      </c>
      <c r="Y26" s="308">
        <f t="shared" si="7"/>
        <v>57</v>
      </c>
      <c r="Z26" s="308">
        <f t="shared" si="7"/>
        <v>1181</v>
      </c>
      <c r="AA26" s="1181">
        <f t="shared" si="7"/>
        <v>164</v>
      </c>
      <c r="AB26" s="307">
        <f t="shared" si="7"/>
        <v>26</v>
      </c>
      <c r="AC26" s="1180">
        <f t="shared" si="7"/>
        <v>6</v>
      </c>
      <c r="AD26" s="1299">
        <f t="shared" si="7"/>
        <v>0</v>
      </c>
      <c r="AE26" s="1300">
        <f t="shared" si="7"/>
        <v>0</v>
      </c>
    </row>
    <row r="27" spans="1:31" s="81" customFormat="1" ht="17.100000000000001" customHeight="1">
      <c r="A27" s="730" t="s">
        <v>25</v>
      </c>
      <c r="B27" s="167" t="s">
        <v>1905</v>
      </c>
      <c r="C27" s="167" t="s">
        <v>1905</v>
      </c>
      <c r="D27" s="167" t="s">
        <v>444</v>
      </c>
      <c r="E27" s="167" t="s">
        <v>26</v>
      </c>
      <c r="F27" s="167" t="s">
        <v>4676</v>
      </c>
      <c r="G27" s="130">
        <v>28550</v>
      </c>
      <c r="H27" s="154" t="s">
        <v>4677</v>
      </c>
      <c r="I27" s="140">
        <v>15070</v>
      </c>
      <c r="J27" s="719">
        <v>23105</v>
      </c>
      <c r="K27" s="55" t="s">
        <v>4678</v>
      </c>
      <c r="L27" s="55" t="s">
        <v>4678</v>
      </c>
      <c r="M27" s="720" t="s">
        <v>4679</v>
      </c>
      <c r="N27" s="79">
        <v>1</v>
      </c>
      <c r="O27" s="78">
        <v>1</v>
      </c>
      <c r="P27" s="78">
        <v>1</v>
      </c>
      <c r="Q27" s="78">
        <v>0</v>
      </c>
      <c r="R27" s="78">
        <v>0</v>
      </c>
      <c r="S27" s="721">
        <f t="shared" si="0"/>
        <v>3</v>
      </c>
      <c r="T27" s="129">
        <v>4</v>
      </c>
      <c r="U27" s="78">
        <v>2</v>
      </c>
      <c r="V27" s="78">
        <v>5</v>
      </c>
      <c r="W27" s="78">
        <v>2</v>
      </c>
      <c r="X27" s="78">
        <v>7</v>
      </c>
      <c r="Y27" s="78">
        <v>3</v>
      </c>
      <c r="Z27" s="722">
        <f t="shared" si="1"/>
        <v>16</v>
      </c>
      <c r="AA27" s="723">
        <f t="shared" si="1"/>
        <v>7</v>
      </c>
      <c r="AB27" s="79">
        <v>0</v>
      </c>
      <c r="AC27" s="1289">
        <v>0</v>
      </c>
      <c r="AD27" s="78">
        <v>0</v>
      </c>
      <c r="AE27" s="78">
        <v>0</v>
      </c>
    </row>
    <row r="28" spans="1:31" s="81" customFormat="1" ht="17.100000000000001" customHeight="1">
      <c r="A28" s="730" t="s">
        <v>25</v>
      </c>
      <c r="B28" s="167" t="s">
        <v>1905</v>
      </c>
      <c r="C28" s="167" t="s">
        <v>1905</v>
      </c>
      <c r="D28" s="167" t="s">
        <v>444</v>
      </c>
      <c r="E28" s="167" t="s">
        <v>26</v>
      </c>
      <c r="F28" s="167" t="s">
        <v>4680</v>
      </c>
      <c r="G28" s="130">
        <v>20280</v>
      </c>
      <c r="H28" s="154" t="s">
        <v>367</v>
      </c>
      <c r="I28" s="140">
        <v>18696</v>
      </c>
      <c r="J28" s="719">
        <v>23130</v>
      </c>
      <c r="K28" s="55" t="s">
        <v>368</v>
      </c>
      <c r="L28" s="55" t="s">
        <v>369</v>
      </c>
      <c r="M28" s="720" t="s">
        <v>370</v>
      </c>
      <c r="N28" s="79">
        <v>1</v>
      </c>
      <c r="O28" s="78">
        <v>1</v>
      </c>
      <c r="P28" s="78">
        <v>1</v>
      </c>
      <c r="Q28" s="78">
        <v>0</v>
      </c>
      <c r="R28" s="78">
        <v>0</v>
      </c>
      <c r="S28" s="721">
        <f t="shared" si="0"/>
        <v>3</v>
      </c>
      <c r="T28" s="129">
        <v>2</v>
      </c>
      <c r="U28" s="78">
        <v>1</v>
      </c>
      <c r="V28" s="78">
        <v>3</v>
      </c>
      <c r="W28" s="78">
        <v>1</v>
      </c>
      <c r="X28" s="78">
        <v>4</v>
      </c>
      <c r="Y28" s="78">
        <v>0</v>
      </c>
      <c r="Z28" s="722">
        <f t="shared" si="1"/>
        <v>9</v>
      </c>
      <c r="AA28" s="723">
        <f t="shared" si="1"/>
        <v>2</v>
      </c>
      <c r="AB28" s="79">
        <v>0</v>
      </c>
      <c r="AC28" s="1289">
        <v>0</v>
      </c>
      <c r="AD28" s="78">
        <v>0</v>
      </c>
      <c r="AE28" s="78">
        <v>0</v>
      </c>
    </row>
    <row r="29" spans="1:31" s="81" customFormat="1" ht="17.100000000000001" customHeight="1">
      <c r="A29" s="730" t="s">
        <v>25</v>
      </c>
      <c r="B29" s="167" t="s">
        <v>1905</v>
      </c>
      <c r="C29" s="167" t="s">
        <v>1905</v>
      </c>
      <c r="D29" s="167" t="s">
        <v>444</v>
      </c>
      <c r="E29" s="167" t="s">
        <v>26</v>
      </c>
      <c r="F29" s="167" t="s">
        <v>4681</v>
      </c>
      <c r="G29" s="130">
        <v>20212</v>
      </c>
      <c r="H29" s="154" t="s">
        <v>4682</v>
      </c>
      <c r="I29" s="140">
        <v>19731</v>
      </c>
      <c r="J29" s="719">
        <v>23103</v>
      </c>
      <c r="K29" s="55" t="s">
        <v>4683</v>
      </c>
      <c r="L29" s="55" t="s">
        <v>4684</v>
      </c>
      <c r="M29" s="720" t="s">
        <v>4685</v>
      </c>
      <c r="N29" s="79">
        <v>2</v>
      </c>
      <c r="O29" s="78">
        <v>2</v>
      </c>
      <c r="P29" s="78">
        <v>2</v>
      </c>
      <c r="Q29" s="78">
        <v>1</v>
      </c>
      <c r="R29" s="78">
        <v>0</v>
      </c>
      <c r="S29" s="721">
        <f t="shared" si="0"/>
        <v>7</v>
      </c>
      <c r="T29" s="129">
        <v>13</v>
      </c>
      <c r="U29" s="78">
        <v>6</v>
      </c>
      <c r="V29" s="78">
        <v>23</v>
      </c>
      <c r="W29" s="78">
        <v>12</v>
      </c>
      <c r="X29" s="78">
        <v>25</v>
      </c>
      <c r="Y29" s="78">
        <v>11</v>
      </c>
      <c r="Z29" s="722">
        <f t="shared" si="1"/>
        <v>61</v>
      </c>
      <c r="AA29" s="723">
        <f t="shared" si="1"/>
        <v>29</v>
      </c>
      <c r="AB29" s="79">
        <v>2</v>
      </c>
      <c r="AC29" s="1289">
        <v>0</v>
      </c>
      <c r="AD29" s="78">
        <v>0</v>
      </c>
      <c r="AE29" s="78">
        <v>0</v>
      </c>
    </row>
    <row r="30" spans="1:31" s="81" customFormat="1" ht="17.100000000000001" customHeight="1">
      <c r="A30" s="730" t="s">
        <v>25</v>
      </c>
      <c r="B30" s="167" t="s">
        <v>1905</v>
      </c>
      <c r="C30" s="167" t="s">
        <v>1905</v>
      </c>
      <c r="D30" s="167" t="s">
        <v>444</v>
      </c>
      <c r="E30" s="167" t="s">
        <v>26</v>
      </c>
      <c r="F30" s="167" t="s">
        <v>4686</v>
      </c>
      <c r="G30" s="130">
        <v>17264</v>
      </c>
      <c r="H30" s="154" t="s">
        <v>4687</v>
      </c>
      <c r="I30" s="140">
        <v>20121</v>
      </c>
      <c r="J30" s="719">
        <v>23108</v>
      </c>
      <c r="K30" s="55" t="s">
        <v>4688</v>
      </c>
      <c r="L30" s="55" t="s">
        <v>4689</v>
      </c>
      <c r="M30" s="720" t="s">
        <v>4690</v>
      </c>
      <c r="N30" s="79">
        <v>1</v>
      </c>
      <c r="O30" s="78">
        <v>1</v>
      </c>
      <c r="P30" s="78">
        <v>1</v>
      </c>
      <c r="Q30" s="78">
        <v>0</v>
      </c>
      <c r="R30" s="78">
        <v>0</v>
      </c>
      <c r="S30" s="721">
        <f t="shared" si="0"/>
        <v>3</v>
      </c>
      <c r="T30" s="129">
        <v>6</v>
      </c>
      <c r="U30" s="78">
        <v>3</v>
      </c>
      <c r="V30" s="78">
        <v>2</v>
      </c>
      <c r="W30" s="78">
        <v>2</v>
      </c>
      <c r="X30" s="78">
        <v>1</v>
      </c>
      <c r="Y30" s="78">
        <v>1</v>
      </c>
      <c r="Z30" s="722">
        <f t="shared" si="1"/>
        <v>9</v>
      </c>
      <c r="AA30" s="723">
        <f t="shared" si="1"/>
        <v>6</v>
      </c>
      <c r="AB30" s="79">
        <v>0</v>
      </c>
      <c r="AC30" s="1289">
        <v>0</v>
      </c>
      <c r="AD30" s="78">
        <v>0</v>
      </c>
      <c r="AE30" s="78">
        <v>0</v>
      </c>
    </row>
    <row r="31" spans="1:31" s="81" customFormat="1" ht="17.100000000000001" customHeight="1">
      <c r="A31" s="730" t="s">
        <v>25</v>
      </c>
      <c r="B31" s="167" t="s">
        <v>1905</v>
      </c>
      <c r="C31" s="167" t="s">
        <v>1905</v>
      </c>
      <c r="D31" s="167" t="s">
        <v>444</v>
      </c>
      <c r="E31" s="167" t="s">
        <v>26</v>
      </c>
      <c r="F31" s="167" t="s">
        <v>4691</v>
      </c>
      <c r="G31" s="130">
        <v>23802</v>
      </c>
      <c r="H31" s="154" t="s">
        <v>4692</v>
      </c>
      <c r="I31" s="140">
        <v>16924</v>
      </c>
      <c r="J31" s="719">
        <v>23118</v>
      </c>
      <c r="K31" s="55" t="s">
        <v>4693</v>
      </c>
      <c r="L31" s="55" t="s">
        <v>4694</v>
      </c>
      <c r="M31" s="720" t="s">
        <v>4695</v>
      </c>
      <c r="N31" s="79">
        <v>2</v>
      </c>
      <c r="O31" s="78">
        <v>2</v>
      </c>
      <c r="P31" s="78">
        <v>2</v>
      </c>
      <c r="Q31" s="78">
        <v>1</v>
      </c>
      <c r="R31" s="78">
        <v>0</v>
      </c>
      <c r="S31" s="721">
        <f t="shared" si="0"/>
        <v>7</v>
      </c>
      <c r="T31" s="129">
        <v>33</v>
      </c>
      <c r="U31" s="78">
        <v>8</v>
      </c>
      <c r="V31" s="78">
        <v>31</v>
      </c>
      <c r="W31" s="78">
        <v>17</v>
      </c>
      <c r="X31" s="78">
        <v>40</v>
      </c>
      <c r="Y31" s="78">
        <v>18</v>
      </c>
      <c r="Z31" s="722">
        <f t="shared" si="1"/>
        <v>104</v>
      </c>
      <c r="AA31" s="723">
        <f t="shared" si="1"/>
        <v>43</v>
      </c>
      <c r="AB31" s="79">
        <v>2</v>
      </c>
      <c r="AC31" s="1289">
        <v>2</v>
      </c>
      <c r="AD31" s="78">
        <v>0</v>
      </c>
      <c r="AE31" s="78">
        <v>0</v>
      </c>
    </row>
    <row r="32" spans="1:31" s="81" customFormat="1" ht="17.100000000000001" customHeight="1">
      <c r="A32" s="1673" t="s">
        <v>414</v>
      </c>
      <c r="B32" s="1674"/>
      <c r="C32" s="1674"/>
      <c r="D32" s="1674"/>
      <c r="E32" s="1127">
        <f>COUNTA(E27:E31)</f>
        <v>5</v>
      </c>
      <c r="F32" s="1161"/>
      <c r="G32" s="1162"/>
      <c r="H32" s="1130"/>
      <c r="I32" s="1163"/>
      <c r="J32" s="1164"/>
      <c r="K32" s="1165"/>
      <c r="L32" s="1165"/>
      <c r="M32" s="1166"/>
      <c r="N32" s="320">
        <f>SUM(N27:N31)</f>
        <v>7</v>
      </c>
      <c r="O32" s="321">
        <f t="shared" ref="O32:AE32" si="8">SUM(O27:O31)</f>
        <v>7</v>
      </c>
      <c r="P32" s="321">
        <f t="shared" si="8"/>
        <v>7</v>
      </c>
      <c r="Q32" s="321">
        <f t="shared" si="8"/>
        <v>2</v>
      </c>
      <c r="R32" s="321">
        <f t="shared" si="8"/>
        <v>0</v>
      </c>
      <c r="S32" s="1167">
        <f t="shared" si="8"/>
        <v>23</v>
      </c>
      <c r="T32" s="322">
        <f>SUM(T27:T31)</f>
        <v>58</v>
      </c>
      <c r="U32" s="321">
        <f t="shared" si="8"/>
        <v>20</v>
      </c>
      <c r="V32" s="321">
        <f t="shared" si="8"/>
        <v>64</v>
      </c>
      <c r="W32" s="321">
        <f t="shared" si="8"/>
        <v>34</v>
      </c>
      <c r="X32" s="321">
        <f t="shared" si="8"/>
        <v>77</v>
      </c>
      <c r="Y32" s="321">
        <f t="shared" si="8"/>
        <v>33</v>
      </c>
      <c r="Z32" s="321">
        <f t="shared" si="8"/>
        <v>199</v>
      </c>
      <c r="AA32" s="1168">
        <f t="shared" si="8"/>
        <v>87</v>
      </c>
      <c r="AB32" s="320">
        <f t="shared" si="8"/>
        <v>4</v>
      </c>
      <c r="AC32" s="1167">
        <f t="shared" si="8"/>
        <v>2</v>
      </c>
      <c r="AD32" s="322">
        <f t="shared" si="8"/>
        <v>0</v>
      </c>
      <c r="AE32" s="1167">
        <f t="shared" si="8"/>
        <v>0</v>
      </c>
    </row>
    <row r="33" spans="1:31" s="81" customFormat="1" ht="17.100000000000001" customHeight="1">
      <c r="A33" s="1675" t="s">
        <v>415</v>
      </c>
      <c r="B33" s="1676"/>
      <c r="C33" s="1676"/>
      <c r="D33" s="1676"/>
      <c r="E33" s="1676"/>
      <c r="F33" s="1150">
        <f>E32</f>
        <v>5</v>
      </c>
      <c r="G33" s="1176"/>
      <c r="H33" s="1152"/>
      <c r="I33" s="304"/>
      <c r="J33" s="1177"/>
      <c r="K33" s="1178"/>
      <c r="L33" s="1178"/>
      <c r="M33" s="1179"/>
      <c r="N33" s="307">
        <f>N32</f>
        <v>7</v>
      </c>
      <c r="O33" s="308">
        <f t="shared" ref="O33:AE33" si="9">O32</f>
        <v>7</v>
      </c>
      <c r="P33" s="308">
        <f t="shared" si="9"/>
        <v>7</v>
      </c>
      <c r="Q33" s="308">
        <f t="shared" si="9"/>
        <v>2</v>
      </c>
      <c r="R33" s="308">
        <f t="shared" si="9"/>
        <v>0</v>
      </c>
      <c r="S33" s="1180">
        <f t="shared" si="9"/>
        <v>23</v>
      </c>
      <c r="T33" s="324">
        <f t="shared" si="9"/>
        <v>58</v>
      </c>
      <c r="U33" s="308">
        <f t="shared" si="9"/>
        <v>20</v>
      </c>
      <c r="V33" s="308">
        <f t="shared" si="9"/>
        <v>64</v>
      </c>
      <c r="W33" s="308">
        <f t="shared" si="9"/>
        <v>34</v>
      </c>
      <c r="X33" s="308">
        <f t="shared" si="9"/>
        <v>77</v>
      </c>
      <c r="Y33" s="308">
        <f t="shared" si="9"/>
        <v>33</v>
      </c>
      <c r="Z33" s="308">
        <f t="shared" si="9"/>
        <v>199</v>
      </c>
      <c r="AA33" s="1181">
        <f t="shared" si="9"/>
        <v>87</v>
      </c>
      <c r="AB33" s="307">
        <f t="shared" si="9"/>
        <v>4</v>
      </c>
      <c r="AC33" s="1180">
        <f t="shared" si="9"/>
        <v>2</v>
      </c>
      <c r="AD33" s="1299">
        <f t="shared" si="9"/>
        <v>0</v>
      </c>
      <c r="AE33" s="1300">
        <f t="shared" si="9"/>
        <v>0</v>
      </c>
    </row>
    <row r="34" spans="1:31" s="81" customFormat="1" ht="17.100000000000001" customHeight="1">
      <c r="A34" s="730" t="s">
        <v>25</v>
      </c>
      <c r="B34" s="167" t="s">
        <v>1906</v>
      </c>
      <c r="C34" s="167" t="s">
        <v>2821</v>
      </c>
      <c r="D34" s="167" t="s">
        <v>4</v>
      </c>
      <c r="E34" s="167" t="s">
        <v>24</v>
      </c>
      <c r="F34" s="167" t="s">
        <v>4696</v>
      </c>
      <c r="G34" s="130">
        <v>30376</v>
      </c>
      <c r="H34" s="154" t="s">
        <v>4697</v>
      </c>
      <c r="I34" s="140">
        <v>13274</v>
      </c>
      <c r="J34" s="719">
        <v>22333</v>
      </c>
      <c r="K34" s="55" t="s">
        <v>466</v>
      </c>
      <c r="L34" s="55" t="s">
        <v>467</v>
      </c>
      <c r="M34" s="720" t="s">
        <v>468</v>
      </c>
      <c r="N34" s="79">
        <v>6</v>
      </c>
      <c r="O34" s="78">
        <v>6</v>
      </c>
      <c r="P34" s="78">
        <v>6</v>
      </c>
      <c r="Q34" s="78">
        <v>1</v>
      </c>
      <c r="R34" s="78">
        <v>0</v>
      </c>
      <c r="S34" s="721">
        <f t="shared" si="0"/>
        <v>19</v>
      </c>
      <c r="T34" s="129">
        <v>99</v>
      </c>
      <c r="U34" s="78">
        <v>99</v>
      </c>
      <c r="V34" s="78">
        <v>172</v>
      </c>
      <c r="W34" s="78">
        <v>172</v>
      </c>
      <c r="X34" s="78">
        <v>156</v>
      </c>
      <c r="Y34" s="78">
        <v>156</v>
      </c>
      <c r="Z34" s="722">
        <f t="shared" si="1"/>
        <v>427</v>
      </c>
      <c r="AA34" s="723">
        <f t="shared" si="1"/>
        <v>427</v>
      </c>
      <c r="AB34" s="79">
        <v>7</v>
      </c>
      <c r="AC34" s="1289">
        <v>7</v>
      </c>
      <c r="AD34" s="78">
        <v>0</v>
      </c>
      <c r="AE34" s="78">
        <v>0</v>
      </c>
    </row>
    <row r="35" spans="1:31" s="81" customFormat="1" ht="17.100000000000001" customHeight="1">
      <c r="A35" s="730" t="s">
        <v>25</v>
      </c>
      <c r="B35" s="167" t="s">
        <v>1906</v>
      </c>
      <c r="C35" s="167" t="s">
        <v>2821</v>
      </c>
      <c r="D35" s="167" t="s">
        <v>4</v>
      </c>
      <c r="E35" s="167" t="s">
        <v>144</v>
      </c>
      <c r="F35" s="167" t="s">
        <v>4698</v>
      </c>
      <c r="G35" s="130">
        <v>30575</v>
      </c>
      <c r="H35" s="154" t="s">
        <v>4699</v>
      </c>
      <c r="I35" s="140">
        <v>21302</v>
      </c>
      <c r="J35" s="719">
        <v>22333</v>
      </c>
      <c r="K35" s="55" t="s">
        <v>4700</v>
      </c>
      <c r="L35" s="55" t="s">
        <v>4701</v>
      </c>
      <c r="M35" s="720" t="s">
        <v>4702</v>
      </c>
      <c r="N35" s="79">
        <v>5</v>
      </c>
      <c r="O35" s="78">
        <v>5</v>
      </c>
      <c r="P35" s="78">
        <v>6</v>
      </c>
      <c r="Q35" s="78">
        <v>3</v>
      </c>
      <c r="R35" s="78">
        <v>0</v>
      </c>
      <c r="S35" s="721">
        <f t="shared" si="0"/>
        <v>19</v>
      </c>
      <c r="T35" s="129">
        <v>117</v>
      </c>
      <c r="U35" s="78">
        <v>0</v>
      </c>
      <c r="V35" s="78">
        <v>123</v>
      </c>
      <c r="W35" s="78">
        <v>0</v>
      </c>
      <c r="X35" s="78">
        <v>132</v>
      </c>
      <c r="Y35" s="78">
        <v>0</v>
      </c>
      <c r="Z35" s="722">
        <f t="shared" si="1"/>
        <v>372</v>
      </c>
      <c r="AA35" s="723">
        <f t="shared" si="1"/>
        <v>0</v>
      </c>
      <c r="AB35" s="79">
        <v>18</v>
      </c>
      <c r="AC35" s="1289">
        <v>0</v>
      </c>
      <c r="AD35" s="78">
        <v>0</v>
      </c>
      <c r="AE35" s="78">
        <v>0</v>
      </c>
    </row>
    <row r="36" spans="1:31" s="81" customFormat="1" ht="17.100000000000001" customHeight="1">
      <c r="A36" s="730" t="s">
        <v>25</v>
      </c>
      <c r="B36" s="167" t="s">
        <v>1906</v>
      </c>
      <c r="C36" s="167" t="s">
        <v>2823</v>
      </c>
      <c r="D36" s="167" t="s">
        <v>4</v>
      </c>
      <c r="E36" s="167" t="s">
        <v>26</v>
      </c>
      <c r="F36" s="167" t="s">
        <v>4703</v>
      </c>
      <c r="G36" s="130">
        <v>18419</v>
      </c>
      <c r="H36" s="154" t="s">
        <v>4704</v>
      </c>
      <c r="I36" s="140">
        <v>15955</v>
      </c>
      <c r="J36" s="719">
        <v>22373</v>
      </c>
      <c r="K36" s="55" t="s">
        <v>4705</v>
      </c>
      <c r="L36" s="55" t="s">
        <v>4706</v>
      </c>
      <c r="M36" s="720" t="s">
        <v>4707</v>
      </c>
      <c r="N36" s="79">
        <v>10</v>
      </c>
      <c r="O36" s="78">
        <v>10</v>
      </c>
      <c r="P36" s="78">
        <v>9</v>
      </c>
      <c r="Q36" s="78">
        <v>1</v>
      </c>
      <c r="R36" s="78">
        <v>0</v>
      </c>
      <c r="S36" s="721">
        <f t="shared" si="0"/>
        <v>30</v>
      </c>
      <c r="T36" s="129">
        <v>300</v>
      </c>
      <c r="U36" s="78">
        <v>160</v>
      </c>
      <c r="V36" s="78">
        <v>300</v>
      </c>
      <c r="W36" s="78">
        <v>148</v>
      </c>
      <c r="X36" s="78">
        <v>304</v>
      </c>
      <c r="Y36" s="78">
        <v>143</v>
      </c>
      <c r="Z36" s="722">
        <f t="shared" si="1"/>
        <v>904</v>
      </c>
      <c r="AA36" s="723">
        <f t="shared" si="1"/>
        <v>451</v>
      </c>
      <c r="AB36" s="79">
        <v>5</v>
      </c>
      <c r="AC36" s="1289">
        <v>4</v>
      </c>
      <c r="AD36" s="78">
        <v>0</v>
      </c>
      <c r="AE36" s="78">
        <v>0</v>
      </c>
    </row>
    <row r="37" spans="1:31" s="81" customFormat="1" ht="17.100000000000001" customHeight="1">
      <c r="A37" s="730" t="s">
        <v>25</v>
      </c>
      <c r="B37" s="167" t="s">
        <v>1906</v>
      </c>
      <c r="C37" s="167" t="s">
        <v>2823</v>
      </c>
      <c r="D37" s="167" t="s">
        <v>4</v>
      </c>
      <c r="E37" s="167" t="s">
        <v>26</v>
      </c>
      <c r="F37" s="167" t="s">
        <v>477</v>
      </c>
      <c r="G37" s="130">
        <v>23817</v>
      </c>
      <c r="H37" s="154" t="s">
        <v>4708</v>
      </c>
      <c r="I37" s="140">
        <v>9710</v>
      </c>
      <c r="J37" s="719">
        <v>22384</v>
      </c>
      <c r="K37" s="55" t="s">
        <v>469</v>
      </c>
      <c r="L37" s="55" t="s">
        <v>4709</v>
      </c>
      <c r="M37" s="720" t="s">
        <v>470</v>
      </c>
      <c r="N37" s="79">
        <v>1</v>
      </c>
      <c r="O37" s="78">
        <v>1</v>
      </c>
      <c r="P37" s="78">
        <v>1</v>
      </c>
      <c r="Q37" s="78">
        <v>1</v>
      </c>
      <c r="R37" s="78">
        <v>0</v>
      </c>
      <c r="S37" s="721">
        <f t="shared" si="0"/>
        <v>4</v>
      </c>
      <c r="T37" s="129">
        <v>20</v>
      </c>
      <c r="U37" s="78">
        <v>9</v>
      </c>
      <c r="V37" s="78">
        <v>27</v>
      </c>
      <c r="W37" s="78">
        <v>8</v>
      </c>
      <c r="X37" s="78">
        <v>16</v>
      </c>
      <c r="Y37" s="78">
        <v>10</v>
      </c>
      <c r="Z37" s="722">
        <f t="shared" si="1"/>
        <v>63</v>
      </c>
      <c r="AA37" s="723">
        <f t="shared" si="1"/>
        <v>27</v>
      </c>
      <c r="AB37" s="314">
        <v>6</v>
      </c>
      <c r="AC37" s="1292">
        <v>2</v>
      </c>
      <c r="AD37" s="78">
        <v>0</v>
      </c>
      <c r="AE37" s="78">
        <v>0</v>
      </c>
    </row>
    <row r="38" spans="1:31" s="81" customFormat="1" ht="17.100000000000001" customHeight="1">
      <c r="A38" s="730" t="s">
        <v>25</v>
      </c>
      <c r="B38" s="167" t="s">
        <v>1906</v>
      </c>
      <c r="C38" s="167" t="s">
        <v>2823</v>
      </c>
      <c r="D38" s="167" t="s">
        <v>4</v>
      </c>
      <c r="E38" s="167" t="s">
        <v>26</v>
      </c>
      <c r="F38" s="167" t="s">
        <v>4710</v>
      </c>
      <c r="G38" s="130">
        <v>37320</v>
      </c>
      <c r="H38" s="154" t="s">
        <v>4711</v>
      </c>
      <c r="I38" s="140">
        <v>12001</v>
      </c>
      <c r="J38" s="719">
        <v>22368</v>
      </c>
      <c r="K38" s="55" t="s">
        <v>471</v>
      </c>
      <c r="L38" s="55" t="s">
        <v>472</v>
      </c>
      <c r="M38" s="720" t="s">
        <v>473</v>
      </c>
      <c r="N38" s="79">
        <v>8</v>
      </c>
      <c r="O38" s="78">
        <v>9</v>
      </c>
      <c r="P38" s="78">
        <v>9</v>
      </c>
      <c r="Q38" s="78">
        <v>4</v>
      </c>
      <c r="R38" s="78">
        <v>0</v>
      </c>
      <c r="S38" s="721">
        <f t="shared" si="0"/>
        <v>30</v>
      </c>
      <c r="T38" s="129">
        <v>180</v>
      </c>
      <c r="U38" s="78">
        <v>84</v>
      </c>
      <c r="V38" s="78">
        <v>233</v>
      </c>
      <c r="W38" s="78">
        <v>126</v>
      </c>
      <c r="X38" s="78">
        <v>263</v>
      </c>
      <c r="Y38" s="78">
        <v>118</v>
      </c>
      <c r="Z38" s="722">
        <f t="shared" si="1"/>
        <v>676</v>
      </c>
      <c r="AA38" s="723">
        <f t="shared" si="1"/>
        <v>328</v>
      </c>
      <c r="AB38" s="314">
        <v>16</v>
      </c>
      <c r="AC38" s="1292">
        <v>7</v>
      </c>
      <c r="AD38" s="78">
        <v>0</v>
      </c>
      <c r="AE38" s="78">
        <v>0</v>
      </c>
    </row>
    <row r="39" spans="1:31" s="81" customFormat="1" ht="17.100000000000001" customHeight="1">
      <c r="A39" s="730" t="s">
        <v>25</v>
      </c>
      <c r="B39" s="167" t="s">
        <v>1906</v>
      </c>
      <c r="C39" s="167" t="s">
        <v>2823</v>
      </c>
      <c r="D39" s="167" t="s">
        <v>4</v>
      </c>
      <c r="E39" s="167" t="s">
        <v>26</v>
      </c>
      <c r="F39" s="167" t="s">
        <v>478</v>
      </c>
      <c r="G39" s="130">
        <v>43525</v>
      </c>
      <c r="H39" s="154" t="s">
        <v>479</v>
      </c>
      <c r="I39" s="140">
        <v>15575</v>
      </c>
      <c r="J39" s="719">
        <v>22393</v>
      </c>
      <c r="K39" s="55" t="s">
        <v>474</v>
      </c>
      <c r="L39" s="55" t="s">
        <v>475</v>
      </c>
      <c r="M39" s="720" t="s">
        <v>476</v>
      </c>
      <c r="N39" s="79">
        <v>10</v>
      </c>
      <c r="O39" s="78">
        <v>10</v>
      </c>
      <c r="P39" s="78">
        <v>10</v>
      </c>
      <c r="Q39" s="78">
        <v>2</v>
      </c>
      <c r="R39" s="78">
        <v>0</v>
      </c>
      <c r="S39" s="721">
        <f t="shared" si="0"/>
        <v>32</v>
      </c>
      <c r="T39" s="129">
        <v>320</v>
      </c>
      <c r="U39" s="78">
        <v>160</v>
      </c>
      <c r="V39" s="78">
        <v>320</v>
      </c>
      <c r="W39" s="78">
        <v>160</v>
      </c>
      <c r="X39" s="78">
        <v>340</v>
      </c>
      <c r="Y39" s="78">
        <v>167</v>
      </c>
      <c r="Z39" s="722">
        <f t="shared" si="1"/>
        <v>980</v>
      </c>
      <c r="AA39" s="723">
        <f t="shared" si="1"/>
        <v>487</v>
      </c>
      <c r="AB39" s="79">
        <v>7</v>
      </c>
      <c r="AC39" s="1289">
        <v>4</v>
      </c>
      <c r="AD39" s="78">
        <v>0</v>
      </c>
      <c r="AE39" s="78">
        <v>0</v>
      </c>
    </row>
    <row r="40" spans="1:31" s="81" customFormat="1" ht="17.100000000000001" customHeight="1">
      <c r="A40" s="730" t="s">
        <v>25</v>
      </c>
      <c r="B40" s="167" t="s">
        <v>1906</v>
      </c>
      <c r="C40" s="167" t="s">
        <v>2823</v>
      </c>
      <c r="D40" s="167" t="s">
        <v>4</v>
      </c>
      <c r="E40" s="167" t="s">
        <v>26</v>
      </c>
      <c r="F40" s="167" t="s">
        <v>4712</v>
      </c>
      <c r="G40" s="130">
        <v>44256</v>
      </c>
      <c r="H40" s="154" t="s">
        <v>4713</v>
      </c>
      <c r="I40" s="140">
        <v>13651</v>
      </c>
      <c r="J40" s="719">
        <v>22389</v>
      </c>
      <c r="K40" s="55" t="s">
        <v>4714</v>
      </c>
      <c r="L40" s="55" t="s">
        <v>4715</v>
      </c>
      <c r="M40" s="720" t="s">
        <v>4716</v>
      </c>
      <c r="N40" s="79">
        <v>10</v>
      </c>
      <c r="O40" s="78">
        <v>10</v>
      </c>
      <c r="P40" s="78">
        <v>10</v>
      </c>
      <c r="Q40" s="78">
        <v>1</v>
      </c>
      <c r="R40" s="78">
        <v>0</v>
      </c>
      <c r="S40" s="721">
        <f t="shared" si="0"/>
        <v>31</v>
      </c>
      <c r="T40" s="129">
        <v>320</v>
      </c>
      <c r="U40" s="78">
        <v>160</v>
      </c>
      <c r="V40" s="78">
        <v>318</v>
      </c>
      <c r="W40" s="78">
        <v>164</v>
      </c>
      <c r="X40" s="78">
        <v>334</v>
      </c>
      <c r="Y40" s="78">
        <v>166</v>
      </c>
      <c r="Z40" s="722">
        <f t="shared" si="1"/>
        <v>972</v>
      </c>
      <c r="AA40" s="723">
        <f t="shared" si="1"/>
        <v>490</v>
      </c>
      <c r="AB40" s="314">
        <v>6</v>
      </c>
      <c r="AC40" s="1292">
        <v>2</v>
      </c>
      <c r="AD40" s="78">
        <v>0</v>
      </c>
      <c r="AE40" s="78">
        <v>0</v>
      </c>
    </row>
    <row r="41" spans="1:31" s="81" customFormat="1" ht="17.100000000000001" customHeight="1">
      <c r="A41" s="730" t="s">
        <v>25</v>
      </c>
      <c r="B41" s="167" t="s">
        <v>1906</v>
      </c>
      <c r="C41" s="167" t="s">
        <v>2823</v>
      </c>
      <c r="D41" s="167" t="s">
        <v>4</v>
      </c>
      <c r="E41" s="167" t="s">
        <v>26</v>
      </c>
      <c r="F41" s="167" t="s">
        <v>4717</v>
      </c>
      <c r="G41" s="130">
        <v>45352</v>
      </c>
      <c r="H41" s="154" t="s">
        <v>4718</v>
      </c>
      <c r="I41" s="140">
        <v>15082</v>
      </c>
      <c r="J41" s="719">
        <v>22361</v>
      </c>
      <c r="K41" s="55" t="s">
        <v>4719</v>
      </c>
      <c r="L41" s="55" t="s">
        <v>4720</v>
      </c>
      <c r="M41" s="720" t="s">
        <v>4721</v>
      </c>
      <c r="N41" s="79">
        <v>7</v>
      </c>
      <c r="O41" s="78">
        <v>9</v>
      </c>
      <c r="P41" s="78">
        <v>6</v>
      </c>
      <c r="Q41" s="78">
        <v>1</v>
      </c>
      <c r="R41" s="78">
        <v>0</v>
      </c>
      <c r="S41" s="721">
        <f t="shared" si="0"/>
        <v>23</v>
      </c>
      <c r="T41" s="129">
        <v>173</v>
      </c>
      <c r="U41" s="78">
        <v>91</v>
      </c>
      <c r="V41" s="78">
        <v>242</v>
      </c>
      <c r="W41" s="78">
        <v>110</v>
      </c>
      <c r="X41" s="78">
        <v>142</v>
      </c>
      <c r="Y41" s="78">
        <v>72</v>
      </c>
      <c r="Z41" s="722">
        <f t="shared" si="1"/>
        <v>557</v>
      </c>
      <c r="AA41" s="723">
        <f t="shared" si="1"/>
        <v>273</v>
      </c>
      <c r="AB41" s="79">
        <v>5</v>
      </c>
      <c r="AC41" s="1289">
        <v>2</v>
      </c>
      <c r="AD41" s="78">
        <v>0</v>
      </c>
      <c r="AE41" s="78">
        <v>0</v>
      </c>
    </row>
    <row r="42" spans="1:31" s="81" customFormat="1" ht="17.100000000000001" customHeight="1">
      <c r="A42" s="1673" t="s">
        <v>417</v>
      </c>
      <c r="B42" s="1674"/>
      <c r="C42" s="1674"/>
      <c r="D42" s="1674"/>
      <c r="E42" s="1127">
        <f>COUNTA(E34:E41)</f>
        <v>8</v>
      </c>
      <c r="F42" s="1161"/>
      <c r="G42" s="1162"/>
      <c r="H42" s="1130"/>
      <c r="I42" s="1163"/>
      <c r="J42" s="1164"/>
      <c r="K42" s="1165"/>
      <c r="L42" s="1165"/>
      <c r="M42" s="1166"/>
      <c r="N42" s="320">
        <f t="shared" ref="N42:AE42" si="10">SUM(N34:N41)</f>
        <v>57</v>
      </c>
      <c r="O42" s="321">
        <f t="shared" si="10"/>
        <v>60</v>
      </c>
      <c r="P42" s="321">
        <f t="shared" si="10"/>
        <v>57</v>
      </c>
      <c r="Q42" s="321">
        <f t="shared" si="10"/>
        <v>14</v>
      </c>
      <c r="R42" s="321">
        <f t="shared" si="10"/>
        <v>0</v>
      </c>
      <c r="S42" s="1167">
        <f t="shared" si="10"/>
        <v>188</v>
      </c>
      <c r="T42" s="322">
        <f t="shared" si="10"/>
        <v>1529</v>
      </c>
      <c r="U42" s="321">
        <f t="shared" si="10"/>
        <v>763</v>
      </c>
      <c r="V42" s="321">
        <f t="shared" si="10"/>
        <v>1735</v>
      </c>
      <c r="W42" s="321">
        <f t="shared" si="10"/>
        <v>888</v>
      </c>
      <c r="X42" s="321">
        <f t="shared" si="10"/>
        <v>1687</v>
      </c>
      <c r="Y42" s="321">
        <f t="shared" si="10"/>
        <v>832</v>
      </c>
      <c r="Z42" s="321">
        <f t="shared" si="10"/>
        <v>4951</v>
      </c>
      <c r="AA42" s="1168">
        <f t="shared" si="10"/>
        <v>2483</v>
      </c>
      <c r="AB42" s="320">
        <f t="shared" si="10"/>
        <v>70</v>
      </c>
      <c r="AC42" s="1167">
        <f t="shared" si="10"/>
        <v>28</v>
      </c>
      <c r="AD42" s="322">
        <f t="shared" si="10"/>
        <v>0</v>
      </c>
      <c r="AE42" s="1167">
        <f t="shared" si="10"/>
        <v>0</v>
      </c>
    </row>
    <row r="43" spans="1:31" s="81" customFormat="1" ht="17.100000000000001" customHeight="1">
      <c r="A43" s="730" t="s">
        <v>25</v>
      </c>
      <c r="B43" s="167" t="s">
        <v>1906</v>
      </c>
      <c r="C43" s="167" t="s">
        <v>2821</v>
      </c>
      <c r="D43" s="167" t="s">
        <v>445</v>
      </c>
      <c r="E43" s="167" t="s">
        <v>1910</v>
      </c>
      <c r="F43" s="167" t="s">
        <v>2090</v>
      </c>
      <c r="G43" s="130">
        <v>20429</v>
      </c>
      <c r="H43" s="154" t="s">
        <v>4722</v>
      </c>
      <c r="I43" s="140">
        <v>32305</v>
      </c>
      <c r="J43" s="719">
        <v>22327</v>
      </c>
      <c r="K43" s="55" t="s">
        <v>4723</v>
      </c>
      <c r="L43" s="55" t="s">
        <v>4724</v>
      </c>
      <c r="M43" s="720" t="s">
        <v>4725</v>
      </c>
      <c r="N43" s="79">
        <v>6</v>
      </c>
      <c r="O43" s="78">
        <v>6</v>
      </c>
      <c r="P43" s="78">
        <v>6</v>
      </c>
      <c r="Q43" s="78">
        <v>0</v>
      </c>
      <c r="R43" s="78">
        <v>0</v>
      </c>
      <c r="S43" s="721">
        <f t="shared" si="0"/>
        <v>18</v>
      </c>
      <c r="T43" s="129">
        <v>187</v>
      </c>
      <c r="U43" s="78">
        <v>70</v>
      </c>
      <c r="V43" s="78">
        <v>101</v>
      </c>
      <c r="W43" s="1182">
        <v>0</v>
      </c>
      <c r="X43" s="78">
        <v>119</v>
      </c>
      <c r="Y43" s="78">
        <v>0</v>
      </c>
      <c r="Z43" s="722">
        <f t="shared" si="1"/>
        <v>407</v>
      </c>
      <c r="AA43" s="723">
        <f t="shared" si="1"/>
        <v>70</v>
      </c>
      <c r="AB43" s="79">
        <v>0</v>
      </c>
      <c r="AC43" s="80">
        <v>0</v>
      </c>
      <c r="AD43" s="129">
        <v>0</v>
      </c>
      <c r="AE43" s="80">
        <v>0</v>
      </c>
    </row>
    <row r="44" spans="1:31" s="81" customFormat="1" ht="17.100000000000001" customHeight="1">
      <c r="A44" s="730" t="s">
        <v>25</v>
      </c>
      <c r="B44" s="167" t="s">
        <v>1906</v>
      </c>
      <c r="C44" s="167" t="s">
        <v>2821</v>
      </c>
      <c r="D44" s="167" t="s">
        <v>445</v>
      </c>
      <c r="E44" s="167" t="s">
        <v>2859</v>
      </c>
      <c r="F44" s="167" t="s">
        <v>4726</v>
      </c>
      <c r="G44" s="130">
        <v>2468</v>
      </c>
      <c r="H44" s="154" t="s">
        <v>2092</v>
      </c>
      <c r="I44" s="140">
        <v>9731</v>
      </c>
      <c r="J44" s="719">
        <v>22324</v>
      </c>
      <c r="K44" s="55" t="s">
        <v>4727</v>
      </c>
      <c r="L44" s="55" t="s">
        <v>4728</v>
      </c>
      <c r="M44" s="720" t="s">
        <v>4729</v>
      </c>
      <c r="N44" s="79">
        <v>4</v>
      </c>
      <c r="O44" s="78">
        <v>5</v>
      </c>
      <c r="P44" s="78">
        <v>4</v>
      </c>
      <c r="Q44" s="78">
        <v>0</v>
      </c>
      <c r="R44" s="78"/>
      <c r="S44" s="721">
        <f t="shared" si="0"/>
        <v>13</v>
      </c>
      <c r="T44" s="129">
        <v>46</v>
      </c>
      <c r="U44" s="78">
        <v>0</v>
      </c>
      <c r="V44" s="78">
        <v>74</v>
      </c>
      <c r="W44" s="78">
        <v>0</v>
      </c>
      <c r="X44" s="78">
        <v>52</v>
      </c>
      <c r="Y44" s="78">
        <v>0</v>
      </c>
      <c r="Z44" s="722">
        <f t="shared" si="1"/>
        <v>172</v>
      </c>
      <c r="AA44" s="723">
        <f t="shared" si="1"/>
        <v>0</v>
      </c>
      <c r="AB44" s="79">
        <v>0</v>
      </c>
      <c r="AC44" s="80">
        <v>0</v>
      </c>
      <c r="AD44" s="129">
        <v>0</v>
      </c>
      <c r="AE44" s="80">
        <v>0</v>
      </c>
    </row>
    <row r="45" spans="1:31" s="81" customFormat="1" ht="17.100000000000001" customHeight="1">
      <c r="A45" s="730" t="s">
        <v>25</v>
      </c>
      <c r="B45" s="167" t="s">
        <v>1906</v>
      </c>
      <c r="C45" s="167" t="s">
        <v>2821</v>
      </c>
      <c r="D45" s="167" t="s">
        <v>445</v>
      </c>
      <c r="E45" s="167" t="s">
        <v>118</v>
      </c>
      <c r="F45" s="167" t="s">
        <v>4730</v>
      </c>
      <c r="G45" s="130">
        <v>19129</v>
      </c>
      <c r="H45" s="154" t="s">
        <v>2908</v>
      </c>
      <c r="I45" s="140">
        <v>10721</v>
      </c>
      <c r="J45" s="719">
        <v>22315</v>
      </c>
      <c r="K45" s="55" t="s">
        <v>4731</v>
      </c>
      <c r="L45" s="55" t="s">
        <v>4732</v>
      </c>
      <c r="M45" s="720" t="s">
        <v>4733</v>
      </c>
      <c r="N45" s="79">
        <v>4</v>
      </c>
      <c r="O45" s="78">
        <v>4</v>
      </c>
      <c r="P45" s="78">
        <v>4</v>
      </c>
      <c r="Q45" s="78">
        <v>0</v>
      </c>
      <c r="R45" s="78">
        <v>0</v>
      </c>
      <c r="S45" s="721">
        <f t="shared" si="0"/>
        <v>12</v>
      </c>
      <c r="T45" s="129">
        <v>69</v>
      </c>
      <c r="U45" s="78">
        <v>69</v>
      </c>
      <c r="V45" s="78">
        <v>117</v>
      </c>
      <c r="W45" s="78">
        <v>117</v>
      </c>
      <c r="X45" s="78">
        <v>103</v>
      </c>
      <c r="Y45" s="78">
        <v>103</v>
      </c>
      <c r="Z45" s="722">
        <f t="shared" si="1"/>
        <v>289</v>
      </c>
      <c r="AA45" s="723">
        <f t="shared" si="1"/>
        <v>289</v>
      </c>
      <c r="AB45" s="79">
        <v>0</v>
      </c>
      <c r="AC45" s="80">
        <v>0</v>
      </c>
      <c r="AD45" s="129">
        <v>0</v>
      </c>
      <c r="AE45" s="80">
        <v>0</v>
      </c>
    </row>
    <row r="46" spans="1:31" s="81" customFormat="1" ht="17.100000000000001" customHeight="1">
      <c r="A46" s="1669" t="s">
        <v>419</v>
      </c>
      <c r="B46" s="1670"/>
      <c r="C46" s="1670"/>
      <c r="D46" s="1670"/>
      <c r="E46" s="1139">
        <f>COUNTA(E43:E45)</f>
        <v>3</v>
      </c>
      <c r="F46" s="1169"/>
      <c r="G46" s="1170"/>
      <c r="H46" s="1141"/>
      <c r="I46" s="295"/>
      <c r="J46" s="1171"/>
      <c r="K46" s="1172"/>
      <c r="L46" s="1172"/>
      <c r="M46" s="1173"/>
      <c r="N46" s="298">
        <f>SUM(N43:N45)</f>
        <v>14</v>
      </c>
      <c r="O46" s="299">
        <f t="shared" ref="O46:AE46" si="11">SUM(O43:O45)</f>
        <v>15</v>
      </c>
      <c r="P46" s="299">
        <f t="shared" si="11"/>
        <v>14</v>
      </c>
      <c r="Q46" s="299">
        <f t="shared" si="11"/>
        <v>0</v>
      </c>
      <c r="R46" s="299">
        <f t="shared" si="11"/>
        <v>0</v>
      </c>
      <c r="S46" s="1174">
        <f t="shared" si="11"/>
        <v>43</v>
      </c>
      <c r="T46" s="326">
        <f t="shared" si="11"/>
        <v>302</v>
      </c>
      <c r="U46" s="299">
        <f t="shared" si="11"/>
        <v>139</v>
      </c>
      <c r="V46" s="299">
        <f t="shared" si="11"/>
        <v>292</v>
      </c>
      <c r="W46" s="299">
        <f t="shared" si="11"/>
        <v>117</v>
      </c>
      <c r="X46" s="299">
        <f t="shared" si="11"/>
        <v>274</v>
      </c>
      <c r="Y46" s="299">
        <f t="shared" si="11"/>
        <v>103</v>
      </c>
      <c r="Z46" s="299">
        <f t="shared" si="11"/>
        <v>868</v>
      </c>
      <c r="AA46" s="1175">
        <f t="shared" si="11"/>
        <v>359</v>
      </c>
      <c r="AB46" s="298">
        <f t="shared" si="11"/>
        <v>0</v>
      </c>
      <c r="AC46" s="1174">
        <f t="shared" si="11"/>
        <v>0</v>
      </c>
      <c r="AD46" s="326">
        <f t="shared" si="11"/>
        <v>0</v>
      </c>
      <c r="AE46" s="1174">
        <f t="shared" si="11"/>
        <v>0</v>
      </c>
    </row>
    <row r="47" spans="1:31" s="81" customFormat="1" ht="17.100000000000001" customHeight="1" thickBot="1">
      <c r="A47" s="1667" t="s">
        <v>420</v>
      </c>
      <c r="B47" s="1668"/>
      <c r="C47" s="1668"/>
      <c r="D47" s="1668"/>
      <c r="E47" s="1668"/>
      <c r="F47" s="1183">
        <f>E42+E46</f>
        <v>11</v>
      </c>
      <c r="G47" s="1184"/>
      <c r="H47" s="1185"/>
      <c r="I47" s="1186"/>
      <c r="J47" s="1187"/>
      <c r="K47" s="1188"/>
      <c r="L47" s="1188"/>
      <c r="M47" s="1189"/>
      <c r="N47" s="1190">
        <f t="shared" ref="N47:AE47" si="12">N42+N46</f>
        <v>71</v>
      </c>
      <c r="O47" s="1191">
        <f t="shared" si="12"/>
        <v>75</v>
      </c>
      <c r="P47" s="1191">
        <f t="shared" si="12"/>
        <v>71</v>
      </c>
      <c r="Q47" s="1191">
        <f t="shared" si="12"/>
        <v>14</v>
      </c>
      <c r="R47" s="1191">
        <f t="shared" si="12"/>
        <v>0</v>
      </c>
      <c r="S47" s="1192">
        <f t="shared" si="12"/>
        <v>231</v>
      </c>
      <c r="T47" s="1193">
        <f t="shared" si="12"/>
        <v>1831</v>
      </c>
      <c r="U47" s="1191">
        <f t="shared" si="12"/>
        <v>902</v>
      </c>
      <c r="V47" s="1191">
        <f t="shared" si="12"/>
        <v>2027</v>
      </c>
      <c r="W47" s="1191">
        <f t="shared" si="12"/>
        <v>1005</v>
      </c>
      <c r="X47" s="1191">
        <f t="shared" si="12"/>
        <v>1961</v>
      </c>
      <c r="Y47" s="1191">
        <f t="shared" si="12"/>
        <v>935</v>
      </c>
      <c r="Z47" s="1191">
        <f t="shared" si="12"/>
        <v>5819</v>
      </c>
      <c r="AA47" s="1194">
        <f t="shared" si="12"/>
        <v>2842</v>
      </c>
      <c r="AB47" s="1190">
        <f t="shared" si="12"/>
        <v>70</v>
      </c>
      <c r="AC47" s="1192">
        <f t="shared" si="12"/>
        <v>28</v>
      </c>
      <c r="AD47" s="1299">
        <f t="shared" si="12"/>
        <v>0</v>
      </c>
      <c r="AE47" s="1300">
        <f t="shared" si="12"/>
        <v>0</v>
      </c>
    </row>
    <row r="48" spans="1:31" s="282" customFormat="1" ht="17.100000000000001" customHeight="1" thickTop="1">
      <c r="A48" s="168" t="s">
        <v>154</v>
      </c>
      <c r="B48" s="168" t="s">
        <v>7</v>
      </c>
      <c r="C48" s="168" t="s">
        <v>7</v>
      </c>
      <c r="D48" s="168" t="s">
        <v>4</v>
      </c>
      <c r="E48" s="168" t="s">
        <v>26</v>
      </c>
      <c r="F48" s="168" t="s">
        <v>480</v>
      </c>
      <c r="G48" s="71">
        <v>34394</v>
      </c>
      <c r="H48" s="50" t="s">
        <v>2093</v>
      </c>
      <c r="I48" s="72">
        <v>11921</v>
      </c>
      <c r="J48" s="52">
        <v>21336</v>
      </c>
      <c r="K48" s="53" t="s">
        <v>481</v>
      </c>
      <c r="L48" s="53" t="s">
        <v>481</v>
      </c>
      <c r="M48" s="54" t="s">
        <v>482</v>
      </c>
      <c r="N48" s="75">
        <v>4</v>
      </c>
      <c r="O48" s="73">
        <v>5</v>
      </c>
      <c r="P48" s="73">
        <v>5</v>
      </c>
      <c r="Q48" s="73">
        <v>2</v>
      </c>
      <c r="R48" s="73">
        <v>0</v>
      </c>
      <c r="S48" s="131">
        <f>SUM(N48:R48)</f>
        <v>16</v>
      </c>
      <c r="T48" s="75">
        <v>87</v>
      </c>
      <c r="U48" s="73">
        <v>48</v>
      </c>
      <c r="V48" s="73">
        <v>118</v>
      </c>
      <c r="W48" s="73">
        <v>62</v>
      </c>
      <c r="X48" s="73">
        <v>119</v>
      </c>
      <c r="Y48" s="73">
        <v>66</v>
      </c>
      <c r="Z48" s="132">
        <f>T48+V48+X48</f>
        <v>324</v>
      </c>
      <c r="AA48" s="131">
        <f>U48+W48+Y48</f>
        <v>176</v>
      </c>
      <c r="AB48" s="75">
        <v>12</v>
      </c>
      <c r="AC48" s="1290">
        <v>6</v>
      </c>
      <c r="AD48" s="78">
        <v>0</v>
      </c>
      <c r="AE48" s="78">
        <v>0</v>
      </c>
    </row>
    <row r="49" spans="1:31" s="282" customFormat="1" ht="17.100000000000001" customHeight="1">
      <c r="A49" s="168" t="s">
        <v>154</v>
      </c>
      <c r="B49" s="168" t="s">
        <v>7</v>
      </c>
      <c r="C49" s="168" t="s">
        <v>7</v>
      </c>
      <c r="D49" s="168" t="s">
        <v>4</v>
      </c>
      <c r="E49" s="168" t="s">
        <v>26</v>
      </c>
      <c r="F49" s="168" t="s">
        <v>483</v>
      </c>
      <c r="G49" s="71">
        <v>35490</v>
      </c>
      <c r="H49" s="50" t="s">
        <v>4734</v>
      </c>
      <c r="I49" s="72">
        <v>11029</v>
      </c>
      <c r="J49" s="52">
        <v>21346</v>
      </c>
      <c r="K49" s="53" t="s">
        <v>484</v>
      </c>
      <c r="L49" s="53" t="s">
        <v>546</v>
      </c>
      <c r="M49" s="54" t="s">
        <v>4735</v>
      </c>
      <c r="N49" s="75">
        <v>9</v>
      </c>
      <c r="O49" s="73">
        <v>10</v>
      </c>
      <c r="P49" s="73">
        <v>9</v>
      </c>
      <c r="Q49" s="73">
        <v>1</v>
      </c>
      <c r="R49" s="73">
        <v>0</v>
      </c>
      <c r="S49" s="131">
        <f t="shared" ref="S49:S68" si="13">SUM(N49:R49)</f>
        <v>29</v>
      </c>
      <c r="T49" s="75">
        <v>216</v>
      </c>
      <c r="U49" s="73">
        <v>119</v>
      </c>
      <c r="V49" s="73">
        <v>264</v>
      </c>
      <c r="W49" s="73">
        <v>109</v>
      </c>
      <c r="X49" s="73">
        <v>271</v>
      </c>
      <c r="Y49" s="73">
        <v>134</v>
      </c>
      <c r="Z49" s="132">
        <f t="shared" ref="Z49:AA68" si="14">T49+V49+X49</f>
        <v>751</v>
      </c>
      <c r="AA49" s="131">
        <f t="shared" si="14"/>
        <v>362</v>
      </c>
      <c r="AB49" s="75">
        <v>4</v>
      </c>
      <c r="AC49" s="1290">
        <v>0</v>
      </c>
      <c r="AD49" s="78">
        <v>0</v>
      </c>
      <c r="AE49" s="78">
        <v>0</v>
      </c>
    </row>
    <row r="50" spans="1:31" s="282" customFormat="1" ht="17.100000000000001" customHeight="1">
      <c r="A50" s="168" t="s">
        <v>154</v>
      </c>
      <c r="B50" s="168" t="s">
        <v>7</v>
      </c>
      <c r="C50" s="168" t="s">
        <v>7</v>
      </c>
      <c r="D50" s="168" t="s">
        <v>4</v>
      </c>
      <c r="E50" s="168" t="s">
        <v>26</v>
      </c>
      <c r="F50" s="168" t="s">
        <v>485</v>
      </c>
      <c r="G50" s="71">
        <v>31107</v>
      </c>
      <c r="H50" s="50" t="s">
        <v>2094</v>
      </c>
      <c r="I50" s="72">
        <v>11882.7</v>
      </c>
      <c r="J50" s="52">
        <v>21436</v>
      </c>
      <c r="K50" s="53" t="s">
        <v>487</v>
      </c>
      <c r="L50" s="53" t="s">
        <v>486</v>
      </c>
      <c r="M50" s="54" t="s">
        <v>488</v>
      </c>
      <c r="N50" s="75">
        <v>4</v>
      </c>
      <c r="O50" s="73">
        <v>5</v>
      </c>
      <c r="P50" s="73">
        <v>5</v>
      </c>
      <c r="Q50" s="73">
        <v>1</v>
      </c>
      <c r="R50" s="73">
        <v>0</v>
      </c>
      <c r="S50" s="131">
        <f t="shared" si="13"/>
        <v>15</v>
      </c>
      <c r="T50" s="75">
        <v>73</v>
      </c>
      <c r="U50" s="73">
        <v>34</v>
      </c>
      <c r="V50" s="73">
        <v>126</v>
      </c>
      <c r="W50" s="73">
        <v>52</v>
      </c>
      <c r="X50" s="73">
        <v>101</v>
      </c>
      <c r="Y50" s="73">
        <v>34</v>
      </c>
      <c r="Z50" s="132">
        <f t="shared" si="14"/>
        <v>300</v>
      </c>
      <c r="AA50" s="131">
        <f t="shared" si="14"/>
        <v>120</v>
      </c>
      <c r="AB50" s="75">
        <v>6</v>
      </c>
      <c r="AC50" s="1290">
        <v>2</v>
      </c>
      <c r="AD50" s="78">
        <v>0</v>
      </c>
      <c r="AE50" s="78">
        <v>0</v>
      </c>
    </row>
    <row r="51" spans="1:31" s="282" customFormat="1" ht="17.100000000000001" customHeight="1">
      <c r="A51" s="168" t="s">
        <v>154</v>
      </c>
      <c r="B51" s="168" t="s">
        <v>7</v>
      </c>
      <c r="C51" s="168" t="s">
        <v>7</v>
      </c>
      <c r="D51" s="168" t="s">
        <v>4</v>
      </c>
      <c r="E51" s="168" t="s">
        <v>26</v>
      </c>
      <c r="F51" s="168" t="s">
        <v>489</v>
      </c>
      <c r="G51" s="71">
        <v>31475</v>
      </c>
      <c r="H51" s="50" t="s">
        <v>547</v>
      </c>
      <c r="I51" s="72">
        <v>15052</v>
      </c>
      <c r="J51" s="52">
        <v>21348</v>
      </c>
      <c r="K51" s="53" t="s">
        <v>490</v>
      </c>
      <c r="L51" s="53" t="s">
        <v>491</v>
      </c>
      <c r="M51" s="54" t="s">
        <v>492</v>
      </c>
      <c r="N51" s="75">
        <v>7</v>
      </c>
      <c r="O51" s="73">
        <v>7</v>
      </c>
      <c r="P51" s="73">
        <v>7</v>
      </c>
      <c r="Q51" s="73">
        <v>1</v>
      </c>
      <c r="R51" s="73">
        <v>0</v>
      </c>
      <c r="S51" s="131">
        <f t="shared" si="13"/>
        <v>22</v>
      </c>
      <c r="T51" s="75">
        <v>205</v>
      </c>
      <c r="U51" s="73">
        <v>108</v>
      </c>
      <c r="V51" s="73">
        <v>198</v>
      </c>
      <c r="W51" s="73">
        <v>104</v>
      </c>
      <c r="X51" s="73">
        <v>206</v>
      </c>
      <c r="Y51" s="73">
        <v>99</v>
      </c>
      <c r="Z51" s="132">
        <f t="shared" si="14"/>
        <v>609</v>
      </c>
      <c r="AA51" s="131">
        <f t="shared" si="14"/>
        <v>311</v>
      </c>
      <c r="AB51" s="75">
        <v>5</v>
      </c>
      <c r="AC51" s="1290">
        <v>1</v>
      </c>
      <c r="AD51" s="78">
        <v>0</v>
      </c>
      <c r="AE51" s="78">
        <v>0</v>
      </c>
    </row>
    <row r="52" spans="1:31" s="282" customFormat="1" ht="17.100000000000001" customHeight="1">
      <c r="A52" s="168" t="s">
        <v>154</v>
      </c>
      <c r="B52" s="168" t="s">
        <v>7</v>
      </c>
      <c r="C52" s="168" t="s">
        <v>7</v>
      </c>
      <c r="D52" s="168" t="s">
        <v>4</v>
      </c>
      <c r="E52" s="168" t="s">
        <v>24</v>
      </c>
      <c r="F52" s="168" t="s">
        <v>493</v>
      </c>
      <c r="G52" s="71">
        <v>37316</v>
      </c>
      <c r="H52" s="50" t="s">
        <v>4736</v>
      </c>
      <c r="I52" s="72">
        <v>11666</v>
      </c>
      <c r="J52" s="52">
        <v>21387</v>
      </c>
      <c r="K52" s="53" t="s">
        <v>494</v>
      </c>
      <c r="L52" s="53" t="s">
        <v>495</v>
      </c>
      <c r="M52" s="54" t="s">
        <v>496</v>
      </c>
      <c r="N52" s="75">
        <v>10</v>
      </c>
      <c r="O52" s="73">
        <v>10</v>
      </c>
      <c r="P52" s="73">
        <v>10</v>
      </c>
      <c r="Q52" s="73">
        <v>1</v>
      </c>
      <c r="R52" s="73">
        <v>0</v>
      </c>
      <c r="S52" s="131">
        <f t="shared" si="13"/>
        <v>31</v>
      </c>
      <c r="T52" s="75">
        <v>320</v>
      </c>
      <c r="U52" s="73">
        <v>320</v>
      </c>
      <c r="V52" s="73">
        <v>317</v>
      </c>
      <c r="W52" s="73">
        <v>317</v>
      </c>
      <c r="X52" s="73">
        <v>294</v>
      </c>
      <c r="Y52" s="73">
        <v>294</v>
      </c>
      <c r="Z52" s="132">
        <f t="shared" si="14"/>
        <v>931</v>
      </c>
      <c r="AA52" s="131">
        <f t="shared" si="14"/>
        <v>931</v>
      </c>
      <c r="AB52" s="75">
        <v>5</v>
      </c>
      <c r="AC52" s="1290">
        <v>5</v>
      </c>
      <c r="AD52" s="78">
        <v>0</v>
      </c>
      <c r="AE52" s="78">
        <v>0</v>
      </c>
    </row>
    <row r="53" spans="1:31" s="329" customFormat="1" ht="17.100000000000001" customHeight="1">
      <c r="A53" s="168" t="s">
        <v>154</v>
      </c>
      <c r="B53" s="168" t="s">
        <v>7</v>
      </c>
      <c r="C53" s="168" t="s">
        <v>7</v>
      </c>
      <c r="D53" s="168" t="s">
        <v>4</v>
      </c>
      <c r="E53" s="168" t="s">
        <v>144</v>
      </c>
      <c r="F53" s="168" t="s">
        <v>497</v>
      </c>
      <c r="G53" s="71">
        <v>33298</v>
      </c>
      <c r="H53" s="50" t="s">
        <v>4737</v>
      </c>
      <c r="I53" s="72">
        <v>12262</v>
      </c>
      <c r="J53" s="52">
        <v>21387</v>
      </c>
      <c r="K53" s="53" t="s">
        <v>2095</v>
      </c>
      <c r="L53" s="53" t="s">
        <v>2096</v>
      </c>
      <c r="M53" s="54" t="s">
        <v>2097</v>
      </c>
      <c r="N53" s="75">
        <v>8</v>
      </c>
      <c r="O53" s="73">
        <v>9</v>
      </c>
      <c r="P53" s="73">
        <v>9</v>
      </c>
      <c r="Q53" s="73">
        <v>2</v>
      </c>
      <c r="R53" s="73">
        <v>0</v>
      </c>
      <c r="S53" s="131">
        <f t="shared" si="13"/>
        <v>28</v>
      </c>
      <c r="T53" s="75">
        <v>189</v>
      </c>
      <c r="U53" s="73">
        <v>0</v>
      </c>
      <c r="V53" s="73">
        <v>263</v>
      </c>
      <c r="W53" s="73">
        <v>0</v>
      </c>
      <c r="X53" s="73">
        <v>249</v>
      </c>
      <c r="Y53" s="73">
        <v>0</v>
      </c>
      <c r="Z53" s="132">
        <f t="shared" si="14"/>
        <v>701</v>
      </c>
      <c r="AA53" s="131">
        <f t="shared" si="14"/>
        <v>0</v>
      </c>
      <c r="AB53" s="75">
        <v>9</v>
      </c>
      <c r="AC53" s="1290">
        <v>0</v>
      </c>
      <c r="AD53" s="78">
        <v>0</v>
      </c>
      <c r="AE53" s="78">
        <v>0</v>
      </c>
    </row>
    <row r="54" spans="1:31" s="282" customFormat="1" ht="17.100000000000001" customHeight="1">
      <c r="A54" s="168" t="s">
        <v>154</v>
      </c>
      <c r="B54" s="168" t="s">
        <v>7</v>
      </c>
      <c r="C54" s="168" t="s">
        <v>7</v>
      </c>
      <c r="D54" s="168" t="s">
        <v>4</v>
      </c>
      <c r="E54" s="168" t="s">
        <v>26</v>
      </c>
      <c r="F54" s="168" t="s">
        <v>500</v>
      </c>
      <c r="G54" s="71">
        <v>33659</v>
      </c>
      <c r="H54" s="50" t="s">
        <v>4738</v>
      </c>
      <c r="I54" s="72">
        <v>12917.7</v>
      </c>
      <c r="J54" s="52">
        <v>21319</v>
      </c>
      <c r="K54" s="53" t="s">
        <v>501</v>
      </c>
      <c r="L54" s="53" t="s">
        <v>502</v>
      </c>
      <c r="M54" s="54" t="s">
        <v>4739</v>
      </c>
      <c r="N54" s="75">
        <v>4</v>
      </c>
      <c r="O54" s="73">
        <v>6</v>
      </c>
      <c r="P54" s="73">
        <v>6</v>
      </c>
      <c r="Q54" s="73">
        <v>2</v>
      </c>
      <c r="R54" s="73">
        <v>0</v>
      </c>
      <c r="S54" s="131">
        <f t="shared" si="13"/>
        <v>18</v>
      </c>
      <c r="T54" s="75">
        <v>87</v>
      </c>
      <c r="U54" s="73">
        <v>41</v>
      </c>
      <c r="V54" s="73">
        <v>111</v>
      </c>
      <c r="W54" s="73">
        <v>69</v>
      </c>
      <c r="X54" s="73">
        <v>145</v>
      </c>
      <c r="Y54" s="73">
        <v>72</v>
      </c>
      <c r="Z54" s="132">
        <f t="shared" si="14"/>
        <v>343</v>
      </c>
      <c r="AA54" s="131">
        <f t="shared" si="14"/>
        <v>182</v>
      </c>
      <c r="AB54" s="75">
        <v>12</v>
      </c>
      <c r="AC54" s="1290">
        <v>6</v>
      </c>
      <c r="AD54" s="78">
        <v>0</v>
      </c>
      <c r="AE54" s="78">
        <v>0</v>
      </c>
    </row>
    <row r="55" spans="1:31" s="282" customFormat="1" ht="17.100000000000001" customHeight="1">
      <c r="A55" s="168" t="s">
        <v>154</v>
      </c>
      <c r="B55" s="168" t="s">
        <v>7</v>
      </c>
      <c r="C55" s="168" t="s">
        <v>7</v>
      </c>
      <c r="D55" s="168" t="s">
        <v>4</v>
      </c>
      <c r="E55" s="168" t="s">
        <v>144</v>
      </c>
      <c r="F55" s="168" t="s">
        <v>503</v>
      </c>
      <c r="G55" s="71">
        <v>25628</v>
      </c>
      <c r="H55" s="50" t="s">
        <v>4740</v>
      </c>
      <c r="I55" s="72">
        <v>23886</v>
      </c>
      <c r="J55" s="52">
        <v>21398</v>
      </c>
      <c r="K55" s="53" t="s">
        <v>504</v>
      </c>
      <c r="L55" s="53" t="s">
        <v>504</v>
      </c>
      <c r="M55" s="54" t="s">
        <v>505</v>
      </c>
      <c r="N55" s="75">
        <v>5</v>
      </c>
      <c r="O55" s="73">
        <v>4</v>
      </c>
      <c r="P55" s="73">
        <v>5</v>
      </c>
      <c r="Q55" s="73">
        <v>2</v>
      </c>
      <c r="R55" s="73">
        <v>0</v>
      </c>
      <c r="S55" s="131">
        <f t="shared" si="13"/>
        <v>16</v>
      </c>
      <c r="T55" s="75">
        <v>107</v>
      </c>
      <c r="U55" s="73">
        <v>0</v>
      </c>
      <c r="V55" s="73">
        <v>90</v>
      </c>
      <c r="W55" s="73">
        <v>0</v>
      </c>
      <c r="X55" s="73">
        <v>107</v>
      </c>
      <c r="Y55" s="73">
        <v>0</v>
      </c>
      <c r="Z55" s="132">
        <f t="shared" si="14"/>
        <v>304</v>
      </c>
      <c r="AA55" s="131">
        <f t="shared" si="14"/>
        <v>0</v>
      </c>
      <c r="AB55" s="75">
        <v>14</v>
      </c>
      <c r="AC55" s="1290">
        <v>0</v>
      </c>
      <c r="AD55" s="78">
        <v>0</v>
      </c>
      <c r="AE55" s="78">
        <v>0</v>
      </c>
    </row>
    <row r="56" spans="1:31" s="282" customFormat="1" ht="17.100000000000001" customHeight="1">
      <c r="A56" s="168" t="s">
        <v>154</v>
      </c>
      <c r="B56" s="168" t="s">
        <v>7</v>
      </c>
      <c r="C56" s="168" t="s">
        <v>7</v>
      </c>
      <c r="D56" s="168" t="s">
        <v>4</v>
      </c>
      <c r="E56" s="168" t="s">
        <v>24</v>
      </c>
      <c r="F56" s="168" t="s">
        <v>506</v>
      </c>
      <c r="G56" s="71">
        <v>28559</v>
      </c>
      <c r="H56" s="50" t="s">
        <v>4741</v>
      </c>
      <c r="I56" s="72">
        <v>22425</v>
      </c>
      <c r="J56" s="52">
        <v>21375</v>
      </c>
      <c r="K56" s="53" t="s">
        <v>507</v>
      </c>
      <c r="L56" s="53" t="s">
        <v>508</v>
      </c>
      <c r="M56" s="54" t="s">
        <v>509</v>
      </c>
      <c r="N56" s="75">
        <v>4</v>
      </c>
      <c r="O56" s="73">
        <v>5</v>
      </c>
      <c r="P56" s="73">
        <v>4</v>
      </c>
      <c r="Q56" s="73">
        <v>1</v>
      </c>
      <c r="R56" s="73">
        <v>0</v>
      </c>
      <c r="S56" s="131">
        <f t="shared" si="13"/>
        <v>14</v>
      </c>
      <c r="T56" s="75">
        <v>77</v>
      </c>
      <c r="U56" s="73">
        <v>77</v>
      </c>
      <c r="V56" s="73">
        <v>112</v>
      </c>
      <c r="W56" s="73">
        <v>112</v>
      </c>
      <c r="X56" s="73">
        <v>86</v>
      </c>
      <c r="Y56" s="73">
        <v>86</v>
      </c>
      <c r="Z56" s="132">
        <f t="shared" si="14"/>
        <v>275</v>
      </c>
      <c r="AA56" s="131">
        <f t="shared" si="14"/>
        <v>275</v>
      </c>
      <c r="AB56" s="75">
        <v>6</v>
      </c>
      <c r="AC56" s="1290">
        <v>6</v>
      </c>
      <c r="AD56" s="78">
        <v>0</v>
      </c>
      <c r="AE56" s="78">
        <v>0</v>
      </c>
    </row>
    <row r="57" spans="1:31" s="282" customFormat="1" ht="17.100000000000001" customHeight="1">
      <c r="A57" s="168" t="s">
        <v>154</v>
      </c>
      <c r="B57" s="168" t="s">
        <v>7</v>
      </c>
      <c r="C57" s="168" t="s">
        <v>7</v>
      </c>
      <c r="D57" s="168" t="s">
        <v>4</v>
      </c>
      <c r="E57" s="168" t="s">
        <v>144</v>
      </c>
      <c r="F57" s="168" t="s">
        <v>510</v>
      </c>
      <c r="G57" s="71">
        <v>29281</v>
      </c>
      <c r="H57" s="50" t="s">
        <v>4742</v>
      </c>
      <c r="I57" s="72">
        <v>62628</v>
      </c>
      <c r="J57" s="52">
        <v>21375</v>
      </c>
      <c r="K57" s="53" t="s">
        <v>511</v>
      </c>
      <c r="L57" s="53" t="s">
        <v>512</v>
      </c>
      <c r="M57" s="54" t="s">
        <v>513</v>
      </c>
      <c r="N57" s="75">
        <v>4</v>
      </c>
      <c r="O57" s="73">
        <v>3</v>
      </c>
      <c r="P57" s="73">
        <v>4</v>
      </c>
      <c r="Q57" s="73">
        <v>2</v>
      </c>
      <c r="R57" s="73">
        <v>0</v>
      </c>
      <c r="S57" s="131">
        <f t="shared" si="13"/>
        <v>13</v>
      </c>
      <c r="T57" s="75">
        <v>73</v>
      </c>
      <c r="U57" s="73">
        <v>0</v>
      </c>
      <c r="V57" s="73">
        <v>53</v>
      </c>
      <c r="W57" s="73">
        <v>0</v>
      </c>
      <c r="X57" s="73">
        <v>90</v>
      </c>
      <c r="Y57" s="73">
        <v>0</v>
      </c>
      <c r="Z57" s="132">
        <f t="shared" si="14"/>
        <v>216</v>
      </c>
      <c r="AA57" s="131">
        <f t="shared" si="14"/>
        <v>0</v>
      </c>
      <c r="AB57" s="311">
        <v>8</v>
      </c>
      <c r="AC57" s="1291">
        <v>0</v>
      </c>
      <c r="AD57" s="78">
        <v>0</v>
      </c>
      <c r="AE57" s="78">
        <v>0</v>
      </c>
    </row>
    <row r="58" spans="1:31" s="282" customFormat="1" ht="17.100000000000001" customHeight="1">
      <c r="A58" s="168" t="s">
        <v>154</v>
      </c>
      <c r="B58" s="168" t="s">
        <v>7</v>
      </c>
      <c r="C58" s="168" t="s">
        <v>7</v>
      </c>
      <c r="D58" s="168" t="s">
        <v>4</v>
      </c>
      <c r="E58" s="168" t="s">
        <v>24</v>
      </c>
      <c r="F58" s="168" t="s">
        <v>514</v>
      </c>
      <c r="G58" s="71">
        <v>25629</v>
      </c>
      <c r="H58" s="50" t="s">
        <v>551</v>
      </c>
      <c r="I58" s="72">
        <v>18557</v>
      </c>
      <c r="J58" s="52">
        <v>21398</v>
      </c>
      <c r="K58" s="53" t="s">
        <v>515</v>
      </c>
      <c r="L58" s="53" t="s">
        <v>516</v>
      </c>
      <c r="M58" s="54" t="s">
        <v>517</v>
      </c>
      <c r="N58" s="75">
        <v>5</v>
      </c>
      <c r="O58" s="73">
        <v>7</v>
      </c>
      <c r="P58" s="73">
        <v>4</v>
      </c>
      <c r="Q58" s="73">
        <v>2</v>
      </c>
      <c r="R58" s="73">
        <v>0</v>
      </c>
      <c r="S58" s="131">
        <f t="shared" si="13"/>
        <v>18</v>
      </c>
      <c r="T58" s="75">
        <v>124</v>
      </c>
      <c r="U58" s="73">
        <v>124</v>
      </c>
      <c r="V58" s="73">
        <v>188</v>
      </c>
      <c r="W58" s="73">
        <v>188</v>
      </c>
      <c r="X58" s="73">
        <v>110</v>
      </c>
      <c r="Y58" s="73">
        <v>110</v>
      </c>
      <c r="Z58" s="132">
        <f t="shared" si="14"/>
        <v>422</v>
      </c>
      <c r="AA58" s="131">
        <f t="shared" si="14"/>
        <v>422</v>
      </c>
      <c r="AB58" s="75">
        <v>9</v>
      </c>
      <c r="AC58" s="1290">
        <v>9</v>
      </c>
      <c r="AD58" s="78">
        <v>0</v>
      </c>
      <c r="AE58" s="78">
        <v>0</v>
      </c>
    </row>
    <row r="59" spans="1:31" s="282" customFormat="1" ht="17.100000000000001" customHeight="1">
      <c r="A59" s="168" t="s">
        <v>154</v>
      </c>
      <c r="B59" s="168" t="s">
        <v>7</v>
      </c>
      <c r="C59" s="168" t="s">
        <v>7</v>
      </c>
      <c r="D59" s="168" t="s">
        <v>4</v>
      </c>
      <c r="E59" s="168" t="s">
        <v>144</v>
      </c>
      <c r="F59" s="168" t="s">
        <v>518</v>
      </c>
      <c r="G59" s="71">
        <v>24898</v>
      </c>
      <c r="H59" s="50" t="s">
        <v>4743</v>
      </c>
      <c r="I59" s="72">
        <v>16976</v>
      </c>
      <c r="J59" s="52">
        <v>21356</v>
      </c>
      <c r="K59" s="53" t="s">
        <v>519</v>
      </c>
      <c r="L59" s="53" t="s">
        <v>520</v>
      </c>
      <c r="M59" s="54" t="s">
        <v>550</v>
      </c>
      <c r="N59" s="75">
        <v>5</v>
      </c>
      <c r="O59" s="73">
        <v>5</v>
      </c>
      <c r="P59" s="73">
        <v>4</v>
      </c>
      <c r="Q59" s="73">
        <v>2</v>
      </c>
      <c r="R59" s="73">
        <v>0</v>
      </c>
      <c r="S59" s="131">
        <f t="shared" si="13"/>
        <v>16</v>
      </c>
      <c r="T59" s="75">
        <v>122</v>
      </c>
      <c r="U59" s="73">
        <v>0</v>
      </c>
      <c r="V59" s="73">
        <v>117</v>
      </c>
      <c r="W59" s="73">
        <v>0</v>
      </c>
      <c r="X59" s="73">
        <v>102</v>
      </c>
      <c r="Y59" s="73">
        <v>0</v>
      </c>
      <c r="Z59" s="132">
        <f t="shared" si="14"/>
        <v>341</v>
      </c>
      <c r="AA59" s="131">
        <f t="shared" si="14"/>
        <v>0</v>
      </c>
      <c r="AB59" s="75">
        <v>8</v>
      </c>
      <c r="AC59" s="1290">
        <v>0</v>
      </c>
      <c r="AD59" s="78">
        <v>0</v>
      </c>
      <c r="AE59" s="78">
        <v>0</v>
      </c>
    </row>
    <row r="60" spans="1:31" s="282" customFormat="1" ht="17.100000000000001" customHeight="1">
      <c r="A60" s="168" t="s">
        <v>154</v>
      </c>
      <c r="B60" s="168" t="s">
        <v>7</v>
      </c>
      <c r="C60" s="168" t="s">
        <v>7</v>
      </c>
      <c r="D60" s="168" t="s">
        <v>4</v>
      </c>
      <c r="E60" s="168" t="s">
        <v>26</v>
      </c>
      <c r="F60" s="168" t="s">
        <v>521</v>
      </c>
      <c r="G60" s="71">
        <v>31837</v>
      </c>
      <c r="H60" s="50" t="s">
        <v>4744</v>
      </c>
      <c r="I60" s="72">
        <v>14750</v>
      </c>
      <c r="J60" s="52">
        <v>21348</v>
      </c>
      <c r="K60" s="53" t="s">
        <v>4745</v>
      </c>
      <c r="L60" s="53" t="s">
        <v>2098</v>
      </c>
      <c r="M60" s="54" t="s">
        <v>2099</v>
      </c>
      <c r="N60" s="75">
        <v>5</v>
      </c>
      <c r="O60" s="73">
        <v>6</v>
      </c>
      <c r="P60" s="73">
        <v>6</v>
      </c>
      <c r="Q60" s="73">
        <v>1</v>
      </c>
      <c r="R60" s="73">
        <v>0</v>
      </c>
      <c r="S60" s="131">
        <f t="shared" si="13"/>
        <v>18</v>
      </c>
      <c r="T60" s="75">
        <v>118</v>
      </c>
      <c r="U60" s="73">
        <v>61</v>
      </c>
      <c r="V60" s="73">
        <v>124</v>
      </c>
      <c r="W60" s="73">
        <v>65</v>
      </c>
      <c r="X60" s="73">
        <v>171</v>
      </c>
      <c r="Y60" s="73">
        <v>95</v>
      </c>
      <c r="Z60" s="132">
        <f t="shared" si="14"/>
        <v>413</v>
      </c>
      <c r="AA60" s="131">
        <f t="shared" si="14"/>
        <v>221</v>
      </c>
      <c r="AB60" s="75">
        <v>3</v>
      </c>
      <c r="AC60" s="1290">
        <v>2</v>
      </c>
      <c r="AD60" s="78">
        <v>0</v>
      </c>
      <c r="AE60" s="78">
        <v>0</v>
      </c>
    </row>
    <row r="61" spans="1:31" s="282" customFormat="1" ht="17.100000000000001" customHeight="1">
      <c r="A61" s="168" t="s">
        <v>154</v>
      </c>
      <c r="B61" s="168" t="s">
        <v>7</v>
      </c>
      <c r="C61" s="168" t="s">
        <v>7</v>
      </c>
      <c r="D61" s="168" t="s">
        <v>4</v>
      </c>
      <c r="E61" s="168" t="s">
        <v>144</v>
      </c>
      <c r="F61" s="168" t="s">
        <v>522</v>
      </c>
      <c r="G61" s="71">
        <v>31837</v>
      </c>
      <c r="H61" s="50" t="s">
        <v>4746</v>
      </c>
      <c r="I61" s="72">
        <v>15239</v>
      </c>
      <c r="J61" s="52">
        <v>21376</v>
      </c>
      <c r="K61" s="53" t="s">
        <v>2100</v>
      </c>
      <c r="L61" s="53" t="s">
        <v>523</v>
      </c>
      <c r="M61" s="54" t="s">
        <v>524</v>
      </c>
      <c r="N61" s="75">
        <v>9</v>
      </c>
      <c r="O61" s="73">
        <v>9</v>
      </c>
      <c r="P61" s="73">
        <v>9</v>
      </c>
      <c r="Q61" s="73">
        <v>1</v>
      </c>
      <c r="R61" s="73">
        <v>0</v>
      </c>
      <c r="S61" s="131">
        <f t="shared" si="13"/>
        <v>28</v>
      </c>
      <c r="T61" s="75">
        <v>259</v>
      </c>
      <c r="U61" s="73">
        <v>0</v>
      </c>
      <c r="V61" s="73">
        <v>290</v>
      </c>
      <c r="W61" s="73">
        <v>0</v>
      </c>
      <c r="X61" s="73">
        <v>274</v>
      </c>
      <c r="Y61" s="73">
        <v>0</v>
      </c>
      <c r="Z61" s="132">
        <f t="shared" si="14"/>
        <v>823</v>
      </c>
      <c r="AA61" s="131">
        <f t="shared" si="14"/>
        <v>0</v>
      </c>
      <c r="AB61" s="311">
        <v>5</v>
      </c>
      <c r="AC61" s="1291">
        <v>0</v>
      </c>
      <c r="AD61" s="78">
        <v>0</v>
      </c>
      <c r="AE61" s="78">
        <v>0</v>
      </c>
    </row>
    <row r="62" spans="1:31" s="282" customFormat="1" ht="17.100000000000001" customHeight="1">
      <c r="A62" s="168" t="s">
        <v>154</v>
      </c>
      <c r="B62" s="168" t="s">
        <v>7</v>
      </c>
      <c r="C62" s="168" t="s">
        <v>7</v>
      </c>
      <c r="D62" s="168" t="s">
        <v>4</v>
      </c>
      <c r="E62" s="168" t="s">
        <v>24</v>
      </c>
      <c r="F62" s="168" t="s">
        <v>525</v>
      </c>
      <c r="G62" s="71">
        <v>32933</v>
      </c>
      <c r="H62" s="50" t="s">
        <v>4747</v>
      </c>
      <c r="I62" s="72">
        <v>7628</v>
      </c>
      <c r="J62" s="52">
        <v>21380</v>
      </c>
      <c r="K62" s="53" t="s">
        <v>526</v>
      </c>
      <c r="L62" s="53" t="s">
        <v>527</v>
      </c>
      <c r="M62" s="54" t="s">
        <v>528</v>
      </c>
      <c r="N62" s="75">
        <v>9</v>
      </c>
      <c r="O62" s="73">
        <v>10</v>
      </c>
      <c r="P62" s="73">
        <v>10</v>
      </c>
      <c r="Q62" s="73">
        <v>1</v>
      </c>
      <c r="R62" s="73">
        <v>0</v>
      </c>
      <c r="S62" s="131">
        <f t="shared" si="13"/>
        <v>30</v>
      </c>
      <c r="T62" s="75">
        <v>275</v>
      </c>
      <c r="U62" s="73">
        <v>275</v>
      </c>
      <c r="V62" s="73">
        <v>280</v>
      </c>
      <c r="W62" s="73">
        <v>280</v>
      </c>
      <c r="X62" s="73">
        <v>258</v>
      </c>
      <c r="Y62" s="73">
        <v>258</v>
      </c>
      <c r="Z62" s="132">
        <f t="shared" si="14"/>
        <v>813</v>
      </c>
      <c r="AA62" s="131">
        <f t="shared" si="14"/>
        <v>813</v>
      </c>
      <c r="AB62" s="75">
        <v>7</v>
      </c>
      <c r="AC62" s="1290">
        <v>7</v>
      </c>
      <c r="AD62" s="78">
        <v>0</v>
      </c>
      <c r="AE62" s="78">
        <v>0</v>
      </c>
    </row>
    <row r="63" spans="1:31" s="282" customFormat="1" ht="17.100000000000001" customHeight="1">
      <c r="A63" s="168" t="s">
        <v>154</v>
      </c>
      <c r="B63" s="168" t="s">
        <v>7</v>
      </c>
      <c r="C63" s="168" t="s">
        <v>7</v>
      </c>
      <c r="D63" s="168" t="s">
        <v>4</v>
      </c>
      <c r="E63" s="168" t="s">
        <v>144</v>
      </c>
      <c r="F63" s="168" t="s">
        <v>529</v>
      </c>
      <c r="G63" s="71">
        <v>30742</v>
      </c>
      <c r="H63" s="50" t="s">
        <v>4748</v>
      </c>
      <c r="I63" s="72">
        <v>16302</v>
      </c>
      <c r="J63" s="52">
        <v>21371</v>
      </c>
      <c r="K63" s="53" t="s">
        <v>530</v>
      </c>
      <c r="L63" s="53" t="s">
        <v>531</v>
      </c>
      <c r="M63" s="54" t="s">
        <v>532</v>
      </c>
      <c r="N63" s="75">
        <v>4</v>
      </c>
      <c r="O63" s="73">
        <v>5</v>
      </c>
      <c r="P63" s="73">
        <v>5</v>
      </c>
      <c r="Q63" s="73">
        <v>1</v>
      </c>
      <c r="R63" s="73">
        <v>0</v>
      </c>
      <c r="S63" s="131">
        <f t="shared" si="13"/>
        <v>15</v>
      </c>
      <c r="T63" s="75">
        <v>90</v>
      </c>
      <c r="U63" s="73">
        <v>0</v>
      </c>
      <c r="V63" s="73">
        <v>111</v>
      </c>
      <c r="W63" s="73">
        <v>0</v>
      </c>
      <c r="X63" s="73">
        <v>124</v>
      </c>
      <c r="Y63" s="73">
        <v>0</v>
      </c>
      <c r="Z63" s="132">
        <f t="shared" si="14"/>
        <v>325</v>
      </c>
      <c r="AA63" s="131">
        <f t="shared" si="14"/>
        <v>0</v>
      </c>
      <c r="AB63" s="75">
        <v>4</v>
      </c>
      <c r="AC63" s="1290">
        <v>0</v>
      </c>
      <c r="AD63" s="78">
        <v>0</v>
      </c>
      <c r="AE63" s="78">
        <v>0</v>
      </c>
    </row>
    <row r="64" spans="1:31" s="282" customFormat="1" ht="17.100000000000001" customHeight="1">
      <c r="A64" s="168" t="s">
        <v>154</v>
      </c>
      <c r="B64" s="168" t="s">
        <v>7</v>
      </c>
      <c r="C64" s="168" t="s">
        <v>7</v>
      </c>
      <c r="D64" s="168" t="s">
        <v>4</v>
      </c>
      <c r="E64" s="168" t="s">
        <v>26</v>
      </c>
      <c r="F64" s="168" t="s">
        <v>533</v>
      </c>
      <c r="G64" s="71">
        <v>38412</v>
      </c>
      <c r="H64" s="50" t="s">
        <v>4749</v>
      </c>
      <c r="I64" s="72">
        <v>12806</v>
      </c>
      <c r="J64" s="52">
        <v>21324</v>
      </c>
      <c r="K64" s="53" t="s">
        <v>534</v>
      </c>
      <c r="L64" s="53" t="s">
        <v>534</v>
      </c>
      <c r="M64" s="54" t="s">
        <v>535</v>
      </c>
      <c r="N64" s="75">
        <v>11</v>
      </c>
      <c r="O64" s="73">
        <v>11</v>
      </c>
      <c r="P64" s="73">
        <v>11</v>
      </c>
      <c r="Q64" s="73">
        <v>1</v>
      </c>
      <c r="R64" s="73">
        <v>0</v>
      </c>
      <c r="S64" s="131">
        <f t="shared" si="13"/>
        <v>34</v>
      </c>
      <c r="T64" s="75">
        <v>250</v>
      </c>
      <c r="U64" s="73">
        <v>132</v>
      </c>
      <c r="V64" s="73">
        <v>332</v>
      </c>
      <c r="W64" s="73">
        <v>156</v>
      </c>
      <c r="X64" s="73">
        <v>329</v>
      </c>
      <c r="Y64" s="73">
        <v>167</v>
      </c>
      <c r="Z64" s="132">
        <f t="shared" si="14"/>
        <v>911</v>
      </c>
      <c r="AA64" s="131">
        <f t="shared" si="14"/>
        <v>455</v>
      </c>
      <c r="AB64" s="75">
        <v>7</v>
      </c>
      <c r="AC64" s="1290">
        <v>3</v>
      </c>
      <c r="AD64" s="78">
        <v>0</v>
      </c>
      <c r="AE64" s="78">
        <v>0</v>
      </c>
    </row>
    <row r="65" spans="1:31" s="282" customFormat="1" ht="17.100000000000001" customHeight="1">
      <c r="A65" s="168" t="s">
        <v>154</v>
      </c>
      <c r="B65" s="168" t="s">
        <v>7</v>
      </c>
      <c r="C65" s="168" t="s">
        <v>7</v>
      </c>
      <c r="D65" s="168" t="s">
        <v>4</v>
      </c>
      <c r="E65" s="168" t="s">
        <v>26</v>
      </c>
      <c r="F65" s="168" t="s">
        <v>548</v>
      </c>
      <c r="G65" s="71">
        <v>30680</v>
      </c>
      <c r="H65" s="50" t="s">
        <v>4750</v>
      </c>
      <c r="I65" s="72">
        <v>14738</v>
      </c>
      <c r="J65" s="52">
        <v>21428</v>
      </c>
      <c r="K65" s="53" t="s">
        <v>498</v>
      </c>
      <c r="L65" s="53" t="s">
        <v>498</v>
      </c>
      <c r="M65" s="54" t="s">
        <v>499</v>
      </c>
      <c r="N65" s="75">
        <v>5</v>
      </c>
      <c r="O65" s="73">
        <v>6</v>
      </c>
      <c r="P65" s="73">
        <v>7</v>
      </c>
      <c r="Q65" s="73">
        <v>2</v>
      </c>
      <c r="R65" s="73">
        <v>0</v>
      </c>
      <c r="S65" s="131">
        <f t="shared" si="13"/>
        <v>20</v>
      </c>
      <c r="T65" s="75">
        <v>125</v>
      </c>
      <c r="U65" s="73">
        <v>52</v>
      </c>
      <c r="V65" s="73">
        <v>156</v>
      </c>
      <c r="W65" s="73">
        <v>64</v>
      </c>
      <c r="X65" s="73">
        <v>193</v>
      </c>
      <c r="Y65" s="73">
        <v>99</v>
      </c>
      <c r="Z65" s="132">
        <f t="shared" si="14"/>
        <v>474</v>
      </c>
      <c r="AA65" s="131">
        <f t="shared" si="14"/>
        <v>215</v>
      </c>
      <c r="AB65" s="75">
        <v>8</v>
      </c>
      <c r="AC65" s="1290">
        <v>2</v>
      </c>
      <c r="AD65" s="78">
        <v>0</v>
      </c>
      <c r="AE65" s="78">
        <v>0</v>
      </c>
    </row>
    <row r="66" spans="1:31" s="282" customFormat="1" ht="17.100000000000001" customHeight="1">
      <c r="A66" s="168" t="s">
        <v>154</v>
      </c>
      <c r="B66" s="168" t="s">
        <v>7</v>
      </c>
      <c r="C66" s="168" t="s">
        <v>7</v>
      </c>
      <c r="D66" s="168" t="s">
        <v>4</v>
      </c>
      <c r="E66" s="168" t="s">
        <v>26</v>
      </c>
      <c r="F66" s="168" t="s">
        <v>536</v>
      </c>
      <c r="G66" s="71">
        <v>39508</v>
      </c>
      <c r="H66" s="50" t="s">
        <v>549</v>
      </c>
      <c r="I66" s="72">
        <v>11593.6</v>
      </c>
      <c r="J66" s="52">
        <v>21447</v>
      </c>
      <c r="K66" s="53" t="s">
        <v>537</v>
      </c>
      <c r="L66" s="53" t="s">
        <v>538</v>
      </c>
      <c r="M66" s="54" t="s">
        <v>539</v>
      </c>
      <c r="N66" s="75">
        <v>6</v>
      </c>
      <c r="O66" s="73">
        <v>5</v>
      </c>
      <c r="P66" s="73">
        <v>5</v>
      </c>
      <c r="Q66" s="73">
        <v>2</v>
      </c>
      <c r="R66" s="73">
        <v>0</v>
      </c>
      <c r="S66" s="131">
        <f t="shared" si="13"/>
        <v>18</v>
      </c>
      <c r="T66" s="75">
        <v>147</v>
      </c>
      <c r="U66" s="73">
        <v>66</v>
      </c>
      <c r="V66" s="73">
        <v>128</v>
      </c>
      <c r="W66" s="73">
        <v>52</v>
      </c>
      <c r="X66" s="73">
        <v>116</v>
      </c>
      <c r="Y66" s="73">
        <v>51</v>
      </c>
      <c r="Z66" s="132">
        <f t="shared" si="14"/>
        <v>391</v>
      </c>
      <c r="AA66" s="131">
        <f t="shared" si="14"/>
        <v>169</v>
      </c>
      <c r="AB66" s="75">
        <v>9</v>
      </c>
      <c r="AC66" s="1290">
        <v>4</v>
      </c>
      <c r="AD66" s="78">
        <v>0</v>
      </c>
      <c r="AE66" s="78">
        <v>0</v>
      </c>
    </row>
    <row r="67" spans="1:31" s="282" customFormat="1" ht="17.100000000000001" customHeight="1">
      <c r="A67" s="168" t="s">
        <v>154</v>
      </c>
      <c r="B67" s="168" t="s">
        <v>7</v>
      </c>
      <c r="C67" s="168" t="s">
        <v>7</v>
      </c>
      <c r="D67" s="168" t="s">
        <v>4</v>
      </c>
      <c r="E67" s="168" t="s">
        <v>26</v>
      </c>
      <c r="F67" s="168" t="s">
        <v>540</v>
      </c>
      <c r="G67" s="71">
        <v>38412</v>
      </c>
      <c r="H67" s="50" t="s">
        <v>4751</v>
      </c>
      <c r="I67" s="72">
        <v>13060</v>
      </c>
      <c r="J67" s="52">
        <v>21341</v>
      </c>
      <c r="K67" s="53" t="s">
        <v>4752</v>
      </c>
      <c r="L67" s="53" t="s">
        <v>4752</v>
      </c>
      <c r="M67" s="54" t="s">
        <v>541</v>
      </c>
      <c r="N67" s="75">
        <v>11</v>
      </c>
      <c r="O67" s="73">
        <v>10</v>
      </c>
      <c r="P67" s="73">
        <v>10</v>
      </c>
      <c r="Q67" s="73">
        <v>1</v>
      </c>
      <c r="R67" s="73">
        <v>0</v>
      </c>
      <c r="S67" s="131">
        <f t="shared" si="13"/>
        <v>32</v>
      </c>
      <c r="T67" s="75">
        <v>324</v>
      </c>
      <c r="U67" s="73">
        <v>164</v>
      </c>
      <c r="V67" s="73">
        <v>305</v>
      </c>
      <c r="W67" s="73">
        <v>154</v>
      </c>
      <c r="X67" s="73">
        <v>300</v>
      </c>
      <c r="Y67" s="73">
        <v>141</v>
      </c>
      <c r="Z67" s="132">
        <f t="shared" si="14"/>
        <v>929</v>
      </c>
      <c r="AA67" s="131">
        <f t="shared" si="14"/>
        <v>459</v>
      </c>
      <c r="AB67" s="75">
        <v>6</v>
      </c>
      <c r="AC67" s="1290">
        <v>1</v>
      </c>
      <c r="AD67" s="78">
        <v>0</v>
      </c>
      <c r="AE67" s="78">
        <v>0</v>
      </c>
    </row>
    <row r="68" spans="1:31" s="282" customFormat="1" ht="17.100000000000001" customHeight="1">
      <c r="A68" s="168" t="s">
        <v>154</v>
      </c>
      <c r="B68" s="168" t="s">
        <v>7</v>
      </c>
      <c r="C68" s="168" t="s">
        <v>7</v>
      </c>
      <c r="D68" s="168" t="s">
        <v>4</v>
      </c>
      <c r="E68" s="168" t="s">
        <v>26</v>
      </c>
      <c r="F68" s="168" t="s">
        <v>542</v>
      </c>
      <c r="G68" s="71">
        <v>31107</v>
      </c>
      <c r="H68" s="50" t="s">
        <v>4753</v>
      </c>
      <c r="I68" s="72">
        <v>12304</v>
      </c>
      <c r="J68" s="52">
        <v>21313</v>
      </c>
      <c r="K68" s="53" t="s">
        <v>543</v>
      </c>
      <c r="L68" s="53" t="s">
        <v>544</v>
      </c>
      <c r="M68" s="54" t="s">
        <v>545</v>
      </c>
      <c r="N68" s="75">
        <v>6</v>
      </c>
      <c r="O68" s="73">
        <v>7</v>
      </c>
      <c r="P68" s="73">
        <v>7</v>
      </c>
      <c r="Q68" s="73">
        <v>2</v>
      </c>
      <c r="R68" s="73">
        <v>0</v>
      </c>
      <c r="S68" s="131">
        <f t="shared" si="13"/>
        <v>22</v>
      </c>
      <c r="T68" s="75">
        <v>152</v>
      </c>
      <c r="U68" s="73">
        <v>75</v>
      </c>
      <c r="V68" s="73">
        <v>180</v>
      </c>
      <c r="W68" s="73">
        <v>89</v>
      </c>
      <c r="X68" s="73">
        <v>192</v>
      </c>
      <c r="Y68" s="73">
        <v>79</v>
      </c>
      <c r="Z68" s="132">
        <f t="shared" si="14"/>
        <v>524</v>
      </c>
      <c r="AA68" s="131">
        <f t="shared" si="14"/>
        <v>243</v>
      </c>
      <c r="AB68" s="75">
        <v>11</v>
      </c>
      <c r="AC68" s="1290">
        <v>3</v>
      </c>
      <c r="AD68" s="78">
        <v>0</v>
      </c>
      <c r="AE68" s="78">
        <v>0</v>
      </c>
    </row>
    <row r="69" spans="1:31" s="81" customFormat="1" ht="17.100000000000001" customHeight="1">
      <c r="A69" s="1625" t="s">
        <v>421</v>
      </c>
      <c r="B69" s="1626"/>
      <c r="C69" s="1626"/>
      <c r="D69" s="1626"/>
      <c r="E69" s="179">
        <f>COUNTA(E48:E68)</f>
        <v>21</v>
      </c>
      <c r="F69" s="283"/>
      <c r="G69" s="284"/>
      <c r="H69" s="181"/>
      <c r="I69" s="286"/>
      <c r="J69" s="287"/>
      <c r="K69" s="285"/>
      <c r="L69" s="285"/>
      <c r="M69" s="288"/>
      <c r="N69" s="289">
        <f t="shared" ref="N69:AE69" si="15">SUM(N48:N68)</f>
        <v>135</v>
      </c>
      <c r="O69" s="290">
        <f t="shared" si="15"/>
        <v>145</v>
      </c>
      <c r="P69" s="290">
        <f t="shared" si="15"/>
        <v>142</v>
      </c>
      <c r="Q69" s="290">
        <f t="shared" si="15"/>
        <v>31</v>
      </c>
      <c r="R69" s="290">
        <f t="shared" si="15"/>
        <v>0</v>
      </c>
      <c r="S69" s="291">
        <f t="shared" si="15"/>
        <v>453</v>
      </c>
      <c r="T69" s="289">
        <f t="shared" si="15"/>
        <v>3420</v>
      </c>
      <c r="U69" s="290">
        <f t="shared" si="15"/>
        <v>1696</v>
      </c>
      <c r="V69" s="290">
        <f t="shared" si="15"/>
        <v>3863</v>
      </c>
      <c r="W69" s="290">
        <f t="shared" si="15"/>
        <v>1873</v>
      </c>
      <c r="X69" s="290">
        <f t="shared" si="15"/>
        <v>3837</v>
      </c>
      <c r="Y69" s="290">
        <f t="shared" si="15"/>
        <v>1785</v>
      </c>
      <c r="Z69" s="290">
        <f t="shared" si="15"/>
        <v>11120</v>
      </c>
      <c r="AA69" s="316">
        <f t="shared" si="15"/>
        <v>5354</v>
      </c>
      <c r="AB69" s="289">
        <f t="shared" si="15"/>
        <v>158</v>
      </c>
      <c r="AC69" s="290">
        <f t="shared" si="15"/>
        <v>57</v>
      </c>
      <c r="AD69" s="290">
        <f t="shared" si="15"/>
        <v>0</v>
      </c>
      <c r="AE69" s="1167">
        <f t="shared" si="15"/>
        <v>0</v>
      </c>
    </row>
    <row r="70" spans="1:31" s="81" customFormat="1" ht="17.100000000000001" customHeight="1">
      <c r="A70" s="1660" t="s">
        <v>423</v>
      </c>
      <c r="B70" s="1661"/>
      <c r="C70" s="1661"/>
      <c r="D70" s="1661"/>
      <c r="E70" s="1662"/>
      <c r="F70" s="281">
        <f>E69</f>
        <v>21</v>
      </c>
      <c r="G70" s="302"/>
      <c r="H70" s="222"/>
      <c r="I70" s="304"/>
      <c r="J70" s="305"/>
      <c r="K70" s="303"/>
      <c r="L70" s="303"/>
      <c r="M70" s="306"/>
      <c r="N70" s="307">
        <f t="shared" ref="N70:AE70" si="16">N69</f>
        <v>135</v>
      </c>
      <c r="O70" s="308">
        <f t="shared" si="16"/>
        <v>145</v>
      </c>
      <c r="P70" s="308">
        <f t="shared" si="16"/>
        <v>142</v>
      </c>
      <c r="Q70" s="308">
        <f t="shared" si="16"/>
        <v>31</v>
      </c>
      <c r="R70" s="308">
        <f t="shared" si="16"/>
        <v>0</v>
      </c>
      <c r="S70" s="309">
        <f t="shared" si="16"/>
        <v>453</v>
      </c>
      <c r="T70" s="307">
        <f t="shared" si="16"/>
        <v>3420</v>
      </c>
      <c r="U70" s="308">
        <f t="shared" si="16"/>
        <v>1696</v>
      </c>
      <c r="V70" s="308">
        <f t="shared" si="16"/>
        <v>3863</v>
      </c>
      <c r="W70" s="308">
        <f t="shared" si="16"/>
        <v>1873</v>
      </c>
      <c r="X70" s="308">
        <f t="shared" si="16"/>
        <v>3837</v>
      </c>
      <c r="Y70" s="308">
        <f t="shared" si="16"/>
        <v>1785</v>
      </c>
      <c r="Z70" s="308">
        <f t="shared" si="16"/>
        <v>11120</v>
      </c>
      <c r="AA70" s="313">
        <f t="shared" si="16"/>
        <v>5354</v>
      </c>
      <c r="AB70" s="307">
        <f t="shared" si="16"/>
        <v>158</v>
      </c>
      <c r="AC70" s="308">
        <f t="shared" si="16"/>
        <v>57</v>
      </c>
      <c r="AD70" s="1301">
        <f t="shared" si="16"/>
        <v>0</v>
      </c>
      <c r="AE70" s="1300">
        <f t="shared" si="16"/>
        <v>0</v>
      </c>
    </row>
    <row r="71" spans="1:31" s="81" customFormat="1" ht="17.100000000000001" customHeight="1">
      <c r="A71" s="167" t="s">
        <v>154</v>
      </c>
      <c r="B71" s="167" t="s">
        <v>10</v>
      </c>
      <c r="C71" s="168" t="s">
        <v>10</v>
      </c>
      <c r="D71" s="167" t="s">
        <v>4</v>
      </c>
      <c r="E71" s="167" t="s">
        <v>24</v>
      </c>
      <c r="F71" s="168" t="s">
        <v>553</v>
      </c>
      <c r="G71" s="71">
        <v>34389</v>
      </c>
      <c r="H71" s="50" t="s">
        <v>597</v>
      </c>
      <c r="I71" s="77">
        <v>12162</v>
      </c>
      <c r="J71" s="52">
        <v>21083</v>
      </c>
      <c r="K71" s="53" t="s">
        <v>4754</v>
      </c>
      <c r="L71" s="53" t="s">
        <v>554</v>
      </c>
      <c r="M71" s="54" t="s">
        <v>4755</v>
      </c>
      <c r="N71" s="79">
        <v>5</v>
      </c>
      <c r="O71" s="78">
        <v>6</v>
      </c>
      <c r="P71" s="78">
        <v>5</v>
      </c>
      <c r="Q71" s="78">
        <v>0</v>
      </c>
      <c r="R71" s="78">
        <v>0</v>
      </c>
      <c r="S71" s="131">
        <f t="shared" ref="S71:S85" si="17">SUM(N71:R71)</f>
        <v>16</v>
      </c>
      <c r="T71" s="79">
        <v>92</v>
      </c>
      <c r="U71" s="78">
        <v>92</v>
      </c>
      <c r="V71" s="78">
        <v>151</v>
      </c>
      <c r="W71" s="78">
        <v>151</v>
      </c>
      <c r="X71" s="78">
        <v>140</v>
      </c>
      <c r="Y71" s="78">
        <v>140</v>
      </c>
      <c r="Z71" s="132">
        <f t="shared" ref="Z71:AA85" si="18">T71+V71+X71</f>
        <v>383</v>
      </c>
      <c r="AA71" s="131">
        <f t="shared" si="18"/>
        <v>383</v>
      </c>
      <c r="AB71" s="79">
        <v>0</v>
      </c>
      <c r="AC71" s="1289">
        <v>0</v>
      </c>
      <c r="AD71" s="78">
        <v>0</v>
      </c>
      <c r="AE71" s="78">
        <v>0</v>
      </c>
    </row>
    <row r="72" spans="1:31" s="81" customFormat="1" ht="17.100000000000001" customHeight="1">
      <c r="A72" s="167" t="s">
        <v>154</v>
      </c>
      <c r="B72" s="167" t="s">
        <v>10</v>
      </c>
      <c r="C72" s="168" t="s">
        <v>10</v>
      </c>
      <c r="D72" s="167" t="s">
        <v>4</v>
      </c>
      <c r="E72" s="167" t="s">
        <v>144</v>
      </c>
      <c r="F72" s="168" t="s">
        <v>555</v>
      </c>
      <c r="G72" s="71">
        <v>33306</v>
      </c>
      <c r="H72" s="50" t="s">
        <v>4756</v>
      </c>
      <c r="I72" s="77">
        <v>9751.16</v>
      </c>
      <c r="J72" s="52">
        <v>21071</v>
      </c>
      <c r="K72" s="53" t="s">
        <v>556</v>
      </c>
      <c r="L72" s="53" t="s">
        <v>557</v>
      </c>
      <c r="M72" s="54" t="s">
        <v>4757</v>
      </c>
      <c r="N72" s="79">
        <v>5</v>
      </c>
      <c r="O72" s="78">
        <v>6</v>
      </c>
      <c r="P72" s="78">
        <v>6</v>
      </c>
      <c r="Q72" s="78">
        <v>1</v>
      </c>
      <c r="R72" s="78">
        <v>0</v>
      </c>
      <c r="S72" s="131">
        <f t="shared" si="17"/>
        <v>18</v>
      </c>
      <c r="T72" s="79">
        <v>90</v>
      </c>
      <c r="U72" s="78">
        <v>0</v>
      </c>
      <c r="V72" s="78">
        <v>133</v>
      </c>
      <c r="W72" s="78">
        <v>0</v>
      </c>
      <c r="X72" s="78">
        <v>132</v>
      </c>
      <c r="Y72" s="78">
        <v>0</v>
      </c>
      <c r="Z72" s="132">
        <f t="shared" si="18"/>
        <v>355</v>
      </c>
      <c r="AA72" s="131">
        <f t="shared" si="18"/>
        <v>0</v>
      </c>
      <c r="AB72" s="314">
        <v>2</v>
      </c>
      <c r="AC72" s="1292">
        <v>0</v>
      </c>
      <c r="AD72" s="78">
        <v>0</v>
      </c>
      <c r="AE72" s="78">
        <v>0</v>
      </c>
    </row>
    <row r="73" spans="1:31" s="81" customFormat="1" ht="17.100000000000001" customHeight="1">
      <c r="A73" s="167" t="s">
        <v>154</v>
      </c>
      <c r="B73" s="167" t="s">
        <v>10</v>
      </c>
      <c r="C73" s="168" t="s">
        <v>10</v>
      </c>
      <c r="D73" s="167" t="s">
        <v>4</v>
      </c>
      <c r="E73" s="167" t="s">
        <v>26</v>
      </c>
      <c r="F73" s="168" t="s">
        <v>558</v>
      </c>
      <c r="G73" s="71">
        <v>25628</v>
      </c>
      <c r="H73" s="50" t="s">
        <v>4758</v>
      </c>
      <c r="I73" s="77">
        <v>15049</v>
      </c>
      <c r="J73" s="52">
        <v>21015</v>
      </c>
      <c r="K73" s="53" t="s">
        <v>559</v>
      </c>
      <c r="L73" s="53" t="s">
        <v>560</v>
      </c>
      <c r="M73" s="54" t="s">
        <v>561</v>
      </c>
      <c r="N73" s="79">
        <v>6</v>
      </c>
      <c r="O73" s="78">
        <v>6</v>
      </c>
      <c r="P73" s="78">
        <v>6</v>
      </c>
      <c r="Q73" s="78">
        <v>1</v>
      </c>
      <c r="R73" s="78">
        <v>0</v>
      </c>
      <c r="S73" s="131">
        <f t="shared" si="17"/>
        <v>19</v>
      </c>
      <c r="T73" s="79">
        <v>169</v>
      </c>
      <c r="U73" s="78">
        <v>95</v>
      </c>
      <c r="V73" s="78">
        <v>175</v>
      </c>
      <c r="W73" s="78">
        <v>84</v>
      </c>
      <c r="X73" s="78">
        <v>159</v>
      </c>
      <c r="Y73" s="78">
        <v>67</v>
      </c>
      <c r="Z73" s="132">
        <f t="shared" si="18"/>
        <v>503</v>
      </c>
      <c r="AA73" s="131">
        <f t="shared" si="18"/>
        <v>246</v>
      </c>
      <c r="AB73" s="79">
        <v>5</v>
      </c>
      <c r="AC73" s="1289">
        <v>2</v>
      </c>
      <c r="AD73" s="78">
        <v>0</v>
      </c>
      <c r="AE73" s="78">
        <v>0</v>
      </c>
    </row>
    <row r="74" spans="1:31" s="81" customFormat="1" ht="17.100000000000001" customHeight="1">
      <c r="A74" s="167" t="s">
        <v>154</v>
      </c>
      <c r="B74" s="167" t="s">
        <v>10</v>
      </c>
      <c r="C74" s="168" t="s">
        <v>10</v>
      </c>
      <c r="D74" s="167" t="s">
        <v>4</v>
      </c>
      <c r="E74" s="167" t="s">
        <v>26</v>
      </c>
      <c r="F74" s="168" t="s">
        <v>562</v>
      </c>
      <c r="G74" s="71">
        <v>37263</v>
      </c>
      <c r="H74" s="50" t="s">
        <v>4759</v>
      </c>
      <c r="I74" s="77">
        <v>13099</v>
      </c>
      <c r="J74" s="52">
        <v>21096</v>
      </c>
      <c r="K74" s="53" t="s">
        <v>563</v>
      </c>
      <c r="L74" s="53" t="s">
        <v>564</v>
      </c>
      <c r="M74" s="54" t="s">
        <v>565</v>
      </c>
      <c r="N74" s="79">
        <v>6</v>
      </c>
      <c r="O74" s="78">
        <v>6</v>
      </c>
      <c r="P74" s="78">
        <v>7</v>
      </c>
      <c r="Q74" s="78">
        <v>2</v>
      </c>
      <c r="R74" s="78">
        <v>0</v>
      </c>
      <c r="S74" s="131">
        <f t="shared" si="17"/>
        <v>21</v>
      </c>
      <c r="T74" s="79">
        <v>136</v>
      </c>
      <c r="U74" s="78">
        <v>89</v>
      </c>
      <c r="V74" s="78">
        <v>156</v>
      </c>
      <c r="W74" s="78">
        <v>80</v>
      </c>
      <c r="X74" s="78">
        <v>179</v>
      </c>
      <c r="Y74" s="78">
        <v>95</v>
      </c>
      <c r="Z74" s="132">
        <f t="shared" si="18"/>
        <v>471</v>
      </c>
      <c r="AA74" s="131">
        <f t="shared" si="18"/>
        <v>264</v>
      </c>
      <c r="AB74" s="314">
        <v>12</v>
      </c>
      <c r="AC74" s="1292">
        <v>3</v>
      </c>
      <c r="AD74" s="78">
        <v>0</v>
      </c>
      <c r="AE74" s="78">
        <v>0</v>
      </c>
    </row>
    <row r="75" spans="1:31" s="81" customFormat="1" ht="17.100000000000001" customHeight="1">
      <c r="A75" s="167" t="s">
        <v>154</v>
      </c>
      <c r="B75" s="167" t="s">
        <v>10</v>
      </c>
      <c r="C75" s="168" t="s">
        <v>10</v>
      </c>
      <c r="D75" s="167" t="s">
        <v>4</v>
      </c>
      <c r="E75" s="167" t="s">
        <v>24</v>
      </c>
      <c r="F75" s="168" t="s">
        <v>566</v>
      </c>
      <c r="G75" s="71">
        <v>22016</v>
      </c>
      <c r="H75" s="50" t="s">
        <v>4760</v>
      </c>
      <c r="I75" s="77">
        <v>16510</v>
      </c>
      <c r="J75" s="52">
        <v>21104</v>
      </c>
      <c r="K75" s="53" t="s">
        <v>567</v>
      </c>
      <c r="L75" s="53" t="s">
        <v>568</v>
      </c>
      <c r="M75" s="54" t="s">
        <v>569</v>
      </c>
      <c r="N75" s="79">
        <v>5</v>
      </c>
      <c r="O75" s="78">
        <v>5</v>
      </c>
      <c r="P75" s="78">
        <v>5</v>
      </c>
      <c r="Q75" s="78">
        <v>1</v>
      </c>
      <c r="R75" s="78">
        <v>0</v>
      </c>
      <c r="S75" s="131">
        <f t="shared" si="17"/>
        <v>16</v>
      </c>
      <c r="T75" s="79">
        <v>110</v>
      </c>
      <c r="U75" s="78">
        <v>110</v>
      </c>
      <c r="V75" s="78">
        <v>135</v>
      </c>
      <c r="W75" s="78">
        <v>135</v>
      </c>
      <c r="X75" s="78">
        <v>142</v>
      </c>
      <c r="Y75" s="78">
        <v>142</v>
      </c>
      <c r="Z75" s="132">
        <f t="shared" si="18"/>
        <v>387</v>
      </c>
      <c r="AA75" s="131">
        <f t="shared" si="18"/>
        <v>387</v>
      </c>
      <c r="AB75" s="314">
        <v>5</v>
      </c>
      <c r="AC75" s="1292">
        <v>5</v>
      </c>
      <c r="AD75" s="78">
        <v>0</v>
      </c>
      <c r="AE75" s="78">
        <v>0</v>
      </c>
    </row>
    <row r="76" spans="1:31" s="81" customFormat="1" ht="17.100000000000001" customHeight="1">
      <c r="A76" s="167" t="s">
        <v>154</v>
      </c>
      <c r="B76" s="167" t="s">
        <v>10</v>
      </c>
      <c r="C76" s="168" t="s">
        <v>10</v>
      </c>
      <c r="D76" s="167" t="s">
        <v>4</v>
      </c>
      <c r="E76" s="167" t="s">
        <v>26</v>
      </c>
      <c r="F76" s="168" t="s">
        <v>570</v>
      </c>
      <c r="G76" s="71">
        <v>36224</v>
      </c>
      <c r="H76" s="50" t="s">
        <v>4761</v>
      </c>
      <c r="I76" s="77">
        <v>14342</v>
      </c>
      <c r="J76" s="52">
        <v>21043</v>
      </c>
      <c r="K76" s="53" t="s">
        <v>598</v>
      </c>
      <c r="L76" s="53" t="s">
        <v>599</v>
      </c>
      <c r="M76" s="54" t="s">
        <v>571</v>
      </c>
      <c r="N76" s="79">
        <v>3</v>
      </c>
      <c r="O76" s="78">
        <v>3</v>
      </c>
      <c r="P76" s="78">
        <v>3</v>
      </c>
      <c r="Q76" s="78">
        <v>2</v>
      </c>
      <c r="R76" s="78">
        <v>0</v>
      </c>
      <c r="S76" s="131">
        <f t="shared" si="17"/>
        <v>11</v>
      </c>
      <c r="T76" s="79">
        <v>37</v>
      </c>
      <c r="U76" s="78">
        <v>15</v>
      </c>
      <c r="V76" s="78">
        <v>46</v>
      </c>
      <c r="W76" s="78">
        <v>16</v>
      </c>
      <c r="X76" s="78">
        <v>56</v>
      </c>
      <c r="Y76" s="78">
        <v>23</v>
      </c>
      <c r="Z76" s="132">
        <f t="shared" si="18"/>
        <v>139</v>
      </c>
      <c r="AA76" s="131">
        <f t="shared" si="18"/>
        <v>54</v>
      </c>
      <c r="AB76" s="314">
        <v>7</v>
      </c>
      <c r="AC76" s="1292">
        <v>3</v>
      </c>
      <c r="AD76" s="78">
        <v>0</v>
      </c>
      <c r="AE76" s="78">
        <v>0</v>
      </c>
    </row>
    <row r="77" spans="1:31" s="81" customFormat="1" ht="17.100000000000001" customHeight="1">
      <c r="A77" s="167" t="s">
        <v>154</v>
      </c>
      <c r="B77" s="167" t="s">
        <v>10</v>
      </c>
      <c r="C77" s="168" t="s">
        <v>10</v>
      </c>
      <c r="D77" s="167" t="s">
        <v>4</v>
      </c>
      <c r="E77" s="167" t="s">
        <v>26</v>
      </c>
      <c r="F77" s="168" t="s">
        <v>572</v>
      </c>
      <c r="G77" s="71">
        <v>36951</v>
      </c>
      <c r="H77" s="50" t="s">
        <v>4762</v>
      </c>
      <c r="I77" s="77">
        <v>12552</v>
      </c>
      <c r="J77" s="52">
        <v>21074</v>
      </c>
      <c r="K77" s="53" t="s">
        <v>600</v>
      </c>
      <c r="L77" s="53" t="s">
        <v>573</v>
      </c>
      <c r="M77" s="54" t="s">
        <v>574</v>
      </c>
      <c r="N77" s="79">
        <v>8</v>
      </c>
      <c r="O77" s="78">
        <v>8</v>
      </c>
      <c r="P77" s="78">
        <v>9</v>
      </c>
      <c r="Q77" s="78">
        <v>1</v>
      </c>
      <c r="R77" s="78">
        <v>0</v>
      </c>
      <c r="S77" s="131">
        <f t="shared" si="17"/>
        <v>26</v>
      </c>
      <c r="T77" s="79">
        <v>216</v>
      </c>
      <c r="U77" s="78">
        <v>97</v>
      </c>
      <c r="V77" s="78">
        <v>236</v>
      </c>
      <c r="W77" s="78">
        <v>132</v>
      </c>
      <c r="X77" s="78">
        <v>248</v>
      </c>
      <c r="Y77" s="78">
        <v>123</v>
      </c>
      <c r="Z77" s="132">
        <f t="shared" si="18"/>
        <v>700</v>
      </c>
      <c r="AA77" s="131">
        <f t="shared" si="18"/>
        <v>352</v>
      </c>
      <c r="AB77" s="79">
        <v>6</v>
      </c>
      <c r="AC77" s="1289">
        <v>3</v>
      </c>
      <c r="AD77" s="78">
        <v>0</v>
      </c>
      <c r="AE77" s="78">
        <v>0</v>
      </c>
    </row>
    <row r="78" spans="1:31" s="81" customFormat="1" ht="17.100000000000001" customHeight="1">
      <c r="A78" s="167" t="s">
        <v>154</v>
      </c>
      <c r="B78" s="167" t="s">
        <v>10</v>
      </c>
      <c r="C78" s="168" t="s">
        <v>10</v>
      </c>
      <c r="D78" s="167" t="s">
        <v>4</v>
      </c>
      <c r="E78" s="167" t="s">
        <v>26</v>
      </c>
      <c r="F78" s="168" t="s">
        <v>601</v>
      </c>
      <c r="G78" s="71">
        <v>40238</v>
      </c>
      <c r="H78" s="50" t="s">
        <v>602</v>
      </c>
      <c r="I78" s="77">
        <v>12612</v>
      </c>
      <c r="J78" s="52">
        <v>21072</v>
      </c>
      <c r="K78" s="53" t="s">
        <v>575</v>
      </c>
      <c r="L78" s="53" t="s">
        <v>576</v>
      </c>
      <c r="M78" s="54" t="s">
        <v>574</v>
      </c>
      <c r="N78" s="79">
        <v>10</v>
      </c>
      <c r="O78" s="78">
        <v>10</v>
      </c>
      <c r="P78" s="78">
        <v>9</v>
      </c>
      <c r="Q78" s="78">
        <v>1</v>
      </c>
      <c r="R78" s="78">
        <v>0</v>
      </c>
      <c r="S78" s="131">
        <f t="shared" si="17"/>
        <v>30</v>
      </c>
      <c r="T78" s="79">
        <v>311</v>
      </c>
      <c r="U78" s="78">
        <v>163</v>
      </c>
      <c r="V78" s="78">
        <v>306</v>
      </c>
      <c r="W78" s="78">
        <v>168</v>
      </c>
      <c r="X78" s="78">
        <v>254</v>
      </c>
      <c r="Y78" s="78">
        <v>156</v>
      </c>
      <c r="Z78" s="132">
        <f t="shared" si="18"/>
        <v>871</v>
      </c>
      <c r="AA78" s="131">
        <f t="shared" si="18"/>
        <v>487</v>
      </c>
      <c r="AB78" s="79">
        <v>5</v>
      </c>
      <c r="AC78" s="1289">
        <v>1</v>
      </c>
      <c r="AD78" s="78">
        <v>0</v>
      </c>
      <c r="AE78" s="78">
        <v>0</v>
      </c>
    </row>
    <row r="79" spans="1:31" s="81" customFormat="1" ht="17.100000000000001" customHeight="1">
      <c r="A79" s="167" t="s">
        <v>154</v>
      </c>
      <c r="B79" s="167" t="s">
        <v>10</v>
      </c>
      <c r="C79" s="168" t="s">
        <v>10</v>
      </c>
      <c r="D79" s="167" t="s">
        <v>4</v>
      </c>
      <c r="E79" s="167" t="s">
        <v>26</v>
      </c>
      <c r="F79" s="168" t="s">
        <v>577</v>
      </c>
      <c r="G79" s="71">
        <v>39142</v>
      </c>
      <c r="H79" s="50" t="s">
        <v>4763</v>
      </c>
      <c r="I79" s="77">
        <v>10593</v>
      </c>
      <c r="J79" s="52">
        <v>21011</v>
      </c>
      <c r="K79" s="53" t="s">
        <v>578</v>
      </c>
      <c r="L79" s="53" t="s">
        <v>579</v>
      </c>
      <c r="M79" s="54" t="s">
        <v>580</v>
      </c>
      <c r="N79" s="79">
        <v>5</v>
      </c>
      <c r="O79" s="78">
        <v>6</v>
      </c>
      <c r="P79" s="78">
        <v>6</v>
      </c>
      <c r="Q79" s="78">
        <v>1</v>
      </c>
      <c r="R79" s="78">
        <v>0</v>
      </c>
      <c r="S79" s="131">
        <f t="shared" si="17"/>
        <v>18</v>
      </c>
      <c r="T79" s="79">
        <v>99</v>
      </c>
      <c r="U79" s="78">
        <v>45</v>
      </c>
      <c r="V79" s="78">
        <v>140</v>
      </c>
      <c r="W79" s="78">
        <v>64</v>
      </c>
      <c r="X79" s="78">
        <v>160</v>
      </c>
      <c r="Y79" s="78">
        <v>67</v>
      </c>
      <c r="Z79" s="132">
        <f t="shared" si="18"/>
        <v>399</v>
      </c>
      <c r="AA79" s="131">
        <f t="shared" si="18"/>
        <v>176</v>
      </c>
      <c r="AB79" s="314">
        <v>5</v>
      </c>
      <c r="AC79" s="1292">
        <v>1</v>
      </c>
      <c r="AD79" s="78">
        <v>0</v>
      </c>
      <c r="AE79" s="78">
        <v>0</v>
      </c>
    </row>
    <row r="80" spans="1:31" s="81" customFormat="1" ht="17.100000000000001" customHeight="1">
      <c r="A80" s="167" t="s">
        <v>154</v>
      </c>
      <c r="B80" s="167" t="s">
        <v>10</v>
      </c>
      <c r="C80" s="168" t="s">
        <v>10</v>
      </c>
      <c r="D80" s="167" t="s">
        <v>4</v>
      </c>
      <c r="E80" s="167" t="s">
        <v>26</v>
      </c>
      <c r="F80" s="168" t="s">
        <v>581</v>
      </c>
      <c r="G80" s="71">
        <v>34394</v>
      </c>
      <c r="H80" s="50" t="s">
        <v>4764</v>
      </c>
      <c r="I80" s="77">
        <v>11538</v>
      </c>
      <c r="J80" s="52">
        <v>21058</v>
      </c>
      <c r="K80" s="53" t="s">
        <v>4765</v>
      </c>
      <c r="L80" s="53" t="s">
        <v>4765</v>
      </c>
      <c r="M80" s="54" t="s">
        <v>582</v>
      </c>
      <c r="N80" s="79">
        <v>4</v>
      </c>
      <c r="O80" s="78">
        <v>4</v>
      </c>
      <c r="P80" s="78">
        <v>4</v>
      </c>
      <c r="Q80" s="78">
        <v>3</v>
      </c>
      <c r="R80" s="78">
        <v>0</v>
      </c>
      <c r="S80" s="131">
        <f t="shared" si="17"/>
        <v>15</v>
      </c>
      <c r="T80" s="79">
        <v>70</v>
      </c>
      <c r="U80" s="78">
        <v>34</v>
      </c>
      <c r="V80" s="78">
        <v>68</v>
      </c>
      <c r="W80" s="78">
        <v>23</v>
      </c>
      <c r="X80" s="78">
        <v>94</v>
      </c>
      <c r="Y80" s="78">
        <v>36</v>
      </c>
      <c r="Z80" s="132">
        <f t="shared" si="18"/>
        <v>232</v>
      </c>
      <c r="AA80" s="131">
        <f t="shared" si="18"/>
        <v>93</v>
      </c>
      <c r="AB80" s="314">
        <v>14</v>
      </c>
      <c r="AC80" s="1292">
        <v>4</v>
      </c>
      <c r="AD80" s="78">
        <v>0</v>
      </c>
      <c r="AE80" s="78">
        <v>0</v>
      </c>
    </row>
    <row r="81" spans="1:31" s="81" customFormat="1" ht="17.100000000000001" customHeight="1">
      <c r="A81" s="167" t="s">
        <v>154</v>
      </c>
      <c r="B81" s="167" t="s">
        <v>10</v>
      </c>
      <c r="C81" s="168" t="s">
        <v>10</v>
      </c>
      <c r="D81" s="167" t="s">
        <v>4</v>
      </c>
      <c r="E81" s="167" t="s">
        <v>26</v>
      </c>
      <c r="F81" s="168" t="s">
        <v>603</v>
      </c>
      <c r="G81" s="71">
        <v>39142</v>
      </c>
      <c r="H81" s="50" t="s">
        <v>4766</v>
      </c>
      <c r="I81" s="77">
        <v>10521</v>
      </c>
      <c r="J81" s="52">
        <v>21028</v>
      </c>
      <c r="K81" s="53" t="s">
        <v>583</v>
      </c>
      <c r="L81" s="53" t="s">
        <v>583</v>
      </c>
      <c r="M81" s="54" t="s">
        <v>584</v>
      </c>
      <c r="N81" s="79">
        <v>3</v>
      </c>
      <c r="O81" s="78">
        <v>3</v>
      </c>
      <c r="P81" s="78">
        <v>3</v>
      </c>
      <c r="Q81" s="78">
        <v>1</v>
      </c>
      <c r="R81" s="78">
        <v>0</v>
      </c>
      <c r="S81" s="131">
        <f t="shared" si="17"/>
        <v>10</v>
      </c>
      <c r="T81" s="79">
        <v>31</v>
      </c>
      <c r="U81" s="78">
        <v>11</v>
      </c>
      <c r="V81" s="78">
        <v>46</v>
      </c>
      <c r="W81" s="78">
        <v>24</v>
      </c>
      <c r="X81" s="78">
        <v>42</v>
      </c>
      <c r="Y81" s="78">
        <v>21</v>
      </c>
      <c r="Z81" s="132">
        <f t="shared" si="18"/>
        <v>119</v>
      </c>
      <c r="AA81" s="131">
        <f t="shared" si="18"/>
        <v>56</v>
      </c>
      <c r="AB81" s="79">
        <v>6</v>
      </c>
      <c r="AC81" s="1289">
        <v>3</v>
      </c>
      <c r="AD81" s="78">
        <v>0</v>
      </c>
      <c r="AE81" s="78">
        <v>0</v>
      </c>
    </row>
    <row r="82" spans="1:31" s="81" customFormat="1" ht="17.100000000000001" customHeight="1">
      <c r="A82" s="167" t="s">
        <v>154</v>
      </c>
      <c r="B82" s="167" t="s">
        <v>10</v>
      </c>
      <c r="C82" s="168" t="s">
        <v>10</v>
      </c>
      <c r="D82" s="167" t="s">
        <v>4</v>
      </c>
      <c r="E82" s="167" t="s">
        <v>26</v>
      </c>
      <c r="F82" s="168" t="s">
        <v>585</v>
      </c>
      <c r="G82" s="71">
        <v>38047</v>
      </c>
      <c r="H82" s="50" t="s">
        <v>604</v>
      </c>
      <c r="I82" s="77">
        <v>12636</v>
      </c>
      <c r="J82" s="52">
        <v>21021</v>
      </c>
      <c r="K82" s="53" t="s">
        <v>586</v>
      </c>
      <c r="L82" s="53" t="s">
        <v>586</v>
      </c>
      <c r="M82" s="54" t="s">
        <v>587</v>
      </c>
      <c r="N82" s="79">
        <v>3</v>
      </c>
      <c r="O82" s="78">
        <v>3</v>
      </c>
      <c r="P82" s="78">
        <v>4</v>
      </c>
      <c r="Q82" s="78">
        <v>1</v>
      </c>
      <c r="R82" s="78">
        <v>0</v>
      </c>
      <c r="S82" s="131">
        <f t="shared" si="17"/>
        <v>11</v>
      </c>
      <c r="T82" s="79">
        <v>67</v>
      </c>
      <c r="U82" s="78">
        <v>32</v>
      </c>
      <c r="V82" s="78">
        <v>57</v>
      </c>
      <c r="W82" s="78">
        <v>26</v>
      </c>
      <c r="X82" s="78">
        <v>83</v>
      </c>
      <c r="Y82" s="78">
        <v>49</v>
      </c>
      <c r="Z82" s="132">
        <f t="shared" si="18"/>
        <v>207</v>
      </c>
      <c r="AA82" s="131">
        <f t="shared" si="18"/>
        <v>107</v>
      </c>
      <c r="AB82" s="314">
        <v>4</v>
      </c>
      <c r="AC82" s="1292">
        <v>2</v>
      </c>
      <c r="AD82" s="78">
        <v>0</v>
      </c>
      <c r="AE82" s="78">
        <v>0</v>
      </c>
    </row>
    <row r="83" spans="1:31" s="81" customFormat="1" ht="17.100000000000001" customHeight="1">
      <c r="A83" s="167" t="s">
        <v>154</v>
      </c>
      <c r="B83" s="167" t="s">
        <v>10</v>
      </c>
      <c r="C83" s="168" t="s">
        <v>10</v>
      </c>
      <c r="D83" s="167" t="s">
        <v>4</v>
      </c>
      <c r="E83" s="167" t="s">
        <v>144</v>
      </c>
      <c r="F83" s="168" t="s">
        <v>605</v>
      </c>
      <c r="G83" s="71">
        <v>30011</v>
      </c>
      <c r="H83" s="50" t="s">
        <v>4767</v>
      </c>
      <c r="I83" s="77">
        <v>14832</v>
      </c>
      <c r="J83" s="52">
        <v>21093</v>
      </c>
      <c r="K83" s="53" t="s">
        <v>588</v>
      </c>
      <c r="L83" s="53" t="s">
        <v>588</v>
      </c>
      <c r="M83" s="54" t="s">
        <v>589</v>
      </c>
      <c r="N83" s="79">
        <v>5</v>
      </c>
      <c r="O83" s="78">
        <v>5</v>
      </c>
      <c r="P83" s="78">
        <v>5</v>
      </c>
      <c r="Q83" s="78">
        <v>1</v>
      </c>
      <c r="R83" s="78">
        <v>0</v>
      </c>
      <c r="S83" s="131">
        <f t="shared" si="17"/>
        <v>16</v>
      </c>
      <c r="T83" s="79">
        <v>153</v>
      </c>
      <c r="U83" s="78">
        <v>0</v>
      </c>
      <c r="V83" s="78">
        <v>124</v>
      </c>
      <c r="W83" s="78">
        <v>0</v>
      </c>
      <c r="X83" s="78">
        <v>127</v>
      </c>
      <c r="Y83" s="78">
        <v>0</v>
      </c>
      <c r="Z83" s="132">
        <f t="shared" si="18"/>
        <v>404</v>
      </c>
      <c r="AA83" s="131">
        <f t="shared" si="18"/>
        <v>0</v>
      </c>
      <c r="AB83" s="314">
        <v>3</v>
      </c>
      <c r="AC83" s="1292">
        <v>0</v>
      </c>
      <c r="AD83" s="78">
        <v>0</v>
      </c>
      <c r="AE83" s="78">
        <v>0</v>
      </c>
    </row>
    <row r="84" spans="1:31" s="81" customFormat="1" ht="17.100000000000001" customHeight="1">
      <c r="A84" s="167" t="s">
        <v>154</v>
      </c>
      <c r="B84" s="167" t="s">
        <v>10</v>
      </c>
      <c r="C84" s="168" t="s">
        <v>10</v>
      </c>
      <c r="D84" s="167" t="s">
        <v>4</v>
      </c>
      <c r="E84" s="167" t="s">
        <v>26</v>
      </c>
      <c r="F84" s="168" t="s">
        <v>590</v>
      </c>
      <c r="G84" s="71">
        <v>35125</v>
      </c>
      <c r="H84" s="50" t="s">
        <v>4768</v>
      </c>
      <c r="I84" s="77">
        <v>12387</v>
      </c>
      <c r="J84" s="52">
        <v>21035</v>
      </c>
      <c r="K84" s="53" t="s">
        <v>591</v>
      </c>
      <c r="L84" s="53" t="s">
        <v>592</v>
      </c>
      <c r="M84" s="54" t="s">
        <v>606</v>
      </c>
      <c r="N84" s="79">
        <v>4</v>
      </c>
      <c r="O84" s="78">
        <v>5</v>
      </c>
      <c r="P84" s="78">
        <v>5</v>
      </c>
      <c r="Q84" s="78">
        <v>1</v>
      </c>
      <c r="R84" s="78">
        <v>0</v>
      </c>
      <c r="S84" s="131">
        <f t="shared" si="17"/>
        <v>15</v>
      </c>
      <c r="T84" s="79">
        <v>70</v>
      </c>
      <c r="U84" s="78">
        <v>31</v>
      </c>
      <c r="V84" s="78">
        <v>122</v>
      </c>
      <c r="W84" s="78">
        <v>64</v>
      </c>
      <c r="X84" s="78">
        <v>135</v>
      </c>
      <c r="Y84" s="78">
        <v>70</v>
      </c>
      <c r="Z84" s="132">
        <f t="shared" si="18"/>
        <v>327</v>
      </c>
      <c r="AA84" s="131">
        <f t="shared" si="18"/>
        <v>165</v>
      </c>
      <c r="AB84" s="314">
        <v>5</v>
      </c>
      <c r="AC84" s="1292">
        <v>2</v>
      </c>
      <c r="AD84" s="78">
        <v>0</v>
      </c>
      <c r="AE84" s="78">
        <v>0</v>
      </c>
    </row>
    <row r="85" spans="1:31" s="81" customFormat="1" ht="17.100000000000001" customHeight="1">
      <c r="A85" s="167" t="s">
        <v>154</v>
      </c>
      <c r="B85" s="167" t="s">
        <v>10</v>
      </c>
      <c r="C85" s="168" t="s">
        <v>10</v>
      </c>
      <c r="D85" s="167" t="s">
        <v>4</v>
      </c>
      <c r="E85" s="167" t="s">
        <v>26</v>
      </c>
      <c r="F85" s="168" t="s">
        <v>593</v>
      </c>
      <c r="G85" s="71">
        <v>38047</v>
      </c>
      <c r="H85" s="50" t="s">
        <v>4769</v>
      </c>
      <c r="I85" s="77">
        <v>11097</v>
      </c>
      <c r="J85" s="52">
        <v>21085</v>
      </c>
      <c r="K85" s="53" t="s">
        <v>594</v>
      </c>
      <c r="L85" s="53" t="s">
        <v>595</v>
      </c>
      <c r="M85" s="54" t="s">
        <v>596</v>
      </c>
      <c r="N85" s="79">
        <v>5</v>
      </c>
      <c r="O85" s="78">
        <v>4</v>
      </c>
      <c r="P85" s="78">
        <v>5</v>
      </c>
      <c r="Q85" s="78">
        <v>2</v>
      </c>
      <c r="R85" s="78">
        <v>0</v>
      </c>
      <c r="S85" s="131">
        <f t="shared" si="17"/>
        <v>16</v>
      </c>
      <c r="T85" s="79">
        <v>112</v>
      </c>
      <c r="U85" s="78">
        <v>35</v>
      </c>
      <c r="V85" s="78">
        <v>99</v>
      </c>
      <c r="W85" s="78">
        <v>27</v>
      </c>
      <c r="X85" s="78">
        <v>130</v>
      </c>
      <c r="Y85" s="78">
        <v>65</v>
      </c>
      <c r="Z85" s="132">
        <f t="shared" si="18"/>
        <v>341</v>
      </c>
      <c r="AA85" s="131">
        <f t="shared" si="18"/>
        <v>127</v>
      </c>
      <c r="AB85" s="79">
        <v>12</v>
      </c>
      <c r="AC85" s="1289">
        <v>2</v>
      </c>
      <c r="AD85" s="78">
        <v>0</v>
      </c>
      <c r="AE85" s="78">
        <v>0</v>
      </c>
    </row>
    <row r="86" spans="1:31" s="81" customFormat="1" ht="17.100000000000001" customHeight="1">
      <c r="A86" s="1625" t="s">
        <v>424</v>
      </c>
      <c r="B86" s="1626"/>
      <c r="C86" s="1626"/>
      <c r="D86" s="1626"/>
      <c r="E86" s="179">
        <f>COUNTA(E71:E85)</f>
        <v>15</v>
      </c>
      <c r="F86" s="283"/>
      <c r="G86" s="284"/>
      <c r="H86" s="181"/>
      <c r="I86" s="318"/>
      <c r="J86" s="287"/>
      <c r="K86" s="285"/>
      <c r="L86" s="285"/>
      <c r="M86" s="319"/>
      <c r="N86" s="320">
        <f t="shared" ref="N86:AE86" si="19">SUM(N71:N85)</f>
        <v>77</v>
      </c>
      <c r="O86" s="321">
        <f t="shared" si="19"/>
        <v>80</v>
      </c>
      <c r="P86" s="321">
        <f t="shared" si="19"/>
        <v>82</v>
      </c>
      <c r="Q86" s="321">
        <f t="shared" si="19"/>
        <v>19</v>
      </c>
      <c r="R86" s="321">
        <f t="shared" si="19"/>
        <v>0</v>
      </c>
      <c r="S86" s="291">
        <f t="shared" si="19"/>
        <v>258</v>
      </c>
      <c r="T86" s="322">
        <f t="shared" si="19"/>
        <v>1763</v>
      </c>
      <c r="U86" s="321">
        <f t="shared" si="19"/>
        <v>849</v>
      </c>
      <c r="V86" s="321">
        <f t="shared" si="19"/>
        <v>1994</v>
      </c>
      <c r="W86" s="321">
        <f t="shared" si="19"/>
        <v>994</v>
      </c>
      <c r="X86" s="321">
        <f t="shared" si="19"/>
        <v>2081</v>
      </c>
      <c r="Y86" s="321">
        <f t="shared" si="19"/>
        <v>1054</v>
      </c>
      <c r="Z86" s="321">
        <f t="shared" si="19"/>
        <v>5838</v>
      </c>
      <c r="AA86" s="316">
        <f t="shared" si="19"/>
        <v>2897</v>
      </c>
      <c r="AB86" s="320">
        <f t="shared" si="19"/>
        <v>91</v>
      </c>
      <c r="AC86" s="321">
        <f t="shared" si="19"/>
        <v>31</v>
      </c>
      <c r="AD86" s="321">
        <f t="shared" si="19"/>
        <v>0</v>
      </c>
      <c r="AE86" s="1167">
        <f t="shared" si="19"/>
        <v>0</v>
      </c>
    </row>
    <row r="87" spans="1:31" s="81" customFormat="1" ht="17.100000000000001" customHeight="1">
      <c r="A87" s="1660" t="s">
        <v>425</v>
      </c>
      <c r="B87" s="1661"/>
      <c r="C87" s="1661"/>
      <c r="D87" s="1661"/>
      <c r="E87" s="1662"/>
      <c r="F87" s="281">
        <f>E86</f>
        <v>15</v>
      </c>
      <c r="G87" s="302"/>
      <c r="H87" s="222"/>
      <c r="I87" s="304"/>
      <c r="J87" s="305"/>
      <c r="K87" s="303"/>
      <c r="L87" s="303"/>
      <c r="M87" s="323"/>
      <c r="N87" s="307">
        <f t="shared" ref="N87:AE87" si="20">N86</f>
        <v>77</v>
      </c>
      <c r="O87" s="308">
        <f t="shared" si="20"/>
        <v>80</v>
      </c>
      <c r="P87" s="308">
        <f t="shared" si="20"/>
        <v>82</v>
      </c>
      <c r="Q87" s="308">
        <f t="shared" si="20"/>
        <v>19</v>
      </c>
      <c r="R87" s="308">
        <f t="shared" si="20"/>
        <v>0</v>
      </c>
      <c r="S87" s="309">
        <f t="shared" si="20"/>
        <v>258</v>
      </c>
      <c r="T87" s="324">
        <f t="shared" si="20"/>
        <v>1763</v>
      </c>
      <c r="U87" s="308">
        <f t="shared" si="20"/>
        <v>849</v>
      </c>
      <c r="V87" s="308">
        <f t="shared" si="20"/>
        <v>1994</v>
      </c>
      <c r="W87" s="308">
        <f t="shared" si="20"/>
        <v>994</v>
      </c>
      <c r="X87" s="308">
        <f t="shared" si="20"/>
        <v>2081</v>
      </c>
      <c r="Y87" s="308">
        <f t="shared" si="20"/>
        <v>1054</v>
      </c>
      <c r="Z87" s="308">
        <f t="shared" si="20"/>
        <v>5838</v>
      </c>
      <c r="AA87" s="313">
        <f t="shared" si="20"/>
        <v>2897</v>
      </c>
      <c r="AB87" s="307">
        <f t="shared" si="20"/>
        <v>91</v>
      </c>
      <c r="AC87" s="308">
        <f t="shared" si="20"/>
        <v>31</v>
      </c>
      <c r="AD87" s="1301">
        <f t="shared" si="20"/>
        <v>0</v>
      </c>
      <c r="AE87" s="1300">
        <f t="shared" si="20"/>
        <v>0</v>
      </c>
    </row>
    <row r="88" spans="1:31" s="81" customFormat="1" ht="17.100000000000001" customHeight="1">
      <c r="A88" s="168" t="s">
        <v>155</v>
      </c>
      <c r="B88" s="168" t="s">
        <v>8</v>
      </c>
      <c r="C88" s="168" t="s">
        <v>8</v>
      </c>
      <c r="D88" s="168" t="s">
        <v>4</v>
      </c>
      <c r="E88" s="168" t="s">
        <v>24</v>
      </c>
      <c r="F88" s="168" t="s">
        <v>4770</v>
      </c>
      <c r="G88" s="71">
        <v>30742</v>
      </c>
      <c r="H88" s="50" t="s">
        <v>2184</v>
      </c>
      <c r="I88" s="312">
        <v>11138</v>
      </c>
      <c r="J88" s="52">
        <v>21510</v>
      </c>
      <c r="K88" s="53" t="s">
        <v>607</v>
      </c>
      <c r="L88" s="53" t="s">
        <v>608</v>
      </c>
      <c r="M88" s="54" t="s">
        <v>609</v>
      </c>
      <c r="N88" s="75">
        <v>4</v>
      </c>
      <c r="O88" s="73">
        <v>4</v>
      </c>
      <c r="P88" s="73">
        <v>4</v>
      </c>
      <c r="Q88" s="73">
        <v>1</v>
      </c>
      <c r="R88" s="73"/>
      <c r="S88" s="131">
        <v>13</v>
      </c>
      <c r="T88" s="75">
        <v>63</v>
      </c>
      <c r="U88" s="73">
        <v>63</v>
      </c>
      <c r="V88" s="73">
        <v>81</v>
      </c>
      <c r="W88" s="73">
        <v>81</v>
      </c>
      <c r="X88" s="73">
        <v>117</v>
      </c>
      <c r="Y88" s="73">
        <v>117</v>
      </c>
      <c r="Z88" s="132">
        <v>261</v>
      </c>
      <c r="AA88" s="131">
        <v>261</v>
      </c>
      <c r="AB88" s="311">
        <v>6</v>
      </c>
      <c r="AC88" s="1291">
        <v>6</v>
      </c>
      <c r="AD88" s="78"/>
      <c r="AE88" s="78"/>
    </row>
    <row r="89" spans="1:31" s="81" customFormat="1" ht="17.100000000000001" customHeight="1">
      <c r="A89" s="168" t="s">
        <v>155</v>
      </c>
      <c r="B89" s="168" t="s">
        <v>8</v>
      </c>
      <c r="C89" s="168" t="s">
        <v>8</v>
      </c>
      <c r="D89" s="168" t="s">
        <v>4</v>
      </c>
      <c r="E89" s="168" t="s">
        <v>24</v>
      </c>
      <c r="F89" s="168" t="s">
        <v>610</v>
      </c>
      <c r="G89" s="71">
        <v>32933</v>
      </c>
      <c r="H89" s="50" t="s">
        <v>394</v>
      </c>
      <c r="I89" s="72">
        <v>11227.2</v>
      </c>
      <c r="J89" s="52">
        <v>21570</v>
      </c>
      <c r="K89" s="53" t="s">
        <v>611</v>
      </c>
      <c r="L89" s="53" t="s">
        <v>396</v>
      </c>
      <c r="M89" s="54" t="s">
        <v>612</v>
      </c>
      <c r="N89" s="75">
        <v>9</v>
      </c>
      <c r="O89" s="73">
        <v>9</v>
      </c>
      <c r="P89" s="73">
        <v>8</v>
      </c>
      <c r="Q89" s="73">
        <v>1</v>
      </c>
      <c r="R89" s="73"/>
      <c r="S89" s="131">
        <v>27</v>
      </c>
      <c r="T89" s="75">
        <v>257</v>
      </c>
      <c r="U89" s="73">
        <v>257</v>
      </c>
      <c r="V89" s="73">
        <v>284</v>
      </c>
      <c r="W89" s="73">
        <v>284</v>
      </c>
      <c r="X89" s="73">
        <v>235</v>
      </c>
      <c r="Y89" s="73">
        <v>235</v>
      </c>
      <c r="Z89" s="132">
        <v>776</v>
      </c>
      <c r="AA89" s="131">
        <v>776</v>
      </c>
      <c r="AB89" s="75">
        <v>9</v>
      </c>
      <c r="AC89" s="1290">
        <v>9</v>
      </c>
      <c r="AD89" s="78"/>
      <c r="AE89" s="78"/>
    </row>
    <row r="90" spans="1:31" s="81" customFormat="1" ht="17.100000000000001" customHeight="1">
      <c r="A90" s="168" t="s">
        <v>155</v>
      </c>
      <c r="B90" s="168" t="s">
        <v>8</v>
      </c>
      <c r="C90" s="168" t="s">
        <v>8</v>
      </c>
      <c r="D90" s="168" t="s">
        <v>4</v>
      </c>
      <c r="E90" s="168" t="s">
        <v>144</v>
      </c>
      <c r="F90" s="168" t="s">
        <v>4771</v>
      </c>
      <c r="G90" s="71">
        <v>29646</v>
      </c>
      <c r="H90" s="50" t="s">
        <v>4772</v>
      </c>
      <c r="I90" s="72">
        <v>13884</v>
      </c>
      <c r="J90" s="52">
        <v>21561</v>
      </c>
      <c r="K90" s="53" t="s">
        <v>4773</v>
      </c>
      <c r="L90" s="53" t="s">
        <v>4774</v>
      </c>
      <c r="M90" s="54" t="s">
        <v>4775</v>
      </c>
      <c r="N90" s="75">
        <v>10</v>
      </c>
      <c r="O90" s="73">
        <v>11</v>
      </c>
      <c r="P90" s="73">
        <v>11</v>
      </c>
      <c r="Q90" s="73">
        <v>2</v>
      </c>
      <c r="R90" s="73"/>
      <c r="S90" s="131">
        <v>34</v>
      </c>
      <c r="T90" s="75">
        <v>298</v>
      </c>
      <c r="U90" s="73"/>
      <c r="V90" s="73">
        <v>354</v>
      </c>
      <c r="W90" s="73"/>
      <c r="X90" s="73">
        <v>347</v>
      </c>
      <c r="Y90" s="73"/>
      <c r="Z90" s="132">
        <v>999</v>
      </c>
      <c r="AA90" s="131">
        <v>0</v>
      </c>
      <c r="AB90" s="311">
        <v>12</v>
      </c>
      <c r="AC90" s="1291"/>
      <c r="AD90" s="78"/>
      <c r="AE90" s="78"/>
    </row>
    <row r="91" spans="1:31" s="81" customFormat="1" ht="17.100000000000001" customHeight="1">
      <c r="A91" s="168" t="s">
        <v>155</v>
      </c>
      <c r="B91" s="168" t="s">
        <v>8</v>
      </c>
      <c r="C91" s="168" t="s">
        <v>8</v>
      </c>
      <c r="D91" s="168" t="s">
        <v>4</v>
      </c>
      <c r="E91" s="168" t="s">
        <v>26</v>
      </c>
      <c r="F91" s="168" t="s">
        <v>4776</v>
      </c>
      <c r="G91" s="71">
        <v>33664</v>
      </c>
      <c r="H91" s="50" t="s">
        <v>4777</v>
      </c>
      <c r="I91" s="72">
        <v>11075</v>
      </c>
      <c r="J91" s="52">
        <v>21596</v>
      </c>
      <c r="K91" s="53" t="s">
        <v>613</v>
      </c>
      <c r="L91" s="53" t="s">
        <v>613</v>
      </c>
      <c r="M91" s="54" t="s">
        <v>614</v>
      </c>
      <c r="N91" s="75">
        <v>8</v>
      </c>
      <c r="O91" s="73">
        <v>10</v>
      </c>
      <c r="P91" s="73">
        <v>10</v>
      </c>
      <c r="Q91" s="73">
        <v>2</v>
      </c>
      <c r="R91" s="73"/>
      <c r="S91" s="131">
        <v>30</v>
      </c>
      <c r="T91" s="75">
        <v>202</v>
      </c>
      <c r="U91" s="73">
        <v>93</v>
      </c>
      <c r="V91" s="73">
        <v>282</v>
      </c>
      <c r="W91" s="73">
        <v>144</v>
      </c>
      <c r="X91" s="73">
        <v>269</v>
      </c>
      <c r="Y91" s="73">
        <v>128</v>
      </c>
      <c r="Z91" s="132">
        <v>753</v>
      </c>
      <c r="AA91" s="131">
        <v>365</v>
      </c>
      <c r="AB91" s="75">
        <v>8</v>
      </c>
      <c r="AC91" s="1290">
        <v>1</v>
      </c>
      <c r="AD91" s="78"/>
      <c r="AE91" s="78"/>
    </row>
    <row r="92" spans="1:31" s="81" customFormat="1" ht="17.100000000000001" customHeight="1">
      <c r="A92" s="168" t="s">
        <v>155</v>
      </c>
      <c r="B92" s="168" t="s">
        <v>8</v>
      </c>
      <c r="C92" s="168" t="s">
        <v>8</v>
      </c>
      <c r="D92" s="168" t="s">
        <v>4</v>
      </c>
      <c r="E92" s="168" t="s">
        <v>26</v>
      </c>
      <c r="F92" s="168" t="s">
        <v>4778</v>
      </c>
      <c r="G92" s="71">
        <v>36951</v>
      </c>
      <c r="H92" s="50" t="s">
        <v>4779</v>
      </c>
      <c r="I92" s="72">
        <v>10455.6</v>
      </c>
      <c r="J92" s="52">
        <v>21636</v>
      </c>
      <c r="K92" s="53" t="s">
        <v>4780</v>
      </c>
      <c r="L92" s="53" t="s">
        <v>4781</v>
      </c>
      <c r="M92" s="54" t="s">
        <v>4782</v>
      </c>
      <c r="N92" s="75">
        <v>4</v>
      </c>
      <c r="O92" s="73">
        <v>4</v>
      </c>
      <c r="P92" s="73">
        <v>5</v>
      </c>
      <c r="Q92" s="73">
        <v>2</v>
      </c>
      <c r="R92" s="73">
        <v>1</v>
      </c>
      <c r="S92" s="131">
        <v>16</v>
      </c>
      <c r="T92" s="75">
        <v>102</v>
      </c>
      <c r="U92" s="73">
        <v>43</v>
      </c>
      <c r="V92" s="73">
        <v>106</v>
      </c>
      <c r="W92" s="73">
        <v>49</v>
      </c>
      <c r="X92" s="73">
        <v>122</v>
      </c>
      <c r="Y92" s="73">
        <v>46</v>
      </c>
      <c r="Z92" s="132">
        <v>330</v>
      </c>
      <c r="AA92" s="131">
        <v>138</v>
      </c>
      <c r="AB92" s="75">
        <v>8</v>
      </c>
      <c r="AC92" s="1290"/>
      <c r="AD92" s="78">
        <v>12</v>
      </c>
      <c r="AE92" s="78">
        <v>3</v>
      </c>
    </row>
    <row r="93" spans="1:31" s="81" customFormat="1" ht="17.100000000000001" customHeight="1">
      <c r="A93" s="168" t="s">
        <v>155</v>
      </c>
      <c r="B93" s="168" t="s">
        <v>8</v>
      </c>
      <c r="C93" s="168" t="s">
        <v>8</v>
      </c>
      <c r="D93" s="168" t="s">
        <v>4</v>
      </c>
      <c r="E93" s="168" t="s">
        <v>144</v>
      </c>
      <c r="F93" s="168" t="s">
        <v>615</v>
      </c>
      <c r="G93" s="1195">
        <v>18870</v>
      </c>
      <c r="H93" s="50" t="s">
        <v>2185</v>
      </c>
      <c r="I93" s="72">
        <v>23297</v>
      </c>
      <c r="J93" s="52">
        <v>21553</v>
      </c>
      <c r="K93" s="53" t="s">
        <v>616</v>
      </c>
      <c r="L93" s="53" t="s">
        <v>617</v>
      </c>
      <c r="M93" s="54" t="s">
        <v>618</v>
      </c>
      <c r="N93" s="75">
        <v>6</v>
      </c>
      <c r="O93" s="73">
        <v>6</v>
      </c>
      <c r="P93" s="73">
        <v>6</v>
      </c>
      <c r="Q93" s="73">
        <v>3</v>
      </c>
      <c r="R93" s="73"/>
      <c r="S93" s="131">
        <v>21</v>
      </c>
      <c r="T93" s="75">
        <v>167</v>
      </c>
      <c r="U93" s="73"/>
      <c r="V93" s="73">
        <v>160</v>
      </c>
      <c r="W93" s="73"/>
      <c r="X93" s="73">
        <v>152</v>
      </c>
      <c r="Y93" s="73"/>
      <c r="Z93" s="132">
        <v>479</v>
      </c>
      <c r="AA93" s="131">
        <v>0</v>
      </c>
      <c r="AB93" s="75">
        <v>13</v>
      </c>
      <c r="AC93" s="1290"/>
      <c r="AD93" s="78"/>
      <c r="AE93" s="78"/>
    </row>
    <row r="94" spans="1:31" s="81" customFormat="1" ht="17.100000000000001" customHeight="1">
      <c r="A94" s="168" t="s">
        <v>155</v>
      </c>
      <c r="B94" s="168" t="s">
        <v>8</v>
      </c>
      <c r="C94" s="168" t="s">
        <v>8</v>
      </c>
      <c r="D94" s="168" t="s">
        <v>4</v>
      </c>
      <c r="E94" s="168" t="s">
        <v>26</v>
      </c>
      <c r="F94" s="168" t="s">
        <v>4783</v>
      </c>
      <c r="G94" s="71">
        <v>34394</v>
      </c>
      <c r="H94" s="50" t="s">
        <v>4784</v>
      </c>
      <c r="I94" s="72">
        <v>16232</v>
      </c>
      <c r="J94" s="52">
        <v>21541</v>
      </c>
      <c r="K94" s="53" t="s">
        <v>4785</v>
      </c>
      <c r="L94" s="53" t="s">
        <v>4786</v>
      </c>
      <c r="M94" s="54" t="s">
        <v>4787</v>
      </c>
      <c r="N94" s="75">
        <v>6</v>
      </c>
      <c r="O94" s="73">
        <v>6</v>
      </c>
      <c r="P94" s="73">
        <v>6</v>
      </c>
      <c r="Q94" s="73">
        <v>2</v>
      </c>
      <c r="R94" s="73"/>
      <c r="S94" s="131">
        <v>20</v>
      </c>
      <c r="T94" s="75">
        <v>83</v>
      </c>
      <c r="U94" s="73">
        <v>45</v>
      </c>
      <c r="V94" s="73">
        <v>130</v>
      </c>
      <c r="W94" s="73">
        <v>69</v>
      </c>
      <c r="X94" s="73">
        <v>121</v>
      </c>
      <c r="Y94" s="73">
        <v>59</v>
      </c>
      <c r="Z94" s="132">
        <v>334</v>
      </c>
      <c r="AA94" s="131">
        <v>173</v>
      </c>
      <c r="AB94" s="311">
        <v>8</v>
      </c>
      <c r="AC94" s="1291">
        <v>2</v>
      </c>
      <c r="AD94" s="78"/>
      <c r="AE94" s="78"/>
    </row>
    <row r="95" spans="1:31" s="81" customFormat="1" ht="17.100000000000001" customHeight="1">
      <c r="A95" s="168" t="s">
        <v>155</v>
      </c>
      <c r="B95" s="168" t="s">
        <v>8</v>
      </c>
      <c r="C95" s="168" t="s">
        <v>8</v>
      </c>
      <c r="D95" s="168" t="s">
        <v>4</v>
      </c>
      <c r="E95" s="168" t="s">
        <v>144</v>
      </c>
      <c r="F95" s="168" t="s">
        <v>619</v>
      </c>
      <c r="G95" s="71">
        <v>31840</v>
      </c>
      <c r="H95" s="50" t="s">
        <v>2186</v>
      </c>
      <c r="I95" s="72">
        <v>15125</v>
      </c>
      <c r="J95" s="52">
        <v>21522</v>
      </c>
      <c r="K95" s="53" t="s">
        <v>620</v>
      </c>
      <c r="L95" s="53" t="s">
        <v>621</v>
      </c>
      <c r="M95" s="54" t="s">
        <v>622</v>
      </c>
      <c r="N95" s="75">
        <v>6</v>
      </c>
      <c r="O95" s="73">
        <v>6</v>
      </c>
      <c r="P95" s="73">
        <v>7</v>
      </c>
      <c r="Q95" s="73">
        <v>2</v>
      </c>
      <c r="R95" s="73"/>
      <c r="S95" s="131">
        <v>21</v>
      </c>
      <c r="T95" s="75">
        <v>128</v>
      </c>
      <c r="U95" s="73"/>
      <c r="V95" s="73">
        <v>177</v>
      </c>
      <c r="W95" s="73"/>
      <c r="X95" s="73">
        <v>169</v>
      </c>
      <c r="Y95" s="73"/>
      <c r="Z95" s="132">
        <v>474</v>
      </c>
      <c r="AA95" s="131">
        <v>0</v>
      </c>
      <c r="AB95" s="311">
        <v>10</v>
      </c>
      <c r="AC95" s="1291"/>
      <c r="AD95" s="78"/>
      <c r="AE95" s="78"/>
    </row>
    <row r="96" spans="1:31" s="81" customFormat="1" ht="17.100000000000001" customHeight="1">
      <c r="A96" s="168" t="s">
        <v>155</v>
      </c>
      <c r="B96" s="168" t="s">
        <v>8</v>
      </c>
      <c r="C96" s="168" t="s">
        <v>8</v>
      </c>
      <c r="D96" s="168" t="s">
        <v>4</v>
      </c>
      <c r="E96" s="168" t="s">
        <v>24</v>
      </c>
      <c r="F96" s="168" t="s">
        <v>623</v>
      </c>
      <c r="G96" s="71">
        <v>31837</v>
      </c>
      <c r="H96" s="50" t="s">
        <v>2187</v>
      </c>
      <c r="I96" s="72">
        <v>12270</v>
      </c>
      <c r="J96" s="52">
        <v>21525</v>
      </c>
      <c r="K96" s="53" t="s">
        <v>4788</v>
      </c>
      <c r="L96" s="53" t="s">
        <v>4789</v>
      </c>
      <c r="M96" s="54" t="s">
        <v>624</v>
      </c>
      <c r="N96" s="75">
        <v>7</v>
      </c>
      <c r="O96" s="73">
        <v>7</v>
      </c>
      <c r="P96" s="73">
        <v>7</v>
      </c>
      <c r="Q96" s="73">
        <v>2</v>
      </c>
      <c r="R96" s="73"/>
      <c r="S96" s="131">
        <v>23</v>
      </c>
      <c r="T96" s="75">
        <v>159</v>
      </c>
      <c r="U96" s="73">
        <v>159</v>
      </c>
      <c r="V96" s="73">
        <v>154</v>
      </c>
      <c r="W96" s="73">
        <v>154</v>
      </c>
      <c r="X96" s="73">
        <v>165</v>
      </c>
      <c r="Y96" s="73">
        <v>165</v>
      </c>
      <c r="Z96" s="132">
        <v>478</v>
      </c>
      <c r="AA96" s="131">
        <v>478</v>
      </c>
      <c r="AB96" s="75">
        <v>8</v>
      </c>
      <c r="AC96" s="1290">
        <v>8</v>
      </c>
      <c r="AD96" s="78"/>
      <c r="AE96" s="78"/>
    </row>
    <row r="97" spans="1:31" s="81" customFormat="1" ht="17.100000000000001" customHeight="1">
      <c r="A97" s="168" t="s">
        <v>155</v>
      </c>
      <c r="B97" s="168" t="s">
        <v>8</v>
      </c>
      <c r="C97" s="168" t="s">
        <v>8</v>
      </c>
      <c r="D97" s="168" t="s">
        <v>4</v>
      </c>
      <c r="E97" s="168" t="s">
        <v>144</v>
      </c>
      <c r="F97" s="168" t="s">
        <v>4790</v>
      </c>
      <c r="G97" s="71">
        <v>30742</v>
      </c>
      <c r="H97" s="50" t="s">
        <v>4791</v>
      </c>
      <c r="I97" s="72">
        <v>13438</v>
      </c>
      <c r="J97" s="52">
        <v>21528</v>
      </c>
      <c r="K97" s="53" t="s">
        <v>4792</v>
      </c>
      <c r="L97" s="53" t="s">
        <v>4793</v>
      </c>
      <c r="M97" s="54" t="s">
        <v>4794</v>
      </c>
      <c r="N97" s="75">
        <v>4</v>
      </c>
      <c r="O97" s="73">
        <v>3</v>
      </c>
      <c r="P97" s="73">
        <v>3</v>
      </c>
      <c r="Q97" s="73">
        <v>1</v>
      </c>
      <c r="R97" s="73"/>
      <c r="S97" s="131">
        <v>11</v>
      </c>
      <c r="T97" s="75">
        <v>68</v>
      </c>
      <c r="U97" s="73"/>
      <c r="V97" s="73">
        <v>68</v>
      </c>
      <c r="W97" s="73"/>
      <c r="X97" s="73">
        <v>49</v>
      </c>
      <c r="Y97" s="73"/>
      <c r="Z97" s="132">
        <v>185</v>
      </c>
      <c r="AA97" s="131">
        <v>0</v>
      </c>
      <c r="AB97" s="311">
        <v>8</v>
      </c>
      <c r="AC97" s="1291"/>
      <c r="AD97" s="78"/>
      <c r="AE97" s="78"/>
    </row>
    <row r="98" spans="1:31" s="81" customFormat="1" ht="17.100000000000001" customHeight="1">
      <c r="A98" s="168" t="s">
        <v>155</v>
      </c>
      <c r="B98" s="168" t="s">
        <v>8</v>
      </c>
      <c r="C98" s="168" t="s">
        <v>8</v>
      </c>
      <c r="D98" s="168" t="s">
        <v>4</v>
      </c>
      <c r="E98" s="168" t="s">
        <v>26</v>
      </c>
      <c r="F98" s="168" t="s">
        <v>4795</v>
      </c>
      <c r="G98" s="71">
        <v>33664</v>
      </c>
      <c r="H98" s="50" t="s">
        <v>625</v>
      </c>
      <c r="I98" s="72">
        <v>12313</v>
      </c>
      <c r="J98" s="52">
        <v>21610</v>
      </c>
      <c r="K98" s="53" t="s">
        <v>626</v>
      </c>
      <c r="L98" s="53" t="s">
        <v>627</v>
      </c>
      <c r="M98" s="54" t="s">
        <v>628</v>
      </c>
      <c r="N98" s="75">
        <v>11</v>
      </c>
      <c r="O98" s="73">
        <v>10</v>
      </c>
      <c r="P98" s="73">
        <v>10</v>
      </c>
      <c r="Q98" s="73">
        <v>1</v>
      </c>
      <c r="R98" s="73"/>
      <c r="S98" s="131">
        <v>32</v>
      </c>
      <c r="T98" s="75">
        <v>352</v>
      </c>
      <c r="U98" s="73">
        <v>166</v>
      </c>
      <c r="V98" s="73">
        <v>337</v>
      </c>
      <c r="W98" s="73">
        <v>164</v>
      </c>
      <c r="X98" s="73">
        <v>325</v>
      </c>
      <c r="Y98" s="73">
        <v>155</v>
      </c>
      <c r="Z98" s="132">
        <v>1014</v>
      </c>
      <c r="AA98" s="131">
        <v>485</v>
      </c>
      <c r="AB98" s="75">
        <v>7</v>
      </c>
      <c r="AC98" s="1290">
        <v>1</v>
      </c>
      <c r="AD98" s="78"/>
      <c r="AE98" s="78"/>
    </row>
    <row r="99" spans="1:31" s="81" customFormat="1" ht="17.100000000000001" customHeight="1">
      <c r="A99" s="168" t="s">
        <v>155</v>
      </c>
      <c r="B99" s="168" t="s">
        <v>8</v>
      </c>
      <c r="C99" s="168" t="s">
        <v>8</v>
      </c>
      <c r="D99" s="168" t="s">
        <v>4</v>
      </c>
      <c r="E99" s="168" t="s">
        <v>24</v>
      </c>
      <c r="F99" s="168" t="s">
        <v>4796</v>
      </c>
      <c r="G99" s="71">
        <v>22377</v>
      </c>
      <c r="H99" s="50" t="s">
        <v>4797</v>
      </c>
      <c r="I99" s="72">
        <v>10340</v>
      </c>
      <c r="J99" s="52">
        <v>21553</v>
      </c>
      <c r="K99" s="53" t="s">
        <v>629</v>
      </c>
      <c r="L99" s="53" t="s">
        <v>630</v>
      </c>
      <c r="M99" s="54" t="s">
        <v>631</v>
      </c>
      <c r="N99" s="75">
        <v>6</v>
      </c>
      <c r="O99" s="73">
        <v>6</v>
      </c>
      <c r="P99" s="73">
        <v>6</v>
      </c>
      <c r="Q99" s="73"/>
      <c r="R99" s="73"/>
      <c r="S99" s="131">
        <v>18</v>
      </c>
      <c r="T99" s="75">
        <v>143</v>
      </c>
      <c r="U99" s="73">
        <v>143</v>
      </c>
      <c r="V99" s="73">
        <v>138</v>
      </c>
      <c r="W99" s="73">
        <v>138</v>
      </c>
      <c r="X99" s="73">
        <v>181</v>
      </c>
      <c r="Y99" s="73">
        <v>181</v>
      </c>
      <c r="Z99" s="132">
        <v>462</v>
      </c>
      <c r="AA99" s="131">
        <v>462</v>
      </c>
      <c r="AB99" s="75"/>
      <c r="AC99" s="1290"/>
      <c r="AD99" s="78"/>
      <c r="AE99" s="78"/>
    </row>
    <row r="100" spans="1:31" s="81" customFormat="1" ht="17.100000000000001" customHeight="1">
      <c r="A100" s="168" t="s">
        <v>155</v>
      </c>
      <c r="B100" s="168" t="s">
        <v>8</v>
      </c>
      <c r="C100" s="168" t="s">
        <v>8</v>
      </c>
      <c r="D100" s="168" t="s">
        <v>4</v>
      </c>
      <c r="E100" s="168" t="s">
        <v>144</v>
      </c>
      <c r="F100" s="168" t="s">
        <v>632</v>
      </c>
      <c r="G100" s="71">
        <v>22012</v>
      </c>
      <c r="H100" s="50" t="s">
        <v>2188</v>
      </c>
      <c r="I100" s="72">
        <v>22058.2</v>
      </c>
      <c r="J100" s="52">
        <v>21546</v>
      </c>
      <c r="K100" s="53" t="s">
        <v>633</v>
      </c>
      <c r="L100" s="53" t="s">
        <v>4798</v>
      </c>
      <c r="M100" s="54" t="s">
        <v>4799</v>
      </c>
      <c r="N100" s="75">
        <v>6</v>
      </c>
      <c r="O100" s="73">
        <v>6</v>
      </c>
      <c r="P100" s="73">
        <v>6</v>
      </c>
      <c r="Q100" s="73">
        <v>2</v>
      </c>
      <c r="R100" s="73"/>
      <c r="S100" s="131">
        <v>20</v>
      </c>
      <c r="T100" s="75">
        <v>180</v>
      </c>
      <c r="U100" s="73"/>
      <c r="V100" s="73">
        <v>188</v>
      </c>
      <c r="W100" s="73"/>
      <c r="X100" s="73">
        <v>150</v>
      </c>
      <c r="Y100" s="73"/>
      <c r="Z100" s="132">
        <v>518</v>
      </c>
      <c r="AA100" s="131">
        <v>0</v>
      </c>
      <c r="AB100" s="75">
        <v>10</v>
      </c>
      <c r="AC100" s="1290"/>
      <c r="AD100" s="78"/>
      <c r="AE100" s="78"/>
    </row>
    <row r="101" spans="1:31" s="81" customFormat="1" ht="17.100000000000001" customHeight="1">
      <c r="A101" s="168" t="s">
        <v>155</v>
      </c>
      <c r="B101" s="168" t="s">
        <v>8</v>
      </c>
      <c r="C101" s="168" t="s">
        <v>8</v>
      </c>
      <c r="D101" s="168" t="s">
        <v>4</v>
      </c>
      <c r="E101" s="168" t="s">
        <v>26</v>
      </c>
      <c r="F101" s="168" t="s">
        <v>4800</v>
      </c>
      <c r="G101" s="71">
        <v>38412</v>
      </c>
      <c r="H101" s="50" t="s">
        <v>4801</v>
      </c>
      <c r="I101" s="72">
        <v>9834</v>
      </c>
      <c r="J101" s="52">
        <v>21503</v>
      </c>
      <c r="K101" s="53" t="s">
        <v>4802</v>
      </c>
      <c r="L101" s="53" t="s">
        <v>4803</v>
      </c>
      <c r="M101" s="54" t="s">
        <v>4804</v>
      </c>
      <c r="N101" s="75">
        <v>7</v>
      </c>
      <c r="O101" s="73">
        <v>6</v>
      </c>
      <c r="P101" s="73">
        <v>7</v>
      </c>
      <c r="Q101" s="73">
        <v>2</v>
      </c>
      <c r="R101" s="73"/>
      <c r="S101" s="131">
        <v>22</v>
      </c>
      <c r="T101" s="75">
        <v>193</v>
      </c>
      <c r="U101" s="73">
        <v>98</v>
      </c>
      <c r="V101" s="73">
        <v>176</v>
      </c>
      <c r="W101" s="73">
        <v>77</v>
      </c>
      <c r="X101" s="73">
        <v>181</v>
      </c>
      <c r="Y101" s="73">
        <v>75</v>
      </c>
      <c r="Z101" s="132">
        <v>550</v>
      </c>
      <c r="AA101" s="131">
        <v>250</v>
      </c>
      <c r="AB101" s="75">
        <v>8</v>
      </c>
      <c r="AC101" s="1290">
        <v>1</v>
      </c>
      <c r="AD101" s="78"/>
      <c r="AE101" s="78"/>
    </row>
    <row r="102" spans="1:31" s="81" customFormat="1" ht="17.100000000000001" customHeight="1">
      <c r="A102" s="168" t="s">
        <v>155</v>
      </c>
      <c r="B102" s="168" t="s">
        <v>8</v>
      </c>
      <c r="C102" s="168" t="s">
        <v>8</v>
      </c>
      <c r="D102" s="168" t="s">
        <v>4</v>
      </c>
      <c r="E102" s="168" t="s">
        <v>26</v>
      </c>
      <c r="F102" s="168" t="s">
        <v>658</v>
      </c>
      <c r="G102" s="71">
        <v>40238</v>
      </c>
      <c r="H102" s="50" t="s">
        <v>2189</v>
      </c>
      <c r="I102" s="72">
        <v>11201</v>
      </c>
      <c r="J102" s="52">
        <v>21676</v>
      </c>
      <c r="K102" s="53" t="s">
        <v>634</v>
      </c>
      <c r="L102" s="53" t="s">
        <v>635</v>
      </c>
      <c r="M102" s="54" t="s">
        <v>4805</v>
      </c>
      <c r="N102" s="75">
        <v>8</v>
      </c>
      <c r="O102" s="73">
        <v>9</v>
      </c>
      <c r="P102" s="73">
        <v>8</v>
      </c>
      <c r="Q102" s="73">
        <v>1</v>
      </c>
      <c r="R102" s="73"/>
      <c r="S102" s="131">
        <v>26</v>
      </c>
      <c r="T102" s="75">
        <v>240</v>
      </c>
      <c r="U102" s="73">
        <v>116</v>
      </c>
      <c r="V102" s="73">
        <v>284</v>
      </c>
      <c r="W102" s="73">
        <v>143</v>
      </c>
      <c r="X102" s="73">
        <v>254</v>
      </c>
      <c r="Y102" s="73">
        <v>130</v>
      </c>
      <c r="Z102" s="132">
        <v>778</v>
      </c>
      <c r="AA102" s="131">
        <v>389</v>
      </c>
      <c r="AB102" s="311">
        <v>7</v>
      </c>
      <c r="AC102" s="1291">
        <v>3</v>
      </c>
      <c r="AD102" s="78"/>
      <c r="AE102" s="78"/>
    </row>
    <row r="103" spans="1:31" s="81" customFormat="1" ht="17.100000000000001" customHeight="1">
      <c r="A103" s="168" t="s">
        <v>155</v>
      </c>
      <c r="B103" s="168" t="s">
        <v>8</v>
      </c>
      <c r="C103" s="168" t="s">
        <v>8</v>
      </c>
      <c r="D103" s="168" t="s">
        <v>4</v>
      </c>
      <c r="E103" s="168" t="s">
        <v>26</v>
      </c>
      <c r="F103" s="168" t="s">
        <v>4806</v>
      </c>
      <c r="G103" s="71">
        <v>38777</v>
      </c>
      <c r="H103" s="50" t="s">
        <v>4807</v>
      </c>
      <c r="I103" s="72">
        <v>11036</v>
      </c>
      <c r="J103" s="52">
        <v>21662</v>
      </c>
      <c r="K103" s="53" t="s">
        <v>4808</v>
      </c>
      <c r="L103" s="53" t="s">
        <v>4808</v>
      </c>
      <c r="M103" s="54" t="s">
        <v>4809</v>
      </c>
      <c r="N103" s="75">
        <v>10</v>
      </c>
      <c r="O103" s="73">
        <v>12</v>
      </c>
      <c r="P103" s="73">
        <v>11</v>
      </c>
      <c r="Q103" s="73">
        <v>2</v>
      </c>
      <c r="R103" s="73"/>
      <c r="S103" s="131">
        <v>35</v>
      </c>
      <c r="T103" s="75">
        <v>298</v>
      </c>
      <c r="U103" s="73">
        <v>152</v>
      </c>
      <c r="V103" s="73">
        <v>370</v>
      </c>
      <c r="W103" s="73">
        <v>192</v>
      </c>
      <c r="X103" s="73">
        <v>348</v>
      </c>
      <c r="Y103" s="73">
        <v>174</v>
      </c>
      <c r="Z103" s="132">
        <v>1016</v>
      </c>
      <c r="AA103" s="131">
        <v>518</v>
      </c>
      <c r="AB103" s="75">
        <v>8</v>
      </c>
      <c r="AC103" s="1290">
        <v>4</v>
      </c>
      <c r="AD103" s="78"/>
      <c r="AE103" s="78"/>
    </row>
    <row r="104" spans="1:31" s="81" customFormat="1" ht="17.100000000000001" customHeight="1">
      <c r="A104" s="168" t="s">
        <v>155</v>
      </c>
      <c r="B104" s="168" t="s">
        <v>8</v>
      </c>
      <c r="C104" s="168" t="s">
        <v>8</v>
      </c>
      <c r="D104" s="168" t="s">
        <v>4</v>
      </c>
      <c r="E104" s="168" t="s">
        <v>26</v>
      </c>
      <c r="F104" s="168" t="s">
        <v>4810</v>
      </c>
      <c r="G104" s="71">
        <v>39508</v>
      </c>
      <c r="H104" s="50" t="s">
        <v>636</v>
      </c>
      <c r="I104" s="72">
        <v>11298</v>
      </c>
      <c r="J104" s="52">
        <v>21651</v>
      </c>
      <c r="K104" s="53" t="s">
        <v>4811</v>
      </c>
      <c r="L104" s="53" t="s">
        <v>4812</v>
      </c>
      <c r="M104" s="54" t="s">
        <v>4813</v>
      </c>
      <c r="N104" s="75">
        <v>10</v>
      </c>
      <c r="O104" s="73">
        <v>11</v>
      </c>
      <c r="P104" s="73">
        <v>10</v>
      </c>
      <c r="Q104" s="73">
        <v>2</v>
      </c>
      <c r="R104" s="73"/>
      <c r="S104" s="131">
        <v>33</v>
      </c>
      <c r="T104" s="75">
        <v>251</v>
      </c>
      <c r="U104" s="73">
        <v>122</v>
      </c>
      <c r="V104" s="73">
        <v>281</v>
      </c>
      <c r="W104" s="73">
        <v>139</v>
      </c>
      <c r="X104" s="73">
        <v>297</v>
      </c>
      <c r="Y104" s="73">
        <v>140</v>
      </c>
      <c r="Z104" s="132">
        <v>829</v>
      </c>
      <c r="AA104" s="131">
        <v>401</v>
      </c>
      <c r="AB104" s="75">
        <v>12</v>
      </c>
      <c r="AC104" s="1290">
        <v>5</v>
      </c>
      <c r="AD104" s="78"/>
      <c r="AE104" s="78"/>
    </row>
    <row r="105" spans="1:31" s="81" customFormat="1" ht="17.100000000000001" customHeight="1">
      <c r="A105" s="168" t="s">
        <v>155</v>
      </c>
      <c r="B105" s="168" t="s">
        <v>8</v>
      </c>
      <c r="C105" s="168" t="s">
        <v>8</v>
      </c>
      <c r="D105" s="168" t="s">
        <v>4</v>
      </c>
      <c r="E105" s="168" t="s">
        <v>26</v>
      </c>
      <c r="F105" s="168" t="s">
        <v>637</v>
      </c>
      <c r="G105" s="71">
        <v>40603</v>
      </c>
      <c r="H105" s="50" t="s">
        <v>4814</v>
      </c>
      <c r="I105" s="72">
        <v>11462</v>
      </c>
      <c r="J105" s="52">
        <v>21683</v>
      </c>
      <c r="K105" s="53" t="s">
        <v>638</v>
      </c>
      <c r="L105" s="53" t="s">
        <v>639</v>
      </c>
      <c r="M105" s="54" t="s">
        <v>640</v>
      </c>
      <c r="N105" s="75">
        <v>8</v>
      </c>
      <c r="O105" s="73">
        <v>8</v>
      </c>
      <c r="P105" s="73">
        <v>8</v>
      </c>
      <c r="Q105" s="73"/>
      <c r="R105" s="73"/>
      <c r="S105" s="131">
        <v>24</v>
      </c>
      <c r="T105" s="75">
        <v>238</v>
      </c>
      <c r="U105" s="73">
        <v>129</v>
      </c>
      <c r="V105" s="73">
        <v>249</v>
      </c>
      <c r="W105" s="73">
        <v>117</v>
      </c>
      <c r="X105" s="73">
        <v>253</v>
      </c>
      <c r="Y105" s="73">
        <v>120</v>
      </c>
      <c r="Z105" s="132">
        <v>740</v>
      </c>
      <c r="AA105" s="131">
        <v>366</v>
      </c>
      <c r="AB105" s="75"/>
      <c r="AC105" s="1290"/>
      <c r="AD105" s="78"/>
      <c r="AE105" s="78"/>
    </row>
    <row r="106" spans="1:31" s="81" customFormat="1" ht="17.100000000000001" customHeight="1">
      <c r="A106" s="168" t="s">
        <v>155</v>
      </c>
      <c r="B106" s="168" t="s">
        <v>8</v>
      </c>
      <c r="C106" s="168" t="s">
        <v>8</v>
      </c>
      <c r="D106" s="168" t="s">
        <v>4</v>
      </c>
      <c r="E106" s="168" t="s">
        <v>26</v>
      </c>
      <c r="F106" s="168" t="s">
        <v>641</v>
      </c>
      <c r="G106" s="71">
        <v>39873</v>
      </c>
      <c r="H106" s="50" t="s">
        <v>2190</v>
      </c>
      <c r="I106" s="72">
        <v>10756.2</v>
      </c>
      <c r="J106" s="52">
        <v>21604</v>
      </c>
      <c r="K106" s="53" t="s">
        <v>642</v>
      </c>
      <c r="L106" s="53" t="s">
        <v>643</v>
      </c>
      <c r="M106" s="54" t="s">
        <v>644</v>
      </c>
      <c r="N106" s="75">
        <v>8</v>
      </c>
      <c r="O106" s="73">
        <v>8</v>
      </c>
      <c r="P106" s="73">
        <v>8</v>
      </c>
      <c r="Q106" s="73">
        <v>1</v>
      </c>
      <c r="R106" s="73"/>
      <c r="S106" s="131">
        <v>25</v>
      </c>
      <c r="T106" s="75">
        <v>256</v>
      </c>
      <c r="U106" s="73">
        <v>128</v>
      </c>
      <c r="V106" s="73">
        <v>268</v>
      </c>
      <c r="W106" s="73">
        <v>133</v>
      </c>
      <c r="X106" s="73">
        <v>265</v>
      </c>
      <c r="Y106" s="73">
        <v>128</v>
      </c>
      <c r="Z106" s="132">
        <v>789</v>
      </c>
      <c r="AA106" s="131">
        <v>389</v>
      </c>
      <c r="AB106" s="75">
        <v>7</v>
      </c>
      <c r="AC106" s="1290">
        <v>2</v>
      </c>
      <c r="AD106" s="78"/>
      <c r="AE106" s="78"/>
    </row>
    <row r="107" spans="1:31" s="81" customFormat="1" ht="17.100000000000001" customHeight="1">
      <c r="A107" s="168" t="s">
        <v>155</v>
      </c>
      <c r="B107" s="168" t="s">
        <v>8</v>
      </c>
      <c r="C107" s="168" t="s">
        <v>8</v>
      </c>
      <c r="D107" s="168" t="s">
        <v>4</v>
      </c>
      <c r="E107" s="168" t="s">
        <v>26</v>
      </c>
      <c r="F107" s="168" t="s">
        <v>645</v>
      </c>
      <c r="G107" s="71">
        <v>38777</v>
      </c>
      <c r="H107" s="50" t="s">
        <v>2191</v>
      </c>
      <c r="I107" s="72">
        <v>11948</v>
      </c>
      <c r="J107" s="52">
        <v>21581</v>
      </c>
      <c r="K107" s="53" t="s">
        <v>646</v>
      </c>
      <c r="L107" s="53" t="s">
        <v>647</v>
      </c>
      <c r="M107" s="54" t="s">
        <v>648</v>
      </c>
      <c r="N107" s="75">
        <v>9</v>
      </c>
      <c r="O107" s="73">
        <v>9</v>
      </c>
      <c r="P107" s="73">
        <v>9</v>
      </c>
      <c r="Q107" s="73">
        <v>2</v>
      </c>
      <c r="R107" s="73"/>
      <c r="S107" s="131">
        <v>29</v>
      </c>
      <c r="T107" s="75">
        <v>243</v>
      </c>
      <c r="U107" s="73">
        <v>111</v>
      </c>
      <c r="V107" s="73">
        <v>281</v>
      </c>
      <c r="W107" s="73">
        <v>116</v>
      </c>
      <c r="X107" s="73">
        <v>269</v>
      </c>
      <c r="Y107" s="73">
        <v>131</v>
      </c>
      <c r="Z107" s="132">
        <v>793</v>
      </c>
      <c r="AA107" s="131">
        <v>358</v>
      </c>
      <c r="AB107" s="75">
        <v>11</v>
      </c>
      <c r="AC107" s="1290">
        <v>1</v>
      </c>
      <c r="AD107" s="78"/>
      <c r="AE107" s="78"/>
    </row>
    <row r="108" spans="1:31" s="81" customFormat="1" ht="17.100000000000001" customHeight="1">
      <c r="A108" s="168" t="s">
        <v>155</v>
      </c>
      <c r="B108" s="168" t="s">
        <v>8</v>
      </c>
      <c r="C108" s="168" t="s">
        <v>8</v>
      </c>
      <c r="D108" s="168" t="s">
        <v>4</v>
      </c>
      <c r="E108" s="168" t="s">
        <v>26</v>
      </c>
      <c r="F108" s="168" t="s">
        <v>649</v>
      </c>
      <c r="G108" s="71">
        <v>39508</v>
      </c>
      <c r="H108" s="50" t="s">
        <v>650</v>
      </c>
      <c r="I108" s="72">
        <v>11221</v>
      </c>
      <c r="J108" s="52">
        <v>21562</v>
      </c>
      <c r="K108" s="53" t="s">
        <v>651</v>
      </c>
      <c r="L108" s="53" t="s">
        <v>652</v>
      </c>
      <c r="M108" s="54" t="s">
        <v>2192</v>
      </c>
      <c r="N108" s="75">
        <v>8</v>
      </c>
      <c r="O108" s="73">
        <v>8</v>
      </c>
      <c r="P108" s="73">
        <v>8</v>
      </c>
      <c r="Q108" s="73">
        <v>2</v>
      </c>
      <c r="R108" s="73"/>
      <c r="S108" s="131">
        <v>26</v>
      </c>
      <c r="T108" s="75">
        <v>256</v>
      </c>
      <c r="U108" s="73">
        <v>135</v>
      </c>
      <c r="V108" s="73">
        <v>262</v>
      </c>
      <c r="W108" s="73">
        <v>143</v>
      </c>
      <c r="X108" s="73">
        <v>262</v>
      </c>
      <c r="Y108" s="73">
        <v>145</v>
      </c>
      <c r="Z108" s="132">
        <v>780</v>
      </c>
      <c r="AA108" s="131">
        <v>423</v>
      </c>
      <c r="AB108" s="75">
        <v>11</v>
      </c>
      <c r="AC108" s="1290">
        <v>5</v>
      </c>
      <c r="AD108" s="78"/>
      <c r="AE108" s="78"/>
    </row>
    <row r="109" spans="1:31" s="81" customFormat="1" ht="17.100000000000001" customHeight="1">
      <c r="A109" s="1625" t="s">
        <v>653</v>
      </c>
      <c r="B109" s="1626"/>
      <c r="C109" s="1626"/>
      <c r="D109" s="1665"/>
      <c r="E109" s="179">
        <f>COUNTA(E88:E108)</f>
        <v>21</v>
      </c>
      <c r="F109" s="283"/>
      <c r="G109" s="284"/>
      <c r="H109" s="181"/>
      <c r="I109" s="318"/>
      <c r="J109" s="287"/>
      <c r="K109" s="285"/>
      <c r="L109" s="285"/>
      <c r="M109" s="319"/>
      <c r="N109" s="320">
        <f t="shared" ref="N109:AE109" si="21">SUM(N88:N108)</f>
        <v>155</v>
      </c>
      <c r="O109" s="321">
        <f t="shared" si="21"/>
        <v>159</v>
      </c>
      <c r="P109" s="321">
        <f t="shared" si="21"/>
        <v>158</v>
      </c>
      <c r="Q109" s="321">
        <f t="shared" si="21"/>
        <v>33</v>
      </c>
      <c r="R109" s="321">
        <f t="shared" si="21"/>
        <v>1</v>
      </c>
      <c r="S109" s="291">
        <f t="shared" si="21"/>
        <v>506</v>
      </c>
      <c r="T109" s="322">
        <f t="shared" si="21"/>
        <v>4177</v>
      </c>
      <c r="U109" s="321">
        <f t="shared" si="21"/>
        <v>1960</v>
      </c>
      <c r="V109" s="321">
        <f t="shared" si="21"/>
        <v>4630</v>
      </c>
      <c r="W109" s="321">
        <f t="shared" si="21"/>
        <v>2143</v>
      </c>
      <c r="X109" s="321">
        <f t="shared" si="21"/>
        <v>4531</v>
      </c>
      <c r="Y109" s="321">
        <f t="shared" si="21"/>
        <v>2129</v>
      </c>
      <c r="Z109" s="321">
        <f t="shared" si="21"/>
        <v>13338</v>
      </c>
      <c r="AA109" s="316">
        <f t="shared" si="21"/>
        <v>6232</v>
      </c>
      <c r="AB109" s="320">
        <f t="shared" si="21"/>
        <v>171</v>
      </c>
      <c r="AC109" s="321">
        <f t="shared" si="21"/>
        <v>48</v>
      </c>
      <c r="AD109" s="321">
        <f t="shared" si="21"/>
        <v>12</v>
      </c>
      <c r="AE109" s="321">
        <f t="shared" si="21"/>
        <v>3</v>
      </c>
    </row>
    <row r="110" spans="1:31" s="81" customFormat="1" ht="17.100000000000001" customHeight="1">
      <c r="A110" s="168" t="s">
        <v>155</v>
      </c>
      <c r="B110" s="168" t="s">
        <v>8</v>
      </c>
      <c r="C110" s="168" t="s">
        <v>8</v>
      </c>
      <c r="D110" s="168" t="s">
        <v>5</v>
      </c>
      <c r="E110" s="168" t="s">
        <v>24</v>
      </c>
      <c r="F110" s="168" t="s">
        <v>654</v>
      </c>
      <c r="G110" s="71">
        <v>24257</v>
      </c>
      <c r="H110" s="50" t="s">
        <v>343</v>
      </c>
      <c r="I110" s="72">
        <v>15789</v>
      </c>
      <c r="J110" s="52">
        <v>21521</v>
      </c>
      <c r="K110" s="53" t="s">
        <v>655</v>
      </c>
      <c r="L110" s="53" t="s">
        <v>656</v>
      </c>
      <c r="M110" s="54" t="s">
        <v>344</v>
      </c>
      <c r="N110" s="75">
        <v>4</v>
      </c>
      <c r="O110" s="73">
        <v>4</v>
      </c>
      <c r="P110" s="73">
        <v>4</v>
      </c>
      <c r="Q110" s="73"/>
      <c r="R110" s="73"/>
      <c r="S110" s="131">
        <f t="shared" ref="S110" si="22">SUM(N110:R110)</f>
        <v>12</v>
      </c>
      <c r="T110" s="75">
        <v>100</v>
      </c>
      <c r="U110" s="73">
        <v>100</v>
      </c>
      <c r="V110" s="73">
        <v>125</v>
      </c>
      <c r="W110" s="73">
        <v>125</v>
      </c>
      <c r="X110" s="73">
        <v>116</v>
      </c>
      <c r="Y110" s="73">
        <v>116</v>
      </c>
      <c r="Z110" s="132">
        <f t="shared" ref="Z110:AA110" si="23">T110+V110+X110</f>
        <v>341</v>
      </c>
      <c r="AA110" s="131">
        <f t="shared" si="23"/>
        <v>341</v>
      </c>
      <c r="AB110" s="75"/>
      <c r="AC110" s="73"/>
      <c r="AD110" s="73"/>
      <c r="AE110" s="74"/>
    </row>
    <row r="111" spans="1:31" s="81" customFormat="1" ht="17.100000000000001" customHeight="1">
      <c r="A111" s="1681" t="s">
        <v>427</v>
      </c>
      <c r="B111" s="1682"/>
      <c r="C111" s="1682"/>
      <c r="D111" s="1683"/>
      <c r="E111" s="188">
        <f>COUNTA(E110:E110)</f>
        <v>1</v>
      </c>
      <c r="F111" s="292"/>
      <c r="G111" s="293"/>
      <c r="H111" s="190"/>
      <c r="I111" s="295"/>
      <c r="J111" s="296"/>
      <c r="K111" s="294"/>
      <c r="L111" s="294"/>
      <c r="M111" s="325"/>
      <c r="N111" s="298">
        <f t="shared" ref="N111:AE111" si="24">N110</f>
        <v>4</v>
      </c>
      <c r="O111" s="299">
        <f t="shared" si="24"/>
        <v>4</v>
      </c>
      <c r="P111" s="299">
        <f t="shared" si="24"/>
        <v>4</v>
      </c>
      <c r="Q111" s="299">
        <f t="shared" si="24"/>
        <v>0</v>
      </c>
      <c r="R111" s="299">
        <f t="shared" si="24"/>
        <v>0</v>
      </c>
      <c r="S111" s="300">
        <f t="shared" si="24"/>
        <v>12</v>
      </c>
      <c r="T111" s="326">
        <f t="shared" si="24"/>
        <v>100</v>
      </c>
      <c r="U111" s="299">
        <f t="shared" si="24"/>
        <v>100</v>
      </c>
      <c r="V111" s="299">
        <f t="shared" si="24"/>
        <v>125</v>
      </c>
      <c r="W111" s="299">
        <f t="shared" si="24"/>
        <v>125</v>
      </c>
      <c r="X111" s="299">
        <f t="shared" si="24"/>
        <v>116</v>
      </c>
      <c r="Y111" s="299">
        <f t="shared" si="24"/>
        <v>116</v>
      </c>
      <c r="Z111" s="299">
        <f t="shared" si="24"/>
        <v>341</v>
      </c>
      <c r="AA111" s="327">
        <f t="shared" si="24"/>
        <v>341</v>
      </c>
      <c r="AB111" s="298">
        <f t="shared" si="24"/>
        <v>0</v>
      </c>
      <c r="AC111" s="299">
        <f t="shared" si="24"/>
        <v>0</v>
      </c>
      <c r="AD111" s="299">
        <f t="shared" si="24"/>
        <v>0</v>
      </c>
      <c r="AE111" s="299">
        <f t="shared" si="24"/>
        <v>0</v>
      </c>
    </row>
    <row r="112" spans="1:31" s="81" customFormat="1" ht="17.100000000000001" customHeight="1">
      <c r="A112" s="1660" t="s">
        <v>657</v>
      </c>
      <c r="B112" s="1661"/>
      <c r="C112" s="1661"/>
      <c r="D112" s="1661"/>
      <c r="E112" s="1662"/>
      <c r="F112" s="281">
        <f>E109+E111</f>
        <v>22</v>
      </c>
      <c r="G112" s="302"/>
      <c r="H112" s="222"/>
      <c r="I112" s="304"/>
      <c r="J112" s="305"/>
      <c r="K112" s="303"/>
      <c r="L112" s="303"/>
      <c r="M112" s="323"/>
      <c r="N112" s="307">
        <f t="shared" ref="N112:AE112" si="25">N109+N111</f>
        <v>159</v>
      </c>
      <c r="O112" s="308">
        <f t="shared" si="25"/>
        <v>163</v>
      </c>
      <c r="P112" s="308">
        <f t="shared" si="25"/>
        <v>162</v>
      </c>
      <c r="Q112" s="308">
        <f t="shared" si="25"/>
        <v>33</v>
      </c>
      <c r="R112" s="308">
        <f t="shared" si="25"/>
        <v>1</v>
      </c>
      <c r="S112" s="309">
        <f t="shared" si="25"/>
        <v>518</v>
      </c>
      <c r="T112" s="324">
        <f t="shared" si="25"/>
        <v>4277</v>
      </c>
      <c r="U112" s="308">
        <f t="shared" si="25"/>
        <v>2060</v>
      </c>
      <c r="V112" s="308">
        <f t="shared" si="25"/>
        <v>4755</v>
      </c>
      <c r="W112" s="308">
        <f t="shared" si="25"/>
        <v>2268</v>
      </c>
      <c r="X112" s="308">
        <f t="shared" si="25"/>
        <v>4647</v>
      </c>
      <c r="Y112" s="308">
        <f t="shared" si="25"/>
        <v>2245</v>
      </c>
      <c r="Z112" s="308">
        <f t="shared" si="25"/>
        <v>13679</v>
      </c>
      <c r="AA112" s="313">
        <f t="shared" si="25"/>
        <v>6573</v>
      </c>
      <c r="AB112" s="307">
        <f t="shared" si="25"/>
        <v>171</v>
      </c>
      <c r="AC112" s="308">
        <f t="shared" si="25"/>
        <v>48</v>
      </c>
      <c r="AD112" s="1301">
        <f t="shared" si="25"/>
        <v>12</v>
      </c>
      <c r="AE112" s="1301">
        <f t="shared" si="25"/>
        <v>3</v>
      </c>
    </row>
    <row r="113" spans="1:31" s="81" customFormat="1" ht="17.100000000000001" customHeight="1">
      <c r="A113" s="168" t="s">
        <v>155</v>
      </c>
      <c r="B113" s="168" t="s">
        <v>9</v>
      </c>
      <c r="C113" s="168" t="s">
        <v>9</v>
      </c>
      <c r="D113" s="168" t="s">
        <v>4</v>
      </c>
      <c r="E113" s="168" t="s">
        <v>26</v>
      </c>
      <c r="F113" s="168" t="s">
        <v>1391</v>
      </c>
      <c r="G113" s="71">
        <v>38413</v>
      </c>
      <c r="H113" s="50" t="s">
        <v>1392</v>
      </c>
      <c r="I113" s="72">
        <v>13064.4</v>
      </c>
      <c r="J113" s="52">
        <v>21986</v>
      </c>
      <c r="K113" s="53" t="s">
        <v>1393</v>
      </c>
      <c r="L113" s="53" t="s">
        <v>1446</v>
      </c>
      <c r="M113" s="54" t="s">
        <v>1394</v>
      </c>
      <c r="N113" s="75">
        <v>10</v>
      </c>
      <c r="O113" s="73">
        <v>10</v>
      </c>
      <c r="P113" s="73">
        <v>10</v>
      </c>
      <c r="Q113" s="73">
        <v>1</v>
      </c>
      <c r="R113" s="73"/>
      <c r="S113" s="131">
        <v>31</v>
      </c>
      <c r="T113" s="75">
        <v>349</v>
      </c>
      <c r="U113" s="73">
        <v>168</v>
      </c>
      <c r="V113" s="73">
        <v>349</v>
      </c>
      <c r="W113" s="73">
        <v>159</v>
      </c>
      <c r="X113" s="73">
        <v>347</v>
      </c>
      <c r="Y113" s="73">
        <v>173</v>
      </c>
      <c r="Z113" s="132">
        <v>1045</v>
      </c>
      <c r="AA113" s="131">
        <v>500</v>
      </c>
      <c r="AB113" s="75">
        <v>8</v>
      </c>
      <c r="AC113" s="1290">
        <v>4</v>
      </c>
      <c r="AD113" s="78"/>
      <c r="AE113" s="78"/>
    </row>
    <row r="114" spans="1:31" s="81" customFormat="1" ht="17.100000000000001" customHeight="1">
      <c r="A114" s="168" t="s">
        <v>155</v>
      </c>
      <c r="B114" s="168" t="s">
        <v>9</v>
      </c>
      <c r="C114" s="168" t="s">
        <v>9</v>
      </c>
      <c r="D114" s="168" t="s">
        <v>4</v>
      </c>
      <c r="E114" s="168" t="s">
        <v>26</v>
      </c>
      <c r="F114" s="168" t="s">
        <v>1395</v>
      </c>
      <c r="G114" s="71">
        <v>34026</v>
      </c>
      <c r="H114" s="50" t="s">
        <v>1396</v>
      </c>
      <c r="I114" s="72">
        <v>10191</v>
      </c>
      <c r="J114" s="52">
        <v>21938</v>
      </c>
      <c r="K114" s="53" t="s">
        <v>1397</v>
      </c>
      <c r="L114" s="53" t="s">
        <v>1398</v>
      </c>
      <c r="M114" s="54" t="s">
        <v>1399</v>
      </c>
      <c r="N114" s="75">
        <v>6</v>
      </c>
      <c r="O114" s="73">
        <v>5</v>
      </c>
      <c r="P114" s="73">
        <v>5</v>
      </c>
      <c r="Q114" s="73">
        <v>3</v>
      </c>
      <c r="R114" s="73">
        <v>3</v>
      </c>
      <c r="S114" s="131">
        <v>22</v>
      </c>
      <c r="T114" s="75">
        <v>107</v>
      </c>
      <c r="U114" s="73">
        <v>49</v>
      </c>
      <c r="V114" s="73">
        <v>135</v>
      </c>
      <c r="W114" s="73">
        <v>58</v>
      </c>
      <c r="X114" s="73">
        <v>128</v>
      </c>
      <c r="Y114" s="73">
        <v>70</v>
      </c>
      <c r="Z114" s="132">
        <v>370</v>
      </c>
      <c r="AA114" s="131">
        <v>177</v>
      </c>
      <c r="AB114" s="311">
        <v>14</v>
      </c>
      <c r="AC114" s="1291">
        <v>1</v>
      </c>
      <c r="AD114" s="78">
        <v>35</v>
      </c>
      <c r="AE114" s="78">
        <v>22</v>
      </c>
    </row>
    <row r="115" spans="1:31" s="81" customFormat="1" ht="17.100000000000001" customHeight="1">
      <c r="A115" s="168" t="s">
        <v>155</v>
      </c>
      <c r="B115" s="168" t="s">
        <v>9</v>
      </c>
      <c r="C115" s="168" t="s">
        <v>9</v>
      </c>
      <c r="D115" s="168" t="s">
        <v>4</v>
      </c>
      <c r="E115" s="168" t="s">
        <v>26</v>
      </c>
      <c r="F115" s="168" t="s">
        <v>4816</v>
      </c>
      <c r="G115" s="71">
        <v>38412</v>
      </c>
      <c r="H115" s="50" t="s">
        <v>4817</v>
      </c>
      <c r="I115" s="72">
        <v>13000</v>
      </c>
      <c r="J115" s="52">
        <v>21996</v>
      </c>
      <c r="K115" s="53" t="s">
        <v>4818</v>
      </c>
      <c r="L115" s="53" t="s">
        <v>4819</v>
      </c>
      <c r="M115" s="54" t="s">
        <v>4820</v>
      </c>
      <c r="N115" s="75">
        <v>12</v>
      </c>
      <c r="O115" s="73">
        <v>12</v>
      </c>
      <c r="P115" s="73">
        <v>12</v>
      </c>
      <c r="Q115" s="73">
        <v>1</v>
      </c>
      <c r="R115" s="73"/>
      <c r="S115" s="131">
        <v>37</v>
      </c>
      <c r="T115" s="75">
        <v>420</v>
      </c>
      <c r="U115" s="73">
        <v>207</v>
      </c>
      <c r="V115" s="73">
        <v>424</v>
      </c>
      <c r="W115" s="73">
        <v>211</v>
      </c>
      <c r="X115" s="73">
        <v>422</v>
      </c>
      <c r="Y115" s="73">
        <v>206</v>
      </c>
      <c r="Z115" s="132">
        <v>1266</v>
      </c>
      <c r="AA115" s="131">
        <v>624</v>
      </c>
      <c r="AB115" s="75">
        <v>8</v>
      </c>
      <c r="AC115" s="1290">
        <v>3</v>
      </c>
      <c r="AD115" s="78"/>
      <c r="AE115" s="78"/>
    </row>
    <row r="116" spans="1:31" s="81" customFormat="1" ht="17.100000000000001" customHeight="1">
      <c r="A116" s="168" t="s">
        <v>155</v>
      </c>
      <c r="B116" s="168" t="s">
        <v>9</v>
      </c>
      <c r="C116" s="168" t="s">
        <v>9</v>
      </c>
      <c r="D116" s="168" t="s">
        <v>4</v>
      </c>
      <c r="E116" s="168" t="s">
        <v>26</v>
      </c>
      <c r="F116" s="168" t="s">
        <v>1400</v>
      </c>
      <c r="G116" s="71">
        <v>34394</v>
      </c>
      <c r="H116" s="50" t="s">
        <v>1401</v>
      </c>
      <c r="I116" s="72">
        <v>11351</v>
      </c>
      <c r="J116" s="52">
        <v>21967</v>
      </c>
      <c r="K116" s="53" t="s">
        <v>1447</v>
      </c>
      <c r="L116" s="53" t="s">
        <v>4821</v>
      </c>
      <c r="M116" s="54" t="s">
        <v>4822</v>
      </c>
      <c r="N116" s="75">
        <v>10</v>
      </c>
      <c r="O116" s="73">
        <v>9</v>
      </c>
      <c r="P116" s="73">
        <v>9</v>
      </c>
      <c r="Q116" s="73">
        <v>2</v>
      </c>
      <c r="R116" s="73"/>
      <c r="S116" s="131">
        <v>30</v>
      </c>
      <c r="T116" s="75">
        <v>270</v>
      </c>
      <c r="U116" s="73">
        <v>134</v>
      </c>
      <c r="V116" s="73">
        <v>242</v>
      </c>
      <c r="W116" s="73">
        <v>108</v>
      </c>
      <c r="X116" s="73">
        <v>239</v>
      </c>
      <c r="Y116" s="73">
        <v>92</v>
      </c>
      <c r="Z116" s="132">
        <v>751</v>
      </c>
      <c r="AA116" s="131">
        <v>334</v>
      </c>
      <c r="AB116" s="75">
        <v>12</v>
      </c>
      <c r="AC116" s="1290">
        <v>4</v>
      </c>
      <c r="AD116" s="78"/>
      <c r="AE116" s="78"/>
    </row>
    <row r="117" spans="1:31" s="81" customFormat="1" ht="17.100000000000001" customHeight="1">
      <c r="A117" s="168" t="s">
        <v>155</v>
      </c>
      <c r="B117" s="168" t="s">
        <v>9</v>
      </c>
      <c r="C117" s="168" t="s">
        <v>9</v>
      </c>
      <c r="D117" s="168" t="s">
        <v>4</v>
      </c>
      <c r="E117" s="168" t="s">
        <v>26</v>
      </c>
      <c r="F117" s="168" t="s">
        <v>1402</v>
      </c>
      <c r="G117" s="71">
        <v>34394</v>
      </c>
      <c r="H117" s="50" t="s">
        <v>4823</v>
      </c>
      <c r="I117" s="72">
        <v>11291</v>
      </c>
      <c r="J117" s="52">
        <v>21933</v>
      </c>
      <c r="K117" s="53" t="s">
        <v>1403</v>
      </c>
      <c r="L117" s="53" t="s">
        <v>1404</v>
      </c>
      <c r="M117" s="54" t="s">
        <v>1405</v>
      </c>
      <c r="N117" s="75">
        <v>5</v>
      </c>
      <c r="O117" s="73">
        <v>5</v>
      </c>
      <c r="P117" s="73">
        <v>5</v>
      </c>
      <c r="Q117" s="73">
        <v>2</v>
      </c>
      <c r="R117" s="73">
        <v>3</v>
      </c>
      <c r="S117" s="131">
        <v>20</v>
      </c>
      <c r="T117" s="75">
        <v>44</v>
      </c>
      <c r="U117" s="73">
        <v>17</v>
      </c>
      <c r="V117" s="73">
        <v>128</v>
      </c>
      <c r="W117" s="73">
        <v>56</v>
      </c>
      <c r="X117" s="73">
        <v>104</v>
      </c>
      <c r="Y117" s="73">
        <v>67</v>
      </c>
      <c r="Z117" s="132">
        <v>276</v>
      </c>
      <c r="AA117" s="131">
        <v>140</v>
      </c>
      <c r="AB117" s="75">
        <v>12</v>
      </c>
      <c r="AC117" s="1290">
        <v>6</v>
      </c>
      <c r="AD117" s="78">
        <v>18</v>
      </c>
      <c r="AE117" s="78">
        <v>9</v>
      </c>
    </row>
    <row r="118" spans="1:31" s="81" customFormat="1" ht="17.100000000000001" customHeight="1">
      <c r="A118" s="168" t="s">
        <v>155</v>
      </c>
      <c r="B118" s="168" t="s">
        <v>9</v>
      </c>
      <c r="C118" s="168" t="s">
        <v>9</v>
      </c>
      <c r="D118" s="168" t="s">
        <v>4</v>
      </c>
      <c r="E118" s="168" t="s">
        <v>26</v>
      </c>
      <c r="F118" s="168" t="s">
        <v>1406</v>
      </c>
      <c r="G118" s="71">
        <v>36586</v>
      </c>
      <c r="H118" s="50" t="s">
        <v>4824</v>
      </c>
      <c r="I118" s="72">
        <v>11299.9</v>
      </c>
      <c r="J118" s="52">
        <v>21930</v>
      </c>
      <c r="K118" s="53" t="s">
        <v>1407</v>
      </c>
      <c r="L118" s="53" t="s">
        <v>1408</v>
      </c>
      <c r="M118" s="54" t="s">
        <v>1409</v>
      </c>
      <c r="N118" s="75">
        <v>8</v>
      </c>
      <c r="O118" s="73">
        <v>8</v>
      </c>
      <c r="P118" s="73">
        <v>8</v>
      </c>
      <c r="Q118" s="73">
        <v>1</v>
      </c>
      <c r="R118" s="73"/>
      <c r="S118" s="131">
        <v>25</v>
      </c>
      <c r="T118" s="75">
        <v>239</v>
      </c>
      <c r="U118" s="73">
        <v>116</v>
      </c>
      <c r="V118" s="73">
        <v>225</v>
      </c>
      <c r="W118" s="73">
        <v>99</v>
      </c>
      <c r="X118" s="73">
        <v>256</v>
      </c>
      <c r="Y118" s="73">
        <v>115</v>
      </c>
      <c r="Z118" s="132">
        <v>720</v>
      </c>
      <c r="AA118" s="131">
        <v>330</v>
      </c>
      <c r="AB118" s="75">
        <v>8</v>
      </c>
      <c r="AC118" s="1290">
        <v>1</v>
      </c>
      <c r="AD118" s="78"/>
      <c r="AE118" s="78"/>
    </row>
    <row r="119" spans="1:31" s="81" customFormat="1" ht="17.100000000000001" customHeight="1">
      <c r="A119" s="168" t="s">
        <v>155</v>
      </c>
      <c r="B119" s="168" t="s">
        <v>9</v>
      </c>
      <c r="C119" s="168" t="s">
        <v>9</v>
      </c>
      <c r="D119" s="168" t="s">
        <v>4</v>
      </c>
      <c r="E119" s="168" t="s">
        <v>26</v>
      </c>
      <c r="F119" s="168" t="s">
        <v>1410</v>
      </c>
      <c r="G119" s="71">
        <v>36220</v>
      </c>
      <c r="H119" s="50" t="s">
        <v>1411</v>
      </c>
      <c r="I119" s="72">
        <v>17177</v>
      </c>
      <c r="J119" s="52">
        <v>21954</v>
      </c>
      <c r="K119" s="53" t="s">
        <v>1412</v>
      </c>
      <c r="L119" s="53" t="s">
        <v>1412</v>
      </c>
      <c r="M119" s="54" t="s">
        <v>1413</v>
      </c>
      <c r="N119" s="75">
        <v>5</v>
      </c>
      <c r="O119" s="73">
        <v>6</v>
      </c>
      <c r="P119" s="73">
        <v>6</v>
      </c>
      <c r="Q119" s="73">
        <v>2</v>
      </c>
      <c r="R119" s="73"/>
      <c r="S119" s="131">
        <v>19</v>
      </c>
      <c r="T119" s="75">
        <v>149</v>
      </c>
      <c r="U119" s="73">
        <v>74</v>
      </c>
      <c r="V119" s="73">
        <v>159</v>
      </c>
      <c r="W119" s="73">
        <v>75</v>
      </c>
      <c r="X119" s="73">
        <v>175</v>
      </c>
      <c r="Y119" s="73">
        <v>72</v>
      </c>
      <c r="Z119" s="132">
        <v>483</v>
      </c>
      <c r="AA119" s="131">
        <v>221</v>
      </c>
      <c r="AB119" s="75">
        <v>9</v>
      </c>
      <c r="AC119" s="1290">
        <v>6</v>
      </c>
      <c r="AD119" s="78"/>
      <c r="AE119" s="78"/>
    </row>
    <row r="120" spans="1:31" s="81" customFormat="1" ht="17.100000000000001" customHeight="1">
      <c r="A120" s="168" t="s">
        <v>155</v>
      </c>
      <c r="B120" s="168" t="s">
        <v>9</v>
      </c>
      <c r="C120" s="168" t="s">
        <v>9</v>
      </c>
      <c r="D120" s="168" t="s">
        <v>4</v>
      </c>
      <c r="E120" s="168" t="s">
        <v>26</v>
      </c>
      <c r="F120" s="168" t="s">
        <v>1414</v>
      </c>
      <c r="G120" s="71">
        <v>29650</v>
      </c>
      <c r="H120" s="50" t="s">
        <v>2193</v>
      </c>
      <c r="I120" s="72">
        <v>16418</v>
      </c>
      <c r="J120" s="52">
        <v>21956</v>
      </c>
      <c r="K120" s="53" t="s">
        <v>1448</v>
      </c>
      <c r="L120" s="53" t="s">
        <v>1449</v>
      </c>
      <c r="M120" s="54" t="s">
        <v>1450</v>
      </c>
      <c r="N120" s="75">
        <v>7</v>
      </c>
      <c r="O120" s="73">
        <v>7</v>
      </c>
      <c r="P120" s="73">
        <v>7</v>
      </c>
      <c r="Q120" s="73">
        <v>2</v>
      </c>
      <c r="R120" s="73"/>
      <c r="S120" s="131">
        <v>23</v>
      </c>
      <c r="T120" s="75">
        <v>194</v>
      </c>
      <c r="U120" s="73">
        <v>87</v>
      </c>
      <c r="V120" s="73">
        <v>183</v>
      </c>
      <c r="W120" s="73">
        <v>90</v>
      </c>
      <c r="X120" s="73">
        <v>206</v>
      </c>
      <c r="Y120" s="73">
        <v>121</v>
      </c>
      <c r="Z120" s="132">
        <v>583</v>
      </c>
      <c r="AA120" s="131">
        <v>298</v>
      </c>
      <c r="AB120" s="75">
        <v>9</v>
      </c>
      <c r="AC120" s="1290">
        <v>3</v>
      </c>
      <c r="AD120" s="78"/>
      <c r="AE120" s="78"/>
    </row>
    <row r="121" spans="1:31" s="81" customFormat="1" ht="17.100000000000001" customHeight="1">
      <c r="A121" s="168" t="s">
        <v>155</v>
      </c>
      <c r="B121" s="168" t="s">
        <v>9</v>
      </c>
      <c r="C121" s="168" t="s">
        <v>9</v>
      </c>
      <c r="D121" s="168" t="s">
        <v>4</v>
      </c>
      <c r="E121" s="168" t="s">
        <v>26</v>
      </c>
      <c r="F121" s="168" t="s">
        <v>4825</v>
      </c>
      <c r="G121" s="1195">
        <v>44256</v>
      </c>
      <c r="H121" s="50" t="s">
        <v>4826</v>
      </c>
      <c r="I121" s="72">
        <v>12055</v>
      </c>
      <c r="J121" s="52">
        <v>22017</v>
      </c>
      <c r="K121" s="53" t="s">
        <v>4827</v>
      </c>
      <c r="L121" s="53" t="s">
        <v>4827</v>
      </c>
      <c r="M121" s="54" t="s">
        <v>4828</v>
      </c>
      <c r="N121" s="75">
        <v>12</v>
      </c>
      <c r="O121" s="73">
        <v>11</v>
      </c>
      <c r="P121" s="73">
        <v>13</v>
      </c>
      <c r="Q121" s="73">
        <v>1</v>
      </c>
      <c r="R121" s="73"/>
      <c r="S121" s="131">
        <v>37</v>
      </c>
      <c r="T121" s="75">
        <v>367</v>
      </c>
      <c r="U121" s="73">
        <v>192</v>
      </c>
      <c r="V121" s="73">
        <v>375</v>
      </c>
      <c r="W121" s="73">
        <v>203</v>
      </c>
      <c r="X121" s="73">
        <v>353</v>
      </c>
      <c r="Y121" s="73">
        <v>153</v>
      </c>
      <c r="Z121" s="132">
        <v>1095</v>
      </c>
      <c r="AA121" s="131">
        <v>548</v>
      </c>
      <c r="AB121" s="311">
        <v>7</v>
      </c>
      <c r="AC121" s="1291">
        <v>1</v>
      </c>
      <c r="AD121" s="78"/>
      <c r="AE121" s="78"/>
    </row>
    <row r="122" spans="1:31" s="81" customFormat="1" ht="17.100000000000001" customHeight="1">
      <c r="A122" s="168" t="s">
        <v>155</v>
      </c>
      <c r="B122" s="168" t="s">
        <v>9</v>
      </c>
      <c r="C122" s="168" t="s">
        <v>9</v>
      </c>
      <c r="D122" s="168" t="s">
        <v>4</v>
      </c>
      <c r="E122" s="168" t="s">
        <v>26</v>
      </c>
      <c r="F122" s="168" t="s">
        <v>1451</v>
      </c>
      <c r="G122" s="71">
        <v>40603</v>
      </c>
      <c r="H122" s="50" t="s">
        <v>4829</v>
      </c>
      <c r="I122" s="72">
        <v>15542.1</v>
      </c>
      <c r="J122" s="52">
        <v>22001</v>
      </c>
      <c r="K122" s="53" t="s">
        <v>1452</v>
      </c>
      <c r="L122" s="53" t="s">
        <v>1415</v>
      </c>
      <c r="M122" s="54" t="s">
        <v>1416</v>
      </c>
      <c r="N122" s="75">
        <v>12</v>
      </c>
      <c r="O122" s="73">
        <v>12</v>
      </c>
      <c r="P122" s="73">
        <v>12</v>
      </c>
      <c r="Q122" s="73">
        <v>2</v>
      </c>
      <c r="R122" s="73"/>
      <c r="S122" s="131">
        <v>38</v>
      </c>
      <c r="T122" s="75">
        <v>426</v>
      </c>
      <c r="U122" s="73">
        <v>208</v>
      </c>
      <c r="V122" s="73">
        <v>430</v>
      </c>
      <c r="W122" s="73">
        <v>214</v>
      </c>
      <c r="X122" s="73">
        <v>424</v>
      </c>
      <c r="Y122" s="73">
        <v>209</v>
      </c>
      <c r="Z122" s="132">
        <v>1280</v>
      </c>
      <c r="AA122" s="131">
        <v>631</v>
      </c>
      <c r="AB122" s="75">
        <v>9</v>
      </c>
      <c r="AC122" s="1290">
        <v>4</v>
      </c>
      <c r="AD122" s="78"/>
      <c r="AE122" s="78"/>
    </row>
    <row r="123" spans="1:31" s="81" customFormat="1" ht="17.100000000000001" customHeight="1">
      <c r="A123" s="168" t="s">
        <v>155</v>
      </c>
      <c r="B123" s="168" t="s">
        <v>9</v>
      </c>
      <c r="C123" s="168" t="s">
        <v>9</v>
      </c>
      <c r="D123" s="168" t="s">
        <v>4</v>
      </c>
      <c r="E123" s="168" t="s">
        <v>24</v>
      </c>
      <c r="F123" s="168" t="s">
        <v>4830</v>
      </c>
      <c r="G123" s="71">
        <v>3014</v>
      </c>
      <c r="H123" s="50" t="s">
        <v>4831</v>
      </c>
      <c r="I123" s="72">
        <v>11313</v>
      </c>
      <c r="J123" s="52">
        <v>21973</v>
      </c>
      <c r="K123" s="53" t="s">
        <v>4832</v>
      </c>
      <c r="L123" s="53" t="s">
        <v>4833</v>
      </c>
      <c r="M123" s="54" t="s">
        <v>4834</v>
      </c>
      <c r="N123" s="75">
        <v>6</v>
      </c>
      <c r="O123" s="73">
        <v>6</v>
      </c>
      <c r="P123" s="73">
        <v>6</v>
      </c>
      <c r="Q123" s="73">
        <v>1</v>
      </c>
      <c r="R123" s="73"/>
      <c r="S123" s="131">
        <v>19</v>
      </c>
      <c r="T123" s="75">
        <v>97</v>
      </c>
      <c r="U123" s="73">
        <v>97</v>
      </c>
      <c r="V123" s="73">
        <v>157</v>
      </c>
      <c r="W123" s="73">
        <v>157</v>
      </c>
      <c r="X123" s="73">
        <v>124</v>
      </c>
      <c r="Y123" s="73">
        <v>124</v>
      </c>
      <c r="Z123" s="132">
        <v>378</v>
      </c>
      <c r="AA123" s="131">
        <v>378</v>
      </c>
      <c r="AB123" s="75">
        <v>6</v>
      </c>
      <c r="AC123" s="1290">
        <v>6</v>
      </c>
      <c r="AD123" s="78"/>
      <c r="AE123" s="78"/>
    </row>
    <row r="124" spans="1:31" s="81" customFormat="1" ht="17.100000000000001" customHeight="1">
      <c r="A124" s="168" t="s">
        <v>155</v>
      </c>
      <c r="B124" s="168" t="s">
        <v>9</v>
      </c>
      <c r="C124" s="168" t="s">
        <v>9</v>
      </c>
      <c r="D124" s="168" t="s">
        <v>4</v>
      </c>
      <c r="E124" s="168" t="s">
        <v>26</v>
      </c>
      <c r="F124" s="168" t="s">
        <v>1417</v>
      </c>
      <c r="G124" s="71">
        <v>42795</v>
      </c>
      <c r="H124" s="50" t="s">
        <v>1453</v>
      </c>
      <c r="I124" s="312">
        <v>14743</v>
      </c>
      <c r="J124" s="52">
        <v>22009</v>
      </c>
      <c r="K124" s="53" t="s">
        <v>1418</v>
      </c>
      <c r="L124" s="53" t="s">
        <v>1419</v>
      </c>
      <c r="M124" s="54" t="s">
        <v>1420</v>
      </c>
      <c r="N124" s="75">
        <v>11</v>
      </c>
      <c r="O124" s="73">
        <v>9</v>
      </c>
      <c r="P124" s="73">
        <v>10</v>
      </c>
      <c r="Q124" s="73">
        <v>1</v>
      </c>
      <c r="R124" s="73"/>
      <c r="S124" s="131">
        <v>31</v>
      </c>
      <c r="T124" s="75">
        <v>380</v>
      </c>
      <c r="U124" s="73">
        <v>166</v>
      </c>
      <c r="V124" s="73">
        <v>325</v>
      </c>
      <c r="W124" s="73">
        <v>166</v>
      </c>
      <c r="X124" s="73">
        <v>347</v>
      </c>
      <c r="Y124" s="73">
        <v>176</v>
      </c>
      <c r="Z124" s="132">
        <v>1052</v>
      </c>
      <c r="AA124" s="131">
        <v>508</v>
      </c>
      <c r="AB124" s="311">
        <v>7</v>
      </c>
      <c r="AC124" s="1291">
        <v>1</v>
      </c>
      <c r="AD124" s="78"/>
      <c r="AE124" s="78"/>
    </row>
    <row r="125" spans="1:31" s="81" customFormat="1" ht="17.100000000000001" customHeight="1">
      <c r="A125" s="168" t="s">
        <v>155</v>
      </c>
      <c r="B125" s="168" t="s">
        <v>9</v>
      </c>
      <c r="C125" s="168" t="s">
        <v>9</v>
      </c>
      <c r="D125" s="168" t="s">
        <v>4</v>
      </c>
      <c r="E125" s="168" t="s">
        <v>26</v>
      </c>
      <c r="F125" s="168" t="s">
        <v>4835</v>
      </c>
      <c r="G125" s="71" t="s">
        <v>4836</v>
      </c>
      <c r="H125" s="50" t="s">
        <v>2180</v>
      </c>
      <c r="I125" s="72">
        <v>3408.63</v>
      </c>
      <c r="J125" s="52">
        <v>22019</v>
      </c>
      <c r="K125" s="53" t="s">
        <v>2181</v>
      </c>
      <c r="L125" s="53" t="s">
        <v>2182</v>
      </c>
      <c r="M125" s="54" t="s">
        <v>2183</v>
      </c>
      <c r="N125" s="75">
        <v>11</v>
      </c>
      <c r="O125" s="73">
        <v>10</v>
      </c>
      <c r="P125" s="73">
        <v>5</v>
      </c>
      <c r="Q125" s="73">
        <v>1</v>
      </c>
      <c r="R125" s="73"/>
      <c r="S125" s="131">
        <v>27</v>
      </c>
      <c r="T125" s="75">
        <v>265</v>
      </c>
      <c r="U125" s="73">
        <v>124</v>
      </c>
      <c r="V125" s="73">
        <v>328</v>
      </c>
      <c r="W125" s="73">
        <v>149</v>
      </c>
      <c r="X125" s="73">
        <v>88</v>
      </c>
      <c r="Y125" s="73">
        <v>68</v>
      </c>
      <c r="Z125" s="132">
        <v>681</v>
      </c>
      <c r="AA125" s="131">
        <v>341</v>
      </c>
      <c r="AB125" s="311">
        <v>3</v>
      </c>
      <c r="AC125" s="1291">
        <v>1</v>
      </c>
      <c r="AD125" s="78"/>
      <c r="AE125" s="78"/>
    </row>
    <row r="126" spans="1:31" s="81" customFormat="1" ht="17.100000000000001" customHeight="1">
      <c r="A126" s="168" t="s">
        <v>155</v>
      </c>
      <c r="B126" s="168" t="s">
        <v>9</v>
      </c>
      <c r="C126" s="168" t="s">
        <v>9</v>
      </c>
      <c r="D126" s="168" t="s">
        <v>4</v>
      </c>
      <c r="E126" s="168" t="s">
        <v>144</v>
      </c>
      <c r="F126" s="168" t="s">
        <v>1421</v>
      </c>
      <c r="G126" s="71">
        <v>36951</v>
      </c>
      <c r="H126" s="50" t="s">
        <v>2194</v>
      </c>
      <c r="I126" s="72">
        <v>11526</v>
      </c>
      <c r="J126" s="52">
        <v>21936</v>
      </c>
      <c r="K126" s="53" t="s">
        <v>1422</v>
      </c>
      <c r="L126" s="53" t="s">
        <v>1423</v>
      </c>
      <c r="M126" s="54" t="s">
        <v>1424</v>
      </c>
      <c r="N126" s="75">
        <v>3</v>
      </c>
      <c r="O126" s="73">
        <v>4</v>
      </c>
      <c r="P126" s="73">
        <v>3</v>
      </c>
      <c r="Q126" s="73"/>
      <c r="R126" s="73">
        <v>1</v>
      </c>
      <c r="S126" s="131">
        <v>11</v>
      </c>
      <c r="T126" s="75">
        <v>33</v>
      </c>
      <c r="U126" s="73"/>
      <c r="V126" s="73">
        <v>65</v>
      </c>
      <c r="W126" s="73"/>
      <c r="X126" s="73">
        <v>57</v>
      </c>
      <c r="Y126" s="73"/>
      <c r="Z126" s="132">
        <v>155</v>
      </c>
      <c r="AA126" s="131">
        <v>0</v>
      </c>
      <c r="AB126" s="75"/>
      <c r="AC126" s="1290"/>
      <c r="AD126" s="78">
        <v>12</v>
      </c>
      <c r="AE126" s="78"/>
    </row>
    <row r="127" spans="1:31" s="81" customFormat="1" ht="17.100000000000001" customHeight="1">
      <c r="A127" s="168" t="s">
        <v>155</v>
      </c>
      <c r="B127" s="168" t="s">
        <v>9</v>
      </c>
      <c r="C127" s="168" t="s">
        <v>9</v>
      </c>
      <c r="D127" s="168" t="s">
        <v>4</v>
      </c>
      <c r="E127" s="168" t="s">
        <v>26</v>
      </c>
      <c r="F127" s="168" t="s">
        <v>1425</v>
      </c>
      <c r="G127" s="1195">
        <v>39969</v>
      </c>
      <c r="H127" s="50" t="s">
        <v>4837</v>
      </c>
      <c r="I127" s="72">
        <v>13000</v>
      </c>
      <c r="J127" s="52">
        <v>22009</v>
      </c>
      <c r="K127" s="53" t="s">
        <v>4838</v>
      </c>
      <c r="L127" s="53" t="s">
        <v>4839</v>
      </c>
      <c r="M127" s="54" t="s">
        <v>4840</v>
      </c>
      <c r="N127" s="75">
        <v>9</v>
      </c>
      <c r="O127" s="73">
        <v>7</v>
      </c>
      <c r="P127" s="73">
        <v>9</v>
      </c>
      <c r="Q127" s="73"/>
      <c r="R127" s="73"/>
      <c r="S127" s="131">
        <v>25</v>
      </c>
      <c r="T127" s="75">
        <v>314</v>
      </c>
      <c r="U127" s="73">
        <v>157</v>
      </c>
      <c r="V127" s="73">
        <v>247</v>
      </c>
      <c r="W127" s="73">
        <v>126</v>
      </c>
      <c r="X127" s="73">
        <v>316</v>
      </c>
      <c r="Y127" s="73">
        <v>158</v>
      </c>
      <c r="Z127" s="132">
        <v>877</v>
      </c>
      <c r="AA127" s="131">
        <v>441</v>
      </c>
      <c r="AB127" s="75"/>
      <c r="AC127" s="1290"/>
      <c r="AD127" s="78"/>
      <c r="AE127" s="78"/>
    </row>
    <row r="128" spans="1:31" s="81" customFormat="1" ht="20.100000000000001" customHeight="1">
      <c r="A128" s="168" t="s">
        <v>155</v>
      </c>
      <c r="B128" s="168" t="s">
        <v>9</v>
      </c>
      <c r="C128" s="168" t="s">
        <v>9</v>
      </c>
      <c r="D128" s="168" t="s">
        <v>4</v>
      </c>
      <c r="E128" s="168" t="s">
        <v>26</v>
      </c>
      <c r="F128" s="168" t="s">
        <v>1426</v>
      </c>
      <c r="G128" s="71">
        <v>44621</v>
      </c>
      <c r="H128" s="50" t="s">
        <v>4841</v>
      </c>
      <c r="I128" s="72">
        <v>12673</v>
      </c>
      <c r="J128" s="52">
        <v>22026</v>
      </c>
      <c r="K128" s="53" t="s">
        <v>1427</v>
      </c>
      <c r="L128" s="53" t="s">
        <v>4842</v>
      </c>
      <c r="M128" s="54" t="s">
        <v>1428</v>
      </c>
      <c r="N128" s="75">
        <v>10</v>
      </c>
      <c r="O128" s="73">
        <v>14</v>
      </c>
      <c r="P128" s="73">
        <v>12</v>
      </c>
      <c r="Q128" s="73">
        <v>1</v>
      </c>
      <c r="R128" s="73"/>
      <c r="S128" s="131">
        <v>37</v>
      </c>
      <c r="T128" s="75">
        <v>349</v>
      </c>
      <c r="U128" s="73">
        <v>183</v>
      </c>
      <c r="V128" s="73">
        <v>496</v>
      </c>
      <c r="W128" s="73">
        <v>253</v>
      </c>
      <c r="X128" s="73">
        <v>408</v>
      </c>
      <c r="Y128" s="73">
        <v>234</v>
      </c>
      <c r="Z128" s="132">
        <v>1253</v>
      </c>
      <c r="AA128" s="131">
        <v>670</v>
      </c>
      <c r="AB128" s="75">
        <v>7</v>
      </c>
      <c r="AC128" s="1290">
        <v>1</v>
      </c>
      <c r="AD128" s="78"/>
      <c r="AE128" s="78"/>
    </row>
    <row r="129" spans="1:31" s="81" customFormat="1" ht="17.100000000000001" customHeight="1">
      <c r="A129" s="167" t="s">
        <v>155</v>
      </c>
      <c r="B129" s="167" t="s">
        <v>9</v>
      </c>
      <c r="C129" s="168" t="s">
        <v>9</v>
      </c>
      <c r="D129" s="167" t="s">
        <v>4</v>
      </c>
      <c r="E129" s="167" t="s">
        <v>26</v>
      </c>
      <c r="F129" s="168" t="s">
        <v>1429</v>
      </c>
      <c r="G129" s="71">
        <v>35125</v>
      </c>
      <c r="H129" s="50" t="s">
        <v>4843</v>
      </c>
      <c r="I129" s="140">
        <v>11327</v>
      </c>
      <c r="J129" s="52">
        <v>21968</v>
      </c>
      <c r="K129" s="53" t="s">
        <v>1430</v>
      </c>
      <c r="L129" s="53" t="s">
        <v>1431</v>
      </c>
      <c r="M129" s="54" t="s">
        <v>1432</v>
      </c>
      <c r="N129" s="79">
        <v>10</v>
      </c>
      <c r="O129" s="78">
        <v>9</v>
      </c>
      <c r="P129" s="78">
        <v>10</v>
      </c>
      <c r="Q129" s="78">
        <v>2</v>
      </c>
      <c r="R129" s="78"/>
      <c r="S129" s="131">
        <v>31</v>
      </c>
      <c r="T129" s="79">
        <v>299</v>
      </c>
      <c r="U129" s="78">
        <v>147</v>
      </c>
      <c r="V129" s="78">
        <v>289</v>
      </c>
      <c r="W129" s="78">
        <v>132</v>
      </c>
      <c r="X129" s="78">
        <v>320</v>
      </c>
      <c r="Y129" s="78">
        <v>151</v>
      </c>
      <c r="Z129" s="132">
        <v>908</v>
      </c>
      <c r="AA129" s="131">
        <v>430</v>
      </c>
      <c r="AB129" s="79">
        <v>10</v>
      </c>
      <c r="AC129" s="1289">
        <v>3</v>
      </c>
      <c r="AD129" s="78"/>
      <c r="AE129" s="78"/>
    </row>
    <row r="130" spans="1:31" s="81" customFormat="1" ht="17.100000000000001" customHeight="1">
      <c r="A130" s="167" t="s">
        <v>155</v>
      </c>
      <c r="B130" s="167" t="s">
        <v>9</v>
      </c>
      <c r="C130" s="168" t="s">
        <v>9</v>
      </c>
      <c r="D130" s="167" t="s">
        <v>4</v>
      </c>
      <c r="E130" s="167" t="s">
        <v>26</v>
      </c>
      <c r="F130" s="168" t="s">
        <v>1433</v>
      </c>
      <c r="G130" s="71">
        <v>34759</v>
      </c>
      <c r="H130" s="50" t="s">
        <v>2195</v>
      </c>
      <c r="I130" s="77">
        <v>11391</v>
      </c>
      <c r="J130" s="52">
        <v>21915</v>
      </c>
      <c r="K130" s="53" t="s">
        <v>1434</v>
      </c>
      <c r="L130" s="53" t="s">
        <v>1435</v>
      </c>
      <c r="M130" s="54" t="s">
        <v>1436</v>
      </c>
      <c r="N130" s="79">
        <v>5</v>
      </c>
      <c r="O130" s="78">
        <v>4</v>
      </c>
      <c r="P130" s="78">
        <v>5</v>
      </c>
      <c r="Q130" s="78">
        <v>1</v>
      </c>
      <c r="R130" s="78">
        <v>3</v>
      </c>
      <c r="S130" s="131">
        <v>18</v>
      </c>
      <c r="T130" s="79">
        <v>81</v>
      </c>
      <c r="U130" s="78">
        <v>33</v>
      </c>
      <c r="V130" s="78">
        <v>76</v>
      </c>
      <c r="W130" s="78">
        <v>37</v>
      </c>
      <c r="X130" s="78">
        <v>97</v>
      </c>
      <c r="Y130" s="78">
        <v>38</v>
      </c>
      <c r="Z130" s="132">
        <v>254</v>
      </c>
      <c r="AA130" s="131">
        <v>108</v>
      </c>
      <c r="AB130" s="314">
        <v>5</v>
      </c>
      <c r="AC130" s="1292">
        <v>2</v>
      </c>
      <c r="AD130" s="78">
        <v>58</v>
      </c>
      <c r="AE130" s="78">
        <v>33</v>
      </c>
    </row>
    <row r="131" spans="1:31" s="81" customFormat="1" ht="17.100000000000001" customHeight="1">
      <c r="A131" s="167" t="s">
        <v>155</v>
      </c>
      <c r="B131" s="167" t="s">
        <v>9</v>
      </c>
      <c r="C131" s="168" t="s">
        <v>9</v>
      </c>
      <c r="D131" s="167" t="s">
        <v>4</v>
      </c>
      <c r="E131" s="167" t="s">
        <v>26</v>
      </c>
      <c r="F131" s="168" t="s">
        <v>1437</v>
      </c>
      <c r="G131" s="71">
        <v>37613</v>
      </c>
      <c r="H131" s="50" t="s">
        <v>1438</v>
      </c>
      <c r="I131" s="140">
        <v>14084</v>
      </c>
      <c r="J131" s="52">
        <v>21940</v>
      </c>
      <c r="K131" s="53" t="s">
        <v>4844</v>
      </c>
      <c r="L131" s="53" t="s">
        <v>1439</v>
      </c>
      <c r="M131" s="54" t="s">
        <v>1440</v>
      </c>
      <c r="N131" s="79">
        <v>3</v>
      </c>
      <c r="O131" s="78">
        <v>3</v>
      </c>
      <c r="P131" s="78">
        <v>4</v>
      </c>
      <c r="Q131" s="78">
        <v>2</v>
      </c>
      <c r="R131" s="78">
        <v>1</v>
      </c>
      <c r="S131" s="131">
        <v>13</v>
      </c>
      <c r="T131" s="79">
        <v>51</v>
      </c>
      <c r="U131" s="78">
        <v>18</v>
      </c>
      <c r="V131" s="78">
        <v>72</v>
      </c>
      <c r="W131" s="78">
        <v>31</v>
      </c>
      <c r="X131" s="78">
        <v>79</v>
      </c>
      <c r="Y131" s="78">
        <v>26</v>
      </c>
      <c r="Z131" s="132">
        <v>202</v>
      </c>
      <c r="AA131" s="131">
        <v>75</v>
      </c>
      <c r="AB131" s="314">
        <v>12</v>
      </c>
      <c r="AC131" s="1292"/>
      <c r="AD131" s="78"/>
      <c r="AE131" s="78"/>
    </row>
    <row r="132" spans="1:31" s="81" customFormat="1" ht="17.100000000000001" customHeight="1">
      <c r="A132" s="1625" t="s">
        <v>1441</v>
      </c>
      <c r="B132" s="1626"/>
      <c r="C132" s="1626"/>
      <c r="D132" s="1626"/>
      <c r="E132" s="179">
        <f>COUNTA(E113:E131)</f>
        <v>19</v>
      </c>
      <c r="F132" s="283"/>
      <c r="G132" s="284"/>
      <c r="H132" s="181"/>
      <c r="I132" s="318"/>
      <c r="J132" s="287"/>
      <c r="K132" s="285"/>
      <c r="L132" s="285"/>
      <c r="M132" s="319"/>
      <c r="N132" s="320">
        <f t="shared" ref="N132:U132" si="26">SUM(N113:N131)</f>
        <v>155</v>
      </c>
      <c r="O132" s="321">
        <f t="shared" si="26"/>
        <v>151</v>
      </c>
      <c r="P132" s="321">
        <f t="shared" si="26"/>
        <v>151</v>
      </c>
      <c r="Q132" s="321">
        <f t="shared" si="26"/>
        <v>26</v>
      </c>
      <c r="R132" s="321">
        <f t="shared" si="26"/>
        <v>11</v>
      </c>
      <c r="S132" s="291">
        <f t="shared" si="26"/>
        <v>494</v>
      </c>
      <c r="T132" s="322">
        <f t="shared" si="26"/>
        <v>4434</v>
      </c>
      <c r="U132" s="321">
        <f t="shared" si="26"/>
        <v>2177</v>
      </c>
      <c r="V132" s="321">
        <f t="shared" ref="V132:AE132" si="27">SUM(V113:V131)</f>
        <v>4705</v>
      </c>
      <c r="W132" s="321">
        <f t="shared" si="27"/>
        <v>2324</v>
      </c>
      <c r="X132" s="321">
        <f t="shared" si="27"/>
        <v>4490</v>
      </c>
      <c r="Y132" s="321">
        <f t="shared" si="27"/>
        <v>2253</v>
      </c>
      <c r="Z132" s="321">
        <f t="shared" si="27"/>
        <v>13629</v>
      </c>
      <c r="AA132" s="316">
        <f t="shared" si="27"/>
        <v>6754</v>
      </c>
      <c r="AB132" s="320">
        <f t="shared" si="27"/>
        <v>146</v>
      </c>
      <c r="AC132" s="321">
        <f t="shared" si="27"/>
        <v>47</v>
      </c>
      <c r="AD132" s="321">
        <f t="shared" si="27"/>
        <v>123</v>
      </c>
      <c r="AE132" s="321">
        <f t="shared" si="27"/>
        <v>64</v>
      </c>
    </row>
    <row r="133" spans="1:31" s="81" customFormat="1" ht="17.100000000000001" customHeight="1">
      <c r="A133" s="168" t="s">
        <v>155</v>
      </c>
      <c r="B133" s="168" t="s">
        <v>9</v>
      </c>
      <c r="C133" s="168" t="s">
        <v>9</v>
      </c>
      <c r="D133" s="168" t="s">
        <v>5</v>
      </c>
      <c r="E133" s="168" t="s">
        <v>26</v>
      </c>
      <c r="F133" s="168" t="s">
        <v>1442</v>
      </c>
      <c r="G133" s="71">
        <v>14749</v>
      </c>
      <c r="H133" s="50" t="s">
        <v>4815</v>
      </c>
      <c r="I133" s="72">
        <v>12957</v>
      </c>
      <c r="J133" s="52">
        <v>21982</v>
      </c>
      <c r="K133" s="53" t="s">
        <v>1443</v>
      </c>
      <c r="L133" s="53" t="s">
        <v>1454</v>
      </c>
      <c r="M133" s="54" t="s">
        <v>1444</v>
      </c>
      <c r="N133" s="75">
        <v>8</v>
      </c>
      <c r="O133" s="73">
        <v>8</v>
      </c>
      <c r="P133" s="73">
        <v>8</v>
      </c>
      <c r="Q133" s="73">
        <v>1</v>
      </c>
      <c r="R133" s="73"/>
      <c r="S133" s="131">
        <f t="shared" ref="S133" si="28">SUM(N133:R133)</f>
        <v>25</v>
      </c>
      <c r="T133" s="75">
        <v>261</v>
      </c>
      <c r="U133" s="73">
        <v>130</v>
      </c>
      <c r="V133" s="73">
        <v>275</v>
      </c>
      <c r="W133" s="73">
        <v>136</v>
      </c>
      <c r="X133" s="73">
        <v>230</v>
      </c>
      <c r="Y133" s="73">
        <v>118</v>
      </c>
      <c r="Z133" s="132">
        <f t="shared" ref="Z133:AA133" si="29">T133+V133+X133</f>
        <v>766</v>
      </c>
      <c r="AA133" s="131">
        <f t="shared" si="29"/>
        <v>384</v>
      </c>
      <c r="AB133" s="311">
        <v>5</v>
      </c>
      <c r="AC133" s="162">
        <v>4</v>
      </c>
      <c r="AD133" s="73"/>
      <c r="AE133" s="74"/>
    </row>
    <row r="134" spans="1:31" s="81" customFormat="1" ht="17.100000000000001" customHeight="1">
      <c r="A134" s="1681" t="s">
        <v>1445</v>
      </c>
      <c r="B134" s="1682"/>
      <c r="C134" s="1682"/>
      <c r="D134" s="1683"/>
      <c r="E134" s="188">
        <f>COUNTA(E133:E133)</f>
        <v>1</v>
      </c>
      <c r="F134" s="292"/>
      <c r="G134" s="293"/>
      <c r="H134" s="190"/>
      <c r="I134" s="295"/>
      <c r="J134" s="296"/>
      <c r="K134" s="294"/>
      <c r="L134" s="294"/>
      <c r="M134" s="325"/>
      <c r="N134" s="298">
        <f t="shared" ref="N134:AE134" si="30">N133</f>
        <v>8</v>
      </c>
      <c r="O134" s="299">
        <f t="shared" si="30"/>
        <v>8</v>
      </c>
      <c r="P134" s="299">
        <f t="shared" si="30"/>
        <v>8</v>
      </c>
      <c r="Q134" s="299">
        <f t="shared" si="30"/>
        <v>1</v>
      </c>
      <c r="R134" s="299">
        <f t="shared" si="30"/>
        <v>0</v>
      </c>
      <c r="S134" s="300">
        <f t="shared" si="30"/>
        <v>25</v>
      </c>
      <c r="T134" s="326">
        <f t="shared" si="30"/>
        <v>261</v>
      </c>
      <c r="U134" s="299">
        <f t="shared" si="30"/>
        <v>130</v>
      </c>
      <c r="V134" s="299">
        <f t="shared" si="30"/>
        <v>275</v>
      </c>
      <c r="W134" s="299">
        <f t="shared" si="30"/>
        <v>136</v>
      </c>
      <c r="X134" s="299">
        <f t="shared" si="30"/>
        <v>230</v>
      </c>
      <c r="Y134" s="299">
        <f t="shared" si="30"/>
        <v>118</v>
      </c>
      <c r="Z134" s="299">
        <f t="shared" si="30"/>
        <v>766</v>
      </c>
      <c r="AA134" s="327">
        <f t="shared" si="30"/>
        <v>384</v>
      </c>
      <c r="AB134" s="298">
        <f t="shared" si="30"/>
        <v>5</v>
      </c>
      <c r="AC134" s="299">
        <f t="shared" si="30"/>
        <v>4</v>
      </c>
      <c r="AD134" s="299">
        <f t="shared" si="30"/>
        <v>0</v>
      </c>
      <c r="AE134" s="299">
        <f t="shared" si="30"/>
        <v>0</v>
      </c>
    </row>
    <row r="135" spans="1:31" s="81" customFormat="1" ht="17.100000000000001" customHeight="1">
      <c r="A135" s="1660" t="s">
        <v>431</v>
      </c>
      <c r="B135" s="1661"/>
      <c r="C135" s="1661"/>
      <c r="D135" s="1661"/>
      <c r="E135" s="1662"/>
      <c r="F135" s="281">
        <f>E132+E134</f>
        <v>20</v>
      </c>
      <c r="G135" s="302"/>
      <c r="H135" s="222"/>
      <c r="I135" s="304"/>
      <c r="J135" s="305"/>
      <c r="K135" s="303"/>
      <c r="L135" s="303"/>
      <c r="M135" s="323"/>
      <c r="N135" s="307">
        <f t="shared" ref="N135:AE135" si="31">N132+N134</f>
        <v>163</v>
      </c>
      <c r="O135" s="308">
        <f t="shared" si="31"/>
        <v>159</v>
      </c>
      <c r="P135" s="308">
        <f t="shared" si="31"/>
        <v>159</v>
      </c>
      <c r="Q135" s="308">
        <f t="shared" si="31"/>
        <v>27</v>
      </c>
      <c r="R135" s="308">
        <f t="shared" si="31"/>
        <v>11</v>
      </c>
      <c r="S135" s="309">
        <f t="shared" si="31"/>
        <v>519</v>
      </c>
      <c r="T135" s="324">
        <f t="shared" si="31"/>
        <v>4695</v>
      </c>
      <c r="U135" s="308">
        <f t="shared" si="31"/>
        <v>2307</v>
      </c>
      <c r="V135" s="308">
        <f t="shared" si="31"/>
        <v>4980</v>
      </c>
      <c r="W135" s="308">
        <f t="shared" si="31"/>
        <v>2460</v>
      </c>
      <c r="X135" s="308">
        <f t="shared" si="31"/>
        <v>4720</v>
      </c>
      <c r="Y135" s="308">
        <f t="shared" si="31"/>
        <v>2371</v>
      </c>
      <c r="Z135" s="308">
        <f t="shared" si="31"/>
        <v>14395</v>
      </c>
      <c r="AA135" s="313">
        <f t="shared" si="31"/>
        <v>7138</v>
      </c>
      <c r="AB135" s="307">
        <f t="shared" si="31"/>
        <v>151</v>
      </c>
      <c r="AC135" s="308">
        <f t="shared" si="31"/>
        <v>51</v>
      </c>
      <c r="AD135" s="1301">
        <f t="shared" si="31"/>
        <v>123</v>
      </c>
      <c r="AE135" s="1301">
        <f t="shared" si="31"/>
        <v>64</v>
      </c>
    </row>
    <row r="136" spans="1:31" s="81" customFormat="1" ht="17.100000000000001" customHeight="1">
      <c r="A136" s="168" t="s">
        <v>156</v>
      </c>
      <c r="B136" s="168" t="s">
        <v>142</v>
      </c>
      <c r="C136" s="168" t="s">
        <v>142</v>
      </c>
      <c r="D136" s="168" t="s">
        <v>4</v>
      </c>
      <c r="E136" s="168" t="s">
        <v>24</v>
      </c>
      <c r="F136" s="168" t="s">
        <v>680</v>
      </c>
      <c r="G136" s="71">
        <v>31472</v>
      </c>
      <c r="H136" s="50" t="s">
        <v>701</v>
      </c>
      <c r="I136" s="312">
        <v>14238</v>
      </c>
      <c r="J136" s="52">
        <v>22822</v>
      </c>
      <c r="K136" s="53" t="s">
        <v>700</v>
      </c>
      <c r="L136" s="53" t="s">
        <v>681</v>
      </c>
      <c r="M136" s="54" t="s">
        <v>682</v>
      </c>
      <c r="N136" s="311">
        <v>3</v>
      </c>
      <c r="O136" s="162">
        <v>3</v>
      </c>
      <c r="P136" s="162">
        <v>4</v>
      </c>
      <c r="Q136" s="162"/>
      <c r="R136" s="162"/>
      <c r="S136" s="137">
        <f t="shared" ref="S136:S164" si="32">SUM(N136:R136)</f>
        <v>10</v>
      </c>
      <c r="T136" s="311">
        <v>40</v>
      </c>
      <c r="U136" s="162">
        <v>40</v>
      </c>
      <c r="V136" s="162">
        <v>49</v>
      </c>
      <c r="W136" s="162">
        <v>49</v>
      </c>
      <c r="X136" s="162">
        <v>84</v>
      </c>
      <c r="Y136" s="162">
        <v>84</v>
      </c>
      <c r="Z136" s="138">
        <f t="shared" ref="Z136:AA164" si="33">T136+V136+X136</f>
        <v>173</v>
      </c>
      <c r="AA136" s="137">
        <f t="shared" si="33"/>
        <v>173</v>
      </c>
      <c r="AB136" s="311"/>
      <c r="AC136" s="1291"/>
      <c r="AD136" s="169"/>
      <c r="AE136" s="169"/>
    </row>
    <row r="137" spans="1:31" s="81" customFormat="1" ht="17.100000000000001" customHeight="1">
      <c r="A137" s="168" t="s">
        <v>156</v>
      </c>
      <c r="B137" s="168" t="s">
        <v>142</v>
      </c>
      <c r="C137" s="168" t="s">
        <v>142</v>
      </c>
      <c r="D137" s="168" t="s">
        <v>4</v>
      </c>
      <c r="E137" s="168" t="s">
        <v>144</v>
      </c>
      <c r="F137" s="168" t="s">
        <v>2101</v>
      </c>
      <c r="G137" s="71">
        <v>30742</v>
      </c>
      <c r="H137" s="50" t="s">
        <v>2102</v>
      </c>
      <c r="I137" s="72">
        <v>15800</v>
      </c>
      <c r="J137" s="52">
        <v>22816</v>
      </c>
      <c r="K137" s="53" t="s">
        <v>2103</v>
      </c>
      <c r="L137" s="53" t="s">
        <v>2104</v>
      </c>
      <c r="M137" s="54" t="s">
        <v>2105</v>
      </c>
      <c r="N137" s="311">
        <v>4</v>
      </c>
      <c r="O137" s="162">
        <v>5</v>
      </c>
      <c r="P137" s="162">
        <v>5</v>
      </c>
      <c r="Q137" s="162">
        <v>2</v>
      </c>
      <c r="R137" s="162"/>
      <c r="S137" s="137">
        <f t="shared" si="32"/>
        <v>16</v>
      </c>
      <c r="T137" s="311">
        <v>101</v>
      </c>
      <c r="U137" s="162"/>
      <c r="V137" s="162">
        <v>135</v>
      </c>
      <c r="W137" s="162"/>
      <c r="X137" s="162">
        <v>110</v>
      </c>
      <c r="Y137" s="162"/>
      <c r="Z137" s="138">
        <f t="shared" si="33"/>
        <v>346</v>
      </c>
      <c r="AA137" s="137">
        <f t="shared" si="33"/>
        <v>0</v>
      </c>
      <c r="AB137" s="311">
        <v>10</v>
      </c>
      <c r="AC137" s="1291"/>
      <c r="AD137" s="169"/>
      <c r="AE137" s="169"/>
    </row>
    <row r="138" spans="1:31" s="81" customFormat="1" ht="17.100000000000001" customHeight="1">
      <c r="A138" s="168" t="s">
        <v>156</v>
      </c>
      <c r="B138" s="168" t="s">
        <v>142</v>
      </c>
      <c r="C138" s="168" t="s">
        <v>142</v>
      </c>
      <c r="D138" s="168" t="s">
        <v>4</v>
      </c>
      <c r="E138" s="168" t="s">
        <v>26</v>
      </c>
      <c r="F138" s="168" t="s">
        <v>2106</v>
      </c>
      <c r="G138" s="71">
        <v>38047</v>
      </c>
      <c r="H138" s="50" t="s">
        <v>2107</v>
      </c>
      <c r="I138" s="77">
        <v>12307</v>
      </c>
      <c r="J138" s="52">
        <v>22696</v>
      </c>
      <c r="K138" s="53" t="s">
        <v>683</v>
      </c>
      <c r="L138" s="53" t="s">
        <v>684</v>
      </c>
      <c r="M138" s="317" t="s">
        <v>685</v>
      </c>
      <c r="N138" s="311">
        <v>10</v>
      </c>
      <c r="O138" s="162">
        <v>11</v>
      </c>
      <c r="P138" s="162">
        <v>11</v>
      </c>
      <c r="Q138" s="162">
        <v>2</v>
      </c>
      <c r="R138" s="162"/>
      <c r="S138" s="137">
        <f t="shared" si="32"/>
        <v>34</v>
      </c>
      <c r="T138" s="311">
        <v>267</v>
      </c>
      <c r="U138" s="162">
        <v>140</v>
      </c>
      <c r="V138" s="162">
        <v>338</v>
      </c>
      <c r="W138" s="162">
        <v>186</v>
      </c>
      <c r="X138" s="162">
        <v>365</v>
      </c>
      <c r="Y138" s="162">
        <v>211</v>
      </c>
      <c r="Z138" s="138">
        <f t="shared" si="33"/>
        <v>970</v>
      </c>
      <c r="AA138" s="137">
        <f t="shared" si="33"/>
        <v>537</v>
      </c>
      <c r="AB138" s="311">
        <v>12</v>
      </c>
      <c r="AC138" s="1291">
        <v>6</v>
      </c>
      <c r="AD138" s="169"/>
      <c r="AE138" s="169"/>
    </row>
    <row r="139" spans="1:31" s="81" customFormat="1" ht="17.100000000000001" customHeight="1">
      <c r="A139" s="168" t="s">
        <v>156</v>
      </c>
      <c r="B139" s="168" t="s">
        <v>142</v>
      </c>
      <c r="C139" s="168" t="s">
        <v>2824</v>
      </c>
      <c r="D139" s="168" t="s">
        <v>4</v>
      </c>
      <c r="E139" s="168" t="s">
        <v>26</v>
      </c>
      <c r="F139" s="168" t="s">
        <v>4845</v>
      </c>
      <c r="G139" s="71">
        <v>25629</v>
      </c>
      <c r="H139" s="50" t="s">
        <v>4846</v>
      </c>
      <c r="I139" s="72">
        <v>19268</v>
      </c>
      <c r="J139" s="52">
        <v>22617</v>
      </c>
      <c r="K139" s="53" t="s">
        <v>4847</v>
      </c>
      <c r="L139" s="53" t="s">
        <v>4848</v>
      </c>
      <c r="M139" s="54" t="s">
        <v>4849</v>
      </c>
      <c r="N139" s="311">
        <v>10</v>
      </c>
      <c r="O139" s="162">
        <v>10</v>
      </c>
      <c r="P139" s="162">
        <v>10</v>
      </c>
      <c r="Q139" s="162">
        <v>2</v>
      </c>
      <c r="R139" s="162"/>
      <c r="S139" s="137">
        <f t="shared" si="32"/>
        <v>32</v>
      </c>
      <c r="T139" s="311">
        <v>207</v>
      </c>
      <c r="U139" s="162">
        <v>120</v>
      </c>
      <c r="V139" s="162">
        <v>295</v>
      </c>
      <c r="W139" s="162">
        <v>141</v>
      </c>
      <c r="X139" s="162">
        <v>312</v>
      </c>
      <c r="Y139" s="162">
        <v>147</v>
      </c>
      <c r="Z139" s="138">
        <f t="shared" si="33"/>
        <v>814</v>
      </c>
      <c r="AA139" s="137">
        <f t="shared" si="33"/>
        <v>408</v>
      </c>
      <c r="AB139" s="311">
        <v>10</v>
      </c>
      <c r="AC139" s="1291">
        <v>3</v>
      </c>
      <c r="AD139" s="169"/>
      <c r="AE139" s="169"/>
    </row>
    <row r="140" spans="1:31" s="81" customFormat="1" ht="17.100000000000001" customHeight="1">
      <c r="A140" s="168" t="s">
        <v>156</v>
      </c>
      <c r="B140" s="168" t="s">
        <v>142</v>
      </c>
      <c r="C140" s="168" t="s">
        <v>142</v>
      </c>
      <c r="D140" s="168" t="s">
        <v>4</v>
      </c>
      <c r="E140" s="168" t="s">
        <v>26</v>
      </c>
      <c r="F140" s="168" t="s">
        <v>2108</v>
      </c>
      <c r="G140" s="71">
        <v>36951</v>
      </c>
      <c r="H140" s="50" t="s">
        <v>2109</v>
      </c>
      <c r="I140" s="312">
        <v>10535</v>
      </c>
      <c r="J140" s="52">
        <v>22704</v>
      </c>
      <c r="K140" s="53" t="s">
        <v>2110</v>
      </c>
      <c r="L140" s="53" t="s">
        <v>2110</v>
      </c>
      <c r="M140" s="54" t="s">
        <v>2111</v>
      </c>
      <c r="N140" s="311">
        <v>6</v>
      </c>
      <c r="O140" s="162">
        <v>4</v>
      </c>
      <c r="P140" s="162">
        <v>3</v>
      </c>
      <c r="Q140" s="162">
        <v>1</v>
      </c>
      <c r="R140" s="162">
        <v>0</v>
      </c>
      <c r="S140" s="137">
        <f t="shared" si="32"/>
        <v>14</v>
      </c>
      <c r="T140" s="311">
        <v>185</v>
      </c>
      <c r="U140" s="162">
        <v>85</v>
      </c>
      <c r="V140" s="162">
        <v>114</v>
      </c>
      <c r="W140" s="162">
        <v>0</v>
      </c>
      <c r="X140" s="162">
        <v>73</v>
      </c>
      <c r="Y140" s="162">
        <v>0</v>
      </c>
      <c r="Z140" s="138">
        <f t="shared" si="33"/>
        <v>372</v>
      </c>
      <c r="AA140" s="137">
        <f t="shared" si="33"/>
        <v>85</v>
      </c>
      <c r="AB140" s="311">
        <v>8</v>
      </c>
      <c r="AC140" s="1291">
        <v>0</v>
      </c>
      <c r="AD140" s="169">
        <v>0</v>
      </c>
      <c r="AE140" s="169">
        <v>0</v>
      </c>
    </row>
    <row r="141" spans="1:31" s="81" customFormat="1" ht="17.100000000000001" customHeight="1">
      <c r="A141" s="168" t="s">
        <v>156</v>
      </c>
      <c r="B141" s="168" t="s">
        <v>142</v>
      </c>
      <c r="C141" s="168" t="s">
        <v>142</v>
      </c>
      <c r="D141" s="168" t="s">
        <v>4</v>
      </c>
      <c r="E141" s="168" t="s">
        <v>24</v>
      </c>
      <c r="F141" s="168" t="s">
        <v>2112</v>
      </c>
      <c r="G141" s="71">
        <v>28559</v>
      </c>
      <c r="H141" s="50" t="s">
        <v>2113</v>
      </c>
      <c r="I141" s="72">
        <v>22161</v>
      </c>
      <c r="J141" s="52">
        <v>22811</v>
      </c>
      <c r="K141" s="53" t="s">
        <v>2114</v>
      </c>
      <c r="L141" s="53" t="s">
        <v>2115</v>
      </c>
      <c r="M141" s="54" t="s">
        <v>2116</v>
      </c>
      <c r="N141" s="311">
        <v>4</v>
      </c>
      <c r="O141" s="162">
        <v>4</v>
      </c>
      <c r="P141" s="162">
        <v>4</v>
      </c>
      <c r="Q141" s="162">
        <v>1</v>
      </c>
      <c r="R141" s="162">
        <v>0</v>
      </c>
      <c r="S141" s="137">
        <f t="shared" si="32"/>
        <v>13</v>
      </c>
      <c r="T141" s="311">
        <v>119</v>
      </c>
      <c r="U141" s="162">
        <v>119</v>
      </c>
      <c r="V141" s="162">
        <v>90</v>
      </c>
      <c r="W141" s="162">
        <v>90</v>
      </c>
      <c r="X141" s="162">
        <v>100</v>
      </c>
      <c r="Y141" s="162">
        <v>100</v>
      </c>
      <c r="Z141" s="138">
        <f t="shared" si="33"/>
        <v>309</v>
      </c>
      <c r="AA141" s="137">
        <f t="shared" si="33"/>
        <v>309</v>
      </c>
      <c r="AB141" s="311">
        <v>4</v>
      </c>
      <c r="AC141" s="1291">
        <v>6</v>
      </c>
      <c r="AD141" s="169">
        <v>0</v>
      </c>
      <c r="AE141" s="169">
        <v>0</v>
      </c>
    </row>
    <row r="142" spans="1:31" s="81" customFormat="1" ht="17.100000000000001" customHeight="1">
      <c r="A142" s="168" t="s">
        <v>156</v>
      </c>
      <c r="B142" s="168" t="s">
        <v>142</v>
      </c>
      <c r="C142" s="168" t="s">
        <v>2824</v>
      </c>
      <c r="D142" s="168" t="s">
        <v>4</v>
      </c>
      <c r="E142" s="168" t="s">
        <v>26</v>
      </c>
      <c r="F142" s="168" t="s">
        <v>2117</v>
      </c>
      <c r="G142" s="71">
        <v>38412</v>
      </c>
      <c r="H142" s="50" t="s">
        <v>2118</v>
      </c>
      <c r="I142" s="140">
        <v>13782</v>
      </c>
      <c r="J142" s="52">
        <v>22638</v>
      </c>
      <c r="K142" s="53" t="s">
        <v>2119</v>
      </c>
      <c r="L142" s="53" t="s">
        <v>2120</v>
      </c>
      <c r="M142" s="317" t="s">
        <v>2121</v>
      </c>
      <c r="N142" s="311">
        <v>13</v>
      </c>
      <c r="O142" s="162">
        <v>13</v>
      </c>
      <c r="P142" s="162">
        <v>14</v>
      </c>
      <c r="Q142" s="162">
        <v>2</v>
      </c>
      <c r="R142" s="162"/>
      <c r="S142" s="137">
        <f t="shared" si="32"/>
        <v>42</v>
      </c>
      <c r="T142" s="311">
        <v>357</v>
      </c>
      <c r="U142" s="162">
        <v>149</v>
      </c>
      <c r="V142" s="162">
        <v>363</v>
      </c>
      <c r="W142" s="162">
        <v>172</v>
      </c>
      <c r="X142" s="162">
        <v>421</v>
      </c>
      <c r="Y142" s="162">
        <v>205</v>
      </c>
      <c r="Z142" s="138">
        <f t="shared" si="33"/>
        <v>1141</v>
      </c>
      <c r="AA142" s="137">
        <f t="shared" si="33"/>
        <v>526</v>
      </c>
      <c r="AB142" s="311">
        <v>12</v>
      </c>
      <c r="AC142" s="1291">
        <v>10</v>
      </c>
      <c r="AD142" s="169"/>
      <c r="AE142" s="169"/>
    </row>
    <row r="143" spans="1:31" s="81" customFormat="1" ht="17.100000000000001" customHeight="1">
      <c r="A143" s="167" t="s">
        <v>156</v>
      </c>
      <c r="B143" s="167" t="s">
        <v>142</v>
      </c>
      <c r="C143" s="168" t="s">
        <v>2824</v>
      </c>
      <c r="D143" s="168" t="s">
        <v>4</v>
      </c>
      <c r="E143" s="168" t="s">
        <v>26</v>
      </c>
      <c r="F143" s="168" t="s">
        <v>2122</v>
      </c>
      <c r="G143" s="71">
        <v>36220</v>
      </c>
      <c r="H143" s="50" t="s">
        <v>2123</v>
      </c>
      <c r="I143" s="77">
        <v>11241</v>
      </c>
      <c r="J143" s="52">
        <v>22687</v>
      </c>
      <c r="K143" s="53" t="s">
        <v>2124</v>
      </c>
      <c r="L143" s="53" t="s">
        <v>2125</v>
      </c>
      <c r="M143" s="54" t="s">
        <v>2126</v>
      </c>
      <c r="N143" s="311">
        <v>6</v>
      </c>
      <c r="O143" s="162">
        <v>7</v>
      </c>
      <c r="P143" s="162">
        <v>7</v>
      </c>
      <c r="Q143" s="162">
        <v>1</v>
      </c>
      <c r="R143" s="162"/>
      <c r="S143" s="137">
        <f t="shared" si="32"/>
        <v>21</v>
      </c>
      <c r="T143" s="311">
        <v>112</v>
      </c>
      <c r="U143" s="162">
        <v>59</v>
      </c>
      <c r="V143" s="162">
        <v>152</v>
      </c>
      <c r="W143" s="162">
        <v>78</v>
      </c>
      <c r="X143" s="162">
        <v>148</v>
      </c>
      <c r="Y143" s="162">
        <v>74</v>
      </c>
      <c r="Z143" s="138">
        <f t="shared" si="33"/>
        <v>412</v>
      </c>
      <c r="AA143" s="137">
        <f t="shared" si="33"/>
        <v>211</v>
      </c>
      <c r="AB143" s="311">
        <v>5</v>
      </c>
      <c r="AC143" s="1291"/>
      <c r="AD143" s="169"/>
      <c r="AE143" s="169"/>
    </row>
    <row r="144" spans="1:31" s="81" customFormat="1" ht="17.100000000000001" customHeight="1">
      <c r="A144" s="168" t="s">
        <v>156</v>
      </c>
      <c r="B144" s="168" t="s">
        <v>142</v>
      </c>
      <c r="C144" s="168" t="s">
        <v>2824</v>
      </c>
      <c r="D144" s="168" t="s">
        <v>4</v>
      </c>
      <c r="E144" s="168" t="s">
        <v>26</v>
      </c>
      <c r="F144" s="168" t="s">
        <v>2127</v>
      </c>
      <c r="G144" s="71">
        <v>37317</v>
      </c>
      <c r="H144" s="50" t="s">
        <v>4850</v>
      </c>
      <c r="I144" s="72">
        <v>12363</v>
      </c>
      <c r="J144" s="52">
        <v>22628</v>
      </c>
      <c r="K144" s="53" t="s">
        <v>2128</v>
      </c>
      <c r="L144" s="53" t="s">
        <v>2129</v>
      </c>
      <c r="M144" s="54" t="s">
        <v>2130</v>
      </c>
      <c r="N144" s="311">
        <v>11</v>
      </c>
      <c r="O144" s="162">
        <v>11</v>
      </c>
      <c r="P144" s="162">
        <v>11</v>
      </c>
      <c r="Q144" s="162">
        <v>2</v>
      </c>
      <c r="R144" s="162">
        <v>0</v>
      </c>
      <c r="S144" s="137">
        <f t="shared" si="32"/>
        <v>35</v>
      </c>
      <c r="T144" s="311">
        <v>183</v>
      </c>
      <c r="U144" s="162">
        <v>108</v>
      </c>
      <c r="V144" s="162">
        <v>283</v>
      </c>
      <c r="W144" s="162">
        <v>128</v>
      </c>
      <c r="X144" s="162">
        <v>278</v>
      </c>
      <c r="Y144" s="162">
        <v>130</v>
      </c>
      <c r="Z144" s="138">
        <f t="shared" si="33"/>
        <v>744</v>
      </c>
      <c r="AA144" s="137">
        <f t="shared" si="33"/>
        <v>366</v>
      </c>
      <c r="AB144" s="311">
        <v>11</v>
      </c>
      <c r="AC144" s="1291">
        <v>5</v>
      </c>
      <c r="AD144" s="169">
        <v>0</v>
      </c>
      <c r="AE144" s="169">
        <v>0</v>
      </c>
    </row>
    <row r="145" spans="1:31" s="81" customFormat="1" ht="17.100000000000001" customHeight="1">
      <c r="A145" s="168" t="s">
        <v>156</v>
      </c>
      <c r="B145" s="168" t="s">
        <v>142</v>
      </c>
      <c r="C145" s="168" t="s">
        <v>142</v>
      </c>
      <c r="D145" s="168" t="s">
        <v>4</v>
      </c>
      <c r="E145" s="168" t="s">
        <v>26</v>
      </c>
      <c r="F145" s="168" t="s">
        <v>2131</v>
      </c>
      <c r="G145" s="71">
        <v>35125</v>
      </c>
      <c r="H145" s="50" t="s">
        <v>4851</v>
      </c>
      <c r="I145" s="72">
        <v>11523</v>
      </c>
      <c r="J145" s="52">
        <v>22718</v>
      </c>
      <c r="K145" s="53" t="s">
        <v>4852</v>
      </c>
      <c r="L145" s="53" t="s">
        <v>4853</v>
      </c>
      <c r="M145" s="54" t="s">
        <v>4854</v>
      </c>
      <c r="N145" s="311">
        <v>6</v>
      </c>
      <c r="O145" s="162">
        <v>7</v>
      </c>
      <c r="P145" s="162">
        <v>7</v>
      </c>
      <c r="Q145" s="162">
        <v>2</v>
      </c>
      <c r="R145" s="162">
        <v>0</v>
      </c>
      <c r="S145" s="137">
        <f t="shared" si="32"/>
        <v>22</v>
      </c>
      <c r="T145" s="311">
        <v>139</v>
      </c>
      <c r="U145" s="162">
        <v>60</v>
      </c>
      <c r="V145" s="162">
        <v>178</v>
      </c>
      <c r="W145" s="162">
        <v>83</v>
      </c>
      <c r="X145" s="162">
        <v>173</v>
      </c>
      <c r="Y145" s="162">
        <v>88</v>
      </c>
      <c r="Z145" s="138">
        <f t="shared" si="33"/>
        <v>490</v>
      </c>
      <c r="AA145" s="137">
        <f t="shared" si="33"/>
        <v>231</v>
      </c>
      <c r="AB145" s="311">
        <v>13</v>
      </c>
      <c r="AC145" s="1291">
        <v>3</v>
      </c>
      <c r="AD145" s="169">
        <v>0</v>
      </c>
      <c r="AE145" s="169">
        <v>0</v>
      </c>
    </row>
    <row r="146" spans="1:31" s="81" customFormat="1" ht="17.100000000000001" customHeight="1">
      <c r="A146" s="168" t="s">
        <v>156</v>
      </c>
      <c r="B146" s="168" t="s">
        <v>142</v>
      </c>
      <c r="C146" s="168" t="s">
        <v>142</v>
      </c>
      <c r="D146" s="168" t="s">
        <v>4</v>
      </c>
      <c r="E146" s="168" t="s">
        <v>24</v>
      </c>
      <c r="F146" s="168" t="s">
        <v>686</v>
      </c>
      <c r="G146" s="71">
        <v>34029</v>
      </c>
      <c r="H146" s="50" t="s">
        <v>4855</v>
      </c>
      <c r="I146" s="72">
        <v>14458</v>
      </c>
      <c r="J146" s="52">
        <v>22779</v>
      </c>
      <c r="K146" s="53" t="s">
        <v>687</v>
      </c>
      <c r="L146" s="53" t="s">
        <v>688</v>
      </c>
      <c r="M146" s="54" t="s">
        <v>689</v>
      </c>
      <c r="N146" s="311">
        <v>7</v>
      </c>
      <c r="O146" s="162">
        <v>8</v>
      </c>
      <c r="P146" s="162">
        <v>5</v>
      </c>
      <c r="Q146" s="162">
        <v>1</v>
      </c>
      <c r="R146" s="162">
        <v>0</v>
      </c>
      <c r="S146" s="137">
        <f t="shared" si="32"/>
        <v>21</v>
      </c>
      <c r="T146" s="311">
        <v>155</v>
      </c>
      <c r="U146" s="162">
        <v>155</v>
      </c>
      <c r="V146" s="162">
        <v>228</v>
      </c>
      <c r="W146" s="162">
        <v>228</v>
      </c>
      <c r="X146" s="162">
        <v>105</v>
      </c>
      <c r="Y146" s="162">
        <v>105</v>
      </c>
      <c r="Z146" s="138">
        <f t="shared" si="33"/>
        <v>488</v>
      </c>
      <c r="AA146" s="137">
        <f t="shared" si="33"/>
        <v>488</v>
      </c>
      <c r="AB146" s="311">
        <v>6</v>
      </c>
      <c r="AC146" s="1291">
        <v>6</v>
      </c>
      <c r="AD146" s="169">
        <v>0</v>
      </c>
      <c r="AE146" s="169">
        <v>0</v>
      </c>
    </row>
    <row r="147" spans="1:31" s="81" customFormat="1" ht="17.100000000000001" customHeight="1">
      <c r="A147" s="168" t="s">
        <v>156</v>
      </c>
      <c r="B147" s="168" t="s">
        <v>142</v>
      </c>
      <c r="C147" s="168" t="s">
        <v>142</v>
      </c>
      <c r="D147" s="168" t="s">
        <v>4</v>
      </c>
      <c r="E147" s="168" t="s">
        <v>144</v>
      </c>
      <c r="F147" s="168" t="s">
        <v>4856</v>
      </c>
      <c r="G147" s="71">
        <v>32934</v>
      </c>
      <c r="H147" s="50" t="s">
        <v>702</v>
      </c>
      <c r="I147" s="312">
        <v>11493</v>
      </c>
      <c r="J147" s="52">
        <v>22779</v>
      </c>
      <c r="K147" s="53" t="s">
        <v>690</v>
      </c>
      <c r="L147" s="53" t="s">
        <v>691</v>
      </c>
      <c r="M147" s="54" t="s">
        <v>692</v>
      </c>
      <c r="N147" s="311">
        <v>6</v>
      </c>
      <c r="O147" s="162">
        <v>6</v>
      </c>
      <c r="P147" s="162">
        <v>4</v>
      </c>
      <c r="Q147" s="162">
        <v>2</v>
      </c>
      <c r="R147" s="162"/>
      <c r="S147" s="137">
        <f t="shared" si="32"/>
        <v>18</v>
      </c>
      <c r="T147" s="311">
        <v>116</v>
      </c>
      <c r="U147" s="162"/>
      <c r="V147" s="162">
        <v>170</v>
      </c>
      <c r="W147" s="162"/>
      <c r="X147" s="162">
        <v>88</v>
      </c>
      <c r="Y147" s="162"/>
      <c r="Z147" s="138">
        <f t="shared" si="33"/>
        <v>374</v>
      </c>
      <c r="AA147" s="137">
        <f t="shared" si="33"/>
        <v>0</v>
      </c>
      <c r="AB147" s="311">
        <v>9</v>
      </c>
      <c r="AC147" s="1291"/>
      <c r="AD147" s="169">
        <v>0</v>
      </c>
      <c r="AE147" s="169"/>
    </row>
    <row r="148" spans="1:31" s="81" customFormat="1" ht="17.100000000000001" customHeight="1">
      <c r="A148" s="168" t="s">
        <v>2132</v>
      </c>
      <c r="B148" s="168" t="s">
        <v>142</v>
      </c>
      <c r="C148" s="168" t="s">
        <v>2824</v>
      </c>
      <c r="D148" s="168" t="s">
        <v>4</v>
      </c>
      <c r="E148" s="168" t="s">
        <v>26</v>
      </c>
      <c r="F148" s="168" t="s">
        <v>2133</v>
      </c>
      <c r="G148" s="71">
        <v>38412</v>
      </c>
      <c r="H148" s="50" t="s">
        <v>4857</v>
      </c>
      <c r="I148" s="72">
        <v>11379</v>
      </c>
      <c r="J148" s="52">
        <v>22625</v>
      </c>
      <c r="K148" s="53" t="s">
        <v>2134</v>
      </c>
      <c r="L148" s="53" t="s">
        <v>2135</v>
      </c>
      <c r="M148" s="54" t="s">
        <v>2136</v>
      </c>
      <c r="N148" s="311">
        <v>11</v>
      </c>
      <c r="O148" s="162">
        <v>12</v>
      </c>
      <c r="P148" s="162">
        <v>12</v>
      </c>
      <c r="Q148" s="162">
        <v>2</v>
      </c>
      <c r="R148" s="162"/>
      <c r="S148" s="137">
        <f t="shared" si="32"/>
        <v>37</v>
      </c>
      <c r="T148" s="311">
        <v>342</v>
      </c>
      <c r="U148" s="162">
        <v>166</v>
      </c>
      <c r="V148" s="162">
        <v>359</v>
      </c>
      <c r="W148" s="162">
        <v>175</v>
      </c>
      <c r="X148" s="162">
        <v>418</v>
      </c>
      <c r="Y148" s="162">
        <v>204</v>
      </c>
      <c r="Z148" s="138">
        <f t="shared" si="33"/>
        <v>1119</v>
      </c>
      <c r="AA148" s="137">
        <f t="shared" si="33"/>
        <v>545</v>
      </c>
      <c r="AB148" s="311">
        <v>8</v>
      </c>
      <c r="AC148" s="1291">
        <v>3</v>
      </c>
      <c r="AD148" s="169"/>
      <c r="AE148" s="169"/>
    </row>
    <row r="149" spans="1:31" s="81" customFormat="1" ht="17.100000000000001" customHeight="1">
      <c r="A149" s="168" t="s">
        <v>156</v>
      </c>
      <c r="B149" s="168" t="s">
        <v>142</v>
      </c>
      <c r="C149" s="168" t="s">
        <v>142</v>
      </c>
      <c r="D149" s="168" t="s">
        <v>4</v>
      </c>
      <c r="E149" s="168" t="s">
        <v>24</v>
      </c>
      <c r="F149" s="168" t="s">
        <v>2137</v>
      </c>
      <c r="G149" s="71">
        <v>30011</v>
      </c>
      <c r="H149" s="50" t="s">
        <v>4858</v>
      </c>
      <c r="I149" s="72">
        <v>11896</v>
      </c>
      <c r="J149" s="52">
        <v>22801</v>
      </c>
      <c r="K149" s="53" t="s">
        <v>4859</v>
      </c>
      <c r="L149" s="53" t="s">
        <v>4860</v>
      </c>
      <c r="M149" s="54" t="s">
        <v>4861</v>
      </c>
      <c r="N149" s="311">
        <v>4</v>
      </c>
      <c r="O149" s="162">
        <v>5</v>
      </c>
      <c r="P149" s="162">
        <v>5</v>
      </c>
      <c r="Q149" s="162">
        <v>2</v>
      </c>
      <c r="R149" s="162"/>
      <c r="S149" s="137">
        <f t="shared" si="32"/>
        <v>16</v>
      </c>
      <c r="T149" s="311">
        <v>100</v>
      </c>
      <c r="U149" s="162">
        <v>100</v>
      </c>
      <c r="V149" s="162">
        <v>110</v>
      </c>
      <c r="W149" s="162">
        <v>110</v>
      </c>
      <c r="X149" s="162">
        <v>120</v>
      </c>
      <c r="Y149" s="162">
        <v>120</v>
      </c>
      <c r="Z149" s="138">
        <f t="shared" si="33"/>
        <v>330</v>
      </c>
      <c r="AA149" s="137">
        <f t="shared" si="33"/>
        <v>330</v>
      </c>
      <c r="AB149" s="311">
        <v>8</v>
      </c>
      <c r="AC149" s="1291">
        <v>8</v>
      </c>
      <c r="AD149" s="169"/>
      <c r="AE149" s="169"/>
    </row>
    <row r="150" spans="1:31" s="81" customFormat="1" ht="17.100000000000001" customHeight="1">
      <c r="A150" s="167" t="s">
        <v>156</v>
      </c>
      <c r="B150" s="167" t="s">
        <v>103</v>
      </c>
      <c r="C150" s="168" t="s">
        <v>142</v>
      </c>
      <c r="D150" s="167" t="s">
        <v>4</v>
      </c>
      <c r="E150" s="167" t="s">
        <v>26</v>
      </c>
      <c r="F150" s="168" t="s">
        <v>4862</v>
      </c>
      <c r="G150" s="71">
        <v>39508</v>
      </c>
      <c r="H150" s="50" t="s">
        <v>2138</v>
      </c>
      <c r="I150" s="140">
        <v>11807</v>
      </c>
      <c r="J150" s="52">
        <v>22779</v>
      </c>
      <c r="K150" s="53" t="s">
        <v>693</v>
      </c>
      <c r="L150" s="53" t="s">
        <v>694</v>
      </c>
      <c r="M150" s="54" t="s">
        <v>695</v>
      </c>
      <c r="N150" s="314">
        <v>10</v>
      </c>
      <c r="O150" s="169">
        <v>9</v>
      </c>
      <c r="P150" s="169">
        <v>11</v>
      </c>
      <c r="Q150" s="169">
        <v>1</v>
      </c>
      <c r="R150" s="169"/>
      <c r="S150" s="137">
        <f t="shared" si="32"/>
        <v>31</v>
      </c>
      <c r="T150" s="314">
        <v>310</v>
      </c>
      <c r="U150" s="169">
        <v>149</v>
      </c>
      <c r="V150" s="169">
        <v>274</v>
      </c>
      <c r="W150" s="169">
        <v>119</v>
      </c>
      <c r="X150" s="169">
        <v>366</v>
      </c>
      <c r="Y150" s="169">
        <v>174</v>
      </c>
      <c r="Z150" s="138">
        <f t="shared" si="33"/>
        <v>950</v>
      </c>
      <c r="AA150" s="137">
        <f t="shared" si="33"/>
        <v>442</v>
      </c>
      <c r="AB150" s="314">
        <v>8</v>
      </c>
      <c r="AC150" s="1292">
        <v>3</v>
      </c>
      <c r="AD150" s="169"/>
      <c r="AE150" s="169"/>
    </row>
    <row r="151" spans="1:31" s="81" customFormat="1" ht="17.100000000000001" customHeight="1">
      <c r="A151" s="168" t="s">
        <v>156</v>
      </c>
      <c r="B151" s="168" t="s">
        <v>142</v>
      </c>
      <c r="C151" s="168" t="s">
        <v>2824</v>
      </c>
      <c r="D151" s="168" t="s">
        <v>4</v>
      </c>
      <c r="E151" s="168" t="s">
        <v>26</v>
      </c>
      <c r="F151" s="168" t="s">
        <v>4863</v>
      </c>
      <c r="G151" s="71">
        <v>46082</v>
      </c>
      <c r="H151" s="50" t="s">
        <v>4864</v>
      </c>
      <c r="I151" s="72">
        <v>17154.48</v>
      </c>
      <c r="J151" s="52">
        <v>22888</v>
      </c>
      <c r="K151" s="53" t="s">
        <v>4865</v>
      </c>
      <c r="L151" s="53" t="s">
        <v>4865</v>
      </c>
      <c r="M151" s="54" t="s">
        <v>4866</v>
      </c>
      <c r="N151" s="311">
        <v>13</v>
      </c>
      <c r="O151" s="162">
        <v>9</v>
      </c>
      <c r="P151" s="162">
        <v>5</v>
      </c>
      <c r="Q151" s="162">
        <v>1</v>
      </c>
      <c r="R151" s="162">
        <v>0</v>
      </c>
      <c r="S151" s="137">
        <f t="shared" si="32"/>
        <v>28</v>
      </c>
      <c r="T151" s="311">
        <v>385</v>
      </c>
      <c r="U151" s="162">
        <v>195</v>
      </c>
      <c r="V151" s="162">
        <v>217</v>
      </c>
      <c r="W151" s="162">
        <v>129</v>
      </c>
      <c r="X151" s="162">
        <v>125</v>
      </c>
      <c r="Y151" s="162">
        <v>75</v>
      </c>
      <c r="Z151" s="138">
        <f t="shared" si="33"/>
        <v>727</v>
      </c>
      <c r="AA151" s="137">
        <f t="shared" si="33"/>
        <v>399</v>
      </c>
      <c r="AB151" s="311">
        <v>2</v>
      </c>
      <c r="AC151" s="1291">
        <v>2</v>
      </c>
      <c r="AD151" s="169"/>
      <c r="AE151" s="169"/>
    </row>
    <row r="152" spans="1:31" s="81" customFormat="1" ht="17.100000000000001" customHeight="1">
      <c r="A152" s="168" t="s">
        <v>156</v>
      </c>
      <c r="B152" s="168" t="s">
        <v>142</v>
      </c>
      <c r="C152" s="168" t="s">
        <v>142</v>
      </c>
      <c r="D152" s="168" t="s">
        <v>4</v>
      </c>
      <c r="E152" s="168" t="s">
        <v>26</v>
      </c>
      <c r="F152" s="168" t="s">
        <v>2139</v>
      </c>
      <c r="G152" s="71">
        <v>43891</v>
      </c>
      <c r="H152" s="50" t="s">
        <v>4867</v>
      </c>
      <c r="I152" s="72">
        <v>21000</v>
      </c>
      <c r="J152" s="52">
        <v>22753</v>
      </c>
      <c r="K152" s="53" t="s">
        <v>4868</v>
      </c>
      <c r="L152" s="53" t="s">
        <v>4869</v>
      </c>
      <c r="M152" s="54" t="s">
        <v>4870</v>
      </c>
      <c r="N152" s="311">
        <v>6</v>
      </c>
      <c r="O152" s="162">
        <v>7</v>
      </c>
      <c r="P152" s="162">
        <v>7</v>
      </c>
      <c r="Q152" s="162">
        <v>2</v>
      </c>
      <c r="R152" s="162">
        <v>0</v>
      </c>
      <c r="S152" s="137">
        <f t="shared" si="32"/>
        <v>22</v>
      </c>
      <c r="T152" s="311">
        <v>199</v>
      </c>
      <c r="U152" s="162">
        <v>119</v>
      </c>
      <c r="V152" s="162">
        <v>235</v>
      </c>
      <c r="W152" s="162">
        <v>105</v>
      </c>
      <c r="X152" s="162">
        <v>222</v>
      </c>
      <c r="Y152" s="162">
        <v>100</v>
      </c>
      <c r="Z152" s="138">
        <f t="shared" si="33"/>
        <v>656</v>
      </c>
      <c r="AA152" s="137">
        <f t="shared" si="33"/>
        <v>324</v>
      </c>
      <c r="AB152" s="311">
        <v>8</v>
      </c>
      <c r="AC152" s="1291">
        <v>3</v>
      </c>
      <c r="AD152" s="169">
        <v>0</v>
      </c>
      <c r="AE152" s="169">
        <v>0</v>
      </c>
    </row>
    <row r="153" spans="1:31" s="81" customFormat="1" ht="17.100000000000001" customHeight="1">
      <c r="A153" s="167" t="s">
        <v>156</v>
      </c>
      <c r="B153" s="167" t="s">
        <v>142</v>
      </c>
      <c r="C153" s="168" t="s">
        <v>2824</v>
      </c>
      <c r="D153" s="167" t="s">
        <v>4</v>
      </c>
      <c r="E153" s="167" t="s">
        <v>26</v>
      </c>
      <c r="F153" s="168" t="s">
        <v>4871</v>
      </c>
      <c r="G153" s="71">
        <v>46082</v>
      </c>
      <c r="H153" s="50" t="s">
        <v>4872</v>
      </c>
      <c r="I153" s="140">
        <v>13278.2</v>
      </c>
      <c r="J153" s="52">
        <v>22656</v>
      </c>
      <c r="K153" s="53" t="s">
        <v>4873</v>
      </c>
      <c r="L153" s="53" t="s">
        <v>4874</v>
      </c>
      <c r="M153" s="54" t="s">
        <v>4875</v>
      </c>
      <c r="N153" s="314">
        <v>5</v>
      </c>
      <c r="O153" s="169">
        <v>3</v>
      </c>
      <c r="P153" s="169">
        <v>2</v>
      </c>
      <c r="Q153" s="169">
        <v>1</v>
      </c>
      <c r="R153" s="169"/>
      <c r="S153" s="137">
        <f t="shared" si="32"/>
        <v>11</v>
      </c>
      <c r="T153" s="314">
        <v>113</v>
      </c>
      <c r="U153" s="169">
        <v>52</v>
      </c>
      <c r="V153" s="169">
        <v>66</v>
      </c>
      <c r="W153" s="169">
        <v>37</v>
      </c>
      <c r="X153" s="169">
        <v>32</v>
      </c>
      <c r="Y153" s="169">
        <v>23</v>
      </c>
      <c r="Z153" s="138">
        <f t="shared" si="33"/>
        <v>211</v>
      </c>
      <c r="AA153" s="137">
        <f t="shared" si="33"/>
        <v>112</v>
      </c>
      <c r="AB153" s="314">
        <v>2</v>
      </c>
      <c r="AC153" s="1292"/>
      <c r="AD153" s="169"/>
      <c r="AE153" s="169"/>
    </row>
    <row r="154" spans="1:31" s="81" customFormat="1" ht="17.100000000000001" customHeight="1">
      <c r="A154" s="167" t="s">
        <v>156</v>
      </c>
      <c r="B154" s="167" t="s">
        <v>142</v>
      </c>
      <c r="C154" s="168" t="s">
        <v>2824</v>
      </c>
      <c r="D154" s="167" t="s">
        <v>4</v>
      </c>
      <c r="E154" s="167" t="s">
        <v>26</v>
      </c>
      <c r="F154" s="168" t="s">
        <v>2140</v>
      </c>
      <c r="G154" s="71">
        <v>38777</v>
      </c>
      <c r="H154" s="50" t="s">
        <v>2141</v>
      </c>
      <c r="I154" s="1196">
        <v>13056</v>
      </c>
      <c r="J154" s="52">
        <v>22674</v>
      </c>
      <c r="K154" s="53" t="s">
        <v>696</v>
      </c>
      <c r="L154" s="53" t="s">
        <v>2142</v>
      </c>
      <c r="M154" s="54" t="s">
        <v>2143</v>
      </c>
      <c r="N154" s="314">
        <v>11</v>
      </c>
      <c r="O154" s="169">
        <v>12</v>
      </c>
      <c r="P154" s="169">
        <v>11</v>
      </c>
      <c r="Q154" s="169">
        <v>1</v>
      </c>
      <c r="R154" s="169">
        <v>0</v>
      </c>
      <c r="S154" s="137">
        <f t="shared" si="32"/>
        <v>35</v>
      </c>
      <c r="T154" s="314">
        <v>285</v>
      </c>
      <c r="U154" s="169">
        <v>157</v>
      </c>
      <c r="V154" s="169">
        <v>335</v>
      </c>
      <c r="W154" s="169">
        <v>170</v>
      </c>
      <c r="X154" s="169">
        <v>313</v>
      </c>
      <c r="Y154" s="169">
        <v>162</v>
      </c>
      <c r="Z154" s="138">
        <f t="shared" si="33"/>
        <v>933</v>
      </c>
      <c r="AA154" s="137">
        <f t="shared" si="33"/>
        <v>489</v>
      </c>
      <c r="AB154" s="314">
        <v>4</v>
      </c>
      <c r="AC154" s="1292">
        <v>1</v>
      </c>
      <c r="AD154" s="169">
        <v>0</v>
      </c>
      <c r="AE154" s="169">
        <v>0</v>
      </c>
    </row>
    <row r="155" spans="1:31" s="81" customFormat="1" ht="17.100000000000001" customHeight="1">
      <c r="A155" s="168" t="s">
        <v>156</v>
      </c>
      <c r="B155" s="168" t="s">
        <v>142</v>
      </c>
      <c r="C155" s="168" t="s">
        <v>142</v>
      </c>
      <c r="D155" s="168" t="s">
        <v>4</v>
      </c>
      <c r="E155" s="168" t="s">
        <v>26</v>
      </c>
      <c r="F155" s="168" t="s">
        <v>2144</v>
      </c>
      <c r="G155" s="71">
        <v>44986</v>
      </c>
      <c r="H155" s="50" t="s">
        <v>4876</v>
      </c>
      <c r="I155" s="140">
        <v>17006</v>
      </c>
      <c r="J155" s="52">
        <v>22858</v>
      </c>
      <c r="K155" s="53" t="s">
        <v>4877</v>
      </c>
      <c r="L155" s="53" t="s">
        <v>4878</v>
      </c>
      <c r="M155" s="54" t="s">
        <v>4879</v>
      </c>
      <c r="N155" s="311">
        <v>10</v>
      </c>
      <c r="O155" s="162">
        <v>9</v>
      </c>
      <c r="P155" s="162">
        <v>10</v>
      </c>
      <c r="Q155" s="162">
        <v>2</v>
      </c>
      <c r="R155" s="162">
        <v>0</v>
      </c>
      <c r="S155" s="137">
        <f t="shared" si="32"/>
        <v>31</v>
      </c>
      <c r="T155" s="311">
        <v>309</v>
      </c>
      <c r="U155" s="162">
        <v>125</v>
      </c>
      <c r="V155" s="162">
        <v>279</v>
      </c>
      <c r="W155" s="162">
        <v>115</v>
      </c>
      <c r="X155" s="162">
        <v>338</v>
      </c>
      <c r="Y155" s="162">
        <v>173</v>
      </c>
      <c r="Z155" s="138">
        <f t="shared" si="33"/>
        <v>926</v>
      </c>
      <c r="AA155" s="137">
        <f t="shared" si="33"/>
        <v>413</v>
      </c>
      <c r="AB155" s="311">
        <v>11</v>
      </c>
      <c r="AC155" s="1291">
        <v>2</v>
      </c>
      <c r="AD155" s="169">
        <v>0</v>
      </c>
      <c r="AE155" s="169">
        <v>0</v>
      </c>
    </row>
    <row r="156" spans="1:31" s="81" customFormat="1" ht="17.100000000000001" customHeight="1">
      <c r="A156" s="168" t="s">
        <v>156</v>
      </c>
      <c r="B156" s="168" t="s">
        <v>142</v>
      </c>
      <c r="C156" s="168" t="s">
        <v>142</v>
      </c>
      <c r="D156" s="168" t="s">
        <v>4</v>
      </c>
      <c r="E156" s="168" t="s">
        <v>26</v>
      </c>
      <c r="F156" s="168" t="s">
        <v>2145</v>
      </c>
      <c r="G156" s="71">
        <v>39873</v>
      </c>
      <c r="H156" s="50" t="s">
        <v>4880</v>
      </c>
      <c r="I156" s="72">
        <v>12305</v>
      </c>
      <c r="J156" s="52">
        <v>22805</v>
      </c>
      <c r="K156" s="53" t="s">
        <v>4881</v>
      </c>
      <c r="L156" s="53" t="s">
        <v>4882</v>
      </c>
      <c r="M156" s="54" t="s">
        <v>4883</v>
      </c>
      <c r="N156" s="311">
        <v>4</v>
      </c>
      <c r="O156" s="162">
        <v>4</v>
      </c>
      <c r="P156" s="162">
        <v>4</v>
      </c>
      <c r="Q156" s="162">
        <v>4</v>
      </c>
      <c r="R156" s="162">
        <v>1</v>
      </c>
      <c r="S156" s="137">
        <f t="shared" si="32"/>
        <v>17</v>
      </c>
      <c r="T156" s="311">
        <v>54</v>
      </c>
      <c r="U156" s="162">
        <v>26</v>
      </c>
      <c r="V156" s="162">
        <v>62</v>
      </c>
      <c r="W156" s="162">
        <v>20</v>
      </c>
      <c r="X156" s="162">
        <v>87</v>
      </c>
      <c r="Y156" s="162">
        <v>23</v>
      </c>
      <c r="Z156" s="138">
        <f t="shared" si="33"/>
        <v>203</v>
      </c>
      <c r="AA156" s="137">
        <f t="shared" si="33"/>
        <v>69</v>
      </c>
      <c r="AB156" s="311">
        <v>23</v>
      </c>
      <c r="AC156" s="1291">
        <v>3</v>
      </c>
      <c r="AD156" s="169">
        <v>12</v>
      </c>
      <c r="AE156" s="169">
        <v>4</v>
      </c>
    </row>
    <row r="157" spans="1:31" s="81" customFormat="1" ht="17.100000000000001" customHeight="1">
      <c r="A157" s="168" t="s">
        <v>156</v>
      </c>
      <c r="B157" s="168" t="s">
        <v>142</v>
      </c>
      <c r="C157" s="168" t="s">
        <v>2824</v>
      </c>
      <c r="D157" s="168" t="s">
        <v>4</v>
      </c>
      <c r="E157" s="168" t="s">
        <v>26</v>
      </c>
      <c r="F157" s="168" t="s">
        <v>2146</v>
      </c>
      <c r="G157" s="71">
        <v>44621</v>
      </c>
      <c r="H157" s="50" t="s">
        <v>4884</v>
      </c>
      <c r="I157" s="312">
        <v>14000</v>
      </c>
      <c r="J157" s="52">
        <v>22874</v>
      </c>
      <c r="K157" s="53" t="s">
        <v>4885</v>
      </c>
      <c r="L157" s="53" t="s">
        <v>4886</v>
      </c>
      <c r="M157" s="54" t="s">
        <v>4887</v>
      </c>
      <c r="N157" s="311">
        <v>16</v>
      </c>
      <c r="O157" s="162">
        <v>16</v>
      </c>
      <c r="P157" s="162">
        <v>16</v>
      </c>
      <c r="Q157" s="162">
        <v>2</v>
      </c>
      <c r="R157" s="162"/>
      <c r="S157" s="137">
        <f t="shared" si="32"/>
        <v>50</v>
      </c>
      <c r="T157" s="311">
        <v>480</v>
      </c>
      <c r="U157" s="162">
        <v>234</v>
      </c>
      <c r="V157" s="162">
        <v>476</v>
      </c>
      <c r="W157" s="162">
        <v>234</v>
      </c>
      <c r="X157" s="162">
        <v>427</v>
      </c>
      <c r="Y157" s="162">
        <v>208</v>
      </c>
      <c r="Z157" s="138">
        <f t="shared" si="33"/>
        <v>1383</v>
      </c>
      <c r="AA157" s="137">
        <f t="shared" si="33"/>
        <v>676</v>
      </c>
      <c r="AB157" s="311">
        <v>9</v>
      </c>
      <c r="AC157" s="1291">
        <v>2</v>
      </c>
      <c r="AD157" s="169"/>
      <c r="AE157" s="169"/>
    </row>
    <row r="158" spans="1:31" s="81" customFormat="1" ht="17.100000000000001" customHeight="1">
      <c r="A158" s="168" t="s">
        <v>156</v>
      </c>
      <c r="B158" s="168" t="s">
        <v>142</v>
      </c>
      <c r="C158" s="168" t="s">
        <v>2824</v>
      </c>
      <c r="D158" s="168" t="s">
        <v>4</v>
      </c>
      <c r="E158" s="168" t="s">
        <v>26</v>
      </c>
      <c r="F158" s="168" t="s">
        <v>2147</v>
      </c>
      <c r="G158" s="71">
        <v>44621</v>
      </c>
      <c r="H158" s="50" t="s">
        <v>2148</v>
      </c>
      <c r="I158" s="77">
        <v>14000</v>
      </c>
      <c r="J158" s="52">
        <v>22861</v>
      </c>
      <c r="K158" s="53" t="s">
        <v>2149</v>
      </c>
      <c r="L158" s="53" t="s">
        <v>697</v>
      </c>
      <c r="M158" s="317" t="s">
        <v>698</v>
      </c>
      <c r="N158" s="311">
        <v>16</v>
      </c>
      <c r="O158" s="162">
        <v>16</v>
      </c>
      <c r="P158" s="162">
        <v>16</v>
      </c>
      <c r="Q158" s="162">
        <v>2</v>
      </c>
      <c r="R158" s="162"/>
      <c r="S158" s="137">
        <f t="shared" si="32"/>
        <v>50</v>
      </c>
      <c r="T158" s="311">
        <v>477</v>
      </c>
      <c r="U158" s="162">
        <v>243</v>
      </c>
      <c r="V158" s="162">
        <v>471</v>
      </c>
      <c r="W158" s="162">
        <v>219</v>
      </c>
      <c r="X158" s="162">
        <v>432</v>
      </c>
      <c r="Y158" s="162">
        <v>224</v>
      </c>
      <c r="Z158" s="138">
        <f t="shared" si="33"/>
        <v>1380</v>
      </c>
      <c r="AA158" s="137">
        <f t="shared" si="33"/>
        <v>686</v>
      </c>
      <c r="AB158" s="311">
        <v>8</v>
      </c>
      <c r="AC158" s="1291">
        <v>3</v>
      </c>
      <c r="AD158" s="169"/>
      <c r="AE158" s="169"/>
    </row>
    <row r="159" spans="1:31" s="81" customFormat="1" ht="17.100000000000001" customHeight="1">
      <c r="A159" s="167" t="s">
        <v>156</v>
      </c>
      <c r="B159" s="167" t="s">
        <v>142</v>
      </c>
      <c r="C159" s="168" t="s">
        <v>142</v>
      </c>
      <c r="D159" s="167" t="s">
        <v>4</v>
      </c>
      <c r="E159" s="167" t="s">
        <v>26</v>
      </c>
      <c r="F159" s="168" t="s">
        <v>2150</v>
      </c>
      <c r="G159" s="71">
        <v>40603</v>
      </c>
      <c r="H159" s="50" t="s">
        <v>2151</v>
      </c>
      <c r="I159" s="140">
        <v>11999</v>
      </c>
      <c r="J159" s="52">
        <v>22735</v>
      </c>
      <c r="K159" s="53" t="s">
        <v>2152</v>
      </c>
      <c r="L159" s="53" t="s">
        <v>2153</v>
      </c>
      <c r="M159" s="54" t="s">
        <v>2154</v>
      </c>
      <c r="N159" s="314">
        <v>10</v>
      </c>
      <c r="O159" s="169">
        <v>11</v>
      </c>
      <c r="P159" s="169">
        <v>11</v>
      </c>
      <c r="Q159" s="169">
        <v>1</v>
      </c>
      <c r="R159" s="169"/>
      <c r="S159" s="137">
        <f t="shared" si="32"/>
        <v>33</v>
      </c>
      <c r="T159" s="314">
        <v>330</v>
      </c>
      <c r="U159" s="169">
        <v>171</v>
      </c>
      <c r="V159" s="169">
        <v>371</v>
      </c>
      <c r="W159" s="169">
        <v>184</v>
      </c>
      <c r="X159" s="169">
        <v>375</v>
      </c>
      <c r="Y159" s="169">
        <v>185</v>
      </c>
      <c r="Z159" s="138">
        <f t="shared" si="33"/>
        <v>1076</v>
      </c>
      <c r="AA159" s="137">
        <f t="shared" si="33"/>
        <v>540</v>
      </c>
      <c r="AB159" s="314">
        <v>7</v>
      </c>
      <c r="AC159" s="1292">
        <v>4</v>
      </c>
      <c r="AD159" s="169"/>
      <c r="AE159" s="169"/>
    </row>
    <row r="160" spans="1:31" s="81" customFormat="1" ht="17.100000000000001" customHeight="1">
      <c r="A160" s="167" t="s">
        <v>156</v>
      </c>
      <c r="B160" s="167" t="s">
        <v>142</v>
      </c>
      <c r="C160" s="168" t="s">
        <v>142</v>
      </c>
      <c r="D160" s="167" t="s">
        <v>4</v>
      </c>
      <c r="E160" s="167" t="s">
        <v>26</v>
      </c>
      <c r="F160" s="168" t="s">
        <v>2155</v>
      </c>
      <c r="G160" s="71">
        <v>42064</v>
      </c>
      <c r="H160" s="50" t="s">
        <v>2156</v>
      </c>
      <c r="I160" s="140">
        <v>11000</v>
      </c>
      <c r="J160" s="52">
        <v>22748</v>
      </c>
      <c r="K160" s="53" t="s">
        <v>2157</v>
      </c>
      <c r="L160" s="53" t="s">
        <v>2158</v>
      </c>
      <c r="M160" s="54" t="s">
        <v>2159</v>
      </c>
      <c r="N160" s="314">
        <v>11</v>
      </c>
      <c r="O160" s="169">
        <v>10</v>
      </c>
      <c r="P160" s="169">
        <v>9</v>
      </c>
      <c r="Q160" s="169">
        <v>1</v>
      </c>
      <c r="R160" s="169"/>
      <c r="S160" s="137">
        <f t="shared" si="32"/>
        <v>31</v>
      </c>
      <c r="T160" s="314">
        <v>360</v>
      </c>
      <c r="U160" s="169">
        <v>189</v>
      </c>
      <c r="V160" s="169">
        <v>341</v>
      </c>
      <c r="W160" s="169">
        <v>153</v>
      </c>
      <c r="X160" s="169">
        <v>302</v>
      </c>
      <c r="Y160" s="169">
        <v>145</v>
      </c>
      <c r="Z160" s="138">
        <f t="shared" si="33"/>
        <v>1003</v>
      </c>
      <c r="AA160" s="137">
        <f t="shared" si="33"/>
        <v>487</v>
      </c>
      <c r="AB160" s="314">
        <v>2</v>
      </c>
      <c r="AC160" s="1292">
        <v>0</v>
      </c>
      <c r="AD160" s="169"/>
      <c r="AE160" s="169"/>
    </row>
    <row r="161" spans="1:31" s="81" customFormat="1" ht="17.100000000000001" customHeight="1">
      <c r="A161" s="168" t="s">
        <v>156</v>
      </c>
      <c r="B161" s="168" t="s">
        <v>142</v>
      </c>
      <c r="C161" s="168" t="s">
        <v>142</v>
      </c>
      <c r="D161" s="168" t="s">
        <v>4</v>
      </c>
      <c r="E161" s="168" t="s">
        <v>26</v>
      </c>
      <c r="F161" s="168" t="s">
        <v>4888</v>
      </c>
      <c r="G161" s="71">
        <v>44256</v>
      </c>
      <c r="H161" s="50" t="s">
        <v>4889</v>
      </c>
      <c r="I161" s="72">
        <v>12000</v>
      </c>
      <c r="J161" s="52">
        <v>22748</v>
      </c>
      <c r="K161" s="53" t="s">
        <v>4890</v>
      </c>
      <c r="L161" s="53" t="s">
        <v>4891</v>
      </c>
      <c r="M161" s="54" t="s">
        <v>4892</v>
      </c>
      <c r="N161" s="311">
        <v>4</v>
      </c>
      <c r="O161" s="162">
        <v>5</v>
      </c>
      <c r="P161" s="162">
        <v>6</v>
      </c>
      <c r="Q161" s="162">
        <v>1</v>
      </c>
      <c r="R161" s="162"/>
      <c r="S161" s="137">
        <f t="shared" si="32"/>
        <v>16</v>
      </c>
      <c r="T161" s="311">
        <v>134</v>
      </c>
      <c r="U161" s="162">
        <v>50</v>
      </c>
      <c r="V161" s="162">
        <v>172</v>
      </c>
      <c r="W161" s="162">
        <v>83</v>
      </c>
      <c r="X161" s="162">
        <v>205</v>
      </c>
      <c r="Y161" s="162">
        <v>86</v>
      </c>
      <c r="Z161" s="138">
        <f t="shared" si="33"/>
        <v>511</v>
      </c>
      <c r="AA161" s="137">
        <f t="shared" si="33"/>
        <v>219</v>
      </c>
      <c r="AB161" s="311">
        <v>5</v>
      </c>
      <c r="AC161" s="1291">
        <v>2</v>
      </c>
      <c r="AD161" s="169"/>
      <c r="AE161" s="169"/>
    </row>
    <row r="162" spans="1:31" s="81" customFormat="1" ht="17.100000000000001" customHeight="1">
      <c r="A162" s="168" t="s">
        <v>156</v>
      </c>
      <c r="B162" s="168" t="s">
        <v>142</v>
      </c>
      <c r="C162" s="168" t="s">
        <v>142</v>
      </c>
      <c r="D162" s="168" t="s">
        <v>4</v>
      </c>
      <c r="E162" s="168" t="s">
        <v>26</v>
      </c>
      <c r="F162" s="168" t="s">
        <v>2160</v>
      </c>
      <c r="G162" s="71">
        <v>40969</v>
      </c>
      <c r="H162" s="50" t="s">
        <v>2161</v>
      </c>
      <c r="I162" s="312">
        <v>12000</v>
      </c>
      <c r="J162" s="52">
        <v>22740</v>
      </c>
      <c r="K162" s="53" t="s">
        <v>2162</v>
      </c>
      <c r="L162" s="53" t="s">
        <v>2163</v>
      </c>
      <c r="M162" s="54" t="s">
        <v>2164</v>
      </c>
      <c r="N162" s="311">
        <v>10</v>
      </c>
      <c r="O162" s="162">
        <v>10</v>
      </c>
      <c r="P162" s="162">
        <v>10</v>
      </c>
      <c r="Q162" s="162">
        <v>2</v>
      </c>
      <c r="R162" s="162">
        <v>0</v>
      </c>
      <c r="S162" s="137">
        <f t="shared" si="32"/>
        <v>32</v>
      </c>
      <c r="T162" s="311">
        <v>255</v>
      </c>
      <c r="U162" s="162">
        <v>116</v>
      </c>
      <c r="V162" s="162">
        <v>326</v>
      </c>
      <c r="W162" s="162">
        <v>163</v>
      </c>
      <c r="X162" s="162">
        <v>271</v>
      </c>
      <c r="Y162" s="162">
        <v>131</v>
      </c>
      <c r="Z162" s="138">
        <f t="shared" si="33"/>
        <v>852</v>
      </c>
      <c r="AA162" s="137">
        <f t="shared" si="33"/>
        <v>410</v>
      </c>
      <c r="AB162" s="311">
        <v>9</v>
      </c>
      <c r="AC162" s="1291">
        <v>1</v>
      </c>
      <c r="AD162" s="169">
        <v>0</v>
      </c>
      <c r="AE162" s="169">
        <v>0</v>
      </c>
    </row>
    <row r="163" spans="1:31" s="81" customFormat="1" ht="17.100000000000001" customHeight="1">
      <c r="A163" s="167" t="s">
        <v>156</v>
      </c>
      <c r="B163" s="167" t="s">
        <v>142</v>
      </c>
      <c r="C163" s="168" t="s">
        <v>142</v>
      </c>
      <c r="D163" s="167" t="s">
        <v>4</v>
      </c>
      <c r="E163" s="167" t="s">
        <v>26</v>
      </c>
      <c r="F163" s="168" t="s">
        <v>2165</v>
      </c>
      <c r="G163" s="71">
        <v>40969</v>
      </c>
      <c r="H163" s="50" t="s">
        <v>2166</v>
      </c>
      <c r="I163" s="77">
        <v>12000</v>
      </c>
      <c r="J163" s="52">
        <v>22765</v>
      </c>
      <c r="K163" s="53" t="s">
        <v>2167</v>
      </c>
      <c r="L163" s="53" t="s">
        <v>2168</v>
      </c>
      <c r="M163" s="317" t="s">
        <v>2169</v>
      </c>
      <c r="N163" s="314">
        <v>10</v>
      </c>
      <c r="O163" s="169">
        <v>10</v>
      </c>
      <c r="P163" s="169">
        <v>10</v>
      </c>
      <c r="Q163" s="169">
        <v>1</v>
      </c>
      <c r="R163" s="169">
        <v>0</v>
      </c>
      <c r="S163" s="137">
        <f t="shared" si="32"/>
        <v>31</v>
      </c>
      <c r="T163" s="328">
        <v>328</v>
      </c>
      <c r="U163" s="169">
        <v>168</v>
      </c>
      <c r="V163" s="169">
        <v>338</v>
      </c>
      <c r="W163" s="169">
        <v>169</v>
      </c>
      <c r="X163" s="169">
        <v>345</v>
      </c>
      <c r="Y163" s="169">
        <v>184</v>
      </c>
      <c r="Z163" s="138">
        <f t="shared" si="33"/>
        <v>1011</v>
      </c>
      <c r="AA163" s="1197">
        <f t="shared" si="33"/>
        <v>521</v>
      </c>
      <c r="AB163" s="314">
        <v>6</v>
      </c>
      <c r="AC163" s="1292">
        <v>1</v>
      </c>
      <c r="AD163" s="169">
        <v>0</v>
      </c>
      <c r="AE163" s="169"/>
    </row>
    <row r="164" spans="1:31" s="81" customFormat="1" ht="17.100000000000001" customHeight="1">
      <c r="A164" s="168" t="s">
        <v>156</v>
      </c>
      <c r="B164" s="168" t="s">
        <v>103</v>
      </c>
      <c r="C164" s="168" t="s">
        <v>142</v>
      </c>
      <c r="D164" s="168" t="s">
        <v>4</v>
      </c>
      <c r="E164" s="168" t="s">
        <v>144</v>
      </c>
      <c r="F164" s="168" t="s">
        <v>2170</v>
      </c>
      <c r="G164" s="71">
        <v>29756</v>
      </c>
      <c r="H164" s="50" t="s">
        <v>4893</v>
      </c>
      <c r="I164" s="72">
        <v>19032</v>
      </c>
      <c r="J164" s="52">
        <v>22811</v>
      </c>
      <c r="K164" s="53" t="s">
        <v>2171</v>
      </c>
      <c r="L164" s="53" t="s">
        <v>2172</v>
      </c>
      <c r="M164" s="54" t="s">
        <v>2173</v>
      </c>
      <c r="N164" s="311">
        <v>6</v>
      </c>
      <c r="O164" s="162">
        <v>6</v>
      </c>
      <c r="P164" s="162">
        <v>6</v>
      </c>
      <c r="Q164" s="162">
        <v>2</v>
      </c>
      <c r="R164" s="162"/>
      <c r="S164" s="137">
        <f t="shared" si="32"/>
        <v>20</v>
      </c>
      <c r="T164" s="311">
        <v>144</v>
      </c>
      <c r="U164" s="162"/>
      <c r="V164" s="162">
        <v>157</v>
      </c>
      <c r="W164" s="162"/>
      <c r="X164" s="162">
        <v>159</v>
      </c>
      <c r="Y164" s="162"/>
      <c r="Z164" s="138">
        <f t="shared" si="33"/>
        <v>460</v>
      </c>
      <c r="AA164" s="137">
        <f t="shared" si="33"/>
        <v>0</v>
      </c>
      <c r="AB164" s="311">
        <v>8</v>
      </c>
      <c r="AC164" s="1291"/>
      <c r="AD164" s="169"/>
      <c r="AE164" s="169"/>
    </row>
    <row r="165" spans="1:31" s="81" customFormat="1" ht="17.100000000000001" customHeight="1">
      <c r="A165" s="1625" t="s">
        <v>432</v>
      </c>
      <c r="B165" s="1626"/>
      <c r="C165" s="1626"/>
      <c r="D165" s="1626"/>
      <c r="E165" s="179">
        <f>COUNTA(E136:E164)</f>
        <v>29</v>
      </c>
      <c r="F165" s="283"/>
      <c r="G165" s="284"/>
      <c r="H165" s="181"/>
      <c r="I165" s="318"/>
      <c r="J165" s="287"/>
      <c r="K165" s="285"/>
      <c r="L165" s="285"/>
      <c r="M165" s="319"/>
      <c r="N165" s="320">
        <f t="shared" ref="N165:AE165" si="34">SUM(N136:N164)</f>
        <v>243</v>
      </c>
      <c r="O165" s="321">
        <f t="shared" si="34"/>
        <v>243</v>
      </c>
      <c r="P165" s="321">
        <f t="shared" si="34"/>
        <v>236</v>
      </c>
      <c r="Q165" s="321">
        <f t="shared" si="34"/>
        <v>46</v>
      </c>
      <c r="R165" s="321">
        <f t="shared" si="34"/>
        <v>1</v>
      </c>
      <c r="S165" s="291">
        <f t="shared" si="34"/>
        <v>769</v>
      </c>
      <c r="T165" s="322">
        <f t="shared" si="34"/>
        <v>6586</v>
      </c>
      <c r="U165" s="321">
        <f t="shared" si="34"/>
        <v>3295</v>
      </c>
      <c r="V165" s="321">
        <f t="shared" si="34"/>
        <v>6984</v>
      </c>
      <c r="W165" s="321">
        <f t="shared" si="34"/>
        <v>3340</v>
      </c>
      <c r="X165" s="321">
        <f t="shared" si="34"/>
        <v>6794</v>
      </c>
      <c r="Y165" s="321">
        <f t="shared" si="34"/>
        <v>3361</v>
      </c>
      <c r="Z165" s="321">
        <f t="shared" si="34"/>
        <v>20364</v>
      </c>
      <c r="AA165" s="316">
        <f t="shared" si="34"/>
        <v>9996</v>
      </c>
      <c r="AB165" s="320">
        <f t="shared" si="34"/>
        <v>228</v>
      </c>
      <c r="AC165" s="321">
        <f t="shared" si="34"/>
        <v>77</v>
      </c>
      <c r="AD165" s="321">
        <f t="shared" si="34"/>
        <v>12</v>
      </c>
      <c r="AE165" s="321">
        <f t="shared" si="34"/>
        <v>4</v>
      </c>
    </row>
    <row r="166" spans="1:31" s="81" customFormat="1" ht="17.100000000000001" customHeight="1">
      <c r="A166" s="1660" t="s">
        <v>434</v>
      </c>
      <c r="B166" s="1661"/>
      <c r="C166" s="1661"/>
      <c r="D166" s="1661"/>
      <c r="E166" s="1662"/>
      <c r="F166" s="281">
        <f>E165</f>
        <v>29</v>
      </c>
      <c r="G166" s="302"/>
      <c r="H166" s="222"/>
      <c r="I166" s="304"/>
      <c r="J166" s="305"/>
      <c r="K166" s="303"/>
      <c r="L166" s="303"/>
      <c r="M166" s="323"/>
      <c r="N166" s="307">
        <f t="shared" ref="N166:AE166" si="35">N165</f>
        <v>243</v>
      </c>
      <c r="O166" s="308">
        <f t="shared" si="35"/>
        <v>243</v>
      </c>
      <c r="P166" s="308">
        <f t="shared" si="35"/>
        <v>236</v>
      </c>
      <c r="Q166" s="308">
        <f t="shared" si="35"/>
        <v>46</v>
      </c>
      <c r="R166" s="308">
        <f t="shared" si="35"/>
        <v>1</v>
      </c>
      <c r="S166" s="309">
        <f t="shared" si="35"/>
        <v>769</v>
      </c>
      <c r="T166" s="324">
        <f t="shared" si="35"/>
        <v>6586</v>
      </c>
      <c r="U166" s="308">
        <f t="shared" si="35"/>
        <v>3295</v>
      </c>
      <c r="V166" s="308">
        <f t="shared" si="35"/>
        <v>6984</v>
      </c>
      <c r="W166" s="308">
        <f t="shared" si="35"/>
        <v>3340</v>
      </c>
      <c r="X166" s="308">
        <f t="shared" si="35"/>
        <v>6794</v>
      </c>
      <c r="Y166" s="308">
        <f t="shared" si="35"/>
        <v>3361</v>
      </c>
      <c r="Z166" s="308">
        <f t="shared" si="35"/>
        <v>20364</v>
      </c>
      <c r="AA166" s="313">
        <f t="shared" si="35"/>
        <v>9996</v>
      </c>
      <c r="AB166" s="307">
        <f t="shared" si="35"/>
        <v>228</v>
      </c>
      <c r="AC166" s="308">
        <f t="shared" si="35"/>
        <v>77</v>
      </c>
      <c r="AD166" s="1301">
        <f t="shared" si="35"/>
        <v>12</v>
      </c>
      <c r="AE166" s="1301">
        <f t="shared" si="35"/>
        <v>4</v>
      </c>
    </row>
    <row r="167" spans="1:31" s="81" customFormat="1" ht="17.100000000000001" customHeight="1">
      <c r="A167" s="168" t="s">
        <v>157</v>
      </c>
      <c r="B167" s="168" t="s">
        <v>4894</v>
      </c>
      <c r="C167" s="168" t="s">
        <v>158</v>
      </c>
      <c r="D167" s="168" t="s">
        <v>4</v>
      </c>
      <c r="E167" s="168" t="s">
        <v>144</v>
      </c>
      <c r="F167" s="168" t="s">
        <v>4895</v>
      </c>
      <c r="G167" s="71">
        <v>16577</v>
      </c>
      <c r="H167" s="50" t="s">
        <v>4896</v>
      </c>
      <c r="I167" s="72">
        <v>24857</v>
      </c>
      <c r="J167" s="52">
        <v>23030</v>
      </c>
      <c r="K167" s="53" t="s">
        <v>659</v>
      </c>
      <c r="L167" s="53" t="s">
        <v>660</v>
      </c>
      <c r="M167" s="54" t="s">
        <v>661</v>
      </c>
      <c r="N167" s="75">
        <v>6</v>
      </c>
      <c r="O167" s="73">
        <v>6</v>
      </c>
      <c r="P167" s="73">
        <v>6</v>
      </c>
      <c r="Q167" s="73">
        <v>3</v>
      </c>
      <c r="R167" s="73">
        <v>0</v>
      </c>
      <c r="S167" s="131">
        <f>SUM(N167:R167)</f>
        <v>21</v>
      </c>
      <c r="T167" s="75">
        <v>126</v>
      </c>
      <c r="U167" s="73">
        <v>0</v>
      </c>
      <c r="V167" s="73">
        <v>161</v>
      </c>
      <c r="W167" s="73">
        <v>0</v>
      </c>
      <c r="X167" s="73">
        <v>158</v>
      </c>
      <c r="Y167" s="73">
        <v>0</v>
      </c>
      <c r="Z167" s="132">
        <f>T167+V167+X167</f>
        <v>445</v>
      </c>
      <c r="AA167" s="131">
        <f>U167+W167+Y167</f>
        <v>0</v>
      </c>
      <c r="AB167" s="75">
        <v>15</v>
      </c>
      <c r="AC167" s="1290">
        <v>0</v>
      </c>
      <c r="AD167" s="78">
        <v>0</v>
      </c>
      <c r="AE167" s="78">
        <v>0</v>
      </c>
    </row>
    <row r="168" spans="1:31" s="81" customFormat="1" ht="17.100000000000001" customHeight="1">
      <c r="A168" s="168" t="s">
        <v>157</v>
      </c>
      <c r="B168" s="168" t="s">
        <v>4894</v>
      </c>
      <c r="C168" s="168" t="s">
        <v>158</v>
      </c>
      <c r="D168" s="167" t="s">
        <v>4</v>
      </c>
      <c r="E168" s="167" t="s">
        <v>24</v>
      </c>
      <c r="F168" s="168" t="s">
        <v>4897</v>
      </c>
      <c r="G168" s="71">
        <v>20173</v>
      </c>
      <c r="H168" s="50" t="s">
        <v>4898</v>
      </c>
      <c r="I168" s="77">
        <v>11934</v>
      </c>
      <c r="J168" s="52">
        <v>23024</v>
      </c>
      <c r="K168" s="53" t="s">
        <v>662</v>
      </c>
      <c r="L168" s="53" t="s">
        <v>663</v>
      </c>
      <c r="M168" s="54" t="s">
        <v>664</v>
      </c>
      <c r="N168" s="79">
        <v>6</v>
      </c>
      <c r="O168" s="78">
        <v>6</v>
      </c>
      <c r="P168" s="78">
        <v>6</v>
      </c>
      <c r="Q168" s="78">
        <v>1</v>
      </c>
      <c r="R168" s="78"/>
      <c r="S168" s="131">
        <v>19</v>
      </c>
      <c r="T168" s="79">
        <v>156</v>
      </c>
      <c r="U168" s="78">
        <v>156</v>
      </c>
      <c r="V168" s="78">
        <v>157</v>
      </c>
      <c r="W168" s="78">
        <v>157</v>
      </c>
      <c r="X168" s="78">
        <v>159</v>
      </c>
      <c r="Y168" s="78">
        <v>159</v>
      </c>
      <c r="Z168" s="132">
        <v>472</v>
      </c>
      <c r="AA168" s="131">
        <v>472</v>
      </c>
      <c r="AB168" s="314">
        <v>5</v>
      </c>
      <c r="AC168" s="1289">
        <v>5</v>
      </c>
      <c r="AD168" s="78"/>
      <c r="AE168" s="78"/>
    </row>
    <row r="169" spans="1:31" s="81" customFormat="1" ht="17.100000000000001" customHeight="1">
      <c r="A169" s="168" t="s">
        <v>157</v>
      </c>
      <c r="B169" s="168" t="s">
        <v>4894</v>
      </c>
      <c r="C169" s="168" t="s">
        <v>158</v>
      </c>
      <c r="D169" s="168" t="s">
        <v>4</v>
      </c>
      <c r="E169" s="167" t="s">
        <v>26</v>
      </c>
      <c r="F169" s="168" t="s">
        <v>4899</v>
      </c>
      <c r="G169" s="71">
        <v>19803</v>
      </c>
      <c r="H169" s="50" t="s">
        <v>4900</v>
      </c>
      <c r="I169" s="77">
        <v>42777</v>
      </c>
      <c r="J169" s="52">
        <v>23050</v>
      </c>
      <c r="K169" s="53" t="s">
        <v>4901</v>
      </c>
      <c r="L169" s="53" t="s">
        <v>4901</v>
      </c>
      <c r="M169" s="54" t="s">
        <v>665</v>
      </c>
      <c r="N169" s="79">
        <v>2</v>
      </c>
      <c r="O169" s="78">
        <v>2</v>
      </c>
      <c r="P169" s="78">
        <v>2</v>
      </c>
      <c r="Q169" s="78">
        <v>1</v>
      </c>
      <c r="R169" s="78">
        <v>0</v>
      </c>
      <c r="S169" s="131">
        <f>SUM(N169:R169)</f>
        <v>7</v>
      </c>
      <c r="T169" s="79">
        <v>31</v>
      </c>
      <c r="U169" s="78">
        <v>14</v>
      </c>
      <c r="V169" s="78">
        <v>37</v>
      </c>
      <c r="W169" s="78">
        <v>16</v>
      </c>
      <c r="X169" s="78">
        <v>42</v>
      </c>
      <c r="Y169" s="78">
        <v>18</v>
      </c>
      <c r="Z169" s="132">
        <f t="shared" ref="Z169:AA171" si="36">T169+V169+X169</f>
        <v>110</v>
      </c>
      <c r="AA169" s="131">
        <f t="shared" si="36"/>
        <v>48</v>
      </c>
      <c r="AB169" s="314">
        <v>5</v>
      </c>
      <c r="AC169" s="1292">
        <v>1</v>
      </c>
      <c r="AD169" s="78">
        <v>0</v>
      </c>
      <c r="AE169" s="78">
        <v>0</v>
      </c>
    </row>
    <row r="170" spans="1:31" s="81" customFormat="1" ht="17.100000000000001" customHeight="1">
      <c r="A170" s="168" t="s">
        <v>157</v>
      </c>
      <c r="B170" s="168" t="s">
        <v>4894</v>
      </c>
      <c r="C170" s="168" t="s">
        <v>158</v>
      </c>
      <c r="D170" s="167" t="s">
        <v>4</v>
      </c>
      <c r="E170" s="167" t="s">
        <v>26</v>
      </c>
      <c r="F170" s="168" t="s">
        <v>4902</v>
      </c>
      <c r="G170" s="71">
        <v>20241</v>
      </c>
      <c r="H170" s="50" t="s">
        <v>678</v>
      </c>
      <c r="I170" s="77">
        <v>20896</v>
      </c>
      <c r="J170" s="52">
        <v>23015</v>
      </c>
      <c r="K170" s="53" t="s">
        <v>666</v>
      </c>
      <c r="L170" s="53" t="s">
        <v>667</v>
      </c>
      <c r="M170" s="54" t="s">
        <v>668</v>
      </c>
      <c r="N170" s="79">
        <v>1</v>
      </c>
      <c r="O170" s="78">
        <v>1</v>
      </c>
      <c r="P170" s="78">
        <v>1</v>
      </c>
      <c r="Q170" s="78">
        <v>1</v>
      </c>
      <c r="R170" s="78"/>
      <c r="S170" s="131">
        <f>SUM(N170:R170)</f>
        <v>4</v>
      </c>
      <c r="T170" s="79">
        <v>10</v>
      </c>
      <c r="U170" s="78">
        <v>6</v>
      </c>
      <c r="V170" s="78">
        <v>7</v>
      </c>
      <c r="W170" s="78">
        <v>3</v>
      </c>
      <c r="X170" s="78">
        <v>10</v>
      </c>
      <c r="Y170" s="78">
        <v>3</v>
      </c>
      <c r="Z170" s="132">
        <f t="shared" si="36"/>
        <v>27</v>
      </c>
      <c r="AA170" s="131">
        <f t="shared" si="36"/>
        <v>12</v>
      </c>
      <c r="AB170" s="314">
        <v>5</v>
      </c>
      <c r="AC170" s="1292">
        <v>1</v>
      </c>
      <c r="AD170" s="78"/>
      <c r="AE170" s="78"/>
    </row>
    <row r="171" spans="1:31" s="81" customFormat="1" ht="17.100000000000001" customHeight="1">
      <c r="A171" s="168" t="s">
        <v>157</v>
      </c>
      <c r="B171" s="168" t="s">
        <v>4894</v>
      </c>
      <c r="C171" s="168" t="s">
        <v>158</v>
      </c>
      <c r="D171" s="168" t="s">
        <v>4</v>
      </c>
      <c r="E171" s="167" t="s">
        <v>26</v>
      </c>
      <c r="F171" s="168" t="s">
        <v>4903</v>
      </c>
      <c r="G171" s="71">
        <v>24005</v>
      </c>
      <c r="H171" s="50" t="s">
        <v>669</v>
      </c>
      <c r="I171" s="77">
        <v>14940</v>
      </c>
      <c r="J171" s="52">
        <v>23060</v>
      </c>
      <c r="K171" s="53" t="s">
        <v>4904</v>
      </c>
      <c r="L171" s="53" t="s">
        <v>4905</v>
      </c>
      <c r="M171" s="54" t="s">
        <v>670</v>
      </c>
      <c r="N171" s="79">
        <v>1</v>
      </c>
      <c r="O171" s="78">
        <v>1</v>
      </c>
      <c r="P171" s="78">
        <v>1</v>
      </c>
      <c r="Q171" s="78">
        <v>1</v>
      </c>
      <c r="R171" s="78"/>
      <c r="S171" s="131">
        <f>SUM(N171:R171)</f>
        <v>4</v>
      </c>
      <c r="T171" s="79">
        <v>3</v>
      </c>
      <c r="U171" s="78">
        <v>1</v>
      </c>
      <c r="V171" s="78">
        <v>12</v>
      </c>
      <c r="W171" s="78">
        <v>7</v>
      </c>
      <c r="X171" s="78">
        <v>5</v>
      </c>
      <c r="Y171" s="78">
        <v>0</v>
      </c>
      <c r="Z171" s="132">
        <f t="shared" si="36"/>
        <v>20</v>
      </c>
      <c r="AA171" s="131">
        <f t="shared" si="36"/>
        <v>8</v>
      </c>
      <c r="AB171" s="79">
        <v>1</v>
      </c>
      <c r="AC171" s="1289">
        <v>1</v>
      </c>
      <c r="AD171" s="78"/>
      <c r="AE171" s="78"/>
    </row>
    <row r="172" spans="1:31" s="81" customFormat="1" ht="17.100000000000001" customHeight="1">
      <c r="A172" s="168" t="s">
        <v>157</v>
      </c>
      <c r="B172" s="168" t="s">
        <v>4894</v>
      </c>
      <c r="C172" s="168" t="s">
        <v>158</v>
      </c>
      <c r="D172" s="167" t="s">
        <v>4</v>
      </c>
      <c r="E172" s="167" t="s">
        <v>26</v>
      </c>
      <c r="F172" s="168" t="s">
        <v>4906</v>
      </c>
      <c r="G172" s="71">
        <v>19968</v>
      </c>
      <c r="H172" s="50" t="s">
        <v>3148</v>
      </c>
      <c r="I172" s="77">
        <v>34013</v>
      </c>
      <c r="J172" s="52">
        <v>23002</v>
      </c>
      <c r="K172" s="53" t="s">
        <v>364</v>
      </c>
      <c r="L172" s="53" t="s">
        <v>365</v>
      </c>
      <c r="M172" s="54" t="s">
        <v>366</v>
      </c>
      <c r="N172" s="79">
        <v>1</v>
      </c>
      <c r="O172" s="78">
        <v>1</v>
      </c>
      <c r="P172" s="78">
        <v>1</v>
      </c>
      <c r="Q172" s="78">
        <v>1</v>
      </c>
      <c r="R172" s="78">
        <v>0</v>
      </c>
      <c r="S172" s="131">
        <v>4</v>
      </c>
      <c r="T172" s="79">
        <v>5</v>
      </c>
      <c r="U172" s="78">
        <v>2</v>
      </c>
      <c r="V172" s="78">
        <v>5</v>
      </c>
      <c r="W172" s="78">
        <v>2</v>
      </c>
      <c r="X172" s="78">
        <v>9</v>
      </c>
      <c r="Y172" s="78">
        <v>2</v>
      </c>
      <c r="Z172" s="132">
        <v>19</v>
      </c>
      <c r="AA172" s="131">
        <v>6</v>
      </c>
      <c r="AB172" s="79">
        <v>2</v>
      </c>
      <c r="AC172" s="1289">
        <v>0</v>
      </c>
      <c r="AD172" s="78">
        <v>0</v>
      </c>
      <c r="AE172" s="78">
        <v>0</v>
      </c>
    </row>
    <row r="173" spans="1:31" s="81" customFormat="1" ht="17.100000000000001" customHeight="1">
      <c r="A173" s="168" t="s">
        <v>157</v>
      </c>
      <c r="B173" s="168" t="s">
        <v>4894</v>
      </c>
      <c r="C173" s="168" t="s">
        <v>158</v>
      </c>
      <c r="D173" s="168" t="s">
        <v>4</v>
      </c>
      <c r="E173" s="167" t="s">
        <v>26</v>
      </c>
      <c r="F173" s="168" t="s">
        <v>4907</v>
      </c>
      <c r="G173" s="71">
        <v>29712</v>
      </c>
      <c r="H173" s="50" t="s">
        <v>4908</v>
      </c>
      <c r="I173" s="77">
        <v>23524</v>
      </c>
      <c r="J173" s="52">
        <v>23008</v>
      </c>
      <c r="K173" s="53" t="s">
        <v>257</v>
      </c>
      <c r="L173" s="53" t="s">
        <v>257</v>
      </c>
      <c r="M173" s="54" t="s">
        <v>258</v>
      </c>
      <c r="N173" s="79"/>
      <c r="O173" s="78">
        <v>1</v>
      </c>
      <c r="P173" s="78">
        <v>1</v>
      </c>
      <c r="Q173" s="78">
        <v>1</v>
      </c>
      <c r="R173" s="78"/>
      <c r="S173" s="131">
        <f>SUM(N173:R173)</f>
        <v>3</v>
      </c>
      <c r="T173" s="79"/>
      <c r="U173" s="78"/>
      <c r="V173" s="78">
        <v>1</v>
      </c>
      <c r="W173" s="78">
        <v>1</v>
      </c>
      <c r="X173" s="78">
        <v>1</v>
      </c>
      <c r="Y173" s="78"/>
      <c r="Z173" s="132">
        <f>T173+V173+X173</f>
        <v>2</v>
      </c>
      <c r="AA173" s="131">
        <f>U173+W173+Y173</f>
        <v>1</v>
      </c>
      <c r="AB173" s="79">
        <v>1</v>
      </c>
      <c r="AC173" s="1289"/>
      <c r="AD173" s="78"/>
      <c r="AE173" s="78"/>
    </row>
    <row r="174" spans="1:31" s="81" customFormat="1" ht="17.100000000000001" customHeight="1">
      <c r="A174" s="1625" t="s">
        <v>435</v>
      </c>
      <c r="B174" s="1626"/>
      <c r="C174" s="1626"/>
      <c r="D174" s="1626"/>
      <c r="E174" s="179">
        <f>COUNTA(E167:E173)</f>
        <v>7</v>
      </c>
      <c r="F174" s="283"/>
      <c r="G174" s="284"/>
      <c r="H174" s="181"/>
      <c r="I174" s="318"/>
      <c r="J174" s="287"/>
      <c r="K174" s="285"/>
      <c r="L174" s="285"/>
      <c r="M174" s="319"/>
      <c r="N174" s="320">
        <f t="shared" ref="N174:AE174" si="37">SUM(N167:N173)</f>
        <v>17</v>
      </c>
      <c r="O174" s="321">
        <f t="shared" si="37"/>
        <v>18</v>
      </c>
      <c r="P174" s="321">
        <f t="shared" si="37"/>
        <v>18</v>
      </c>
      <c r="Q174" s="321">
        <f t="shared" si="37"/>
        <v>9</v>
      </c>
      <c r="R174" s="321">
        <f t="shared" si="37"/>
        <v>0</v>
      </c>
      <c r="S174" s="291">
        <f t="shared" si="37"/>
        <v>62</v>
      </c>
      <c r="T174" s="322">
        <f t="shared" si="37"/>
        <v>331</v>
      </c>
      <c r="U174" s="321">
        <f t="shared" si="37"/>
        <v>179</v>
      </c>
      <c r="V174" s="321">
        <f t="shared" si="37"/>
        <v>380</v>
      </c>
      <c r="W174" s="321">
        <f t="shared" si="37"/>
        <v>186</v>
      </c>
      <c r="X174" s="321">
        <f t="shared" si="37"/>
        <v>384</v>
      </c>
      <c r="Y174" s="321">
        <f t="shared" si="37"/>
        <v>182</v>
      </c>
      <c r="Z174" s="321">
        <f t="shared" si="37"/>
        <v>1095</v>
      </c>
      <c r="AA174" s="316">
        <f t="shared" si="37"/>
        <v>547</v>
      </c>
      <c r="AB174" s="320">
        <f t="shared" si="37"/>
        <v>34</v>
      </c>
      <c r="AC174" s="321">
        <f t="shared" si="37"/>
        <v>8</v>
      </c>
      <c r="AD174" s="321">
        <f t="shared" si="37"/>
        <v>0</v>
      </c>
      <c r="AE174" s="321">
        <f t="shared" si="37"/>
        <v>0</v>
      </c>
    </row>
    <row r="175" spans="1:31" s="81" customFormat="1" ht="17.100000000000001" customHeight="1">
      <c r="A175" s="168" t="s">
        <v>157</v>
      </c>
      <c r="B175" s="168" t="s">
        <v>4894</v>
      </c>
      <c r="C175" s="168" t="s">
        <v>158</v>
      </c>
      <c r="D175" s="167" t="s">
        <v>445</v>
      </c>
      <c r="E175" s="167" t="s">
        <v>26</v>
      </c>
      <c r="F175" s="168" t="s">
        <v>4909</v>
      </c>
      <c r="G175" s="71">
        <v>18037</v>
      </c>
      <c r="H175" s="50" t="s">
        <v>1455</v>
      </c>
      <c r="I175" s="77">
        <v>10443</v>
      </c>
      <c r="J175" s="52">
        <v>23057</v>
      </c>
      <c r="K175" s="53" t="s">
        <v>671</v>
      </c>
      <c r="L175" s="53" t="s">
        <v>672</v>
      </c>
      <c r="M175" s="54" t="s">
        <v>679</v>
      </c>
      <c r="N175" s="79">
        <v>1</v>
      </c>
      <c r="O175" s="78">
        <v>1</v>
      </c>
      <c r="P175" s="78">
        <v>1</v>
      </c>
      <c r="Q175" s="78"/>
      <c r="R175" s="78"/>
      <c r="S175" s="131">
        <f t="shared" ref="S175" si="38">SUM(N175:R175)</f>
        <v>3</v>
      </c>
      <c r="T175" s="79">
        <v>26</v>
      </c>
      <c r="U175" s="78">
        <v>5</v>
      </c>
      <c r="V175" s="78">
        <v>19</v>
      </c>
      <c r="W175" s="78">
        <v>2</v>
      </c>
      <c r="X175" s="78">
        <v>17</v>
      </c>
      <c r="Y175" s="78">
        <v>2</v>
      </c>
      <c r="Z175" s="132">
        <f t="shared" ref="Z175:AA175" si="39">T175+V175+X175</f>
        <v>62</v>
      </c>
      <c r="AA175" s="131">
        <f t="shared" si="39"/>
        <v>9</v>
      </c>
      <c r="AB175" s="79"/>
      <c r="AC175" s="78"/>
      <c r="AD175" s="78"/>
      <c r="AE175" s="80"/>
    </row>
    <row r="176" spans="1:31" s="81" customFormat="1" ht="17.100000000000001" customHeight="1">
      <c r="A176" s="168" t="s">
        <v>157</v>
      </c>
      <c r="B176" s="168" t="s">
        <v>4894</v>
      </c>
      <c r="C176" s="168" t="s">
        <v>158</v>
      </c>
      <c r="D176" s="167" t="s">
        <v>5</v>
      </c>
      <c r="E176" s="167" t="s">
        <v>26</v>
      </c>
      <c r="F176" s="168" t="s">
        <v>4910</v>
      </c>
      <c r="G176" s="71">
        <v>17472</v>
      </c>
      <c r="H176" s="50" t="s">
        <v>4911</v>
      </c>
      <c r="I176" s="77">
        <v>23833</v>
      </c>
      <c r="J176" s="52">
        <v>23005</v>
      </c>
      <c r="K176" s="53" t="s">
        <v>673</v>
      </c>
      <c r="L176" s="53" t="s">
        <v>674</v>
      </c>
      <c r="M176" s="54" t="s">
        <v>675</v>
      </c>
      <c r="N176" s="79">
        <v>1</v>
      </c>
      <c r="O176" s="78">
        <v>1</v>
      </c>
      <c r="P176" s="78">
        <v>1</v>
      </c>
      <c r="Q176" s="78"/>
      <c r="R176" s="78"/>
      <c r="S176" s="131">
        <v>3</v>
      </c>
      <c r="T176" s="79">
        <v>29</v>
      </c>
      <c r="U176" s="78">
        <v>14</v>
      </c>
      <c r="V176" s="78">
        <v>27</v>
      </c>
      <c r="W176" s="78">
        <v>8</v>
      </c>
      <c r="X176" s="78">
        <v>22</v>
      </c>
      <c r="Y176" s="78">
        <v>9</v>
      </c>
      <c r="Z176" s="132">
        <v>78</v>
      </c>
      <c r="AA176" s="131">
        <v>31</v>
      </c>
      <c r="AB176" s="79"/>
      <c r="AC176" s="78"/>
      <c r="AD176" s="78"/>
      <c r="AE176" s="80"/>
    </row>
    <row r="177" spans="1:31" s="81" customFormat="1" ht="17.100000000000001" customHeight="1">
      <c r="A177" s="1681" t="s">
        <v>676</v>
      </c>
      <c r="B177" s="1682"/>
      <c r="C177" s="1682"/>
      <c r="D177" s="1683"/>
      <c r="E177" s="188">
        <f>COUNTA(E175:E176)</f>
        <v>2</v>
      </c>
      <c r="F177" s="292"/>
      <c r="G177" s="293"/>
      <c r="H177" s="190"/>
      <c r="I177" s="295"/>
      <c r="J177" s="296"/>
      <c r="K177" s="294"/>
      <c r="L177" s="294"/>
      <c r="M177" s="325"/>
      <c r="N177" s="298">
        <f t="shared" ref="N177:AE177" si="40">SUM(N175:N176)</f>
        <v>2</v>
      </c>
      <c r="O177" s="299">
        <f t="shared" si="40"/>
        <v>2</v>
      </c>
      <c r="P177" s="299">
        <f t="shared" si="40"/>
        <v>2</v>
      </c>
      <c r="Q177" s="299">
        <f t="shared" si="40"/>
        <v>0</v>
      </c>
      <c r="R177" s="299">
        <f t="shared" si="40"/>
        <v>0</v>
      </c>
      <c r="S177" s="300">
        <f t="shared" si="40"/>
        <v>6</v>
      </c>
      <c r="T177" s="326">
        <f t="shared" si="40"/>
        <v>55</v>
      </c>
      <c r="U177" s="299">
        <f t="shared" si="40"/>
        <v>19</v>
      </c>
      <c r="V177" s="299">
        <f t="shared" si="40"/>
        <v>46</v>
      </c>
      <c r="W177" s="299">
        <f t="shared" si="40"/>
        <v>10</v>
      </c>
      <c r="X177" s="299">
        <f t="shared" si="40"/>
        <v>39</v>
      </c>
      <c r="Y177" s="299">
        <f t="shared" si="40"/>
        <v>11</v>
      </c>
      <c r="Z177" s="299">
        <f t="shared" si="40"/>
        <v>140</v>
      </c>
      <c r="AA177" s="327">
        <f t="shared" si="40"/>
        <v>40</v>
      </c>
      <c r="AB177" s="298">
        <f t="shared" si="40"/>
        <v>0</v>
      </c>
      <c r="AC177" s="299">
        <f t="shared" si="40"/>
        <v>0</v>
      </c>
      <c r="AD177" s="299">
        <f t="shared" si="40"/>
        <v>0</v>
      </c>
      <c r="AE177" s="299">
        <f t="shared" si="40"/>
        <v>0</v>
      </c>
    </row>
    <row r="178" spans="1:31" s="81" customFormat="1" ht="17.100000000000001" customHeight="1">
      <c r="A178" s="1660" t="s">
        <v>677</v>
      </c>
      <c r="B178" s="1661"/>
      <c r="C178" s="1661"/>
      <c r="D178" s="1661"/>
      <c r="E178" s="1662"/>
      <c r="F178" s="281">
        <f>E174+E177</f>
        <v>9</v>
      </c>
      <c r="G178" s="302"/>
      <c r="H178" s="222"/>
      <c r="I178" s="304"/>
      <c r="J178" s="305"/>
      <c r="K178" s="303"/>
      <c r="L178" s="303"/>
      <c r="M178" s="323"/>
      <c r="N178" s="307">
        <f t="shared" ref="N178:AE178" si="41">N174+N177</f>
        <v>19</v>
      </c>
      <c r="O178" s="308">
        <f t="shared" si="41"/>
        <v>20</v>
      </c>
      <c r="P178" s="308">
        <f t="shared" si="41"/>
        <v>20</v>
      </c>
      <c r="Q178" s="308">
        <f t="shared" si="41"/>
        <v>9</v>
      </c>
      <c r="R178" s="308">
        <f t="shared" si="41"/>
        <v>0</v>
      </c>
      <c r="S178" s="309">
        <f t="shared" si="41"/>
        <v>68</v>
      </c>
      <c r="T178" s="324">
        <f t="shared" si="41"/>
        <v>386</v>
      </c>
      <c r="U178" s="308">
        <f t="shared" si="41"/>
        <v>198</v>
      </c>
      <c r="V178" s="308">
        <f t="shared" si="41"/>
        <v>426</v>
      </c>
      <c r="W178" s="308">
        <f t="shared" si="41"/>
        <v>196</v>
      </c>
      <c r="X178" s="308">
        <f t="shared" si="41"/>
        <v>423</v>
      </c>
      <c r="Y178" s="308">
        <f t="shared" si="41"/>
        <v>193</v>
      </c>
      <c r="Z178" s="308">
        <f t="shared" si="41"/>
        <v>1235</v>
      </c>
      <c r="AA178" s="313">
        <f t="shared" si="41"/>
        <v>587</v>
      </c>
      <c r="AB178" s="307">
        <f t="shared" si="41"/>
        <v>34</v>
      </c>
      <c r="AC178" s="308">
        <f t="shared" si="41"/>
        <v>8</v>
      </c>
      <c r="AD178" s="308">
        <f t="shared" si="41"/>
        <v>0</v>
      </c>
      <c r="AE178" s="308">
        <f t="shared" si="41"/>
        <v>0</v>
      </c>
    </row>
    <row r="179" spans="1:31" s="81" customFormat="1" ht="20.100000000000001" customHeight="1">
      <c r="A179" s="1571" t="s">
        <v>402</v>
      </c>
      <c r="B179" s="1572"/>
      <c r="C179" s="1572"/>
      <c r="D179" s="1572"/>
      <c r="E179" s="1572"/>
      <c r="F179" s="1573"/>
      <c r="G179" s="170">
        <f>F20+F26+F33+F47+F70+F87+F112+F135+F166+F178</f>
        <v>147</v>
      </c>
      <c r="H179" s="240"/>
      <c r="I179" s="241"/>
      <c r="J179" s="242"/>
      <c r="K179" s="240"/>
      <c r="L179" s="240"/>
      <c r="M179" s="243"/>
      <c r="N179" s="197">
        <f t="shared" ref="N179:AE179" si="42">N20+N26+N33+N47+N70+N87+N112+N135+N166+N178</f>
        <v>978</v>
      </c>
      <c r="O179" s="174">
        <f t="shared" si="42"/>
        <v>1004</v>
      </c>
      <c r="P179" s="174">
        <f t="shared" si="42"/>
        <v>988</v>
      </c>
      <c r="Q179" s="174">
        <f t="shared" si="42"/>
        <v>213</v>
      </c>
      <c r="R179" s="174">
        <f t="shared" si="42"/>
        <v>13</v>
      </c>
      <c r="S179" s="198">
        <f t="shared" si="42"/>
        <v>3196</v>
      </c>
      <c r="T179" s="197">
        <f t="shared" si="42"/>
        <v>25721</v>
      </c>
      <c r="U179" s="174">
        <f t="shared" si="42"/>
        <v>12660</v>
      </c>
      <c r="V179" s="174">
        <f t="shared" si="42"/>
        <v>28205</v>
      </c>
      <c r="W179" s="174">
        <f t="shared" si="42"/>
        <v>13700</v>
      </c>
      <c r="X179" s="174">
        <f t="shared" si="42"/>
        <v>27572</v>
      </c>
      <c r="Y179" s="174">
        <f t="shared" si="42"/>
        <v>13463</v>
      </c>
      <c r="Z179" s="175">
        <f t="shared" si="42"/>
        <v>81498</v>
      </c>
      <c r="AA179" s="198">
        <f t="shared" si="42"/>
        <v>39823</v>
      </c>
      <c r="AB179" s="178">
        <f t="shared" si="42"/>
        <v>1089</v>
      </c>
      <c r="AC179" s="171">
        <f t="shared" si="42"/>
        <v>375</v>
      </c>
      <c r="AD179" s="1302">
        <f t="shared" si="42"/>
        <v>147</v>
      </c>
      <c r="AE179" s="1302">
        <f t="shared" si="42"/>
        <v>71</v>
      </c>
    </row>
    <row r="180" spans="1:31"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805"/>
      <c r="AD180" s="1303"/>
      <c r="AE180" s="1303"/>
    </row>
    <row r="181" spans="1:31" s="81" customFormat="1" ht="17.100000000000001" customHeight="1">
      <c r="A181" s="1567" t="s">
        <v>1350</v>
      </c>
      <c r="B181" s="1567"/>
      <c r="C181" s="820"/>
      <c r="D181" s="247">
        <f>F20+F26+F33+F47</f>
        <v>31</v>
      </c>
      <c r="E181" s="248"/>
      <c r="F181" s="248"/>
      <c r="G181" s="248"/>
      <c r="H181" s="248"/>
      <c r="I181" s="248"/>
      <c r="J181" s="248"/>
      <c r="K181" s="248"/>
      <c r="L181" s="248"/>
      <c r="M181" s="249"/>
      <c r="N181" s="250">
        <f t="shared" ref="N181:AE181" si="43">N20+N26+N33+N47</f>
        <v>182</v>
      </c>
      <c r="O181" s="250">
        <f t="shared" si="43"/>
        <v>194</v>
      </c>
      <c r="P181" s="250">
        <f t="shared" si="43"/>
        <v>187</v>
      </c>
      <c r="Q181" s="250">
        <f t="shared" si="43"/>
        <v>48</v>
      </c>
      <c r="R181" s="250">
        <f t="shared" si="43"/>
        <v>0</v>
      </c>
      <c r="S181" s="381">
        <f t="shared" si="43"/>
        <v>611</v>
      </c>
      <c r="T181" s="254">
        <f t="shared" si="43"/>
        <v>4594</v>
      </c>
      <c r="U181" s="250">
        <f t="shared" si="43"/>
        <v>2255</v>
      </c>
      <c r="V181" s="250">
        <f t="shared" si="43"/>
        <v>5203</v>
      </c>
      <c r="W181" s="250">
        <f t="shared" si="43"/>
        <v>2569</v>
      </c>
      <c r="X181" s="250">
        <f t="shared" si="43"/>
        <v>5070</v>
      </c>
      <c r="Y181" s="250">
        <f t="shared" si="43"/>
        <v>2454</v>
      </c>
      <c r="Z181" s="380">
        <f t="shared" si="43"/>
        <v>14867</v>
      </c>
      <c r="AA181" s="380">
        <f t="shared" si="43"/>
        <v>7278</v>
      </c>
      <c r="AB181" s="250">
        <f t="shared" si="43"/>
        <v>256</v>
      </c>
      <c r="AC181" s="1293">
        <f t="shared" si="43"/>
        <v>103</v>
      </c>
      <c r="AD181" s="251">
        <f t="shared" si="43"/>
        <v>0</v>
      </c>
      <c r="AE181" s="251">
        <f t="shared" si="43"/>
        <v>0</v>
      </c>
    </row>
    <row r="182" spans="1:31" s="81" customFormat="1" ht="17.100000000000001" customHeight="1">
      <c r="A182" s="1567" t="s">
        <v>1351</v>
      </c>
      <c r="B182" s="1567"/>
      <c r="C182" s="820"/>
      <c r="D182" s="247">
        <f>F70+F87</f>
        <v>36</v>
      </c>
      <c r="E182" s="248"/>
      <c r="F182" s="248"/>
      <c r="G182" s="248"/>
      <c r="H182" s="248"/>
      <c r="I182" s="248"/>
      <c r="J182" s="248"/>
      <c r="K182" s="248"/>
      <c r="L182" s="248"/>
      <c r="M182" s="249"/>
      <c r="N182" s="250">
        <f t="shared" ref="N182:AE182" si="44">N70+N87</f>
        <v>212</v>
      </c>
      <c r="O182" s="250">
        <f t="shared" si="44"/>
        <v>225</v>
      </c>
      <c r="P182" s="250">
        <f t="shared" si="44"/>
        <v>224</v>
      </c>
      <c r="Q182" s="250">
        <f t="shared" si="44"/>
        <v>50</v>
      </c>
      <c r="R182" s="250">
        <f t="shared" si="44"/>
        <v>0</v>
      </c>
      <c r="S182" s="381">
        <f t="shared" si="44"/>
        <v>711</v>
      </c>
      <c r="T182" s="254">
        <f t="shared" si="44"/>
        <v>5183</v>
      </c>
      <c r="U182" s="250">
        <f t="shared" si="44"/>
        <v>2545</v>
      </c>
      <c r="V182" s="250">
        <f t="shared" si="44"/>
        <v>5857</v>
      </c>
      <c r="W182" s="250">
        <f t="shared" si="44"/>
        <v>2867</v>
      </c>
      <c r="X182" s="250">
        <f t="shared" si="44"/>
        <v>5918</v>
      </c>
      <c r="Y182" s="250">
        <f t="shared" si="44"/>
        <v>2839</v>
      </c>
      <c r="Z182" s="380">
        <f t="shared" si="44"/>
        <v>16958</v>
      </c>
      <c r="AA182" s="379">
        <f t="shared" si="44"/>
        <v>8251</v>
      </c>
      <c r="AB182" s="250">
        <f t="shared" si="44"/>
        <v>249</v>
      </c>
      <c r="AC182" s="1293">
        <f t="shared" si="44"/>
        <v>88</v>
      </c>
      <c r="AD182" s="251">
        <f t="shared" si="44"/>
        <v>0</v>
      </c>
      <c r="AE182" s="251">
        <f t="shared" si="44"/>
        <v>0</v>
      </c>
    </row>
    <row r="183" spans="1:31" s="81" customFormat="1" ht="17.100000000000001" customHeight="1">
      <c r="A183" s="1567" t="s">
        <v>1352</v>
      </c>
      <c r="B183" s="1567"/>
      <c r="C183" s="820"/>
      <c r="D183" s="247">
        <f>F112+F135</f>
        <v>42</v>
      </c>
      <c r="E183" s="248"/>
      <c r="F183" s="248"/>
      <c r="G183" s="248"/>
      <c r="H183" s="248"/>
      <c r="I183" s="248"/>
      <c r="J183" s="248"/>
      <c r="K183" s="248"/>
      <c r="L183" s="248"/>
      <c r="M183" s="249"/>
      <c r="N183" s="250">
        <f t="shared" ref="N183:AE183" si="45">N112+N135</f>
        <v>322</v>
      </c>
      <c r="O183" s="250">
        <f t="shared" si="45"/>
        <v>322</v>
      </c>
      <c r="P183" s="250">
        <f t="shared" si="45"/>
        <v>321</v>
      </c>
      <c r="Q183" s="250">
        <f t="shared" si="45"/>
        <v>60</v>
      </c>
      <c r="R183" s="250">
        <f t="shared" si="45"/>
        <v>12</v>
      </c>
      <c r="S183" s="381">
        <f t="shared" si="45"/>
        <v>1037</v>
      </c>
      <c r="T183" s="254">
        <f t="shared" si="45"/>
        <v>8972</v>
      </c>
      <c r="U183" s="250">
        <f t="shared" si="45"/>
        <v>4367</v>
      </c>
      <c r="V183" s="250">
        <f t="shared" si="45"/>
        <v>9735</v>
      </c>
      <c r="W183" s="250">
        <f t="shared" si="45"/>
        <v>4728</v>
      </c>
      <c r="X183" s="250">
        <f t="shared" si="45"/>
        <v>9367</v>
      </c>
      <c r="Y183" s="250">
        <f t="shared" si="45"/>
        <v>4616</v>
      </c>
      <c r="Z183" s="380">
        <f t="shared" si="45"/>
        <v>28074</v>
      </c>
      <c r="AA183" s="379">
        <f t="shared" si="45"/>
        <v>13711</v>
      </c>
      <c r="AB183" s="250">
        <f t="shared" si="45"/>
        <v>322</v>
      </c>
      <c r="AC183" s="1293">
        <f t="shared" si="45"/>
        <v>99</v>
      </c>
      <c r="AD183" s="251">
        <f t="shared" si="45"/>
        <v>135</v>
      </c>
      <c r="AE183" s="251">
        <f t="shared" si="45"/>
        <v>67</v>
      </c>
    </row>
    <row r="184" spans="1:31" s="81" customFormat="1" ht="17.100000000000001" customHeight="1">
      <c r="A184" s="1567" t="s">
        <v>1353</v>
      </c>
      <c r="B184" s="1567"/>
      <c r="C184" s="820"/>
      <c r="D184" s="247">
        <f>F166</f>
        <v>29</v>
      </c>
      <c r="E184" s="248"/>
      <c r="F184" s="248"/>
      <c r="G184" s="248"/>
      <c r="H184" s="248"/>
      <c r="I184" s="248"/>
      <c r="J184" s="248"/>
      <c r="K184" s="248"/>
      <c r="L184" s="248"/>
      <c r="M184" s="249"/>
      <c r="N184" s="250">
        <f t="shared" ref="N184:AE184" si="46">N166</f>
        <v>243</v>
      </c>
      <c r="O184" s="250">
        <f t="shared" si="46"/>
        <v>243</v>
      </c>
      <c r="P184" s="250">
        <f t="shared" si="46"/>
        <v>236</v>
      </c>
      <c r="Q184" s="250">
        <f t="shared" si="46"/>
        <v>46</v>
      </c>
      <c r="R184" s="250">
        <f t="shared" si="46"/>
        <v>1</v>
      </c>
      <c r="S184" s="381">
        <f t="shared" si="46"/>
        <v>769</v>
      </c>
      <c r="T184" s="254">
        <f t="shared" si="46"/>
        <v>6586</v>
      </c>
      <c r="U184" s="250">
        <f t="shared" si="46"/>
        <v>3295</v>
      </c>
      <c r="V184" s="250">
        <f t="shared" si="46"/>
        <v>6984</v>
      </c>
      <c r="W184" s="250">
        <f t="shared" si="46"/>
        <v>3340</v>
      </c>
      <c r="X184" s="250">
        <f t="shared" si="46"/>
        <v>6794</v>
      </c>
      <c r="Y184" s="250">
        <f t="shared" si="46"/>
        <v>3361</v>
      </c>
      <c r="Z184" s="380">
        <f t="shared" si="46"/>
        <v>20364</v>
      </c>
      <c r="AA184" s="379">
        <f t="shared" si="46"/>
        <v>9996</v>
      </c>
      <c r="AB184" s="250">
        <f t="shared" si="46"/>
        <v>228</v>
      </c>
      <c r="AC184" s="1293">
        <f t="shared" si="46"/>
        <v>77</v>
      </c>
      <c r="AD184" s="251">
        <f t="shared" si="46"/>
        <v>12</v>
      </c>
      <c r="AE184" s="251">
        <f t="shared" si="46"/>
        <v>4</v>
      </c>
    </row>
    <row r="185" spans="1:31" s="81" customFormat="1" ht="17.100000000000001" customHeight="1">
      <c r="A185" s="1567" t="s">
        <v>1354</v>
      </c>
      <c r="B185" s="1567"/>
      <c r="C185" s="820"/>
      <c r="D185" s="247">
        <f>F178</f>
        <v>9</v>
      </c>
      <c r="E185" s="248"/>
      <c r="F185" s="248"/>
      <c r="G185" s="248"/>
      <c r="H185" s="248"/>
      <c r="I185" s="248"/>
      <c r="J185" s="248"/>
      <c r="K185" s="248"/>
      <c r="L185" s="248"/>
      <c r="M185" s="249"/>
      <c r="N185" s="250">
        <f>N178</f>
        <v>19</v>
      </c>
      <c r="O185" s="250">
        <f t="shared" ref="O185:AE185" si="47">O178</f>
        <v>20</v>
      </c>
      <c r="P185" s="250">
        <f t="shared" si="47"/>
        <v>20</v>
      </c>
      <c r="Q185" s="250">
        <f t="shared" si="47"/>
        <v>9</v>
      </c>
      <c r="R185" s="250">
        <f t="shared" si="47"/>
        <v>0</v>
      </c>
      <c r="S185" s="381">
        <f t="shared" si="47"/>
        <v>68</v>
      </c>
      <c r="T185" s="254">
        <f t="shared" si="47"/>
        <v>386</v>
      </c>
      <c r="U185" s="250">
        <f t="shared" si="47"/>
        <v>198</v>
      </c>
      <c r="V185" s="250">
        <f t="shared" si="47"/>
        <v>426</v>
      </c>
      <c r="W185" s="250">
        <f t="shared" si="47"/>
        <v>196</v>
      </c>
      <c r="X185" s="250">
        <f t="shared" si="47"/>
        <v>423</v>
      </c>
      <c r="Y185" s="250">
        <f t="shared" si="47"/>
        <v>193</v>
      </c>
      <c r="Z185" s="380">
        <f t="shared" si="47"/>
        <v>1235</v>
      </c>
      <c r="AA185" s="379">
        <f t="shared" si="47"/>
        <v>587</v>
      </c>
      <c r="AB185" s="250">
        <f t="shared" si="47"/>
        <v>34</v>
      </c>
      <c r="AC185" s="1293">
        <f t="shared" si="47"/>
        <v>8</v>
      </c>
      <c r="AD185" s="251">
        <f t="shared" si="47"/>
        <v>0</v>
      </c>
      <c r="AE185" s="251">
        <f t="shared" si="47"/>
        <v>0</v>
      </c>
    </row>
    <row r="186" spans="1:31" s="81" customFormat="1" ht="17.100000000000001" customHeight="1">
      <c r="A186" s="1566" t="s">
        <v>1456</v>
      </c>
      <c r="B186" s="1566"/>
      <c r="C186" s="821"/>
      <c r="D186" s="257">
        <f>SUM(D181:D185)</f>
        <v>147</v>
      </c>
      <c r="E186" s="258"/>
      <c r="F186" s="258"/>
      <c r="G186" s="258"/>
      <c r="H186" s="258"/>
      <c r="I186" s="258"/>
      <c r="J186" s="258"/>
      <c r="K186" s="258"/>
      <c r="L186" s="258"/>
      <c r="M186" s="259"/>
      <c r="N186" s="260">
        <f>SUM(N181:N185)</f>
        <v>978</v>
      </c>
      <c r="O186" s="260">
        <f>SUM(O181:O185)</f>
        <v>1004</v>
      </c>
      <c r="P186" s="260">
        <f t="shared" ref="P186:AE186" si="48">SUM(P181:P185)</f>
        <v>988</v>
      </c>
      <c r="Q186" s="260">
        <f t="shared" si="48"/>
        <v>213</v>
      </c>
      <c r="R186" s="260">
        <f t="shared" si="48"/>
        <v>13</v>
      </c>
      <c r="S186" s="381">
        <f t="shared" si="48"/>
        <v>3196</v>
      </c>
      <c r="T186" s="262">
        <f t="shared" si="48"/>
        <v>25721</v>
      </c>
      <c r="U186" s="260">
        <f t="shared" si="48"/>
        <v>12660</v>
      </c>
      <c r="V186" s="260">
        <f t="shared" si="48"/>
        <v>28205</v>
      </c>
      <c r="W186" s="260">
        <f t="shared" si="48"/>
        <v>13700</v>
      </c>
      <c r="X186" s="260">
        <f t="shared" si="48"/>
        <v>27572</v>
      </c>
      <c r="Y186" s="260">
        <f t="shared" si="48"/>
        <v>13463</v>
      </c>
      <c r="Z186" s="380">
        <f t="shared" si="48"/>
        <v>81498</v>
      </c>
      <c r="AA186" s="379">
        <f t="shared" si="48"/>
        <v>39823</v>
      </c>
      <c r="AB186" s="260">
        <f t="shared" si="48"/>
        <v>1089</v>
      </c>
      <c r="AC186" s="1294">
        <f t="shared" si="48"/>
        <v>375</v>
      </c>
      <c r="AD186" s="261">
        <f t="shared" si="48"/>
        <v>147</v>
      </c>
      <c r="AE186" s="261">
        <f t="shared" si="48"/>
        <v>71</v>
      </c>
    </row>
    <row r="187" spans="1:31" s="81" customFormat="1" ht="17.100000000000001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838"/>
      <c r="AE187" s="838"/>
    </row>
    <row r="188" spans="1:31" s="81" customFormat="1" ht="17.100000000000001" customHeight="1">
      <c r="A188" s="1567" t="s">
        <v>1457</v>
      </c>
      <c r="B188" s="1567"/>
      <c r="C188" s="820"/>
      <c r="D188" s="247">
        <f>E17+E22+E32+E42+E69+E86+E109+E132+E165+E174</f>
        <v>137</v>
      </c>
      <c r="E188" s="363"/>
      <c r="F188" s="363"/>
      <c r="G188" s="363"/>
      <c r="H188" s="363"/>
      <c r="I188" s="363"/>
      <c r="J188" s="363"/>
      <c r="K188" s="363"/>
      <c r="L188" s="363"/>
      <c r="M188" s="266"/>
      <c r="N188" s="267">
        <f t="shared" ref="N188:AE188" si="49">N17+N22+N32+N42+N69+N86+N109+N132+N165+N174</f>
        <v>930</v>
      </c>
      <c r="O188" s="267">
        <f t="shared" si="49"/>
        <v>954</v>
      </c>
      <c r="P188" s="267">
        <f t="shared" si="49"/>
        <v>939</v>
      </c>
      <c r="Q188" s="267">
        <f t="shared" si="49"/>
        <v>212</v>
      </c>
      <c r="R188" s="267">
        <f t="shared" si="49"/>
        <v>13</v>
      </c>
      <c r="S188" s="388">
        <f t="shared" si="49"/>
        <v>3048</v>
      </c>
      <c r="T188" s="385">
        <f t="shared" si="49"/>
        <v>24558</v>
      </c>
      <c r="U188" s="267">
        <f t="shared" si="49"/>
        <v>12272</v>
      </c>
      <c r="V188" s="267">
        <f t="shared" si="49"/>
        <v>26908</v>
      </c>
      <c r="W188" s="267">
        <f t="shared" si="49"/>
        <v>13312</v>
      </c>
      <c r="X188" s="267">
        <f t="shared" si="49"/>
        <v>26365</v>
      </c>
      <c r="Y188" s="267">
        <f t="shared" si="49"/>
        <v>13115</v>
      </c>
      <c r="Z188" s="387">
        <f t="shared" si="49"/>
        <v>77831</v>
      </c>
      <c r="AA188" s="386">
        <f t="shared" si="49"/>
        <v>38699</v>
      </c>
      <c r="AB188" s="267">
        <f t="shared" si="49"/>
        <v>1084</v>
      </c>
      <c r="AC188" s="1295">
        <f t="shared" si="49"/>
        <v>371</v>
      </c>
      <c r="AD188" s="268">
        <f t="shared" si="49"/>
        <v>147</v>
      </c>
      <c r="AE188" s="268">
        <f t="shared" si="49"/>
        <v>71</v>
      </c>
    </row>
    <row r="189" spans="1:31" s="81" customFormat="1" ht="17.100000000000001" customHeight="1">
      <c r="A189" s="1567" t="s">
        <v>1458</v>
      </c>
      <c r="B189" s="1567"/>
      <c r="C189" s="820"/>
      <c r="D189" s="247">
        <f>E19+E25+E46+E111+E134+E177</f>
        <v>10</v>
      </c>
      <c r="E189" s="363"/>
      <c r="F189" s="363"/>
      <c r="G189" s="363"/>
      <c r="H189" s="363"/>
      <c r="I189" s="363"/>
      <c r="J189" s="363"/>
      <c r="K189" s="363"/>
      <c r="L189" s="363"/>
      <c r="M189" s="266"/>
      <c r="N189" s="267">
        <f t="shared" ref="N189:AE189" si="50">N19+N25+N46+N111+N134+N177</f>
        <v>48</v>
      </c>
      <c r="O189" s="267">
        <f t="shared" si="50"/>
        <v>50</v>
      </c>
      <c r="P189" s="267">
        <f t="shared" si="50"/>
        <v>49</v>
      </c>
      <c r="Q189" s="267">
        <f t="shared" si="50"/>
        <v>1</v>
      </c>
      <c r="R189" s="267">
        <f t="shared" si="50"/>
        <v>0</v>
      </c>
      <c r="S189" s="388">
        <f>S19+S25+S46+S111+S134+S177</f>
        <v>148</v>
      </c>
      <c r="T189" s="385">
        <f t="shared" si="50"/>
        <v>1163</v>
      </c>
      <c r="U189" s="267">
        <f t="shared" si="50"/>
        <v>388</v>
      </c>
      <c r="V189" s="267">
        <f t="shared" si="50"/>
        <v>1297</v>
      </c>
      <c r="W189" s="267">
        <f t="shared" si="50"/>
        <v>388</v>
      </c>
      <c r="X189" s="267">
        <f t="shared" si="50"/>
        <v>1207</v>
      </c>
      <c r="Y189" s="267">
        <f t="shared" si="50"/>
        <v>348</v>
      </c>
      <c r="Z189" s="387">
        <f t="shared" si="50"/>
        <v>3667</v>
      </c>
      <c r="AA189" s="386">
        <f t="shared" si="50"/>
        <v>1124</v>
      </c>
      <c r="AB189" s="267">
        <f t="shared" si="50"/>
        <v>5</v>
      </c>
      <c r="AC189" s="1295">
        <f t="shared" si="50"/>
        <v>4</v>
      </c>
      <c r="AD189" s="268">
        <f t="shared" si="50"/>
        <v>0</v>
      </c>
      <c r="AE189" s="268">
        <f t="shared" si="50"/>
        <v>0</v>
      </c>
    </row>
    <row r="190" spans="1:31" s="81" customFormat="1" ht="17.100000000000001" customHeight="1">
      <c r="A190" s="1566" t="s">
        <v>1459</v>
      </c>
      <c r="B190" s="1566"/>
      <c r="C190" s="821"/>
      <c r="D190" s="257">
        <f>SUM(D188:D189)</f>
        <v>147</v>
      </c>
      <c r="E190" s="364"/>
      <c r="F190" s="364"/>
      <c r="G190" s="364"/>
      <c r="H190" s="364"/>
      <c r="I190" s="364"/>
      <c r="J190" s="364"/>
      <c r="K190" s="364"/>
      <c r="L190" s="364"/>
      <c r="M190" s="278"/>
      <c r="N190" s="279">
        <f>SUM(N188:N189)</f>
        <v>978</v>
      </c>
      <c r="O190" s="279">
        <f>SUM(O188:O189)</f>
        <v>1004</v>
      </c>
      <c r="P190" s="279">
        <f>SUM(P188:P189)</f>
        <v>988</v>
      </c>
      <c r="Q190" s="279">
        <f>SUM(Q188:Q189)</f>
        <v>213</v>
      </c>
      <c r="R190" s="279">
        <f>SUM(R188:R189)</f>
        <v>13</v>
      </c>
      <c r="S190" s="388">
        <f t="shared" ref="S190:AE190" si="51">SUM(S188:S189)</f>
        <v>3196</v>
      </c>
      <c r="T190" s="391">
        <f t="shared" si="51"/>
        <v>25721</v>
      </c>
      <c r="U190" s="279">
        <f t="shared" si="51"/>
        <v>12660</v>
      </c>
      <c r="V190" s="279">
        <f t="shared" si="51"/>
        <v>28205</v>
      </c>
      <c r="W190" s="279">
        <f t="shared" si="51"/>
        <v>13700</v>
      </c>
      <c r="X190" s="279">
        <f t="shared" si="51"/>
        <v>27572</v>
      </c>
      <c r="Y190" s="279">
        <f t="shared" si="51"/>
        <v>13463</v>
      </c>
      <c r="Z190" s="387">
        <f t="shared" si="51"/>
        <v>81498</v>
      </c>
      <c r="AA190" s="386">
        <f t="shared" si="51"/>
        <v>39823</v>
      </c>
      <c r="AB190" s="279">
        <f t="shared" si="51"/>
        <v>1089</v>
      </c>
      <c r="AC190" s="1296">
        <f t="shared" si="51"/>
        <v>375</v>
      </c>
      <c r="AD190" s="280">
        <f t="shared" si="51"/>
        <v>147</v>
      </c>
      <c r="AE190" s="280">
        <f t="shared" si="51"/>
        <v>71</v>
      </c>
    </row>
    <row r="191" spans="1:31">
      <c r="AB191" s="733"/>
    </row>
    <row r="192" spans="1:31">
      <c r="O192" s="733"/>
      <c r="R192" s="733"/>
      <c r="S192" s="733"/>
    </row>
    <row r="193" spans="14:21">
      <c r="N193" s="733"/>
      <c r="R193" s="733"/>
      <c r="U193" s="733"/>
    </row>
  </sheetData>
  <mergeCells count="57">
    <mergeCell ref="A70:E70"/>
    <mergeCell ref="A178:E178"/>
    <mergeCell ref="A109:D109"/>
    <mergeCell ref="A111:D111"/>
    <mergeCell ref="A112:E112"/>
    <mergeCell ref="A174:D174"/>
    <mergeCell ref="A177:D177"/>
    <mergeCell ref="A165:D165"/>
    <mergeCell ref="A166:E166"/>
    <mergeCell ref="A132:D132"/>
    <mergeCell ref="A134:D134"/>
    <mergeCell ref="A135:E135"/>
    <mergeCell ref="A190:B190"/>
    <mergeCell ref="A179:F179"/>
    <mergeCell ref="A181:B181"/>
    <mergeCell ref="A182:B182"/>
    <mergeCell ref="A183:B183"/>
    <mergeCell ref="A184:B184"/>
    <mergeCell ref="A185:B185"/>
    <mergeCell ref="A186:B186"/>
    <mergeCell ref="A188:B188"/>
    <mergeCell ref="A189:B189"/>
    <mergeCell ref="AD3:AE4"/>
    <mergeCell ref="T3:AA3"/>
    <mergeCell ref="A87:E87"/>
    <mergeCell ref="N3:S4"/>
    <mergeCell ref="H3:H5"/>
    <mergeCell ref="J3:J5"/>
    <mergeCell ref="K3:K5"/>
    <mergeCell ref="A86:D86"/>
    <mergeCell ref="L3:L5"/>
    <mergeCell ref="M3:M5"/>
    <mergeCell ref="I3:I5"/>
    <mergeCell ref="A3:A5"/>
    <mergeCell ref="B3:B5"/>
    <mergeCell ref="D3:D5"/>
    <mergeCell ref="T4:U4"/>
    <mergeCell ref="V4:W4"/>
    <mergeCell ref="Z4:AA4"/>
    <mergeCell ref="AB3:AC4"/>
    <mergeCell ref="F3:F5"/>
    <mergeCell ref="G3:G5"/>
    <mergeCell ref="A17:D17"/>
    <mergeCell ref="C3:C5"/>
    <mergeCell ref="X4:Y4"/>
    <mergeCell ref="E3:E5"/>
    <mergeCell ref="A47:E47"/>
    <mergeCell ref="A69:D69"/>
    <mergeCell ref="A46:D46"/>
    <mergeCell ref="A19:D19"/>
    <mergeCell ref="A20:E20"/>
    <mergeCell ref="A22:D22"/>
    <mergeCell ref="A25:D25"/>
    <mergeCell ref="A26:E26"/>
    <mergeCell ref="A32:D32"/>
    <mergeCell ref="A33:E33"/>
    <mergeCell ref="A42:D42"/>
  </mergeCells>
  <phoneticPr fontId="16" type="noConversion"/>
  <dataValidations count="5">
    <dataValidation type="list" allowBlank="1" showInputMessage="1" showErrorMessage="1" sqref="E34:E41 E43:E45 E113:E131 E88:E108 E71:E85 E133 E110 E18 E6:E16 E27:E31 E23:E24 E21 E48:E68 E136:E164 E167:E173 E175:E176" xr:uid="{64571A21-CD74-460F-B1E1-F2E8E677EF4A}">
      <formula1>"남,여,공학"</formula1>
    </dataValidation>
    <dataValidation type="list" allowBlank="1" showInputMessage="1" showErrorMessage="1" sqref="D34:D41 D43:D45 D113:D131 D88:D108 D71:D85 D133 D110 D6:D16 D18 D21 D23:D24 D27:D31 D48:D68 D136:D164 D167:D173 D175:D176" xr:uid="{E1B52D9D-A2E8-44D2-9F10-9A75DE61B7ED}">
      <formula1>"국립,공립,사립"</formula1>
    </dataValidation>
    <dataValidation type="list" allowBlank="1" showInputMessage="1" showErrorMessage="1" sqref="A34:A41 A43:A45 A113:A131 A88:A108 A71:A85 A133 A110 A6:A16 A18 A21 A23:A24 A27:A31 A48:A68 A136:A164 A167:A173 A175:A176" xr:uid="{60058B90-A7C7-4A29-9899-3309781687A7}">
      <formula1>"남부,북부,동부,서부,강화"</formula1>
    </dataValidation>
    <dataValidation type="list" allowBlank="1" showInputMessage="1" showErrorMessage="1" sqref="B34:B41 B48:B68 B113:B131 B88:B108 B71:B85 B133 B110 B43:B45 B6:B16 B18 B21 B23:B24 B27:B31 B136:B164 B167:B173 B175:B176" xr:uid="{D9632734-2CF2-41C7-93D4-7B8FC6D4B130}">
      <formula1>"미추홀구,동구,옹진군,중구,부평구,계양구,남동구,연수구,서구,강화군"</formula1>
    </dataValidation>
    <dataValidation type="list" allowBlank="1" showInputMessage="1" showErrorMessage="1" sqref="C6:C16 C18 C21 C23:C24 C27:C31 C34:C41 C43:C45 C48:C68 C71:C85 C88:C108 C110 C133 C113:C131 C136:C164 C167:C173 C175:C176" xr:uid="{BAFC30AD-7D4F-4FC6-8ACE-F32B7500DD81}">
      <formula1>"미추홀구,제물포구,영종구,옹진군,부평구,계양구,남동구,연수구,서구,검단구,강화군"</formula1>
    </dataValidation>
  </dataValidations>
  <pageMargins left="0.25" right="0.25" top="0.75" bottom="0.75" header="0.3" footer="0.3"/>
  <pageSetup paperSize="9" scale="42" fitToHeight="0" orientation="landscape" r:id="rId1"/>
  <colBreaks count="1" manualBreakCount="1">
    <brk id="13" max="27" man="1"/>
  </colBreaks>
  <ignoredErrors>
    <ignoredError sqref="S109 Z109:AA109 S174:AA174 S132:AA13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4DB8-A9D7-458F-A09C-EAAE1D4A07AB}">
  <sheetPr>
    <pageSetUpPr fitToPage="1"/>
  </sheetPr>
  <dimension ref="A1:AF219"/>
  <sheetViews>
    <sheetView zoomScaleNormal="100" workbookViewId="0">
      <pane ySplit="5" topLeftCell="A6" activePane="bottomLeft" state="frozen"/>
      <selection pane="bottomLeft" activeCell="C1" sqref="C1"/>
    </sheetView>
  </sheetViews>
  <sheetFormatPr defaultRowHeight="16.5"/>
  <cols>
    <col min="1" max="2" width="9.625" style="14" customWidth="1"/>
    <col min="3" max="3" width="13.75" style="14" customWidth="1"/>
    <col min="4" max="5" width="9.625" style="14" customWidth="1"/>
    <col min="6" max="6" width="25.625" style="14" customWidth="1"/>
    <col min="7" max="7" width="11" style="14" customWidth="1"/>
    <col min="8" max="8" width="40.625" style="14" customWidth="1"/>
    <col min="9" max="9" width="11.125" style="14" customWidth="1"/>
    <col min="10" max="10" width="8.625" style="14" customWidth="1"/>
    <col min="11" max="13" width="9.125" style="14" customWidth="1"/>
    <col min="14" max="19" width="7.625" style="14" customWidth="1"/>
    <col min="20" max="27" width="8.125" style="14" customWidth="1"/>
    <col min="28" max="31" width="7.625" style="14" customWidth="1"/>
    <col min="32" max="32" width="15.5" style="14" customWidth="1"/>
    <col min="33" max="35" width="9" customWidth="1"/>
  </cols>
  <sheetData>
    <row r="1" spans="1:32" ht="26.25">
      <c r="A1" s="18" t="s">
        <v>97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32" s="3" customFormat="1" ht="20.100000000000001" customHeight="1">
      <c r="A2" s="824" t="s">
        <v>3243</v>
      </c>
      <c r="B2" s="19"/>
      <c r="C2" s="19"/>
      <c r="D2" s="19"/>
      <c r="E2" s="19"/>
      <c r="F2" s="825"/>
      <c r="G2" s="826"/>
      <c r="H2" s="826"/>
      <c r="I2" s="826"/>
      <c r="J2" s="826"/>
      <c r="K2" s="827"/>
      <c r="L2" s="827"/>
      <c r="M2" s="826"/>
      <c r="N2" s="826"/>
      <c r="O2" s="828"/>
      <c r="P2" s="828"/>
      <c r="Q2" s="828"/>
      <c r="R2" s="828"/>
      <c r="S2" s="828"/>
      <c r="T2" s="828"/>
      <c r="U2" s="828"/>
      <c r="V2" s="828"/>
      <c r="W2" s="19"/>
      <c r="X2" s="20"/>
      <c r="Y2" s="19"/>
      <c r="Z2" s="21"/>
      <c r="AA2" s="21"/>
      <c r="AB2" s="21"/>
      <c r="AC2" s="21"/>
      <c r="AD2" s="21"/>
      <c r="AE2" s="21"/>
      <c r="AF2" s="21"/>
    </row>
    <row r="3" spans="1:32" ht="17.25" customHeight="1">
      <c r="A3" s="1693" t="s">
        <v>122</v>
      </c>
      <c r="B3" s="1691" t="s">
        <v>106</v>
      </c>
      <c r="C3" s="1695" t="s">
        <v>2826</v>
      </c>
      <c r="D3" s="1691" t="s">
        <v>107</v>
      </c>
      <c r="E3" s="1696" t="s">
        <v>113</v>
      </c>
      <c r="F3" s="1691" t="s">
        <v>108</v>
      </c>
      <c r="G3" s="1691" t="s">
        <v>109</v>
      </c>
      <c r="H3" s="1691" t="s">
        <v>110</v>
      </c>
      <c r="I3" s="1696" t="s">
        <v>101</v>
      </c>
      <c r="J3" s="1691" t="s">
        <v>111</v>
      </c>
      <c r="K3" s="1693" t="s">
        <v>135</v>
      </c>
      <c r="L3" s="1693" t="s">
        <v>77</v>
      </c>
      <c r="M3" s="1687" t="s">
        <v>151</v>
      </c>
      <c r="N3" s="1690" t="s">
        <v>35</v>
      </c>
      <c r="O3" s="1691"/>
      <c r="P3" s="1691"/>
      <c r="Q3" s="1691"/>
      <c r="R3" s="1691"/>
      <c r="S3" s="1692"/>
      <c r="T3" s="1690" t="s">
        <v>99</v>
      </c>
      <c r="U3" s="1691"/>
      <c r="V3" s="1691"/>
      <c r="W3" s="1691"/>
      <c r="X3" s="1691"/>
      <c r="Y3" s="1691"/>
      <c r="Z3" s="1691"/>
      <c r="AA3" s="1692"/>
      <c r="AB3" s="1699" t="s">
        <v>100</v>
      </c>
      <c r="AC3" s="1700"/>
      <c r="AD3" s="1703" t="s">
        <v>137</v>
      </c>
      <c r="AE3" s="1704"/>
      <c r="AF3" s="1707" t="s">
        <v>0</v>
      </c>
    </row>
    <row r="4" spans="1:32" ht="17.25" customHeight="1">
      <c r="A4" s="1691"/>
      <c r="B4" s="1691"/>
      <c r="C4" s="1639"/>
      <c r="D4" s="1691"/>
      <c r="E4" s="1697"/>
      <c r="F4" s="1691"/>
      <c r="G4" s="1691"/>
      <c r="H4" s="1691"/>
      <c r="I4" s="1697"/>
      <c r="J4" s="1691"/>
      <c r="K4" s="1691"/>
      <c r="L4" s="1691"/>
      <c r="M4" s="1688"/>
      <c r="N4" s="1690"/>
      <c r="O4" s="1691"/>
      <c r="P4" s="1691"/>
      <c r="Q4" s="1691"/>
      <c r="R4" s="1691"/>
      <c r="S4" s="1692"/>
      <c r="T4" s="1690" t="s">
        <v>17</v>
      </c>
      <c r="U4" s="1691"/>
      <c r="V4" s="1691" t="s">
        <v>18</v>
      </c>
      <c r="W4" s="1691"/>
      <c r="X4" s="1691" t="s">
        <v>19</v>
      </c>
      <c r="Y4" s="1691"/>
      <c r="Z4" s="1709" t="s">
        <v>6</v>
      </c>
      <c r="AA4" s="1710"/>
      <c r="AB4" s="1701"/>
      <c r="AC4" s="1702"/>
      <c r="AD4" s="1705"/>
      <c r="AE4" s="1706"/>
      <c r="AF4" s="1707"/>
    </row>
    <row r="5" spans="1:32" ht="16.5" customHeight="1" thickBot="1">
      <c r="A5" s="1694"/>
      <c r="B5" s="1694"/>
      <c r="C5" s="1640"/>
      <c r="D5" s="1694"/>
      <c r="E5" s="1698"/>
      <c r="F5" s="1694"/>
      <c r="G5" s="1694"/>
      <c r="H5" s="1694"/>
      <c r="I5" s="1698"/>
      <c r="J5" s="1694"/>
      <c r="K5" s="1694"/>
      <c r="L5" s="1694"/>
      <c r="M5" s="1689"/>
      <c r="N5" s="45" t="s">
        <v>17</v>
      </c>
      <c r="O5" s="813" t="s">
        <v>18</v>
      </c>
      <c r="P5" s="813" t="s">
        <v>19</v>
      </c>
      <c r="Q5" s="813" t="s">
        <v>23</v>
      </c>
      <c r="R5" s="813" t="s">
        <v>136</v>
      </c>
      <c r="S5" s="144" t="s">
        <v>1</v>
      </c>
      <c r="T5" s="45" t="s">
        <v>117</v>
      </c>
      <c r="U5" s="813" t="s">
        <v>24</v>
      </c>
      <c r="V5" s="813" t="s">
        <v>1</v>
      </c>
      <c r="W5" s="813" t="s">
        <v>24</v>
      </c>
      <c r="X5" s="813" t="s">
        <v>1</v>
      </c>
      <c r="Y5" s="813" t="s">
        <v>24</v>
      </c>
      <c r="Z5" s="145" t="s">
        <v>1</v>
      </c>
      <c r="AA5" s="144" t="s">
        <v>24</v>
      </c>
      <c r="AB5" s="45" t="s">
        <v>41</v>
      </c>
      <c r="AC5" s="813" t="s">
        <v>43</v>
      </c>
      <c r="AD5" s="813" t="s">
        <v>41</v>
      </c>
      <c r="AE5" s="46" t="s">
        <v>43</v>
      </c>
      <c r="AF5" s="1708"/>
    </row>
    <row r="6" spans="1:32" s="81" customFormat="1" ht="17.100000000000001" customHeight="1" thickTop="1">
      <c r="A6" s="127" t="s">
        <v>138</v>
      </c>
      <c r="B6" s="127" t="s">
        <v>130</v>
      </c>
      <c r="C6" s="168" t="s">
        <v>130</v>
      </c>
      <c r="D6" s="127" t="s">
        <v>4</v>
      </c>
      <c r="E6" s="127" t="s">
        <v>144</v>
      </c>
      <c r="F6" s="127" t="s">
        <v>2827</v>
      </c>
      <c r="G6" s="155">
        <v>19910</v>
      </c>
      <c r="H6" s="156" t="s">
        <v>291</v>
      </c>
      <c r="I6" s="157">
        <v>23510.7</v>
      </c>
      <c r="J6" s="158">
        <v>22100</v>
      </c>
      <c r="K6" s="156" t="s">
        <v>292</v>
      </c>
      <c r="L6" s="156" t="s">
        <v>293</v>
      </c>
      <c r="M6" s="159" t="s">
        <v>294</v>
      </c>
      <c r="N6" s="86">
        <v>7</v>
      </c>
      <c r="O6" s="87">
        <v>7</v>
      </c>
      <c r="P6" s="87">
        <v>7</v>
      </c>
      <c r="Q6" s="87">
        <v>3</v>
      </c>
      <c r="R6" s="87"/>
      <c r="S6" s="133">
        <f>SUM(N6:R6)</f>
        <v>24</v>
      </c>
      <c r="T6" s="86">
        <v>157</v>
      </c>
      <c r="U6" s="87"/>
      <c r="V6" s="87">
        <v>166</v>
      </c>
      <c r="W6" s="87"/>
      <c r="X6" s="87">
        <v>159</v>
      </c>
      <c r="Y6" s="87"/>
      <c r="Z6" s="134">
        <f>T6+V6+X6</f>
        <v>482</v>
      </c>
      <c r="AA6" s="133">
        <f>U6+W6+Y6</f>
        <v>0</v>
      </c>
      <c r="AB6" s="160">
        <v>21</v>
      </c>
      <c r="AC6" s="161"/>
      <c r="AD6" s="87"/>
      <c r="AE6" s="88"/>
      <c r="AF6" s="89"/>
    </row>
    <row r="7" spans="1:32" s="81" customFormat="1" ht="17.100000000000001" customHeight="1">
      <c r="A7" s="127" t="s">
        <v>138</v>
      </c>
      <c r="B7" s="127" t="s">
        <v>130</v>
      </c>
      <c r="C7" s="168" t="s">
        <v>130</v>
      </c>
      <c r="D7" s="127" t="s">
        <v>4</v>
      </c>
      <c r="E7" s="127" t="s">
        <v>144</v>
      </c>
      <c r="F7" s="127" t="s">
        <v>286</v>
      </c>
      <c r="G7" s="82" t="s">
        <v>2828</v>
      </c>
      <c r="H7" s="50" t="s">
        <v>287</v>
      </c>
      <c r="I7" s="83">
        <v>36180</v>
      </c>
      <c r="J7" s="84">
        <v>22147</v>
      </c>
      <c r="K7" s="50" t="s">
        <v>288</v>
      </c>
      <c r="L7" s="50" t="s">
        <v>289</v>
      </c>
      <c r="M7" s="85" t="s">
        <v>290</v>
      </c>
      <c r="N7" s="86">
        <v>11</v>
      </c>
      <c r="O7" s="87">
        <v>10</v>
      </c>
      <c r="P7" s="87">
        <v>10</v>
      </c>
      <c r="Q7" s="87">
        <v>2</v>
      </c>
      <c r="R7" s="87"/>
      <c r="S7" s="133">
        <v>33</v>
      </c>
      <c r="T7" s="86">
        <v>253</v>
      </c>
      <c r="U7" s="87"/>
      <c r="V7" s="87">
        <v>227</v>
      </c>
      <c r="W7" s="87"/>
      <c r="X7" s="87">
        <v>218</v>
      </c>
      <c r="Y7" s="87"/>
      <c r="Z7" s="134">
        <v>698</v>
      </c>
      <c r="AA7" s="133">
        <v>0</v>
      </c>
      <c r="AB7" s="160">
        <v>14</v>
      </c>
      <c r="AC7" s="161"/>
      <c r="AD7" s="87"/>
      <c r="AE7" s="88"/>
      <c r="AF7" s="89"/>
    </row>
    <row r="8" spans="1:32" s="81" customFormat="1" ht="17.100000000000001" customHeight="1">
      <c r="A8" s="127" t="s">
        <v>138</v>
      </c>
      <c r="B8" s="127" t="s">
        <v>130</v>
      </c>
      <c r="C8" s="168" t="s">
        <v>130</v>
      </c>
      <c r="D8" s="127" t="s">
        <v>4</v>
      </c>
      <c r="E8" s="127" t="s">
        <v>24</v>
      </c>
      <c r="F8" s="127" t="s">
        <v>2829</v>
      </c>
      <c r="G8" s="82">
        <v>23716</v>
      </c>
      <c r="H8" s="50" t="s">
        <v>2830</v>
      </c>
      <c r="I8" s="83">
        <v>36275</v>
      </c>
      <c r="J8" s="84">
        <v>22100</v>
      </c>
      <c r="K8" s="50" t="s">
        <v>2831</v>
      </c>
      <c r="L8" s="50" t="s">
        <v>2832</v>
      </c>
      <c r="M8" s="85" t="s">
        <v>2833</v>
      </c>
      <c r="N8" s="86">
        <v>8</v>
      </c>
      <c r="O8" s="87">
        <v>7</v>
      </c>
      <c r="P8" s="87">
        <v>7</v>
      </c>
      <c r="Q8" s="87">
        <v>3</v>
      </c>
      <c r="R8" s="87"/>
      <c r="S8" s="133">
        <f>SUM(N8:R8)</f>
        <v>25</v>
      </c>
      <c r="T8" s="86">
        <v>211</v>
      </c>
      <c r="U8" s="87">
        <v>211</v>
      </c>
      <c r="V8" s="87">
        <v>174</v>
      </c>
      <c r="W8" s="87">
        <v>174</v>
      </c>
      <c r="X8" s="87">
        <v>177</v>
      </c>
      <c r="Y8" s="87">
        <v>177</v>
      </c>
      <c r="Z8" s="134">
        <f t="shared" ref="Z8:AA10" si="0">T8+V8+X8</f>
        <v>562</v>
      </c>
      <c r="AA8" s="133">
        <f t="shared" si="0"/>
        <v>562</v>
      </c>
      <c r="AB8" s="86">
        <v>21</v>
      </c>
      <c r="AC8" s="87">
        <v>21</v>
      </c>
      <c r="AD8" s="87"/>
      <c r="AE8" s="88"/>
      <c r="AF8" s="89"/>
    </row>
    <row r="9" spans="1:32" s="81" customFormat="1" ht="17.100000000000001" customHeight="1">
      <c r="A9" s="127" t="s">
        <v>138</v>
      </c>
      <c r="B9" s="127" t="s">
        <v>130</v>
      </c>
      <c r="C9" s="168" t="s">
        <v>130</v>
      </c>
      <c r="D9" s="127" t="s">
        <v>4</v>
      </c>
      <c r="E9" s="127" t="s">
        <v>144</v>
      </c>
      <c r="F9" s="127" t="s">
        <v>2834</v>
      </c>
      <c r="G9" s="82">
        <v>35125</v>
      </c>
      <c r="H9" s="50" t="s">
        <v>2835</v>
      </c>
      <c r="I9" s="83">
        <v>12000</v>
      </c>
      <c r="J9" s="84">
        <v>22225</v>
      </c>
      <c r="K9" s="50" t="s">
        <v>2058</v>
      </c>
      <c r="L9" s="50" t="s">
        <v>2836</v>
      </c>
      <c r="M9" s="85" t="s">
        <v>2059</v>
      </c>
      <c r="N9" s="86">
        <v>8</v>
      </c>
      <c r="O9" s="87">
        <v>7</v>
      </c>
      <c r="P9" s="87">
        <v>7</v>
      </c>
      <c r="Q9" s="87">
        <v>3</v>
      </c>
      <c r="R9" s="87"/>
      <c r="S9" s="133">
        <f>SUM(N9:R9)</f>
        <v>25</v>
      </c>
      <c r="T9" s="86">
        <v>173</v>
      </c>
      <c r="U9" s="87"/>
      <c r="V9" s="87">
        <v>159</v>
      </c>
      <c r="W9" s="87"/>
      <c r="X9" s="87">
        <v>153</v>
      </c>
      <c r="Y9" s="87"/>
      <c r="Z9" s="134">
        <f>T9+V9+X9</f>
        <v>485</v>
      </c>
      <c r="AA9" s="133">
        <f>U9+W9+Y9</f>
        <v>0</v>
      </c>
      <c r="AB9" s="86">
        <v>17</v>
      </c>
      <c r="AC9" s="87"/>
      <c r="AD9" s="87"/>
      <c r="AE9" s="88"/>
      <c r="AF9" s="89"/>
    </row>
    <row r="10" spans="1:32" s="81" customFormat="1" ht="17.100000000000001" customHeight="1">
      <c r="A10" s="127" t="s">
        <v>138</v>
      </c>
      <c r="B10" s="127" t="s">
        <v>130</v>
      </c>
      <c r="C10" s="168" t="s">
        <v>130</v>
      </c>
      <c r="D10" s="127" t="s">
        <v>4</v>
      </c>
      <c r="E10" s="127" t="s">
        <v>24</v>
      </c>
      <c r="F10" s="127" t="s">
        <v>2837</v>
      </c>
      <c r="G10" s="82">
        <v>35125</v>
      </c>
      <c r="H10" s="50" t="s">
        <v>2838</v>
      </c>
      <c r="I10" s="83">
        <v>13343</v>
      </c>
      <c r="J10" s="84">
        <v>22222</v>
      </c>
      <c r="K10" s="50" t="s">
        <v>1977</v>
      </c>
      <c r="L10" s="50" t="s">
        <v>1978</v>
      </c>
      <c r="M10" s="85" t="s">
        <v>1979</v>
      </c>
      <c r="N10" s="86">
        <v>12</v>
      </c>
      <c r="O10" s="87">
        <v>11</v>
      </c>
      <c r="P10" s="87">
        <v>12</v>
      </c>
      <c r="Q10" s="87">
        <v>2</v>
      </c>
      <c r="R10" s="87"/>
      <c r="S10" s="133">
        <f>SUM(N10:R10)</f>
        <v>37</v>
      </c>
      <c r="T10" s="87">
        <v>310</v>
      </c>
      <c r="U10" s="87">
        <v>310</v>
      </c>
      <c r="V10" s="87">
        <f>W10</f>
        <v>282</v>
      </c>
      <c r="W10" s="87">
        <v>282</v>
      </c>
      <c r="X10" s="87">
        <f>Y10</f>
        <v>318</v>
      </c>
      <c r="Y10" s="87">
        <v>318</v>
      </c>
      <c r="Z10" s="134">
        <f t="shared" si="0"/>
        <v>910</v>
      </c>
      <c r="AA10" s="133">
        <f t="shared" si="0"/>
        <v>910</v>
      </c>
      <c r="AB10" s="86">
        <v>13</v>
      </c>
      <c r="AC10" s="87">
        <v>13</v>
      </c>
      <c r="AD10" s="87"/>
      <c r="AE10" s="88"/>
      <c r="AF10" s="89"/>
    </row>
    <row r="11" spans="1:32" s="81" customFormat="1" ht="17.100000000000001" customHeight="1">
      <c r="A11" s="1684" t="s">
        <v>406</v>
      </c>
      <c r="B11" s="1684"/>
      <c r="C11" s="208"/>
      <c r="D11" s="207">
        <f>COUNTA(D6:D10)</f>
        <v>5</v>
      </c>
      <c r="E11" s="208"/>
      <c r="F11" s="829"/>
      <c r="G11" s="209"/>
      <c r="H11" s="210"/>
      <c r="I11" s="211"/>
      <c r="J11" s="212"/>
      <c r="K11" s="210"/>
      <c r="L11" s="210"/>
      <c r="M11" s="213"/>
      <c r="N11" s="214">
        <f>SUM(N6:N10)</f>
        <v>46</v>
      </c>
      <c r="O11" s="215">
        <f t="shared" ref="O11:AE11" si="1">SUM(O6:O10)</f>
        <v>42</v>
      </c>
      <c r="P11" s="215">
        <f t="shared" si="1"/>
        <v>43</v>
      </c>
      <c r="Q11" s="215">
        <f t="shared" si="1"/>
        <v>13</v>
      </c>
      <c r="R11" s="215">
        <f t="shared" si="1"/>
        <v>0</v>
      </c>
      <c r="S11" s="216">
        <f t="shared" si="1"/>
        <v>144</v>
      </c>
      <c r="T11" s="215">
        <f>SUM(T6:T10)</f>
        <v>1104</v>
      </c>
      <c r="U11" s="215">
        <f t="shared" si="1"/>
        <v>521</v>
      </c>
      <c r="V11" s="215">
        <f>SUM(V6:V10)</f>
        <v>1008</v>
      </c>
      <c r="W11" s="215">
        <f t="shared" si="1"/>
        <v>456</v>
      </c>
      <c r="X11" s="215">
        <f t="shared" si="1"/>
        <v>1025</v>
      </c>
      <c r="Y11" s="215">
        <f t="shared" si="1"/>
        <v>495</v>
      </c>
      <c r="Z11" s="215">
        <f t="shared" si="1"/>
        <v>3137</v>
      </c>
      <c r="AA11" s="216">
        <f t="shared" si="1"/>
        <v>1472</v>
      </c>
      <c r="AB11" s="1374">
        <f t="shared" si="1"/>
        <v>86</v>
      </c>
      <c r="AC11" s="136">
        <f t="shared" si="1"/>
        <v>34</v>
      </c>
      <c r="AD11" s="215">
        <f t="shared" si="1"/>
        <v>0</v>
      </c>
      <c r="AE11" s="216">
        <f t="shared" si="1"/>
        <v>0</v>
      </c>
      <c r="AF11" s="89"/>
    </row>
    <row r="12" spans="1:32" s="1364" customFormat="1" ht="17.100000000000001" customHeight="1">
      <c r="A12" s="1357" t="s">
        <v>139</v>
      </c>
      <c r="B12" s="1357" t="s">
        <v>130</v>
      </c>
      <c r="C12" s="1246" t="s">
        <v>8</v>
      </c>
      <c r="D12" s="1357" t="s">
        <v>4</v>
      </c>
      <c r="E12" s="1357" t="s">
        <v>26</v>
      </c>
      <c r="F12" s="1357" t="s">
        <v>2008</v>
      </c>
      <c r="G12" s="1358">
        <v>35490</v>
      </c>
      <c r="H12" s="1326" t="s">
        <v>2839</v>
      </c>
      <c r="I12" s="1359">
        <v>11319</v>
      </c>
      <c r="J12" s="1360">
        <v>22238</v>
      </c>
      <c r="K12" s="1326" t="s">
        <v>2840</v>
      </c>
      <c r="L12" s="1326" t="s">
        <v>2841</v>
      </c>
      <c r="M12" s="1361" t="s">
        <v>2842</v>
      </c>
      <c r="N12" s="160">
        <v>8</v>
      </c>
      <c r="O12" s="161">
        <v>8</v>
      </c>
      <c r="P12" s="161">
        <v>8</v>
      </c>
      <c r="Q12" s="161">
        <v>1</v>
      </c>
      <c r="R12" s="161">
        <v>0</v>
      </c>
      <c r="S12" s="135">
        <f>SUM(N12:R12)</f>
        <v>25</v>
      </c>
      <c r="T12" s="160">
        <v>170</v>
      </c>
      <c r="U12" s="161">
        <v>59</v>
      </c>
      <c r="V12" s="161">
        <v>138</v>
      </c>
      <c r="W12" s="161">
        <v>58</v>
      </c>
      <c r="X12" s="161">
        <v>147</v>
      </c>
      <c r="Y12" s="161">
        <v>71</v>
      </c>
      <c r="Z12" s="136">
        <f t="shared" ref="Z12:AA15" si="2">T12+V12+X12</f>
        <v>455</v>
      </c>
      <c r="AA12" s="135">
        <f t="shared" si="2"/>
        <v>188</v>
      </c>
      <c r="AB12" s="86">
        <v>9</v>
      </c>
      <c r="AC12" s="87">
        <v>1</v>
      </c>
      <c r="AD12" s="161"/>
      <c r="AE12" s="1362"/>
      <c r="AF12" s="1363"/>
    </row>
    <row r="13" spans="1:32" s="1364" customFormat="1" ht="17.100000000000001" customHeight="1">
      <c r="A13" s="1357" t="s">
        <v>139</v>
      </c>
      <c r="B13" s="1357" t="s">
        <v>130</v>
      </c>
      <c r="C13" s="1357" t="s">
        <v>130</v>
      </c>
      <c r="D13" s="1357" t="s">
        <v>4</v>
      </c>
      <c r="E13" s="1357" t="s">
        <v>144</v>
      </c>
      <c r="F13" s="1357" t="s">
        <v>2178</v>
      </c>
      <c r="G13" s="1358">
        <v>14741</v>
      </c>
      <c r="H13" s="1326" t="s">
        <v>2179</v>
      </c>
      <c r="I13" s="1359">
        <v>45777</v>
      </c>
      <c r="J13" s="1360">
        <v>22152</v>
      </c>
      <c r="K13" s="1326" t="s">
        <v>360</v>
      </c>
      <c r="L13" s="1326" t="s">
        <v>361</v>
      </c>
      <c r="M13" s="1361" t="s">
        <v>362</v>
      </c>
      <c r="N13" s="160">
        <v>13</v>
      </c>
      <c r="O13" s="161">
        <v>13</v>
      </c>
      <c r="P13" s="161">
        <v>13</v>
      </c>
      <c r="Q13" s="161">
        <v>2</v>
      </c>
      <c r="R13" s="161"/>
      <c r="S13" s="135">
        <f>SUM(N13:R13)</f>
        <v>41</v>
      </c>
      <c r="T13" s="160">
        <v>277</v>
      </c>
      <c r="U13" s="161"/>
      <c r="V13" s="161">
        <v>247</v>
      </c>
      <c r="W13" s="161"/>
      <c r="X13" s="161">
        <v>248</v>
      </c>
      <c r="Y13" s="161"/>
      <c r="Z13" s="136">
        <f t="shared" si="2"/>
        <v>772</v>
      </c>
      <c r="AA13" s="135">
        <f t="shared" si="2"/>
        <v>0</v>
      </c>
      <c r="AB13" s="160">
        <v>16</v>
      </c>
      <c r="AC13" s="161"/>
      <c r="AD13" s="161"/>
      <c r="AE13" s="1362"/>
      <c r="AF13" s="1363"/>
    </row>
    <row r="14" spans="1:32" s="81" customFormat="1" ht="17.100000000000001" customHeight="1">
      <c r="A14" s="127" t="s">
        <v>139</v>
      </c>
      <c r="B14" s="127" t="s">
        <v>130</v>
      </c>
      <c r="C14" s="168" t="s">
        <v>130</v>
      </c>
      <c r="D14" s="127" t="s">
        <v>4</v>
      </c>
      <c r="E14" s="127" t="s">
        <v>26</v>
      </c>
      <c r="F14" s="127" t="s">
        <v>214</v>
      </c>
      <c r="G14" s="82">
        <v>26360</v>
      </c>
      <c r="H14" s="50" t="s">
        <v>215</v>
      </c>
      <c r="I14" s="83">
        <v>31971</v>
      </c>
      <c r="J14" s="84">
        <v>22100</v>
      </c>
      <c r="K14" s="50" t="s">
        <v>216</v>
      </c>
      <c r="L14" s="50" t="s">
        <v>1985</v>
      </c>
      <c r="M14" s="85" t="s">
        <v>217</v>
      </c>
      <c r="N14" s="86">
        <v>7</v>
      </c>
      <c r="O14" s="87">
        <v>7</v>
      </c>
      <c r="P14" s="87">
        <v>7</v>
      </c>
      <c r="Q14" s="87"/>
      <c r="R14" s="87"/>
      <c r="S14" s="133">
        <f>SUM(N14:R14)</f>
        <v>21</v>
      </c>
      <c r="T14" s="86">
        <v>140</v>
      </c>
      <c r="U14" s="87">
        <v>81</v>
      </c>
      <c r="V14" s="87">
        <v>123</v>
      </c>
      <c r="W14" s="87">
        <v>56</v>
      </c>
      <c r="X14" s="87">
        <v>121</v>
      </c>
      <c r="Y14" s="87">
        <v>61</v>
      </c>
      <c r="Z14" s="134">
        <f t="shared" si="2"/>
        <v>384</v>
      </c>
      <c r="AA14" s="133">
        <f t="shared" si="2"/>
        <v>198</v>
      </c>
      <c r="AB14" s="86"/>
      <c r="AC14" s="87"/>
      <c r="AD14" s="87"/>
      <c r="AE14" s="88"/>
      <c r="AF14" s="89"/>
    </row>
    <row r="15" spans="1:32" s="1364" customFormat="1" ht="17.100000000000001" customHeight="1">
      <c r="A15" s="1357" t="s">
        <v>139</v>
      </c>
      <c r="B15" s="1357" t="s">
        <v>130</v>
      </c>
      <c r="C15" s="1246" t="s">
        <v>131</v>
      </c>
      <c r="D15" s="1357" t="s">
        <v>4</v>
      </c>
      <c r="E15" s="1357" t="s">
        <v>24</v>
      </c>
      <c r="F15" s="1357" t="s">
        <v>2174</v>
      </c>
      <c r="G15" s="1358">
        <v>25632</v>
      </c>
      <c r="H15" s="1326" t="s">
        <v>2843</v>
      </c>
      <c r="I15" s="1359">
        <v>15269.4</v>
      </c>
      <c r="J15" s="1360">
        <v>22115</v>
      </c>
      <c r="K15" s="1326" t="s">
        <v>2844</v>
      </c>
      <c r="L15" s="1326" t="s">
        <v>2845</v>
      </c>
      <c r="M15" s="1361" t="s">
        <v>2845</v>
      </c>
      <c r="N15" s="160">
        <v>8</v>
      </c>
      <c r="O15" s="161">
        <v>8</v>
      </c>
      <c r="P15" s="161">
        <v>8</v>
      </c>
      <c r="Q15" s="161">
        <v>0</v>
      </c>
      <c r="R15" s="161">
        <v>0</v>
      </c>
      <c r="S15" s="135">
        <f>SUM(N15:R15)</f>
        <v>24</v>
      </c>
      <c r="T15" s="160">
        <v>157</v>
      </c>
      <c r="U15" s="161">
        <v>157</v>
      </c>
      <c r="V15" s="161">
        <v>130</v>
      </c>
      <c r="W15" s="161">
        <v>130</v>
      </c>
      <c r="X15" s="161">
        <v>134</v>
      </c>
      <c r="Y15" s="161">
        <v>134</v>
      </c>
      <c r="Z15" s="136">
        <f t="shared" si="2"/>
        <v>421</v>
      </c>
      <c r="AA15" s="135">
        <f t="shared" si="2"/>
        <v>421</v>
      </c>
      <c r="AB15" s="86">
        <v>0</v>
      </c>
      <c r="AC15" s="87">
        <v>0</v>
      </c>
      <c r="AD15" s="161">
        <v>0</v>
      </c>
      <c r="AE15" s="1362">
        <v>0</v>
      </c>
      <c r="AF15" s="1363"/>
    </row>
    <row r="16" spans="1:32" s="1364" customFormat="1" ht="17.100000000000001" customHeight="1">
      <c r="A16" s="1357" t="s">
        <v>139</v>
      </c>
      <c r="B16" s="1357" t="s">
        <v>130</v>
      </c>
      <c r="C16" s="1246" t="s">
        <v>130</v>
      </c>
      <c r="D16" s="1357" t="s">
        <v>4</v>
      </c>
      <c r="E16" s="1357" t="s">
        <v>26</v>
      </c>
      <c r="F16" s="1357" t="s">
        <v>2846</v>
      </c>
      <c r="G16" s="1358">
        <v>28550</v>
      </c>
      <c r="H16" s="1326" t="s">
        <v>2847</v>
      </c>
      <c r="I16" s="1359">
        <v>72821</v>
      </c>
      <c r="J16" s="1360">
        <v>22100</v>
      </c>
      <c r="K16" s="1326" t="s">
        <v>2848</v>
      </c>
      <c r="L16" s="1326" t="s">
        <v>295</v>
      </c>
      <c r="M16" s="1361" t="s">
        <v>2849</v>
      </c>
      <c r="N16" s="1365">
        <v>10</v>
      </c>
      <c r="O16" s="1366">
        <v>10</v>
      </c>
      <c r="P16" s="1366">
        <v>10</v>
      </c>
      <c r="Q16" s="1366"/>
      <c r="R16" s="1366"/>
      <c r="S16" s="135">
        <f t="shared" ref="S16" si="3">SUM(N16:R16)</f>
        <v>30</v>
      </c>
      <c r="T16" s="1365">
        <v>194</v>
      </c>
      <c r="U16" s="1366">
        <v>52</v>
      </c>
      <c r="V16" s="1366">
        <v>126</v>
      </c>
      <c r="W16" s="1366">
        <v>34</v>
      </c>
      <c r="X16" s="1366">
        <v>125</v>
      </c>
      <c r="Y16" s="1366">
        <v>20</v>
      </c>
      <c r="Z16" s="136">
        <f t="shared" ref="Z16:AA16" si="4">T16+V16+X16</f>
        <v>445</v>
      </c>
      <c r="AA16" s="135">
        <f t="shared" si="4"/>
        <v>106</v>
      </c>
      <c r="AB16" s="90"/>
      <c r="AC16" s="91"/>
      <c r="AD16" s="1366"/>
      <c r="AE16" s="1367"/>
      <c r="AF16" s="1368"/>
    </row>
    <row r="17" spans="1:32" s="81" customFormat="1" ht="17.100000000000001" customHeight="1">
      <c r="A17" s="1684" t="s">
        <v>407</v>
      </c>
      <c r="B17" s="1684"/>
      <c r="C17" s="208"/>
      <c r="D17" s="207">
        <f>COUNTA(D12:D16)</f>
        <v>5</v>
      </c>
      <c r="E17" s="208"/>
      <c r="F17" s="829"/>
      <c r="G17" s="209"/>
      <c r="H17" s="210"/>
      <c r="I17" s="211"/>
      <c r="J17" s="212"/>
      <c r="K17" s="210"/>
      <c r="L17" s="210"/>
      <c r="M17" s="213"/>
      <c r="N17" s="214">
        <f t="shared" ref="N17:AE17" si="5">SUM(N12:N16)</f>
        <v>46</v>
      </c>
      <c r="O17" s="215">
        <f t="shared" si="5"/>
        <v>46</v>
      </c>
      <c r="P17" s="215">
        <f t="shared" si="5"/>
        <v>46</v>
      </c>
      <c r="Q17" s="215">
        <f t="shared" si="5"/>
        <v>3</v>
      </c>
      <c r="R17" s="215">
        <f t="shared" si="5"/>
        <v>0</v>
      </c>
      <c r="S17" s="216">
        <f t="shared" si="5"/>
        <v>141</v>
      </c>
      <c r="T17" s="214">
        <f t="shared" si="5"/>
        <v>938</v>
      </c>
      <c r="U17" s="215">
        <f t="shared" si="5"/>
        <v>349</v>
      </c>
      <c r="V17" s="215">
        <f t="shared" si="5"/>
        <v>764</v>
      </c>
      <c r="W17" s="215">
        <f t="shared" si="5"/>
        <v>278</v>
      </c>
      <c r="X17" s="215">
        <f t="shared" si="5"/>
        <v>775</v>
      </c>
      <c r="Y17" s="215">
        <f t="shared" si="5"/>
        <v>286</v>
      </c>
      <c r="Z17" s="215">
        <f t="shared" si="5"/>
        <v>2477</v>
      </c>
      <c r="AA17" s="216">
        <f t="shared" si="5"/>
        <v>913</v>
      </c>
      <c r="AB17" s="1374">
        <f t="shared" si="5"/>
        <v>25</v>
      </c>
      <c r="AC17" s="136">
        <f t="shared" si="5"/>
        <v>1</v>
      </c>
      <c r="AD17" s="215">
        <f t="shared" si="5"/>
        <v>0</v>
      </c>
      <c r="AE17" s="216">
        <f t="shared" si="5"/>
        <v>0</v>
      </c>
      <c r="AF17" s="217"/>
    </row>
    <row r="18" spans="1:32" s="81" customFormat="1" ht="17.100000000000001" customHeight="1">
      <c r="A18" s="127" t="s">
        <v>140</v>
      </c>
      <c r="B18" s="127" t="s">
        <v>130</v>
      </c>
      <c r="C18" s="168" t="s">
        <v>130</v>
      </c>
      <c r="D18" s="127" t="s">
        <v>4</v>
      </c>
      <c r="E18" s="127" t="s">
        <v>26</v>
      </c>
      <c r="F18" s="127" t="s">
        <v>2850</v>
      </c>
      <c r="G18" s="82">
        <v>19190</v>
      </c>
      <c r="H18" s="50" t="s">
        <v>215</v>
      </c>
      <c r="I18" s="83">
        <v>34530</v>
      </c>
      <c r="J18" s="84">
        <v>22100</v>
      </c>
      <c r="K18" s="50" t="s">
        <v>2851</v>
      </c>
      <c r="L18" s="50" t="s">
        <v>2852</v>
      </c>
      <c r="M18" s="85" t="s">
        <v>2853</v>
      </c>
      <c r="N18" s="86">
        <v>8</v>
      </c>
      <c r="O18" s="87">
        <v>8</v>
      </c>
      <c r="P18" s="87">
        <v>8</v>
      </c>
      <c r="Q18" s="87"/>
      <c r="R18" s="87"/>
      <c r="S18" s="133">
        <f>SUM(N18:R18)</f>
        <v>24</v>
      </c>
      <c r="T18" s="86">
        <v>128</v>
      </c>
      <c r="U18" s="87">
        <v>15</v>
      </c>
      <c r="V18" s="87">
        <v>114</v>
      </c>
      <c r="W18" s="87">
        <v>20</v>
      </c>
      <c r="X18" s="87">
        <v>107</v>
      </c>
      <c r="Y18" s="87">
        <v>9</v>
      </c>
      <c r="Z18" s="134">
        <f>T18+V18+X18</f>
        <v>349</v>
      </c>
      <c r="AA18" s="133">
        <f>U18+W18+Y18</f>
        <v>44</v>
      </c>
      <c r="AB18" s="86">
        <v>0</v>
      </c>
      <c r="AC18" s="87">
        <v>0</v>
      </c>
      <c r="AD18" s="87">
        <v>0</v>
      </c>
      <c r="AE18" s="88">
        <v>0</v>
      </c>
      <c r="AF18" s="89"/>
    </row>
    <row r="19" spans="1:32" s="81" customFormat="1" ht="17.100000000000001" customHeight="1">
      <c r="A19" s="1684" t="s">
        <v>408</v>
      </c>
      <c r="B19" s="1684"/>
      <c r="C19" s="208"/>
      <c r="D19" s="207">
        <f>COUNTA(D18)</f>
        <v>1</v>
      </c>
      <c r="E19" s="208"/>
      <c r="F19" s="829"/>
      <c r="G19" s="209"/>
      <c r="H19" s="210"/>
      <c r="I19" s="211"/>
      <c r="J19" s="212"/>
      <c r="K19" s="210"/>
      <c r="L19" s="210"/>
      <c r="M19" s="213"/>
      <c r="N19" s="214">
        <f t="shared" ref="N19:AE19" si="6">N18</f>
        <v>8</v>
      </c>
      <c r="O19" s="215">
        <f t="shared" si="6"/>
        <v>8</v>
      </c>
      <c r="P19" s="215">
        <f t="shared" si="6"/>
        <v>8</v>
      </c>
      <c r="Q19" s="215">
        <f t="shared" si="6"/>
        <v>0</v>
      </c>
      <c r="R19" s="215">
        <f t="shared" si="6"/>
        <v>0</v>
      </c>
      <c r="S19" s="216">
        <f t="shared" si="6"/>
        <v>24</v>
      </c>
      <c r="T19" s="214">
        <f t="shared" si="6"/>
        <v>128</v>
      </c>
      <c r="U19" s="215">
        <f t="shared" si="6"/>
        <v>15</v>
      </c>
      <c r="V19" s="215">
        <f t="shared" si="6"/>
        <v>114</v>
      </c>
      <c r="W19" s="215">
        <f t="shared" si="6"/>
        <v>20</v>
      </c>
      <c r="X19" s="215">
        <f t="shared" si="6"/>
        <v>107</v>
      </c>
      <c r="Y19" s="215">
        <f t="shared" si="6"/>
        <v>9</v>
      </c>
      <c r="Z19" s="215">
        <f t="shared" si="6"/>
        <v>349</v>
      </c>
      <c r="AA19" s="216">
        <f t="shared" si="6"/>
        <v>44</v>
      </c>
      <c r="AB19" s="214">
        <f t="shared" si="6"/>
        <v>0</v>
      </c>
      <c r="AC19" s="215">
        <f t="shared" si="6"/>
        <v>0</v>
      </c>
      <c r="AD19" s="215">
        <f t="shared" si="6"/>
        <v>0</v>
      </c>
      <c r="AE19" s="216">
        <f t="shared" si="6"/>
        <v>0</v>
      </c>
      <c r="AF19" s="217"/>
    </row>
    <row r="20" spans="1:32" s="81" customFormat="1" ht="17.100000000000001" customHeight="1">
      <c r="A20" s="1625" t="s">
        <v>409</v>
      </c>
      <c r="B20" s="1626"/>
      <c r="C20" s="1626"/>
      <c r="D20" s="1626"/>
      <c r="E20" s="179">
        <f>D11+D17+D19</f>
        <v>11</v>
      </c>
      <c r="F20" s="830"/>
      <c r="G20" s="180"/>
      <c r="H20" s="181"/>
      <c r="I20" s="182"/>
      <c r="J20" s="183"/>
      <c r="K20" s="181"/>
      <c r="L20" s="181"/>
      <c r="M20" s="184"/>
      <c r="N20" s="185">
        <f t="shared" ref="N20:AE20" si="7">N11+N17+N19</f>
        <v>100</v>
      </c>
      <c r="O20" s="186">
        <f t="shared" si="7"/>
        <v>96</v>
      </c>
      <c r="P20" s="186">
        <f t="shared" si="7"/>
        <v>97</v>
      </c>
      <c r="Q20" s="186">
        <f t="shared" si="7"/>
        <v>16</v>
      </c>
      <c r="R20" s="186">
        <f t="shared" si="7"/>
        <v>0</v>
      </c>
      <c r="S20" s="187">
        <f t="shared" si="7"/>
        <v>309</v>
      </c>
      <c r="T20" s="185">
        <f t="shared" si="7"/>
        <v>2170</v>
      </c>
      <c r="U20" s="186">
        <f t="shared" si="7"/>
        <v>885</v>
      </c>
      <c r="V20" s="186">
        <f t="shared" si="7"/>
        <v>1886</v>
      </c>
      <c r="W20" s="186">
        <f t="shared" si="7"/>
        <v>754</v>
      </c>
      <c r="X20" s="186">
        <f t="shared" si="7"/>
        <v>1907</v>
      </c>
      <c r="Y20" s="186">
        <f t="shared" si="7"/>
        <v>790</v>
      </c>
      <c r="Z20" s="186">
        <f t="shared" si="7"/>
        <v>5963</v>
      </c>
      <c r="AA20" s="187">
        <f t="shared" si="7"/>
        <v>2429</v>
      </c>
      <c r="AB20" s="185">
        <f t="shared" si="7"/>
        <v>111</v>
      </c>
      <c r="AC20" s="186">
        <f t="shared" si="7"/>
        <v>35</v>
      </c>
      <c r="AD20" s="186">
        <f t="shared" si="7"/>
        <v>0</v>
      </c>
      <c r="AE20" s="187">
        <f t="shared" si="7"/>
        <v>0</v>
      </c>
      <c r="AF20" s="219"/>
    </row>
    <row r="21" spans="1:32" s="81" customFormat="1" ht="17.100000000000001" customHeight="1">
      <c r="A21" s="127" t="s">
        <v>138</v>
      </c>
      <c r="B21" s="127" t="s">
        <v>130</v>
      </c>
      <c r="C21" s="168" t="s">
        <v>130</v>
      </c>
      <c r="D21" s="127" t="s">
        <v>5</v>
      </c>
      <c r="E21" s="127" t="s">
        <v>24</v>
      </c>
      <c r="F21" s="127" t="s">
        <v>4945</v>
      </c>
      <c r="G21" s="82">
        <v>32569</v>
      </c>
      <c r="H21" s="50" t="s">
        <v>4946</v>
      </c>
      <c r="I21" s="83">
        <v>12299</v>
      </c>
      <c r="J21" s="84">
        <v>22241</v>
      </c>
      <c r="K21" s="50" t="s">
        <v>4947</v>
      </c>
      <c r="L21" s="50" t="s">
        <v>4948</v>
      </c>
      <c r="M21" s="85" t="s">
        <v>4949</v>
      </c>
      <c r="N21" s="86">
        <v>12</v>
      </c>
      <c r="O21" s="87">
        <v>12</v>
      </c>
      <c r="P21" s="87">
        <v>12</v>
      </c>
      <c r="Q21" s="87"/>
      <c r="R21" s="87"/>
      <c r="S21" s="133">
        <f>SUM(N21:R21)</f>
        <v>36</v>
      </c>
      <c r="T21" s="86">
        <v>257</v>
      </c>
      <c r="U21" s="87">
        <v>257</v>
      </c>
      <c r="V21" s="87">
        <v>244</v>
      </c>
      <c r="W21" s="87">
        <v>244</v>
      </c>
      <c r="X21" s="87">
        <v>256</v>
      </c>
      <c r="Y21" s="87">
        <v>256</v>
      </c>
      <c r="Z21" s="134">
        <f t="shared" ref="Z21:AA23" si="8">T21+V21+X21</f>
        <v>757</v>
      </c>
      <c r="AA21" s="133">
        <f t="shared" si="8"/>
        <v>757</v>
      </c>
      <c r="AB21" s="86"/>
      <c r="AC21" s="87"/>
      <c r="AD21" s="87"/>
      <c r="AE21" s="88"/>
      <c r="AF21" s="89"/>
    </row>
    <row r="22" spans="1:32" s="81" customFormat="1" ht="17.100000000000001" customHeight="1">
      <c r="A22" s="127" t="s">
        <v>138</v>
      </c>
      <c r="B22" s="127" t="s">
        <v>130</v>
      </c>
      <c r="C22" s="168" t="s">
        <v>130</v>
      </c>
      <c r="D22" s="127" t="s">
        <v>5</v>
      </c>
      <c r="E22" s="127" t="s">
        <v>144</v>
      </c>
      <c r="F22" s="127" t="s">
        <v>2854</v>
      </c>
      <c r="G22" s="82">
        <v>26364</v>
      </c>
      <c r="H22" s="50" t="s">
        <v>233</v>
      </c>
      <c r="I22" s="83">
        <v>48526</v>
      </c>
      <c r="J22" s="84">
        <v>22211</v>
      </c>
      <c r="K22" s="50" t="s">
        <v>234</v>
      </c>
      <c r="L22" s="50" t="s">
        <v>235</v>
      </c>
      <c r="M22" s="85" t="s">
        <v>236</v>
      </c>
      <c r="N22" s="86">
        <v>8</v>
      </c>
      <c r="O22" s="87">
        <v>8</v>
      </c>
      <c r="P22" s="87">
        <v>8</v>
      </c>
      <c r="Q22" s="831">
        <v>0</v>
      </c>
      <c r="R22" s="831">
        <v>0</v>
      </c>
      <c r="S22" s="133">
        <f>SUM(N22:R22)</f>
        <v>24</v>
      </c>
      <c r="T22" s="86">
        <v>173</v>
      </c>
      <c r="U22" s="87"/>
      <c r="V22" s="87">
        <v>179</v>
      </c>
      <c r="W22" s="87"/>
      <c r="X22" s="87">
        <v>179</v>
      </c>
      <c r="Y22" s="87"/>
      <c r="Z22" s="134">
        <f t="shared" si="8"/>
        <v>531</v>
      </c>
      <c r="AA22" s="133">
        <f t="shared" si="8"/>
        <v>0</v>
      </c>
      <c r="AB22" s="86"/>
      <c r="AC22" s="87"/>
      <c r="AD22" s="87"/>
      <c r="AE22" s="88"/>
      <c r="AF22" s="89"/>
    </row>
    <row r="23" spans="1:32" s="81" customFormat="1" ht="17.100000000000001" customHeight="1">
      <c r="A23" s="127" t="s">
        <v>138</v>
      </c>
      <c r="B23" s="127" t="s">
        <v>130</v>
      </c>
      <c r="C23" s="168" t="s">
        <v>130</v>
      </c>
      <c r="D23" s="127" t="s">
        <v>5</v>
      </c>
      <c r="E23" s="127" t="s">
        <v>144</v>
      </c>
      <c r="F23" s="127" t="s">
        <v>2855</v>
      </c>
      <c r="G23" s="82">
        <v>32204</v>
      </c>
      <c r="H23" s="50" t="s">
        <v>2856</v>
      </c>
      <c r="I23" s="83">
        <v>17592</v>
      </c>
      <c r="J23" s="84">
        <v>22189</v>
      </c>
      <c r="K23" s="50" t="s">
        <v>260</v>
      </c>
      <c r="L23" s="50" t="s">
        <v>260</v>
      </c>
      <c r="M23" s="85" t="s">
        <v>261</v>
      </c>
      <c r="N23" s="86">
        <v>7</v>
      </c>
      <c r="O23" s="87">
        <v>7</v>
      </c>
      <c r="P23" s="87">
        <v>7</v>
      </c>
      <c r="Q23" s="832">
        <v>0</v>
      </c>
      <c r="R23" s="832">
        <v>0</v>
      </c>
      <c r="S23" s="133">
        <f>SUM(N23:R23)</f>
        <v>21</v>
      </c>
      <c r="T23" s="86">
        <v>152</v>
      </c>
      <c r="U23" s="87">
        <v>0</v>
      </c>
      <c r="V23" s="87">
        <v>153</v>
      </c>
      <c r="W23" s="87">
        <v>0</v>
      </c>
      <c r="X23" s="87">
        <v>149</v>
      </c>
      <c r="Y23" s="87">
        <v>0</v>
      </c>
      <c r="Z23" s="134">
        <f t="shared" si="8"/>
        <v>454</v>
      </c>
      <c r="AA23" s="133">
        <f t="shared" si="8"/>
        <v>0</v>
      </c>
      <c r="AB23" s="86">
        <v>0</v>
      </c>
      <c r="AC23" s="87">
        <v>0</v>
      </c>
      <c r="AD23" s="87">
        <v>0</v>
      </c>
      <c r="AE23" s="88">
        <v>0</v>
      </c>
      <c r="AF23" s="89"/>
    </row>
    <row r="24" spans="1:32" s="81" customFormat="1" ht="17.100000000000001" customHeight="1">
      <c r="A24" s="1684" t="s">
        <v>406</v>
      </c>
      <c r="B24" s="1684"/>
      <c r="C24" s="208"/>
      <c r="D24" s="207">
        <f>COUNTA(D21:D23)</f>
        <v>3</v>
      </c>
      <c r="E24" s="208"/>
      <c r="F24" s="829"/>
      <c r="G24" s="209"/>
      <c r="H24" s="210"/>
      <c r="I24" s="211"/>
      <c r="J24" s="212"/>
      <c r="K24" s="210"/>
      <c r="L24" s="210"/>
      <c r="M24" s="213"/>
      <c r="N24" s="214">
        <f>SUM(N21:N23)</f>
        <v>27</v>
      </c>
      <c r="O24" s="215">
        <f t="shared" ref="O24:AE24" si="9">SUM(O21:O23)</f>
        <v>27</v>
      </c>
      <c r="P24" s="215">
        <f>SUM(P21:P23)</f>
        <v>27</v>
      </c>
      <c r="Q24" s="833">
        <f t="shared" si="9"/>
        <v>0</v>
      </c>
      <c r="R24" s="833">
        <f t="shared" si="9"/>
        <v>0</v>
      </c>
      <c r="S24" s="216">
        <f t="shared" si="9"/>
        <v>81</v>
      </c>
      <c r="T24" s="214">
        <f t="shared" si="9"/>
        <v>582</v>
      </c>
      <c r="U24" s="215">
        <f t="shared" si="9"/>
        <v>257</v>
      </c>
      <c r="V24" s="215">
        <f t="shared" si="9"/>
        <v>576</v>
      </c>
      <c r="W24" s="215">
        <f t="shared" si="9"/>
        <v>244</v>
      </c>
      <c r="X24" s="215">
        <f t="shared" si="9"/>
        <v>584</v>
      </c>
      <c r="Y24" s="215">
        <f t="shared" si="9"/>
        <v>256</v>
      </c>
      <c r="Z24" s="215">
        <f>SUM(Z21:Z23)</f>
        <v>1742</v>
      </c>
      <c r="AA24" s="216">
        <f>SUM(AA21:AA23)</f>
        <v>757</v>
      </c>
      <c r="AB24" s="214">
        <f t="shared" ref="AB24:AC24" si="10">SUM(AB21:AB23)</f>
        <v>0</v>
      </c>
      <c r="AC24" s="215">
        <f t="shared" si="10"/>
        <v>0</v>
      </c>
      <c r="AD24" s="215">
        <f t="shared" si="9"/>
        <v>0</v>
      </c>
      <c r="AE24" s="216">
        <f t="shared" si="9"/>
        <v>0</v>
      </c>
      <c r="AF24" s="89"/>
    </row>
    <row r="25" spans="1:32" s="81" customFormat="1" ht="17.100000000000001" customHeight="1">
      <c r="A25" s="127" t="s">
        <v>139</v>
      </c>
      <c r="B25" s="127" t="s">
        <v>130</v>
      </c>
      <c r="C25" s="168" t="s">
        <v>130</v>
      </c>
      <c r="D25" s="127" t="s">
        <v>5</v>
      </c>
      <c r="E25" s="127" t="s">
        <v>26</v>
      </c>
      <c r="F25" s="127" t="s">
        <v>2857</v>
      </c>
      <c r="G25" s="82">
        <v>21610</v>
      </c>
      <c r="H25" s="50" t="s">
        <v>2858</v>
      </c>
      <c r="I25" s="83">
        <v>25887</v>
      </c>
      <c r="J25" s="84">
        <v>22100</v>
      </c>
      <c r="K25" s="50" t="s">
        <v>2035</v>
      </c>
      <c r="L25" s="50" t="s">
        <v>2036</v>
      </c>
      <c r="M25" s="85" t="s">
        <v>2037</v>
      </c>
      <c r="N25" s="86">
        <v>8</v>
      </c>
      <c r="O25" s="87">
        <v>8</v>
      </c>
      <c r="P25" s="87">
        <v>8</v>
      </c>
      <c r="Q25" s="831">
        <v>0</v>
      </c>
      <c r="R25" s="831">
        <v>0</v>
      </c>
      <c r="S25" s="133">
        <f>SUM(N25:R25)</f>
        <v>24</v>
      </c>
      <c r="T25" s="86">
        <v>128</v>
      </c>
      <c r="U25" s="87">
        <v>13</v>
      </c>
      <c r="V25" s="87">
        <v>124</v>
      </c>
      <c r="W25" s="87">
        <v>10</v>
      </c>
      <c r="X25" s="87">
        <v>147</v>
      </c>
      <c r="Y25" s="87">
        <v>10</v>
      </c>
      <c r="Z25" s="134">
        <f>T25+V25+X25</f>
        <v>399</v>
      </c>
      <c r="AA25" s="133">
        <f>U25+W25+Y25</f>
        <v>33</v>
      </c>
      <c r="AB25" s="1283">
        <v>0</v>
      </c>
      <c r="AC25" s="831">
        <v>0</v>
      </c>
      <c r="AD25" s="831">
        <v>0</v>
      </c>
      <c r="AE25" s="1284">
        <v>0</v>
      </c>
      <c r="AF25" s="89"/>
    </row>
    <row r="26" spans="1:32" s="81" customFormat="1" ht="17.100000000000001" customHeight="1">
      <c r="A26" s="1684" t="s">
        <v>407</v>
      </c>
      <c r="B26" s="1684"/>
      <c r="C26" s="208"/>
      <c r="D26" s="207">
        <f>COUNTA(D25)</f>
        <v>1</v>
      </c>
      <c r="E26" s="208"/>
      <c r="F26" s="829"/>
      <c r="G26" s="209"/>
      <c r="H26" s="210"/>
      <c r="I26" s="211"/>
      <c r="J26" s="212"/>
      <c r="K26" s="210"/>
      <c r="L26" s="210"/>
      <c r="M26" s="213"/>
      <c r="N26" s="214">
        <f t="shared" ref="N26:AE26" si="11">N25</f>
        <v>8</v>
      </c>
      <c r="O26" s="215">
        <f t="shared" si="11"/>
        <v>8</v>
      </c>
      <c r="P26" s="215">
        <f t="shared" si="11"/>
        <v>8</v>
      </c>
      <c r="Q26" s="833">
        <f t="shared" si="11"/>
        <v>0</v>
      </c>
      <c r="R26" s="833">
        <f t="shared" si="11"/>
        <v>0</v>
      </c>
      <c r="S26" s="216">
        <f t="shared" si="11"/>
        <v>24</v>
      </c>
      <c r="T26" s="214">
        <f t="shared" si="11"/>
        <v>128</v>
      </c>
      <c r="U26" s="215">
        <f t="shared" si="11"/>
        <v>13</v>
      </c>
      <c r="V26" s="215">
        <f t="shared" si="11"/>
        <v>124</v>
      </c>
      <c r="W26" s="215">
        <f t="shared" si="11"/>
        <v>10</v>
      </c>
      <c r="X26" s="215">
        <f t="shared" si="11"/>
        <v>147</v>
      </c>
      <c r="Y26" s="215">
        <f t="shared" si="11"/>
        <v>10</v>
      </c>
      <c r="Z26" s="215">
        <f t="shared" si="11"/>
        <v>399</v>
      </c>
      <c r="AA26" s="216">
        <f t="shared" si="11"/>
        <v>33</v>
      </c>
      <c r="AB26" s="1285">
        <f t="shared" si="11"/>
        <v>0</v>
      </c>
      <c r="AC26" s="833">
        <f t="shared" si="11"/>
        <v>0</v>
      </c>
      <c r="AD26" s="833">
        <f t="shared" si="11"/>
        <v>0</v>
      </c>
      <c r="AE26" s="1286">
        <f t="shared" si="11"/>
        <v>0</v>
      </c>
      <c r="AF26" s="89"/>
    </row>
    <row r="27" spans="1:32" s="81" customFormat="1" ht="17.100000000000001" customHeight="1">
      <c r="A27" s="1670" t="s">
        <v>410</v>
      </c>
      <c r="B27" s="1670"/>
      <c r="C27" s="1670"/>
      <c r="D27" s="1670"/>
      <c r="E27" s="188">
        <f>D24+D26</f>
        <v>4</v>
      </c>
      <c r="F27" s="834"/>
      <c r="G27" s="189"/>
      <c r="H27" s="190"/>
      <c r="I27" s="191"/>
      <c r="J27" s="192"/>
      <c r="K27" s="190"/>
      <c r="L27" s="190"/>
      <c r="M27" s="193"/>
      <c r="N27" s="194">
        <f t="shared" ref="N27:AE27" si="12">N24+N26</f>
        <v>35</v>
      </c>
      <c r="O27" s="195">
        <f t="shared" si="12"/>
        <v>35</v>
      </c>
      <c r="P27" s="195">
        <f t="shared" si="12"/>
        <v>35</v>
      </c>
      <c r="Q27" s="195">
        <f t="shared" si="12"/>
        <v>0</v>
      </c>
      <c r="R27" s="195">
        <f t="shared" si="12"/>
        <v>0</v>
      </c>
      <c r="S27" s="196">
        <f t="shared" si="12"/>
        <v>105</v>
      </c>
      <c r="T27" s="194">
        <f t="shared" si="12"/>
        <v>710</v>
      </c>
      <c r="U27" s="195">
        <f t="shared" si="12"/>
        <v>270</v>
      </c>
      <c r="V27" s="195">
        <f t="shared" si="12"/>
        <v>700</v>
      </c>
      <c r="W27" s="195">
        <f t="shared" si="12"/>
        <v>254</v>
      </c>
      <c r="X27" s="195">
        <f t="shared" si="12"/>
        <v>731</v>
      </c>
      <c r="Y27" s="195">
        <f t="shared" si="12"/>
        <v>266</v>
      </c>
      <c r="Z27" s="195">
        <f t="shared" si="12"/>
        <v>2141</v>
      </c>
      <c r="AA27" s="196">
        <f t="shared" si="12"/>
        <v>790</v>
      </c>
      <c r="AB27" s="194">
        <f t="shared" si="12"/>
        <v>0</v>
      </c>
      <c r="AC27" s="195">
        <f t="shared" si="12"/>
        <v>0</v>
      </c>
      <c r="AD27" s="195">
        <f t="shared" si="12"/>
        <v>0</v>
      </c>
      <c r="AE27" s="196">
        <f t="shared" si="12"/>
        <v>0</v>
      </c>
      <c r="AF27" s="220"/>
    </row>
    <row r="28" spans="1:32" s="81" customFormat="1" ht="17.100000000000001" customHeight="1">
      <c r="A28" s="1672" t="s">
        <v>411</v>
      </c>
      <c r="B28" s="1672"/>
      <c r="C28" s="1672"/>
      <c r="D28" s="1672"/>
      <c r="E28" s="1672"/>
      <c r="F28" s="835">
        <f>E20+E27</f>
        <v>15</v>
      </c>
      <c r="G28" s="221"/>
      <c r="H28" s="222"/>
      <c r="I28" s="223"/>
      <c r="J28" s="224"/>
      <c r="K28" s="222"/>
      <c r="L28" s="222"/>
      <c r="M28" s="225"/>
      <c r="N28" s="226">
        <f t="shared" ref="N28:AE28" si="13">N20+N27</f>
        <v>135</v>
      </c>
      <c r="O28" s="227">
        <f t="shared" si="13"/>
        <v>131</v>
      </c>
      <c r="P28" s="227">
        <f t="shared" si="13"/>
        <v>132</v>
      </c>
      <c r="Q28" s="227">
        <f t="shared" si="13"/>
        <v>16</v>
      </c>
      <c r="R28" s="227">
        <f t="shared" si="13"/>
        <v>0</v>
      </c>
      <c r="S28" s="228">
        <f t="shared" si="13"/>
        <v>414</v>
      </c>
      <c r="T28" s="226">
        <f t="shared" si="13"/>
        <v>2880</v>
      </c>
      <c r="U28" s="227">
        <f t="shared" si="13"/>
        <v>1155</v>
      </c>
      <c r="V28" s="227">
        <f t="shared" si="13"/>
        <v>2586</v>
      </c>
      <c r="W28" s="227">
        <f t="shared" si="13"/>
        <v>1008</v>
      </c>
      <c r="X28" s="227">
        <f t="shared" si="13"/>
        <v>2638</v>
      </c>
      <c r="Y28" s="227">
        <f t="shared" si="13"/>
        <v>1056</v>
      </c>
      <c r="Z28" s="227">
        <f t="shared" si="13"/>
        <v>8104</v>
      </c>
      <c r="AA28" s="228">
        <f t="shared" si="13"/>
        <v>3219</v>
      </c>
      <c r="AB28" s="226">
        <f t="shared" si="13"/>
        <v>111</v>
      </c>
      <c r="AC28" s="227">
        <f t="shared" si="13"/>
        <v>35</v>
      </c>
      <c r="AD28" s="227">
        <f t="shared" si="13"/>
        <v>0</v>
      </c>
      <c r="AE28" s="228">
        <f t="shared" si="13"/>
        <v>0</v>
      </c>
      <c r="AF28" s="229"/>
    </row>
    <row r="29" spans="1:32" s="81" customFormat="1" ht="17.100000000000001" customHeight="1">
      <c r="A29" s="127" t="s">
        <v>138</v>
      </c>
      <c r="B29" s="94" t="s">
        <v>1904</v>
      </c>
      <c r="C29" s="167" t="s">
        <v>2821</v>
      </c>
      <c r="D29" s="94" t="s">
        <v>445</v>
      </c>
      <c r="E29" s="94" t="s">
        <v>2859</v>
      </c>
      <c r="F29" s="94" t="s">
        <v>2860</v>
      </c>
      <c r="G29" s="836">
        <v>14075</v>
      </c>
      <c r="H29" s="50" t="s">
        <v>263</v>
      </c>
      <c r="I29" s="837">
        <v>40143</v>
      </c>
      <c r="J29" s="153">
        <v>22559</v>
      </c>
      <c r="K29" s="154" t="s">
        <v>2861</v>
      </c>
      <c r="L29" s="248" t="s">
        <v>2862</v>
      </c>
      <c r="M29" s="154" t="s">
        <v>2863</v>
      </c>
      <c r="N29" s="838">
        <v>7</v>
      </c>
      <c r="O29" s="838">
        <v>7</v>
      </c>
      <c r="P29" s="838">
        <v>7</v>
      </c>
      <c r="Q29" s="838">
        <v>1</v>
      </c>
      <c r="R29" s="838"/>
      <c r="S29" s="133">
        <f t="shared" ref="S29" si="14">SUM(N29:R29)</f>
        <v>22</v>
      </c>
      <c r="T29" s="839">
        <v>155</v>
      </c>
      <c r="U29" s="87"/>
      <c r="V29" s="87">
        <v>153</v>
      </c>
      <c r="W29" s="87"/>
      <c r="X29" s="87">
        <v>146</v>
      </c>
      <c r="Y29" s="87"/>
      <c r="Z29" s="134">
        <f>T29+V29+X29</f>
        <v>454</v>
      </c>
      <c r="AA29" s="133">
        <f>U29+W29+Y29</f>
        <v>0</v>
      </c>
      <c r="AB29" s="86">
        <v>6</v>
      </c>
      <c r="AC29" s="87"/>
      <c r="AD29" s="87">
        <v>0</v>
      </c>
      <c r="AE29" s="88"/>
      <c r="AF29" s="93"/>
    </row>
    <row r="30" spans="1:32" s="81" customFormat="1" ht="17.100000000000001" customHeight="1">
      <c r="A30" s="1684" t="s">
        <v>406</v>
      </c>
      <c r="B30" s="1684"/>
      <c r="C30" s="208"/>
      <c r="D30" s="207">
        <f>COUNTA(D29)</f>
        <v>1</v>
      </c>
      <c r="E30" s="208"/>
      <c r="F30" s="829"/>
      <c r="G30" s="209"/>
      <c r="H30" s="210"/>
      <c r="I30" s="211"/>
      <c r="J30" s="212"/>
      <c r="K30" s="210"/>
      <c r="L30" s="210"/>
      <c r="M30" s="213"/>
      <c r="N30" s="214">
        <f t="shared" ref="N30:AE30" si="15">N29</f>
        <v>7</v>
      </c>
      <c r="O30" s="215">
        <f t="shared" si="15"/>
        <v>7</v>
      </c>
      <c r="P30" s="215">
        <f t="shared" si="15"/>
        <v>7</v>
      </c>
      <c r="Q30" s="215">
        <f t="shared" si="15"/>
        <v>1</v>
      </c>
      <c r="R30" s="215">
        <f t="shared" si="15"/>
        <v>0</v>
      </c>
      <c r="S30" s="216">
        <f t="shared" si="15"/>
        <v>22</v>
      </c>
      <c r="T30" s="214">
        <f t="shared" si="15"/>
        <v>155</v>
      </c>
      <c r="U30" s="215">
        <f t="shared" si="15"/>
        <v>0</v>
      </c>
      <c r="V30" s="215">
        <f t="shared" si="15"/>
        <v>153</v>
      </c>
      <c r="W30" s="215">
        <f t="shared" si="15"/>
        <v>0</v>
      </c>
      <c r="X30" s="215">
        <f t="shared" si="15"/>
        <v>146</v>
      </c>
      <c r="Y30" s="215">
        <f t="shared" si="15"/>
        <v>0</v>
      </c>
      <c r="Z30" s="215">
        <f t="shared" si="15"/>
        <v>454</v>
      </c>
      <c r="AA30" s="216">
        <f t="shared" si="15"/>
        <v>0</v>
      </c>
      <c r="AB30" s="214">
        <f t="shared" si="15"/>
        <v>6</v>
      </c>
      <c r="AC30" s="215">
        <f t="shared" si="15"/>
        <v>0</v>
      </c>
      <c r="AD30" s="215">
        <f t="shared" si="15"/>
        <v>0</v>
      </c>
      <c r="AE30" s="216">
        <f t="shared" si="15"/>
        <v>0</v>
      </c>
      <c r="AF30" s="89"/>
    </row>
    <row r="31" spans="1:32" s="81" customFormat="1" ht="17.100000000000001" customHeight="1">
      <c r="A31" s="127" t="s">
        <v>139</v>
      </c>
      <c r="B31" s="127" t="s">
        <v>262</v>
      </c>
      <c r="C31" s="168" t="s">
        <v>2820</v>
      </c>
      <c r="D31" s="127" t="s">
        <v>5</v>
      </c>
      <c r="E31" s="127" t="s">
        <v>24</v>
      </c>
      <c r="F31" s="127" t="s">
        <v>2864</v>
      </c>
      <c r="G31" s="82" t="s">
        <v>2865</v>
      </c>
      <c r="H31" s="50" t="s">
        <v>1982</v>
      </c>
      <c r="I31" s="83">
        <v>9788</v>
      </c>
      <c r="J31" s="84">
        <v>22564</v>
      </c>
      <c r="K31" s="50" t="s">
        <v>1983</v>
      </c>
      <c r="L31" s="50" t="s">
        <v>1984</v>
      </c>
      <c r="M31" s="85" t="s">
        <v>2866</v>
      </c>
      <c r="N31" s="86">
        <v>8</v>
      </c>
      <c r="O31" s="87">
        <v>8</v>
      </c>
      <c r="P31" s="87">
        <v>8</v>
      </c>
      <c r="Q31" s="87">
        <v>0</v>
      </c>
      <c r="R31" s="87">
        <v>0</v>
      </c>
      <c r="S31" s="133">
        <f>SUM(N31:R31)</f>
        <v>24</v>
      </c>
      <c r="T31" s="86">
        <v>160</v>
      </c>
      <c r="U31" s="87">
        <v>160</v>
      </c>
      <c r="V31" s="87">
        <v>146</v>
      </c>
      <c r="W31" s="87">
        <v>146</v>
      </c>
      <c r="X31" s="87">
        <v>138</v>
      </c>
      <c r="Y31" s="87">
        <v>138</v>
      </c>
      <c r="Z31" s="134">
        <f>T31+V31+X31</f>
        <v>444</v>
      </c>
      <c r="AA31" s="133">
        <f>U31+W31+Y31</f>
        <v>444</v>
      </c>
      <c r="AB31" s="86">
        <v>0</v>
      </c>
      <c r="AC31" s="87">
        <v>0</v>
      </c>
      <c r="AD31" s="87">
        <v>0</v>
      </c>
      <c r="AE31" s="88">
        <v>0</v>
      </c>
      <c r="AF31" s="89"/>
    </row>
    <row r="32" spans="1:32" s="81" customFormat="1" ht="17.100000000000001" customHeight="1">
      <c r="A32" s="127" t="s">
        <v>139</v>
      </c>
      <c r="B32" s="127" t="s">
        <v>262</v>
      </c>
      <c r="C32" s="168" t="s">
        <v>2820</v>
      </c>
      <c r="D32" s="127" t="s">
        <v>5</v>
      </c>
      <c r="E32" s="127" t="s">
        <v>26</v>
      </c>
      <c r="F32" s="127" t="s">
        <v>2007</v>
      </c>
      <c r="G32" s="82">
        <v>19896</v>
      </c>
      <c r="H32" s="50" t="s">
        <v>2077</v>
      </c>
      <c r="I32" s="83">
        <v>12586</v>
      </c>
      <c r="J32" s="84">
        <v>22573</v>
      </c>
      <c r="K32" s="50" t="s">
        <v>2867</v>
      </c>
      <c r="L32" s="50" t="s">
        <v>2868</v>
      </c>
      <c r="M32" s="85" t="s">
        <v>2869</v>
      </c>
      <c r="N32" s="86">
        <v>10</v>
      </c>
      <c r="O32" s="87">
        <v>10</v>
      </c>
      <c r="P32" s="87">
        <v>10</v>
      </c>
      <c r="Q32" s="87">
        <v>0</v>
      </c>
      <c r="R32" s="87">
        <v>0</v>
      </c>
      <c r="S32" s="133">
        <f>SUM(N32:R32)</f>
        <v>30</v>
      </c>
      <c r="T32" s="86">
        <v>201</v>
      </c>
      <c r="U32" s="87">
        <v>31</v>
      </c>
      <c r="V32" s="87">
        <v>183</v>
      </c>
      <c r="W32" s="87">
        <v>20</v>
      </c>
      <c r="X32" s="87">
        <v>187</v>
      </c>
      <c r="Y32" s="87">
        <v>21</v>
      </c>
      <c r="Z32" s="134">
        <f>T32+V32+X32</f>
        <v>571</v>
      </c>
      <c r="AA32" s="133">
        <f>U32+W32+Y32</f>
        <v>72</v>
      </c>
      <c r="AB32" s="86">
        <v>0</v>
      </c>
      <c r="AC32" s="87">
        <v>0</v>
      </c>
      <c r="AD32" s="87">
        <v>0</v>
      </c>
      <c r="AE32" s="88">
        <v>0</v>
      </c>
      <c r="AF32" s="89"/>
    </row>
    <row r="33" spans="1:32" s="81" customFormat="1" ht="17.100000000000001" customHeight="1">
      <c r="A33" s="1684" t="s">
        <v>407</v>
      </c>
      <c r="B33" s="1684"/>
      <c r="C33" s="208"/>
      <c r="D33" s="207">
        <f>COUNTA(D31:D32)</f>
        <v>2</v>
      </c>
      <c r="E33" s="208"/>
      <c r="F33" s="829"/>
      <c r="G33" s="209"/>
      <c r="H33" s="210"/>
      <c r="I33" s="211"/>
      <c r="J33" s="212"/>
      <c r="K33" s="210"/>
      <c r="L33" s="210"/>
      <c r="M33" s="213"/>
      <c r="N33" s="214">
        <f t="shared" ref="N33:AE33" si="16">SUM(N31:N32)</f>
        <v>18</v>
      </c>
      <c r="O33" s="215">
        <f t="shared" si="16"/>
        <v>18</v>
      </c>
      <c r="P33" s="215">
        <f t="shared" si="16"/>
        <v>18</v>
      </c>
      <c r="Q33" s="215">
        <f t="shared" si="16"/>
        <v>0</v>
      </c>
      <c r="R33" s="215">
        <f t="shared" si="16"/>
        <v>0</v>
      </c>
      <c r="S33" s="216">
        <f t="shared" si="16"/>
        <v>54</v>
      </c>
      <c r="T33" s="214">
        <f t="shared" si="16"/>
        <v>361</v>
      </c>
      <c r="U33" s="215">
        <f t="shared" si="16"/>
        <v>191</v>
      </c>
      <c r="V33" s="215">
        <f t="shared" si="16"/>
        <v>329</v>
      </c>
      <c r="W33" s="215">
        <f t="shared" si="16"/>
        <v>166</v>
      </c>
      <c r="X33" s="215">
        <f t="shared" si="16"/>
        <v>325</v>
      </c>
      <c r="Y33" s="215">
        <f t="shared" si="16"/>
        <v>159</v>
      </c>
      <c r="Z33" s="215">
        <f t="shared" si="16"/>
        <v>1015</v>
      </c>
      <c r="AA33" s="216">
        <f t="shared" si="16"/>
        <v>516</v>
      </c>
      <c r="AB33" s="214">
        <f t="shared" si="16"/>
        <v>0</v>
      </c>
      <c r="AC33" s="215">
        <f t="shared" si="16"/>
        <v>0</v>
      </c>
      <c r="AD33" s="215">
        <f t="shared" si="16"/>
        <v>0</v>
      </c>
      <c r="AE33" s="216">
        <f t="shared" si="16"/>
        <v>0</v>
      </c>
      <c r="AF33" s="89"/>
    </row>
    <row r="34" spans="1:32" s="81" customFormat="1" ht="17.100000000000001" customHeight="1">
      <c r="A34" s="1681" t="s">
        <v>412</v>
      </c>
      <c r="B34" s="1682"/>
      <c r="C34" s="1682"/>
      <c r="D34" s="1683"/>
      <c r="E34" s="188">
        <f>D30+D33</f>
        <v>3</v>
      </c>
      <c r="F34" s="834"/>
      <c r="G34" s="189"/>
      <c r="H34" s="190"/>
      <c r="I34" s="191"/>
      <c r="J34" s="192"/>
      <c r="K34" s="190"/>
      <c r="L34" s="190"/>
      <c r="M34" s="193"/>
      <c r="N34" s="194">
        <f t="shared" ref="N34:AE34" si="17">N30+N33</f>
        <v>25</v>
      </c>
      <c r="O34" s="195">
        <f t="shared" si="17"/>
        <v>25</v>
      </c>
      <c r="P34" s="195">
        <f t="shared" si="17"/>
        <v>25</v>
      </c>
      <c r="Q34" s="195">
        <f t="shared" si="17"/>
        <v>1</v>
      </c>
      <c r="R34" s="195">
        <f t="shared" si="17"/>
        <v>0</v>
      </c>
      <c r="S34" s="196">
        <f t="shared" si="17"/>
        <v>76</v>
      </c>
      <c r="T34" s="194">
        <f t="shared" si="17"/>
        <v>516</v>
      </c>
      <c r="U34" s="195">
        <f t="shared" si="17"/>
        <v>191</v>
      </c>
      <c r="V34" s="195">
        <f t="shared" si="17"/>
        <v>482</v>
      </c>
      <c r="W34" s="195">
        <f t="shared" si="17"/>
        <v>166</v>
      </c>
      <c r="X34" s="195">
        <f t="shared" si="17"/>
        <v>471</v>
      </c>
      <c r="Y34" s="195">
        <f t="shared" si="17"/>
        <v>159</v>
      </c>
      <c r="Z34" s="195">
        <f t="shared" si="17"/>
        <v>1469</v>
      </c>
      <c r="AA34" s="196">
        <f t="shared" si="17"/>
        <v>516</v>
      </c>
      <c r="AB34" s="194">
        <f t="shared" si="17"/>
        <v>6</v>
      </c>
      <c r="AC34" s="195">
        <f t="shared" si="17"/>
        <v>0</v>
      </c>
      <c r="AD34" s="195">
        <f t="shared" si="17"/>
        <v>0</v>
      </c>
      <c r="AE34" s="196">
        <f t="shared" si="17"/>
        <v>0</v>
      </c>
      <c r="AF34" s="220"/>
    </row>
    <row r="35" spans="1:32" s="81" customFormat="1" ht="17.100000000000001" customHeight="1">
      <c r="A35" s="1672" t="s">
        <v>413</v>
      </c>
      <c r="B35" s="1672"/>
      <c r="C35" s="1672"/>
      <c r="D35" s="1672"/>
      <c r="E35" s="1672"/>
      <c r="F35" s="835">
        <f>E34</f>
        <v>3</v>
      </c>
      <c r="G35" s="221"/>
      <c r="H35" s="222"/>
      <c r="I35" s="223"/>
      <c r="J35" s="224"/>
      <c r="K35" s="222"/>
      <c r="L35" s="222"/>
      <c r="M35" s="225"/>
      <c r="N35" s="226">
        <f t="shared" ref="N35:AE35" si="18">N34</f>
        <v>25</v>
      </c>
      <c r="O35" s="227">
        <f t="shared" si="18"/>
        <v>25</v>
      </c>
      <c r="P35" s="227">
        <f t="shared" si="18"/>
        <v>25</v>
      </c>
      <c r="Q35" s="227">
        <f t="shared" si="18"/>
        <v>1</v>
      </c>
      <c r="R35" s="227">
        <f t="shared" si="18"/>
        <v>0</v>
      </c>
      <c r="S35" s="228">
        <f t="shared" si="18"/>
        <v>76</v>
      </c>
      <c r="T35" s="226">
        <f t="shared" si="18"/>
        <v>516</v>
      </c>
      <c r="U35" s="227">
        <f t="shared" si="18"/>
        <v>191</v>
      </c>
      <c r="V35" s="227">
        <f t="shared" si="18"/>
        <v>482</v>
      </c>
      <c r="W35" s="227">
        <f t="shared" si="18"/>
        <v>166</v>
      </c>
      <c r="X35" s="227">
        <f t="shared" si="18"/>
        <v>471</v>
      </c>
      <c r="Y35" s="227">
        <f t="shared" si="18"/>
        <v>159</v>
      </c>
      <c r="Z35" s="227">
        <f t="shared" si="18"/>
        <v>1469</v>
      </c>
      <c r="AA35" s="228">
        <f t="shared" si="18"/>
        <v>516</v>
      </c>
      <c r="AB35" s="226">
        <f t="shared" si="18"/>
        <v>6</v>
      </c>
      <c r="AC35" s="227">
        <f t="shared" si="18"/>
        <v>0</v>
      </c>
      <c r="AD35" s="227">
        <f t="shared" si="18"/>
        <v>0</v>
      </c>
      <c r="AE35" s="228">
        <f t="shared" si="18"/>
        <v>0</v>
      </c>
      <c r="AF35" s="229"/>
    </row>
    <row r="36" spans="1:32" s="81" customFormat="1" ht="17.100000000000001" customHeight="1">
      <c r="A36" s="127" t="s">
        <v>138</v>
      </c>
      <c r="B36" s="127" t="s">
        <v>296</v>
      </c>
      <c r="C36" s="168" t="s">
        <v>296</v>
      </c>
      <c r="D36" s="127" t="s">
        <v>4</v>
      </c>
      <c r="E36" s="127" t="s">
        <v>26</v>
      </c>
      <c r="F36" s="127" t="s">
        <v>2870</v>
      </c>
      <c r="G36" s="82">
        <v>28915</v>
      </c>
      <c r="H36" s="50" t="s">
        <v>2871</v>
      </c>
      <c r="I36" s="83">
        <v>15070</v>
      </c>
      <c r="J36" s="84">
        <v>23105</v>
      </c>
      <c r="K36" s="50" t="s">
        <v>2872</v>
      </c>
      <c r="L36" s="50" t="s">
        <v>2872</v>
      </c>
      <c r="M36" s="85" t="s">
        <v>2078</v>
      </c>
      <c r="N36" s="86">
        <v>1</v>
      </c>
      <c r="O36" s="87">
        <v>1</v>
      </c>
      <c r="P36" s="87">
        <v>1</v>
      </c>
      <c r="Q36" s="87"/>
      <c r="R36" s="87"/>
      <c r="S36" s="133">
        <f>SUM(N36:R36)</f>
        <v>3</v>
      </c>
      <c r="T36" s="86">
        <v>6</v>
      </c>
      <c r="U36" s="87">
        <v>5</v>
      </c>
      <c r="V36" s="87">
        <v>5</v>
      </c>
      <c r="W36" s="87">
        <v>2</v>
      </c>
      <c r="X36" s="87">
        <v>7</v>
      </c>
      <c r="Y36" s="87">
        <v>0</v>
      </c>
      <c r="Z36" s="134">
        <f t="shared" ref="Z36:AA40" si="19">T36+V36+X36</f>
        <v>18</v>
      </c>
      <c r="AA36" s="133">
        <f t="shared" si="19"/>
        <v>7</v>
      </c>
      <c r="AB36" s="86"/>
      <c r="AC36" s="87"/>
      <c r="AD36" s="87"/>
      <c r="AE36" s="88"/>
      <c r="AF36" s="89"/>
    </row>
    <row r="37" spans="1:32" s="81" customFormat="1" ht="17.100000000000001" customHeight="1">
      <c r="A37" s="127" t="s">
        <v>138</v>
      </c>
      <c r="B37" s="127" t="s">
        <v>296</v>
      </c>
      <c r="C37" s="127" t="s">
        <v>296</v>
      </c>
      <c r="D37" s="127" t="s">
        <v>4</v>
      </c>
      <c r="E37" s="127" t="s">
        <v>26</v>
      </c>
      <c r="F37" s="127" t="s">
        <v>297</v>
      </c>
      <c r="G37" s="82">
        <v>29284</v>
      </c>
      <c r="H37" s="50" t="s">
        <v>367</v>
      </c>
      <c r="I37" s="83">
        <v>18696</v>
      </c>
      <c r="J37" s="84">
        <v>23130</v>
      </c>
      <c r="K37" s="50" t="s">
        <v>368</v>
      </c>
      <c r="L37" s="50" t="s">
        <v>369</v>
      </c>
      <c r="M37" s="85" t="s">
        <v>370</v>
      </c>
      <c r="N37" s="86">
        <v>1</v>
      </c>
      <c r="O37" s="87">
        <v>1</v>
      </c>
      <c r="P37" s="87">
        <v>1</v>
      </c>
      <c r="Q37" s="87">
        <v>1</v>
      </c>
      <c r="R37" s="87"/>
      <c r="S37" s="133">
        <f>SUM(N37:R37)</f>
        <v>4</v>
      </c>
      <c r="T37" s="86">
        <v>3</v>
      </c>
      <c r="U37" s="87"/>
      <c r="V37" s="87">
        <v>7</v>
      </c>
      <c r="W37" s="87">
        <v>1</v>
      </c>
      <c r="X37" s="87">
        <v>1</v>
      </c>
      <c r="Y37" s="87">
        <v>1</v>
      </c>
      <c r="Z37" s="134">
        <f t="shared" si="19"/>
        <v>11</v>
      </c>
      <c r="AA37" s="133">
        <f t="shared" si="19"/>
        <v>2</v>
      </c>
      <c r="AB37" s="86">
        <v>1</v>
      </c>
      <c r="AC37" s="87">
        <v>1</v>
      </c>
      <c r="AD37" s="87"/>
      <c r="AE37" s="88"/>
      <c r="AF37" s="89"/>
    </row>
    <row r="38" spans="1:32" s="81" customFormat="1" ht="17.100000000000001" customHeight="1">
      <c r="A38" s="127" t="s">
        <v>138</v>
      </c>
      <c r="B38" s="127" t="s">
        <v>296</v>
      </c>
      <c r="C38" s="168" t="s">
        <v>296</v>
      </c>
      <c r="D38" s="127" t="s">
        <v>4</v>
      </c>
      <c r="E38" s="127" t="s">
        <v>26</v>
      </c>
      <c r="F38" s="127" t="s">
        <v>2873</v>
      </c>
      <c r="G38" s="82">
        <v>21702</v>
      </c>
      <c r="H38" s="50" t="s">
        <v>2874</v>
      </c>
      <c r="I38" s="83">
        <v>19731</v>
      </c>
      <c r="J38" s="84">
        <v>23103</v>
      </c>
      <c r="K38" s="50" t="s">
        <v>2081</v>
      </c>
      <c r="L38" s="50" t="s">
        <v>2082</v>
      </c>
      <c r="M38" s="85" t="s">
        <v>2083</v>
      </c>
      <c r="N38" s="86">
        <v>2</v>
      </c>
      <c r="O38" s="87">
        <v>2</v>
      </c>
      <c r="P38" s="87">
        <v>2</v>
      </c>
      <c r="Q38" s="87">
        <v>1</v>
      </c>
      <c r="R38" s="87"/>
      <c r="S38" s="133">
        <f>SUM(N38:R38)</f>
        <v>7</v>
      </c>
      <c r="T38" s="86">
        <v>18</v>
      </c>
      <c r="U38" s="87">
        <v>18</v>
      </c>
      <c r="V38" s="87">
        <v>23</v>
      </c>
      <c r="W38" s="87">
        <v>12</v>
      </c>
      <c r="X38" s="87">
        <v>20</v>
      </c>
      <c r="Y38" s="87">
        <v>9</v>
      </c>
      <c r="Z38" s="134">
        <f t="shared" si="19"/>
        <v>61</v>
      </c>
      <c r="AA38" s="133">
        <f t="shared" si="19"/>
        <v>39</v>
      </c>
      <c r="AB38" s="86">
        <v>3</v>
      </c>
      <c r="AC38" s="87">
        <v>1</v>
      </c>
      <c r="AD38" s="87"/>
      <c r="AE38" s="88"/>
      <c r="AF38" s="89"/>
    </row>
    <row r="39" spans="1:32" s="81" customFormat="1" ht="17.100000000000001" customHeight="1">
      <c r="A39" s="127" t="s">
        <v>138</v>
      </c>
      <c r="B39" s="127" t="s">
        <v>296</v>
      </c>
      <c r="C39" s="168" t="s">
        <v>296</v>
      </c>
      <c r="D39" s="127" t="s">
        <v>4</v>
      </c>
      <c r="E39" s="127" t="s">
        <v>26</v>
      </c>
      <c r="F39" s="127" t="s">
        <v>2875</v>
      </c>
      <c r="G39" s="71">
        <v>28919</v>
      </c>
      <c r="H39" s="50" t="s">
        <v>1825</v>
      </c>
      <c r="I39" s="77">
        <v>20121</v>
      </c>
      <c r="J39" s="52">
        <v>23108</v>
      </c>
      <c r="K39" s="53" t="s">
        <v>2084</v>
      </c>
      <c r="L39" s="53" t="s">
        <v>2085</v>
      </c>
      <c r="M39" s="54" t="s">
        <v>2086</v>
      </c>
      <c r="N39" s="86">
        <v>1</v>
      </c>
      <c r="O39" s="87">
        <v>1</v>
      </c>
      <c r="P39" s="87">
        <v>1</v>
      </c>
      <c r="Q39" s="87"/>
      <c r="R39" s="87"/>
      <c r="S39" s="133">
        <f>SUM(N39:R39)</f>
        <v>3</v>
      </c>
      <c r="T39" s="86">
        <v>3</v>
      </c>
      <c r="U39" s="87">
        <v>1</v>
      </c>
      <c r="V39" s="87">
        <v>5</v>
      </c>
      <c r="W39" s="87">
        <v>2</v>
      </c>
      <c r="X39" s="87">
        <v>1</v>
      </c>
      <c r="Y39" s="87">
        <v>1</v>
      </c>
      <c r="Z39" s="134">
        <f t="shared" si="19"/>
        <v>9</v>
      </c>
      <c r="AA39" s="133">
        <f t="shared" si="19"/>
        <v>4</v>
      </c>
      <c r="AB39" s="86"/>
      <c r="AC39" s="87"/>
      <c r="AD39" s="87"/>
      <c r="AE39" s="88"/>
      <c r="AF39" s="89"/>
    </row>
    <row r="40" spans="1:32" s="81" customFormat="1" ht="17.100000000000001" customHeight="1">
      <c r="A40" s="127" t="s">
        <v>138</v>
      </c>
      <c r="B40" s="127" t="s">
        <v>296</v>
      </c>
      <c r="C40" s="168" t="s">
        <v>296</v>
      </c>
      <c r="D40" s="127" t="s">
        <v>4</v>
      </c>
      <c r="E40" s="127" t="s">
        <v>26</v>
      </c>
      <c r="F40" s="127" t="s">
        <v>2876</v>
      </c>
      <c r="G40" s="82">
        <v>40969</v>
      </c>
      <c r="H40" s="50" t="s">
        <v>2877</v>
      </c>
      <c r="I40" s="83">
        <v>16924</v>
      </c>
      <c r="J40" s="84">
        <v>23118</v>
      </c>
      <c r="K40" s="50" t="s">
        <v>2087</v>
      </c>
      <c r="L40" s="50" t="s">
        <v>2088</v>
      </c>
      <c r="M40" s="85" t="s">
        <v>2089</v>
      </c>
      <c r="N40" s="86">
        <v>2</v>
      </c>
      <c r="O40" s="87">
        <v>2</v>
      </c>
      <c r="P40" s="87">
        <v>2</v>
      </c>
      <c r="Q40" s="87">
        <v>1</v>
      </c>
      <c r="R40" s="87"/>
      <c r="S40" s="133">
        <f>SUM(N40:R40)</f>
        <v>7</v>
      </c>
      <c r="T40" s="86">
        <v>50</v>
      </c>
      <c r="U40" s="87">
        <v>20</v>
      </c>
      <c r="V40" s="87">
        <v>37</v>
      </c>
      <c r="W40" s="87">
        <v>17</v>
      </c>
      <c r="X40" s="87">
        <v>30</v>
      </c>
      <c r="Y40" s="87">
        <v>15</v>
      </c>
      <c r="Z40" s="134">
        <f t="shared" si="19"/>
        <v>117</v>
      </c>
      <c r="AA40" s="133">
        <f t="shared" si="19"/>
        <v>52</v>
      </c>
      <c r="AB40" s="86">
        <v>5</v>
      </c>
      <c r="AC40" s="87">
        <v>2</v>
      </c>
      <c r="AD40" s="87"/>
      <c r="AE40" s="88"/>
      <c r="AF40" s="89"/>
    </row>
    <row r="41" spans="1:32" s="81" customFormat="1" ht="17.100000000000001" customHeight="1">
      <c r="A41" s="1684" t="s">
        <v>406</v>
      </c>
      <c r="B41" s="1684"/>
      <c r="C41" s="208"/>
      <c r="D41" s="207">
        <f>COUNTA(D36:D40)</f>
        <v>5</v>
      </c>
      <c r="E41" s="208"/>
      <c r="F41" s="829"/>
      <c r="G41" s="209"/>
      <c r="H41" s="210"/>
      <c r="I41" s="211"/>
      <c r="J41" s="212"/>
      <c r="K41" s="210"/>
      <c r="L41" s="210"/>
      <c r="M41" s="213"/>
      <c r="N41" s="214">
        <f t="shared" ref="N41:AE41" si="20">SUM(N36:N40)</f>
        <v>7</v>
      </c>
      <c r="O41" s="215">
        <f t="shared" si="20"/>
        <v>7</v>
      </c>
      <c r="P41" s="215">
        <f t="shared" si="20"/>
        <v>7</v>
      </c>
      <c r="Q41" s="215">
        <f t="shared" si="20"/>
        <v>3</v>
      </c>
      <c r="R41" s="215">
        <f t="shared" si="20"/>
        <v>0</v>
      </c>
      <c r="S41" s="216">
        <f t="shared" si="20"/>
        <v>24</v>
      </c>
      <c r="T41" s="214">
        <f>SUM(T36:T40)</f>
        <v>80</v>
      </c>
      <c r="U41" s="215">
        <f t="shared" si="20"/>
        <v>44</v>
      </c>
      <c r="V41" s="215">
        <f t="shared" si="20"/>
        <v>77</v>
      </c>
      <c r="W41" s="215">
        <f t="shared" si="20"/>
        <v>34</v>
      </c>
      <c r="X41" s="215">
        <f t="shared" si="20"/>
        <v>59</v>
      </c>
      <c r="Y41" s="215">
        <f t="shared" si="20"/>
        <v>26</v>
      </c>
      <c r="Z41" s="215">
        <f t="shared" si="20"/>
        <v>216</v>
      </c>
      <c r="AA41" s="216">
        <f t="shared" si="20"/>
        <v>104</v>
      </c>
      <c r="AB41" s="214">
        <f t="shared" si="20"/>
        <v>9</v>
      </c>
      <c r="AC41" s="215">
        <f t="shared" si="20"/>
        <v>4</v>
      </c>
      <c r="AD41" s="215">
        <f t="shared" si="20"/>
        <v>0</v>
      </c>
      <c r="AE41" s="216">
        <f t="shared" si="20"/>
        <v>0</v>
      </c>
      <c r="AF41" s="89"/>
    </row>
    <row r="42" spans="1:32" s="81" customFormat="1" ht="17.100000000000001" customHeight="1">
      <c r="A42" s="1625" t="s">
        <v>414</v>
      </c>
      <c r="B42" s="1626"/>
      <c r="C42" s="1626"/>
      <c r="D42" s="1626"/>
      <c r="E42" s="179">
        <f>D41</f>
        <v>5</v>
      </c>
      <c r="F42" s="830"/>
      <c r="G42" s="180"/>
      <c r="H42" s="181"/>
      <c r="I42" s="182"/>
      <c r="J42" s="183"/>
      <c r="K42" s="181"/>
      <c r="L42" s="181"/>
      <c r="M42" s="184"/>
      <c r="N42" s="185">
        <f>N41</f>
        <v>7</v>
      </c>
      <c r="O42" s="186">
        <f>O41</f>
        <v>7</v>
      </c>
      <c r="P42" s="186">
        <f t="shared" ref="P42:Z43" si="21">P41</f>
        <v>7</v>
      </c>
      <c r="Q42" s="186">
        <f t="shared" si="21"/>
        <v>3</v>
      </c>
      <c r="R42" s="186">
        <f t="shared" si="21"/>
        <v>0</v>
      </c>
      <c r="S42" s="187">
        <f t="shared" si="21"/>
        <v>24</v>
      </c>
      <c r="T42" s="185">
        <f t="shared" si="21"/>
        <v>80</v>
      </c>
      <c r="U42" s="186">
        <f t="shared" si="21"/>
        <v>44</v>
      </c>
      <c r="V42" s="186">
        <f t="shared" si="21"/>
        <v>77</v>
      </c>
      <c r="W42" s="186">
        <f t="shared" si="21"/>
        <v>34</v>
      </c>
      <c r="X42" s="186">
        <f t="shared" si="21"/>
        <v>59</v>
      </c>
      <c r="Y42" s="186">
        <f t="shared" si="21"/>
        <v>26</v>
      </c>
      <c r="Z42" s="186">
        <f t="shared" si="21"/>
        <v>216</v>
      </c>
      <c r="AA42" s="187">
        <f>AA41</f>
        <v>104</v>
      </c>
      <c r="AB42" s="185">
        <f t="shared" ref="AB42:AC43" si="22">AB41</f>
        <v>9</v>
      </c>
      <c r="AC42" s="186">
        <f t="shared" si="22"/>
        <v>4</v>
      </c>
      <c r="AD42" s="186">
        <f t="shared" ref="AD42:AE43" si="23">AD41</f>
        <v>0</v>
      </c>
      <c r="AE42" s="187">
        <f t="shared" si="23"/>
        <v>0</v>
      </c>
      <c r="AF42" s="219"/>
    </row>
    <row r="43" spans="1:32" s="81" customFormat="1" ht="17.100000000000001" customHeight="1">
      <c r="A43" s="1672" t="s">
        <v>415</v>
      </c>
      <c r="B43" s="1672"/>
      <c r="C43" s="1672"/>
      <c r="D43" s="1672"/>
      <c r="E43" s="1672"/>
      <c r="F43" s="835">
        <f>E42</f>
        <v>5</v>
      </c>
      <c r="G43" s="221"/>
      <c r="H43" s="222"/>
      <c r="I43" s="223"/>
      <c r="J43" s="224"/>
      <c r="K43" s="222"/>
      <c r="L43" s="222"/>
      <c r="M43" s="225"/>
      <c r="N43" s="226">
        <f>N42</f>
        <v>7</v>
      </c>
      <c r="O43" s="227">
        <f>O42</f>
        <v>7</v>
      </c>
      <c r="P43" s="227">
        <f t="shared" si="21"/>
        <v>7</v>
      </c>
      <c r="Q43" s="227">
        <f t="shared" si="21"/>
        <v>3</v>
      </c>
      <c r="R43" s="227">
        <f t="shared" si="21"/>
        <v>0</v>
      </c>
      <c r="S43" s="228">
        <f t="shared" si="21"/>
        <v>24</v>
      </c>
      <c r="T43" s="226">
        <f t="shared" si="21"/>
        <v>80</v>
      </c>
      <c r="U43" s="227">
        <f t="shared" si="21"/>
        <v>44</v>
      </c>
      <c r="V43" s="227">
        <f t="shared" si="21"/>
        <v>77</v>
      </c>
      <c r="W43" s="227">
        <f t="shared" si="21"/>
        <v>34</v>
      </c>
      <c r="X43" s="227">
        <f t="shared" si="21"/>
        <v>59</v>
      </c>
      <c r="Y43" s="227">
        <f t="shared" si="21"/>
        <v>26</v>
      </c>
      <c r="Z43" s="227">
        <f t="shared" si="21"/>
        <v>216</v>
      </c>
      <c r="AA43" s="228">
        <f>AA42</f>
        <v>104</v>
      </c>
      <c r="AB43" s="226">
        <f t="shared" si="22"/>
        <v>9</v>
      </c>
      <c r="AC43" s="227">
        <f t="shared" si="22"/>
        <v>4</v>
      </c>
      <c r="AD43" s="227">
        <f t="shared" si="23"/>
        <v>0</v>
      </c>
      <c r="AE43" s="228">
        <f t="shared" si="23"/>
        <v>0</v>
      </c>
      <c r="AF43" s="229"/>
    </row>
    <row r="44" spans="1:32" s="81" customFormat="1" ht="17.100000000000001" customHeight="1">
      <c r="A44" s="94" t="s">
        <v>140</v>
      </c>
      <c r="B44" s="94" t="s">
        <v>218</v>
      </c>
      <c r="C44" s="168" t="s">
        <v>2820</v>
      </c>
      <c r="D44" s="94" t="s">
        <v>143</v>
      </c>
      <c r="E44" s="94" t="s">
        <v>26</v>
      </c>
      <c r="F44" s="127" t="s">
        <v>2878</v>
      </c>
      <c r="G44" s="82">
        <v>29675</v>
      </c>
      <c r="H44" s="50" t="s">
        <v>2879</v>
      </c>
      <c r="I44" s="83">
        <v>60456</v>
      </c>
      <c r="J44" s="84">
        <v>22304</v>
      </c>
      <c r="K44" s="50" t="s">
        <v>2880</v>
      </c>
      <c r="L44" s="50" t="s">
        <v>2881</v>
      </c>
      <c r="M44" s="85" t="s">
        <v>2882</v>
      </c>
      <c r="N44" s="90">
        <v>6</v>
      </c>
      <c r="O44" s="91">
        <v>6</v>
      </c>
      <c r="P44" s="91">
        <v>6</v>
      </c>
      <c r="Q44" s="91"/>
      <c r="R44" s="91"/>
      <c r="S44" s="133">
        <f t="shared" ref="S44" si="24">SUM(N44:R44)</f>
        <v>18</v>
      </c>
      <c r="T44" s="90">
        <v>109</v>
      </c>
      <c r="U44" s="91">
        <v>12</v>
      </c>
      <c r="V44" s="91">
        <v>98</v>
      </c>
      <c r="W44" s="91">
        <v>9</v>
      </c>
      <c r="X44" s="91">
        <v>103</v>
      </c>
      <c r="Y44" s="91">
        <v>12</v>
      </c>
      <c r="Z44" s="134">
        <f t="shared" ref="Z44:AA44" si="25">T44+V44+X44</f>
        <v>310</v>
      </c>
      <c r="AA44" s="133">
        <f t="shared" si="25"/>
        <v>33</v>
      </c>
      <c r="AB44" s="90"/>
      <c r="AC44" s="91"/>
      <c r="AD44" s="91"/>
      <c r="AE44" s="92"/>
      <c r="AF44" s="93"/>
    </row>
    <row r="45" spans="1:32" s="81" customFormat="1" ht="17.100000000000001" customHeight="1">
      <c r="A45" s="1684" t="s">
        <v>408</v>
      </c>
      <c r="B45" s="1684"/>
      <c r="C45" s="208"/>
      <c r="D45" s="207">
        <f>COUNTA(D44)</f>
        <v>1</v>
      </c>
      <c r="E45" s="208"/>
      <c r="F45" s="829"/>
      <c r="G45" s="209"/>
      <c r="H45" s="210"/>
      <c r="I45" s="211"/>
      <c r="J45" s="212"/>
      <c r="K45" s="210"/>
      <c r="L45" s="210"/>
      <c r="M45" s="213"/>
      <c r="N45" s="214">
        <f>N44</f>
        <v>6</v>
      </c>
      <c r="O45" s="215">
        <f>O44</f>
        <v>6</v>
      </c>
      <c r="P45" s="215">
        <f t="shared" ref="P45:AE46" si="26">P44</f>
        <v>6</v>
      </c>
      <c r="Q45" s="215">
        <f t="shared" si="26"/>
        <v>0</v>
      </c>
      <c r="R45" s="215">
        <f t="shared" si="26"/>
        <v>0</v>
      </c>
      <c r="S45" s="216">
        <f t="shared" si="26"/>
        <v>18</v>
      </c>
      <c r="T45" s="214">
        <f t="shared" si="26"/>
        <v>109</v>
      </c>
      <c r="U45" s="215">
        <f t="shared" si="26"/>
        <v>12</v>
      </c>
      <c r="V45" s="215">
        <f t="shared" si="26"/>
        <v>98</v>
      </c>
      <c r="W45" s="215">
        <f t="shared" si="26"/>
        <v>9</v>
      </c>
      <c r="X45" s="215">
        <f t="shared" si="26"/>
        <v>103</v>
      </c>
      <c r="Y45" s="215">
        <f t="shared" si="26"/>
        <v>12</v>
      </c>
      <c r="Z45" s="215">
        <f t="shared" si="26"/>
        <v>310</v>
      </c>
      <c r="AA45" s="216">
        <f t="shared" si="26"/>
        <v>33</v>
      </c>
      <c r="AB45" s="214">
        <f t="shared" si="26"/>
        <v>0</v>
      </c>
      <c r="AC45" s="215">
        <f t="shared" si="26"/>
        <v>0</v>
      </c>
      <c r="AD45" s="215">
        <f t="shared" si="26"/>
        <v>0</v>
      </c>
      <c r="AE45" s="216">
        <f t="shared" si="26"/>
        <v>0</v>
      </c>
      <c r="AF45" s="89"/>
    </row>
    <row r="46" spans="1:32" s="81" customFormat="1" ht="17.100000000000001" customHeight="1">
      <c r="A46" s="1685" t="s">
        <v>416</v>
      </c>
      <c r="B46" s="1686"/>
      <c r="C46" s="1686"/>
      <c r="D46" s="1686"/>
      <c r="E46" s="230">
        <f>D45</f>
        <v>1</v>
      </c>
      <c r="F46" s="840"/>
      <c r="G46" s="231"/>
      <c r="H46" s="232"/>
      <c r="I46" s="233"/>
      <c r="J46" s="234"/>
      <c r="K46" s="232"/>
      <c r="L46" s="232"/>
      <c r="M46" s="235"/>
      <c r="N46" s="236">
        <f>N45</f>
        <v>6</v>
      </c>
      <c r="O46" s="237">
        <f>O45</f>
        <v>6</v>
      </c>
      <c r="P46" s="237">
        <f t="shared" si="26"/>
        <v>6</v>
      </c>
      <c r="Q46" s="237">
        <f t="shared" si="26"/>
        <v>0</v>
      </c>
      <c r="R46" s="237">
        <f t="shared" si="26"/>
        <v>0</v>
      </c>
      <c r="S46" s="238">
        <f t="shared" si="26"/>
        <v>18</v>
      </c>
      <c r="T46" s="236">
        <f t="shared" si="26"/>
        <v>109</v>
      </c>
      <c r="U46" s="237">
        <f t="shared" si="26"/>
        <v>12</v>
      </c>
      <c r="V46" s="237">
        <f t="shared" si="26"/>
        <v>98</v>
      </c>
      <c r="W46" s="237">
        <f t="shared" si="26"/>
        <v>9</v>
      </c>
      <c r="X46" s="237">
        <f t="shared" si="26"/>
        <v>103</v>
      </c>
      <c r="Y46" s="237">
        <f t="shared" si="26"/>
        <v>12</v>
      </c>
      <c r="Z46" s="237">
        <f t="shared" si="26"/>
        <v>310</v>
      </c>
      <c r="AA46" s="238">
        <f t="shared" si="26"/>
        <v>33</v>
      </c>
      <c r="AB46" s="236">
        <f t="shared" si="26"/>
        <v>0</v>
      </c>
      <c r="AC46" s="237">
        <f t="shared" si="26"/>
        <v>0</v>
      </c>
      <c r="AD46" s="237">
        <f t="shared" si="26"/>
        <v>0</v>
      </c>
      <c r="AE46" s="238">
        <f t="shared" si="26"/>
        <v>0</v>
      </c>
      <c r="AF46" s="239"/>
    </row>
    <row r="47" spans="1:32" s="81" customFormat="1" ht="17.100000000000001" customHeight="1">
      <c r="A47" s="127" t="s">
        <v>138</v>
      </c>
      <c r="B47" s="127" t="s">
        <v>2883</v>
      </c>
      <c r="C47" s="168" t="s">
        <v>2820</v>
      </c>
      <c r="D47" s="127" t="s">
        <v>4</v>
      </c>
      <c r="E47" s="127" t="s">
        <v>2884</v>
      </c>
      <c r="F47" s="127" t="s">
        <v>2885</v>
      </c>
      <c r="G47" s="82">
        <v>22378</v>
      </c>
      <c r="H47" s="50" t="s">
        <v>2886</v>
      </c>
      <c r="I47" s="83">
        <v>35365</v>
      </c>
      <c r="J47" s="84">
        <v>22310</v>
      </c>
      <c r="K47" s="50" t="s">
        <v>298</v>
      </c>
      <c r="L47" s="50" t="s">
        <v>299</v>
      </c>
      <c r="M47" s="85" t="s">
        <v>2887</v>
      </c>
      <c r="N47" s="86">
        <v>8</v>
      </c>
      <c r="O47" s="87">
        <v>8</v>
      </c>
      <c r="P47" s="87">
        <v>8</v>
      </c>
      <c r="Q47" s="87">
        <v>1</v>
      </c>
      <c r="R47" s="87"/>
      <c r="S47" s="133">
        <f>SUM(N47:R47)</f>
        <v>25</v>
      </c>
      <c r="T47" s="86">
        <v>180</v>
      </c>
      <c r="U47" s="87">
        <v>180</v>
      </c>
      <c r="V47" s="87">
        <v>194</v>
      </c>
      <c r="W47" s="87">
        <v>194</v>
      </c>
      <c r="X47" s="87">
        <v>199</v>
      </c>
      <c r="Y47" s="87">
        <v>199</v>
      </c>
      <c r="Z47" s="134">
        <f t="shared" ref="Z47:AA50" si="27">T47+V47+X47</f>
        <v>573</v>
      </c>
      <c r="AA47" s="133">
        <f t="shared" si="27"/>
        <v>573</v>
      </c>
      <c r="AB47" s="86">
        <v>7</v>
      </c>
      <c r="AC47" s="87">
        <v>7</v>
      </c>
      <c r="AD47" s="87"/>
      <c r="AE47" s="88"/>
      <c r="AF47" s="89"/>
    </row>
    <row r="48" spans="1:32" s="81" customFormat="1" ht="17.100000000000001" customHeight="1">
      <c r="A48" s="127" t="s">
        <v>138</v>
      </c>
      <c r="B48" s="127" t="s">
        <v>1906</v>
      </c>
      <c r="C48" s="168" t="s">
        <v>2822</v>
      </c>
      <c r="D48" s="127" t="s">
        <v>4</v>
      </c>
      <c r="E48" s="127" t="s">
        <v>26</v>
      </c>
      <c r="F48" s="127" t="s">
        <v>2888</v>
      </c>
      <c r="G48" s="82">
        <v>37320</v>
      </c>
      <c r="H48" s="50" t="s">
        <v>2889</v>
      </c>
      <c r="I48" s="83">
        <v>14250</v>
      </c>
      <c r="J48" s="84">
        <v>22367</v>
      </c>
      <c r="K48" s="50" t="s">
        <v>300</v>
      </c>
      <c r="L48" s="50" t="s">
        <v>300</v>
      </c>
      <c r="M48" s="85" t="s">
        <v>2890</v>
      </c>
      <c r="N48" s="86">
        <v>8</v>
      </c>
      <c r="O48" s="87">
        <v>8</v>
      </c>
      <c r="P48" s="87">
        <v>8</v>
      </c>
      <c r="Q48" s="87">
        <v>3</v>
      </c>
      <c r="R48" s="87">
        <v>0</v>
      </c>
      <c r="S48" s="133">
        <f>SUM(N48:R48)</f>
        <v>27</v>
      </c>
      <c r="T48" s="86">
        <v>213</v>
      </c>
      <c r="U48" s="87">
        <v>97</v>
      </c>
      <c r="V48" s="87">
        <v>209</v>
      </c>
      <c r="W48" s="87">
        <v>87</v>
      </c>
      <c r="X48" s="87">
        <v>211</v>
      </c>
      <c r="Y48" s="87">
        <v>106</v>
      </c>
      <c r="Z48" s="134">
        <f t="shared" si="27"/>
        <v>633</v>
      </c>
      <c r="AA48" s="133">
        <f t="shared" si="27"/>
        <v>290</v>
      </c>
      <c r="AB48" s="160">
        <v>11</v>
      </c>
      <c r="AC48" s="161">
        <v>3</v>
      </c>
      <c r="AD48" s="87">
        <v>0</v>
      </c>
      <c r="AE48" s="87">
        <v>0</v>
      </c>
      <c r="AF48" s="89"/>
    </row>
    <row r="49" spans="1:32" s="81" customFormat="1" ht="17.100000000000001" customHeight="1">
      <c r="A49" s="127" t="s">
        <v>138</v>
      </c>
      <c r="B49" s="127" t="s">
        <v>218</v>
      </c>
      <c r="C49" s="168" t="s">
        <v>2822</v>
      </c>
      <c r="D49" s="127" t="s">
        <v>4</v>
      </c>
      <c r="E49" s="127" t="s">
        <v>26</v>
      </c>
      <c r="F49" s="127" t="s">
        <v>2891</v>
      </c>
      <c r="G49" s="82">
        <v>41334</v>
      </c>
      <c r="H49" s="50" t="s">
        <v>2892</v>
      </c>
      <c r="I49" s="83">
        <v>15173</v>
      </c>
      <c r="J49" s="84">
        <v>22376</v>
      </c>
      <c r="K49" s="50" t="s">
        <v>301</v>
      </c>
      <c r="L49" s="50" t="s">
        <v>2017</v>
      </c>
      <c r="M49" s="85" t="s">
        <v>2018</v>
      </c>
      <c r="N49" s="86">
        <v>10</v>
      </c>
      <c r="O49" s="87">
        <v>10</v>
      </c>
      <c r="P49" s="87">
        <v>11</v>
      </c>
      <c r="Q49" s="87">
        <v>2</v>
      </c>
      <c r="R49" s="87"/>
      <c r="S49" s="133">
        <f>SUM(N49:R49)</f>
        <v>33</v>
      </c>
      <c r="T49" s="86">
        <v>255</v>
      </c>
      <c r="U49" s="87">
        <v>130</v>
      </c>
      <c r="V49" s="87">
        <v>293</v>
      </c>
      <c r="W49" s="87">
        <v>142</v>
      </c>
      <c r="X49" s="87">
        <v>314</v>
      </c>
      <c r="Y49" s="87">
        <v>161</v>
      </c>
      <c r="Z49" s="134">
        <f t="shared" si="27"/>
        <v>862</v>
      </c>
      <c r="AA49" s="133">
        <f t="shared" si="27"/>
        <v>433</v>
      </c>
      <c r="AB49" s="86">
        <v>9</v>
      </c>
      <c r="AC49" s="87">
        <v>5</v>
      </c>
      <c r="AD49" s="87">
        <v>0</v>
      </c>
      <c r="AE49" s="88">
        <v>0</v>
      </c>
      <c r="AF49" s="89"/>
    </row>
    <row r="50" spans="1:32" s="81" customFormat="1" ht="17.100000000000001" customHeight="1">
      <c r="A50" s="127" t="s">
        <v>138</v>
      </c>
      <c r="B50" s="127" t="s">
        <v>218</v>
      </c>
      <c r="C50" s="168" t="s">
        <v>2822</v>
      </c>
      <c r="D50" s="127" t="s">
        <v>4</v>
      </c>
      <c r="E50" s="127" t="s">
        <v>26</v>
      </c>
      <c r="F50" s="127" t="s">
        <v>2893</v>
      </c>
      <c r="G50" s="82">
        <v>44256</v>
      </c>
      <c r="H50" s="50" t="s">
        <v>2894</v>
      </c>
      <c r="I50" s="83">
        <v>15092</v>
      </c>
      <c r="J50" s="84">
        <v>22393</v>
      </c>
      <c r="K50" s="50" t="s">
        <v>2019</v>
      </c>
      <c r="L50" s="50" t="s">
        <v>2020</v>
      </c>
      <c r="M50" s="85" t="s">
        <v>2021</v>
      </c>
      <c r="N50" s="86">
        <v>12</v>
      </c>
      <c r="O50" s="87">
        <v>12</v>
      </c>
      <c r="P50" s="87">
        <v>11</v>
      </c>
      <c r="Q50" s="87">
        <v>2</v>
      </c>
      <c r="R50" s="87"/>
      <c r="S50" s="133">
        <f>SUM(N50:R50)</f>
        <v>37</v>
      </c>
      <c r="T50" s="86">
        <v>347</v>
      </c>
      <c r="U50" s="87">
        <v>175</v>
      </c>
      <c r="V50" s="87">
        <v>374</v>
      </c>
      <c r="W50" s="87">
        <v>190</v>
      </c>
      <c r="X50" s="87">
        <v>343</v>
      </c>
      <c r="Y50" s="87">
        <v>185</v>
      </c>
      <c r="Z50" s="134">
        <f t="shared" si="27"/>
        <v>1064</v>
      </c>
      <c r="AA50" s="133">
        <f t="shared" si="27"/>
        <v>550</v>
      </c>
      <c r="AB50" s="86">
        <v>14</v>
      </c>
      <c r="AC50" s="87">
        <v>7</v>
      </c>
      <c r="AD50" s="87"/>
      <c r="AE50" s="88"/>
      <c r="AF50" s="89"/>
    </row>
    <row r="51" spans="1:32" s="81" customFormat="1" ht="17.100000000000001" customHeight="1">
      <c r="A51" s="127" t="s">
        <v>138</v>
      </c>
      <c r="B51" s="127" t="s">
        <v>218</v>
      </c>
      <c r="C51" s="168" t="s">
        <v>2820</v>
      </c>
      <c r="D51" s="127" t="s">
        <v>4</v>
      </c>
      <c r="E51" s="127" t="s">
        <v>144</v>
      </c>
      <c r="F51" s="127" t="s">
        <v>219</v>
      </c>
      <c r="G51" s="82">
        <v>19949</v>
      </c>
      <c r="H51" s="50" t="s">
        <v>220</v>
      </c>
      <c r="I51" s="83">
        <v>57963.3</v>
      </c>
      <c r="J51" s="84">
        <v>22310</v>
      </c>
      <c r="K51" s="50" t="s">
        <v>221</v>
      </c>
      <c r="L51" s="50" t="s">
        <v>222</v>
      </c>
      <c r="M51" s="85" t="s">
        <v>223</v>
      </c>
      <c r="N51" s="86">
        <v>7</v>
      </c>
      <c r="O51" s="87">
        <v>7</v>
      </c>
      <c r="P51" s="87">
        <v>7</v>
      </c>
      <c r="Q51" s="87"/>
      <c r="R51" s="87"/>
      <c r="S51" s="133">
        <v>21</v>
      </c>
      <c r="T51" s="86">
        <v>148</v>
      </c>
      <c r="U51" s="87"/>
      <c r="V51" s="87">
        <v>147</v>
      </c>
      <c r="W51" s="87"/>
      <c r="X51" s="87">
        <v>152</v>
      </c>
      <c r="Y51" s="87"/>
      <c r="Z51" s="134">
        <f>SUM(T51:Y51)</f>
        <v>447</v>
      </c>
      <c r="AA51" s="133">
        <v>0</v>
      </c>
      <c r="AB51" s="86"/>
      <c r="AC51" s="87"/>
      <c r="AD51" s="87"/>
      <c r="AE51" s="88"/>
      <c r="AF51" s="89"/>
    </row>
    <row r="52" spans="1:32" s="81" customFormat="1" ht="17.100000000000001" customHeight="1">
      <c r="A52" s="127" t="s">
        <v>138</v>
      </c>
      <c r="B52" s="127" t="s">
        <v>218</v>
      </c>
      <c r="C52" s="168" t="s">
        <v>2822</v>
      </c>
      <c r="D52" s="127" t="s">
        <v>4</v>
      </c>
      <c r="E52" s="127" t="s">
        <v>26</v>
      </c>
      <c r="F52" s="127" t="s">
        <v>2895</v>
      </c>
      <c r="G52" s="82">
        <v>46082</v>
      </c>
      <c r="H52" s="50" t="s">
        <v>2896</v>
      </c>
      <c r="I52" s="83">
        <v>15618</v>
      </c>
      <c r="J52" s="84">
        <v>22389</v>
      </c>
      <c r="K52" s="50" t="s">
        <v>2897</v>
      </c>
      <c r="L52" s="50" t="s">
        <v>2898</v>
      </c>
      <c r="M52" s="85" t="s">
        <v>2899</v>
      </c>
      <c r="N52" s="86">
        <v>10</v>
      </c>
      <c r="O52" s="87">
        <v>0</v>
      </c>
      <c r="P52" s="87">
        <v>0</v>
      </c>
      <c r="Q52" s="87">
        <v>1</v>
      </c>
      <c r="R52" s="87">
        <v>0</v>
      </c>
      <c r="S52" s="133">
        <f>SUM(N52:R52)</f>
        <v>11</v>
      </c>
      <c r="T52" s="86">
        <v>282</v>
      </c>
      <c r="U52" s="87">
        <v>125</v>
      </c>
      <c r="V52" s="87">
        <v>0</v>
      </c>
      <c r="W52" s="87">
        <v>0</v>
      </c>
      <c r="X52" s="87">
        <v>0</v>
      </c>
      <c r="Y52" s="87">
        <v>0</v>
      </c>
      <c r="Z52" s="134">
        <f>T52+V52+X52</f>
        <v>282</v>
      </c>
      <c r="AA52" s="133">
        <f>U52+W52+Y52</f>
        <v>125</v>
      </c>
      <c r="AB52" s="160">
        <v>5</v>
      </c>
      <c r="AC52" s="161">
        <v>1</v>
      </c>
      <c r="AD52" s="87">
        <v>0</v>
      </c>
      <c r="AE52" s="88">
        <v>0</v>
      </c>
      <c r="AF52" s="89"/>
    </row>
    <row r="53" spans="1:32" s="81" customFormat="1" ht="17.100000000000001" customHeight="1">
      <c r="A53" s="1684" t="s">
        <v>406</v>
      </c>
      <c r="B53" s="1684"/>
      <c r="C53" s="208"/>
      <c r="D53" s="207">
        <f>COUNTA(D47:D52)</f>
        <v>6</v>
      </c>
      <c r="E53" s="208"/>
      <c r="F53" s="829"/>
      <c r="G53" s="209"/>
      <c r="H53" s="210"/>
      <c r="I53" s="211"/>
      <c r="J53" s="212"/>
      <c r="K53" s="210"/>
      <c r="L53" s="210"/>
      <c r="M53" s="213"/>
      <c r="N53" s="214">
        <f>SUM(N47:N52)</f>
        <v>55</v>
      </c>
      <c r="O53" s="215">
        <f>SUM(O47:O52)</f>
        <v>45</v>
      </c>
      <c r="P53" s="215">
        <f t="shared" ref="P53:R53" si="28">SUM(P47:P52)</f>
        <v>45</v>
      </c>
      <c r="Q53" s="215">
        <f t="shared" si="28"/>
        <v>9</v>
      </c>
      <c r="R53" s="215">
        <f t="shared" si="28"/>
        <v>0</v>
      </c>
      <c r="S53" s="216">
        <f>SUM(S47:S52)</f>
        <v>154</v>
      </c>
      <c r="T53" s="214">
        <f>SUM(T47:T52)</f>
        <v>1425</v>
      </c>
      <c r="U53" s="215">
        <f>SUM(U47:U52)</f>
        <v>707</v>
      </c>
      <c r="V53" s="215">
        <f t="shared" ref="V53:Z53" si="29">SUM(V47:V52)</f>
        <v>1217</v>
      </c>
      <c r="W53" s="215">
        <f t="shared" si="29"/>
        <v>613</v>
      </c>
      <c r="X53" s="215">
        <f t="shared" si="29"/>
        <v>1219</v>
      </c>
      <c r="Y53" s="215">
        <f t="shared" si="29"/>
        <v>651</v>
      </c>
      <c r="Z53" s="215">
        <f t="shared" si="29"/>
        <v>3861</v>
      </c>
      <c r="AA53" s="216">
        <f>SUM(AA47:AA52)</f>
        <v>1971</v>
      </c>
      <c r="AB53" s="1374">
        <f>SUM(AB47:AB52)</f>
        <v>46</v>
      </c>
      <c r="AC53" s="136">
        <f>SUM(AC47:AC52)</f>
        <v>23</v>
      </c>
      <c r="AD53" s="215">
        <f>SUM(AD47:AD52)</f>
        <v>0</v>
      </c>
      <c r="AE53" s="216">
        <f>SUM(AE47:AE52)</f>
        <v>0</v>
      </c>
      <c r="AF53" s="89"/>
    </row>
    <row r="54" spans="1:32" s="81" customFormat="1" ht="17.100000000000001" customHeight="1">
      <c r="A54" s="127" t="s">
        <v>139</v>
      </c>
      <c r="B54" s="127" t="s">
        <v>218</v>
      </c>
      <c r="C54" s="168" t="s">
        <v>2822</v>
      </c>
      <c r="D54" s="127" t="s">
        <v>4</v>
      </c>
      <c r="E54" s="127" t="s">
        <v>26</v>
      </c>
      <c r="F54" s="127" t="s">
        <v>3370</v>
      </c>
      <c r="G54" s="82">
        <v>26359</v>
      </c>
      <c r="H54" s="50" t="s">
        <v>3371</v>
      </c>
      <c r="I54" s="83">
        <v>15682</v>
      </c>
      <c r="J54" s="84">
        <v>22372</v>
      </c>
      <c r="K54" s="50" t="s">
        <v>3372</v>
      </c>
      <c r="L54" s="50" t="s">
        <v>3373</v>
      </c>
      <c r="M54" s="85" t="s">
        <v>3374</v>
      </c>
      <c r="N54" s="90">
        <v>4</v>
      </c>
      <c r="O54" s="91">
        <v>4</v>
      </c>
      <c r="P54" s="91">
        <v>4</v>
      </c>
      <c r="Q54" s="91"/>
      <c r="R54" s="91"/>
      <c r="S54" s="133">
        <f t="shared" ref="S54" si="30">SUM(N54:R54)</f>
        <v>12</v>
      </c>
      <c r="T54" s="90">
        <v>64</v>
      </c>
      <c r="U54" s="91">
        <v>25</v>
      </c>
      <c r="V54" s="91">
        <v>70</v>
      </c>
      <c r="W54" s="91">
        <v>33</v>
      </c>
      <c r="X54" s="91">
        <v>73</v>
      </c>
      <c r="Y54" s="91">
        <v>31</v>
      </c>
      <c r="Z54" s="134">
        <f t="shared" ref="Z54:AA54" si="31">T54+V54+X54</f>
        <v>207</v>
      </c>
      <c r="AA54" s="133">
        <f t="shared" si="31"/>
        <v>89</v>
      </c>
      <c r="AB54" s="90"/>
      <c r="AC54" s="91"/>
      <c r="AD54" s="91"/>
      <c r="AE54" s="92"/>
      <c r="AF54" s="93"/>
    </row>
    <row r="55" spans="1:32" s="81" customFormat="1" ht="17.100000000000001" customHeight="1">
      <c r="A55" s="127" t="s">
        <v>139</v>
      </c>
      <c r="B55" s="127" t="s">
        <v>218</v>
      </c>
      <c r="C55" s="168" t="s">
        <v>2820</v>
      </c>
      <c r="D55" s="127" t="s">
        <v>4</v>
      </c>
      <c r="E55" s="127" t="s">
        <v>26</v>
      </c>
      <c r="F55" s="127" t="s">
        <v>2900</v>
      </c>
      <c r="G55" s="82">
        <v>34759</v>
      </c>
      <c r="H55" s="50" t="s">
        <v>2901</v>
      </c>
      <c r="I55" s="83">
        <v>19756</v>
      </c>
      <c r="J55" s="84">
        <v>22319</v>
      </c>
      <c r="K55" s="50" t="s">
        <v>259</v>
      </c>
      <c r="L55" s="50" t="s">
        <v>2902</v>
      </c>
      <c r="M55" s="85" t="s">
        <v>2903</v>
      </c>
      <c r="N55" s="86">
        <v>8</v>
      </c>
      <c r="O55" s="87">
        <v>8</v>
      </c>
      <c r="P55" s="87">
        <v>10</v>
      </c>
      <c r="Q55" s="87">
        <v>3</v>
      </c>
      <c r="R55" s="87"/>
      <c r="S55" s="133">
        <f>SUM(N55:R55)</f>
        <v>29</v>
      </c>
      <c r="T55" s="86">
        <v>135</v>
      </c>
      <c r="U55" s="87">
        <v>14</v>
      </c>
      <c r="V55" s="87">
        <v>126</v>
      </c>
      <c r="W55" s="87">
        <v>9</v>
      </c>
      <c r="X55" s="87">
        <v>163</v>
      </c>
      <c r="Y55" s="87">
        <v>8</v>
      </c>
      <c r="Z55" s="134">
        <f>T55+V55+X55</f>
        <v>424</v>
      </c>
      <c r="AA55" s="133">
        <f>U55+W55+Y55</f>
        <v>31</v>
      </c>
      <c r="AB55" s="160">
        <v>17</v>
      </c>
      <c r="AC55" s="161">
        <v>3</v>
      </c>
      <c r="AD55" s="87"/>
      <c r="AE55" s="88"/>
      <c r="AF55" s="89"/>
    </row>
    <row r="56" spans="1:32" s="81" customFormat="1" ht="17.100000000000001" customHeight="1">
      <c r="A56" s="127" t="s">
        <v>139</v>
      </c>
      <c r="B56" s="127" t="s">
        <v>218</v>
      </c>
      <c r="C56" s="127" t="s">
        <v>2821</v>
      </c>
      <c r="D56" s="127" t="s">
        <v>4</v>
      </c>
      <c r="E56" s="127" t="s">
        <v>24</v>
      </c>
      <c r="F56" s="127" t="s">
        <v>241</v>
      </c>
      <c r="G56" s="82">
        <v>16539</v>
      </c>
      <c r="H56" s="50" t="s">
        <v>245</v>
      </c>
      <c r="I56" s="83">
        <v>21533</v>
      </c>
      <c r="J56" s="84">
        <v>22323</v>
      </c>
      <c r="K56" s="50" t="s">
        <v>242</v>
      </c>
      <c r="L56" s="50" t="s">
        <v>243</v>
      </c>
      <c r="M56" s="85" t="s">
        <v>244</v>
      </c>
      <c r="N56" s="90">
        <v>8</v>
      </c>
      <c r="O56" s="91">
        <v>8</v>
      </c>
      <c r="P56" s="91">
        <v>9</v>
      </c>
      <c r="Q56" s="91">
        <v>0</v>
      </c>
      <c r="R56" s="91">
        <v>0</v>
      </c>
      <c r="S56" s="133">
        <v>25</v>
      </c>
      <c r="T56" s="90">
        <v>156</v>
      </c>
      <c r="U56" s="91">
        <v>156</v>
      </c>
      <c r="V56" s="91">
        <v>142</v>
      </c>
      <c r="W56" s="91">
        <v>142</v>
      </c>
      <c r="X56" s="91">
        <v>128</v>
      </c>
      <c r="Y56" s="91">
        <v>128</v>
      </c>
      <c r="Z56" s="134">
        <f t="shared" ref="Z56:AA56" si="32">T56+V56+X56</f>
        <v>426</v>
      </c>
      <c r="AA56" s="133">
        <f t="shared" si="32"/>
        <v>426</v>
      </c>
      <c r="AB56" s="90"/>
      <c r="AC56" s="91">
        <v>0</v>
      </c>
      <c r="AD56" s="91"/>
      <c r="AE56" s="92"/>
      <c r="AF56" s="93"/>
    </row>
    <row r="57" spans="1:32" s="81" customFormat="1" ht="17.100000000000001" customHeight="1">
      <c r="A57" s="1684" t="s">
        <v>407</v>
      </c>
      <c r="B57" s="1684"/>
      <c r="C57" s="208"/>
      <c r="D57" s="207">
        <f>COUNTA(D54:D56)</f>
        <v>3</v>
      </c>
      <c r="E57" s="208"/>
      <c r="F57" s="829"/>
      <c r="G57" s="209"/>
      <c r="H57" s="210"/>
      <c r="I57" s="211"/>
      <c r="J57" s="212"/>
      <c r="K57" s="210"/>
      <c r="L57" s="210"/>
      <c r="M57" s="213"/>
      <c r="N57" s="214">
        <f t="shared" ref="N57:AE57" si="33">SUM(N54:N56)</f>
        <v>20</v>
      </c>
      <c r="O57" s="215">
        <f t="shared" si="33"/>
        <v>20</v>
      </c>
      <c r="P57" s="215">
        <f t="shared" si="33"/>
        <v>23</v>
      </c>
      <c r="Q57" s="215">
        <f t="shared" si="33"/>
        <v>3</v>
      </c>
      <c r="R57" s="215">
        <f t="shared" si="33"/>
        <v>0</v>
      </c>
      <c r="S57" s="216">
        <f t="shared" si="33"/>
        <v>66</v>
      </c>
      <c r="T57" s="214">
        <f t="shared" si="33"/>
        <v>355</v>
      </c>
      <c r="U57" s="215">
        <f t="shared" si="33"/>
        <v>195</v>
      </c>
      <c r="V57" s="215">
        <f t="shared" si="33"/>
        <v>338</v>
      </c>
      <c r="W57" s="215">
        <f t="shared" si="33"/>
        <v>184</v>
      </c>
      <c r="X57" s="215">
        <f t="shared" si="33"/>
        <v>364</v>
      </c>
      <c r="Y57" s="215">
        <f t="shared" si="33"/>
        <v>167</v>
      </c>
      <c r="Z57" s="215">
        <f t="shared" si="33"/>
        <v>1057</v>
      </c>
      <c r="AA57" s="216">
        <f t="shared" si="33"/>
        <v>546</v>
      </c>
      <c r="AB57" s="1374">
        <f t="shared" si="33"/>
        <v>17</v>
      </c>
      <c r="AC57" s="136">
        <f t="shared" si="33"/>
        <v>3</v>
      </c>
      <c r="AD57" s="215">
        <f t="shared" si="33"/>
        <v>0</v>
      </c>
      <c r="AE57" s="216">
        <f t="shared" si="33"/>
        <v>0</v>
      </c>
      <c r="AF57" s="89"/>
    </row>
    <row r="58" spans="1:32" s="81" customFormat="1" ht="17.100000000000001" customHeight="1">
      <c r="A58" s="127" t="s">
        <v>140</v>
      </c>
      <c r="B58" s="127" t="s">
        <v>218</v>
      </c>
      <c r="C58" s="168" t="s">
        <v>2822</v>
      </c>
      <c r="D58" s="127" t="s">
        <v>4</v>
      </c>
      <c r="E58" s="127" t="s">
        <v>26</v>
      </c>
      <c r="F58" s="127" t="s">
        <v>2904</v>
      </c>
      <c r="G58" s="82">
        <v>34396</v>
      </c>
      <c r="H58" s="50" t="s">
        <v>2905</v>
      </c>
      <c r="I58" s="83">
        <v>41903</v>
      </c>
      <c r="J58" s="84">
        <v>22361</v>
      </c>
      <c r="K58" s="689" t="s">
        <v>2030</v>
      </c>
      <c r="L58" s="689" t="s">
        <v>2030</v>
      </c>
      <c r="M58" s="690" t="s">
        <v>2031</v>
      </c>
      <c r="N58" s="86">
        <v>4</v>
      </c>
      <c r="O58" s="87">
        <v>4</v>
      </c>
      <c r="P58" s="87">
        <v>4</v>
      </c>
      <c r="Q58" s="87">
        <v>0</v>
      </c>
      <c r="R58" s="87">
        <v>0</v>
      </c>
      <c r="S58" s="133">
        <f>SUM(N58:R58)</f>
        <v>12</v>
      </c>
      <c r="T58" s="86">
        <v>80</v>
      </c>
      <c r="U58" s="87">
        <v>19</v>
      </c>
      <c r="V58" s="87">
        <v>81</v>
      </c>
      <c r="W58" s="87">
        <v>26</v>
      </c>
      <c r="X58" s="87">
        <v>48</v>
      </c>
      <c r="Y58" s="87">
        <v>10</v>
      </c>
      <c r="Z58" s="134">
        <f>T58+V58+X58</f>
        <v>209</v>
      </c>
      <c r="AA58" s="133">
        <f>U58+W58+Y58</f>
        <v>55</v>
      </c>
      <c r="AB58" s="86">
        <v>0</v>
      </c>
      <c r="AC58" s="87">
        <v>0</v>
      </c>
      <c r="AD58" s="87">
        <v>0</v>
      </c>
      <c r="AE58" s="88">
        <v>0</v>
      </c>
      <c r="AF58" s="89"/>
    </row>
    <row r="59" spans="1:32" s="81" customFormat="1" ht="17.100000000000001" customHeight="1">
      <c r="A59" s="127" t="s">
        <v>140</v>
      </c>
      <c r="B59" s="127" t="s">
        <v>218</v>
      </c>
      <c r="C59" s="127" t="s">
        <v>2822</v>
      </c>
      <c r="D59" s="127" t="s">
        <v>4</v>
      </c>
      <c r="E59" s="127" t="s">
        <v>26</v>
      </c>
      <c r="F59" s="127" t="s">
        <v>237</v>
      </c>
      <c r="G59" s="82">
        <v>39508</v>
      </c>
      <c r="H59" s="50" t="s">
        <v>2906</v>
      </c>
      <c r="I59" s="83">
        <v>29450</v>
      </c>
      <c r="J59" s="84">
        <v>22361</v>
      </c>
      <c r="K59" s="50" t="s">
        <v>238</v>
      </c>
      <c r="L59" s="50" t="s">
        <v>239</v>
      </c>
      <c r="M59" s="85" t="s">
        <v>240</v>
      </c>
      <c r="N59" s="86">
        <v>6</v>
      </c>
      <c r="O59" s="87">
        <v>6</v>
      </c>
      <c r="P59" s="87">
        <v>6</v>
      </c>
      <c r="Q59" s="87"/>
      <c r="R59" s="87"/>
      <c r="S59" s="133">
        <f>SUM(N59:R59)</f>
        <v>18</v>
      </c>
      <c r="T59" s="86">
        <v>142</v>
      </c>
      <c r="U59" s="87">
        <v>99</v>
      </c>
      <c r="V59" s="87">
        <v>139</v>
      </c>
      <c r="W59" s="87">
        <v>93</v>
      </c>
      <c r="X59" s="87">
        <v>125</v>
      </c>
      <c r="Y59" s="87">
        <v>91</v>
      </c>
      <c r="Z59" s="134">
        <f>T59+V59+X59</f>
        <v>406</v>
      </c>
      <c r="AA59" s="133">
        <f>U59+W59+Y59</f>
        <v>283</v>
      </c>
      <c r="AB59" s="86"/>
      <c r="AC59" s="87"/>
      <c r="AD59" s="87"/>
      <c r="AE59" s="88"/>
      <c r="AF59" s="89"/>
    </row>
    <row r="60" spans="1:32" s="81" customFormat="1" ht="17.100000000000001" customHeight="1">
      <c r="A60" s="1684" t="s">
        <v>408</v>
      </c>
      <c r="B60" s="1684"/>
      <c r="C60" s="208"/>
      <c r="D60" s="207">
        <f>COUNTA(D58:D59)</f>
        <v>2</v>
      </c>
      <c r="E60" s="208"/>
      <c r="F60" s="829"/>
      <c r="G60" s="209"/>
      <c r="H60" s="210"/>
      <c r="I60" s="211"/>
      <c r="J60" s="212"/>
      <c r="K60" s="210"/>
      <c r="L60" s="210"/>
      <c r="M60" s="213"/>
      <c r="N60" s="214">
        <f t="shared" ref="N60:AE60" si="34">SUM(N58:N59)</f>
        <v>10</v>
      </c>
      <c r="O60" s="215">
        <f t="shared" si="34"/>
        <v>10</v>
      </c>
      <c r="P60" s="215">
        <f t="shared" si="34"/>
        <v>10</v>
      </c>
      <c r="Q60" s="215">
        <f t="shared" si="34"/>
        <v>0</v>
      </c>
      <c r="R60" s="215">
        <f t="shared" si="34"/>
        <v>0</v>
      </c>
      <c r="S60" s="216">
        <f t="shared" si="34"/>
        <v>30</v>
      </c>
      <c r="T60" s="214">
        <f t="shared" si="34"/>
        <v>222</v>
      </c>
      <c r="U60" s="215">
        <f t="shared" si="34"/>
        <v>118</v>
      </c>
      <c r="V60" s="215">
        <f t="shared" si="34"/>
        <v>220</v>
      </c>
      <c r="W60" s="215">
        <f t="shared" si="34"/>
        <v>119</v>
      </c>
      <c r="X60" s="215">
        <f t="shared" si="34"/>
        <v>173</v>
      </c>
      <c r="Y60" s="215">
        <f t="shared" si="34"/>
        <v>101</v>
      </c>
      <c r="Z60" s="215">
        <f t="shared" si="34"/>
        <v>615</v>
      </c>
      <c r="AA60" s="216">
        <f t="shared" si="34"/>
        <v>338</v>
      </c>
      <c r="AB60" s="214">
        <f t="shared" si="34"/>
        <v>0</v>
      </c>
      <c r="AC60" s="215">
        <f t="shared" si="34"/>
        <v>0</v>
      </c>
      <c r="AD60" s="215">
        <f t="shared" si="34"/>
        <v>0</v>
      </c>
      <c r="AE60" s="216">
        <f t="shared" si="34"/>
        <v>0</v>
      </c>
      <c r="AF60" s="89"/>
    </row>
    <row r="61" spans="1:32" s="81" customFormat="1" ht="17.100000000000001" customHeight="1">
      <c r="A61" s="1625" t="s">
        <v>417</v>
      </c>
      <c r="B61" s="1626"/>
      <c r="C61" s="1626"/>
      <c r="D61" s="1626"/>
      <c r="E61" s="179">
        <f>D53+D57+D60</f>
        <v>11</v>
      </c>
      <c r="F61" s="830"/>
      <c r="G61" s="180"/>
      <c r="H61" s="181"/>
      <c r="I61" s="182"/>
      <c r="J61" s="183"/>
      <c r="K61" s="181"/>
      <c r="L61" s="181"/>
      <c r="M61" s="184"/>
      <c r="N61" s="185">
        <f t="shared" ref="N61:AE61" si="35">N53+N57+N60</f>
        <v>85</v>
      </c>
      <c r="O61" s="186">
        <f t="shared" si="35"/>
        <v>75</v>
      </c>
      <c r="P61" s="186">
        <f t="shared" si="35"/>
        <v>78</v>
      </c>
      <c r="Q61" s="186">
        <f t="shared" si="35"/>
        <v>12</v>
      </c>
      <c r="R61" s="186">
        <f t="shared" si="35"/>
        <v>0</v>
      </c>
      <c r="S61" s="187">
        <f t="shared" si="35"/>
        <v>250</v>
      </c>
      <c r="T61" s="185">
        <f t="shared" si="35"/>
        <v>2002</v>
      </c>
      <c r="U61" s="186">
        <f t="shared" si="35"/>
        <v>1020</v>
      </c>
      <c r="V61" s="186">
        <f t="shared" si="35"/>
        <v>1775</v>
      </c>
      <c r="W61" s="186">
        <f t="shared" si="35"/>
        <v>916</v>
      </c>
      <c r="X61" s="186">
        <f t="shared" si="35"/>
        <v>1756</v>
      </c>
      <c r="Y61" s="186">
        <f t="shared" si="35"/>
        <v>919</v>
      </c>
      <c r="Z61" s="186">
        <f t="shared" si="35"/>
        <v>5533</v>
      </c>
      <c r="AA61" s="187">
        <f t="shared" si="35"/>
        <v>2855</v>
      </c>
      <c r="AB61" s="185">
        <f t="shared" si="35"/>
        <v>63</v>
      </c>
      <c r="AC61" s="186">
        <f t="shared" si="35"/>
        <v>26</v>
      </c>
      <c r="AD61" s="186">
        <f t="shared" si="35"/>
        <v>0</v>
      </c>
      <c r="AE61" s="187">
        <f t="shared" si="35"/>
        <v>0</v>
      </c>
      <c r="AF61" s="219"/>
    </row>
    <row r="62" spans="1:32" s="81" customFormat="1" ht="17.100000000000001" customHeight="1">
      <c r="A62" s="127" t="s">
        <v>138</v>
      </c>
      <c r="B62" s="127" t="s">
        <v>218</v>
      </c>
      <c r="C62" s="168" t="s">
        <v>2820</v>
      </c>
      <c r="D62" s="127" t="s">
        <v>5</v>
      </c>
      <c r="E62" s="127" t="s">
        <v>144</v>
      </c>
      <c r="F62" s="127" t="s">
        <v>2907</v>
      </c>
      <c r="G62" s="82">
        <v>27455</v>
      </c>
      <c r="H62" s="50" t="s">
        <v>2091</v>
      </c>
      <c r="I62" s="83">
        <v>32305</v>
      </c>
      <c r="J62" s="84">
        <v>22327</v>
      </c>
      <c r="K62" s="50" t="s">
        <v>2027</v>
      </c>
      <c r="L62" s="50" t="s">
        <v>2028</v>
      </c>
      <c r="M62" s="85" t="s">
        <v>2029</v>
      </c>
      <c r="N62" s="86">
        <v>7</v>
      </c>
      <c r="O62" s="87">
        <v>7</v>
      </c>
      <c r="P62" s="87">
        <v>7</v>
      </c>
      <c r="Q62" s="87"/>
      <c r="R62" s="87"/>
      <c r="S62" s="133">
        <f>SUM(N62:R62)</f>
        <v>21</v>
      </c>
      <c r="T62" s="86">
        <v>141</v>
      </c>
      <c r="U62" s="87"/>
      <c r="V62" s="87">
        <v>140</v>
      </c>
      <c r="W62" s="87"/>
      <c r="X62" s="87">
        <v>152</v>
      </c>
      <c r="Y62" s="87"/>
      <c r="Z62" s="134">
        <f>T62+V62+X62</f>
        <v>433</v>
      </c>
      <c r="AA62" s="133">
        <f>U62+W62+Y62</f>
        <v>0</v>
      </c>
      <c r="AB62" s="86"/>
      <c r="AC62" s="87"/>
      <c r="AD62" s="87"/>
      <c r="AE62" s="88"/>
      <c r="AF62" s="89"/>
    </row>
    <row r="63" spans="1:32" s="81" customFormat="1" ht="17.100000000000001" customHeight="1">
      <c r="A63" s="127" t="s">
        <v>138</v>
      </c>
      <c r="B63" s="127" t="s">
        <v>218</v>
      </c>
      <c r="C63" s="127" t="s">
        <v>2820</v>
      </c>
      <c r="D63" s="127" t="s">
        <v>5</v>
      </c>
      <c r="E63" s="127" t="s">
        <v>24</v>
      </c>
      <c r="F63" s="127" t="s">
        <v>302</v>
      </c>
      <c r="G63" s="82">
        <v>22319</v>
      </c>
      <c r="H63" s="50" t="s">
        <v>2908</v>
      </c>
      <c r="I63" s="83">
        <v>12644</v>
      </c>
      <c r="J63" s="84">
        <v>22315</v>
      </c>
      <c r="K63" s="50" t="s">
        <v>303</v>
      </c>
      <c r="L63" s="50" t="s">
        <v>304</v>
      </c>
      <c r="M63" s="85" t="s">
        <v>305</v>
      </c>
      <c r="N63" s="86">
        <v>7</v>
      </c>
      <c r="O63" s="87">
        <v>8</v>
      </c>
      <c r="P63" s="87">
        <v>8</v>
      </c>
      <c r="Q63" s="87">
        <v>0</v>
      </c>
      <c r="R63" s="87">
        <v>0</v>
      </c>
      <c r="S63" s="133">
        <f>SUM(N63:R63)</f>
        <v>23</v>
      </c>
      <c r="T63" s="86">
        <v>160</v>
      </c>
      <c r="U63" s="87">
        <v>160</v>
      </c>
      <c r="V63" s="87">
        <v>192</v>
      </c>
      <c r="W63" s="87">
        <v>192</v>
      </c>
      <c r="X63" s="87">
        <v>217</v>
      </c>
      <c r="Y63" s="87">
        <v>217</v>
      </c>
      <c r="Z63" s="134">
        <f>T63+V63+X63</f>
        <v>569</v>
      </c>
      <c r="AA63" s="133">
        <f>U63+W63+Y63</f>
        <v>569</v>
      </c>
      <c r="AB63" s="86">
        <v>0</v>
      </c>
      <c r="AC63" s="87">
        <v>0</v>
      </c>
      <c r="AD63" s="87">
        <v>0</v>
      </c>
      <c r="AE63" s="88">
        <v>0</v>
      </c>
      <c r="AF63" s="89"/>
    </row>
    <row r="64" spans="1:32" s="81" customFormat="1" ht="17.100000000000001" customHeight="1">
      <c r="A64" s="1684" t="s">
        <v>406</v>
      </c>
      <c r="B64" s="1684"/>
      <c r="C64" s="208"/>
      <c r="D64" s="207">
        <f>COUNTA(D62:D63)</f>
        <v>2</v>
      </c>
      <c r="E64" s="208"/>
      <c r="F64" s="829"/>
      <c r="G64" s="209"/>
      <c r="H64" s="210"/>
      <c r="I64" s="211"/>
      <c r="J64" s="212"/>
      <c r="K64" s="210"/>
      <c r="L64" s="210"/>
      <c r="M64" s="213"/>
      <c r="N64" s="214">
        <f t="shared" ref="N64:AE64" si="36">SUM(N62:N63)</f>
        <v>14</v>
      </c>
      <c r="O64" s="215">
        <f t="shared" si="36"/>
        <v>15</v>
      </c>
      <c r="P64" s="215">
        <f t="shared" si="36"/>
        <v>15</v>
      </c>
      <c r="Q64" s="215">
        <f t="shared" si="36"/>
        <v>0</v>
      </c>
      <c r="R64" s="215">
        <f t="shared" si="36"/>
        <v>0</v>
      </c>
      <c r="S64" s="216">
        <f t="shared" si="36"/>
        <v>44</v>
      </c>
      <c r="T64" s="214">
        <f t="shared" si="36"/>
        <v>301</v>
      </c>
      <c r="U64" s="215">
        <f t="shared" si="36"/>
        <v>160</v>
      </c>
      <c r="V64" s="215">
        <f t="shared" si="36"/>
        <v>332</v>
      </c>
      <c r="W64" s="215">
        <f t="shared" si="36"/>
        <v>192</v>
      </c>
      <c r="X64" s="215">
        <f t="shared" si="36"/>
        <v>369</v>
      </c>
      <c r="Y64" s="215">
        <f t="shared" si="36"/>
        <v>217</v>
      </c>
      <c r="Z64" s="215">
        <f t="shared" si="36"/>
        <v>1002</v>
      </c>
      <c r="AA64" s="216">
        <f t="shared" si="36"/>
        <v>569</v>
      </c>
      <c r="AB64" s="214">
        <f t="shared" si="36"/>
        <v>0</v>
      </c>
      <c r="AC64" s="215">
        <f t="shared" si="36"/>
        <v>0</v>
      </c>
      <c r="AD64" s="215">
        <f t="shared" si="36"/>
        <v>0</v>
      </c>
      <c r="AE64" s="216">
        <f t="shared" si="36"/>
        <v>0</v>
      </c>
      <c r="AF64" s="89"/>
    </row>
    <row r="65" spans="1:32" s="81" customFormat="1" ht="17.100000000000001" customHeight="1">
      <c r="A65" s="127" t="s">
        <v>139</v>
      </c>
      <c r="B65" s="127" t="s">
        <v>218</v>
      </c>
      <c r="C65" s="168" t="s">
        <v>2820</v>
      </c>
      <c r="D65" s="127" t="s">
        <v>5</v>
      </c>
      <c r="E65" s="127" t="s">
        <v>24</v>
      </c>
      <c r="F65" s="127" t="s">
        <v>2909</v>
      </c>
      <c r="G65" s="82">
        <v>27089</v>
      </c>
      <c r="H65" s="50" t="s">
        <v>306</v>
      </c>
      <c r="I65" s="83">
        <v>6962.7</v>
      </c>
      <c r="J65" s="84">
        <v>22327</v>
      </c>
      <c r="K65" s="50" t="s">
        <v>307</v>
      </c>
      <c r="L65" s="50" t="s">
        <v>308</v>
      </c>
      <c r="M65" s="85" t="s">
        <v>309</v>
      </c>
      <c r="N65" s="86">
        <v>8</v>
      </c>
      <c r="O65" s="87">
        <v>8</v>
      </c>
      <c r="P65" s="87">
        <v>8</v>
      </c>
      <c r="Q65" s="87">
        <v>0</v>
      </c>
      <c r="R65" s="87">
        <v>0</v>
      </c>
      <c r="S65" s="133">
        <f>SUM(N65:R65)</f>
        <v>24</v>
      </c>
      <c r="T65" s="86">
        <v>159</v>
      </c>
      <c r="U65" s="87">
        <v>159</v>
      </c>
      <c r="V65" s="87">
        <v>142</v>
      </c>
      <c r="W65" s="87">
        <v>142</v>
      </c>
      <c r="X65" s="87">
        <v>113</v>
      </c>
      <c r="Y65" s="87">
        <v>113</v>
      </c>
      <c r="Z65" s="134">
        <f>T65+V65+X65</f>
        <v>414</v>
      </c>
      <c r="AA65" s="133">
        <f>U65+W65+Y65</f>
        <v>414</v>
      </c>
      <c r="AB65" s="86">
        <v>0</v>
      </c>
      <c r="AC65" s="87">
        <v>0</v>
      </c>
      <c r="AD65" s="87">
        <v>0</v>
      </c>
      <c r="AE65" s="88">
        <v>0</v>
      </c>
      <c r="AF65" s="89"/>
    </row>
    <row r="66" spans="1:32" s="81" customFormat="1" ht="17.100000000000001" customHeight="1">
      <c r="A66" s="1684" t="s">
        <v>407</v>
      </c>
      <c r="B66" s="1684"/>
      <c r="C66" s="208"/>
      <c r="D66" s="207">
        <f>COUNTA(D65)</f>
        <v>1</v>
      </c>
      <c r="E66" s="208"/>
      <c r="F66" s="829"/>
      <c r="G66" s="209"/>
      <c r="H66" s="210"/>
      <c r="I66" s="211"/>
      <c r="J66" s="212"/>
      <c r="K66" s="210"/>
      <c r="L66" s="210"/>
      <c r="M66" s="213"/>
      <c r="N66" s="214">
        <f t="shared" ref="N66:AE66" si="37">N65</f>
        <v>8</v>
      </c>
      <c r="O66" s="215">
        <f t="shared" si="37"/>
        <v>8</v>
      </c>
      <c r="P66" s="215">
        <f t="shared" si="37"/>
        <v>8</v>
      </c>
      <c r="Q66" s="215">
        <f t="shared" si="37"/>
        <v>0</v>
      </c>
      <c r="R66" s="215">
        <f t="shared" si="37"/>
        <v>0</v>
      </c>
      <c r="S66" s="216">
        <f t="shared" si="37"/>
        <v>24</v>
      </c>
      <c r="T66" s="214">
        <f t="shared" si="37"/>
        <v>159</v>
      </c>
      <c r="U66" s="215">
        <f t="shared" si="37"/>
        <v>159</v>
      </c>
      <c r="V66" s="215">
        <f t="shared" si="37"/>
        <v>142</v>
      </c>
      <c r="W66" s="215">
        <f t="shared" si="37"/>
        <v>142</v>
      </c>
      <c r="X66" s="215">
        <f t="shared" si="37"/>
        <v>113</v>
      </c>
      <c r="Y66" s="215">
        <f t="shared" si="37"/>
        <v>113</v>
      </c>
      <c r="Z66" s="215">
        <f t="shared" si="37"/>
        <v>414</v>
      </c>
      <c r="AA66" s="216">
        <f t="shared" si="37"/>
        <v>414</v>
      </c>
      <c r="AB66" s="214">
        <f t="shared" si="37"/>
        <v>0</v>
      </c>
      <c r="AC66" s="215">
        <f t="shared" si="37"/>
        <v>0</v>
      </c>
      <c r="AD66" s="215">
        <f t="shared" si="37"/>
        <v>0</v>
      </c>
      <c r="AE66" s="216">
        <f t="shared" si="37"/>
        <v>0</v>
      </c>
      <c r="AF66" s="89"/>
    </row>
    <row r="67" spans="1:32" s="81" customFormat="1" ht="17.100000000000001" customHeight="1">
      <c r="A67" s="127" t="s">
        <v>141</v>
      </c>
      <c r="B67" s="127" t="s">
        <v>218</v>
      </c>
      <c r="C67" s="168" t="s">
        <v>2822</v>
      </c>
      <c r="D67" s="127" t="s">
        <v>5</v>
      </c>
      <c r="E67" s="127" t="s">
        <v>26</v>
      </c>
      <c r="F67" s="127" t="s">
        <v>2910</v>
      </c>
      <c r="G67" s="82">
        <v>40609</v>
      </c>
      <c r="H67" s="50" t="s">
        <v>310</v>
      </c>
      <c r="I67" s="83">
        <v>31082</v>
      </c>
      <c r="J67" s="84">
        <v>22361</v>
      </c>
      <c r="K67" s="50" t="s">
        <v>2911</v>
      </c>
      <c r="L67" s="50" t="s">
        <v>2911</v>
      </c>
      <c r="M67" s="85" t="s">
        <v>2912</v>
      </c>
      <c r="N67" s="86">
        <v>8</v>
      </c>
      <c r="O67" s="87">
        <v>8</v>
      </c>
      <c r="P67" s="87">
        <v>8</v>
      </c>
      <c r="Q67" s="87">
        <v>0</v>
      </c>
      <c r="R67" s="87">
        <v>0</v>
      </c>
      <c r="S67" s="133">
        <f>SUM(N67:R67)</f>
        <v>24</v>
      </c>
      <c r="T67" s="86">
        <v>227</v>
      </c>
      <c r="U67" s="87">
        <v>109</v>
      </c>
      <c r="V67" s="87">
        <v>224</v>
      </c>
      <c r="W67" s="87">
        <v>124</v>
      </c>
      <c r="X67" s="87">
        <v>215</v>
      </c>
      <c r="Y67" s="87">
        <v>117</v>
      </c>
      <c r="Z67" s="134">
        <f>T67+V67+X67</f>
        <v>666</v>
      </c>
      <c r="AA67" s="133">
        <f>U67+W67+Y67</f>
        <v>350</v>
      </c>
      <c r="AB67" s="86"/>
      <c r="AC67" s="87"/>
      <c r="AD67" s="87"/>
      <c r="AE67" s="88"/>
      <c r="AF67" s="89"/>
    </row>
    <row r="68" spans="1:32" s="81" customFormat="1" ht="17.100000000000001" customHeight="1">
      <c r="A68" s="1684" t="s">
        <v>418</v>
      </c>
      <c r="B68" s="1684"/>
      <c r="C68" s="208"/>
      <c r="D68" s="207">
        <f>COUNTA(D67)</f>
        <v>1</v>
      </c>
      <c r="E68" s="208"/>
      <c r="F68" s="829"/>
      <c r="G68" s="209"/>
      <c r="H68" s="210"/>
      <c r="I68" s="211"/>
      <c r="J68" s="212"/>
      <c r="K68" s="210"/>
      <c r="L68" s="210"/>
      <c r="M68" s="213"/>
      <c r="N68" s="214">
        <f t="shared" ref="N68:AE68" si="38">N67</f>
        <v>8</v>
      </c>
      <c r="O68" s="215">
        <f t="shared" si="38"/>
        <v>8</v>
      </c>
      <c r="P68" s="215">
        <f t="shared" si="38"/>
        <v>8</v>
      </c>
      <c r="Q68" s="215">
        <f t="shared" si="38"/>
        <v>0</v>
      </c>
      <c r="R68" s="215">
        <f t="shared" si="38"/>
        <v>0</v>
      </c>
      <c r="S68" s="216">
        <f t="shared" si="38"/>
        <v>24</v>
      </c>
      <c r="T68" s="214">
        <f t="shared" si="38"/>
        <v>227</v>
      </c>
      <c r="U68" s="215">
        <f t="shared" si="38"/>
        <v>109</v>
      </c>
      <c r="V68" s="215">
        <f t="shared" si="38"/>
        <v>224</v>
      </c>
      <c r="W68" s="215">
        <f t="shared" si="38"/>
        <v>124</v>
      </c>
      <c r="X68" s="215">
        <f t="shared" si="38"/>
        <v>215</v>
      </c>
      <c r="Y68" s="215">
        <f t="shared" si="38"/>
        <v>117</v>
      </c>
      <c r="Z68" s="215">
        <f t="shared" si="38"/>
        <v>666</v>
      </c>
      <c r="AA68" s="216">
        <f t="shared" si="38"/>
        <v>350</v>
      </c>
      <c r="AB68" s="214">
        <f t="shared" si="38"/>
        <v>0</v>
      </c>
      <c r="AC68" s="215">
        <f t="shared" si="38"/>
        <v>0</v>
      </c>
      <c r="AD68" s="215">
        <f t="shared" si="38"/>
        <v>0</v>
      </c>
      <c r="AE68" s="216">
        <f t="shared" si="38"/>
        <v>0</v>
      </c>
      <c r="AF68" s="89"/>
    </row>
    <row r="69" spans="1:32" s="81" customFormat="1" ht="17.100000000000001" customHeight="1">
      <c r="A69" s="1681" t="s">
        <v>419</v>
      </c>
      <c r="B69" s="1682"/>
      <c r="C69" s="1682"/>
      <c r="D69" s="1683"/>
      <c r="E69" s="188">
        <f>D64+D66+D68</f>
        <v>4</v>
      </c>
      <c r="F69" s="834"/>
      <c r="G69" s="189"/>
      <c r="H69" s="190"/>
      <c r="I69" s="191"/>
      <c r="J69" s="192"/>
      <c r="K69" s="190"/>
      <c r="L69" s="190"/>
      <c r="M69" s="193"/>
      <c r="N69" s="194">
        <f t="shared" ref="N69:AE69" si="39">N64+N66+N68</f>
        <v>30</v>
      </c>
      <c r="O69" s="195">
        <f t="shared" si="39"/>
        <v>31</v>
      </c>
      <c r="P69" s="195">
        <f t="shared" si="39"/>
        <v>31</v>
      </c>
      <c r="Q69" s="195">
        <f t="shared" si="39"/>
        <v>0</v>
      </c>
      <c r="R69" s="195">
        <f t="shared" si="39"/>
        <v>0</v>
      </c>
      <c r="S69" s="196">
        <f t="shared" si="39"/>
        <v>92</v>
      </c>
      <c r="T69" s="194">
        <f t="shared" si="39"/>
        <v>687</v>
      </c>
      <c r="U69" s="195">
        <f t="shared" si="39"/>
        <v>428</v>
      </c>
      <c r="V69" s="195">
        <f t="shared" si="39"/>
        <v>698</v>
      </c>
      <c r="W69" s="195">
        <f t="shared" si="39"/>
        <v>458</v>
      </c>
      <c r="X69" s="195">
        <f t="shared" si="39"/>
        <v>697</v>
      </c>
      <c r="Y69" s="195">
        <f t="shared" si="39"/>
        <v>447</v>
      </c>
      <c r="Z69" s="195">
        <f t="shared" si="39"/>
        <v>2082</v>
      </c>
      <c r="AA69" s="196">
        <f t="shared" si="39"/>
        <v>1333</v>
      </c>
      <c r="AB69" s="194">
        <f t="shared" si="39"/>
        <v>0</v>
      </c>
      <c r="AC69" s="195">
        <f t="shared" si="39"/>
        <v>0</v>
      </c>
      <c r="AD69" s="195">
        <f t="shared" si="39"/>
        <v>0</v>
      </c>
      <c r="AE69" s="196">
        <f t="shared" si="39"/>
        <v>0</v>
      </c>
      <c r="AF69" s="220"/>
    </row>
    <row r="70" spans="1:32" s="81" customFormat="1" ht="17.100000000000001" customHeight="1">
      <c r="A70" s="1672" t="s">
        <v>420</v>
      </c>
      <c r="B70" s="1672"/>
      <c r="C70" s="1672"/>
      <c r="D70" s="1672"/>
      <c r="E70" s="1672"/>
      <c r="F70" s="835">
        <f>E46+E61+E69</f>
        <v>16</v>
      </c>
      <c r="G70" s="221"/>
      <c r="H70" s="222"/>
      <c r="I70" s="223"/>
      <c r="J70" s="224"/>
      <c r="K70" s="222"/>
      <c r="L70" s="222"/>
      <c r="M70" s="225"/>
      <c r="N70" s="226">
        <f t="shared" ref="N70:AE70" si="40">N46+N61+N69</f>
        <v>121</v>
      </c>
      <c r="O70" s="227">
        <f t="shared" si="40"/>
        <v>112</v>
      </c>
      <c r="P70" s="227">
        <f t="shared" si="40"/>
        <v>115</v>
      </c>
      <c r="Q70" s="227">
        <f t="shared" si="40"/>
        <v>12</v>
      </c>
      <c r="R70" s="227">
        <f t="shared" si="40"/>
        <v>0</v>
      </c>
      <c r="S70" s="228">
        <f t="shared" si="40"/>
        <v>360</v>
      </c>
      <c r="T70" s="226">
        <f t="shared" si="40"/>
        <v>2798</v>
      </c>
      <c r="U70" s="227">
        <f t="shared" si="40"/>
        <v>1460</v>
      </c>
      <c r="V70" s="227">
        <f t="shared" si="40"/>
        <v>2571</v>
      </c>
      <c r="W70" s="227">
        <f t="shared" si="40"/>
        <v>1383</v>
      </c>
      <c r="X70" s="227">
        <f t="shared" si="40"/>
        <v>2556</v>
      </c>
      <c r="Y70" s="227">
        <f t="shared" si="40"/>
        <v>1378</v>
      </c>
      <c r="Z70" s="227">
        <f t="shared" si="40"/>
        <v>7925</v>
      </c>
      <c r="AA70" s="228">
        <f t="shared" si="40"/>
        <v>4221</v>
      </c>
      <c r="AB70" s="226">
        <f t="shared" si="40"/>
        <v>63</v>
      </c>
      <c r="AC70" s="227">
        <f t="shared" si="40"/>
        <v>26</v>
      </c>
      <c r="AD70" s="227">
        <f t="shared" si="40"/>
        <v>0</v>
      </c>
      <c r="AE70" s="228">
        <f t="shared" si="40"/>
        <v>0</v>
      </c>
      <c r="AF70" s="229"/>
    </row>
    <row r="71" spans="1:32" s="81" customFormat="1" ht="17.100000000000001" customHeight="1">
      <c r="A71" s="127" t="s">
        <v>138</v>
      </c>
      <c r="B71" s="127" t="s">
        <v>7</v>
      </c>
      <c r="C71" s="168" t="s">
        <v>7</v>
      </c>
      <c r="D71" s="127" t="s">
        <v>4</v>
      </c>
      <c r="E71" s="127" t="s">
        <v>26</v>
      </c>
      <c r="F71" s="127" t="s">
        <v>2913</v>
      </c>
      <c r="G71" s="82">
        <v>38047</v>
      </c>
      <c r="H71" s="50" t="s">
        <v>2914</v>
      </c>
      <c r="I71" s="83">
        <v>13061</v>
      </c>
      <c r="J71" s="84">
        <v>21401</v>
      </c>
      <c r="K71" s="50" t="s">
        <v>285</v>
      </c>
      <c r="L71" s="50" t="s">
        <v>285</v>
      </c>
      <c r="M71" s="85" t="s">
        <v>2915</v>
      </c>
      <c r="N71" s="86">
        <v>9</v>
      </c>
      <c r="O71" s="87">
        <v>7</v>
      </c>
      <c r="P71" s="87">
        <v>7</v>
      </c>
      <c r="Q71" s="87">
        <v>1</v>
      </c>
      <c r="R71" s="87"/>
      <c r="S71" s="133">
        <f t="shared" ref="S71:S77" si="41">SUM(N71:R71)</f>
        <v>24</v>
      </c>
      <c r="T71" s="86">
        <v>233</v>
      </c>
      <c r="U71" s="87">
        <v>100</v>
      </c>
      <c r="V71" s="87">
        <v>174</v>
      </c>
      <c r="W71" s="87">
        <v>74</v>
      </c>
      <c r="X71" s="87">
        <v>191</v>
      </c>
      <c r="Y71" s="87">
        <v>81</v>
      </c>
      <c r="Z71" s="134">
        <v>598</v>
      </c>
      <c r="AA71" s="133">
        <v>255</v>
      </c>
      <c r="AB71" s="86">
        <v>6</v>
      </c>
      <c r="AC71" s="87">
        <v>0</v>
      </c>
      <c r="AD71" s="87"/>
      <c r="AE71" s="88"/>
      <c r="AF71" s="89"/>
    </row>
    <row r="72" spans="1:32" s="81" customFormat="1" ht="17.100000000000001" customHeight="1">
      <c r="A72" s="127" t="s">
        <v>138</v>
      </c>
      <c r="B72" s="127" t="s">
        <v>7</v>
      </c>
      <c r="C72" s="168" t="s">
        <v>7</v>
      </c>
      <c r="D72" s="127" t="s">
        <v>4</v>
      </c>
      <c r="E72" s="127" t="s">
        <v>24</v>
      </c>
      <c r="F72" s="127" t="s">
        <v>2916</v>
      </c>
      <c r="G72" s="82">
        <v>35129</v>
      </c>
      <c r="H72" s="50" t="s">
        <v>2917</v>
      </c>
      <c r="I72" s="83">
        <v>11152</v>
      </c>
      <c r="J72" s="84">
        <v>21350</v>
      </c>
      <c r="K72" s="50" t="s">
        <v>2918</v>
      </c>
      <c r="L72" s="50" t="s">
        <v>2060</v>
      </c>
      <c r="M72" s="85" t="s">
        <v>2919</v>
      </c>
      <c r="N72" s="86">
        <v>7</v>
      </c>
      <c r="O72" s="87">
        <v>7</v>
      </c>
      <c r="P72" s="87">
        <v>7</v>
      </c>
      <c r="Q72" s="87">
        <v>1</v>
      </c>
      <c r="R72" s="87"/>
      <c r="S72" s="133">
        <f t="shared" si="41"/>
        <v>22</v>
      </c>
      <c r="T72" s="86">
        <v>140</v>
      </c>
      <c r="U72" s="87">
        <v>140</v>
      </c>
      <c r="V72" s="87">
        <v>164</v>
      </c>
      <c r="W72" s="87">
        <v>164</v>
      </c>
      <c r="X72" s="87">
        <v>135</v>
      </c>
      <c r="Y72" s="87">
        <v>135</v>
      </c>
      <c r="Z72" s="134">
        <f t="shared" ref="Z72:AA77" si="42">T72+V72+X72</f>
        <v>439</v>
      </c>
      <c r="AA72" s="133">
        <f t="shared" si="42"/>
        <v>439</v>
      </c>
      <c r="AB72" s="160">
        <v>3</v>
      </c>
      <c r="AC72" s="161">
        <v>3</v>
      </c>
      <c r="AD72" s="87"/>
      <c r="AE72" s="88"/>
      <c r="AF72" s="89"/>
    </row>
    <row r="73" spans="1:32" s="81" customFormat="1" ht="17.100000000000001" customHeight="1">
      <c r="A73" s="127" t="s">
        <v>138</v>
      </c>
      <c r="B73" s="127" t="s">
        <v>7</v>
      </c>
      <c r="C73" s="168" t="s">
        <v>7</v>
      </c>
      <c r="D73" s="127" t="s">
        <v>4</v>
      </c>
      <c r="E73" s="127" t="s">
        <v>144</v>
      </c>
      <c r="F73" s="127" t="s">
        <v>2920</v>
      </c>
      <c r="G73" s="82">
        <v>34759</v>
      </c>
      <c r="H73" s="50" t="s">
        <v>2921</v>
      </c>
      <c r="I73" s="83">
        <v>17420</v>
      </c>
      <c r="J73" s="84">
        <v>21383</v>
      </c>
      <c r="K73" s="50" t="s">
        <v>2922</v>
      </c>
      <c r="L73" s="50" t="s">
        <v>2923</v>
      </c>
      <c r="M73" s="85" t="s">
        <v>2924</v>
      </c>
      <c r="N73" s="86">
        <v>7</v>
      </c>
      <c r="O73" s="87">
        <v>7</v>
      </c>
      <c r="P73" s="87">
        <v>7</v>
      </c>
      <c r="Q73" s="87">
        <v>2</v>
      </c>
      <c r="R73" s="87"/>
      <c r="S73" s="133">
        <f t="shared" si="41"/>
        <v>23</v>
      </c>
      <c r="T73" s="86">
        <v>167</v>
      </c>
      <c r="U73" s="87"/>
      <c r="V73" s="87">
        <v>187</v>
      </c>
      <c r="W73" s="87"/>
      <c r="X73" s="87">
        <v>192</v>
      </c>
      <c r="Y73" s="87"/>
      <c r="Z73" s="134">
        <f t="shared" si="42"/>
        <v>546</v>
      </c>
      <c r="AA73" s="133">
        <f t="shared" si="42"/>
        <v>0</v>
      </c>
      <c r="AB73" s="160">
        <v>14</v>
      </c>
      <c r="AC73" s="161"/>
      <c r="AD73" s="87"/>
      <c r="AE73" s="88"/>
      <c r="AF73" s="89"/>
    </row>
    <row r="74" spans="1:32" s="81" customFormat="1" ht="17.100000000000001" customHeight="1">
      <c r="A74" s="127" t="s">
        <v>138</v>
      </c>
      <c r="B74" s="127" t="s">
        <v>7</v>
      </c>
      <c r="C74" s="168" t="s">
        <v>7</v>
      </c>
      <c r="D74" s="127" t="s">
        <v>4</v>
      </c>
      <c r="E74" s="127" t="s">
        <v>24</v>
      </c>
      <c r="F74" s="127" t="s">
        <v>2925</v>
      </c>
      <c r="G74" s="82">
        <v>32203</v>
      </c>
      <c r="H74" s="50" t="s">
        <v>2926</v>
      </c>
      <c r="I74" s="83">
        <v>13567</v>
      </c>
      <c r="J74" s="84">
        <v>21352</v>
      </c>
      <c r="K74" s="50" t="s">
        <v>231</v>
      </c>
      <c r="L74" s="50" t="s">
        <v>232</v>
      </c>
      <c r="M74" s="85" t="s">
        <v>2927</v>
      </c>
      <c r="N74" s="86">
        <v>7</v>
      </c>
      <c r="O74" s="87">
        <v>7</v>
      </c>
      <c r="P74" s="87">
        <v>7</v>
      </c>
      <c r="Q74" s="87">
        <v>1</v>
      </c>
      <c r="R74" s="87">
        <v>0</v>
      </c>
      <c r="S74" s="133">
        <f t="shared" si="41"/>
        <v>22</v>
      </c>
      <c r="T74" s="86">
        <v>183</v>
      </c>
      <c r="U74" s="87">
        <v>183</v>
      </c>
      <c r="V74" s="87">
        <v>177</v>
      </c>
      <c r="W74" s="87">
        <v>177</v>
      </c>
      <c r="X74" s="87">
        <v>186</v>
      </c>
      <c r="Y74" s="87">
        <v>186</v>
      </c>
      <c r="Z74" s="134">
        <f t="shared" si="42"/>
        <v>546</v>
      </c>
      <c r="AA74" s="133">
        <f t="shared" si="42"/>
        <v>546</v>
      </c>
      <c r="AB74" s="160">
        <v>5</v>
      </c>
      <c r="AC74" s="161">
        <v>5</v>
      </c>
      <c r="AD74" s="87">
        <v>0</v>
      </c>
      <c r="AE74" s="88">
        <v>0</v>
      </c>
      <c r="AF74" s="89"/>
    </row>
    <row r="75" spans="1:32" s="81" customFormat="1" ht="17.100000000000001" customHeight="1">
      <c r="A75" s="127" t="s">
        <v>138</v>
      </c>
      <c r="B75" s="127" t="s">
        <v>7</v>
      </c>
      <c r="C75" s="168" t="s">
        <v>7</v>
      </c>
      <c r="D75" s="127" t="s">
        <v>4</v>
      </c>
      <c r="E75" s="127" t="s">
        <v>144</v>
      </c>
      <c r="F75" s="127" t="s">
        <v>2928</v>
      </c>
      <c r="G75" s="82">
        <v>26364</v>
      </c>
      <c r="H75" s="50" t="s">
        <v>2929</v>
      </c>
      <c r="I75" s="83">
        <v>20557</v>
      </c>
      <c r="J75" s="84">
        <v>21356</v>
      </c>
      <c r="K75" s="50" t="s">
        <v>2930</v>
      </c>
      <c r="L75" s="50" t="s">
        <v>2930</v>
      </c>
      <c r="M75" s="85" t="s">
        <v>2931</v>
      </c>
      <c r="N75" s="86">
        <v>8</v>
      </c>
      <c r="O75" s="87">
        <v>8</v>
      </c>
      <c r="P75" s="87">
        <v>8</v>
      </c>
      <c r="Q75" s="87">
        <v>1</v>
      </c>
      <c r="R75" s="87">
        <v>0</v>
      </c>
      <c r="S75" s="133">
        <f t="shared" si="41"/>
        <v>25</v>
      </c>
      <c r="T75" s="160">
        <v>192</v>
      </c>
      <c r="U75" s="161"/>
      <c r="V75" s="161">
        <v>201</v>
      </c>
      <c r="W75" s="161"/>
      <c r="X75" s="161">
        <v>200</v>
      </c>
      <c r="Y75" s="161"/>
      <c r="Z75" s="136">
        <f t="shared" si="42"/>
        <v>593</v>
      </c>
      <c r="AA75" s="135">
        <f t="shared" si="42"/>
        <v>0</v>
      </c>
      <c r="AB75" s="160">
        <v>7</v>
      </c>
      <c r="AC75" s="161"/>
      <c r="AD75" s="87">
        <v>0</v>
      </c>
      <c r="AE75" s="88">
        <v>0</v>
      </c>
      <c r="AF75" s="89"/>
    </row>
    <row r="76" spans="1:32" s="81" customFormat="1" ht="17.100000000000001" customHeight="1">
      <c r="A76" s="127" t="s">
        <v>138</v>
      </c>
      <c r="B76" s="127" t="s">
        <v>7</v>
      </c>
      <c r="C76" s="168" t="s">
        <v>7</v>
      </c>
      <c r="D76" s="127" t="s">
        <v>4</v>
      </c>
      <c r="E76" s="127" t="s">
        <v>24</v>
      </c>
      <c r="F76" s="127" t="s">
        <v>2932</v>
      </c>
      <c r="G76" s="82">
        <v>30011</v>
      </c>
      <c r="H76" s="50" t="s">
        <v>2933</v>
      </c>
      <c r="I76" s="83">
        <v>21527</v>
      </c>
      <c r="J76" s="84">
        <v>21378</v>
      </c>
      <c r="K76" s="50" t="s">
        <v>1989</v>
      </c>
      <c r="L76" s="50" t="s">
        <v>1990</v>
      </c>
      <c r="M76" s="85" t="s">
        <v>1991</v>
      </c>
      <c r="N76" s="86">
        <v>7</v>
      </c>
      <c r="O76" s="87">
        <v>7</v>
      </c>
      <c r="P76" s="87">
        <v>7</v>
      </c>
      <c r="Q76" s="87">
        <v>2</v>
      </c>
      <c r="R76" s="87">
        <v>0</v>
      </c>
      <c r="S76" s="133">
        <f t="shared" si="41"/>
        <v>23</v>
      </c>
      <c r="T76" s="86">
        <v>180</v>
      </c>
      <c r="U76" s="87">
        <v>180</v>
      </c>
      <c r="V76" s="87">
        <v>193</v>
      </c>
      <c r="W76" s="87">
        <v>193</v>
      </c>
      <c r="X76" s="87">
        <v>191</v>
      </c>
      <c r="Y76" s="87">
        <v>191</v>
      </c>
      <c r="Z76" s="134">
        <f t="shared" si="42"/>
        <v>564</v>
      </c>
      <c r="AA76" s="133">
        <f t="shared" si="42"/>
        <v>564</v>
      </c>
      <c r="AB76" s="160">
        <v>14</v>
      </c>
      <c r="AC76" s="161">
        <v>14</v>
      </c>
      <c r="AD76" s="87">
        <v>0</v>
      </c>
      <c r="AE76" s="88">
        <v>0</v>
      </c>
      <c r="AF76" s="89"/>
    </row>
    <row r="77" spans="1:32" s="81" customFormat="1" ht="17.100000000000001" customHeight="1">
      <c r="A77" s="127" t="s">
        <v>138</v>
      </c>
      <c r="B77" s="127" t="s">
        <v>7</v>
      </c>
      <c r="C77" s="168" t="s">
        <v>7</v>
      </c>
      <c r="D77" s="127" t="s">
        <v>4</v>
      </c>
      <c r="E77" s="127" t="s">
        <v>26</v>
      </c>
      <c r="F77" s="127" t="s">
        <v>2934</v>
      </c>
      <c r="G77" s="82">
        <v>36951</v>
      </c>
      <c r="H77" s="50" t="s">
        <v>2935</v>
      </c>
      <c r="I77" s="83">
        <v>11974</v>
      </c>
      <c r="J77" s="84">
        <v>21319</v>
      </c>
      <c r="K77" s="50" t="s">
        <v>2936</v>
      </c>
      <c r="L77" s="50" t="s">
        <v>2937</v>
      </c>
      <c r="M77" s="85" t="s">
        <v>2938</v>
      </c>
      <c r="N77" s="86">
        <v>9</v>
      </c>
      <c r="O77" s="87">
        <v>7</v>
      </c>
      <c r="P77" s="87">
        <v>8</v>
      </c>
      <c r="Q77" s="87">
        <v>2</v>
      </c>
      <c r="R77" s="87"/>
      <c r="S77" s="133">
        <f t="shared" si="41"/>
        <v>26</v>
      </c>
      <c r="T77" s="86">
        <v>223</v>
      </c>
      <c r="U77" s="87">
        <v>122</v>
      </c>
      <c r="V77" s="87">
        <v>197</v>
      </c>
      <c r="W77" s="87">
        <v>112</v>
      </c>
      <c r="X77" s="87">
        <v>219</v>
      </c>
      <c r="Y77" s="87">
        <v>113</v>
      </c>
      <c r="Z77" s="134">
        <f t="shared" si="42"/>
        <v>639</v>
      </c>
      <c r="AA77" s="133">
        <f t="shared" si="42"/>
        <v>347</v>
      </c>
      <c r="AB77" s="86">
        <v>14</v>
      </c>
      <c r="AC77" s="87">
        <v>2</v>
      </c>
      <c r="AD77" s="87"/>
      <c r="AE77" s="88"/>
      <c r="AF77" s="89"/>
    </row>
    <row r="78" spans="1:32" s="81" customFormat="1" ht="17.100000000000001" customHeight="1">
      <c r="A78" s="127" t="s">
        <v>138</v>
      </c>
      <c r="B78" s="127" t="s">
        <v>7</v>
      </c>
      <c r="C78" s="127" t="s">
        <v>7</v>
      </c>
      <c r="D78" s="127" t="s">
        <v>4</v>
      </c>
      <c r="E78" s="127" t="s">
        <v>26</v>
      </c>
      <c r="F78" s="127" t="s">
        <v>2939</v>
      </c>
      <c r="G78" s="82">
        <v>38387</v>
      </c>
      <c r="H78" s="50" t="s">
        <v>2940</v>
      </c>
      <c r="I78" s="83">
        <v>13039</v>
      </c>
      <c r="J78" s="84">
        <v>21401</v>
      </c>
      <c r="K78" s="50" t="s">
        <v>2941</v>
      </c>
      <c r="L78" s="50" t="s">
        <v>2942</v>
      </c>
      <c r="M78" s="85" t="s">
        <v>2943</v>
      </c>
      <c r="N78" s="86">
        <v>7</v>
      </c>
      <c r="O78" s="87">
        <v>7</v>
      </c>
      <c r="P78" s="87">
        <v>7</v>
      </c>
      <c r="Q78" s="87">
        <v>1</v>
      </c>
      <c r="R78" s="87"/>
      <c r="S78" s="133">
        <f>SUM(N78:R78)</f>
        <v>22</v>
      </c>
      <c r="T78" s="86">
        <v>178</v>
      </c>
      <c r="U78" s="87">
        <v>97</v>
      </c>
      <c r="V78" s="87">
        <v>188</v>
      </c>
      <c r="W78" s="87">
        <v>85</v>
      </c>
      <c r="X78" s="87">
        <v>195</v>
      </c>
      <c r="Y78" s="87">
        <v>88</v>
      </c>
      <c r="Z78" s="134">
        <f>T78+V78+X78</f>
        <v>561</v>
      </c>
      <c r="AA78" s="133">
        <f>U78+W78+Y78</f>
        <v>270</v>
      </c>
      <c r="AB78" s="160">
        <v>6</v>
      </c>
      <c r="AC78" s="161">
        <v>0</v>
      </c>
      <c r="AD78" s="87"/>
      <c r="AE78" s="88"/>
      <c r="AF78" s="89"/>
    </row>
    <row r="79" spans="1:32" s="81" customFormat="1" ht="17.100000000000001" customHeight="1">
      <c r="A79" s="127" t="s">
        <v>138</v>
      </c>
      <c r="B79" s="127" t="s">
        <v>7</v>
      </c>
      <c r="C79" s="168" t="s">
        <v>7</v>
      </c>
      <c r="D79" s="127" t="s">
        <v>4</v>
      </c>
      <c r="E79" s="127" t="s">
        <v>26</v>
      </c>
      <c r="F79" s="127" t="s">
        <v>2944</v>
      </c>
      <c r="G79" s="82">
        <v>38777</v>
      </c>
      <c r="H79" s="50" t="s">
        <v>2945</v>
      </c>
      <c r="I79" s="83">
        <v>11955</v>
      </c>
      <c r="J79" s="84">
        <v>21377</v>
      </c>
      <c r="K79" s="50" t="s">
        <v>311</v>
      </c>
      <c r="L79" s="50" t="s">
        <v>312</v>
      </c>
      <c r="M79" s="85" t="s">
        <v>313</v>
      </c>
      <c r="N79" s="86">
        <v>9</v>
      </c>
      <c r="O79" s="87">
        <v>7</v>
      </c>
      <c r="P79" s="87">
        <v>8</v>
      </c>
      <c r="Q79" s="87">
        <v>2</v>
      </c>
      <c r="R79" s="87">
        <v>0</v>
      </c>
      <c r="S79" s="133">
        <f>SUM(N79:R79)</f>
        <v>26</v>
      </c>
      <c r="T79" s="86">
        <v>223</v>
      </c>
      <c r="U79" s="87">
        <v>100</v>
      </c>
      <c r="V79" s="87">
        <v>184</v>
      </c>
      <c r="W79" s="87">
        <v>79</v>
      </c>
      <c r="X79" s="87">
        <v>229</v>
      </c>
      <c r="Y79" s="87">
        <v>114</v>
      </c>
      <c r="Z79" s="134">
        <f t="shared" ref="Z79:AA81" si="43">T79+V79+X79</f>
        <v>636</v>
      </c>
      <c r="AA79" s="133">
        <f t="shared" si="43"/>
        <v>293</v>
      </c>
      <c r="AB79" s="86">
        <v>13</v>
      </c>
      <c r="AC79" s="87">
        <v>0</v>
      </c>
      <c r="AD79" s="87">
        <v>0</v>
      </c>
      <c r="AE79" s="88">
        <v>0</v>
      </c>
      <c r="AF79" s="89"/>
    </row>
    <row r="80" spans="1:32" s="81" customFormat="1" ht="17.100000000000001" customHeight="1">
      <c r="A80" s="127" t="s">
        <v>138</v>
      </c>
      <c r="B80" s="127" t="s">
        <v>7</v>
      </c>
      <c r="C80" s="168" t="s">
        <v>7</v>
      </c>
      <c r="D80" s="127" t="s">
        <v>4</v>
      </c>
      <c r="E80" s="127" t="s">
        <v>144</v>
      </c>
      <c r="F80" s="127" t="s">
        <v>2946</v>
      </c>
      <c r="G80" s="82">
        <v>39873</v>
      </c>
      <c r="H80" s="50" t="s">
        <v>249</v>
      </c>
      <c r="I80" s="83">
        <v>13784</v>
      </c>
      <c r="J80" s="84">
        <v>21447</v>
      </c>
      <c r="K80" s="50" t="s">
        <v>250</v>
      </c>
      <c r="L80" s="50" t="s">
        <v>251</v>
      </c>
      <c r="M80" s="85" t="s">
        <v>252</v>
      </c>
      <c r="N80" s="86">
        <v>7</v>
      </c>
      <c r="O80" s="87">
        <v>7</v>
      </c>
      <c r="P80" s="87">
        <v>7</v>
      </c>
      <c r="Q80" s="87">
        <v>1</v>
      </c>
      <c r="R80" s="87"/>
      <c r="S80" s="133">
        <f>SUM(N80:R80)</f>
        <v>22</v>
      </c>
      <c r="T80" s="86">
        <v>169</v>
      </c>
      <c r="U80" s="87"/>
      <c r="V80" s="87">
        <v>188</v>
      </c>
      <c r="W80" s="87"/>
      <c r="X80" s="87">
        <v>189</v>
      </c>
      <c r="Y80" s="87"/>
      <c r="Z80" s="134">
        <f t="shared" si="43"/>
        <v>546</v>
      </c>
      <c r="AA80" s="133">
        <f t="shared" si="43"/>
        <v>0</v>
      </c>
      <c r="AB80" s="86">
        <v>3</v>
      </c>
      <c r="AC80" s="87"/>
      <c r="AD80" s="87"/>
      <c r="AE80" s="88"/>
      <c r="AF80" s="89"/>
    </row>
    <row r="81" spans="1:32" s="81" customFormat="1" ht="17.100000000000001" customHeight="1">
      <c r="A81" s="127" t="s">
        <v>138</v>
      </c>
      <c r="B81" s="127" t="s">
        <v>7</v>
      </c>
      <c r="C81" s="168" t="s">
        <v>7</v>
      </c>
      <c r="D81" s="127" t="s">
        <v>4</v>
      </c>
      <c r="E81" s="127" t="s">
        <v>26</v>
      </c>
      <c r="F81" s="127" t="s">
        <v>2947</v>
      </c>
      <c r="G81" s="82">
        <v>38777</v>
      </c>
      <c r="H81" s="50" t="s">
        <v>2948</v>
      </c>
      <c r="I81" s="83">
        <v>14054</v>
      </c>
      <c r="J81" s="84">
        <v>21325</v>
      </c>
      <c r="K81" s="50" t="s">
        <v>246</v>
      </c>
      <c r="L81" s="50" t="s">
        <v>247</v>
      </c>
      <c r="M81" s="85" t="s">
        <v>248</v>
      </c>
      <c r="N81" s="86">
        <v>9</v>
      </c>
      <c r="O81" s="87">
        <v>7</v>
      </c>
      <c r="P81" s="87">
        <v>8</v>
      </c>
      <c r="Q81" s="87">
        <v>2</v>
      </c>
      <c r="R81" s="87"/>
      <c r="S81" s="133">
        <f>SUM(N81:R81)</f>
        <v>26</v>
      </c>
      <c r="T81" s="86">
        <v>230</v>
      </c>
      <c r="U81" s="87">
        <v>126</v>
      </c>
      <c r="V81" s="87">
        <v>182</v>
      </c>
      <c r="W81" s="87">
        <v>80</v>
      </c>
      <c r="X81" s="87">
        <v>224</v>
      </c>
      <c r="Y81" s="87">
        <v>112</v>
      </c>
      <c r="Z81" s="134">
        <f t="shared" si="43"/>
        <v>636</v>
      </c>
      <c r="AA81" s="133">
        <f t="shared" si="43"/>
        <v>318</v>
      </c>
      <c r="AB81" s="160">
        <v>9</v>
      </c>
      <c r="AC81" s="161">
        <v>2</v>
      </c>
      <c r="AD81" s="87"/>
      <c r="AE81" s="88"/>
      <c r="AF81" s="89"/>
    </row>
    <row r="82" spans="1:32" s="81" customFormat="1" ht="17.100000000000001" customHeight="1">
      <c r="A82" s="1684" t="s">
        <v>406</v>
      </c>
      <c r="B82" s="1684"/>
      <c r="C82" s="208"/>
      <c r="D82" s="207">
        <f>COUNTA(D71:D81)</f>
        <v>11</v>
      </c>
      <c r="E82" s="208"/>
      <c r="F82" s="829"/>
      <c r="G82" s="209"/>
      <c r="H82" s="210"/>
      <c r="I82" s="211"/>
      <c r="J82" s="212"/>
      <c r="K82" s="210"/>
      <c r="L82" s="210"/>
      <c r="M82" s="213"/>
      <c r="N82" s="214">
        <f t="shared" ref="N82:AE82" si="44">SUM(N71:N81)</f>
        <v>86</v>
      </c>
      <c r="O82" s="215">
        <f t="shared" si="44"/>
        <v>78</v>
      </c>
      <c r="P82" s="215">
        <f t="shared" si="44"/>
        <v>81</v>
      </c>
      <c r="Q82" s="215">
        <f t="shared" si="44"/>
        <v>16</v>
      </c>
      <c r="R82" s="215">
        <f t="shared" si="44"/>
        <v>0</v>
      </c>
      <c r="S82" s="216">
        <f t="shared" si="44"/>
        <v>261</v>
      </c>
      <c r="T82" s="214">
        <f t="shared" si="44"/>
        <v>2118</v>
      </c>
      <c r="U82" s="215">
        <f t="shared" si="44"/>
        <v>1048</v>
      </c>
      <c r="V82" s="215">
        <f t="shared" si="44"/>
        <v>2035</v>
      </c>
      <c r="W82" s="215">
        <f t="shared" si="44"/>
        <v>964</v>
      </c>
      <c r="X82" s="215">
        <f t="shared" si="44"/>
        <v>2151</v>
      </c>
      <c r="Y82" s="215">
        <f t="shared" si="44"/>
        <v>1020</v>
      </c>
      <c r="Z82" s="215">
        <f t="shared" si="44"/>
        <v>6304</v>
      </c>
      <c r="AA82" s="216">
        <f t="shared" si="44"/>
        <v>3032</v>
      </c>
      <c r="AB82" s="214">
        <f t="shared" si="44"/>
        <v>94</v>
      </c>
      <c r="AC82" s="215">
        <f t="shared" si="44"/>
        <v>26</v>
      </c>
      <c r="AD82" s="215">
        <f t="shared" si="44"/>
        <v>0</v>
      </c>
      <c r="AE82" s="216">
        <f t="shared" si="44"/>
        <v>0</v>
      </c>
      <c r="AF82" s="89"/>
    </row>
    <row r="83" spans="1:32" s="81" customFormat="1" ht="17.100000000000001" customHeight="1">
      <c r="A83" s="127" t="s">
        <v>139</v>
      </c>
      <c r="B83" s="127" t="s">
        <v>7</v>
      </c>
      <c r="C83" s="127" t="s">
        <v>7</v>
      </c>
      <c r="D83" s="127" t="s">
        <v>4</v>
      </c>
      <c r="E83" s="127" t="s">
        <v>144</v>
      </c>
      <c r="F83" s="127" t="s">
        <v>318</v>
      </c>
      <c r="G83" s="82">
        <v>34394</v>
      </c>
      <c r="H83" s="50" t="s">
        <v>314</v>
      </c>
      <c r="I83" s="83">
        <v>12561.6</v>
      </c>
      <c r="J83" s="84">
        <v>21331</v>
      </c>
      <c r="K83" s="50" t="s">
        <v>315</v>
      </c>
      <c r="L83" s="50" t="s">
        <v>316</v>
      </c>
      <c r="M83" s="85" t="s">
        <v>317</v>
      </c>
      <c r="N83" s="90">
        <v>8</v>
      </c>
      <c r="O83" s="91">
        <v>8</v>
      </c>
      <c r="P83" s="91">
        <v>9</v>
      </c>
      <c r="Q83" s="91">
        <v>2</v>
      </c>
      <c r="R83" s="91">
        <v>0</v>
      </c>
      <c r="S83" s="133">
        <f t="shared" ref="S83:S84" si="45">SUM(N83:R83)</f>
        <v>27</v>
      </c>
      <c r="T83" s="90">
        <v>163</v>
      </c>
      <c r="U83" s="91">
        <v>0</v>
      </c>
      <c r="V83" s="91">
        <v>126</v>
      </c>
      <c r="W83" s="91">
        <v>0</v>
      </c>
      <c r="X83" s="91">
        <v>95</v>
      </c>
      <c r="Y83" s="91">
        <v>0</v>
      </c>
      <c r="Z83" s="134">
        <f t="shared" ref="Z83:AA84" si="46">T83+V83+X83</f>
        <v>384</v>
      </c>
      <c r="AA83" s="133">
        <f t="shared" si="46"/>
        <v>0</v>
      </c>
      <c r="AB83" s="90">
        <v>14</v>
      </c>
      <c r="AC83" s="91">
        <v>0</v>
      </c>
      <c r="AD83" s="91">
        <v>0</v>
      </c>
      <c r="AE83" s="92">
        <v>0</v>
      </c>
      <c r="AF83" s="93"/>
    </row>
    <row r="84" spans="1:32" s="81" customFormat="1" ht="17.100000000000001" customHeight="1">
      <c r="A84" s="127" t="s">
        <v>139</v>
      </c>
      <c r="B84" s="127" t="s">
        <v>7</v>
      </c>
      <c r="C84" s="168" t="s">
        <v>7</v>
      </c>
      <c r="D84" s="127" t="s">
        <v>4</v>
      </c>
      <c r="E84" s="127" t="s">
        <v>24</v>
      </c>
      <c r="F84" s="127" t="s">
        <v>2949</v>
      </c>
      <c r="G84" s="82">
        <v>35125</v>
      </c>
      <c r="H84" s="50" t="s">
        <v>2950</v>
      </c>
      <c r="I84" s="83">
        <v>11952</v>
      </c>
      <c r="J84" s="84">
        <v>21347</v>
      </c>
      <c r="K84" s="50" t="s">
        <v>2051</v>
      </c>
      <c r="L84" s="50" t="s">
        <v>2052</v>
      </c>
      <c r="M84" s="85" t="s">
        <v>2951</v>
      </c>
      <c r="N84" s="90">
        <v>10</v>
      </c>
      <c r="O84" s="91">
        <v>10</v>
      </c>
      <c r="P84" s="91">
        <v>10</v>
      </c>
      <c r="Q84" s="91">
        <v>1</v>
      </c>
      <c r="R84" s="91">
        <v>0</v>
      </c>
      <c r="S84" s="133">
        <f t="shared" si="45"/>
        <v>31</v>
      </c>
      <c r="T84" s="90">
        <v>183</v>
      </c>
      <c r="U84" s="91">
        <v>183</v>
      </c>
      <c r="V84" s="91">
        <v>153</v>
      </c>
      <c r="W84" s="91">
        <v>153</v>
      </c>
      <c r="X84" s="91">
        <v>145</v>
      </c>
      <c r="Y84" s="91">
        <v>145</v>
      </c>
      <c r="Z84" s="134">
        <f t="shared" si="46"/>
        <v>481</v>
      </c>
      <c r="AA84" s="133">
        <f t="shared" si="46"/>
        <v>481</v>
      </c>
      <c r="AB84" s="1365">
        <v>4</v>
      </c>
      <c r="AC84" s="1366">
        <v>10</v>
      </c>
      <c r="AD84" s="91">
        <v>0</v>
      </c>
      <c r="AE84" s="92">
        <v>0</v>
      </c>
      <c r="AF84" s="93"/>
    </row>
    <row r="85" spans="1:32" s="81" customFormat="1" ht="17.100000000000001" customHeight="1">
      <c r="A85" s="1684" t="s">
        <v>407</v>
      </c>
      <c r="B85" s="1684"/>
      <c r="C85" s="208"/>
      <c r="D85" s="207">
        <f>COUNTA(D83:D84)</f>
        <v>2</v>
      </c>
      <c r="E85" s="208"/>
      <c r="F85" s="829"/>
      <c r="G85" s="209"/>
      <c r="H85" s="210"/>
      <c r="I85" s="211"/>
      <c r="J85" s="212"/>
      <c r="K85" s="210"/>
      <c r="L85" s="210"/>
      <c r="M85" s="213"/>
      <c r="N85" s="214">
        <f t="shared" ref="N85:AE85" si="47">SUM(N83:N84)</f>
        <v>18</v>
      </c>
      <c r="O85" s="215">
        <f t="shared" si="47"/>
        <v>18</v>
      </c>
      <c r="P85" s="215">
        <f t="shared" si="47"/>
        <v>19</v>
      </c>
      <c r="Q85" s="215">
        <f t="shared" si="47"/>
        <v>3</v>
      </c>
      <c r="R85" s="215">
        <f t="shared" si="47"/>
        <v>0</v>
      </c>
      <c r="S85" s="216">
        <f t="shared" si="47"/>
        <v>58</v>
      </c>
      <c r="T85" s="214">
        <f t="shared" si="47"/>
        <v>346</v>
      </c>
      <c r="U85" s="215">
        <f t="shared" si="47"/>
        <v>183</v>
      </c>
      <c r="V85" s="215">
        <f t="shared" si="47"/>
        <v>279</v>
      </c>
      <c r="W85" s="215">
        <f t="shared" si="47"/>
        <v>153</v>
      </c>
      <c r="X85" s="215">
        <f t="shared" si="47"/>
        <v>240</v>
      </c>
      <c r="Y85" s="215">
        <f t="shared" si="47"/>
        <v>145</v>
      </c>
      <c r="Z85" s="215">
        <f t="shared" si="47"/>
        <v>865</v>
      </c>
      <c r="AA85" s="216">
        <f t="shared" si="47"/>
        <v>481</v>
      </c>
      <c r="AB85" s="214">
        <f t="shared" si="47"/>
        <v>18</v>
      </c>
      <c r="AC85" s="215">
        <f t="shared" si="47"/>
        <v>10</v>
      </c>
      <c r="AD85" s="215">
        <f t="shared" si="47"/>
        <v>0</v>
      </c>
      <c r="AE85" s="216">
        <f t="shared" si="47"/>
        <v>0</v>
      </c>
      <c r="AF85" s="89"/>
    </row>
    <row r="86" spans="1:32" s="81" customFormat="1" ht="17.100000000000001" customHeight="1">
      <c r="A86" s="127" t="s">
        <v>140</v>
      </c>
      <c r="B86" s="127" t="s">
        <v>7</v>
      </c>
      <c r="C86" s="127" t="s">
        <v>7</v>
      </c>
      <c r="D86" s="127" t="s">
        <v>4</v>
      </c>
      <c r="E86" s="127" t="s">
        <v>26</v>
      </c>
      <c r="F86" s="127" t="s">
        <v>319</v>
      </c>
      <c r="G86" s="82">
        <v>38777</v>
      </c>
      <c r="H86" s="50" t="s">
        <v>2952</v>
      </c>
      <c r="I86" s="83">
        <v>16226.9</v>
      </c>
      <c r="J86" s="84">
        <v>21342</v>
      </c>
      <c r="K86" s="50" t="s">
        <v>2953</v>
      </c>
      <c r="L86" s="50" t="s">
        <v>2953</v>
      </c>
      <c r="M86" s="85" t="s">
        <v>320</v>
      </c>
      <c r="N86" s="86">
        <v>4</v>
      </c>
      <c r="O86" s="87">
        <v>4</v>
      </c>
      <c r="P86" s="87">
        <v>4</v>
      </c>
      <c r="Q86" s="87"/>
      <c r="R86" s="87"/>
      <c r="S86" s="133">
        <f t="shared" ref="S86" si="48">SUM(N86:R86)</f>
        <v>12</v>
      </c>
      <c r="T86" s="86">
        <v>82</v>
      </c>
      <c r="U86" s="87">
        <v>25</v>
      </c>
      <c r="V86" s="87">
        <v>81</v>
      </c>
      <c r="W86" s="87">
        <v>29</v>
      </c>
      <c r="X86" s="87">
        <v>54</v>
      </c>
      <c r="Y86" s="87">
        <v>19</v>
      </c>
      <c r="Z86" s="134">
        <f t="shared" ref="Z86:AA86" si="49">T86+V86+X86</f>
        <v>217</v>
      </c>
      <c r="AA86" s="133">
        <f t="shared" si="49"/>
        <v>73</v>
      </c>
      <c r="AB86" s="86"/>
      <c r="AC86" s="87"/>
      <c r="AD86" s="87"/>
      <c r="AE86" s="88"/>
      <c r="AF86" s="89"/>
    </row>
    <row r="87" spans="1:32" s="81" customFormat="1" ht="17.100000000000001" customHeight="1">
      <c r="A87" s="1684" t="s">
        <v>408</v>
      </c>
      <c r="B87" s="1684"/>
      <c r="C87" s="208"/>
      <c r="D87" s="207">
        <f>COUNTA(D86)</f>
        <v>1</v>
      </c>
      <c r="E87" s="208"/>
      <c r="F87" s="829"/>
      <c r="G87" s="209"/>
      <c r="H87" s="210"/>
      <c r="I87" s="211"/>
      <c r="J87" s="212"/>
      <c r="K87" s="210"/>
      <c r="L87" s="210"/>
      <c r="M87" s="213"/>
      <c r="N87" s="214">
        <f t="shared" ref="N87:AE87" si="50">N86</f>
        <v>4</v>
      </c>
      <c r="O87" s="215">
        <f t="shared" si="50"/>
        <v>4</v>
      </c>
      <c r="P87" s="215">
        <f t="shared" si="50"/>
        <v>4</v>
      </c>
      <c r="Q87" s="215">
        <f t="shared" si="50"/>
        <v>0</v>
      </c>
      <c r="R87" s="215">
        <f t="shared" si="50"/>
        <v>0</v>
      </c>
      <c r="S87" s="216">
        <f t="shared" si="50"/>
        <v>12</v>
      </c>
      <c r="T87" s="214">
        <f t="shared" si="50"/>
        <v>82</v>
      </c>
      <c r="U87" s="215">
        <f t="shared" si="50"/>
        <v>25</v>
      </c>
      <c r="V87" s="215">
        <f t="shared" si="50"/>
        <v>81</v>
      </c>
      <c r="W87" s="215">
        <f t="shared" si="50"/>
        <v>29</v>
      </c>
      <c r="X87" s="215">
        <f t="shared" si="50"/>
        <v>54</v>
      </c>
      <c r="Y87" s="215">
        <f t="shared" si="50"/>
        <v>19</v>
      </c>
      <c r="Z87" s="215">
        <f t="shared" si="50"/>
        <v>217</v>
      </c>
      <c r="AA87" s="216">
        <f t="shared" si="50"/>
        <v>73</v>
      </c>
      <c r="AB87" s="214">
        <f t="shared" si="50"/>
        <v>0</v>
      </c>
      <c r="AC87" s="215">
        <f t="shared" si="50"/>
        <v>0</v>
      </c>
      <c r="AD87" s="215">
        <f t="shared" si="50"/>
        <v>0</v>
      </c>
      <c r="AE87" s="216">
        <f t="shared" si="50"/>
        <v>0</v>
      </c>
      <c r="AF87" s="89"/>
    </row>
    <row r="88" spans="1:32" s="81" customFormat="1" ht="17.100000000000001" customHeight="1">
      <c r="A88" s="1625" t="s">
        <v>421</v>
      </c>
      <c r="B88" s="1626"/>
      <c r="C88" s="1626"/>
      <c r="D88" s="1626"/>
      <c r="E88" s="179">
        <f>D82+D85+D87</f>
        <v>14</v>
      </c>
      <c r="F88" s="830"/>
      <c r="G88" s="180"/>
      <c r="H88" s="181"/>
      <c r="I88" s="182"/>
      <c r="J88" s="183"/>
      <c r="K88" s="181"/>
      <c r="L88" s="181"/>
      <c r="M88" s="184"/>
      <c r="N88" s="185">
        <f t="shared" ref="N88:AE88" si="51">N82+N85+N87</f>
        <v>108</v>
      </c>
      <c r="O88" s="186">
        <f t="shared" si="51"/>
        <v>100</v>
      </c>
      <c r="P88" s="186">
        <f t="shared" si="51"/>
        <v>104</v>
      </c>
      <c r="Q88" s="186">
        <f t="shared" si="51"/>
        <v>19</v>
      </c>
      <c r="R88" s="186">
        <f t="shared" si="51"/>
        <v>0</v>
      </c>
      <c r="S88" s="187">
        <f t="shared" si="51"/>
        <v>331</v>
      </c>
      <c r="T88" s="185">
        <f t="shared" si="51"/>
        <v>2546</v>
      </c>
      <c r="U88" s="186">
        <f t="shared" si="51"/>
        <v>1256</v>
      </c>
      <c r="V88" s="186">
        <f t="shared" si="51"/>
        <v>2395</v>
      </c>
      <c r="W88" s="186">
        <f t="shared" si="51"/>
        <v>1146</v>
      </c>
      <c r="X88" s="186">
        <f t="shared" si="51"/>
        <v>2445</v>
      </c>
      <c r="Y88" s="186">
        <f t="shared" si="51"/>
        <v>1184</v>
      </c>
      <c r="Z88" s="186">
        <f t="shared" si="51"/>
        <v>7386</v>
      </c>
      <c r="AA88" s="187">
        <f t="shared" si="51"/>
        <v>3586</v>
      </c>
      <c r="AB88" s="185">
        <f t="shared" si="51"/>
        <v>112</v>
      </c>
      <c r="AC88" s="186">
        <f t="shared" si="51"/>
        <v>36</v>
      </c>
      <c r="AD88" s="186">
        <f t="shared" si="51"/>
        <v>0</v>
      </c>
      <c r="AE88" s="187">
        <f t="shared" si="51"/>
        <v>0</v>
      </c>
      <c r="AF88" s="219"/>
    </row>
    <row r="89" spans="1:32" s="81" customFormat="1" ht="17.100000000000001" customHeight="1">
      <c r="A89" s="127" t="s">
        <v>138</v>
      </c>
      <c r="B89" s="127" t="s">
        <v>7</v>
      </c>
      <c r="C89" s="168" t="s">
        <v>7</v>
      </c>
      <c r="D89" s="127" t="s">
        <v>5</v>
      </c>
      <c r="E89" s="127" t="s">
        <v>24</v>
      </c>
      <c r="F89" s="127" t="s">
        <v>2954</v>
      </c>
      <c r="G89" s="82">
        <v>25996</v>
      </c>
      <c r="H89" s="50" t="s">
        <v>321</v>
      </c>
      <c r="I89" s="83">
        <v>25847</v>
      </c>
      <c r="J89" s="84">
        <v>21371</v>
      </c>
      <c r="K89" s="50" t="s">
        <v>2955</v>
      </c>
      <c r="L89" s="50" t="s">
        <v>322</v>
      </c>
      <c r="M89" s="85" t="s">
        <v>323</v>
      </c>
      <c r="N89" s="86">
        <v>7</v>
      </c>
      <c r="O89" s="87">
        <v>7</v>
      </c>
      <c r="P89" s="87">
        <v>7</v>
      </c>
      <c r="Q89" s="87">
        <v>0</v>
      </c>
      <c r="R89" s="87">
        <v>0</v>
      </c>
      <c r="S89" s="133">
        <f>SUM(N89:R89)</f>
        <v>21</v>
      </c>
      <c r="T89" s="86">
        <v>170</v>
      </c>
      <c r="U89" s="87">
        <v>170</v>
      </c>
      <c r="V89" s="87">
        <v>190</v>
      </c>
      <c r="W89" s="87">
        <v>190</v>
      </c>
      <c r="X89" s="87">
        <v>190</v>
      </c>
      <c r="Y89" s="87">
        <v>190</v>
      </c>
      <c r="Z89" s="134">
        <f t="shared" ref="Z89:AA91" si="52">T89+V89+X89</f>
        <v>550</v>
      </c>
      <c r="AA89" s="133">
        <f t="shared" si="52"/>
        <v>550</v>
      </c>
      <c r="AB89" s="86">
        <v>0</v>
      </c>
      <c r="AC89" s="87">
        <v>0</v>
      </c>
      <c r="AD89" s="87">
        <v>0</v>
      </c>
      <c r="AE89" s="88">
        <v>0</v>
      </c>
      <c r="AF89" s="89"/>
    </row>
    <row r="90" spans="1:32" s="81" customFormat="1" ht="17.100000000000001" customHeight="1">
      <c r="A90" s="127" t="s">
        <v>138</v>
      </c>
      <c r="B90" s="127" t="s">
        <v>7</v>
      </c>
      <c r="C90" s="168" t="s">
        <v>7</v>
      </c>
      <c r="D90" s="127" t="s">
        <v>5</v>
      </c>
      <c r="E90" s="127" t="s">
        <v>144</v>
      </c>
      <c r="F90" s="127" t="s">
        <v>2053</v>
      </c>
      <c r="G90" s="82">
        <v>30376</v>
      </c>
      <c r="H90" s="50" t="s">
        <v>2054</v>
      </c>
      <c r="I90" s="83">
        <v>10652</v>
      </c>
      <c r="J90" s="84">
        <v>21368</v>
      </c>
      <c r="K90" s="50" t="s">
        <v>2055</v>
      </c>
      <c r="L90" s="50" t="s">
        <v>2056</v>
      </c>
      <c r="M90" s="85" t="s">
        <v>2057</v>
      </c>
      <c r="N90" s="86">
        <v>8</v>
      </c>
      <c r="O90" s="87">
        <v>8</v>
      </c>
      <c r="P90" s="87">
        <v>8</v>
      </c>
      <c r="Q90" s="87"/>
      <c r="R90" s="87"/>
      <c r="S90" s="133">
        <f>SUM(N90:R90)</f>
        <v>24</v>
      </c>
      <c r="T90" s="86">
        <v>160</v>
      </c>
      <c r="U90" s="87"/>
      <c r="V90" s="87">
        <v>161</v>
      </c>
      <c r="W90" s="87"/>
      <c r="X90" s="87">
        <v>163</v>
      </c>
      <c r="Y90" s="87"/>
      <c r="Z90" s="134">
        <f t="shared" si="52"/>
        <v>484</v>
      </c>
      <c r="AA90" s="133">
        <f t="shared" si="52"/>
        <v>0</v>
      </c>
      <c r="AB90" s="86"/>
      <c r="AC90" s="87"/>
      <c r="AD90" s="87"/>
      <c r="AE90" s="88"/>
      <c r="AF90" s="89"/>
    </row>
    <row r="91" spans="1:32" s="81" customFormat="1" ht="17.100000000000001" customHeight="1">
      <c r="A91" s="127" t="s">
        <v>138</v>
      </c>
      <c r="B91" s="127" t="s">
        <v>7</v>
      </c>
      <c r="C91" s="168" t="s">
        <v>7</v>
      </c>
      <c r="D91" s="127" t="s">
        <v>5</v>
      </c>
      <c r="E91" s="127" t="s">
        <v>144</v>
      </c>
      <c r="F91" s="127" t="s">
        <v>2956</v>
      </c>
      <c r="G91" s="82">
        <v>28185</v>
      </c>
      <c r="H91" s="50" t="s">
        <v>2957</v>
      </c>
      <c r="I91" s="83">
        <v>18785</v>
      </c>
      <c r="J91" s="84">
        <v>21435</v>
      </c>
      <c r="K91" s="50" t="s">
        <v>324</v>
      </c>
      <c r="L91" s="50" t="s">
        <v>325</v>
      </c>
      <c r="M91" s="85" t="s">
        <v>326</v>
      </c>
      <c r="N91" s="86">
        <v>7</v>
      </c>
      <c r="O91" s="87">
        <v>7</v>
      </c>
      <c r="P91" s="87">
        <v>7</v>
      </c>
      <c r="Q91" s="87"/>
      <c r="R91" s="87"/>
      <c r="S91" s="133">
        <f>SUM(N91:R91)</f>
        <v>21</v>
      </c>
      <c r="T91" s="86">
        <v>167</v>
      </c>
      <c r="U91" s="87"/>
      <c r="V91" s="87">
        <v>167</v>
      </c>
      <c r="W91" s="87"/>
      <c r="X91" s="87">
        <v>152</v>
      </c>
      <c r="Y91" s="87"/>
      <c r="Z91" s="134">
        <f t="shared" si="52"/>
        <v>486</v>
      </c>
      <c r="AA91" s="133">
        <f t="shared" si="52"/>
        <v>0</v>
      </c>
      <c r="AB91" s="86"/>
      <c r="AC91" s="87"/>
      <c r="AD91" s="87"/>
      <c r="AE91" s="88"/>
      <c r="AF91" s="89"/>
    </row>
    <row r="92" spans="1:32" s="81" customFormat="1" ht="17.100000000000001" customHeight="1">
      <c r="A92" s="1684" t="s">
        <v>406</v>
      </c>
      <c r="B92" s="1684"/>
      <c r="C92" s="208"/>
      <c r="D92" s="207">
        <f>COUNTA(D89:D91)</f>
        <v>3</v>
      </c>
      <c r="E92" s="208"/>
      <c r="F92" s="829"/>
      <c r="G92" s="209"/>
      <c r="H92" s="210"/>
      <c r="I92" s="211"/>
      <c r="J92" s="212"/>
      <c r="K92" s="210"/>
      <c r="L92" s="210"/>
      <c r="M92" s="213"/>
      <c r="N92" s="214">
        <f t="shared" ref="N92:AE92" si="53">SUM(N89:N91)</f>
        <v>22</v>
      </c>
      <c r="O92" s="215">
        <f t="shared" si="53"/>
        <v>22</v>
      </c>
      <c r="P92" s="215">
        <f t="shared" si="53"/>
        <v>22</v>
      </c>
      <c r="Q92" s="215">
        <f t="shared" si="53"/>
        <v>0</v>
      </c>
      <c r="R92" s="215">
        <f t="shared" si="53"/>
        <v>0</v>
      </c>
      <c r="S92" s="216">
        <f t="shared" si="53"/>
        <v>66</v>
      </c>
      <c r="T92" s="214">
        <f t="shared" si="53"/>
        <v>497</v>
      </c>
      <c r="U92" s="215">
        <f t="shared" si="53"/>
        <v>170</v>
      </c>
      <c r="V92" s="215">
        <f t="shared" si="53"/>
        <v>518</v>
      </c>
      <c r="W92" s="215">
        <f t="shared" si="53"/>
        <v>190</v>
      </c>
      <c r="X92" s="215">
        <f t="shared" si="53"/>
        <v>505</v>
      </c>
      <c r="Y92" s="215">
        <f t="shared" si="53"/>
        <v>190</v>
      </c>
      <c r="Z92" s="215">
        <f t="shared" si="53"/>
        <v>1520</v>
      </c>
      <c r="AA92" s="216">
        <f t="shared" si="53"/>
        <v>550</v>
      </c>
      <c r="AB92" s="214">
        <f t="shared" si="53"/>
        <v>0</v>
      </c>
      <c r="AC92" s="215">
        <f t="shared" si="53"/>
        <v>0</v>
      </c>
      <c r="AD92" s="215">
        <f t="shared" si="53"/>
        <v>0</v>
      </c>
      <c r="AE92" s="216">
        <f t="shared" si="53"/>
        <v>0</v>
      </c>
      <c r="AF92" s="89"/>
    </row>
    <row r="93" spans="1:32" s="81" customFormat="1" ht="17.100000000000001" customHeight="1">
      <c r="A93" s="94" t="s">
        <v>139</v>
      </c>
      <c r="B93" s="94" t="s">
        <v>7</v>
      </c>
      <c r="C93" s="168" t="s">
        <v>7</v>
      </c>
      <c r="D93" s="94" t="s">
        <v>5</v>
      </c>
      <c r="E93" s="94" t="s">
        <v>144</v>
      </c>
      <c r="F93" s="127" t="s">
        <v>2958</v>
      </c>
      <c r="G93" s="82">
        <v>36951</v>
      </c>
      <c r="H93" s="50" t="s">
        <v>2959</v>
      </c>
      <c r="I93" s="83">
        <v>7046</v>
      </c>
      <c r="J93" s="84">
        <v>21373</v>
      </c>
      <c r="K93" s="50" t="s">
        <v>2960</v>
      </c>
      <c r="L93" s="50" t="s">
        <v>2960</v>
      </c>
      <c r="M93" s="85" t="s">
        <v>2961</v>
      </c>
      <c r="N93" s="90">
        <v>6</v>
      </c>
      <c r="O93" s="91">
        <v>6</v>
      </c>
      <c r="P93" s="91">
        <v>6</v>
      </c>
      <c r="Q93" s="91"/>
      <c r="R93" s="91"/>
      <c r="S93" s="133">
        <f t="shared" ref="S93" si="54">SUM(N93:R93)</f>
        <v>18</v>
      </c>
      <c r="T93" s="90">
        <v>121</v>
      </c>
      <c r="U93" s="91"/>
      <c r="V93" s="91">
        <v>113</v>
      </c>
      <c r="W93" s="91"/>
      <c r="X93" s="91">
        <v>111</v>
      </c>
      <c r="Y93" s="91"/>
      <c r="Z93" s="134">
        <f t="shared" ref="Z93:AA93" si="55">T93+V93+X93</f>
        <v>345</v>
      </c>
      <c r="AA93" s="133">
        <f t="shared" si="55"/>
        <v>0</v>
      </c>
      <c r="AB93" s="90"/>
      <c r="AC93" s="91"/>
      <c r="AD93" s="91"/>
      <c r="AE93" s="92"/>
      <c r="AF93" s="93"/>
    </row>
    <row r="94" spans="1:32" s="81" customFormat="1" ht="17.100000000000001" customHeight="1">
      <c r="A94" s="1684" t="s">
        <v>407</v>
      </c>
      <c r="B94" s="1684"/>
      <c r="C94" s="208"/>
      <c r="D94" s="207">
        <f>COUNTA(D93:D93)</f>
        <v>1</v>
      </c>
      <c r="E94" s="208"/>
      <c r="F94" s="829"/>
      <c r="G94" s="209"/>
      <c r="H94" s="210"/>
      <c r="I94" s="211"/>
      <c r="J94" s="212"/>
      <c r="K94" s="210"/>
      <c r="L94" s="210"/>
      <c r="M94" s="213"/>
      <c r="N94" s="214">
        <f t="shared" ref="N94:AE94" si="56">N93</f>
        <v>6</v>
      </c>
      <c r="O94" s="215">
        <f t="shared" si="56"/>
        <v>6</v>
      </c>
      <c r="P94" s="215">
        <f t="shared" si="56"/>
        <v>6</v>
      </c>
      <c r="Q94" s="215">
        <f t="shared" si="56"/>
        <v>0</v>
      </c>
      <c r="R94" s="215">
        <f t="shared" si="56"/>
        <v>0</v>
      </c>
      <c r="S94" s="216">
        <f t="shared" si="56"/>
        <v>18</v>
      </c>
      <c r="T94" s="214">
        <f t="shared" si="56"/>
        <v>121</v>
      </c>
      <c r="U94" s="215">
        <f t="shared" si="56"/>
        <v>0</v>
      </c>
      <c r="V94" s="215">
        <f t="shared" si="56"/>
        <v>113</v>
      </c>
      <c r="W94" s="215">
        <f t="shared" si="56"/>
        <v>0</v>
      </c>
      <c r="X94" s="215">
        <f t="shared" si="56"/>
        <v>111</v>
      </c>
      <c r="Y94" s="215">
        <f t="shared" si="56"/>
        <v>0</v>
      </c>
      <c r="Z94" s="215">
        <f t="shared" si="56"/>
        <v>345</v>
      </c>
      <c r="AA94" s="216">
        <f t="shared" si="56"/>
        <v>0</v>
      </c>
      <c r="AB94" s="214">
        <f t="shared" si="56"/>
        <v>0</v>
      </c>
      <c r="AC94" s="215">
        <f t="shared" si="56"/>
        <v>0</v>
      </c>
      <c r="AD94" s="215">
        <f t="shared" si="56"/>
        <v>0</v>
      </c>
      <c r="AE94" s="216">
        <f t="shared" si="56"/>
        <v>0</v>
      </c>
      <c r="AF94" s="89"/>
    </row>
    <row r="95" spans="1:32" s="81" customFormat="1" ht="17.100000000000001" customHeight="1">
      <c r="A95" s="94" t="s">
        <v>140</v>
      </c>
      <c r="B95" s="94" t="s">
        <v>7</v>
      </c>
      <c r="C95" s="168" t="s">
        <v>7</v>
      </c>
      <c r="D95" s="94" t="s">
        <v>5</v>
      </c>
      <c r="E95" s="94" t="s">
        <v>26</v>
      </c>
      <c r="F95" s="127" t="s">
        <v>2962</v>
      </c>
      <c r="G95" s="82">
        <v>31112</v>
      </c>
      <c r="H95" s="50" t="s">
        <v>2963</v>
      </c>
      <c r="I95" s="83">
        <v>20297</v>
      </c>
      <c r="J95" s="84">
        <v>21371</v>
      </c>
      <c r="K95" s="50" t="s">
        <v>2022</v>
      </c>
      <c r="L95" s="50" t="s">
        <v>2022</v>
      </c>
      <c r="M95" s="85" t="s">
        <v>2023</v>
      </c>
      <c r="N95" s="90">
        <v>9</v>
      </c>
      <c r="O95" s="91">
        <v>9</v>
      </c>
      <c r="P95" s="91">
        <v>9</v>
      </c>
      <c r="Q95" s="91"/>
      <c r="R95" s="91"/>
      <c r="S95" s="133">
        <f t="shared" ref="S95" si="57">SUM(N95:R95)</f>
        <v>27</v>
      </c>
      <c r="T95" s="90">
        <v>233</v>
      </c>
      <c r="U95" s="91">
        <v>166</v>
      </c>
      <c r="V95" s="91">
        <v>237</v>
      </c>
      <c r="W95" s="91">
        <v>167</v>
      </c>
      <c r="X95" s="91">
        <v>213</v>
      </c>
      <c r="Y95" s="91">
        <v>135</v>
      </c>
      <c r="Z95" s="134">
        <f t="shared" ref="Z95:AA95" si="58">T95+V95+X95</f>
        <v>683</v>
      </c>
      <c r="AA95" s="133">
        <f t="shared" si="58"/>
        <v>468</v>
      </c>
      <c r="AB95" s="90"/>
      <c r="AC95" s="91"/>
      <c r="AD95" s="91"/>
      <c r="AE95" s="92"/>
      <c r="AF95" s="93"/>
    </row>
    <row r="96" spans="1:32" s="81" customFormat="1" ht="17.100000000000001" customHeight="1">
      <c r="A96" s="1684" t="s">
        <v>408</v>
      </c>
      <c r="B96" s="1684"/>
      <c r="C96" s="208"/>
      <c r="D96" s="207">
        <f>COUNTA(D95)</f>
        <v>1</v>
      </c>
      <c r="E96" s="208"/>
      <c r="F96" s="829"/>
      <c r="G96" s="209"/>
      <c r="H96" s="210"/>
      <c r="I96" s="211"/>
      <c r="J96" s="212"/>
      <c r="K96" s="210"/>
      <c r="L96" s="210"/>
      <c r="M96" s="213"/>
      <c r="N96" s="214">
        <f t="shared" ref="N96:AE96" si="59">N95</f>
        <v>9</v>
      </c>
      <c r="O96" s="215">
        <f t="shared" si="59"/>
        <v>9</v>
      </c>
      <c r="P96" s="215">
        <f t="shared" si="59"/>
        <v>9</v>
      </c>
      <c r="Q96" s="215">
        <f t="shared" si="59"/>
        <v>0</v>
      </c>
      <c r="R96" s="215">
        <f t="shared" si="59"/>
        <v>0</v>
      </c>
      <c r="S96" s="216">
        <f t="shared" si="59"/>
        <v>27</v>
      </c>
      <c r="T96" s="214">
        <f t="shared" si="59"/>
        <v>233</v>
      </c>
      <c r="U96" s="215">
        <f t="shared" si="59"/>
        <v>166</v>
      </c>
      <c r="V96" s="215">
        <f t="shared" si="59"/>
        <v>237</v>
      </c>
      <c r="W96" s="215">
        <f t="shared" si="59"/>
        <v>167</v>
      </c>
      <c r="X96" s="215">
        <f t="shared" si="59"/>
        <v>213</v>
      </c>
      <c r="Y96" s="215">
        <f t="shared" si="59"/>
        <v>135</v>
      </c>
      <c r="Z96" s="215">
        <f t="shared" si="59"/>
        <v>683</v>
      </c>
      <c r="AA96" s="216">
        <f t="shared" si="59"/>
        <v>468</v>
      </c>
      <c r="AB96" s="214">
        <f t="shared" si="59"/>
        <v>0</v>
      </c>
      <c r="AC96" s="215">
        <f t="shared" si="59"/>
        <v>0</v>
      </c>
      <c r="AD96" s="215">
        <f t="shared" si="59"/>
        <v>0</v>
      </c>
      <c r="AE96" s="216">
        <f t="shared" si="59"/>
        <v>0</v>
      </c>
      <c r="AF96" s="89"/>
    </row>
    <row r="97" spans="1:32" s="81" customFormat="1" ht="17.100000000000001" customHeight="1">
      <c r="A97" s="1681" t="s">
        <v>422</v>
      </c>
      <c r="B97" s="1682"/>
      <c r="C97" s="1682"/>
      <c r="D97" s="1683"/>
      <c r="E97" s="188">
        <f>D92+D94+D96</f>
        <v>5</v>
      </c>
      <c r="F97" s="834"/>
      <c r="G97" s="189"/>
      <c r="H97" s="190"/>
      <c r="I97" s="191"/>
      <c r="J97" s="192"/>
      <c r="K97" s="190"/>
      <c r="L97" s="190"/>
      <c r="M97" s="193"/>
      <c r="N97" s="194">
        <f t="shared" ref="N97:AE97" si="60">N92+N94+N96</f>
        <v>37</v>
      </c>
      <c r="O97" s="195">
        <f t="shared" si="60"/>
        <v>37</v>
      </c>
      <c r="P97" s="195">
        <f t="shared" si="60"/>
        <v>37</v>
      </c>
      <c r="Q97" s="195">
        <f t="shared" si="60"/>
        <v>0</v>
      </c>
      <c r="R97" s="195">
        <f t="shared" si="60"/>
        <v>0</v>
      </c>
      <c r="S97" s="196">
        <f t="shared" si="60"/>
        <v>111</v>
      </c>
      <c r="T97" s="194">
        <f t="shared" si="60"/>
        <v>851</v>
      </c>
      <c r="U97" s="195">
        <f t="shared" si="60"/>
        <v>336</v>
      </c>
      <c r="V97" s="195">
        <f t="shared" si="60"/>
        <v>868</v>
      </c>
      <c r="W97" s="195">
        <f t="shared" si="60"/>
        <v>357</v>
      </c>
      <c r="X97" s="195">
        <f t="shared" si="60"/>
        <v>829</v>
      </c>
      <c r="Y97" s="195">
        <f t="shared" si="60"/>
        <v>325</v>
      </c>
      <c r="Z97" s="195">
        <f t="shared" si="60"/>
        <v>2548</v>
      </c>
      <c r="AA97" s="196">
        <f t="shared" si="60"/>
        <v>1018</v>
      </c>
      <c r="AB97" s="194">
        <f t="shared" si="60"/>
        <v>0</v>
      </c>
      <c r="AC97" s="195">
        <f t="shared" si="60"/>
        <v>0</v>
      </c>
      <c r="AD97" s="195">
        <f t="shared" si="60"/>
        <v>0</v>
      </c>
      <c r="AE97" s="196">
        <f t="shared" si="60"/>
        <v>0</v>
      </c>
      <c r="AF97" s="220"/>
    </row>
    <row r="98" spans="1:32" s="81" customFormat="1" ht="17.100000000000001" customHeight="1">
      <c r="A98" s="1672" t="s">
        <v>423</v>
      </c>
      <c r="B98" s="1672"/>
      <c r="C98" s="1672"/>
      <c r="D98" s="1672"/>
      <c r="E98" s="1672"/>
      <c r="F98" s="835">
        <f>E88+E97</f>
        <v>19</v>
      </c>
      <c r="G98" s="221"/>
      <c r="H98" s="222"/>
      <c r="I98" s="223"/>
      <c r="J98" s="224"/>
      <c r="K98" s="222"/>
      <c r="L98" s="222"/>
      <c r="M98" s="225"/>
      <c r="N98" s="226">
        <f t="shared" ref="N98:AE98" si="61">N88+N97</f>
        <v>145</v>
      </c>
      <c r="O98" s="227">
        <f t="shared" si="61"/>
        <v>137</v>
      </c>
      <c r="P98" s="227">
        <f t="shared" si="61"/>
        <v>141</v>
      </c>
      <c r="Q98" s="227">
        <f t="shared" si="61"/>
        <v>19</v>
      </c>
      <c r="R98" s="227">
        <f t="shared" si="61"/>
        <v>0</v>
      </c>
      <c r="S98" s="228">
        <f t="shared" si="61"/>
        <v>442</v>
      </c>
      <c r="T98" s="226">
        <f t="shared" si="61"/>
        <v>3397</v>
      </c>
      <c r="U98" s="227">
        <f t="shared" si="61"/>
        <v>1592</v>
      </c>
      <c r="V98" s="227">
        <f t="shared" si="61"/>
        <v>3263</v>
      </c>
      <c r="W98" s="227">
        <f t="shared" si="61"/>
        <v>1503</v>
      </c>
      <c r="X98" s="227">
        <f t="shared" si="61"/>
        <v>3274</v>
      </c>
      <c r="Y98" s="227">
        <f t="shared" si="61"/>
        <v>1509</v>
      </c>
      <c r="Z98" s="227">
        <f t="shared" si="61"/>
        <v>9934</v>
      </c>
      <c r="AA98" s="228">
        <f t="shared" si="61"/>
        <v>4604</v>
      </c>
      <c r="AB98" s="226">
        <f t="shared" si="61"/>
        <v>112</v>
      </c>
      <c r="AC98" s="227">
        <f t="shared" si="61"/>
        <v>36</v>
      </c>
      <c r="AD98" s="227">
        <f t="shared" si="61"/>
        <v>0</v>
      </c>
      <c r="AE98" s="228">
        <f t="shared" si="61"/>
        <v>0</v>
      </c>
      <c r="AF98" s="229"/>
    </row>
    <row r="99" spans="1:32" s="81" customFormat="1" ht="17.100000000000001" customHeight="1">
      <c r="A99" s="127" t="s">
        <v>138</v>
      </c>
      <c r="B99" s="127" t="s">
        <v>10</v>
      </c>
      <c r="C99" s="168" t="s">
        <v>10</v>
      </c>
      <c r="D99" s="127" t="s">
        <v>4</v>
      </c>
      <c r="E99" s="127" t="s">
        <v>144</v>
      </c>
      <c r="F99" s="127" t="s">
        <v>2964</v>
      </c>
      <c r="G99" s="82">
        <v>31840</v>
      </c>
      <c r="H99" s="50" t="s">
        <v>2965</v>
      </c>
      <c r="I99" s="83">
        <v>19831</v>
      </c>
      <c r="J99" s="84">
        <v>21030</v>
      </c>
      <c r="K99" s="50" t="s">
        <v>2966</v>
      </c>
      <c r="L99" s="50" t="s">
        <v>2967</v>
      </c>
      <c r="M99" s="85" t="s">
        <v>2968</v>
      </c>
      <c r="N99" s="86">
        <v>7</v>
      </c>
      <c r="O99" s="87">
        <v>7</v>
      </c>
      <c r="P99" s="87">
        <v>7</v>
      </c>
      <c r="Q99" s="87">
        <v>1</v>
      </c>
      <c r="R99" s="87">
        <v>0</v>
      </c>
      <c r="S99" s="133">
        <f t="shared" ref="S99:S107" si="62">SUM(N99:R99)</f>
        <v>22</v>
      </c>
      <c r="T99" s="86">
        <v>176</v>
      </c>
      <c r="U99" s="87">
        <v>0</v>
      </c>
      <c r="V99" s="87">
        <v>178</v>
      </c>
      <c r="W99" s="87">
        <v>0</v>
      </c>
      <c r="X99" s="87">
        <v>189</v>
      </c>
      <c r="Y99" s="87">
        <v>0</v>
      </c>
      <c r="Z99" s="134">
        <f>T99+V99+X99</f>
        <v>543</v>
      </c>
      <c r="AA99" s="133">
        <f>U99+W99+Y99</f>
        <v>0</v>
      </c>
      <c r="AB99" s="86">
        <v>8</v>
      </c>
      <c r="AC99" s="87">
        <v>0</v>
      </c>
      <c r="AD99" s="87">
        <v>0</v>
      </c>
      <c r="AE99" s="88">
        <v>0</v>
      </c>
      <c r="AF99" s="89"/>
    </row>
    <row r="100" spans="1:32" s="81" customFormat="1" ht="17.100000000000001" customHeight="1">
      <c r="A100" s="127" t="s">
        <v>138</v>
      </c>
      <c r="B100" s="127" t="s">
        <v>10</v>
      </c>
      <c r="C100" s="168" t="s">
        <v>10</v>
      </c>
      <c r="D100" s="127" t="s">
        <v>4</v>
      </c>
      <c r="E100" s="127" t="s">
        <v>24</v>
      </c>
      <c r="F100" s="127" t="s">
        <v>2969</v>
      </c>
      <c r="G100" s="82">
        <v>35125</v>
      </c>
      <c r="H100" s="50" t="s">
        <v>2970</v>
      </c>
      <c r="I100" s="83">
        <v>12868</v>
      </c>
      <c r="J100" s="84">
        <v>21063</v>
      </c>
      <c r="K100" s="50" t="s">
        <v>2001</v>
      </c>
      <c r="L100" s="50" t="s">
        <v>2002</v>
      </c>
      <c r="M100" s="85" t="s">
        <v>2003</v>
      </c>
      <c r="N100" s="86">
        <v>7</v>
      </c>
      <c r="O100" s="87">
        <v>7</v>
      </c>
      <c r="P100" s="87">
        <v>7</v>
      </c>
      <c r="Q100" s="87"/>
      <c r="R100" s="87"/>
      <c r="S100" s="133">
        <f t="shared" si="62"/>
        <v>21</v>
      </c>
      <c r="T100" s="86">
        <v>161</v>
      </c>
      <c r="U100" s="87">
        <v>161</v>
      </c>
      <c r="V100" s="87">
        <v>134</v>
      </c>
      <c r="W100" s="87">
        <v>134</v>
      </c>
      <c r="X100" s="87">
        <v>160</v>
      </c>
      <c r="Y100" s="87">
        <v>160</v>
      </c>
      <c r="Z100" s="134">
        <f>T100+V100+X100</f>
        <v>455</v>
      </c>
      <c r="AA100" s="133">
        <f>U100+W100+Y100</f>
        <v>455</v>
      </c>
      <c r="AB100" s="86"/>
      <c r="AC100" s="87"/>
      <c r="AD100" s="87"/>
      <c r="AE100" s="88"/>
      <c r="AF100" s="89"/>
    </row>
    <row r="101" spans="1:32" s="81" customFormat="1" ht="17.100000000000001" customHeight="1">
      <c r="A101" s="127" t="s">
        <v>138</v>
      </c>
      <c r="B101" s="127" t="s">
        <v>10</v>
      </c>
      <c r="C101" s="168" t="s">
        <v>10</v>
      </c>
      <c r="D101" s="127" t="s">
        <v>4</v>
      </c>
      <c r="E101" s="127" t="s">
        <v>144</v>
      </c>
      <c r="F101" s="127" t="s">
        <v>2971</v>
      </c>
      <c r="G101" s="82">
        <v>35490</v>
      </c>
      <c r="H101" s="50" t="s">
        <v>2972</v>
      </c>
      <c r="I101" s="83">
        <v>12004</v>
      </c>
      <c r="J101" s="84">
        <v>21062</v>
      </c>
      <c r="K101" s="50" t="s">
        <v>2973</v>
      </c>
      <c r="L101" s="50" t="s">
        <v>2974</v>
      </c>
      <c r="M101" s="85" t="s">
        <v>2975</v>
      </c>
      <c r="N101" s="86">
        <v>7</v>
      </c>
      <c r="O101" s="87">
        <v>7</v>
      </c>
      <c r="P101" s="87">
        <v>7</v>
      </c>
      <c r="Q101" s="87">
        <v>0</v>
      </c>
      <c r="R101" s="87">
        <v>0</v>
      </c>
      <c r="S101" s="133">
        <v>21</v>
      </c>
      <c r="T101" s="86">
        <v>160</v>
      </c>
      <c r="U101" s="87">
        <v>0</v>
      </c>
      <c r="V101" s="87">
        <v>174</v>
      </c>
      <c r="W101" s="87">
        <v>0</v>
      </c>
      <c r="X101" s="87">
        <v>181</v>
      </c>
      <c r="Y101" s="87">
        <v>0</v>
      </c>
      <c r="Z101" s="134">
        <v>515</v>
      </c>
      <c r="AA101" s="133">
        <v>0</v>
      </c>
      <c r="AB101" s="86">
        <v>0</v>
      </c>
      <c r="AC101" s="87">
        <v>0</v>
      </c>
      <c r="AD101" s="87">
        <v>0</v>
      </c>
      <c r="AE101" s="88">
        <v>0</v>
      </c>
      <c r="AF101" s="89"/>
    </row>
    <row r="102" spans="1:32" s="81" customFormat="1" ht="17.100000000000001" customHeight="1">
      <c r="A102" s="127" t="s">
        <v>138</v>
      </c>
      <c r="B102" s="127" t="s">
        <v>10</v>
      </c>
      <c r="C102" s="168" t="s">
        <v>10</v>
      </c>
      <c r="D102" s="127" t="s">
        <v>4</v>
      </c>
      <c r="E102" s="127" t="s">
        <v>26</v>
      </c>
      <c r="F102" s="127" t="s">
        <v>2976</v>
      </c>
      <c r="G102" s="82">
        <v>37316</v>
      </c>
      <c r="H102" s="50" t="s">
        <v>2977</v>
      </c>
      <c r="I102" s="83">
        <v>20120</v>
      </c>
      <c r="J102" s="84">
        <v>21074</v>
      </c>
      <c r="K102" s="50" t="s">
        <v>2978</v>
      </c>
      <c r="L102" s="50" t="s">
        <v>2979</v>
      </c>
      <c r="M102" s="85" t="s">
        <v>2980</v>
      </c>
      <c r="N102" s="86">
        <v>7</v>
      </c>
      <c r="O102" s="87">
        <v>7</v>
      </c>
      <c r="P102" s="87">
        <v>7</v>
      </c>
      <c r="Q102" s="87">
        <v>2</v>
      </c>
      <c r="R102" s="87"/>
      <c r="S102" s="133">
        <f t="shared" si="62"/>
        <v>23</v>
      </c>
      <c r="T102" s="86">
        <v>173</v>
      </c>
      <c r="U102" s="87">
        <v>102</v>
      </c>
      <c r="V102" s="87">
        <v>179</v>
      </c>
      <c r="W102" s="87">
        <v>76</v>
      </c>
      <c r="X102" s="87">
        <v>196</v>
      </c>
      <c r="Y102" s="87">
        <v>116</v>
      </c>
      <c r="Z102" s="134">
        <f t="shared" ref="Z102:AA105" si="63">T102+V102+X102</f>
        <v>548</v>
      </c>
      <c r="AA102" s="133">
        <f t="shared" si="63"/>
        <v>294</v>
      </c>
      <c r="AB102" s="160">
        <v>14</v>
      </c>
      <c r="AC102" s="161">
        <v>10</v>
      </c>
      <c r="AD102" s="87"/>
      <c r="AE102" s="88"/>
      <c r="AF102" s="89"/>
    </row>
    <row r="103" spans="1:32" s="81" customFormat="1" ht="17.100000000000001" customHeight="1">
      <c r="A103" s="127" t="s">
        <v>138</v>
      </c>
      <c r="B103" s="127" t="s">
        <v>10</v>
      </c>
      <c r="C103" s="168" t="s">
        <v>10</v>
      </c>
      <c r="D103" s="127" t="s">
        <v>4</v>
      </c>
      <c r="E103" s="127" t="s">
        <v>26</v>
      </c>
      <c r="F103" s="127" t="s">
        <v>2981</v>
      </c>
      <c r="G103" s="82">
        <v>38049</v>
      </c>
      <c r="H103" s="50" t="s">
        <v>207</v>
      </c>
      <c r="I103" s="83">
        <v>14556</v>
      </c>
      <c r="J103" s="84">
        <v>21122</v>
      </c>
      <c r="K103" s="50" t="s">
        <v>208</v>
      </c>
      <c r="L103" s="50" t="s">
        <v>209</v>
      </c>
      <c r="M103" s="85" t="s">
        <v>210</v>
      </c>
      <c r="N103" s="86">
        <v>7</v>
      </c>
      <c r="O103" s="87">
        <v>7</v>
      </c>
      <c r="P103" s="87">
        <v>7</v>
      </c>
      <c r="Q103" s="87">
        <v>1</v>
      </c>
      <c r="R103" s="87"/>
      <c r="S103" s="133">
        <f t="shared" si="62"/>
        <v>22</v>
      </c>
      <c r="T103" s="86">
        <v>167</v>
      </c>
      <c r="U103" s="87">
        <v>94</v>
      </c>
      <c r="V103" s="87">
        <v>179</v>
      </c>
      <c r="W103" s="87">
        <v>101</v>
      </c>
      <c r="X103" s="87">
        <v>186</v>
      </c>
      <c r="Y103" s="87">
        <v>80</v>
      </c>
      <c r="Z103" s="134">
        <f t="shared" si="63"/>
        <v>532</v>
      </c>
      <c r="AA103" s="133">
        <f t="shared" si="63"/>
        <v>275</v>
      </c>
      <c r="AB103" s="160">
        <v>2</v>
      </c>
      <c r="AC103" s="161">
        <v>3</v>
      </c>
      <c r="AD103" s="87"/>
      <c r="AE103" s="88"/>
      <c r="AF103" s="89"/>
    </row>
    <row r="104" spans="1:32" s="81" customFormat="1" ht="17.100000000000001" customHeight="1">
      <c r="A104" s="127" t="s">
        <v>138</v>
      </c>
      <c r="B104" s="127" t="s">
        <v>10</v>
      </c>
      <c r="C104" s="168" t="s">
        <v>10</v>
      </c>
      <c r="D104" s="127" t="s">
        <v>4</v>
      </c>
      <c r="E104" s="127" t="s">
        <v>24</v>
      </c>
      <c r="F104" s="127" t="s">
        <v>2982</v>
      </c>
      <c r="G104" s="82">
        <v>39874</v>
      </c>
      <c r="H104" s="50" t="s">
        <v>2983</v>
      </c>
      <c r="I104" s="83">
        <v>13067</v>
      </c>
      <c r="J104" s="84">
        <v>21028</v>
      </c>
      <c r="K104" s="50" t="s">
        <v>224</v>
      </c>
      <c r="L104" s="50" t="s">
        <v>224</v>
      </c>
      <c r="M104" s="85" t="s">
        <v>225</v>
      </c>
      <c r="N104" s="86">
        <v>7</v>
      </c>
      <c r="O104" s="87">
        <v>7</v>
      </c>
      <c r="P104" s="87">
        <v>7</v>
      </c>
      <c r="Q104" s="87">
        <v>1</v>
      </c>
      <c r="R104" s="87"/>
      <c r="S104" s="133">
        <f>SUM(N104:R104)</f>
        <v>22</v>
      </c>
      <c r="T104" s="87">
        <v>179</v>
      </c>
      <c r="U104" s="87">
        <v>179</v>
      </c>
      <c r="V104" s="87">
        <v>180</v>
      </c>
      <c r="W104" s="87">
        <v>180</v>
      </c>
      <c r="X104" s="87">
        <v>180</v>
      </c>
      <c r="Y104" s="87">
        <v>180</v>
      </c>
      <c r="Z104" s="134">
        <f>T104+V104+X104</f>
        <v>539</v>
      </c>
      <c r="AA104" s="133">
        <f>U104+W104+Y104</f>
        <v>539</v>
      </c>
      <c r="AB104" s="86">
        <v>3</v>
      </c>
      <c r="AC104" s="87">
        <v>3</v>
      </c>
      <c r="AD104" s="87"/>
      <c r="AE104" s="88"/>
      <c r="AF104" s="89"/>
    </row>
    <row r="105" spans="1:32" s="81" customFormat="1" ht="17.100000000000001" customHeight="1">
      <c r="A105" s="127" t="s">
        <v>138</v>
      </c>
      <c r="B105" s="127" t="s">
        <v>10</v>
      </c>
      <c r="C105" s="168" t="s">
        <v>10</v>
      </c>
      <c r="D105" s="127" t="s">
        <v>4</v>
      </c>
      <c r="E105" s="127" t="s">
        <v>26</v>
      </c>
      <c r="F105" s="127" t="s">
        <v>2984</v>
      </c>
      <c r="G105" s="82">
        <v>38047</v>
      </c>
      <c r="H105" s="50" t="s">
        <v>2985</v>
      </c>
      <c r="I105" s="83">
        <v>14696</v>
      </c>
      <c r="J105" s="84">
        <v>21021</v>
      </c>
      <c r="K105" s="50" t="s">
        <v>2986</v>
      </c>
      <c r="L105" s="50" t="s">
        <v>2987</v>
      </c>
      <c r="M105" s="85" t="s">
        <v>2988</v>
      </c>
      <c r="N105" s="86">
        <v>8</v>
      </c>
      <c r="O105" s="87">
        <v>8</v>
      </c>
      <c r="P105" s="87">
        <v>8</v>
      </c>
      <c r="Q105" s="87">
        <v>2</v>
      </c>
      <c r="R105" s="87"/>
      <c r="S105" s="133">
        <f t="shared" si="62"/>
        <v>26</v>
      </c>
      <c r="T105" s="86">
        <v>211</v>
      </c>
      <c r="U105" s="87">
        <v>120</v>
      </c>
      <c r="V105" s="87">
        <v>202</v>
      </c>
      <c r="W105" s="87">
        <v>113</v>
      </c>
      <c r="X105" s="87">
        <v>200</v>
      </c>
      <c r="Y105" s="87">
        <v>109</v>
      </c>
      <c r="Z105" s="134">
        <f t="shared" si="63"/>
        <v>613</v>
      </c>
      <c r="AA105" s="133">
        <f t="shared" si="63"/>
        <v>342</v>
      </c>
      <c r="AB105" s="160">
        <v>14</v>
      </c>
      <c r="AC105" s="161">
        <v>2</v>
      </c>
      <c r="AD105" s="87"/>
      <c r="AE105" s="88"/>
      <c r="AF105" s="89"/>
    </row>
    <row r="106" spans="1:32" s="81" customFormat="1" ht="17.100000000000001" customHeight="1">
      <c r="A106" s="127" t="s">
        <v>138</v>
      </c>
      <c r="B106" s="127" t="s">
        <v>10</v>
      </c>
      <c r="C106" s="168" t="s">
        <v>10</v>
      </c>
      <c r="D106" s="127" t="s">
        <v>4</v>
      </c>
      <c r="E106" s="127" t="s">
        <v>26</v>
      </c>
      <c r="F106" s="127" t="s">
        <v>2989</v>
      </c>
      <c r="G106" s="82">
        <v>37263</v>
      </c>
      <c r="H106" s="50" t="s">
        <v>2990</v>
      </c>
      <c r="I106" s="83">
        <v>14390</v>
      </c>
      <c r="J106" s="84">
        <v>21096</v>
      </c>
      <c r="K106" s="50" t="s">
        <v>211</v>
      </c>
      <c r="L106" s="50" t="s">
        <v>212</v>
      </c>
      <c r="M106" s="85" t="s">
        <v>213</v>
      </c>
      <c r="N106" s="86">
        <v>8</v>
      </c>
      <c r="O106" s="87">
        <v>7</v>
      </c>
      <c r="P106" s="87">
        <v>7</v>
      </c>
      <c r="Q106" s="87">
        <v>2</v>
      </c>
      <c r="R106" s="87">
        <v>0</v>
      </c>
      <c r="S106" s="133">
        <f>SUM(N106:R106)</f>
        <v>24</v>
      </c>
      <c r="T106" s="86">
        <v>212</v>
      </c>
      <c r="U106" s="87">
        <v>107</v>
      </c>
      <c r="V106" s="87">
        <v>183</v>
      </c>
      <c r="W106" s="87">
        <v>76</v>
      </c>
      <c r="X106" s="87">
        <v>190</v>
      </c>
      <c r="Y106" s="87">
        <v>84</v>
      </c>
      <c r="Z106" s="134">
        <f>T106+V106+X106</f>
        <v>585</v>
      </c>
      <c r="AA106" s="133">
        <f>U106+W106+Y106</f>
        <v>267</v>
      </c>
      <c r="AB106" s="160">
        <v>13</v>
      </c>
      <c r="AC106" s="161">
        <v>6</v>
      </c>
      <c r="AD106" s="87">
        <v>0</v>
      </c>
      <c r="AE106" s="88">
        <v>0</v>
      </c>
      <c r="AF106" s="89"/>
    </row>
    <row r="107" spans="1:32" s="81" customFormat="1" ht="17.100000000000001" customHeight="1">
      <c r="A107" s="127" t="s">
        <v>138</v>
      </c>
      <c r="B107" s="127" t="s">
        <v>2641</v>
      </c>
      <c r="C107" s="168" t="s">
        <v>2641</v>
      </c>
      <c r="D107" s="127" t="s">
        <v>4</v>
      </c>
      <c r="E107" s="127" t="s">
        <v>144</v>
      </c>
      <c r="F107" s="127" t="s">
        <v>327</v>
      </c>
      <c r="G107" s="82">
        <v>38047</v>
      </c>
      <c r="H107" s="50" t="s">
        <v>328</v>
      </c>
      <c r="I107" s="83">
        <v>13463</v>
      </c>
      <c r="J107" s="84">
        <v>21085</v>
      </c>
      <c r="K107" s="50" t="s">
        <v>329</v>
      </c>
      <c r="L107" s="50" t="s">
        <v>329</v>
      </c>
      <c r="M107" s="85" t="s">
        <v>330</v>
      </c>
      <c r="N107" s="86">
        <v>7</v>
      </c>
      <c r="O107" s="87">
        <v>7</v>
      </c>
      <c r="P107" s="87">
        <v>7</v>
      </c>
      <c r="Q107" s="87">
        <v>1</v>
      </c>
      <c r="R107" s="87"/>
      <c r="S107" s="133">
        <f t="shared" si="62"/>
        <v>22</v>
      </c>
      <c r="T107" s="86">
        <v>177</v>
      </c>
      <c r="U107" s="831" t="s">
        <v>2991</v>
      </c>
      <c r="V107" s="87">
        <v>176</v>
      </c>
      <c r="W107" s="831" t="s">
        <v>2991</v>
      </c>
      <c r="X107" s="87">
        <v>191</v>
      </c>
      <c r="Y107" s="831" t="s">
        <v>2991</v>
      </c>
      <c r="Z107" s="134">
        <f>T107+V107+X107</f>
        <v>544</v>
      </c>
      <c r="AA107" s="841" t="s">
        <v>2991</v>
      </c>
      <c r="AB107" s="160">
        <v>6</v>
      </c>
      <c r="AC107" s="1371" t="s">
        <v>2991</v>
      </c>
      <c r="AD107" s="87"/>
      <c r="AE107" s="88"/>
      <c r="AF107" s="89"/>
    </row>
    <row r="108" spans="1:32" s="81" customFormat="1" ht="17.100000000000001" customHeight="1">
      <c r="A108" s="127" t="s">
        <v>138</v>
      </c>
      <c r="B108" s="127" t="s">
        <v>10</v>
      </c>
      <c r="C108" s="168" t="s">
        <v>10</v>
      </c>
      <c r="D108" s="127" t="s">
        <v>4</v>
      </c>
      <c r="E108" s="127" t="s">
        <v>24</v>
      </c>
      <c r="F108" s="127" t="s">
        <v>374</v>
      </c>
      <c r="G108" s="82">
        <v>38047</v>
      </c>
      <c r="H108" s="50" t="s">
        <v>2992</v>
      </c>
      <c r="I108" s="83">
        <v>13561</v>
      </c>
      <c r="J108" s="84">
        <v>21085</v>
      </c>
      <c r="K108" s="50" t="s">
        <v>375</v>
      </c>
      <c r="L108" s="50" t="s">
        <v>375</v>
      </c>
      <c r="M108" s="85" t="s">
        <v>376</v>
      </c>
      <c r="N108" s="86">
        <v>7</v>
      </c>
      <c r="O108" s="87">
        <v>7</v>
      </c>
      <c r="P108" s="87">
        <v>7</v>
      </c>
      <c r="Q108" s="87">
        <v>1</v>
      </c>
      <c r="R108" s="87"/>
      <c r="S108" s="133">
        <v>22</v>
      </c>
      <c r="T108" s="86">
        <v>184</v>
      </c>
      <c r="U108" s="87">
        <v>184</v>
      </c>
      <c r="V108" s="87">
        <v>178</v>
      </c>
      <c r="W108" s="87">
        <v>178</v>
      </c>
      <c r="X108" s="87">
        <v>182</v>
      </c>
      <c r="Y108" s="87">
        <v>182</v>
      </c>
      <c r="Z108" s="134">
        <v>544</v>
      </c>
      <c r="AA108" s="133">
        <v>544</v>
      </c>
      <c r="AB108" s="160">
        <v>4</v>
      </c>
      <c r="AC108" s="161">
        <v>4</v>
      </c>
      <c r="AD108" s="87"/>
      <c r="AE108" s="88"/>
      <c r="AF108" s="89"/>
    </row>
    <row r="109" spans="1:32" s="81" customFormat="1" ht="17.100000000000001" customHeight="1">
      <c r="A109" s="1684" t="s">
        <v>406</v>
      </c>
      <c r="B109" s="1684"/>
      <c r="C109" s="208"/>
      <c r="D109" s="207">
        <f>COUNTA(D99:D108)</f>
        <v>10</v>
      </c>
      <c r="E109" s="208"/>
      <c r="F109" s="829"/>
      <c r="G109" s="209"/>
      <c r="H109" s="210"/>
      <c r="I109" s="211"/>
      <c r="J109" s="212"/>
      <c r="K109" s="210"/>
      <c r="L109" s="210"/>
      <c r="M109" s="213"/>
      <c r="N109" s="214">
        <f t="shared" ref="N109:AE109" si="64">SUM(N99:N108)</f>
        <v>72</v>
      </c>
      <c r="O109" s="215">
        <f t="shared" si="64"/>
        <v>71</v>
      </c>
      <c r="P109" s="215">
        <f t="shared" si="64"/>
        <v>71</v>
      </c>
      <c r="Q109" s="215">
        <f t="shared" si="64"/>
        <v>11</v>
      </c>
      <c r="R109" s="215">
        <f t="shared" si="64"/>
        <v>0</v>
      </c>
      <c r="S109" s="216">
        <f t="shared" si="64"/>
        <v>225</v>
      </c>
      <c r="T109" s="214">
        <f t="shared" si="64"/>
        <v>1800</v>
      </c>
      <c r="U109" s="215">
        <f t="shared" si="64"/>
        <v>947</v>
      </c>
      <c r="V109" s="215">
        <f t="shared" si="64"/>
        <v>1763</v>
      </c>
      <c r="W109" s="215">
        <f t="shared" si="64"/>
        <v>858</v>
      </c>
      <c r="X109" s="215">
        <f t="shared" si="64"/>
        <v>1855</v>
      </c>
      <c r="Y109" s="215">
        <f t="shared" si="64"/>
        <v>911</v>
      </c>
      <c r="Z109" s="215">
        <f t="shared" si="64"/>
        <v>5418</v>
      </c>
      <c r="AA109" s="216">
        <f t="shared" si="64"/>
        <v>2716</v>
      </c>
      <c r="AB109" s="214">
        <f t="shared" si="64"/>
        <v>64</v>
      </c>
      <c r="AC109" s="215">
        <f t="shared" si="64"/>
        <v>28</v>
      </c>
      <c r="AD109" s="215">
        <f t="shared" si="64"/>
        <v>0</v>
      </c>
      <c r="AE109" s="216">
        <f t="shared" si="64"/>
        <v>0</v>
      </c>
      <c r="AF109" s="89"/>
    </row>
    <row r="110" spans="1:32" s="81" customFormat="1" ht="17.100000000000001" customHeight="1">
      <c r="A110" s="127" t="s">
        <v>139</v>
      </c>
      <c r="B110" s="127" t="s">
        <v>10</v>
      </c>
      <c r="C110" s="168" t="s">
        <v>10</v>
      </c>
      <c r="D110" s="127" t="s">
        <v>4</v>
      </c>
      <c r="E110" s="127" t="s">
        <v>144</v>
      </c>
      <c r="F110" s="127" t="s">
        <v>2993</v>
      </c>
      <c r="G110" s="82">
        <v>35125</v>
      </c>
      <c r="H110" s="50" t="s">
        <v>226</v>
      </c>
      <c r="I110" s="83">
        <v>13142.5</v>
      </c>
      <c r="J110" s="84">
        <v>21070</v>
      </c>
      <c r="K110" s="50" t="s">
        <v>1997</v>
      </c>
      <c r="L110" s="50" t="s">
        <v>1998</v>
      </c>
      <c r="M110" s="85" t="s">
        <v>2994</v>
      </c>
      <c r="N110" s="86">
        <v>10</v>
      </c>
      <c r="O110" s="87">
        <v>9</v>
      </c>
      <c r="P110" s="87">
        <v>10</v>
      </c>
      <c r="Q110" s="87">
        <v>2</v>
      </c>
      <c r="R110" s="87"/>
      <c r="S110" s="133">
        <f>SUM(N110:R110)</f>
        <v>31</v>
      </c>
      <c r="T110" s="86">
        <v>173</v>
      </c>
      <c r="U110" s="87"/>
      <c r="V110" s="87">
        <v>129</v>
      </c>
      <c r="W110" s="87"/>
      <c r="X110" s="87">
        <v>130</v>
      </c>
      <c r="Y110" s="87"/>
      <c r="Z110" s="134">
        <f>T110+V110+X110</f>
        <v>432</v>
      </c>
      <c r="AA110" s="133">
        <f>U110+W110+Y110</f>
        <v>0</v>
      </c>
      <c r="AB110" s="86">
        <v>14</v>
      </c>
      <c r="AC110" s="87"/>
      <c r="AD110" s="87"/>
      <c r="AE110" s="88"/>
      <c r="AF110" s="89"/>
    </row>
    <row r="111" spans="1:32" s="81" customFormat="1" ht="17.100000000000001" customHeight="1">
      <c r="A111" s="1684" t="s">
        <v>407</v>
      </c>
      <c r="B111" s="1684"/>
      <c r="C111" s="208"/>
      <c r="D111" s="207">
        <f>COUNTA(D110:D110)</f>
        <v>1</v>
      </c>
      <c r="E111" s="208"/>
      <c r="F111" s="829"/>
      <c r="G111" s="209"/>
      <c r="H111" s="210"/>
      <c r="I111" s="211"/>
      <c r="J111" s="212"/>
      <c r="K111" s="210"/>
      <c r="L111" s="210"/>
      <c r="M111" s="213"/>
      <c r="N111" s="214">
        <f t="shared" ref="N111:AE111" si="65">N110</f>
        <v>10</v>
      </c>
      <c r="O111" s="215">
        <f t="shared" si="65"/>
        <v>9</v>
      </c>
      <c r="P111" s="215">
        <f t="shared" si="65"/>
        <v>10</v>
      </c>
      <c r="Q111" s="215">
        <f t="shared" si="65"/>
        <v>2</v>
      </c>
      <c r="R111" s="215">
        <f t="shared" si="65"/>
        <v>0</v>
      </c>
      <c r="S111" s="216">
        <f t="shared" si="65"/>
        <v>31</v>
      </c>
      <c r="T111" s="214">
        <f t="shared" si="65"/>
        <v>173</v>
      </c>
      <c r="U111" s="215">
        <f t="shared" si="65"/>
        <v>0</v>
      </c>
      <c r="V111" s="215">
        <f t="shared" si="65"/>
        <v>129</v>
      </c>
      <c r="W111" s="215">
        <f t="shared" si="65"/>
        <v>0</v>
      </c>
      <c r="X111" s="215">
        <f t="shared" si="65"/>
        <v>130</v>
      </c>
      <c r="Y111" s="215">
        <f t="shared" si="65"/>
        <v>0</v>
      </c>
      <c r="Z111" s="215">
        <f t="shared" si="65"/>
        <v>432</v>
      </c>
      <c r="AA111" s="216">
        <f t="shared" si="65"/>
        <v>0</v>
      </c>
      <c r="AB111" s="214">
        <f t="shared" si="65"/>
        <v>14</v>
      </c>
      <c r="AC111" s="215">
        <f t="shared" si="65"/>
        <v>0</v>
      </c>
      <c r="AD111" s="215">
        <f t="shared" si="65"/>
        <v>0</v>
      </c>
      <c r="AE111" s="216">
        <f t="shared" si="65"/>
        <v>0</v>
      </c>
      <c r="AF111" s="89"/>
    </row>
    <row r="112" spans="1:32" s="81" customFormat="1" ht="17.100000000000001" customHeight="1">
      <c r="A112" s="1625" t="s">
        <v>424</v>
      </c>
      <c r="B112" s="1626"/>
      <c r="C112" s="1626"/>
      <c r="D112" s="1626"/>
      <c r="E112" s="179">
        <f>D109+D111</f>
        <v>11</v>
      </c>
      <c r="F112" s="830"/>
      <c r="G112" s="180"/>
      <c r="H112" s="181"/>
      <c r="I112" s="182"/>
      <c r="J112" s="183"/>
      <c r="K112" s="181"/>
      <c r="L112" s="181"/>
      <c r="M112" s="184"/>
      <c r="N112" s="185">
        <f t="shared" ref="N112:AE112" si="66">N109+N111</f>
        <v>82</v>
      </c>
      <c r="O112" s="186">
        <f t="shared" si="66"/>
        <v>80</v>
      </c>
      <c r="P112" s="186">
        <f t="shared" si="66"/>
        <v>81</v>
      </c>
      <c r="Q112" s="186">
        <f t="shared" si="66"/>
        <v>13</v>
      </c>
      <c r="R112" s="186">
        <f t="shared" si="66"/>
        <v>0</v>
      </c>
      <c r="S112" s="187">
        <f t="shared" si="66"/>
        <v>256</v>
      </c>
      <c r="T112" s="185">
        <f t="shared" si="66"/>
        <v>1973</v>
      </c>
      <c r="U112" s="186">
        <f t="shared" si="66"/>
        <v>947</v>
      </c>
      <c r="V112" s="186">
        <f t="shared" si="66"/>
        <v>1892</v>
      </c>
      <c r="W112" s="186">
        <f t="shared" si="66"/>
        <v>858</v>
      </c>
      <c r="X112" s="186">
        <f t="shared" si="66"/>
        <v>1985</v>
      </c>
      <c r="Y112" s="186">
        <f t="shared" si="66"/>
        <v>911</v>
      </c>
      <c r="Z112" s="186">
        <f t="shared" si="66"/>
        <v>5850</v>
      </c>
      <c r="AA112" s="187">
        <f t="shared" si="66"/>
        <v>2716</v>
      </c>
      <c r="AB112" s="185">
        <f t="shared" si="66"/>
        <v>78</v>
      </c>
      <c r="AC112" s="186">
        <f t="shared" si="66"/>
        <v>28</v>
      </c>
      <c r="AD112" s="186">
        <f t="shared" si="66"/>
        <v>0</v>
      </c>
      <c r="AE112" s="187">
        <f t="shared" si="66"/>
        <v>0</v>
      </c>
      <c r="AF112" s="219"/>
    </row>
    <row r="113" spans="1:32" s="81" customFormat="1" ht="17.100000000000001" customHeight="1">
      <c r="A113" s="1672" t="s">
        <v>425</v>
      </c>
      <c r="B113" s="1672"/>
      <c r="C113" s="1672"/>
      <c r="D113" s="1672"/>
      <c r="E113" s="1672"/>
      <c r="F113" s="835">
        <f>E112</f>
        <v>11</v>
      </c>
      <c r="G113" s="221"/>
      <c r="H113" s="222"/>
      <c r="I113" s="223"/>
      <c r="J113" s="224"/>
      <c r="K113" s="222"/>
      <c r="L113" s="222"/>
      <c r="M113" s="225"/>
      <c r="N113" s="226">
        <f t="shared" ref="N113:AE113" si="67">N112</f>
        <v>82</v>
      </c>
      <c r="O113" s="227">
        <f t="shared" si="67"/>
        <v>80</v>
      </c>
      <c r="P113" s="227">
        <f t="shared" si="67"/>
        <v>81</v>
      </c>
      <c r="Q113" s="227">
        <f t="shared" si="67"/>
        <v>13</v>
      </c>
      <c r="R113" s="227">
        <f t="shared" si="67"/>
        <v>0</v>
      </c>
      <c r="S113" s="228">
        <f t="shared" si="67"/>
        <v>256</v>
      </c>
      <c r="T113" s="226">
        <f t="shared" si="67"/>
        <v>1973</v>
      </c>
      <c r="U113" s="227">
        <f t="shared" si="67"/>
        <v>947</v>
      </c>
      <c r="V113" s="227">
        <f t="shared" si="67"/>
        <v>1892</v>
      </c>
      <c r="W113" s="227">
        <f t="shared" si="67"/>
        <v>858</v>
      </c>
      <c r="X113" s="227">
        <f t="shared" si="67"/>
        <v>1985</v>
      </c>
      <c r="Y113" s="227">
        <f t="shared" si="67"/>
        <v>911</v>
      </c>
      <c r="Z113" s="227">
        <f t="shared" si="67"/>
        <v>5850</v>
      </c>
      <c r="AA113" s="228">
        <f t="shared" si="67"/>
        <v>2716</v>
      </c>
      <c r="AB113" s="226">
        <f t="shared" si="67"/>
        <v>78</v>
      </c>
      <c r="AC113" s="227">
        <f t="shared" si="67"/>
        <v>28</v>
      </c>
      <c r="AD113" s="227">
        <f t="shared" si="67"/>
        <v>0</v>
      </c>
      <c r="AE113" s="228">
        <f t="shared" si="67"/>
        <v>0</v>
      </c>
      <c r="AF113" s="229"/>
    </row>
    <row r="114" spans="1:32" s="81" customFormat="1" ht="17.100000000000001" customHeight="1">
      <c r="A114" s="127" t="s">
        <v>138</v>
      </c>
      <c r="B114" s="127" t="s">
        <v>8</v>
      </c>
      <c r="C114" s="168" t="s">
        <v>89</v>
      </c>
      <c r="D114" s="127" t="s">
        <v>4</v>
      </c>
      <c r="E114" s="127" t="s">
        <v>144</v>
      </c>
      <c r="F114" s="127" t="s">
        <v>2995</v>
      </c>
      <c r="G114" s="82">
        <v>38048</v>
      </c>
      <c r="H114" s="50" t="s">
        <v>2996</v>
      </c>
      <c r="I114" s="83">
        <v>15311</v>
      </c>
      <c r="J114" s="84">
        <v>21618</v>
      </c>
      <c r="K114" s="50" t="s">
        <v>2024</v>
      </c>
      <c r="L114" s="50" t="s">
        <v>2025</v>
      </c>
      <c r="M114" s="85" t="s">
        <v>2026</v>
      </c>
      <c r="N114" s="86">
        <v>10</v>
      </c>
      <c r="O114" s="87">
        <v>9</v>
      </c>
      <c r="P114" s="87">
        <v>9</v>
      </c>
      <c r="Q114" s="87">
        <v>1</v>
      </c>
      <c r="R114" s="87"/>
      <c r="S114" s="133">
        <f>SUM(N114:R114)</f>
        <v>29</v>
      </c>
      <c r="T114" s="86">
        <v>277</v>
      </c>
      <c r="U114" s="87"/>
      <c r="V114" s="87">
        <v>239</v>
      </c>
      <c r="W114" s="87"/>
      <c r="X114" s="87">
        <v>237</v>
      </c>
      <c r="Y114" s="87"/>
      <c r="Z114" s="134">
        <f>T114+V114+X114</f>
        <v>753</v>
      </c>
      <c r="AA114" s="133">
        <f>U114+W114+Y114</f>
        <v>0</v>
      </c>
      <c r="AB114" s="86">
        <v>7</v>
      </c>
      <c r="AC114" s="87">
        <v>0</v>
      </c>
      <c r="AD114" s="87"/>
      <c r="AE114" s="88"/>
      <c r="AF114" s="89"/>
    </row>
    <row r="115" spans="1:32" s="81" customFormat="1" ht="17.100000000000001" customHeight="1">
      <c r="A115" s="127" t="s">
        <v>138</v>
      </c>
      <c r="B115" s="127" t="s">
        <v>8</v>
      </c>
      <c r="C115" s="168" t="s">
        <v>8</v>
      </c>
      <c r="D115" s="127" t="s">
        <v>4</v>
      </c>
      <c r="E115" s="127" t="s">
        <v>144</v>
      </c>
      <c r="F115" s="127" t="s">
        <v>2997</v>
      </c>
      <c r="G115" s="82">
        <v>22399</v>
      </c>
      <c r="H115" s="50" t="s">
        <v>333</v>
      </c>
      <c r="I115" s="83">
        <v>22492</v>
      </c>
      <c r="J115" s="84">
        <v>21521</v>
      </c>
      <c r="K115" s="50" t="s">
        <v>334</v>
      </c>
      <c r="L115" s="50" t="s">
        <v>335</v>
      </c>
      <c r="M115" s="85" t="s">
        <v>336</v>
      </c>
      <c r="N115" s="86">
        <v>9</v>
      </c>
      <c r="O115" s="87">
        <v>8</v>
      </c>
      <c r="P115" s="87">
        <v>8</v>
      </c>
      <c r="Q115" s="87">
        <v>3</v>
      </c>
      <c r="R115" s="87">
        <v>0</v>
      </c>
      <c r="S115" s="133">
        <f>SUM(N115:R115)</f>
        <v>28</v>
      </c>
      <c r="T115" s="86">
        <v>221</v>
      </c>
      <c r="U115" s="87"/>
      <c r="V115" s="87">
        <v>210</v>
      </c>
      <c r="W115" s="87"/>
      <c r="X115" s="87">
        <v>217</v>
      </c>
      <c r="Y115" s="87"/>
      <c r="Z115" s="134">
        <f t="shared" ref="Z115" si="68">T115+V115+X115</f>
        <v>648</v>
      </c>
      <c r="AA115" s="133">
        <f>SUM(U115,W115,Y115)</f>
        <v>0</v>
      </c>
      <c r="AB115" s="86">
        <v>18</v>
      </c>
      <c r="AC115" s="87"/>
      <c r="AD115" s="87"/>
      <c r="AE115" s="88">
        <v>0</v>
      </c>
      <c r="AF115" s="89"/>
    </row>
    <row r="116" spans="1:32" s="81" customFormat="1" ht="17.100000000000001" customHeight="1">
      <c r="A116" s="127" t="s">
        <v>138</v>
      </c>
      <c r="B116" s="127" t="s">
        <v>8</v>
      </c>
      <c r="C116" s="168" t="s">
        <v>8</v>
      </c>
      <c r="D116" s="127" t="s">
        <v>4</v>
      </c>
      <c r="E116" s="127" t="s">
        <v>24</v>
      </c>
      <c r="F116" s="127" t="s">
        <v>332</v>
      </c>
      <c r="G116" s="82">
        <v>35855</v>
      </c>
      <c r="H116" s="50" t="s">
        <v>340</v>
      </c>
      <c r="I116" s="83">
        <v>9946</v>
      </c>
      <c r="J116" s="84">
        <v>21503</v>
      </c>
      <c r="K116" s="50" t="s">
        <v>2998</v>
      </c>
      <c r="L116" s="50" t="s">
        <v>2999</v>
      </c>
      <c r="M116" s="85" t="s">
        <v>3000</v>
      </c>
      <c r="N116" s="86">
        <v>10</v>
      </c>
      <c r="O116" s="87">
        <v>8</v>
      </c>
      <c r="P116" s="87">
        <v>8</v>
      </c>
      <c r="Q116" s="87">
        <v>3</v>
      </c>
      <c r="R116" s="87">
        <v>0</v>
      </c>
      <c r="S116" s="133">
        <f>SUM(N116:R116)</f>
        <v>29</v>
      </c>
      <c r="T116" s="86">
        <v>251</v>
      </c>
      <c r="U116" s="87">
        <v>251</v>
      </c>
      <c r="V116" s="87">
        <v>217</v>
      </c>
      <c r="W116" s="87">
        <v>217</v>
      </c>
      <c r="X116" s="87">
        <v>217</v>
      </c>
      <c r="Y116" s="87">
        <v>217</v>
      </c>
      <c r="Z116" s="134">
        <f>T116+V116+X116</f>
        <v>685</v>
      </c>
      <c r="AA116" s="133">
        <f>U116+W116+Y116</f>
        <v>685</v>
      </c>
      <c r="AB116" s="160">
        <v>15</v>
      </c>
      <c r="AC116" s="161">
        <v>15</v>
      </c>
      <c r="AD116" s="87">
        <v>0</v>
      </c>
      <c r="AE116" s="88">
        <v>0</v>
      </c>
      <c r="AF116" s="89"/>
    </row>
    <row r="117" spans="1:32" s="81" customFormat="1" ht="17.100000000000001" customHeight="1">
      <c r="A117" s="127" t="s">
        <v>138</v>
      </c>
      <c r="B117" s="127" t="s">
        <v>8</v>
      </c>
      <c r="C117" s="168" t="s">
        <v>8</v>
      </c>
      <c r="D117" s="127" t="s">
        <v>4</v>
      </c>
      <c r="E117" s="127" t="s">
        <v>24</v>
      </c>
      <c r="F117" s="127" t="s">
        <v>3001</v>
      </c>
      <c r="G117" s="82">
        <v>40238</v>
      </c>
      <c r="H117" s="50" t="s">
        <v>3002</v>
      </c>
      <c r="I117" s="83">
        <v>12859</v>
      </c>
      <c r="J117" s="84">
        <v>21681</v>
      </c>
      <c r="K117" s="50" t="s">
        <v>3003</v>
      </c>
      <c r="L117" s="50" t="s">
        <v>3004</v>
      </c>
      <c r="M117" s="85" t="s">
        <v>3005</v>
      </c>
      <c r="N117" s="86">
        <v>10</v>
      </c>
      <c r="O117" s="87">
        <v>9</v>
      </c>
      <c r="P117" s="87">
        <v>9</v>
      </c>
      <c r="Q117" s="87">
        <v>1</v>
      </c>
      <c r="R117" s="87">
        <v>0</v>
      </c>
      <c r="S117" s="133">
        <f t="shared" ref="S117:S122" si="69">SUM(N117:R117)</f>
        <v>29</v>
      </c>
      <c r="T117" s="86">
        <f>U117</f>
        <v>291</v>
      </c>
      <c r="U117" s="87">
        <v>291</v>
      </c>
      <c r="V117" s="87">
        <f>W117</f>
        <v>276</v>
      </c>
      <c r="W117" s="87">
        <v>276</v>
      </c>
      <c r="X117" s="87">
        <f>Y117</f>
        <v>272</v>
      </c>
      <c r="Y117" s="87">
        <v>272</v>
      </c>
      <c r="Z117" s="134">
        <f t="shared" ref="Z117:AA122" si="70">T117+V117+X117</f>
        <v>839</v>
      </c>
      <c r="AA117" s="133">
        <f t="shared" si="70"/>
        <v>839</v>
      </c>
      <c r="AB117" s="86">
        <f>AC117</f>
        <v>7</v>
      </c>
      <c r="AC117" s="87">
        <v>7</v>
      </c>
      <c r="AD117" s="87">
        <f>AE117</f>
        <v>0</v>
      </c>
      <c r="AE117" s="88">
        <v>0</v>
      </c>
      <c r="AF117" s="89"/>
    </row>
    <row r="118" spans="1:32" s="81" customFormat="1" ht="17.100000000000001" customHeight="1">
      <c r="A118" s="127" t="s">
        <v>138</v>
      </c>
      <c r="B118" s="127" t="s">
        <v>8</v>
      </c>
      <c r="C118" s="168" t="s">
        <v>8</v>
      </c>
      <c r="D118" s="127" t="s">
        <v>4</v>
      </c>
      <c r="E118" s="127" t="s">
        <v>144</v>
      </c>
      <c r="F118" s="127" t="s">
        <v>331</v>
      </c>
      <c r="G118" s="82">
        <v>35855</v>
      </c>
      <c r="H118" s="50" t="s">
        <v>3006</v>
      </c>
      <c r="I118" s="83">
        <v>12168</v>
      </c>
      <c r="J118" s="84">
        <v>21503</v>
      </c>
      <c r="K118" s="50" t="s">
        <v>337</v>
      </c>
      <c r="L118" s="50" t="s">
        <v>338</v>
      </c>
      <c r="M118" s="85" t="s">
        <v>339</v>
      </c>
      <c r="N118" s="86">
        <v>9</v>
      </c>
      <c r="O118" s="87">
        <v>8</v>
      </c>
      <c r="P118" s="87">
        <v>8</v>
      </c>
      <c r="Q118" s="87">
        <v>3</v>
      </c>
      <c r="R118" s="87">
        <v>0</v>
      </c>
      <c r="S118" s="133">
        <f t="shared" si="69"/>
        <v>28</v>
      </c>
      <c r="T118" s="86">
        <v>241</v>
      </c>
      <c r="U118" s="87">
        <v>0</v>
      </c>
      <c r="V118" s="87">
        <v>230</v>
      </c>
      <c r="W118" s="87">
        <v>0</v>
      </c>
      <c r="X118" s="87">
        <v>218</v>
      </c>
      <c r="Y118" s="87">
        <v>0</v>
      </c>
      <c r="Z118" s="134">
        <f t="shared" si="70"/>
        <v>689</v>
      </c>
      <c r="AA118" s="133">
        <f t="shared" si="70"/>
        <v>0</v>
      </c>
      <c r="AB118" s="160">
        <v>21</v>
      </c>
      <c r="AC118" s="161">
        <v>0</v>
      </c>
      <c r="AD118" s="87">
        <v>0</v>
      </c>
      <c r="AE118" s="88">
        <v>0</v>
      </c>
      <c r="AF118" s="89"/>
    </row>
    <row r="119" spans="1:32" s="81" customFormat="1" ht="17.100000000000001" customHeight="1">
      <c r="A119" s="127" t="s">
        <v>138</v>
      </c>
      <c r="B119" s="127" t="s">
        <v>89</v>
      </c>
      <c r="C119" s="168" t="s">
        <v>8</v>
      </c>
      <c r="D119" s="127" t="s">
        <v>4</v>
      </c>
      <c r="E119" s="127" t="s">
        <v>144</v>
      </c>
      <c r="F119" s="127" t="s">
        <v>3007</v>
      </c>
      <c r="G119" s="82">
        <v>39508</v>
      </c>
      <c r="H119" s="50" t="s">
        <v>3008</v>
      </c>
      <c r="I119" s="83">
        <v>11145.9</v>
      </c>
      <c r="J119" s="84">
        <v>21648</v>
      </c>
      <c r="K119" s="50" t="s">
        <v>3009</v>
      </c>
      <c r="L119" s="50" t="s">
        <v>3010</v>
      </c>
      <c r="M119" s="85" t="s">
        <v>3011</v>
      </c>
      <c r="N119" s="86">
        <v>10</v>
      </c>
      <c r="O119" s="87">
        <v>8</v>
      </c>
      <c r="P119" s="87">
        <v>9</v>
      </c>
      <c r="Q119" s="87">
        <v>2</v>
      </c>
      <c r="R119" s="87"/>
      <c r="S119" s="133">
        <f t="shared" si="69"/>
        <v>29</v>
      </c>
      <c r="T119" s="86">
        <v>276</v>
      </c>
      <c r="U119" s="87"/>
      <c r="V119" s="87">
        <v>226</v>
      </c>
      <c r="W119" s="87"/>
      <c r="X119" s="87">
        <v>222</v>
      </c>
      <c r="Y119" s="87"/>
      <c r="Z119" s="134">
        <f t="shared" si="70"/>
        <v>724</v>
      </c>
      <c r="AA119" s="133">
        <f t="shared" si="70"/>
        <v>0</v>
      </c>
      <c r="AB119" s="160">
        <v>11</v>
      </c>
      <c r="AC119" s="161"/>
      <c r="AD119" s="87"/>
      <c r="AE119" s="88"/>
      <c r="AF119" s="89"/>
    </row>
    <row r="120" spans="1:32" s="81" customFormat="1" ht="17.100000000000001" customHeight="1">
      <c r="A120" s="127" t="s">
        <v>138</v>
      </c>
      <c r="B120" s="127" t="s">
        <v>8</v>
      </c>
      <c r="C120" s="168" t="s">
        <v>8</v>
      </c>
      <c r="D120" s="127" t="s">
        <v>4</v>
      </c>
      <c r="E120" s="127" t="s">
        <v>24</v>
      </c>
      <c r="F120" s="127" t="s">
        <v>3012</v>
      </c>
      <c r="G120" s="82">
        <v>38777</v>
      </c>
      <c r="H120" s="50" t="s">
        <v>280</v>
      </c>
      <c r="I120" s="83">
        <v>11989</v>
      </c>
      <c r="J120" s="84">
        <v>21665</v>
      </c>
      <c r="K120" s="50" t="s">
        <v>3013</v>
      </c>
      <c r="L120" s="50" t="s">
        <v>3014</v>
      </c>
      <c r="M120" s="85" t="s">
        <v>3015</v>
      </c>
      <c r="N120" s="86">
        <v>10</v>
      </c>
      <c r="O120" s="87">
        <v>8</v>
      </c>
      <c r="P120" s="87">
        <v>9</v>
      </c>
      <c r="Q120" s="87">
        <v>1</v>
      </c>
      <c r="R120" s="87"/>
      <c r="S120" s="133">
        <f t="shared" si="69"/>
        <v>28</v>
      </c>
      <c r="T120" s="86">
        <v>288</v>
      </c>
      <c r="U120" s="87">
        <v>288</v>
      </c>
      <c r="V120" s="87">
        <v>257</v>
      </c>
      <c r="W120" s="87">
        <v>257</v>
      </c>
      <c r="X120" s="87">
        <v>277</v>
      </c>
      <c r="Y120" s="87">
        <v>277</v>
      </c>
      <c r="Z120" s="134">
        <f t="shared" si="70"/>
        <v>822</v>
      </c>
      <c r="AA120" s="133">
        <f t="shared" si="70"/>
        <v>822</v>
      </c>
      <c r="AB120" s="86">
        <v>7</v>
      </c>
      <c r="AC120" s="87">
        <v>7</v>
      </c>
      <c r="AD120" s="87"/>
      <c r="AE120" s="88"/>
      <c r="AF120" s="89"/>
    </row>
    <row r="121" spans="1:32" s="81" customFormat="1" ht="17.100000000000001" customHeight="1">
      <c r="A121" s="127" t="s">
        <v>138</v>
      </c>
      <c r="B121" s="127" t="s">
        <v>8</v>
      </c>
      <c r="C121" s="168" t="s">
        <v>8</v>
      </c>
      <c r="D121" s="127" t="s">
        <v>4</v>
      </c>
      <c r="E121" s="127" t="s">
        <v>144</v>
      </c>
      <c r="F121" s="127" t="s">
        <v>2175</v>
      </c>
      <c r="G121" s="82">
        <v>39508</v>
      </c>
      <c r="H121" s="50" t="s">
        <v>3016</v>
      </c>
      <c r="I121" s="83">
        <v>14425</v>
      </c>
      <c r="J121" s="84">
        <v>21592</v>
      </c>
      <c r="K121" s="50" t="s">
        <v>2176</v>
      </c>
      <c r="L121" s="50" t="s">
        <v>2177</v>
      </c>
      <c r="M121" s="85" t="s">
        <v>3017</v>
      </c>
      <c r="N121" s="86">
        <v>10</v>
      </c>
      <c r="O121" s="87">
        <v>8</v>
      </c>
      <c r="P121" s="87">
        <v>9</v>
      </c>
      <c r="Q121" s="87">
        <v>3</v>
      </c>
      <c r="R121" s="87"/>
      <c r="S121" s="133">
        <f t="shared" si="69"/>
        <v>30</v>
      </c>
      <c r="T121" s="86">
        <v>264</v>
      </c>
      <c r="U121" s="87"/>
      <c r="V121" s="87">
        <v>213</v>
      </c>
      <c r="W121" s="87"/>
      <c r="X121" s="87">
        <v>255</v>
      </c>
      <c r="Y121" s="87"/>
      <c r="Z121" s="134">
        <f t="shared" si="70"/>
        <v>732</v>
      </c>
      <c r="AA121" s="133">
        <f t="shared" si="70"/>
        <v>0</v>
      </c>
      <c r="AB121" s="160">
        <v>19</v>
      </c>
      <c r="AC121" s="161"/>
      <c r="AD121" s="87"/>
      <c r="AE121" s="88"/>
      <c r="AF121" s="89"/>
    </row>
    <row r="122" spans="1:32" s="81" customFormat="1" ht="17.100000000000001" customHeight="1">
      <c r="A122" s="127" t="s">
        <v>138</v>
      </c>
      <c r="B122" s="127" t="s">
        <v>8</v>
      </c>
      <c r="C122" s="168" t="s">
        <v>8</v>
      </c>
      <c r="D122" s="127" t="s">
        <v>4</v>
      </c>
      <c r="E122" s="127" t="s">
        <v>144</v>
      </c>
      <c r="F122" s="127" t="s">
        <v>3018</v>
      </c>
      <c r="G122" s="82">
        <v>40603</v>
      </c>
      <c r="H122" s="50" t="s">
        <v>3019</v>
      </c>
      <c r="I122" s="83">
        <v>12712.3</v>
      </c>
      <c r="J122" s="84">
        <v>21679</v>
      </c>
      <c r="K122" s="50" t="s">
        <v>3020</v>
      </c>
      <c r="L122" s="50" t="s">
        <v>3021</v>
      </c>
      <c r="M122" s="85" t="s">
        <v>3022</v>
      </c>
      <c r="N122" s="86">
        <v>9</v>
      </c>
      <c r="O122" s="87">
        <v>8</v>
      </c>
      <c r="P122" s="87">
        <v>8</v>
      </c>
      <c r="Q122" s="87">
        <v>2</v>
      </c>
      <c r="R122" s="87"/>
      <c r="S122" s="133">
        <f t="shared" si="69"/>
        <v>27</v>
      </c>
      <c r="T122" s="86">
        <v>248</v>
      </c>
      <c r="U122" s="87"/>
      <c r="V122" s="87">
        <v>234</v>
      </c>
      <c r="W122" s="87"/>
      <c r="X122" s="87">
        <v>210</v>
      </c>
      <c r="Y122" s="87"/>
      <c r="Z122" s="134">
        <f t="shared" si="70"/>
        <v>692</v>
      </c>
      <c r="AA122" s="133">
        <f t="shared" si="70"/>
        <v>0</v>
      </c>
      <c r="AB122" s="160">
        <v>10</v>
      </c>
      <c r="AC122" s="161"/>
      <c r="AD122" s="87"/>
      <c r="AE122" s="88"/>
      <c r="AF122" s="89"/>
    </row>
    <row r="123" spans="1:32" s="81" customFormat="1" ht="17.100000000000001" customHeight="1">
      <c r="A123" s="1684" t="s">
        <v>406</v>
      </c>
      <c r="B123" s="1684"/>
      <c r="C123" s="208"/>
      <c r="D123" s="207">
        <f>COUNTA(D114:D122)</f>
        <v>9</v>
      </c>
      <c r="E123" s="208"/>
      <c r="F123" s="829"/>
      <c r="G123" s="209"/>
      <c r="H123" s="210"/>
      <c r="I123" s="211"/>
      <c r="J123" s="212"/>
      <c r="K123" s="210"/>
      <c r="L123" s="210"/>
      <c r="M123" s="213"/>
      <c r="N123" s="214">
        <f t="shared" ref="N123:AE123" si="71">SUM(N114:N122)</f>
        <v>87</v>
      </c>
      <c r="O123" s="215">
        <f t="shared" si="71"/>
        <v>74</v>
      </c>
      <c r="P123" s="215">
        <f t="shared" si="71"/>
        <v>77</v>
      </c>
      <c r="Q123" s="215">
        <f t="shared" si="71"/>
        <v>19</v>
      </c>
      <c r="R123" s="215">
        <f t="shared" si="71"/>
        <v>0</v>
      </c>
      <c r="S123" s="216">
        <f t="shared" si="71"/>
        <v>257</v>
      </c>
      <c r="T123" s="214">
        <f t="shared" si="71"/>
        <v>2357</v>
      </c>
      <c r="U123" s="215">
        <f t="shared" si="71"/>
        <v>830</v>
      </c>
      <c r="V123" s="215">
        <f t="shared" si="71"/>
        <v>2102</v>
      </c>
      <c r="W123" s="215">
        <f t="shared" si="71"/>
        <v>750</v>
      </c>
      <c r="X123" s="215">
        <f t="shared" si="71"/>
        <v>2125</v>
      </c>
      <c r="Y123" s="215">
        <f t="shared" si="71"/>
        <v>766</v>
      </c>
      <c r="Z123" s="215">
        <f t="shared" si="71"/>
        <v>6584</v>
      </c>
      <c r="AA123" s="216">
        <f t="shared" si="71"/>
        <v>2346</v>
      </c>
      <c r="AB123" s="214">
        <f t="shared" si="71"/>
        <v>115</v>
      </c>
      <c r="AC123" s="215">
        <f t="shared" si="71"/>
        <v>29</v>
      </c>
      <c r="AD123" s="215">
        <f t="shared" si="71"/>
        <v>0</v>
      </c>
      <c r="AE123" s="216">
        <f t="shared" si="71"/>
        <v>0</v>
      </c>
      <c r="AF123" s="89"/>
    </row>
    <row r="124" spans="1:32" s="81" customFormat="1" ht="17.100000000000001" customHeight="1">
      <c r="A124" s="127" t="s">
        <v>140</v>
      </c>
      <c r="B124" s="127" t="s">
        <v>8</v>
      </c>
      <c r="C124" s="168" t="s">
        <v>8</v>
      </c>
      <c r="D124" s="127" t="s">
        <v>4</v>
      </c>
      <c r="E124" s="127" t="s">
        <v>26</v>
      </c>
      <c r="F124" s="127" t="s">
        <v>3023</v>
      </c>
      <c r="G124" s="82">
        <v>40238</v>
      </c>
      <c r="H124" s="50" t="s">
        <v>3024</v>
      </c>
      <c r="I124" s="83">
        <v>15393</v>
      </c>
      <c r="J124" s="84">
        <v>21684</v>
      </c>
      <c r="K124" s="50" t="s">
        <v>3025</v>
      </c>
      <c r="L124" s="50" t="s">
        <v>3026</v>
      </c>
      <c r="M124" s="85" t="s">
        <v>3027</v>
      </c>
      <c r="N124" s="86">
        <v>8</v>
      </c>
      <c r="O124" s="87">
        <v>8</v>
      </c>
      <c r="P124" s="87">
        <v>8</v>
      </c>
      <c r="Q124" s="87">
        <v>0</v>
      </c>
      <c r="R124" s="87">
        <v>0</v>
      </c>
      <c r="S124" s="133">
        <f>SUM(N124:R124)</f>
        <v>24</v>
      </c>
      <c r="T124" s="86">
        <v>191</v>
      </c>
      <c r="U124" s="87">
        <v>156</v>
      </c>
      <c r="V124" s="87">
        <v>180</v>
      </c>
      <c r="W124" s="87">
        <v>145</v>
      </c>
      <c r="X124" s="87">
        <v>177</v>
      </c>
      <c r="Y124" s="87">
        <v>130</v>
      </c>
      <c r="Z124" s="134">
        <f>T124+V124+X124</f>
        <v>548</v>
      </c>
      <c r="AA124" s="133">
        <f>U124+W124+Y124</f>
        <v>431</v>
      </c>
      <c r="AB124" s="86">
        <v>0</v>
      </c>
      <c r="AC124" s="87">
        <v>0</v>
      </c>
      <c r="AD124" s="87">
        <v>0</v>
      </c>
      <c r="AE124" s="88">
        <v>0</v>
      </c>
      <c r="AF124" s="89"/>
    </row>
    <row r="125" spans="1:32" s="81" customFormat="1" ht="17.100000000000001" customHeight="1">
      <c r="A125" s="127" t="s">
        <v>440</v>
      </c>
      <c r="B125" s="127" t="s">
        <v>8</v>
      </c>
      <c r="C125" s="168" t="s">
        <v>8</v>
      </c>
      <c r="D125" s="127" t="s">
        <v>4</v>
      </c>
      <c r="E125" s="127" t="s">
        <v>26</v>
      </c>
      <c r="F125" s="127" t="s">
        <v>3028</v>
      </c>
      <c r="G125" s="82">
        <v>35855</v>
      </c>
      <c r="H125" s="50" t="s">
        <v>3029</v>
      </c>
      <c r="I125" s="83">
        <v>13129</v>
      </c>
      <c r="J125" s="84">
        <v>21551</v>
      </c>
      <c r="K125" s="50" t="s">
        <v>3030</v>
      </c>
      <c r="L125" s="50" t="s">
        <v>3031</v>
      </c>
      <c r="M125" s="85" t="s">
        <v>3032</v>
      </c>
      <c r="N125" s="86">
        <v>7</v>
      </c>
      <c r="O125" s="87">
        <v>7</v>
      </c>
      <c r="P125" s="87">
        <v>7</v>
      </c>
      <c r="Q125" s="87">
        <v>0</v>
      </c>
      <c r="R125" s="87">
        <v>0</v>
      </c>
      <c r="S125" s="133">
        <f>SUM(N125:R125)</f>
        <v>21</v>
      </c>
      <c r="T125" s="86">
        <v>156</v>
      </c>
      <c r="U125" s="87">
        <v>125</v>
      </c>
      <c r="V125" s="87">
        <v>158</v>
      </c>
      <c r="W125" s="87">
        <v>121</v>
      </c>
      <c r="X125" s="87">
        <v>157</v>
      </c>
      <c r="Y125" s="87">
        <v>126</v>
      </c>
      <c r="Z125" s="134">
        <f>T125+V125+X125</f>
        <v>471</v>
      </c>
      <c r="AA125" s="133">
        <f>U125+W125+Y125</f>
        <v>372</v>
      </c>
      <c r="AB125" s="86"/>
      <c r="AC125" s="87"/>
      <c r="AD125" s="87"/>
      <c r="AE125" s="88"/>
      <c r="AF125" s="89"/>
    </row>
    <row r="126" spans="1:32" s="81" customFormat="1" ht="17.100000000000001" customHeight="1">
      <c r="A126" s="1684" t="s">
        <v>408</v>
      </c>
      <c r="B126" s="1684"/>
      <c r="C126" s="208"/>
      <c r="D126" s="207">
        <f>COUNTA(D124:D125)</f>
        <v>2</v>
      </c>
      <c r="E126" s="208"/>
      <c r="F126" s="829"/>
      <c r="G126" s="209"/>
      <c r="H126" s="210"/>
      <c r="I126" s="211"/>
      <c r="J126" s="212"/>
      <c r="K126" s="210"/>
      <c r="L126" s="210"/>
      <c r="M126" s="213"/>
      <c r="N126" s="214">
        <f t="shared" ref="N126:AE126" si="72">SUM(N124:N125)</f>
        <v>15</v>
      </c>
      <c r="O126" s="215">
        <f t="shared" si="72"/>
        <v>15</v>
      </c>
      <c r="P126" s="215">
        <f t="shared" si="72"/>
        <v>15</v>
      </c>
      <c r="Q126" s="215">
        <f t="shared" si="72"/>
        <v>0</v>
      </c>
      <c r="R126" s="215">
        <f t="shared" si="72"/>
        <v>0</v>
      </c>
      <c r="S126" s="216">
        <f t="shared" si="72"/>
        <v>45</v>
      </c>
      <c r="T126" s="214">
        <f t="shared" si="72"/>
        <v>347</v>
      </c>
      <c r="U126" s="215">
        <f t="shared" si="72"/>
        <v>281</v>
      </c>
      <c r="V126" s="215">
        <f t="shared" si="72"/>
        <v>338</v>
      </c>
      <c r="W126" s="215">
        <f t="shared" si="72"/>
        <v>266</v>
      </c>
      <c r="X126" s="215">
        <f t="shared" si="72"/>
        <v>334</v>
      </c>
      <c r="Y126" s="215">
        <f t="shared" si="72"/>
        <v>256</v>
      </c>
      <c r="Z126" s="215">
        <f t="shared" si="72"/>
        <v>1019</v>
      </c>
      <c r="AA126" s="216">
        <f t="shared" si="72"/>
        <v>803</v>
      </c>
      <c r="AB126" s="214">
        <f t="shared" si="72"/>
        <v>0</v>
      </c>
      <c r="AC126" s="215">
        <f t="shared" si="72"/>
        <v>0</v>
      </c>
      <c r="AD126" s="215">
        <f t="shared" si="72"/>
        <v>0</v>
      </c>
      <c r="AE126" s="216">
        <f t="shared" si="72"/>
        <v>0</v>
      </c>
      <c r="AF126" s="89"/>
    </row>
    <row r="127" spans="1:32" s="81" customFormat="1" ht="17.100000000000001" customHeight="1">
      <c r="A127" s="1625" t="s">
        <v>426</v>
      </c>
      <c r="B127" s="1626"/>
      <c r="C127" s="1626"/>
      <c r="D127" s="1626"/>
      <c r="E127" s="179">
        <f>D123+D126</f>
        <v>11</v>
      </c>
      <c r="F127" s="830"/>
      <c r="G127" s="180"/>
      <c r="H127" s="181"/>
      <c r="I127" s="182"/>
      <c r="J127" s="183"/>
      <c r="K127" s="181"/>
      <c r="L127" s="181"/>
      <c r="M127" s="184"/>
      <c r="N127" s="185">
        <f t="shared" ref="N127:AE127" si="73">N123+N126</f>
        <v>102</v>
      </c>
      <c r="O127" s="186">
        <f t="shared" si="73"/>
        <v>89</v>
      </c>
      <c r="P127" s="186">
        <f t="shared" si="73"/>
        <v>92</v>
      </c>
      <c r="Q127" s="186">
        <f t="shared" si="73"/>
        <v>19</v>
      </c>
      <c r="R127" s="186">
        <f t="shared" si="73"/>
        <v>0</v>
      </c>
      <c r="S127" s="187">
        <f t="shared" si="73"/>
        <v>302</v>
      </c>
      <c r="T127" s="185">
        <f t="shared" si="73"/>
        <v>2704</v>
      </c>
      <c r="U127" s="186">
        <f t="shared" si="73"/>
        <v>1111</v>
      </c>
      <c r="V127" s="186">
        <f t="shared" si="73"/>
        <v>2440</v>
      </c>
      <c r="W127" s="186">
        <f t="shared" si="73"/>
        <v>1016</v>
      </c>
      <c r="X127" s="186">
        <f t="shared" si="73"/>
        <v>2459</v>
      </c>
      <c r="Y127" s="186">
        <f t="shared" si="73"/>
        <v>1022</v>
      </c>
      <c r="Z127" s="186">
        <f t="shared" si="73"/>
        <v>7603</v>
      </c>
      <c r="AA127" s="187">
        <f t="shared" si="73"/>
        <v>3149</v>
      </c>
      <c r="AB127" s="185">
        <f t="shared" si="73"/>
        <v>115</v>
      </c>
      <c r="AC127" s="186">
        <f t="shared" si="73"/>
        <v>29</v>
      </c>
      <c r="AD127" s="186">
        <f t="shared" si="73"/>
        <v>0</v>
      </c>
      <c r="AE127" s="187">
        <f t="shared" si="73"/>
        <v>0</v>
      </c>
      <c r="AF127" s="219"/>
    </row>
    <row r="128" spans="1:32" s="81" customFormat="1" ht="17.100000000000001" customHeight="1">
      <c r="A128" s="127" t="s">
        <v>138</v>
      </c>
      <c r="B128" s="127" t="s">
        <v>8</v>
      </c>
      <c r="C128" s="168" t="s">
        <v>8</v>
      </c>
      <c r="D128" s="127" t="s">
        <v>5</v>
      </c>
      <c r="E128" s="127" t="s">
        <v>24</v>
      </c>
      <c r="F128" s="127" t="s">
        <v>3033</v>
      </c>
      <c r="G128" s="82">
        <v>31472</v>
      </c>
      <c r="H128" s="50" t="s">
        <v>3034</v>
      </c>
      <c r="I128" s="83">
        <v>13225</v>
      </c>
      <c r="J128" s="84">
        <v>21539</v>
      </c>
      <c r="K128" s="50" t="s">
        <v>3035</v>
      </c>
      <c r="L128" s="50" t="s">
        <v>3035</v>
      </c>
      <c r="M128" s="85" t="s">
        <v>3036</v>
      </c>
      <c r="N128" s="86">
        <v>13</v>
      </c>
      <c r="O128" s="87">
        <v>12</v>
      </c>
      <c r="P128" s="87">
        <v>13</v>
      </c>
      <c r="Q128" s="87">
        <v>2</v>
      </c>
      <c r="R128" s="87">
        <v>0</v>
      </c>
      <c r="S128" s="133">
        <f>SUM(N128:R128)</f>
        <v>40</v>
      </c>
      <c r="T128" s="86">
        <f>U128</f>
        <v>364</v>
      </c>
      <c r="U128" s="87">
        <v>364</v>
      </c>
      <c r="V128" s="87">
        <f>W128</f>
        <v>370</v>
      </c>
      <c r="W128" s="87">
        <v>370</v>
      </c>
      <c r="X128" s="87">
        <f>Y128</f>
        <v>375</v>
      </c>
      <c r="Y128" s="87">
        <v>375</v>
      </c>
      <c r="Z128" s="134">
        <f>T128+V128+X128</f>
        <v>1109</v>
      </c>
      <c r="AA128" s="133">
        <f>U128+W128+Y128</f>
        <v>1109</v>
      </c>
      <c r="AB128" s="160">
        <v>12</v>
      </c>
      <c r="AC128" s="161">
        <v>12</v>
      </c>
      <c r="AD128" s="87">
        <v>0</v>
      </c>
      <c r="AE128" s="88">
        <v>0</v>
      </c>
      <c r="AF128" s="89"/>
    </row>
    <row r="129" spans="1:32" s="81" customFormat="1" ht="17.100000000000001" customHeight="1">
      <c r="A129" s="127" t="s">
        <v>438</v>
      </c>
      <c r="B129" s="127" t="s">
        <v>8</v>
      </c>
      <c r="C129" s="168" t="s">
        <v>8</v>
      </c>
      <c r="D129" s="127" t="s">
        <v>5</v>
      </c>
      <c r="E129" s="127" t="s">
        <v>24</v>
      </c>
      <c r="F129" s="127" t="s">
        <v>3037</v>
      </c>
      <c r="G129" s="82">
        <v>31474</v>
      </c>
      <c r="H129" s="50" t="s">
        <v>3038</v>
      </c>
      <c r="I129" s="83">
        <v>15789</v>
      </c>
      <c r="J129" s="84">
        <v>21521</v>
      </c>
      <c r="K129" s="50" t="s">
        <v>2067</v>
      </c>
      <c r="L129" s="50" t="s">
        <v>3039</v>
      </c>
      <c r="M129" s="85" t="s">
        <v>2068</v>
      </c>
      <c r="N129" s="86">
        <v>12</v>
      </c>
      <c r="O129" s="87">
        <v>11</v>
      </c>
      <c r="P129" s="87">
        <v>11</v>
      </c>
      <c r="Q129" s="87">
        <v>1</v>
      </c>
      <c r="R129" s="87">
        <v>0</v>
      </c>
      <c r="S129" s="133">
        <f>SUM(N129:R129)</f>
        <v>35</v>
      </c>
      <c r="T129" s="86">
        <v>310</v>
      </c>
      <c r="U129" s="87">
        <v>310</v>
      </c>
      <c r="V129" s="87">
        <v>314</v>
      </c>
      <c r="W129" s="87">
        <v>314</v>
      </c>
      <c r="X129" s="87">
        <v>298</v>
      </c>
      <c r="Y129" s="87">
        <v>298</v>
      </c>
      <c r="Z129" s="134">
        <f>T129+V129+X129</f>
        <v>922</v>
      </c>
      <c r="AA129" s="133">
        <f>U129+W129+Y129</f>
        <v>922</v>
      </c>
      <c r="AB129" s="160">
        <v>9</v>
      </c>
      <c r="AC129" s="161">
        <v>9</v>
      </c>
      <c r="AD129" s="87">
        <v>0</v>
      </c>
      <c r="AE129" s="88">
        <v>0</v>
      </c>
      <c r="AF129" s="89"/>
    </row>
    <row r="130" spans="1:32" s="81" customFormat="1" ht="17.100000000000001" customHeight="1">
      <c r="A130" s="127" t="s">
        <v>138</v>
      </c>
      <c r="B130" s="127" t="s">
        <v>8</v>
      </c>
      <c r="C130" s="168" t="s">
        <v>8</v>
      </c>
      <c r="D130" s="127" t="s">
        <v>5</v>
      </c>
      <c r="E130" s="127" t="s">
        <v>24</v>
      </c>
      <c r="F130" s="127" t="s">
        <v>3040</v>
      </c>
      <c r="G130" s="82">
        <v>26726</v>
      </c>
      <c r="H130" s="50" t="s">
        <v>3041</v>
      </c>
      <c r="I130" s="83">
        <v>20771</v>
      </c>
      <c r="J130" s="84">
        <v>21509</v>
      </c>
      <c r="K130" s="50" t="s">
        <v>398</v>
      </c>
      <c r="L130" s="50" t="s">
        <v>399</v>
      </c>
      <c r="M130" s="85" t="s">
        <v>400</v>
      </c>
      <c r="N130" s="86">
        <v>11</v>
      </c>
      <c r="O130" s="87">
        <v>11</v>
      </c>
      <c r="P130" s="87">
        <v>11</v>
      </c>
      <c r="Q130" s="87">
        <v>1</v>
      </c>
      <c r="R130" s="87"/>
      <c r="S130" s="133">
        <v>34</v>
      </c>
      <c r="T130" s="86">
        <v>282</v>
      </c>
      <c r="U130" s="87">
        <v>282</v>
      </c>
      <c r="V130" s="87">
        <v>286</v>
      </c>
      <c r="W130" s="87">
        <v>286</v>
      </c>
      <c r="X130" s="87">
        <v>294</v>
      </c>
      <c r="Y130" s="87">
        <v>294</v>
      </c>
      <c r="Z130" s="134">
        <v>862</v>
      </c>
      <c r="AA130" s="133">
        <v>862</v>
      </c>
      <c r="AB130" s="86">
        <v>8</v>
      </c>
      <c r="AC130" s="87">
        <v>8</v>
      </c>
      <c r="AD130" s="87"/>
      <c r="AE130" s="88"/>
      <c r="AF130" s="89"/>
    </row>
    <row r="131" spans="1:32" s="81" customFormat="1" ht="17.100000000000001" customHeight="1">
      <c r="A131" s="127" t="s">
        <v>138</v>
      </c>
      <c r="B131" s="127" t="s">
        <v>8</v>
      </c>
      <c r="C131" s="168" t="s">
        <v>8</v>
      </c>
      <c r="D131" s="127" t="s">
        <v>5</v>
      </c>
      <c r="E131" s="127" t="s">
        <v>144</v>
      </c>
      <c r="F131" s="127" t="s">
        <v>353</v>
      </c>
      <c r="G131" s="82">
        <v>30250</v>
      </c>
      <c r="H131" s="50" t="s">
        <v>3042</v>
      </c>
      <c r="I131" s="83">
        <v>10657</v>
      </c>
      <c r="J131" s="84">
        <v>21545</v>
      </c>
      <c r="K131" s="50" t="s">
        <v>341</v>
      </c>
      <c r="L131" s="50" t="s">
        <v>341</v>
      </c>
      <c r="M131" s="85" t="s">
        <v>342</v>
      </c>
      <c r="N131" s="86">
        <v>10</v>
      </c>
      <c r="O131" s="87">
        <v>10</v>
      </c>
      <c r="P131" s="87">
        <v>10</v>
      </c>
      <c r="Q131" s="87">
        <v>1</v>
      </c>
      <c r="R131" s="87"/>
      <c r="S131" s="133">
        <f>SUM(N131:R131)</f>
        <v>31</v>
      </c>
      <c r="T131" s="86">
        <v>249</v>
      </c>
      <c r="U131" s="87"/>
      <c r="V131" s="87">
        <v>253</v>
      </c>
      <c r="W131" s="87"/>
      <c r="X131" s="87">
        <v>255</v>
      </c>
      <c r="Y131" s="87"/>
      <c r="Z131" s="134">
        <f>T131+V131+X131</f>
        <v>757</v>
      </c>
      <c r="AA131" s="133">
        <f>U131+W131+Y131</f>
        <v>0</v>
      </c>
      <c r="AB131" s="86">
        <v>10</v>
      </c>
      <c r="AC131" s="87"/>
      <c r="AD131" s="87"/>
      <c r="AE131" s="88"/>
      <c r="AF131" s="89"/>
    </row>
    <row r="132" spans="1:32" s="81" customFormat="1" ht="17.100000000000001" customHeight="1">
      <c r="A132" s="1684" t="s">
        <v>406</v>
      </c>
      <c r="B132" s="1684"/>
      <c r="C132" s="208"/>
      <c r="D132" s="207">
        <f>COUNTA(D128:D131)</f>
        <v>4</v>
      </c>
      <c r="E132" s="208"/>
      <c r="F132" s="829"/>
      <c r="G132" s="209"/>
      <c r="H132" s="210"/>
      <c r="I132" s="211"/>
      <c r="J132" s="212"/>
      <c r="K132" s="210"/>
      <c r="L132" s="210"/>
      <c r="M132" s="213"/>
      <c r="N132" s="214">
        <f t="shared" ref="N132:AE132" si="74">SUM(N128:N131)</f>
        <v>46</v>
      </c>
      <c r="O132" s="215">
        <f t="shared" si="74"/>
        <v>44</v>
      </c>
      <c r="P132" s="215">
        <f t="shared" si="74"/>
        <v>45</v>
      </c>
      <c r="Q132" s="215">
        <f t="shared" si="74"/>
        <v>5</v>
      </c>
      <c r="R132" s="215">
        <f t="shared" si="74"/>
        <v>0</v>
      </c>
      <c r="S132" s="216">
        <f t="shared" si="74"/>
        <v>140</v>
      </c>
      <c r="T132" s="214">
        <f t="shared" si="74"/>
        <v>1205</v>
      </c>
      <c r="U132" s="215">
        <f t="shared" si="74"/>
        <v>956</v>
      </c>
      <c r="V132" s="215">
        <f t="shared" si="74"/>
        <v>1223</v>
      </c>
      <c r="W132" s="215">
        <f t="shared" si="74"/>
        <v>970</v>
      </c>
      <c r="X132" s="215">
        <f t="shared" si="74"/>
        <v>1222</v>
      </c>
      <c r="Y132" s="215">
        <f t="shared" si="74"/>
        <v>967</v>
      </c>
      <c r="Z132" s="215">
        <f t="shared" si="74"/>
        <v>3650</v>
      </c>
      <c r="AA132" s="216">
        <f t="shared" si="74"/>
        <v>2893</v>
      </c>
      <c r="AB132" s="214">
        <f t="shared" si="74"/>
        <v>39</v>
      </c>
      <c r="AC132" s="215">
        <f t="shared" si="74"/>
        <v>29</v>
      </c>
      <c r="AD132" s="215">
        <f t="shared" si="74"/>
        <v>0</v>
      </c>
      <c r="AE132" s="216">
        <f t="shared" si="74"/>
        <v>0</v>
      </c>
      <c r="AF132" s="89"/>
    </row>
    <row r="133" spans="1:32" s="81" customFormat="1" ht="17.100000000000001" customHeight="1">
      <c r="A133" s="127" t="s">
        <v>139</v>
      </c>
      <c r="B133" s="127" t="s">
        <v>8</v>
      </c>
      <c r="C133" s="168" t="s">
        <v>8</v>
      </c>
      <c r="D133" s="127" t="s">
        <v>5</v>
      </c>
      <c r="E133" s="127" t="s">
        <v>24</v>
      </c>
      <c r="F133" s="127" t="s">
        <v>3043</v>
      </c>
      <c r="G133" s="82">
        <v>27089</v>
      </c>
      <c r="H133" s="50" t="s">
        <v>3044</v>
      </c>
      <c r="I133" s="83">
        <v>12040</v>
      </c>
      <c r="J133" s="84">
        <v>21640</v>
      </c>
      <c r="K133" s="50" t="s">
        <v>3045</v>
      </c>
      <c r="L133" s="50" t="s">
        <v>3045</v>
      </c>
      <c r="M133" s="85" t="s">
        <v>3046</v>
      </c>
      <c r="N133" s="90">
        <v>9</v>
      </c>
      <c r="O133" s="91">
        <v>9</v>
      </c>
      <c r="P133" s="91">
        <v>9</v>
      </c>
      <c r="Q133" s="91"/>
      <c r="R133" s="91"/>
      <c r="S133" s="133">
        <f t="shared" ref="S133" si="75">SUM(N133:R133)</f>
        <v>27</v>
      </c>
      <c r="T133" s="86">
        <f t="shared" ref="T133:T134" si="76">U133</f>
        <v>178</v>
      </c>
      <c r="U133" s="91">
        <v>178</v>
      </c>
      <c r="V133" s="87">
        <f t="shared" ref="V133:V134" si="77">W133</f>
        <v>168</v>
      </c>
      <c r="W133" s="91">
        <v>168</v>
      </c>
      <c r="X133" s="87">
        <f t="shared" ref="X133:X134" si="78">Y133</f>
        <v>159</v>
      </c>
      <c r="Y133" s="91">
        <v>159</v>
      </c>
      <c r="Z133" s="134">
        <f t="shared" ref="Z133:AA133" si="79">T133+V133+X133</f>
        <v>505</v>
      </c>
      <c r="AA133" s="133">
        <f t="shared" si="79"/>
        <v>505</v>
      </c>
      <c r="AB133" s="90"/>
      <c r="AC133" s="91"/>
      <c r="AD133" s="91"/>
      <c r="AE133" s="92"/>
      <c r="AF133" s="93"/>
    </row>
    <row r="134" spans="1:32" s="81" customFormat="1" ht="17.100000000000001" customHeight="1">
      <c r="A134" s="1684" t="s">
        <v>407</v>
      </c>
      <c r="B134" s="1684"/>
      <c r="C134" s="208"/>
      <c r="D134" s="207">
        <f>COUNTA(D133:D133)</f>
        <v>1</v>
      </c>
      <c r="E134" s="208"/>
      <c r="F134" s="829"/>
      <c r="G134" s="209"/>
      <c r="H134" s="210"/>
      <c r="I134" s="211"/>
      <c r="J134" s="212"/>
      <c r="K134" s="210"/>
      <c r="L134" s="210"/>
      <c r="M134" s="213"/>
      <c r="N134" s="214">
        <f t="shared" ref="N134:AE134" si="80">N133</f>
        <v>9</v>
      </c>
      <c r="O134" s="215">
        <f t="shared" si="80"/>
        <v>9</v>
      </c>
      <c r="P134" s="215">
        <f t="shared" si="80"/>
        <v>9</v>
      </c>
      <c r="Q134" s="215">
        <f t="shared" si="80"/>
        <v>0</v>
      </c>
      <c r="R134" s="215">
        <f t="shared" si="80"/>
        <v>0</v>
      </c>
      <c r="S134" s="216">
        <f t="shared" si="80"/>
        <v>27</v>
      </c>
      <c r="T134" s="86">
        <f t="shared" si="76"/>
        <v>178</v>
      </c>
      <c r="U134" s="215">
        <f t="shared" si="80"/>
        <v>178</v>
      </c>
      <c r="V134" s="87">
        <f t="shared" si="77"/>
        <v>168</v>
      </c>
      <c r="W134" s="215">
        <f t="shared" si="80"/>
        <v>168</v>
      </c>
      <c r="X134" s="87">
        <f t="shared" si="78"/>
        <v>159</v>
      </c>
      <c r="Y134" s="215">
        <f t="shared" si="80"/>
        <v>159</v>
      </c>
      <c r="Z134" s="215">
        <f t="shared" si="80"/>
        <v>505</v>
      </c>
      <c r="AA134" s="216">
        <f t="shared" si="80"/>
        <v>505</v>
      </c>
      <c r="AB134" s="214">
        <f t="shared" si="80"/>
        <v>0</v>
      </c>
      <c r="AC134" s="215">
        <f t="shared" si="80"/>
        <v>0</v>
      </c>
      <c r="AD134" s="215">
        <f t="shared" si="80"/>
        <v>0</v>
      </c>
      <c r="AE134" s="216">
        <f t="shared" si="80"/>
        <v>0</v>
      </c>
      <c r="AF134" s="89"/>
    </row>
    <row r="135" spans="1:32" s="81" customFormat="1" ht="17.100000000000001" customHeight="1">
      <c r="A135" s="1681" t="s">
        <v>427</v>
      </c>
      <c r="B135" s="1682"/>
      <c r="C135" s="1682"/>
      <c r="D135" s="1683"/>
      <c r="E135" s="188">
        <f>D132+D134</f>
        <v>5</v>
      </c>
      <c r="F135" s="834"/>
      <c r="G135" s="189"/>
      <c r="H135" s="190"/>
      <c r="I135" s="191"/>
      <c r="J135" s="192"/>
      <c r="K135" s="190"/>
      <c r="L135" s="190"/>
      <c r="M135" s="193"/>
      <c r="N135" s="194">
        <f t="shared" ref="N135:AE135" si="81">N132+N134</f>
        <v>55</v>
      </c>
      <c r="O135" s="195">
        <f t="shared" si="81"/>
        <v>53</v>
      </c>
      <c r="P135" s="195">
        <f t="shared" si="81"/>
        <v>54</v>
      </c>
      <c r="Q135" s="195">
        <f t="shared" si="81"/>
        <v>5</v>
      </c>
      <c r="R135" s="195">
        <f t="shared" si="81"/>
        <v>0</v>
      </c>
      <c r="S135" s="196">
        <f t="shared" si="81"/>
        <v>167</v>
      </c>
      <c r="T135" s="194">
        <f t="shared" si="81"/>
        <v>1383</v>
      </c>
      <c r="U135" s="195">
        <f t="shared" si="81"/>
        <v>1134</v>
      </c>
      <c r="V135" s="195">
        <f t="shared" si="81"/>
        <v>1391</v>
      </c>
      <c r="W135" s="195">
        <f t="shared" si="81"/>
        <v>1138</v>
      </c>
      <c r="X135" s="195">
        <f t="shared" si="81"/>
        <v>1381</v>
      </c>
      <c r="Y135" s="195">
        <f t="shared" si="81"/>
        <v>1126</v>
      </c>
      <c r="Z135" s="195">
        <f t="shared" si="81"/>
        <v>4155</v>
      </c>
      <c r="AA135" s="196">
        <f t="shared" si="81"/>
        <v>3398</v>
      </c>
      <c r="AB135" s="194">
        <f t="shared" si="81"/>
        <v>39</v>
      </c>
      <c r="AC135" s="195">
        <f t="shared" si="81"/>
        <v>29</v>
      </c>
      <c r="AD135" s="195">
        <f t="shared" si="81"/>
        <v>0</v>
      </c>
      <c r="AE135" s="196">
        <f t="shared" si="81"/>
        <v>0</v>
      </c>
      <c r="AF135" s="220"/>
    </row>
    <row r="136" spans="1:32" s="81" customFormat="1" ht="17.100000000000001" customHeight="1">
      <c r="A136" s="1672" t="s">
        <v>428</v>
      </c>
      <c r="B136" s="1672"/>
      <c r="C136" s="1672"/>
      <c r="D136" s="1672"/>
      <c r="E136" s="1672"/>
      <c r="F136" s="835">
        <f>E127+E135</f>
        <v>16</v>
      </c>
      <c r="G136" s="221"/>
      <c r="H136" s="222"/>
      <c r="I136" s="223"/>
      <c r="J136" s="224"/>
      <c r="K136" s="222"/>
      <c r="L136" s="222"/>
      <c r="M136" s="225"/>
      <c r="N136" s="226">
        <f t="shared" ref="N136:AE136" si="82">N127+N135</f>
        <v>157</v>
      </c>
      <c r="O136" s="227">
        <f t="shared" si="82"/>
        <v>142</v>
      </c>
      <c r="P136" s="227">
        <f t="shared" si="82"/>
        <v>146</v>
      </c>
      <c r="Q136" s="227">
        <f t="shared" si="82"/>
        <v>24</v>
      </c>
      <c r="R136" s="227">
        <f t="shared" si="82"/>
        <v>0</v>
      </c>
      <c r="S136" s="228">
        <f t="shared" si="82"/>
        <v>469</v>
      </c>
      <c r="T136" s="226">
        <f t="shared" si="82"/>
        <v>4087</v>
      </c>
      <c r="U136" s="227">
        <f t="shared" si="82"/>
        <v>2245</v>
      </c>
      <c r="V136" s="227">
        <f t="shared" si="82"/>
        <v>3831</v>
      </c>
      <c r="W136" s="227">
        <f t="shared" si="82"/>
        <v>2154</v>
      </c>
      <c r="X136" s="227">
        <f t="shared" si="82"/>
        <v>3840</v>
      </c>
      <c r="Y136" s="227">
        <f t="shared" si="82"/>
        <v>2148</v>
      </c>
      <c r="Z136" s="227">
        <f t="shared" si="82"/>
        <v>11758</v>
      </c>
      <c r="AA136" s="228">
        <f t="shared" si="82"/>
        <v>6547</v>
      </c>
      <c r="AB136" s="226">
        <f t="shared" si="82"/>
        <v>154</v>
      </c>
      <c r="AC136" s="227">
        <f t="shared" si="82"/>
        <v>58</v>
      </c>
      <c r="AD136" s="227">
        <f t="shared" si="82"/>
        <v>0</v>
      </c>
      <c r="AE136" s="228">
        <f t="shared" si="82"/>
        <v>0</v>
      </c>
      <c r="AF136" s="229"/>
    </row>
    <row r="137" spans="1:32" s="81" customFormat="1" ht="17.100000000000001" customHeight="1">
      <c r="A137" s="127" t="s">
        <v>138</v>
      </c>
      <c r="B137" s="127" t="s">
        <v>9</v>
      </c>
      <c r="C137" s="168" t="s">
        <v>9</v>
      </c>
      <c r="D137" s="127" t="s">
        <v>4</v>
      </c>
      <c r="E137" s="127" t="s">
        <v>144</v>
      </c>
      <c r="F137" s="127" t="s">
        <v>3047</v>
      </c>
      <c r="G137" s="82">
        <v>45717</v>
      </c>
      <c r="H137" s="50" t="s">
        <v>3048</v>
      </c>
      <c r="I137" s="83">
        <v>15001</v>
      </c>
      <c r="J137" s="84">
        <v>21994</v>
      </c>
      <c r="K137" s="50" t="s">
        <v>2040</v>
      </c>
      <c r="L137" s="50" t="s">
        <v>2041</v>
      </c>
      <c r="M137" s="85" t="s">
        <v>2042</v>
      </c>
      <c r="N137" s="86">
        <v>12</v>
      </c>
      <c r="O137" s="87">
        <v>10</v>
      </c>
      <c r="P137" s="87">
        <v>10</v>
      </c>
      <c r="Q137" s="87">
        <v>2</v>
      </c>
      <c r="R137" s="87">
        <v>0</v>
      </c>
      <c r="S137" s="133">
        <f t="shared" ref="S137:S143" si="83">SUM(N137:R137)</f>
        <v>34</v>
      </c>
      <c r="T137" s="86">
        <v>390</v>
      </c>
      <c r="U137" s="87"/>
      <c r="V137" s="87">
        <v>318</v>
      </c>
      <c r="W137" s="87"/>
      <c r="X137" s="87">
        <v>299</v>
      </c>
      <c r="Y137" s="87"/>
      <c r="Z137" s="134">
        <f t="shared" ref="Z137:AA139" si="84">T137+V137+X137</f>
        <v>1007</v>
      </c>
      <c r="AA137" s="133">
        <f t="shared" si="84"/>
        <v>0</v>
      </c>
      <c r="AB137" s="86">
        <v>14</v>
      </c>
      <c r="AC137" s="87"/>
      <c r="AD137" s="87"/>
      <c r="AE137" s="88"/>
      <c r="AF137" s="89"/>
    </row>
    <row r="138" spans="1:32" s="81" customFormat="1" ht="17.100000000000001" customHeight="1">
      <c r="A138" s="127" t="s">
        <v>138</v>
      </c>
      <c r="B138" s="127" t="s">
        <v>9</v>
      </c>
      <c r="C138" s="168" t="s">
        <v>9</v>
      </c>
      <c r="D138" s="127" t="s">
        <v>4</v>
      </c>
      <c r="E138" s="127" t="s">
        <v>144</v>
      </c>
      <c r="F138" s="127" t="s">
        <v>3049</v>
      </c>
      <c r="G138" s="82">
        <v>34761</v>
      </c>
      <c r="H138" s="50" t="s">
        <v>3050</v>
      </c>
      <c r="I138" s="83" t="s">
        <v>3051</v>
      </c>
      <c r="J138" s="84">
        <v>21930</v>
      </c>
      <c r="K138" s="50" t="s">
        <v>3052</v>
      </c>
      <c r="L138" s="50" t="s">
        <v>3052</v>
      </c>
      <c r="M138" s="85" t="s">
        <v>3053</v>
      </c>
      <c r="N138" s="86">
        <v>11</v>
      </c>
      <c r="O138" s="87">
        <v>11</v>
      </c>
      <c r="P138" s="87">
        <v>11</v>
      </c>
      <c r="Q138" s="87">
        <v>2</v>
      </c>
      <c r="R138" s="87"/>
      <c r="S138" s="133">
        <f t="shared" si="83"/>
        <v>35</v>
      </c>
      <c r="T138" s="86">
        <v>355</v>
      </c>
      <c r="U138" s="87"/>
      <c r="V138" s="87">
        <v>354</v>
      </c>
      <c r="W138" s="87"/>
      <c r="X138" s="87">
        <v>332</v>
      </c>
      <c r="Y138" s="87"/>
      <c r="Z138" s="134">
        <f t="shared" si="84"/>
        <v>1041</v>
      </c>
      <c r="AA138" s="133">
        <f t="shared" si="84"/>
        <v>0</v>
      </c>
      <c r="AB138" s="86">
        <v>16</v>
      </c>
      <c r="AC138" s="87"/>
      <c r="AD138" s="87"/>
      <c r="AE138" s="88"/>
      <c r="AF138" s="89"/>
    </row>
    <row r="139" spans="1:32" s="81" customFormat="1" ht="17.100000000000001" customHeight="1">
      <c r="A139" s="127" t="s">
        <v>138</v>
      </c>
      <c r="B139" s="127" t="s">
        <v>9</v>
      </c>
      <c r="C139" s="168" t="s">
        <v>9</v>
      </c>
      <c r="D139" s="127" t="s">
        <v>4</v>
      </c>
      <c r="E139" s="127" t="s">
        <v>24</v>
      </c>
      <c r="F139" s="127" t="s">
        <v>3054</v>
      </c>
      <c r="G139" s="82">
        <v>34761</v>
      </c>
      <c r="H139" s="50" t="s">
        <v>3055</v>
      </c>
      <c r="I139" s="83">
        <v>13529</v>
      </c>
      <c r="J139" s="84">
        <v>21966</v>
      </c>
      <c r="K139" s="50" t="s">
        <v>3056</v>
      </c>
      <c r="L139" s="50" t="s">
        <v>3056</v>
      </c>
      <c r="M139" s="85" t="s">
        <v>3057</v>
      </c>
      <c r="N139" s="86">
        <v>12</v>
      </c>
      <c r="O139" s="87">
        <v>10</v>
      </c>
      <c r="P139" s="87">
        <v>11</v>
      </c>
      <c r="Q139" s="87">
        <v>1</v>
      </c>
      <c r="R139" s="87">
        <v>0</v>
      </c>
      <c r="S139" s="133">
        <f t="shared" si="83"/>
        <v>34</v>
      </c>
      <c r="T139" s="86">
        <v>346</v>
      </c>
      <c r="U139" s="87">
        <v>346</v>
      </c>
      <c r="V139" s="87">
        <v>287</v>
      </c>
      <c r="W139" s="87">
        <v>287</v>
      </c>
      <c r="X139" s="87">
        <v>313</v>
      </c>
      <c r="Y139" s="87">
        <v>313</v>
      </c>
      <c r="Z139" s="134">
        <f t="shared" si="84"/>
        <v>946</v>
      </c>
      <c r="AA139" s="133">
        <f t="shared" si="84"/>
        <v>946</v>
      </c>
      <c r="AB139" s="160">
        <v>7</v>
      </c>
      <c r="AC139" s="161">
        <v>7</v>
      </c>
      <c r="AD139" s="87">
        <v>0</v>
      </c>
      <c r="AE139" s="88">
        <v>0</v>
      </c>
      <c r="AF139" s="89"/>
    </row>
    <row r="140" spans="1:32" s="81" customFormat="1" ht="17.100000000000001" customHeight="1">
      <c r="A140" s="127" t="s">
        <v>138</v>
      </c>
      <c r="B140" s="127" t="s">
        <v>9</v>
      </c>
      <c r="C140" s="168" t="s">
        <v>9</v>
      </c>
      <c r="D140" s="127" t="s">
        <v>4</v>
      </c>
      <c r="E140" s="127" t="s">
        <v>118</v>
      </c>
      <c r="F140" s="127" t="s">
        <v>3058</v>
      </c>
      <c r="G140" s="82">
        <v>38047</v>
      </c>
      <c r="H140" s="50" t="s">
        <v>3059</v>
      </c>
      <c r="I140" s="83">
        <v>12000</v>
      </c>
      <c r="J140" s="84">
        <v>21900</v>
      </c>
      <c r="K140" s="50" t="s">
        <v>345</v>
      </c>
      <c r="L140" s="50" t="s">
        <v>346</v>
      </c>
      <c r="M140" s="85" t="s">
        <v>347</v>
      </c>
      <c r="N140" s="86">
        <v>11</v>
      </c>
      <c r="O140" s="87">
        <v>10</v>
      </c>
      <c r="P140" s="87">
        <v>11</v>
      </c>
      <c r="Q140" s="87"/>
      <c r="R140" s="87"/>
      <c r="S140" s="133">
        <f t="shared" si="83"/>
        <v>32</v>
      </c>
      <c r="T140" s="86">
        <f>U140</f>
        <v>337</v>
      </c>
      <c r="U140" s="87">
        <v>337</v>
      </c>
      <c r="V140" s="87">
        <f>W140</f>
        <v>258</v>
      </c>
      <c r="W140" s="87">
        <v>258</v>
      </c>
      <c r="X140" s="87">
        <f>Y140</f>
        <v>270</v>
      </c>
      <c r="Y140" s="87">
        <v>270</v>
      </c>
      <c r="Z140" s="134">
        <f t="shared" ref="Z140:AA143" si="85">T140+V140+X140</f>
        <v>865</v>
      </c>
      <c r="AA140" s="133">
        <f t="shared" si="85"/>
        <v>865</v>
      </c>
      <c r="AB140" s="86"/>
      <c r="AC140" s="87"/>
      <c r="AD140" s="87"/>
      <c r="AE140" s="88"/>
      <c r="AF140" s="89"/>
    </row>
    <row r="141" spans="1:32" s="81" customFormat="1" ht="17.100000000000001" customHeight="1">
      <c r="A141" s="127" t="s">
        <v>138</v>
      </c>
      <c r="B141" s="127" t="s">
        <v>9</v>
      </c>
      <c r="C141" s="168" t="s">
        <v>9</v>
      </c>
      <c r="D141" s="127" t="s">
        <v>4</v>
      </c>
      <c r="E141" s="127" t="s">
        <v>24</v>
      </c>
      <c r="F141" s="127" t="s">
        <v>3060</v>
      </c>
      <c r="G141" s="82">
        <v>3019</v>
      </c>
      <c r="H141" s="50" t="s">
        <v>3061</v>
      </c>
      <c r="I141" s="83">
        <v>15084</v>
      </c>
      <c r="J141" s="84">
        <v>21936</v>
      </c>
      <c r="K141" s="50" t="s">
        <v>3062</v>
      </c>
      <c r="L141" s="50" t="s">
        <v>3063</v>
      </c>
      <c r="M141" s="85" t="s">
        <v>3064</v>
      </c>
      <c r="N141" s="86">
        <v>12</v>
      </c>
      <c r="O141" s="87">
        <v>10</v>
      </c>
      <c r="P141" s="87">
        <v>11</v>
      </c>
      <c r="Q141" s="87">
        <v>1</v>
      </c>
      <c r="R141" s="87">
        <v>0</v>
      </c>
      <c r="S141" s="133">
        <f t="shared" si="83"/>
        <v>34</v>
      </c>
      <c r="T141" s="86">
        <v>305</v>
      </c>
      <c r="U141" s="87">
        <v>305</v>
      </c>
      <c r="V141" s="87">
        <v>247</v>
      </c>
      <c r="W141" s="87">
        <v>247</v>
      </c>
      <c r="X141" s="87">
        <v>247</v>
      </c>
      <c r="Y141" s="87">
        <v>247</v>
      </c>
      <c r="Z141" s="134">
        <f t="shared" si="85"/>
        <v>799</v>
      </c>
      <c r="AA141" s="133">
        <f t="shared" si="85"/>
        <v>799</v>
      </c>
      <c r="AB141" s="86">
        <v>7</v>
      </c>
      <c r="AC141" s="87">
        <v>7</v>
      </c>
      <c r="AD141" s="87">
        <v>0</v>
      </c>
      <c r="AE141" s="88">
        <v>0</v>
      </c>
      <c r="AF141" s="89"/>
    </row>
    <row r="142" spans="1:32" s="81" customFormat="1" ht="17.100000000000001" customHeight="1">
      <c r="A142" s="127" t="s">
        <v>138</v>
      </c>
      <c r="B142" s="127" t="s">
        <v>9</v>
      </c>
      <c r="C142" s="168" t="s">
        <v>9</v>
      </c>
      <c r="D142" s="127" t="s">
        <v>4</v>
      </c>
      <c r="E142" s="127" t="s">
        <v>144</v>
      </c>
      <c r="F142" s="127" t="s">
        <v>3065</v>
      </c>
      <c r="G142" s="82">
        <v>41338</v>
      </c>
      <c r="H142" s="50" t="s">
        <v>3066</v>
      </c>
      <c r="I142" s="1355">
        <v>11999</v>
      </c>
      <c r="J142" s="84">
        <v>22001</v>
      </c>
      <c r="K142" s="50" t="s">
        <v>371</v>
      </c>
      <c r="L142" s="50" t="s">
        <v>372</v>
      </c>
      <c r="M142" s="85" t="s">
        <v>373</v>
      </c>
      <c r="N142" s="86">
        <v>11</v>
      </c>
      <c r="O142" s="87">
        <v>9</v>
      </c>
      <c r="P142" s="87">
        <v>9</v>
      </c>
      <c r="Q142" s="87">
        <v>2</v>
      </c>
      <c r="R142" s="87">
        <v>0</v>
      </c>
      <c r="S142" s="133">
        <f t="shared" si="83"/>
        <v>31</v>
      </c>
      <c r="T142" s="86">
        <v>360</v>
      </c>
      <c r="U142" s="87"/>
      <c r="V142" s="87">
        <v>278</v>
      </c>
      <c r="W142" s="87"/>
      <c r="X142" s="87">
        <v>272</v>
      </c>
      <c r="Y142" s="87"/>
      <c r="Z142" s="134">
        <f t="shared" si="85"/>
        <v>910</v>
      </c>
      <c r="AA142" s="133">
        <f t="shared" si="85"/>
        <v>0</v>
      </c>
      <c r="AB142" s="160">
        <v>14</v>
      </c>
      <c r="AC142" s="161"/>
      <c r="AD142" s="87"/>
      <c r="AE142" s="88"/>
      <c r="AF142" s="89"/>
    </row>
    <row r="143" spans="1:32" s="81" customFormat="1" ht="17.100000000000001" customHeight="1">
      <c r="A143" s="127" t="s">
        <v>138</v>
      </c>
      <c r="B143" s="127" t="s">
        <v>9</v>
      </c>
      <c r="C143" s="168" t="s">
        <v>9</v>
      </c>
      <c r="D143" s="127" t="s">
        <v>4</v>
      </c>
      <c r="E143" s="127" t="s">
        <v>24</v>
      </c>
      <c r="F143" s="127" t="s">
        <v>3067</v>
      </c>
      <c r="G143" s="842">
        <v>40238</v>
      </c>
      <c r="H143" s="50" t="s">
        <v>3068</v>
      </c>
      <c r="I143" s="1356">
        <v>15001.1</v>
      </c>
      <c r="J143" s="84">
        <v>22000</v>
      </c>
      <c r="K143" s="50" t="s">
        <v>3069</v>
      </c>
      <c r="L143" s="50" t="s">
        <v>3070</v>
      </c>
      <c r="M143" s="85" t="s">
        <v>3071</v>
      </c>
      <c r="N143" s="86">
        <v>10</v>
      </c>
      <c r="O143" s="87">
        <v>10</v>
      </c>
      <c r="P143" s="87">
        <v>10</v>
      </c>
      <c r="Q143" s="87">
        <v>1</v>
      </c>
      <c r="R143" s="87"/>
      <c r="S143" s="133">
        <f t="shared" si="83"/>
        <v>31</v>
      </c>
      <c r="T143" s="86">
        <f>U143</f>
        <v>316</v>
      </c>
      <c r="U143" s="87">
        <v>316</v>
      </c>
      <c r="V143" s="87">
        <f>W143</f>
        <v>311</v>
      </c>
      <c r="W143" s="87">
        <v>311</v>
      </c>
      <c r="X143" s="87">
        <f>Y143</f>
        <v>310</v>
      </c>
      <c r="Y143" s="87">
        <v>310</v>
      </c>
      <c r="Z143" s="134">
        <f t="shared" si="85"/>
        <v>937</v>
      </c>
      <c r="AA143" s="133">
        <f t="shared" si="85"/>
        <v>937</v>
      </c>
      <c r="AB143" s="86">
        <v>3</v>
      </c>
      <c r="AC143" s="87">
        <v>3</v>
      </c>
      <c r="AD143" s="87"/>
      <c r="AE143" s="88"/>
      <c r="AF143" s="89"/>
    </row>
    <row r="144" spans="1:32" s="81" customFormat="1" ht="17.100000000000001" customHeight="1">
      <c r="A144" s="1684" t="s">
        <v>406</v>
      </c>
      <c r="B144" s="1684"/>
      <c r="C144" s="208"/>
      <c r="D144" s="207">
        <f>COUNTA(D137:D143)</f>
        <v>7</v>
      </c>
      <c r="E144" s="208"/>
      <c r="F144" s="829"/>
      <c r="G144" s="209"/>
      <c r="H144" s="210"/>
      <c r="I144" s="211"/>
      <c r="J144" s="212"/>
      <c r="K144" s="210"/>
      <c r="L144" s="210"/>
      <c r="M144" s="213"/>
      <c r="N144" s="214">
        <f t="shared" ref="N144:AE144" si="86">SUM(N137:N143)</f>
        <v>79</v>
      </c>
      <c r="O144" s="215">
        <f t="shared" si="86"/>
        <v>70</v>
      </c>
      <c r="P144" s="215">
        <f t="shared" si="86"/>
        <v>73</v>
      </c>
      <c r="Q144" s="215">
        <f t="shared" si="86"/>
        <v>9</v>
      </c>
      <c r="R144" s="215">
        <f t="shared" si="86"/>
        <v>0</v>
      </c>
      <c r="S144" s="216">
        <f t="shared" si="86"/>
        <v>231</v>
      </c>
      <c r="T144" s="214">
        <f t="shared" si="86"/>
        <v>2409</v>
      </c>
      <c r="U144" s="215">
        <f t="shared" si="86"/>
        <v>1304</v>
      </c>
      <c r="V144" s="215">
        <f t="shared" si="86"/>
        <v>2053</v>
      </c>
      <c r="W144" s="215">
        <f t="shared" si="86"/>
        <v>1103</v>
      </c>
      <c r="X144" s="215">
        <f t="shared" si="86"/>
        <v>2043</v>
      </c>
      <c r="Y144" s="215">
        <f t="shared" si="86"/>
        <v>1140</v>
      </c>
      <c r="Z144" s="215">
        <f t="shared" si="86"/>
        <v>6505</v>
      </c>
      <c r="AA144" s="216">
        <f t="shared" si="86"/>
        <v>3547</v>
      </c>
      <c r="AB144" s="214">
        <f t="shared" si="86"/>
        <v>61</v>
      </c>
      <c r="AC144" s="215">
        <f t="shared" si="86"/>
        <v>17</v>
      </c>
      <c r="AD144" s="215">
        <f t="shared" si="86"/>
        <v>0</v>
      </c>
      <c r="AE144" s="216">
        <f t="shared" si="86"/>
        <v>0</v>
      </c>
      <c r="AF144" s="89"/>
    </row>
    <row r="145" spans="1:32" s="1364" customFormat="1" ht="17.100000000000001" customHeight="1">
      <c r="A145" s="1357" t="s">
        <v>139</v>
      </c>
      <c r="B145" s="1357" t="s">
        <v>9</v>
      </c>
      <c r="C145" s="1246" t="s">
        <v>9</v>
      </c>
      <c r="D145" s="1357" t="s">
        <v>4</v>
      </c>
      <c r="E145" s="1357" t="s">
        <v>26</v>
      </c>
      <c r="F145" s="1357" t="s">
        <v>2071</v>
      </c>
      <c r="G145" s="1358">
        <v>34759</v>
      </c>
      <c r="H145" s="1326" t="s">
        <v>2063</v>
      </c>
      <c r="I145" s="1359">
        <v>13440</v>
      </c>
      <c r="J145" s="1360">
        <v>21915</v>
      </c>
      <c r="K145" s="1326" t="s">
        <v>2064</v>
      </c>
      <c r="L145" s="1326" t="s">
        <v>2065</v>
      </c>
      <c r="M145" s="1361" t="s">
        <v>2066</v>
      </c>
      <c r="N145" s="1365">
        <v>10</v>
      </c>
      <c r="O145" s="1366">
        <v>10</v>
      </c>
      <c r="P145" s="1366">
        <v>10</v>
      </c>
      <c r="Q145" s="1366">
        <v>1</v>
      </c>
      <c r="R145" s="1366"/>
      <c r="S145" s="135">
        <f t="shared" ref="S145" si="87">SUM(N145:R145)</f>
        <v>31</v>
      </c>
      <c r="T145" s="1365">
        <v>162</v>
      </c>
      <c r="U145" s="1366">
        <v>58</v>
      </c>
      <c r="V145" s="1366">
        <v>115</v>
      </c>
      <c r="W145" s="1366">
        <v>32</v>
      </c>
      <c r="X145" s="1366">
        <v>122</v>
      </c>
      <c r="Y145" s="1366">
        <v>23</v>
      </c>
      <c r="Z145" s="136">
        <f t="shared" ref="Z145:AA145" si="88">T145+V145+X145</f>
        <v>399</v>
      </c>
      <c r="AA145" s="135">
        <f t="shared" si="88"/>
        <v>113</v>
      </c>
      <c r="AB145" s="90">
        <v>8</v>
      </c>
      <c r="AC145" s="91">
        <v>0</v>
      </c>
      <c r="AD145" s="1366"/>
      <c r="AE145" s="1367"/>
      <c r="AF145" s="1368"/>
    </row>
    <row r="146" spans="1:32" s="81" customFormat="1" ht="17.100000000000001" customHeight="1">
      <c r="A146" s="127" t="s">
        <v>139</v>
      </c>
      <c r="B146" s="127" t="s">
        <v>9</v>
      </c>
      <c r="C146" s="127" t="s">
        <v>9</v>
      </c>
      <c r="D146" s="127" t="s">
        <v>4</v>
      </c>
      <c r="E146" s="127" t="s">
        <v>24</v>
      </c>
      <c r="F146" s="127" t="s">
        <v>3072</v>
      </c>
      <c r="G146" s="82">
        <v>34394</v>
      </c>
      <c r="H146" s="50" t="s">
        <v>3073</v>
      </c>
      <c r="I146" s="843">
        <v>13491.8</v>
      </c>
      <c r="J146" s="84">
        <v>21973</v>
      </c>
      <c r="K146" s="50" t="s">
        <v>1986</v>
      </c>
      <c r="L146" s="50" t="s">
        <v>1987</v>
      </c>
      <c r="M146" s="85" t="s">
        <v>1988</v>
      </c>
      <c r="N146" s="86">
        <v>8</v>
      </c>
      <c r="O146" s="87">
        <v>8</v>
      </c>
      <c r="P146" s="87">
        <v>8</v>
      </c>
      <c r="Q146" s="87">
        <v>1</v>
      </c>
      <c r="R146" s="87"/>
      <c r="S146" s="133">
        <f>SUM(N146:R146)</f>
        <v>25</v>
      </c>
      <c r="T146" s="90">
        <v>168</v>
      </c>
      <c r="U146" s="91">
        <v>168</v>
      </c>
      <c r="V146" s="91">
        <v>142</v>
      </c>
      <c r="W146" s="91">
        <v>142</v>
      </c>
      <c r="X146" s="91">
        <v>144</v>
      </c>
      <c r="Y146" s="91">
        <v>144</v>
      </c>
      <c r="Z146" s="134">
        <f t="shared" ref="Z146:AA146" si="89">T146+V146+X146</f>
        <v>454</v>
      </c>
      <c r="AA146" s="133">
        <f t="shared" si="89"/>
        <v>454</v>
      </c>
      <c r="AB146" s="90">
        <v>6</v>
      </c>
      <c r="AC146" s="91">
        <v>6</v>
      </c>
      <c r="AD146" s="91"/>
      <c r="AE146" s="92"/>
      <c r="AF146" s="93"/>
    </row>
    <row r="147" spans="1:32" s="81" customFormat="1" ht="17.100000000000001" customHeight="1">
      <c r="A147" s="127" t="s">
        <v>139</v>
      </c>
      <c r="B147" s="127" t="s">
        <v>9</v>
      </c>
      <c r="C147" s="168" t="s">
        <v>9</v>
      </c>
      <c r="D147" s="127" t="s">
        <v>4</v>
      </c>
      <c r="E147" s="127" t="s">
        <v>26</v>
      </c>
      <c r="F147" s="127" t="s">
        <v>3074</v>
      </c>
      <c r="G147" s="82">
        <v>36951</v>
      </c>
      <c r="H147" s="50" t="s">
        <v>3075</v>
      </c>
      <c r="I147" s="83">
        <v>13471.1</v>
      </c>
      <c r="J147" s="84">
        <v>21922</v>
      </c>
      <c r="K147" s="50" t="s">
        <v>2004</v>
      </c>
      <c r="L147" s="50" t="s">
        <v>2005</v>
      </c>
      <c r="M147" s="85" t="s">
        <v>2006</v>
      </c>
      <c r="N147" s="86">
        <v>8</v>
      </c>
      <c r="O147" s="87">
        <v>8</v>
      </c>
      <c r="P147" s="87">
        <v>8</v>
      </c>
      <c r="Q147" s="87">
        <v>2</v>
      </c>
      <c r="R147" s="87">
        <v>0</v>
      </c>
      <c r="S147" s="133">
        <f>SUM(N147:R147)</f>
        <v>26</v>
      </c>
      <c r="T147" s="86">
        <v>171</v>
      </c>
      <c r="U147" s="87">
        <v>118</v>
      </c>
      <c r="V147" s="87">
        <v>156</v>
      </c>
      <c r="W147" s="87">
        <v>97</v>
      </c>
      <c r="X147" s="87">
        <v>147</v>
      </c>
      <c r="Y147" s="87">
        <v>91</v>
      </c>
      <c r="Z147" s="134">
        <f>T147+V147+X147</f>
        <v>474</v>
      </c>
      <c r="AA147" s="133">
        <f>U147+W147+Y147</f>
        <v>306</v>
      </c>
      <c r="AB147" s="160">
        <v>16</v>
      </c>
      <c r="AC147" s="161">
        <v>13</v>
      </c>
      <c r="AD147" s="87">
        <v>0</v>
      </c>
      <c r="AE147" s="88">
        <v>0</v>
      </c>
      <c r="AF147" s="89"/>
    </row>
    <row r="148" spans="1:32" s="81" customFormat="1" ht="17.100000000000001" customHeight="1">
      <c r="A148" s="127" t="s">
        <v>139</v>
      </c>
      <c r="B148" s="127" t="s">
        <v>9</v>
      </c>
      <c r="C148" s="168" t="s">
        <v>9</v>
      </c>
      <c r="D148" s="127" t="s">
        <v>4</v>
      </c>
      <c r="E148" s="127" t="s">
        <v>144</v>
      </c>
      <c r="F148" s="127" t="s">
        <v>3076</v>
      </c>
      <c r="G148" s="82">
        <v>9664</v>
      </c>
      <c r="H148" s="50" t="s">
        <v>3077</v>
      </c>
      <c r="I148" s="844">
        <v>28.244</v>
      </c>
      <c r="J148" s="84">
        <v>21956</v>
      </c>
      <c r="K148" s="50" t="s">
        <v>2012</v>
      </c>
      <c r="L148" s="50" t="s">
        <v>2013</v>
      </c>
      <c r="M148" s="85" t="s">
        <v>2014</v>
      </c>
      <c r="N148" s="86">
        <v>7</v>
      </c>
      <c r="O148" s="87">
        <v>7</v>
      </c>
      <c r="P148" s="87">
        <v>7</v>
      </c>
      <c r="Q148" s="87">
        <v>1</v>
      </c>
      <c r="R148" s="87">
        <v>1</v>
      </c>
      <c r="S148" s="133">
        <f>SUM(N148:R148)</f>
        <v>23</v>
      </c>
      <c r="T148" s="86">
        <v>143</v>
      </c>
      <c r="U148" s="87"/>
      <c r="V148" s="87">
        <v>133</v>
      </c>
      <c r="W148" s="87"/>
      <c r="X148" s="87">
        <v>117</v>
      </c>
      <c r="Y148" s="87"/>
      <c r="Z148" s="134">
        <f>T148+V148+X148</f>
        <v>393</v>
      </c>
      <c r="AA148" s="133">
        <f>U148+W148+Y148</f>
        <v>0</v>
      </c>
      <c r="AB148" s="86">
        <v>8</v>
      </c>
      <c r="AC148" s="87"/>
      <c r="AD148" s="87">
        <v>38</v>
      </c>
      <c r="AE148" s="88"/>
      <c r="AF148" s="89"/>
    </row>
    <row r="149" spans="1:32" s="81" customFormat="1" ht="17.100000000000001" customHeight="1">
      <c r="A149" s="1684" t="s">
        <v>407</v>
      </c>
      <c r="B149" s="1684"/>
      <c r="C149" s="208"/>
      <c r="D149" s="207">
        <f>COUNTA(D145:D148)</f>
        <v>4</v>
      </c>
      <c r="E149" s="208"/>
      <c r="F149" s="829"/>
      <c r="G149" s="209"/>
      <c r="H149" s="210"/>
      <c r="I149" s="211"/>
      <c r="J149" s="212"/>
      <c r="K149" s="210"/>
      <c r="L149" s="210"/>
      <c r="M149" s="213"/>
      <c r="N149" s="214">
        <f t="shared" ref="N149:AE149" si="90">SUM(N145:N148)</f>
        <v>33</v>
      </c>
      <c r="O149" s="215">
        <f t="shared" si="90"/>
        <v>33</v>
      </c>
      <c r="P149" s="215">
        <f t="shared" si="90"/>
        <v>33</v>
      </c>
      <c r="Q149" s="215">
        <f t="shared" si="90"/>
        <v>5</v>
      </c>
      <c r="R149" s="215">
        <f t="shared" si="90"/>
        <v>1</v>
      </c>
      <c r="S149" s="216">
        <f t="shared" si="90"/>
        <v>105</v>
      </c>
      <c r="T149" s="214">
        <f t="shared" si="90"/>
        <v>644</v>
      </c>
      <c r="U149" s="215">
        <f t="shared" si="90"/>
        <v>344</v>
      </c>
      <c r="V149" s="215">
        <f t="shared" si="90"/>
        <v>546</v>
      </c>
      <c r="W149" s="215">
        <f t="shared" si="90"/>
        <v>271</v>
      </c>
      <c r="X149" s="215">
        <f t="shared" si="90"/>
        <v>530</v>
      </c>
      <c r="Y149" s="215">
        <f t="shared" si="90"/>
        <v>258</v>
      </c>
      <c r="Z149" s="215">
        <f t="shared" si="90"/>
        <v>1720</v>
      </c>
      <c r="AA149" s="216">
        <f t="shared" si="90"/>
        <v>873</v>
      </c>
      <c r="AB149" s="214">
        <f t="shared" si="90"/>
        <v>38</v>
      </c>
      <c r="AC149" s="215">
        <f t="shared" si="90"/>
        <v>19</v>
      </c>
      <c r="AD149" s="215">
        <f t="shared" si="90"/>
        <v>38</v>
      </c>
      <c r="AE149" s="216">
        <f t="shared" si="90"/>
        <v>0</v>
      </c>
      <c r="AF149" s="89"/>
    </row>
    <row r="150" spans="1:32" s="81" customFormat="1" ht="17.100000000000001" customHeight="1">
      <c r="A150" s="127" t="s">
        <v>440</v>
      </c>
      <c r="B150" s="127" t="s">
        <v>9</v>
      </c>
      <c r="C150" s="127" t="s">
        <v>2766</v>
      </c>
      <c r="D150" s="168" t="s">
        <v>4</v>
      </c>
      <c r="E150" s="168" t="s">
        <v>26</v>
      </c>
      <c r="F150" s="168" t="s">
        <v>3078</v>
      </c>
      <c r="G150" s="71">
        <v>42430</v>
      </c>
      <c r="H150" s="53" t="s">
        <v>3079</v>
      </c>
      <c r="I150" s="72">
        <v>23607</v>
      </c>
      <c r="J150" s="52">
        <v>22009</v>
      </c>
      <c r="K150" s="53" t="s">
        <v>3080</v>
      </c>
      <c r="L150" s="53" t="s">
        <v>1992</v>
      </c>
      <c r="M150" s="54" t="s">
        <v>1993</v>
      </c>
      <c r="N150" s="75">
        <v>5</v>
      </c>
      <c r="O150" s="73">
        <v>5</v>
      </c>
      <c r="P150" s="73">
        <v>5</v>
      </c>
      <c r="Q150" s="87"/>
      <c r="R150" s="87"/>
      <c r="S150" s="133">
        <f>SUM(N150:R150)</f>
        <v>15</v>
      </c>
      <c r="T150" s="75">
        <v>81</v>
      </c>
      <c r="U150" s="73">
        <v>9</v>
      </c>
      <c r="V150" s="73">
        <v>79</v>
      </c>
      <c r="W150" s="73">
        <v>16</v>
      </c>
      <c r="X150" s="73">
        <v>78</v>
      </c>
      <c r="Y150" s="73">
        <v>14</v>
      </c>
      <c r="Z150" s="138">
        <f>T150+V150+X150</f>
        <v>238</v>
      </c>
      <c r="AA150" s="137">
        <f>U150+W150+Y150</f>
        <v>39</v>
      </c>
      <c r="AB150" s="86"/>
      <c r="AC150" s="87"/>
      <c r="AD150" s="87"/>
      <c r="AE150" s="88"/>
      <c r="AF150" s="523" t="s">
        <v>1974</v>
      </c>
    </row>
    <row r="151" spans="1:32" s="81" customFormat="1" ht="17.100000000000001" customHeight="1">
      <c r="A151" s="1684" t="s">
        <v>408</v>
      </c>
      <c r="B151" s="1684"/>
      <c r="C151" s="208"/>
      <c r="D151" s="207">
        <f>COUNTA(D150)</f>
        <v>1</v>
      </c>
      <c r="E151" s="208"/>
      <c r="F151" s="829"/>
      <c r="G151" s="209"/>
      <c r="H151" s="210"/>
      <c r="I151" s="211"/>
      <c r="J151" s="212"/>
      <c r="K151" s="210"/>
      <c r="L151" s="210"/>
      <c r="M151" s="213"/>
      <c r="N151" s="214">
        <f>N150</f>
        <v>5</v>
      </c>
      <c r="O151" s="215">
        <f>O150</f>
        <v>5</v>
      </c>
      <c r="P151" s="215">
        <f t="shared" ref="P151:R151" si="91">P150</f>
        <v>5</v>
      </c>
      <c r="Q151" s="215">
        <f t="shared" si="91"/>
        <v>0</v>
      </c>
      <c r="R151" s="215">
        <f t="shared" si="91"/>
        <v>0</v>
      </c>
      <c r="S151" s="216">
        <f>S150</f>
        <v>15</v>
      </c>
      <c r="T151" s="214">
        <f>T150</f>
        <v>81</v>
      </c>
      <c r="U151" s="215">
        <f>U150</f>
        <v>9</v>
      </c>
      <c r="V151" s="215">
        <f t="shared" ref="V151:AE151" si="92">V150</f>
        <v>79</v>
      </c>
      <c r="W151" s="215">
        <f t="shared" si="92"/>
        <v>16</v>
      </c>
      <c r="X151" s="215">
        <f t="shared" si="92"/>
        <v>78</v>
      </c>
      <c r="Y151" s="215">
        <f t="shared" si="92"/>
        <v>14</v>
      </c>
      <c r="Z151" s="215">
        <f t="shared" si="92"/>
        <v>238</v>
      </c>
      <c r="AA151" s="216">
        <f t="shared" si="92"/>
        <v>39</v>
      </c>
      <c r="AB151" s="214">
        <f t="shared" si="92"/>
        <v>0</v>
      </c>
      <c r="AC151" s="215">
        <f t="shared" si="92"/>
        <v>0</v>
      </c>
      <c r="AD151" s="215">
        <f t="shared" si="92"/>
        <v>0</v>
      </c>
      <c r="AE151" s="216">
        <f t="shared" si="92"/>
        <v>0</v>
      </c>
      <c r="AF151" s="89"/>
    </row>
    <row r="152" spans="1:32" s="81" customFormat="1" ht="17.100000000000001" customHeight="1">
      <c r="A152" s="1625" t="s">
        <v>429</v>
      </c>
      <c r="B152" s="1626"/>
      <c r="C152" s="1626"/>
      <c r="D152" s="1626"/>
      <c r="E152" s="179">
        <f>D144+D149+D151</f>
        <v>12</v>
      </c>
      <c r="F152" s="830"/>
      <c r="G152" s="180"/>
      <c r="H152" s="181"/>
      <c r="I152" s="182"/>
      <c r="J152" s="183"/>
      <c r="K152" s="181"/>
      <c r="L152" s="181"/>
      <c r="M152" s="184"/>
      <c r="N152" s="185">
        <f t="shared" ref="N152:Z152" si="93">N144+N149+N151</f>
        <v>117</v>
      </c>
      <c r="O152" s="186">
        <f t="shared" si="93"/>
        <v>108</v>
      </c>
      <c r="P152" s="186">
        <f t="shared" si="93"/>
        <v>111</v>
      </c>
      <c r="Q152" s="186">
        <f t="shared" si="93"/>
        <v>14</v>
      </c>
      <c r="R152" s="186">
        <f t="shared" si="93"/>
        <v>1</v>
      </c>
      <c r="S152" s="187">
        <f t="shared" si="93"/>
        <v>351</v>
      </c>
      <c r="T152" s="185">
        <f t="shared" si="93"/>
        <v>3134</v>
      </c>
      <c r="U152" s="186">
        <f t="shared" si="93"/>
        <v>1657</v>
      </c>
      <c r="V152" s="186">
        <f t="shared" si="93"/>
        <v>2678</v>
      </c>
      <c r="W152" s="186">
        <f t="shared" si="93"/>
        <v>1390</v>
      </c>
      <c r="X152" s="186">
        <f t="shared" si="93"/>
        <v>2651</v>
      </c>
      <c r="Y152" s="186">
        <f t="shared" si="93"/>
        <v>1412</v>
      </c>
      <c r="Z152" s="186">
        <f t="shared" si="93"/>
        <v>8463</v>
      </c>
      <c r="AA152" s="187">
        <f>AA144+AA149+AA151</f>
        <v>4459</v>
      </c>
      <c r="AB152" s="185">
        <f>AB144+AB149+AB151</f>
        <v>99</v>
      </c>
      <c r="AC152" s="186">
        <f>AC144+AC149+AC151</f>
        <v>36</v>
      </c>
      <c r="AD152" s="186">
        <f>AD144+AD149+AD151</f>
        <v>38</v>
      </c>
      <c r="AE152" s="187">
        <f>AE144+AE149+AE151</f>
        <v>0</v>
      </c>
      <c r="AF152" s="219"/>
    </row>
    <row r="153" spans="1:32" s="81" customFormat="1" ht="17.100000000000001" customHeight="1">
      <c r="A153" s="94" t="s">
        <v>138</v>
      </c>
      <c r="B153" s="94" t="s">
        <v>9</v>
      </c>
      <c r="C153" s="168" t="s">
        <v>9</v>
      </c>
      <c r="D153" s="94" t="s">
        <v>5</v>
      </c>
      <c r="E153" s="94" t="s">
        <v>24</v>
      </c>
      <c r="F153" s="127" t="s">
        <v>3081</v>
      </c>
      <c r="G153" s="82">
        <v>14749</v>
      </c>
      <c r="H153" s="50" t="s">
        <v>3082</v>
      </c>
      <c r="I153" s="83">
        <v>14002</v>
      </c>
      <c r="J153" s="84">
        <v>21983</v>
      </c>
      <c r="K153" s="50" t="s">
        <v>2009</v>
      </c>
      <c r="L153" s="50" t="s">
        <v>2010</v>
      </c>
      <c r="M153" s="85" t="s">
        <v>2011</v>
      </c>
      <c r="N153" s="90">
        <v>10</v>
      </c>
      <c r="O153" s="91">
        <v>10</v>
      </c>
      <c r="P153" s="91">
        <v>10</v>
      </c>
      <c r="Q153" s="91">
        <v>1</v>
      </c>
      <c r="R153" s="91">
        <v>0</v>
      </c>
      <c r="S153" s="133">
        <f t="shared" ref="S153" si="94">SUM(N153:R153)</f>
        <v>31</v>
      </c>
      <c r="T153" s="90">
        <f>U153</f>
        <v>315</v>
      </c>
      <c r="U153" s="91">
        <v>315</v>
      </c>
      <c r="V153" s="91">
        <f>W153</f>
        <v>303</v>
      </c>
      <c r="W153" s="91">
        <v>303</v>
      </c>
      <c r="X153" s="91">
        <f>Y153</f>
        <v>286</v>
      </c>
      <c r="Y153" s="91">
        <v>286</v>
      </c>
      <c r="Z153" s="134">
        <f t="shared" ref="Z153:AA153" si="95">T153+V153+X153</f>
        <v>904</v>
      </c>
      <c r="AA153" s="133">
        <f t="shared" si="95"/>
        <v>904</v>
      </c>
      <c r="AB153" s="90">
        <v>9</v>
      </c>
      <c r="AC153" s="91">
        <v>9</v>
      </c>
      <c r="AD153" s="91"/>
      <c r="AE153" s="92"/>
      <c r="AF153" s="692" t="s">
        <v>3083</v>
      </c>
    </row>
    <row r="154" spans="1:32" s="81" customFormat="1" ht="17.100000000000001" customHeight="1">
      <c r="A154" s="127" t="s">
        <v>138</v>
      </c>
      <c r="B154" s="127" t="s">
        <v>9</v>
      </c>
      <c r="C154" s="168" t="s">
        <v>9</v>
      </c>
      <c r="D154" s="127" t="s">
        <v>5</v>
      </c>
      <c r="E154" s="127" t="s">
        <v>144</v>
      </c>
      <c r="F154" s="127" t="s">
        <v>3084</v>
      </c>
      <c r="G154" s="82">
        <v>2468</v>
      </c>
      <c r="H154" s="50" t="s">
        <v>190</v>
      </c>
      <c r="I154" s="83">
        <v>27662</v>
      </c>
      <c r="J154" s="84">
        <v>21955</v>
      </c>
      <c r="K154" s="50" t="s">
        <v>191</v>
      </c>
      <c r="L154" s="50" t="s">
        <v>191</v>
      </c>
      <c r="M154" s="85" t="s">
        <v>192</v>
      </c>
      <c r="N154" s="86">
        <v>12</v>
      </c>
      <c r="O154" s="87">
        <v>12</v>
      </c>
      <c r="P154" s="87">
        <v>12</v>
      </c>
      <c r="Q154" s="87"/>
      <c r="R154" s="87"/>
      <c r="S154" s="133">
        <f>SUM(N154:R154)</f>
        <v>36</v>
      </c>
      <c r="T154" s="86">
        <v>347</v>
      </c>
      <c r="U154" s="87"/>
      <c r="V154" s="87">
        <v>320</v>
      </c>
      <c r="W154" s="87"/>
      <c r="X154" s="87">
        <v>335</v>
      </c>
      <c r="Y154" s="87"/>
      <c r="Z154" s="134">
        <f>T154+V154+X154</f>
        <v>1002</v>
      </c>
      <c r="AA154" s="133">
        <f>U154+W154+Y154</f>
        <v>0</v>
      </c>
      <c r="AB154" s="86"/>
      <c r="AC154" s="87"/>
      <c r="AD154" s="87"/>
      <c r="AE154" s="88"/>
      <c r="AF154" s="89"/>
    </row>
    <row r="155" spans="1:32" s="81" customFormat="1" ht="17.100000000000001" customHeight="1">
      <c r="A155" s="127" t="s">
        <v>138</v>
      </c>
      <c r="B155" s="127" t="s">
        <v>9</v>
      </c>
      <c r="C155" s="168" t="s">
        <v>9</v>
      </c>
      <c r="D155" s="127" t="s">
        <v>5</v>
      </c>
      <c r="E155" s="127" t="s">
        <v>144</v>
      </c>
      <c r="F155" s="127" t="s">
        <v>3085</v>
      </c>
      <c r="G155" s="82">
        <v>17096</v>
      </c>
      <c r="H155" s="50" t="s">
        <v>3086</v>
      </c>
      <c r="I155" s="83">
        <v>22830</v>
      </c>
      <c r="J155" s="84">
        <v>21970</v>
      </c>
      <c r="K155" s="50" t="s">
        <v>3087</v>
      </c>
      <c r="L155" s="50" t="s">
        <v>3087</v>
      </c>
      <c r="M155" s="85" t="s">
        <v>3088</v>
      </c>
      <c r="N155" s="86">
        <v>11</v>
      </c>
      <c r="O155" s="87">
        <v>11</v>
      </c>
      <c r="P155" s="87">
        <v>11</v>
      </c>
      <c r="Q155" s="87"/>
      <c r="R155" s="87"/>
      <c r="S155" s="133">
        <f>SUM(N155:R155)</f>
        <v>33</v>
      </c>
      <c r="T155" s="86">
        <v>351</v>
      </c>
      <c r="U155" s="87"/>
      <c r="V155" s="87">
        <v>349</v>
      </c>
      <c r="W155" s="87"/>
      <c r="X155" s="87">
        <v>333</v>
      </c>
      <c r="Y155" s="87"/>
      <c r="Z155" s="134">
        <f>T155+V155+X155</f>
        <v>1033</v>
      </c>
      <c r="AA155" s="133">
        <f>U155+W155+Y155</f>
        <v>0</v>
      </c>
      <c r="AB155" s="86"/>
      <c r="AC155" s="87"/>
      <c r="AD155" s="87"/>
      <c r="AE155" s="88"/>
      <c r="AF155" s="89"/>
    </row>
    <row r="156" spans="1:32" s="81" customFormat="1" ht="17.100000000000001" customHeight="1">
      <c r="A156" s="1684" t="s">
        <v>406</v>
      </c>
      <c r="B156" s="1684"/>
      <c r="C156" s="208"/>
      <c r="D156" s="207">
        <f>COUNTA(D153:D155)</f>
        <v>3</v>
      </c>
      <c r="E156" s="208"/>
      <c r="F156" s="829"/>
      <c r="G156" s="209"/>
      <c r="H156" s="210"/>
      <c r="I156" s="211"/>
      <c r="J156" s="212"/>
      <c r="K156" s="210"/>
      <c r="L156" s="210"/>
      <c r="M156" s="213"/>
      <c r="N156" s="214">
        <f t="shared" ref="N156:AE156" si="96">SUM(N153:N155)</f>
        <v>33</v>
      </c>
      <c r="O156" s="215">
        <f t="shared" si="96"/>
        <v>33</v>
      </c>
      <c r="P156" s="215">
        <f t="shared" si="96"/>
        <v>33</v>
      </c>
      <c r="Q156" s="215">
        <f t="shared" si="96"/>
        <v>1</v>
      </c>
      <c r="R156" s="215">
        <f t="shared" si="96"/>
        <v>0</v>
      </c>
      <c r="S156" s="216">
        <f t="shared" si="96"/>
        <v>100</v>
      </c>
      <c r="T156" s="214">
        <f t="shared" si="96"/>
        <v>1013</v>
      </c>
      <c r="U156" s="215">
        <f t="shared" si="96"/>
        <v>315</v>
      </c>
      <c r="V156" s="215">
        <f t="shared" si="96"/>
        <v>972</v>
      </c>
      <c r="W156" s="215">
        <f t="shared" si="96"/>
        <v>303</v>
      </c>
      <c r="X156" s="215">
        <f t="shared" si="96"/>
        <v>954</v>
      </c>
      <c r="Y156" s="215">
        <f t="shared" si="96"/>
        <v>286</v>
      </c>
      <c r="Z156" s="215">
        <f t="shared" si="96"/>
        <v>2939</v>
      </c>
      <c r="AA156" s="216">
        <f t="shared" si="96"/>
        <v>904</v>
      </c>
      <c r="AB156" s="214">
        <f t="shared" si="96"/>
        <v>9</v>
      </c>
      <c r="AC156" s="215">
        <f t="shared" si="96"/>
        <v>9</v>
      </c>
      <c r="AD156" s="215">
        <f t="shared" si="96"/>
        <v>0</v>
      </c>
      <c r="AE156" s="216">
        <f t="shared" si="96"/>
        <v>0</v>
      </c>
      <c r="AF156" s="89"/>
    </row>
    <row r="157" spans="1:32" s="81" customFormat="1" ht="17.100000000000001" customHeight="1">
      <c r="A157" s="127" t="s">
        <v>141</v>
      </c>
      <c r="B157" s="127" t="s">
        <v>9</v>
      </c>
      <c r="C157" s="168" t="s">
        <v>9</v>
      </c>
      <c r="D157" s="127" t="s">
        <v>5</v>
      </c>
      <c r="E157" s="127" t="s">
        <v>26</v>
      </c>
      <c r="F157" s="127" t="s">
        <v>348</v>
      </c>
      <c r="G157" s="82">
        <v>42064</v>
      </c>
      <c r="H157" s="50" t="s">
        <v>349</v>
      </c>
      <c r="I157" s="83">
        <v>25000.5</v>
      </c>
      <c r="J157" s="84">
        <v>22001</v>
      </c>
      <c r="K157" s="50" t="s">
        <v>350</v>
      </c>
      <c r="L157" s="50" t="s">
        <v>351</v>
      </c>
      <c r="M157" s="85" t="s">
        <v>352</v>
      </c>
      <c r="N157" s="86">
        <v>8</v>
      </c>
      <c r="O157" s="87">
        <v>8</v>
      </c>
      <c r="P157" s="87">
        <v>8</v>
      </c>
      <c r="Q157" s="87"/>
      <c r="R157" s="87"/>
      <c r="S157" s="133">
        <f>SUM(N157:R157)</f>
        <v>24</v>
      </c>
      <c r="T157" s="86">
        <v>245</v>
      </c>
      <c r="U157" s="87">
        <v>128</v>
      </c>
      <c r="V157" s="87">
        <v>244</v>
      </c>
      <c r="W157" s="87">
        <v>132</v>
      </c>
      <c r="X157" s="87">
        <v>234</v>
      </c>
      <c r="Y157" s="87">
        <v>120</v>
      </c>
      <c r="Z157" s="134">
        <f>T157+V157+X157</f>
        <v>723</v>
      </c>
      <c r="AA157" s="133">
        <f>U157+W157+Y157</f>
        <v>380</v>
      </c>
      <c r="AB157" s="86"/>
      <c r="AC157" s="87"/>
      <c r="AD157" s="87"/>
      <c r="AE157" s="88"/>
      <c r="AF157" s="89"/>
    </row>
    <row r="158" spans="1:32" s="81" customFormat="1" ht="17.100000000000001" customHeight="1">
      <c r="A158" s="1684" t="s">
        <v>418</v>
      </c>
      <c r="B158" s="1684"/>
      <c r="C158" s="208"/>
      <c r="D158" s="207">
        <f>COUNTA(D157:D157)</f>
        <v>1</v>
      </c>
      <c r="E158" s="208"/>
      <c r="F158" s="829"/>
      <c r="G158" s="209"/>
      <c r="H158" s="210"/>
      <c r="I158" s="211"/>
      <c r="J158" s="212"/>
      <c r="K158" s="210"/>
      <c r="L158" s="210"/>
      <c r="M158" s="213"/>
      <c r="N158" s="214">
        <f t="shared" ref="N158:AE158" si="97">N157</f>
        <v>8</v>
      </c>
      <c r="O158" s="215">
        <f t="shared" si="97"/>
        <v>8</v>
      </c>
      <c r="P158" s="215">
        <f t="shared" si="97"/>
        <v>8</v>
      </c>
      <c r="Q158" s="215">
        <f t="shared" si="97"/>
        <v>0</v>
      </c>
      <c r="R158" s="215">
        <f t="shared" si="97"/>
        <v>0</v>
      </c>
      <c r="S158" s="216">
        <f t="shared" si="97"/>
        <v>24</v>
      </c>
      <c r="T158" s="214">
        <f t="shared" si="97"/>
        <v>245</v>
      </c>
      <c r="U158" s="215">
        <f t="shared" si="97"/>
        <v>128</v>
      </c>
      <c r="V158" s="215">
        <f t="shared" si="97"/>
        <v>244</v>
      </c>
      <c r="W158" s="215">
        <f t="shared" si="97"/>
        <v>132</v>
      </c>
      <c r="X158" s="215">
        <f t="shared" si="97"/>
        <v>234</v>
      </c>
      <c r="Y158" s="215">
        <f t="shared" si="97"/>
        <v>120</v>
      </c>
      <c r="Z158" s="215">
        <f t="shared" si="97"/>
        <v>723</v>
      </c>
      <c r="AA158" s="216">
        <f t="shared" si="97"/>
        <v>380</v>
      </c>
      <c r="AB158" s="214">
        <f t="shared" si="97"/>
        <v>0</v>
      </c>
      <c r="AC158" s="215">
        <f t="shared" si="97"/>
        <v>0</v>
      </c>
      <c r="AD158" s="215">
        <f t="shared" si="97"/>
        <v>0</v>
      </c>
      <c r="AE158" s="216">
        <f t="shared" si="97"/>
        <v>0</v>
      </c>
      <c r="AF158" s="89"/>
    </row>
    <row r="159" spans="1:32" s="81" customFormat="1" ht="17.100000000000001" customHeight="1">
      <c r="A159" s="1681" t="s">
        <v>430</v>
      </c>
      <c r="B159" s="1682"/>
      <c r="C159" s="1682"/>
      <c r="D159" s="1683"/>
      <c r="E159" s="188">
        <f>D156+D158</f>
        <v>4</v>
      </c>
      <c r="F159" s="834"/>
      <c r="G159" s="189"/>
      <c r="H159" s="190"/>
      <c r="I159" s="191"/>
      <c r="J159" s="192"/>
      <c r="K159" s="190"/>
      <c r="L159" s="190"/>
      <c r="M159" s="193"/>
      <c r="N159" s="194">
        <f t="shared" ref="N159:AE159" si="98">N156+N158</f>
        <v>41</v>
      </c>
      <c r="O159" s="195">
        <f t="shared" si="98"/>
        <v>41</v>
      </c>
      <c r="P159" s="195">
        <f t="shared" si="98"/>
        <v>41</v>
      </c>
      <c r="Q159" s="195">
        <f t="shared" si="98"/>
        <v>1</v>
      </c>
      <c r="R159" s="195">
        <f t="shared" si="98"/>
        <v>0</v>
      </c>
      <c r="S159" s="196">
        <f t="shared" si="98"/>
        <v>124</v>
      </c>
      <c r="T159" s="194">
        <f t="shared" si="98"/>
        <v>1258</v>
      </c>
      <c r="U159" s="195">
        <f t="shared" si="98"/>
        <v>443</v>
      </c>
      <c r="V159" s="195">
        <f t="shared" si="98"/>
        <v>1216</v>
      </c>
      <c r="W159" s="195">
        <f t="shared" si="98"/>
        <v>435</v>
      </c>
      <c r="X159" s="195">
        <f t="shared" si="98"/>
        <v>1188</v>
      </c>
      <c r="Y159" s="195">
        <f t="shared" si="98"/>
        <v>406</v>
      </c>
      <c r="Z159" s="195">
        <f t="shared" si="98"/>
        <v>3662</v>
      </c>
      <c r="AA159" s="196">
        <f t="shared" si="98"/>
        <v>1284</v>
      </c>
      <c r="AB159" s="194">
        <f t="shared" si="98"/>
        <v>9</v>
      </c>
      <c r="AC159" s="195">
        <f t="shared" si="98"/>
        <v>9</v>
      </c>
      <c r="AD159" s="195">
        <f t="shared" si="98"/>
        <v>0</v>
      </c>
      <c r="AE159" s="196">
        <f t="shared" si="98"/>
        <v>0</v>
      </c>
      <c r="AF159" s="220"/>
    </row>
    <row r="160" spans="1:32" s="81" customFormat="1" ht="17.100000000000001" customHeight="1">
      <c r="A160" s="1672" t="s">
        <v>431</v>
      </c>
      <c r="B160" s="1672"/>
      <c r="C160" s="1672"/>
      <c r="D160" s="1672"/>
      <c r="E160" s="1672"/>
      <c r="F160" s="835">
        <f>E152+E159</f>
        <v>16</v>
      </c>
      <c r="G160" s="221"/>
      <c r="H160" s="222"/>
      <c r="I160" s="223"/>
      <c r="J160" s="224"/>
      <c r="K160" s="222"/>
      <c r="L160" s="222"/>
      <c r="M160" s="225"/>
      <c r="N160" s="226">
        <f t="shared" ref="N160:AE160" si="99">N152+N159</f>
        <v>158</v>
      </c>
      <c r="O160" s="227">
        <f t="shared" si="99"/>
        <v>149</v>
      </c>
      <c r="P160" s="227">
        <f t="shared" si="99"/>
        <v>152</v>
      </c>
      <c r="Q160" s="227">
        <f t="shared" si="99"/>
        <v>15</v>
      </c>
      <c r="R160" s="227">
        <f t="shared" si="99"/>
        <v>1</v>
      </c>
      <c r="S160" s="228">
        <f t="shared" si="99"/>
        <v>475</v>
      </c>
      <c r="T160" s="226">
        <f t="shared" si="99"/>
        <v>4392</v>
      </c>
      <c r="U160" s="227">
        <f t="shared" si="99"/>
        <v>2100</v>
      </c>
      <c r="V160" s="227">
        <f t="shared" si="99"/>
        <v>3894</v>
      </c>
      <c r="W160" s="227">
        <f t="shared" si="99"/>
        <v>1825</v>
      </c>
      <c r="X160" s="227">
        <f t="shared" si="99"/>
        <v>3839</v>
      </c>
      <c r="Y160" s="227">
        <f t="shared" si="99"/>
        <v>1818</v>
      </c>
      <c r="Z160" s="227">
        <f t="shared" si="99"/>
        <v>12125</v>
      </c>
      <c r="AA160" s="228">
        <f t="shared" si="99"/>
        <v>5743</v>
      </c>
      <c r="AB160" s="226">
        <f t="shared" si="99"/>
        <v>108</v>
      </c>
      <c r="AC160" s="227">
        <f t="shared" si="99"/>
        <v>45</v>
      </c>
      <c r="AD160" s="227">
        <f t="shared" si="99"/>
        <v>38</v>
      </c>
      <c r="AE160" s="228">
        <f t="shared" si="99"/>
        <v>0</v>
      </c>
      <c r="AF160" s="229"/>
    </row>
    <row r="161" spans="1:32" s="81" customFormat="1" ht="17.100000000000001" customHeight="1">
      <c r="A161" s="127" t="s">
        <v>138</v>
      </c>
      <c r="B161" s="127" t="s">
        <v>142</v>
      </c>
      <c r="C161" s="168" t="s">
        <v>142</v>
      </c>
      <c r="D161" s="127" t="s">
        <v>4</v>
      </c>
      <c r="E161" s="127" t="s">
        <v>26</v>
      </c>
      <c r="F161" s="127" t="s">
        <v>3089</v>
      </c>
      <c r="G161" s="82">
        <v>37681</v>
      </c>
      <c r="H161" s="50" t="s">
        <v>3090</v>
      </c>
      <c r="I161" s="83">
        <v>14613</v>
      </c>
      <c r="J161" s="84">
        <v>22815</v>
      </c>
      <c r="K161" s="50" t="s">
        <v>3091</v>
      </c>
      <c r="L161" s="50" t="s">
        <v>3092</v>
      </c>
      <c r="M161" s="85" t="s">
        <v>3093</v>
      </c>
      <c r="N161" s="86">
        <v>11</v>
      </c>
      <c r="O161" s="87">
        <v>10</v>
      </c>
      <c r="P161" s="87">
        <v>10</v>
      </c>
      <c r="Q161" s="87">
        <v>2</v>
      </c>
      <c r="R161" s="87"/>
      <c r="S161" s="133">
        <f>SUM(N161:R161)</f>
        <v>33</v>
      </c>
      <c r="T161" s="691">
        <v>294</v>
      </c>
      <c r="U161" s="694">
        <v>144</v>
      </c>
      <c r="V161" s="694">
        <v>249</v>
      </c>
      <c r="W161" s="694">
        <v>127</v>
      </c>
      <c r="X161" s="694">
        <v>275</v>
      </c>
      <c r="Y161" s="694">
        <v>141</v>
      </c>
      <c r="Z161" s="845">
        <f t="shared" ref="Z161:AA164" si="100">T161+V161+X161</f>
        <v>818</v>
      </c>
      <c r="AA161" s="846">
        <f t="shared" si="100"/>
        <v>412</v>
      </c>
      <c r="AB161" s="1372">
        <v>10</v>
      </c>
      <c r="AC161" s="1373">
        <v>4</v>
      </c>
      <c r="AD161" s="694"/>
      <c r="AE161" s="695"/>
      <c r="AF161" s="523"/>
    </row>
    <row r="162" spans="1:32" s="81" customFormat="1" ht="17.100000000000001" customHeight="1">
      <c r="A162" s="127" t="s">
        <v>138</v>
      </c>
      <c r="B162" s="127" t="s">
        <v>142</v>
      </c>
      <c r="C162" s="168" t="s">
        <v>142</v>
      </c>
      <c r="D162" s="127" t="s">
        <v>4</v>
      </c>
      <c r="E162" s="127" t="s">
        <v>26</v>
      </c>
      <c r="F162" s="127" t="s">
        <v>3094</v>
      </c>
      <c r="G162" s="82">
        <v>35125</v>
      </c>
      <c r="H162" s="50" t="s">
        <v>201</v>
      </c>
      <c r="I162" s="83">
        <v>17137</v>
      </c>
      <c r="J162" s="84">
        <v>22799</v>
      </c>
      <c r="K162" s="50" t="s">
        <v>198</v>
      </c>
      <c r="L162" s="50" t="s">
        <v>199</v>
      </c>
      <c r="M162" s="85" t="s">
        <v>200</v>
      </c>
      <c r="N162" s="86">
        <v>12</v>
      </c>
      <c r="O162" s="87">
        <v>10</v>
      </c>
      <c r="P162" s="87">
        <v>10</v>
      </c>
      <c r="Q162" s="87">
        <v>2</v>
      </c>
      <c r="R162" s="87"/>
      <c r="S162" s="133">
        <f>SUM(N162:R162)</f>
        <v>34</v>
      </c>
      <c r="T162" s="86">
        <v>333</v>
      </c>
      <c r="U162" s="87">
        <v>163</v>
      </c>
      <c r="V162" s="87">
        <v>282</v>
      </c>
      <c r="W162" s="87">
        <v>136</v>
      </c>
      <c r="X162" s="87">
        <v>294</v>
      </c>
      <c r="Y162" s="87">
        <v>156</v>
      </c>
      <c r="Z162" s="134">
        <f t="shared" si="100"/>
        <v>909</v>
      </c>
      <c r="AA162" s="133">
        <f t="shared" si="100"/>
        <v>455</v>
      </c>
      <c r="AB162" s="86">
        <v>15</v>
      </c>
      <c r="AC162" s="87">
        <v>2</v>
      </c>
      <c r="AD162" s="87"/>
      <c r="AE162" s="88"/>
      <c r="AF162" s="89"/>
    </row>
    <row r="163" spans="1:32" s="81" customFormat="1" ht="17.100000000000001" customHeight="1">
      <c r="A163" s="127" t="s">
        <v>138</v>
      </c>
      <c r="B163" s="127" t="s">
        <v>142</v>
      </c>
      <c r="C163" s="168" t="s">
        <v>142</v>
      </c>
      <c r="D163" s="1353" t="s">
        <v>4</v>
      </c>
      <c r="E163" s="127" t="s">
        <v>26</v>
      </c>
      <c r="F163" s="127" t="s">
        <v>193</v>
      </c>
      <c r="G163" s="82">
        <v>38047</v>
      </c>
      <c r="H163" s="50" t="s">
        <v>194</v>
      </c>
      <c r="I163" s="83">
        <v>12208</v>
      </c>
      <c r="J163" s="84">
        <v>22820</v>
      </c>
      <c r="K163" s="50" t="s">
        <v>195</v>
      </c>
      <c r="L163" s="50" t="s">
        <v>3095</v>
      </c>
      <c r="M163" s="85" t="s">
        <v>196</v>
      </c>
      <c r="N163" s="86">
        <v>11</v>
      </c>
      <c r="O163" s="87">
        <v>10</v>
      </c>
      <c r="P163" s="87">
        <v>10</v>
      </c>
      <c r="Q163" s="87">
        <v>2</v>
      </c>
      <c r="R163" s="87">
        <v>0</v>
      </c>
      <c r="S163" s="133">
        <f>SUM(N163:R163)</f>
        <v>33</v>
      </c>
      <c r="T163" s="86">
        <v>281</v>
      </c>
      <c r="U163" s="87">
        <v>134</v>
      </c>
      <c r="V163" s="87">
        <v>261</v>
      </c>
      <c r="W163" s="87">
        <v>129</v>
      </c>
      <c r="X163" s="87">
        <v>270</v>
      </c>
      <c r="Y163" s="87">
        <v>139</v>
      </c>
      <c r="Z163" s="134">
        <f t="shared" si="100"/>
        <v>812</v>
      </c>
      <c r="AA163" s="133">
        <f t="shared" si="100"/>
        <v>402</v>
      </c>
      <c r="AB163" s="86">
        <v>14</v>
      </c>
      <c r="AC163" s="87">
        <v>3</v>
      </c>
      <c r="AD163" s="87">
        <v>0</v>
      </c>
      <c r="AE163" s="88">
        <v>0</v>
      </c>
      <c r="AF163" s="89"/>
    </row>
    <row r="164" spans="1:32" s="81" customFormat="1" ht="17.100000000000001" customHeight="1">
      <c r="A164" s="127" t="s">
        <v>138</v>
      </c>
      <c r="B164" s="127" t="s">
        <v>142</v>
      </c>
      <c r="C164" s="127" t="s">
        <v>2825</v>
      </c>
      <c r="D164" s="1354" t="s">
        <v>444</v>
      </c>
      <c r="E164" s="127" t="s">
        <v>24</v>
      </c>
      <c r="F164" s="127" t="s">
        <v>188</v>
      </c>
      <c r="G164" s="82">
        <v>37263</v>
      </c>
      <c r="H164" s="50" t="s">
        <v>197</v>
      </c>
      <c r="I164" s="83">
        <v>12488</v>
      </c>
      <c r="J164" s="84">
        <v>22633</v>
      </c>
      <c r="K164" s="50" t="s">
        <v>189</v>
      </c>
      <c r="L164" s="689" t="s">
        <v>2069</v>
      </c>
      <c r="M164" s="85" t="s">
        <v>2070</v>
      </c>
      <c r="N164" s="86">
        <v>10</v>
      </c>
      <c r="O164" s="87">
        <v>8</v>
      </c>
      <c r="P164" s="87">
        <v>10</v>
      </c>
      <c r="Q164" s="87">
        <v>2</v>
      </c>
      <c r="R164" s="87">
        <v>0</v>
      </c>
      <c r="S164" s="133">
        <f t="shared" ref="S164" si="101">SUM(N164:R164)</f>
        <v>30</v>
      </c>
      <c r="T164" s="86">
        <v>276</v>
      </c>
      <c r="U164" s="87">
        <v>276</v>
      </c>
      <c r="V164" s="87">
        <v>237</v>
      </c>
      <c r="W164" s="87">
        <v>237</v>
      </c>
      <c r="X164" s="87">
        <v>260</v>
      </c>
      <c r="Y164" s="87">
        <v>260</v>
      </c>
      <c r="Z164" s="134">
        <f t="shared" si="100"/>
        <v>773</v>
      </c>
      <c r="AA164" s="133">
        <f t="shared" si="100"/>
        <v>773</v>
      </c>
      <c r="AB164" s="160">
        <v>8</v>
      </c>
      <c r="AC164" s="161">
        <v>9</v>
      </c>
      <c r="AD164" s="87">
        <v>0</v>
      </c>
      <c r="AE164" s="88">
        <v>0</v>
      </c>
      <c r="AF164" s="89"/>
    </row>
    <row r="165" spans="1:32" s="81" customFormat="1" ht="17.100000000000001" customHeight="1">
      <c r="A165" s="127" t="s">
        <v>138</v>
      </c>
      <c r="B165" s="127" t="s">
        <v>142</v>
      </c>
      <c r="C165" s="168" t="s">
        <v>2824</v>
      </c>
      <c r="D165" s="127" t="s">
        <v>4</v>
      </c>
      <c r="E165" s="127" t="s">
        <v>26</v>
      </c>
      <c r="F165" s="127" t="s">
        <v>354</v>
      </c>
      <c r="G165" s="82">
        <v>35490</v>
      </c>
      <c r="H165" s="50" t="s">
        <v>3096</v>
      </c>
      <c r="I165" s="83">
        <v>12888</v>
      </c>
      <c r="J165" s="84">
        <v>22687</v>
      </c>
      <c r="K165" s="50" t="s">
        <v>3097</v>
      </c>
      <c r="L165" s="50" t="s">
        <v>3098</v>
      </c>
      <c r="M165" s="85" t="s">
        <v>3099</v>
      </c>
      <c r="N165" s="86">
        <v>12</v>
      </c>
      <c r="O165" s="87">
        <v>12</v>
      </c>
      <c r="P165" s="87">
        <v>12</v>
      </c>
      <c r="Q165" s="87">
        <v>2</v>
      </c>
      <c r="R165" s="87"/>
      <c r="S165" s="133">
        <f>SUM(N165:R165)</f>
        <v>38</v>
      </c>
      <c r="T165" s="86">
        <v>408</v>
      </c>
      <c r="U165" s="87">
        <v>191</v>
      </c>
      <c r="V165" s="87">
        <v>358</v>
      </c>
      <c r="W165" s="87">
        <v>181</v>
      </c>
      <c r="X165" s="87">
        <v>382</v>
      </c>
      <c r="Y165" s="87">
        <v>196</v>
      </c>
      <c r="Z165" s="134">
        <f>T165+V165+X165</f>
        <v>1148</v>
      </c>
      <c r="AA165" s="133">
        <f>U165+W165+Y165</f>
        <v>568</v>
      </c>
      <c r="AB165" s="86">
        <v>11</v>
      </c>
      <c r="AC165" s="87">
        <f>-AC170</f>
        <v>0</v>
      </c>
      <c r="AD165" s="87"/>
      <c r="AE165" s="88"/>
      <c r="AF165" s="89"/>
    </row>
    <row r="166" spans="1:32" s="81" customFormat="1" ht="17.100000000000001" customHeight="1">
      <c r="A166" s="127" t="s">
        <v>138</v>
      </c>
      <c r="B166" s="127" t="s">
        <v>142</v>
      </c>
      <c r="C166" s="168" t="s">
        <v>2824</v>
      </c>
      <c r="D166" s="127" t="s">
        <v>4</v>
      </c>
      <c r="E166" s="127" t="s">
        <v>144</v>
      </c>
      <c r="F166" s="127" t="s">
        <v>3100</v>
      </c>
      <c r="G166" s="82">
        <v>42430</v>
      </c>
      <c r="H166" s="50" t="s">
        <v>3101</v>
      </c>
      <c r="I166" s="83">
        <v>13936</v>
      </c>
      <c r="J166" s="84">
        <v>22610</v>
      </c>
      <c r="K166" s="50" t="s">
        <v>3102</v>
      </c>
      <c r="L166" s="50" t="s">
        <v>3103</v>
      </c>
      <c r="M166" s="85" t="s">
        <v>3104</v>
      </c>
      <c r="N166" s="86">
        <v>8</v>
      </c>
      <c r="O166" s="87">
        <v>8</v>
      </c>
      <c r="P166" s="87">
        <v>8</v>
      </c>
      <c r="Q166" s="87">
        <v>2</v>
      </c>
      <c r="R166" s="87"/>
      <c r="S166" s="133">
        <f>SUM(N166:R166)</f>
        <v>26</v>
      </c>
      <c r="T166" s="86">
        <v>273</v>
      </c>
      <c r="U166" s="87"/>
      <c r="V166" s="87">
        <v>246</v>
      </c>
      <c r="W166" s="87"/>
      <c r="X166" s="87">
        <v>250</v>
      </c>
      <c r="Y166" s="87"/>
      <c r="Z166" s="134">
        <f t="shared" ref="Z166:AA167" si="102">T166+V166+X166</f>
        <v>769</v>
      </c>
      <c r="AA166" s="133">
        <f t="shared" si="102"/>
        <v>0</v>
      </c>
      <c r="AB166" s="86">
        <v>9</v>
      </c>
      <c r="AC166" s="87"/>
      <c r="AD166" s="87"/>
      <c r="AE166" s="88"/>
      <c r="AF166" s="89"/>
    </row>
    <row r="167" spans="1:32" s="81" customFormat="1" ht="17.100000000000001" customHeight="1">
      <c r="A167" s="127" t="s">
        <v>138</v>
      </c>
      <c r="B167" s="127" t="s">
        <v>142</v>
      </c>
      <c r="C167" s="168" t="s">
        <v>142</v>
      </c>
      <c r="D167" s="127" t="s">
        <v>4</v>
      </c>
      <c r="E167" s="127" t="s">
        <v>24</v>
      </c>
      <c r="F167" s="127" t="s">
        <v>355</v>
      </c>
      <c r="G167" s="82">
        <v>39508</v>
      </c>
      <c r="H167" s="50" t="s">
        <v>3105</v>
      </c>
      <c r="I167" s="83">
        <v>12427</v>
      </c>
      <c r="J167" s="84">
        <v>22779</v>
      </c>
      <c r="K167" s="50" t="s">
        <v>3106</v>
      </c>
      <c r="L167" s="50" t="s">
        <v>3107</v>
      </c>
      <c r="M167" s="85" t="s">
        <v>3108</v>
      </c>
      <c r="N167" s="86">
        <v>11</v>
      </c>
      <c r="O167" s="87">
        <v>9</v>
      </c>
      <c r="P167" s="87">
        <v>9</v>
      </c>
      <c r="Q167" s="87">
        <v>1</v>
      </c>
      <c r="R167" s="87"/>
      <c r="S167" s="133">
        <f>SUM(N167:R167)</f>
        <v>30</v>
      </c>
      <c r="T167" s="86">
        <v>276</v>
      </c>
      <c r="U167" s="87">
        <v>276</v>
      </c>
      <c r="V167" s="87">
        <v>195</v>
      </c>
      <c r="W167" s="87">
        <v>195</v>
      </c>
      <c r="X167" s="87">
        <v>209</v>
      </c>
      <c r="Y167" s="87">
        <v>209</v>
      </c>
      <c r="Z167" s="134">
        <f t="shared" si="102"/>
        <v>680</v>
      </c>
      <c r="AA167" s="133">
        <f t="shared" si="102"/>
        <v>680</v>
      </c>
      <c r="AB167" s="86">
        <v>7</v>
      </c>
      <c r="AC167" s="87">
        <v>7</v>
      </c>
      <c r="AD167" s="87"/>
      <c r="AE167" s="88"/>
      <c r="AF167" s="89"/>
    </row>
    <row r="168" spans="1:32" s="81" customFormat="1" ht="17.100000000000001" customHeight="1">
      <c r="A168" s="127" t="s">
        <v>138</v>
      </c>
      <c r="B168" s="127" t="s">
        <v>142</v>
      </c>
      <c r="C168" s="168" t="s">
        <v>2824</v>
      </c>
      <c r="D168" s="127" t="s">
        <v>4</v>
      </c>
      <c r="E168" s="127" t="s">
        <v>26</v>
      </c>
      <c r="F168" s="127" t="s">
        <v>3109</v>
      </c>
      <c r="G168" s="82">
        <v>44621</v>
      </c>
      <c r="H168" s="50" t="s">
        <v>3110</v>
      </c>
      <c r="I168" s="83">
        <v>15007</v>
      </c>
      <c r="J168" s="84">
        <v>22874</v>
      </c>
      <c r="K168" s="50" t="s">
        <v>2015</v>
      </c>
      <c r="L168" s="50" t="s">
        <v>3111</v>
      </c>
      <c r="M168" s="85" t="s">
        <v>2016</v>
      </c>
      <c r="N168" s="86">
        <v>14</v>
      </c>
      <c r="O168" s="87">
        <v>14</v>
      </c>
      <c r="P168" s="87">
        <v>14</v>
      </c>
      <c r="Q168" s="87">
        <v>2</v>
      </c>
      <c r="R168" s="87"/>
      <c r="S168" s="133">
        <f>SUM(N168:R168)</f>
        <v>44</v>
      </c>
      <c r="T168" s="86">
        <v>471</v>
      </c>
      <c r="U168" s="87">
        <v>222</v>
      </c>
      <c r="V168" s="87">
        <v>428</v>
      </c>
      <c r="W168" s="87">
        <v>209</v>
      </c>
      <c r="X168" s="87">
        <v>402</v>
      </c>
      <c r="Y168" s="87">
        <v>200</v>
      </c>
      <c r="Z168" s="134">
        <f>T168+V168+X168</f>
        <v>1301</v>
      </c>
      <c r="AA168" s="133">
        <f>U168+W168+Y168</f>
        <v>631</v>
      </c>
      <c r="AB168" s="160">
        <v>9</v>
      </c>
      <c r="AC168" s="161">
        <v>5</v>
      </c>
      <c r="AD168" s="87"/>
      <c r="AE168" s="88"/>
      <c r="AF168" s="89"/>
    </row>
    <row r="169" spans="1:32" s="81" customFormat="1" ht="17.100000000000001" customHeight="1">
      <c r="A169" s="127" t="s">
        <v>138</v>
      </c>
      <c r="B169" s="127" t="s">
        <v>142</v>
      </c>
      <c r="C169" s="168" t="s">
        <v>2824</v>
      </c>
      <c r="D169" s="127" t="s">
        <v>4</v>
      </c>
      <c r="E169" s="127" t="s">
        <v>26</v>
      </c>
      <c r="F169" s="127" t="s">
        <v>3112</v>
      </c>
      <c r="G169" s="82">
        <v>38777</v>
      </c>
      <c r="H169" s="50" t="s">
        <v>3113</v>
      </c>
      <c r="I169" s="83">
        <v>12053</v>
      </c>
      <c r="J169" s="84">
        <v>22625</v>
      </c>
      <c r="K169" s="50" t="s">
        <v>2032</v>
      </c>
      <c r="L169" s="50" t="s">
        <v>2033</v>
      </c>
      <c r="M169" s="85" t="s">
        <v>2034</v>
      </c>
      <c r="N169" s="86">
        <v>10</v>
      </c>
      <c r="O169" s="87">
        <v>10</v>
      </c>
      <c r="P169" s="87">
        <v>12</v>
      </c>
      <c r="Q169" s="87">
        <v>1</v>
      </c>
      <c r="R169" s="87"/>
      <c r="S169" s="133">
        <f>SUM(N169:R169)</f>
        <v>33</v>
      </c>
      <c r="T169" s="86">
        <v>337</v>
      </c>
      <c r="U169" s="87">
        <v>157</v>
      </c>
      <c r="V169" s="87">
        <v>305</v>
      </c>
      <c r="W169" s="87">
        <v>153</v>
      </c>
      <c r="X169" s="87">
        <v>373</v>
      </c>
      <c r="Y169" s="87">
        <v>183</v>
      </c>
      <c r="Z169" s="134">
        <f>T169+V169+X169</f>
        <v>1015</v>
      </c>
      <c r="AA169" s="133">
        <f>U169+W169+Y169</f>
        <v>493</v>
      </c>
      <c r="AB169" s="86">
        <v>7</v>
      </c>
      <c r="AC169" s="87">
        <v>1</v>
      </c>
      <c r="AD169" s="87"/>
      <c r="AE169" s="88"/>
      <c r="AF169" s="89"/>
    </row>
    <row r="170" spans="1:32" s="81" customFormat="1" ht="17.100000000000001" customHeight="1">
      <c r="A170" s="127" t="s">
        <v>138</v>
      </c>
      <c r="B170" s="127" t="s">
        <v>142</v>
      </c>
      <c r="C170" s="168" t="s">
        <v>142</v>
      </c>
      <c r="D170" s="127" t="s">
        <v>4</v>
      </c>
      <c r="E170" s="127" t="s">
        <v>144</v>
      </c>
      <c r="F170" s="127" t="s">
        <v>253</v>
      </c>
      <c r="G170" s="82">
        <v>40603</v>
      </c>
      <c r="H170" s="50" t="s">
        <v>256</v>
      </c>
      <c r="I170" s="83">
        <v>12000</v>
      </c>
      <c r="J170" s="84">
        <v>22733</v>
      </c>
      <c r="K170" s="50" t="s">
        <v>3114</v>
      </c>
      <c r="L170" s="50" t="s">
        <v>254</v>
      </c>
      <c r="M170" s="85" t="s">
        <v>255</v>
      </c>
      <c r="N170" s="86">
        <v>10</v>
      </c>
      <c r="O170" s="87">
        <v>10</v>
      </c>
      <c r="P170" s="87">
        <v>10</v>
      </c>
      <c r="Q170" s="87">
        <v>1</v>
      </c>
      <c r="R170" s="87"/>
      <c r="S170" s="133">
        <f t="shared" ref="S170" si="103">SUM(N170:R170)</f>
        <v>31</v>
      </c>
      <c r="T170" s="86">
        <v>327</v>
      </c>
      <c r="U170" s="87"/>
      <c r="V170" s="87">
        <v>292</v>
      </c>
      <c r="W170" s="87"/>
      <c r="X170" s="87">
        <v>285</v>
      </c>
      <c r="Y170" s="87"/>
      <c r="Z170" s="134">
        <f t="shared" ref="Z170:AA172" si="104">T170+V170+X170</f>
        <v>904</v>
      </c>
      <c r="AA170" s="133">
        <f t="shared" si="104"/>
        <v>0</v>
      </c>
      <c r="AB170" s="86">
        <v>5</v>
      </c>
      <c r="AC170" s="87"/>
      <c r="AD170" s="88"/>
      <c r="AE170" s="88"/>
      <c r="AF170" s="89"/>
    </row>
    <row r="171" spans="1:32" s="81" customFormat="1" ht="17.100000000000001" customHeight="1">
      <c r="A171" s="127" t="s">
        <v>138</v>
      </c>
      <c r="B171" s="127" t="s">
        <v>142</v>
      </c>
      <c r="C171" s="168" t="s">
        <v>142</v>
      </c>
      <c r="D171" s="127" t="s">
        <v>4</v>
      </c>
      <c r="E171" s="127" t="s">
        <v>24</v>
      </c>
      <c r="F171" s="127" t="s">
        <v>3115</v>
      </c>
      <c r="G171" s="82">
        <v>40603</v>
      </c>
      <c r="H171" s="50" t="s">
        <v>377</v>
      </c>
      <c r="I171" s="83">
        <v>12000</v>
      </c>
      <c r="J171" s="84">
        <v>22740</v>
      </c>
      <c r="K171" s="50" t="s">
        <v>3116</v>
      </c>
      <c r="L171" s="50" t="s">
        <v>3117</v>
      </c>
      <c r="M171" s="85" t="s">
        <v>3118</v>
      </c>
      <c r="N171" s="86">
        <v>11</v>
      </c>
      <c r="O171" s="87">
        <v>9</v>
      </c>
      <c r="P171" s="87">
        <v>10</v>
      </c>
      <c r="Q171" s="87">
        <v>1</v>
      </c>
      <c r="R171" s="87"/>
      <c r="S171" s="133">
        <f>SUM(N171:R171)</f>
        <v>31</v>
      </c>
      <c r="T171" s="86">
        <v>325</v>
      </c>
      <c r="U171" s="87">
        <v>325</v>
      </c>
      <c r="V171" s="87">
        <v>246</v>
      </c>
      <c r="W171" s="87">
        <v>246</v>
      </c>
      <c r="X171" s="87">
        <v>299</v>
      </c>
      <c r="Y171" s="87">
        <v>299</v>
      </c>
      <c r="Z171" s="134">
        <f t="shared" si="104"/>
        <v>870</v>
      </c>
      <c r="AA171" s="133">
        <f t="shared" si="104"/>
        <v>870</v>
      </c>
      <c r="AB171" s="86">
        <v>8</v>
      </c>
      <c r="AC171" s="87">
        <v>8</v>
      </c>
      <c r="AD171" s="87">
        <v>0</v>
      </c>
      <c r="AE171" s="88">
        <v>0</v>
      </c>
      <c r="AF171" s="847"/>
    </row>
    <row r="172" spans="1:32" s="81" customFormat="1" ht="17.100000000000001" customHeight="1">
      <c r="A172" s="127" t="s">
        <v>138</v>
      </c>
      <c r="B172" s="127" t="s">
        <v>142</v>
      </c>
      <c r="C172" s="168" t="s">
        <v>142</v>
      </c>
      <c r="D172" s="127" t="s">
        <v>4</v>
      </c>
      <c r="E172" s="127" t="s">
        <v>26</v>
      </c>
      <c r="F172" s="127" t="s">
        <v>3119</v>
      </c>
      <c r="G172" s="82">
        <v>41334</v>
      </c>
      <c r="H172" s="50" t="s">
        <v>3120</v>
      </c>
      <c r="I172" s="83">
        <v>12000</v>
      </c>
      <c r="J172" s="84">
        <v>22765</v>
      </c>
      <c r="K172" s="50" t="s">
        <v>282</v>
      </c>
      <c r="L172" s="50" t="s">
        <v>283</v>
      </c>
      <c r="M172" s="85" t="s">
        <v>284</v>
      </c>
      <c r="N172" s="86">
        <v>10</v>
      </c>
      <c r="O172" s="87">
        <v>10</v>
      </c>
      <c r="P172" s="87">
        <v>10</v>
      </c>
      <c r="Q172" s="87">
        <v>2</v>
      </c>
      <c r="R172" s="87">
        <v>0</v>
      </c>
      <c r="S172" s="133">
        <f>SUM(N172:R172)</f>
        <v>32</v>
      </c>
      <c r="T172" s="86">
        <v>320</v>
      </c>
      <c r="U172" s="87">
        <v>155</v>
      </c>
      <c r="V172" s="87">
        <v>291</v>
      </c>
      <c r="W172" s="87">
        <v>140</v>
      </c>
      <c r="X172" s="87">
        <v>296</v>
      </c>
      <c r="Y172" s="87">
        <v>152</v>
      </c>
      <c r="Z172" s="134">
        <f t="shared" si="104"/>
        <v>907</v>
      </c>
      <c r="AA172" s="133">
        <f t="shared" si="104"/>
        <v>447</v>
      </c>
      <c r="AB172" s="86">
        <v>11</v>
      </c>
      <c r="AC172" s="87">
        <v>2</v>
      </c>
      <c r="AD172" s="87">
        <v>0</v>
      </c>
      <c r="AE172" s="88">
        <v>0</v>
      </c>
      <c r="AF172" s="89"/>
    </row>
    <row r="173" spans="1:32" s="81" customFormat="1" ht="20.100000000000001" customHeight="1">
      <c r="A173" s="127" t="s">
        <v>138</v>
      </c>
      <c r="B173" s="127" t="s">
        <v>142</v>
      </c>
      <c r="C173" s="168" t="s">
        <v>2824</v>
      </c>
      <c r="D173" s="127" t="s">
        <v>4</v>
      </c>
      <c r="E173" s="127" t="s">
        <v>26</v>
      </c>
      <c r="F173" s="127" t="s">
        <v>2061</v>
      </c>
      <c r="G173" s="82">
        <v>45717</v>
      </c>
      <c r="H173" s="50" t="s">
        <v>2062</v>
      </c>
      <c r="I173" s="83">
        <v>15000</v>
      </c>
      <c r="J173" s="84">
        <v>22861</v>
      </c>
      <c r="K173" s="50" t="s">
        <v>3121</v>
      </c>
      <c r="L173" s="50" t="s">
        <v>3122</v>
      </c>
      <c r="M173" s="85" t="s">
        <v>3123</v>
      </c>
      <c r="N173" s="86">
        <v>14</v>
      </c>
      <c r="O173" s="87">
        <v>14</v>
      </c>
      <c r="P173" s="87">
        <v>9</v>
      </c>
      <c r="Q173" s="87">
        <v>1</v>
      </c>
      <c r="R173" s="87"/>
      <c r="S173" s="133">
        <f>SUM(N173:R173)</f>
        <v>38</v>
      </c>
      <c r="T173" s="86">
        <v>468</v>
      </c>
      <c r="U173" s="87">
        <v>222</v>
      </c>
      <c r="V173" s="87">
        <v>401</v>
      </c>
      <c r="W173" s="87">
        <v>205</v>
      </c>
      <c r="X173" s="87">
        <v>217</v>
      </c>
      <c r="Y173" s="87">
        <v>137</v>
      </c>
      <c r="Z173" s="134">
        <f>T173+V173+X173</f>
        <v>1086</v>
      </c>
      <c r="AA173" s="133">
        <f>U173+W173+Y173</f>
        <v>564</v>
      </c>
      <c r="AB173" s="86">
        <v>6</v>
      </c>
      <c r="AC173" s="87">
        <v>3</v>
      </c>
      <c r="AD173" s="87"/>
      <c r="AE173" s="88"/>
      <c r="AF173" s="89"/>
    </row>
    <row r="174" spans="1:32" s="81" customFormat="1" ht="17.100000000000001" customHeight="1">
      <c r="A174" s="1684" t="s">
        <v>406</v>
      </c>
      <c r="B174" s="1684"/>
      <c r="C174" s="208"/>
      <c r="D174" s="207">
        <f>COUNTA(D161:D173)</f>
        <v>13</v>
      </c>
      <c r="E174" s="208"/>
      <c r="F174" s="829"/>
      <c r="G174" s="209"/>
      <c r="H174" s="210"/>
      <c r="I174" s="211"/>
      <c r="J174" s="212"/>
      <c r="K174" s="210"/>
      <c r="L174" s="210"/>
      <c r="M174" s="213"/>
      <c r="N174" s="789">
        <f>SUM(N161:N173)</f>
        <v>144</v>
      </c>
      <c r="O174" s="790">
        <f t="shared" ref="O174:Q174" si="105">SUM(O161:O173)</f>
        <v>134</v>
      </c>
      <c r="P174" s="790">
        <f t="shared" si="105"/>
        <v>134</v>
      </c>
      <c r="Q174" s="790">
        <f t="shared" si="105"/>
        <v>21</v>
      </c>
      <c r="R174" s="790">
        <f t="shared" ref="R174:AE174" si="106">SUM(R161:R172)</f>
        <v>0</v>
      </c>
      <c r="S174" s="791">
        <f>SUM(S161:S173)</f>
        <v>433</v>
      </c>
      <c r="T174" s="214">
        <f>SUM(T161:T173)</f>
        <v>4389</v>
      </c>
      <c r="U174" s="215">
        <f>SUM(U161:U173)</f>
        <v>2265</v>
      </c>
      <c r="V174" s="215">
        <f t="shared" ref="V174:Z174" si="107">SUM(V161:V173)</f>
        <v>3791</v>
      </c>
      <c r="W174" s="215">
        <f t="shared" si="107"/>
        <v>1958</v>
      </c>
      <c r="X174" s="215">
        <f t="shared" si="107"/>
        <v>3812</v>
      </c>
      <c r="Y174" s="215">
        <f t="shared" si="107"/>
        <v>2072</v>
      </c>
      <c r="Z174" s="215">
        <f t="shared" si="107"/>
        <v>11992</v>
      </c>
      <c r="AA174" s="216">
        <f>SUM(AA161:AA173)</f>
        <v>6295</v>
      </c>
      <c r="AB174" s="214">
        <f>SUM(AB161:AB173)</f>
        <v>120</v>
      </c>
      <c r="AC174" s="215">
        <f>SUM(AC161:AC173)</f>
        <v>44</v>
      </c>
      <c r="AD174" s="215">
        <f t="shared" si="106"/>
        <v>0</v>
      </c>
      <c r="AE174" s="216">
        <f t="shared" si="106"/>
        <v>0</v>
      </c>
      <c r="AF174" s="89"/>
    </row>
    <row r="175" spans="1:32" s="81" customFormat="1" ht="17.100000000000001" customHeight="1">
      <c r="A175" s="127" t="s">
        <v>139</v>
      </c>
      <c r="B175" s="127" t="s">
        <v>142</v>
      </c>
      <c r="C175" s="168" t="s">
        <v>142</v>
      </c>
      <c r="D175" s="127" t="s">
        <v>4</v>
      </c>
      <c r="E175" s="127" t="s">
        <v>26</v>
      </c>
      <c r="F175" s="127" t="s">
        <v>227</v>
      </c>
      <c r="G175" s="82">
        <v>34759</v>
      </c>
      <c r="H175" s="50" t="s">
        <v>3124</v>
      </c>
      <c r="I175" s="83">
        <v>11522.6</v>
      </c>
      <c r="J175" s="84">
        <v>22723</v>
      </c>
      <c r="K175" s="50" t="s">
        <v>3125</v>
      </c>
      <c r="L175" s="50" t="s">
        <v>3126</v>
      </c>
      <c r="M175" s="85" t="s">
        <v>3127</v>
      </c>
      <c r="N175" s="90">
        <v>10</v>
      </c>
      <c r="O175" s="91">
        <v>10</v>
      </c>
      <c r="P175" s="91">
        <v>10</v>
      </c>
      <c r="Q175" s="91">
        <v>2</v>
      </c>
      <c r="R175" s="91">
        <v>0</v>
      </c>
      <c r="S175" s="133">
        <f>SUM(N175:R175)</f>
        <v>32</v>
      </c>
      <c r="T175" s="90">
        <v>214</v>
      </c>
      <c r="U175" s="91">
        <v>134</v>
      </c>
      <c r="V175" s="91">
        <v>187</v>
      </c>
      <c r="W175" s="91">
        <v>114</v>
      </c>
      <c r="X175" s="91">
        <v>190</v>
      </c>
      <c r="Y175" s="91">
        <v>115</v>
      </c>
      <c r="Z175" s="134">
        <f>T175+V175+X175</f>
        <v>591</v>
      </c>
      <c r="AA175" s="133">
        <f>U175+W175+Y175</f>
        <v>363</v>
      </c>
      <c r="AB175" s="90">
        <f>5+5+4</f>
        <v>14</v>
      </c>
      <c r="AC175" s="91">
        <v>1</v>
      </c>
      <c r="AD175" s="91">
        <v>0</v>
      </c>
      <c r="AE175" s="92">
        <v>0</v>
      </c>
      <c r="AF175" s="93"/>
    </row>
    <row r="176" spans="1:32" s="81" customFormat="1" ht="17.100000000000001" customHeight="1">
      <c r="A176" s="1684" t="s">
        <v>407</v>
      </c>
      <c r="B176" s="1684"/>
      <c r="C176" s="208"/>
      <c r="D176" s="207">
        <f>COUNTA(D175:D175)</f>
        <v>1</v>
      </c>
      <c r="E176" s="208"/>
      <c r="F176" s="829"/>
      <c r="G176" s="209"/>
      <c r="H176" s="210"/>
      <c r="I176" s="211"/>
      <c r="J176" s="212"/>
      <c r="K176" s="210"/>
      <c r="L176" s="210"/>
      <c r="M176" s="213"/>
      <c r="N176" s="214">
        <f t="shared" ref="N176:AE176" si="108">N175</f>
        <v>10</v>
      </c>
      <c r="O176" s="215">
        <f t="shared" si="108"/>
        <v>10</v>
      </c>
      <c r="P176" s="215">
        <f t="shared" si="108"/>
        <v>10</v>
      </c>
      <c r="Q176" s="215">
        <f t="shared" si="108"/>
        <v>2</v>
      </c>
      <c r="R176" s="215">
        <f t="shared" si="108"/>
        <v>0</v>
      </c>
      <c r="S176" s="216">
        <f t="shared" si="108"/>
        <v>32</v>
      </c>
      <c r="T176" s="214">
        <f t="shared" si="108"/>
        <v>214</v>
      </c>
      <c r="U176" s="215">
        <f t="shared" si="108"/>
        <v>134</v>
      </c>
      <c r="V176" s="215">
        <f t="shared" si="108"/>
        <v>187</v>
      </c>
      <c r="W176" s="215">
        <f t="shared" si="108"/>
        <v>114</v>
      </c>
      <c r="X176" s="215">
        <f t="shared" si="108"/>
        <v>190</v>
      </c>
      <c r="Y176" s="215">
        <f t="shared" si="108"/>
        <v>115</v>
      </c>
      <c r="Z176" s="215">
        <f t="shared" si="108"/>
        <v>591</v>
      </c>
      <c r="AA176" s="216">
        <f t="shared" si="108"/>
        <v>363</v>
      </c>
      <c r="AB176" s="214">
        <f t="shared" si="108"/>
        <v>14</v>
      </c>
      <c r="AC176" s="215">
        <f t="shared" si="108"/>
        <v>1</v>
      </c>
      <c r="AD176" s="215">
        <f t="shared" si="108"/>
        <v>0</v>
      </c>
      <c r="AE176" s="216">
        <f t="shared" si="108"/>
        <v>0</v>
      </c>
      <c r="AF176" s="89"/>
    </row>
    <row r="177" spans="1:32" s="81" customFormat="1" ht="17.100000000000001" customHeight="1">
      <c r="A177" s="127" t="s">
        <v>140</v>
      </c>
      <c r="B177" s="127" t="s">
        <v>142</v>
      </c>
      <c r="C177" s="168" t="s">
        <v>142</v>
      </c>
      <c r="D177" s="127" t="s">
        <v>4</v>
      </c>
      <c r="E177" s="127" t="s">
        <v>26</v>
      </c>
      <c r="F177" s="127" t="s">
        <v>3128</v>
      </c>
      <c r="G177" s="82">
        <v>27712</v>
      </c>
      <c r="H177" s="50" t="s">
        <v>274</v>
      </c>
      <c r="I177" s="83">
        <v>66000</v>
      </c>
      <c r="J177" s="84">
        <v>22755</v>
      </c>
      <c r="K177" s="50" t="s">
        <v>275</v>
      </c>
      <c r="L177" s="50" t="s">
        <v>276</v>
      </c>
      <c r="M177" s="85" t="s">
        <v>277</v>
      </c>
      <c r="N177" s="86">
        <v>4</v>
      </c>
      <c r="O177" s="87">
        <v>3</v>
      </c>
      <c r="P177" s="87">
        <v>3</v>
      </c>
      <c r="Q177" s="87"/>
      <c r="R177" s="87"/>
      <c r="S177" s="133">
        <f>SUM(N177:R177)</f>
        <v>10</v>
      </c>
      <c r="T177" s="86">
        <v>107</v>
      </c>
      <c r="U177" s="87">
        <v>48</v>
      </c>
      <c r="V177" s="87">
        <v>95</v>
      </c>
      <c r="W177" s="87">
        <v>34</v>
      </c>
      <c r="X177" s="87">
        <v>81</v>
      </c>
      <c r="Y177" s="87">
        <v>35</v>
      </c>
      <c r="Z177" s="134">
        <f>T177+V177+X177</f>
        <v>283</v>
      </c>
      <c r="AA177" s="133">
        <f>U177+W177+Y177</f>
        <v>117</v>
      </c>
      <c r="AB177" s="86"/>
      <c r="AC177" s="87"/>
      <c r="AD177" s="87"/>
      <c r="AE177" s="88"/>
      <c r="AF177" s="89"/>
    </row>
    <row r="178" spans="1:32" s="81" customFormat="1" ht="17.100000000000001" customHeight="1">
      <c r="A178" s="1684" t="s">
        <v>408</v>
      </c>
      <c r="B178" s="1684"/>
      <c r="C178" s="208"/>
      <c r="D178" s="207">
        <f>COUNTA(D177:D177)</f>
        <v>1</v>
      </c>
      <c r="E178" s="208"/>
      <c r="F178" s="829"/>
      <c r="G178" s="209"/>
      <c r="H178" s="210"/>
      <c r="I178" s="211"/>
      <c r="J178" s="212"/>
      <c r="K178" s="210"/>
      <c r="L178" s="210"/>
      <c r="M178" s="213"/>
      <c r="N178" s="214">
        <f t="shared" ref="N178:AE178" si="109">N177</f>
        <v>4</v>
      </c>
      <c r="O178" s="215">
        <f t="shared" si="109"/>
        <v>3</v>
      </c>
      <c r="P178" s="215">
        <f t="shared" si="109"/>
        <v>3</v>
      </c>
      <c r="Q178" s="215">
        <f t="shared" si="109"/>
        <v>0</v>
      </c>
      <c r="R178" s="215">
        <f t="shared" si="109"/>
        <v>0</v>
      </c>
      <c r="S178" s="216">
        <f t="shared" si="109"/>
        <v>10</v>
      </c>
      <c r="T178" s="214">
        <f t="shared" si="109"/>
        <v>107</v>
      </c>
      <c r="U178" s="215">
        <f t="shared" si="109"/>
        <v>48</v>
      </c>
      <c r="V178" s="215">
        <f t="shared" si="109"/>
        <v>95</v>
      </c>
      <c r="W178" s="215">
        <f t="shared" si="109"/>
        <v>34</v>
      </c>
      <c r="X178" s="215">
        <f t="shared" si="109"/>
        <v>81</v>
      </c>
      <c r="Y178" s="215">
        <f t="shared" si="109"/>
        <v>35</v>
      </c>
      <c r="Z178" s="215">
        <f t="shared" si="109"/>
        <v>283</v>
      </c>
      <c r="AA178" s="216">
        <f t="shared" si="109"/>
        <v>117</v>
      </c>
      <c r="AB178" s="214">
        <f t="shared" si="109"/>
        <v>0</v>
      </c>
      <c r="AC178" s="215">
        <f t="shared" si="109"/>
        <v>0</v>
      </c>
      <c r="AD178" s="215">
        <f t="shared" si="109"/>
        <v>0</v>
      </c>
      <c r="AE178" s="216">
        <f t="shared" si="109"/>
        <v>0</v>
      </c>
      <c r="AF178" s="89"/>
    </row>
    <row r="179" spans="1:32" s="81" customFormat="1" ht="17.100000000000001" customHeight="1">
      <c r="A179" s="1625" t="s">
        <v>432</v>
      </c>
      <c r="B179" s="1626"/>
      <c r="C179" s="1626"/>
      <c r="D179" s="1665"/>
      <c r="E179" s="179">
        <f>D174+D176+D178</f>
        <v>15</v>
      </c>
      <c r="F179" s="830"/>
      <c r="G179" s="180"/>
      <c r="H179" s="181"/>
      <c r="I179" s="182"/>
      <c r="J179" s="183"/>
      <c r="K179" s="181"/>
      <c r="L179" s="181"/>
      <c r="M179" s="184"/>
      <c r="N179" s="185">
        <f t="shared" ref="N179:AE179" si="110">N174+N176+N178</f>
        <v>158</v>
      </c>
      <c r="O179" s="186">
        <f t="shared" si="110"/>
        <v>147</v>
      </c>
      <c r="P179" s="186">
        <f t="shared" si="110"/>
        <v>147</v>
      </c>
      <c r="Q179" s="186">
        <f t="shared" si="110"/>
        <v>23</v>
      </c>
      <c r="R179" s="186">
        <f t="shared" si="110"/>
        <v>0</v>
      </c>
      <c r="S179" s="187">
        <f t="shared" si="110"/>
        <v>475</v>
      </c>
      <c r="T179" s="185">
        <f t="shared" si="110"/>
        <v>4710</v>
      </c>
      <c r="U179" s="186">
        <f t="shared" si="110"/>
        <v>2447</v>
      </c>
      <c r="V179" s="186">
        <f t="shared" si="110"/>
        <v>4073</v>
      </c>
      <c r="W179" s="186">
        <f t="shared" si="110"/>
        <v>2106</v>
      </c>
      <c r="X179" s="186">
        <f t="shared" si="110"/>
        <v>4083</v>
      </c>
      <c r="Y179" s="186">
        <f t="shared" si="110"/>
        <v>2222</v>
      </c>
      <c r="Z179" s="186">
        <f t="shared" si="110"/>
        <v>12866</v>
      </c>
      <c r="AA179" s="187">
        <f t="shared" si="110"/>
        <v>6775</v>
      </c>
      <c r="AB179" s="185">
        <f t="shared" si="110"/>
        <v>134</v>
      </c>
      <c r="AC179" s="186">
        <f t="shared" si="110"/>
        <v>45</v>
      </c>
      <c r="AD179" s="186">
        <f t="shared" si="110"/>
        <v>0</v>
      </c>
      <c r="AE179" s="187">
        <f t="shared" si="110"/>
        <v>0</v>
      </c>
      <c r="AF179" s="219"/>
    </row>
    <row r="180" spans="1:32" s="81" customFormat="1" ht="17.100000000000001" customHeight="1">
      <c r="A180" s="127" t="s">
        <v>138</v>
      </c>
      <c r="B180" s="127" t="s">
        <v>142</v>
      </c>
      <c r="C180" s="168" t="s">
        <v>142</v>
      </c>
      <c r="D180" s="127" t="s">
        <v>5</v>
      </c>
      <c r="E180" s="127" t="s">
        <v>144</v>
      </c>
      <c r="F180" s="127" t="s">
        <v>3129</v>
      </c>
      <c r="G180" s="82">
        <v>33298</v>
      </c>
      <c r="H180" s="50" t="s">
        <v>3130</v>
      </c>
      <c r="I180" s="83">
        <v>16485</v>
      </c>
      <c r="J180" s="84">
        <v>22706</v>
      </c>
      <c r="K180" s="50" t="s">
        <v>3131</v>
      </c>
      <c r="L180" s="50" t="s">
        <v>3132</v>
      </c>
      <c r="M180" s="85" t="s">
        <v>3133</v>
      </c>
      <c r="N180" s="86">
        <v>10</v>
      </c>
      <c r="O180" s="87">
        <v>10</v>
      </c>
      <c r="P180" s="87">
        <v>10</v>
      </c>
      <c r="Q180" s="87"/>
      <c r="R180" s="87"/>
      <c r="S180" s="133">
        <f>SUM(N180:R180)</f>
        <v>30</v>
      </c>
      <c r="T180" s="86">
        <v>297</v>
      </c>
      <c r="U180" s="87"/>
      <c r="V180" s="87">
        <v>284</v>
      </c>
      <c r="W180" s="87"/>
      <c r="X180" s="87">
        <v>284</v>
      </c>
      <c r="Y180" s="87"/>
      <c r="Z180" s="134">
        <f>T180+V180+X180</f>
        <v>865</v>
      </c>
      <c r="AA180" s="133">
        <f>U180+W180+Y180</f>
        <v>0</v>
      </c>
      <c r="AB180" s="86"/>
      <c r="AC180" s="87"/>
      <c r="AD180" s="87"/>
      <c r="AE180" s="88"/>
      <c r="AF180" s="89"/>
    </row>
    <row r="181" spans="1:32" s="81" customFormat="1" ht="17.100000000000001" customHeight="1">
      <c r="A181" s="127" t="s">
        <v>138</v>
      </c>
      <c r="B181" s="127" t="s">
        <v>142</v>
      </c>
      <c r="C181" s="168" t="s">
        <v>142</v>
      </c>
      <c r="D181" s="127" t="s">
        <v>5</v>
      </c>
      <c r="E181" s="127" t="s">
        <v>26</v>
      </c>
      <c r="F181" s="127" t="s">
        <v>3134</v>
      </c>
      <c r="G181" s="82">
        <v>31017</v>
      </c>
      <c r="H181" s="50" t="s">
        <v>3135</v>
      </c>
      <c r="I181" s="843">
        <v>24374.1</v>
      </c>
      <c r="J181" s="84">
        <v>22698</v>
      </c>
      <c r="K181" s="50" t="s">
        <v>3136</v>
      </c>
      <c r="L181" s="50" t="s">
        <v>3137</v>
      </c>
      <c r="M181" s="85" t="s">
        <v>3138</v>
      </c>
      <c r="N181" s="86">
        <v>14</v>
      </c>
      <c r="O181" s="87">
        <v>14</v>
      </c>
      <c r="P181" s="87">
        <v>14</v>
      </c>
      <c r="Q181" s="87"/>
      <c r="R181" s="87"/>
      <c r="S181" s="133">
        <f>SUM(N181:R181)</f>
        <v>42</v>
      </c>
      <c r="T181" s="86">
        <v>421</v>
      </c>
      <c r="U181" s="87">
        <v>196</v>
      </c>
      <c r="V181" s="87">
        <v>409</v>
      </c>
      <c r="W181" s="87">
        <v>204</v>
      </c>
      <c r="X181" s="87">
        <v>404</v>
      </c>
      <c r="Y181" s="87">
        <v>206</v>
      </c>
      <c r="Z181" s="134">
        <f>T181+V181+X181</f>
        <v>1234</v>
      </c>
      <c r="AA181" s="133">
        <f>U181+W181+Y181</f>
        <v>606</v>
      </c>
      <c r="AB181" s="86"/>
      <c r="AC181" s="87"/>
      <c r="AD181" s="87"/>
      <c r="AE181" s="88"/>
      <c r="AF181" s="89"/>
    </row>
    <row r="182" spans="1:32" s="81" customFormat="1" ht="17.100000000000001" customHeight="1">
      <c r="A182" s="1684" t="s">
        <v>406</v>
      </c>
      <c r="B182" s="1684"/>
      <c r="C182" s="208"/>
      <c r="D182" s="207">
        <f>COUNTA(D180:D181)</f>
        <v>2</v>
      </c>
      <c r="E182" s="208"/>
      <c r="F182" s="829"/>
      <c r="G182" s="209"/>
      <c r="H182" s="210"/>
      <c r="I182" s="211"/>
      <c r="J182" s="212"/>
      <c r="K182" s="210"/>
      <c r="L182" s="210"/>
      <c r="M182" s="213"/>
      <c r="N182" s="214">
        <f t="shared" ref="N182:AE182" si="111">SUM(N180:N181)</f>
        <v>24</v>
      </c>
      <c r="O182" s="215">
        <f t="shared" si="111"/>
        <v>24</v>
      </c>
      <c r="P182" s="215">
        <f t="shared" si="111"/>
        <v>24</v>
      </c>
      <c r="Q182" s="215">
        <f t="shared" si="111"/>
        <v>0</v>
      </c>
      <c r="R182" s="215">
        <f t="shared" si="111"/>
        <v>0</v>
      </c>
      <c r="S182" s="216">
        <f t="shared" si="111"/>
        <v>72</v>
      </c>
      <c r="T182" s="214">
        <f t="shared" si="111"/>
        <v>718</v>
      </c>
      <c r="U182" s="215">
        <f t="shared" si="111"/>
        <v>196</v>
      </c>
      <c r="V182" s="215">
        <f t="shared" si="111"/>
        <v>693</v>
      </c>
      <c r="W182" s="215">
        <f t="shared" si="111"/>
        <v>204</v>
      </c>
      <c r="X182" s="215">
        <f t="shared" si="111"/>
        <v>688</v>
      </c>
      <c r="Y182" s="215">
        <f t="shared" si="111"/>
        <v>206</v>
      </c>
      <c r="Z182" s="215">
        <f t="shared" si="111"/>
        <v>2099</v>
      </c>
      <c r="AA182" s="216">
        <f t="shared" si="111"/>
        <v>606</v>
      </c>
      <c r="AB182" s="214">
        <f t="shared" si="111"/>
        <v>0</v>
      </c>
      <c r="AC182" s="215">
        <f t="shared" si="111"/>
        <v>0</v>
      </c>
      <c r="AD182" s="215">
        <f t="shared" si="111"/>
        <v>0</v>
      </c>
      <c r="AE182" s="216">
        <f t="shared" si="111"/>
        <v>0</v>
      </c>
      <c r="AF182" s="89"/>
    </row>
    <row r="183" spans="1:32" s="81" customFormat="1" ht="17.100000000000001" customHeight="1">
      <c r="A183" s="127" t="s">
        <v>139</v>
      </c>
      <c r="B183" s="127" t="s">
        <v>142</v>
      </c>
      <c r="C183" s="168" t="s">
        <v>2824</v>
      </c>
      <c r="D183" s="127" t="s">
        <v>5</v>
      </c>
      <c r="E183" s="127" t="s">
        <v>26</v>
      </c>
      <c r="F183" s="127" t="s">
        <v>3139</v>
      </c>
      <c r="G183" s="82">
        <v>27505</v>
      </c>
      <c r="H183" s="50" t="s">
        <v>3140</v>
      </c>
      <c r="I183" s="83">
        <v>20598</v>
      </c>
      <c r="J183" s="84">
        <v>22675</v>
      </c>
      <c r="K183" s="50" t="s">
        <v>3141</v>
      </c>
      <c r="L183" s="50" t="s">
        <v>3142</v>
      </c>
      <c r="M183" s="85" t="s">
        <v>3143</v>
      </c>
      <c r="N183" s="86">
        <v>10</v>
      </c>
      <c r="O183" s="87">
        <v>10</v>
      </c>
      <c r="P183" s="87">
        <v>10</v>
      </c>
      <c r="Q183" s="87"/>
      <c r="R183" s="87"/>
      <c r="S183" s="133">
        <f>SUM(N183:R183)</f>
        <v>30</v>
      </c>
      <c r="T183" s="90">
        <v>198</v>
      </c>
      <c r="U183" s="91">
        <v>119</v>
      </c>
      <c r="V183" s="91">
        <v>186</v>
      </c>
      <c r="W183" s="91">
        <v>124</v>
      </c>
      <c r="X183" s="91">
        <v>184</v>
      </c>
      <c r="Y183" s="91">
        <v>99</v>
      </c>
      <c r="Z183" s="134">
        <f t="shared" ref="Z183:AA185" si="112">T183+V183+X183</f>
        <v>568</v>
      </c>
      <c r="AA183" s="133">
        <f t="shared" si="112"/>
        <v>342</v>
      </c>
      <c r="AB183" s="86"/>
      <c r="AC183" s="87"/>
      <c r="AD183" s="87"/>
      <c r="AE183" s="88"/>
      <c r="AF183" s="89"/>
    </row>
    <row r="184" spans="1:32" s="81" customFormat="1" ht="17.100000000000001" customHeight="1">
      <c r="A184" s="127" t="s">
        <v>139</v>
      </c>
      <c r="B184" s="127" t="s">
        <v>103</v>
      </c>
      <c r="C184" s="168" t="s">
        <v>142</v>
      </c>
      <c r="D184" s="127" t="s">
        <v>5</v>
      </c>
      <c r="E184" s="127" t="s">
        <v>26</v>
      </c>
      <c r="F184" s="127" t="s">
        <v>2043</v>
      </c>
      <c r="G184" s="82">
        <v>26370</v>
      </c>
      <c r="H184" s="50" t="s">
        <v>2044</v>
      </c>
      <c r="I184" s="83">
        <v>38525</v>
      </c>
      <c r="J184" s="84">
        <v>22805</v>
      </c>
      <c r="K184" s="50" t="s">
        <v>2045</v>
      </c>
      <c r="L184" s="50" t="s">
        <v>2046</v>
      </c>
      <c r="M184" s="85" t="s">
        <v>2047</v>
      </c>
      <c r="N184" s="90">
        <v>8</v>
      </c>
      <c r="O184" s="91">
        <v>8</v>
      </c>
      <c r="P184" s="91">
        <v>8</v>
      </c>
      <c r="Q184" s="91">
        <v>0</v>
      </c>
      <c r="R184" s="91">
        <v>0</v>
      </c>
      <c r="S184" s="133">
        <f t="shared" ref="S184" si="113">SUM(N184:R184)</f>
        <v>24</v>
      </c>
      <c r="T184" s="90">
        <v>162</v>
      </c>
      <c r="U184" s="91">
        <v>107</v>
      </c>
      <c r="V184" s="91">
        <v>146</v>
      </c>
      <c r="W184" s="91">
        <v>95</v>
      </c>
      <c r="X184" s="91">
        <v>144</v>
      </c>
      <c r="Y184" s="91">
        <v>144</v>
      </c>
      <c r="Z184" s="134">
        <f t="shared" si="112"/>
        <v>452</v>
      </c>
      <c r="AA184" s="133">
        <f t="shared" si="112"/>
        <v>346</v>
      </c>
      <c r="AB184" s="90">
        <v>0</v>
      </c>
      <c r="AC184" s="91">
        <v>0</v>
      </c>
      <c r="AD184" s="91">
        <v>0</v>
      </c>
      <c r="AE184" s="92">
        <v>0</v>
      </c>
      <c r="AF184" s="93"/>
    </row>
    <row r="185" spans="1:32" s="81" customFormat="1" ht="17.100000000000001" customHeight="1">
      <c r="A185" s="127" t="s">
        <v>139</v>
      </c>
      <c r="B185" s="127" t="s">
        <v>142</v>
      </c>
      <c r="C185" s="168" t="s">
        <v>2824</v>
      </c>
      <c r="D185" s="127" t="s">
        <v>5</v>
      </c>
      <c r="E185" s="127" t="s">
        <v>26</v>
      </c>
      <c r="F185" s="127" t="s">
        <v>3144</v>
      </c>
      <c r="G185" s="82">
        <v>36220</v>
      </c>
      <c r="H185" s="50" t="s">
        <v>359</v>
      </c>
      <c r="I185" s="83">
        <v>5292</v>
      </c>
      <c r="J185" s="84">
        <v>22687</v>
      </c>
      <c r="K185" s="50" t="s">
        <v>356</v>
      </c>
      <c r="L185" s="50" t="s">
        <v>357</v>
      </c>
      <c r="M185" s="85" t="s">
        <v>358</v>
      </c>
      <c r="N185" s="90">
        <v>4</v>
      </c>
      <c r="O185" s="91">
        <v>4</v>
      </c>
      <c r="P185" s="91">
        <v>4</v>
      </c>
      <c r="Q185" s="87">
        <v>0</v>
      </c>
      <c r="R185" s="87">
        <v>0</v>
      </c>
      <c r="S185" s="133">
        <f>SUM(N185:R185)</f>
        <v>12</v>
      </c>
      <c r="T185" s="86">
        <v>80</v>
      </c>
      <c r="U185" s="87">
        <v>47</v>
      </c>
      <c r="V185" s="87">
        <v>67</v>
      </c>
      <c r="W185" s="87">
        <v>34</v>
      </c>
      <c r="X185" s="87">
        <v>73</v>
      </c>
      <c r="Y185" s="87">
        <v>44</v>
      </c>
      <c r="Z185" s="134">
        <f t="shared" si="112"/>
        <v>220</v>
      </c>
      <c r="AA185" s="133">
        <f t="shared" si="112"/>
        <v>125</v>
      </c>
      <c r="AB185" s="86">
        <v>0</v>
      </c>
      <c r="AC185" s="87">
        <v>0</v>
      </c>
      <c r="AD185" s="87">
        <v>0</v>
      </c>
      <c r="AE185" s="88">
        <v>0</v>
      </c>
      <c r="AF185" s="89"/>
    </row>
    <row r="186" spans="1:32" s="81" customFormat="1" ht="17.100000000000001" customHeight="1">
      <c r="A186" s="1684" t="s">
        <v>407</v>
      </c>
      <c r="B186" s="1684"/>
      <c r="C186" s="208"/>
      <c r="D186" s="207">
        <f>COUNTA(D183:D185)</f>
        <v>3</v>
      </c>
      <c r="E186" s="208"/>
      <c r="F186" s="829"/>
      <c r="G186" s="209"/>
      <c r="H186" s="210"/>
      <c r="I186" s="211"/>
      <c r="J186" s="212"/>
      <c r="K186" s="210"/>
      <c r="L186" s="210"/>
      <c r="M186" s="213"/>
      <c r="N186" s="214">
        <f t="shared" ref="N186:AE186" si="114">SUM(N183:N185)</f>
        <v>22</v>
      </c>
      <c r="O186" s="215">
        <f t="shared" si="114"/>
        <v>22</v>
      </c>
      <c r="P186" s="215">
        <f t="shared" si="114"/>
        <v>22</v>
      </c>
      <c r="Q186" s="215">
        <f t="shared" si="114"/>
        <v>0</v>
      </c>
      <c r="R186" s="215">
        <f t="shared" si="114"/>
        <v>0</v>
      </c>
      <c r="S186" s="216">
        <f t="shared" si="114"/>
        <v>66</v>
      </c>
      <c r="T186" s="214">
        <f t="shared" si="114"/>
        <v>440</v>
      </c>
      <c r="U186" s="215">
        <f t="shared" si="114"/>
        <v>273</v>
      </c>
      <c r="V186" s="215">
        <f t="shared" si="114"/>
        <v>399</v>
      </c>
      <c r="W186" s="215">
        <f t="shared" si="114"/>
        <v>253</v>
      </c>
      <c r="X186" s="215">
        <f t="shared" si="114"/>
        <v>401</v>
      </c>
      <c r="Y186" s="215">
        <f t="shared" si="114"/>
        <v>287</v>
      </c>
      <c r="Z186" s="215">
        <f t="shared" si="114"/>
        <v>1240</v>
      </c>
      <c r="AA186" s="216">
        <f t="shared" si="114"/>
        <v>813</v>
      </c>
      <c r="AB186" s="214">
        <f t="shared" si="114"/>
        <v>0</v>
      </c>
      <c r="AC186" s="215">
        <f t="shared" si="114"/>
        <v>0</v>
      </c>
      <c r="AD186" s="215">
        <f t="shared" si="114"/>
        <v>0</v>
      </c>
      <c r="AE186" s="216">
        <f t="shared" si="114"/>
        <v>0</v>
      </c>
      <c r="AF186" s="89"/>
    </row>
    <row r="187" spans="1:32" s="81" customFormat="1" ht="17.100000000000001" customHeight="1">
      <c r="A187" s="1681" t="s">
        <v>433</v>
      </c>
      <c r="B187" s="1682"/>
      <c r="C187" s="1682"/>
      <c r="D187" s="1683"/>
      <c r="E187" s="188">
        <f>D182+D186</f>
        <v>5</v>
      </c>
      <c r="F187" s="834"/>
      <c r="G187" s="189"/>
      <c r="H187" s="190"/>
      <c r="I187" s="191"/>
      <c r="J187" s="192"/>
      <c r="K187" s="190"/>
      <c r="L187" s="190"/>
      <c r="M187" s="193"/>
      <c r="N187" s="194">
        <f t="shared" ref="N187:AE187" si="115">N182+N186</f>
        <v>46</v>
      </c>
      <c r="O187" s="195">
        <f t="shared" si="115"/>
        <v>46</v>
      </c>
      <c r="P187" s="195">
        <f t="shared" si="115"/>
        <v>46</v>
      </c>
      <c r="Q187" s="195">
        <f t="shared" si="115"/>
        <v>0</v>
      </c>
      <c r="R187" s="195">
        <f t="shared" si="115"/>
        <v>0</v>
      </c>
      <c r="S187" s="196">
        <f t="shared" si="115"/>
        <v>138</v>
      </c>
      <c r="T187" s="194">
        <f t="shared" si="115"/>
        <v>1158</v>
      </c>
      <c r="U187" s="195">
        <f t="shared" si="115"/>
        <v>469</v>
      </c>
      <c r="V187" s="195">
        <f t="shared" si="115"/>
        <v>1092</v>
      </c>
      <c r="W187" s="195">
        <f t="shared" si="115"/>
        <v>457</v>
      </c>
      <c r="X187" s="195">
        <f t="shared" si="115"/>
        <v>1089</v>
      </c>
      <c r="Y187" s="195">
        <f t="shared" si="115"/>
        <v>493</v>
      </c>
      <c r="Z187" s="195">
        <f t="shared" si="115"/>
        <v>3339</v>
      </c>
      <c r="AA187" s="196">
        <f t="shared" si="115"/>
        <v>1419</v>
      </c>
      <c r="AB187" s="194">
        <f t="shared" si="115"/>
        <v>0</v>
      </c>
      <c r="AC187" s="195">
        <f t="shared" si="115"/>
        <v>0</v>
      </c>
      <c r="AD187" s="195">
        <f t="shared" si="115"/>
        <v>0</v>
      </c>
      <c r="AE187" s="196">
        <f t="shared" si="115"/>
        <v>0</v>
      </c>
      <c r="AF187" s="220"/>
    </row>
    <row r="188" spans="1:32" s="81" customFormat="1" ht="17.100000000000001" customHeight="1">
      <c r="A188" s="1672" t="s">
        <v>434</v>
      </c>
      <c r="B188" s="1672"/>
      <c r="C188" s="1672"/>
      <c r="D188" s="1672"/>
      <c r="E188" s="1672"/>
      <c r="F188" s="835">
        <f>E179+E187</f>
        <v>20</v>
      </c>
      <c r="G188" s="221"/>
      <c r="H188" s="222"/>
      <c r="I188" s="223"/>
      <c r="J188" s="224"/>
      <c r="K188" s="222"/>
      <c r="L188" s="222"/>
      <c r="M188" s="225"/>
      <c r="N188" s="226">
        <f t="shared" ref="N188:AE188" si="116">N179+N187</f>
        <v>204</v>
      </c>
      <c r="O188" s="227">
        <f t="shared" si="116"/>
        <v>193</v>
      </c>
      <c r="P188" s="227">
        <f t="shared" si="116"/>
        <v>193</v>
      </c>
      <c r="Q188" s="227">
        <f t="shared" si="116"/>
        <v>23</v>
      </c>
      <c r="R188" s="227">
        <f t="shared" si="116"/>
        <v>0</v>
      </c>
      <c r="S188" s="228">
        <f t="shared" si="116"/>
        <v>613</v>
      </c>
      <c r="T188" s="226">
        <f t="shared" si="116"/>
        <v>5868</v>
      </c>
      <c r="U188" s="227">
        <f t="shared" si="116"/>
        <v>2916</v>
      </c>
      <c r="V188" s="227">
        <f t="shared" si="116"/>
        <v>5165</v>
      </c>
      <c r="W188" s="227">
        <f t="shared" si="116"/>
        <v>2563</v>
      </c>
      <c r="X188" s="227">
        <f t="shared" si="116"/>
        <v>5172</v>
      </c>
      <c r="Y188" s="227">
        <f t="shared" si="116"/>
        <v>2715</v>
      </c>
      <c r="Z188" s="227">
        <f t="shared" si="116"/>
        <v>16205</v>
      </c>
      <c r="AA188" s="228">
        <f t="shared" si="116"/>
        <v>8194</v>
      </c>
      <c r="AB188" s="226">
        <f t="shared" si="116"/>
        <v>134</v>
      </c>
      <c r="AC188" s="227">
        <f t="shared" si="116"/>
        <v>45</v>
      </c>
      <c r="AD188" s="227">
        <f t="shared" si="116"/>
        <v>0</v>
      </c>
      <c r="AE188" s="228">
        <f t="shared" si="116"/>
        <v>0</v>
      </c>
      <c r="AF188" s="229"/>
    </row>
    <row r="189" spans="1:32" s="81" customFormat="1" ht="17.100000000000001" customHeight="1">
      <c r="A189" s="94" t="s">
        <v>138</v>
      </c>
      <c r="B189" s="94" t="s">
        <v>158</v>
      </c>
      <c r="C189" s="168" t="s">
        <v>158</v>
      </c>
      <c r="D189" s="94" t="s">
        <v>4</v>
      </c>
      <c r="E189" s="94" t="s">
        <v>144</v>
      </c>
      <c r="F189" s="127" t="s">
        <v>3145</v>
      </c>
      <c r="G189" s="82">
        <v>16577</v>
      </c>
      <c r="H189" s="50" t="s">
        <v>203</v>
      </c>
      <c r="I189" s="83">
        <v>28282</v>
      </c>
      <c r="J189" s="84">
        <v>23028</v>
      </c>
      <c r="K189" s="50" t="s">
        <v>204</v>
      </c>
      <c r="L189" s="50" t="s">
        <v>205</v>
      </c>
      <c r="M189" s="85" t="s">
        <v>206</v>
      </c>
      <c r="N189" s="90">
        <v>6</v>
      </c>
      <c r="O189" s="91">
        <v>6</v>
      </c>
      <c r="P189" s="91">
        <v>6</v>
      </c>
      <c r="Q189" s="91">
        <v>3</v>
      </c>
      <c r="R189" s="91"/>
      <c r="S189" s="133">
        <f t="shared" ref="S189" si="117">SUM(N189:R189)</f>
        <v>21</v>
      </c>
      <c r="T189" s="90">
        <v>160</v>
      </c>
      <c r="U189" s="91"/>
      <c r="V189" s="91">
        <v>160</v>
      </c>
      <c r="W189" s="91"/>
      <c r="X189" s="91">
        <v>145</v>
      </c>
      <c r="Y189" s="91"/>
      <c r="Z189" s="134">
        <f t="shared" ref="Z189:AA189" si="118">T189+V189+X189</f>
        <v>465</v>
      </c>
      <c r="AA189" s="133">
        <f t="shared" si="118"/>
        <v>0</v>
      </c>
      <c r="AB189" s="90">
        <v>14</v>
      </c>
      <c r="AC189" s="91"/>
      <c r="AD189" s="91"/>
      <c r="AE189" s="92"/>
      <c r="AF189" s="93"/>
    </row>
    <row r="190" spans="1:32" s="81" customFormat="1" ht="17.100000000000001" customHeight="1">
      <c r="A190" s="127" t="s">
        <v>138</v>
      </c>
      <c r="B190" s="127" t="s">
        <v>158</v>
      </c>
      <c r="C190" s="168" t="s">
        <v>158</v>
      </c>
      <c r="D190" s="127" t="s">
        <v>4</v>
      </c>
      <c r="E190" s="127" t="s">
        <v>24</v>
      </c>
      <c r="F190" s="127" t="s">
        <v>3146</v>
      </c>
      <c r="G190" s="82">
        <v>20173</v>
      </c>
      <c r="H190" s="50" t="s">
        <v>3147</v>
      </c>
      <c r="I190" s="83">
        <v>38269</v>
      </c>
      <c r="J190" s="84">
        <v>23029</v>
      </c>
      <c r="K190" s="50" t="s">
        <v>1994</v>
      </c>
      <c r="L190" s="50" t="s">
        <v>1995</v>
      </c>
      <c r="M190" s="85" t="s">
        <v>1996</v>
      </c>
      <c r="N190" s="86">
        <v>7</v>
      </c>
      <c r="O190" s="87">
        <v>7</v>
      </c>
      <c r="P190" s="87">
        <v>7</v>
      </c>
      <c r="Q190" s="87">
        <v>1</v>
      </c>
      <c r="R190" s="87"/>
      <c r="S190" s="133">
        <f>SUM(N190:R190)</f>
        <v>22</v>
      </c>
      <c r="T190" s="86">
        <v>157</v>
      </c>
      <c r="U190" s="87">
        <v>157</v>
      </c>
      <c r="V190" s="87">
        <v>155</v>
      </c>
      <c r="W190" s="87">
        <v>155</v>
      </c>
      <c r="X190" s="87">
        <v>168</v>
      </c>
      <c r="Y190" s="87">
        <v>168</v>
      </c>
      <c r="Z190" s="134">
        <f>T190+V190+X190</f>
        <v>480</v>
      </c>
      <c r="AA190" s="133">
        <f>U190+W190+Y190</f>
        <v>480</v>
      </c>
      <c r="AB190" s="160">
        <v>4</v>
      </c>
      <c r="AC190" s="161">
        <v>4</v>
      </c>
      <c r="AD190" s="87"/>
      <c r="AE190" s="88"/>
      <c r="AF190" s="89"/>
    </row>
    <row r="191" spans="1:32" s="81" customFormat="1" ht="17.100000000000001" customHeight="1">
      <c r="A191" s="127" t="s">
        <v>138</v>
      </c>
      <c r="B191" s="127" t="s">
        <v>158</v>
      </c>
      <c r="C191" s="168" t="s">
        <v>158</v>
      </c>
      <c r="D191" s="127" t="s">
        <v>4</v>
      </c>
      <c r="E191" s="127" t="s">
        <v>26</v>
      </c>
      <c r="F191" s="127" t="s">
        <v>363</v>
      </c>
      <c r="G191" s="82">
        <v>26359</v>
      </c>
      <c r="H191" s="50" t="s">
        <v>3148</v>
      </c>
      <c r="I191" s="83">
        <v>34013</v>
      </c>
      <c r="J191" s="84">
        <v>23002</v>
      </c>
      <c r="K191" s="50" t="s">
        <v>364</v>
      </c>
      <c r="L191" s="50" t="s">
        <v>365</v>
      </c>
      <c r="M191" s="85" t="s">
        <v>366</v>
      </c>
      <c r="N191" s="86">
        <v>1</v>
      </c>
      <c r="O191" s="87">
        <v>1</v>
      </c>
      <c r="P191" s="87">
        <v>1</v>
      </c>
      <c r="Q191" s="87">
        <v>1</v>
      </c>
      <c r="R191" s="87">
        <v>0</v>
      </c>
      <c r="S191" s="133">
        <v>4</v>
      </c>
      <c r="T191" s="86">
        <v>11</v>
      </c>
      <c r="U191" s="87">
        <v>1</v>
      </c>
      <c r="V191" s="87">
        <v>8</v>
      </c>
      <c r="W191" s="87">
        <v>2</v>
      </c>
      <c r="X191" s="87">
        <v>4</v>
      </c>
      <c r="Y191" s="87">
        <v>2</v>
      </c>
      <c r="Z191" s="134">
        <v>23</v>
      </c>
      <c r="AA191" s="133">
        <v>5</v>
      </c>
      <c r="AB191" s="86">
        <v>1</v>
      </c>
      <c r="AC191" s="87">
        <v>0</v>
      </c>
      <c r="AD191" s="87">
        <v>0</v>
      </c>
      <c r="AE191" s="88">
        <v>0</v>
      </c>
      <c r="AF191" s="89"/>
    </row>
    <row r="192" spans="1:32" s="81" customFormat="1" ht="17.100000000000001" customHeight="1">
      <c r="A192" s="127" t="s">
        <v>138</v>
      </c>
      <c r="B192" s="127" t="s">
        <v>158</v>
      </c>
      <c r="C192" s="168" t="s">
        <v>158</v>
      </c>
      <c r="D192" s="127" t="s">
        <v>4</v>
      </c>
      <c r="E192" s="127" t="s">
        <v>26</v>
      </c>
      <c r="F192" s="127" t="s">
        <v>3149</v>
      </c>
      <c r="G192" s="82">
        <v>29712</v>
      </c>
      <c r="H192" s="50" t="s">
        <v>3150</v>
      </c>
      <c r="I192" s="83">
        <v>23524</v>
      </c>
      <c r="J192" s="84">
        <v>23008</v>
      </c>
      <c r="K192" s="50" t="s">
        <v>3151</v>
      </c>
      <c r="L192" s="50" t="s">
        <v>3151</v>
      </c>
      <c r="M192" s="85" t="s">
        <v>3152</v>
      </c>
      <c r="N192" s="86"/>
      <c r="O192" s="87">
        <v>1</v>
      </c>
      <c r="P192" s="87"/>
      <c r="Q192" s="87"/>
      <c r="R192" s="87"/>
      <c r="S192" s="133">
        <f>SUM(N192:R192)</f>
        <v>1</v>
      </c>
      <c r="T192" s="86"/>
      <c r="U192" s="87"/>
      <c r="V192" s="87">
        <v>1</v>
      </c>
      <c r="W192" s="87"/>
      <c r="X192" s="87"/>
      <c r="Y192" s="87"/>
      <c r="Z192" s="134">
        <f>T192+V192+X192</f>
        <v>1</v>
      </c>
      <c r="AA192" s="133">
        <f>U192+W192+Y192</f>
        <v>0</v>
      </c>
      <c r="AB192" s="86"/>
      <c r="AC192" s="87"/>
      <c r="AD192" s="87"/>
      <c r="AE192" s="88"/>
      <c r="AF192" s="89"/>
    </row>
    <row r="193" spans="1:32" s="81" customFormat="1" ht="17.100000000000001" customHeight="1">
      <c r="A193" s="1684" t="s">
        <v>406</v>
      </c>
      <c r="B193" s="1684"/>
      <c r="C193" s="208"/>
      <c r="D193" s="207">
        <f>COUNTA(D189:D192)</f>
        <v>4</v>
      </c>
      <c r="E193" s="208"/>
      <c r="F193" s="829"/>
      <c r="G193" s="209"/>
      <c r="H193" s="210"/>
      <c r="I193" s="211"/>
      <c r="J193" s="212"/>
      <c r="K193" s="210"/>
      <c r="L193" s="210"/>
      <c r="M193" s="213"/>
      <c r="N193" s="214">
        <f t="shared" ref="N193:AE193" si="119">SUM(N189:N192)</f>
        <v>14</v>
      </c>
      <c r="O193" s="215">
        <f t="shared" si="119"/>
        <v>15</v>
      </c>
      <c r="P193" s="215">
        <f t="shared" si="119"/>
        <v>14</v>
      </c>
      <c r="Q193" s="215">
        <f t="shared" si="119"/>
        <v>5</v>
      </c>
      <c r="R193" s="215">
        <f t="shared" si="119"/>
        <v>0</v>
      </c>
      <c r="S193" s="216">
        <f t="shared" si="119"/>
        <v>48</v>
      </c>
      <c r="T193" s="214">
        <f t="shared" si="119"/>
        <v>328</v>
      </c>
      <c r="U193" s="215">
        <f t="shared" si="119"/>
        <v>158</v>
      </c>
      <c r="V193" s="215">
        <f t="shared" si="119"/>
        <v>324</v>
      </c>
      <c r="W193" s="215">
        <f t="shared" si="119"/>
        <v>157</v>
      </c>
      <c r="X193" s="215">
        <f t="shared" si="119"/>
        <v>317</v>
      </c>
      <c r="Y193" s="215">
        <f t="shared" si="119"/>
        <v>170</v>
      </c>
      <c r="Z193" s="215">
        <f t="shared" si="119"/>
        <v>969</v>
      </c>
      <c r="AA193" s="216">
        <f t="shared" si="119"/>
        <v>485</v>
      </c>
      <c r="AB193" s="214">
        <f t="shared" si="119"/>
        <v>19</v>
      </c>
      <c r="AC193" s="215">
        <f t="shared" si="119"/>
        <v>4</v>
      </c>
      <c r="AD193" s="215">
        <f t="shared" si="119"/>
        <v>0</v>
      </c>
      <c r="AE193" s="216">
        <f t="shared" si="119"/>
        <v>0</v>
      </c>
      <c r="AF193" s="89"/>
    </row>
    <row r="194" spans="1:32" s="81" customFormat="1" ht="17.100000000000001" customHeight="1">
      <c r="A194" s="127" t="s">
        <v>139</v>
      </c>
      <c r="B194" s="127" t="s">
        <v>158</v>
      </c>
      <c r="C194" s="168" t="s">
        <v>158</v>
      </c>
      <c r="D194" s="127" t="s">
        <v>4</v>
      </c>
      <c r="E194" s="127" t="s">
        <v>26</v>
      </c>
      <c r="F194" s="127" t="s">
        <v>378</v>
      </c>
      <c r="G194" s="82">
        <v>27089</v>
      </c>
      <c r="H194" s="50" t="s">
        <v>3153</v>
      </c>
      <c r="I194" s="83">
        <v>32084</v>
      </c>
      <c r="J194" s="84">
        <v>23050</v>
      </c>
      <c r="K194" s="50" t="s">
        <v>3154</v>
      </c>
      <c r="L194" s="50" t="s">
        <v>2039</v>
      </c>
      <c r="M194" s="85" t="s">
        <v>2038</v>
      </c>
      <c r="N194" s="86">
        <v>3</v>
      </c>
      <c r="O194" s="87">
        <v>3</v>
      </c>
      <c r="P194" s="87">
        <v>3</v>
      </c>
      <c r="Q194" s="87">
        <v>2</v>
      </c>
      <c r="R194" s="87"/>
      <c r="S194" s="133">
        <f>SUM(N194:R194)</f>
        <v>11</v>
      </c>
      <c r="T194" s="86">
        <v>67</v>
      </c>
      <c r="U194" s="87">
        <v>36</v>
      </c>
      <c r="V194" s="87">
        <v>62</v>
      </c>
      <c r="W194" s="87">
        <v>24</v>
      </c>
      <c r="X194" s="87">
        <v>64</v>
      </c>
      <c r="Y194" s="87">
        <v>22</v>
      </c>
      <c r="Z194" s="134">
        <f>T194+V194+X194</f>
        <v>193</v>
      </c>
      <c r="AA194" s="133">
        <f>U194+W194+Y194</f>
        <v>82</v>
      </c>
      <c r="AB194" s="160">
        <v>12</v>
      </c>
      <c r="AC194" s="161">
        <v>4</v>
      </c>
      <c r="AD194" s="87"/>
      <c r="AE194" s="88"/>
      <c r="AF194" s="692" t="s">
        <v>3155</v>
      </c>
    </row>
    <row r="195" spans="1:32" s="81" customFormat="1" ht="17.100000000000001" customHeight="1">
      <c r="A195" s="1684" t="s">
        <v>407</v>
      </c>
      <c r="B195" s="1684"/>
      <c r="C195" s="208"/>
      <c r="D195" s="207">
        <f>COUNTA(D194:D194)</f>
        <v>1</v>
      </c>
      <c r="E195" s="208"/>
      <c r="F195" s="829"/>
      <c r="G195" s="209"/>
      <c r="H195" s="210"/>
      <c r="I195" s="211"/>
      <c r="J195" s="212"/>
      <c r="K195" s="210"/>
      <c r="L195" s="210"/>
      <c r="M195" s="213"/>
      <c r="N195" s="214">
        <f t="shared" ref="N195:AE195" si="120">SUM(N194:N194)</f>
        <v>3</v>
      </c>
      <c r="O195" s="215">
        <f t="shared" si="120"/>
        <v>3</v>
      </c>
      <c r="P195" s="215">
        <f t="shared" si="120"/>
        <v>3</v>
      </c>
      <c r="Q195" s="215">
        <f t="shared" si="120"/>
        <v>2</v>
      </c>
      <c r="R195" s="215">
        <f t="shared" si="120"/>
        <v>0</v>
      </c>
      <c r="S195" s="216">
        <f t="shared" si="120"/>
        <v>11</v>
      </c>
      <c r="T195" s="214">
        <f t="shared" si="120"/>
        <v>67</v>
      </c>
      <c r="U195" s="215">
        <f t="shared" si="120"/>
        <v>36</v>
      </c>
      <c r="V195" s="215">
        <f t="shared" si="120"/>
        <v>62</v>
      </c>
      <c r="W195" s="215">
        <f t="shared" si="120"/>
        <v>24</v>
      </c>
      <c r="X195" s="215">
        <f t="shared" si="120"/>
        <v>64</v>
      </c>
      <c r="Y195" s="215">
        <f t="shared" si="120"/>
        <v>22</v>
      </c>
      <c r="Z195" s="215">
        <f t="shared" si="120"/>
        <v>193</v>
      </c>
      <c r="AA195" s="216">
        <f t="shared" si="120"/>
        <v>82</v>
      </c>
      <c r="AB195" s="214">
        <f t="shared" si="120"/>
        <v>12</v>
      </c>
      <c r="AC195" s="215">
        <f t="shared" si="120"/>
        <v>4</v>
      </c>
      <c r="AD195" s="215">
        <f t="shared" si="120"/>
        <v>0</v>
      </c>
      <c r="AE195" s="216">
        <f t="shared" si="120"/>
        <v>0</v>
      </c>
      <c r="AF195" s="89"/>
    </row>
    <row r="196" spans="1:32" s="81" customFormat="1" ht="17.100000000000001" customHeight="1">
      <c r="A196" s="1625" t="s">
        <v>435</v>
      </c>
      <c r="B196" s="1626"/>
      <c r="C196" s="1626"/>
      <c r="D196" s="1626"/>
      <c r="E196" s="179">
        <f>D193+D195</f>
        <v>5</v>
      </c>
      <c r="F196" s="830"/>
      <c r="G196" s="180"/>
      <c r="H196" s="181"/>
      <c r="I196" s="182"/>
      <c r="J196" s="183"/>
      <c r="K196" s="181"/>
      <c r="L196" s="181"/>
      <c r="M196" s="184"/>
      <c r="N196" s="185">
        <f t="shared" ref="N196:AE196" si="121">N193+N195</f>
        <v>17</v>
      </c>
      <c r="O196" s="186">
        <f t="shared" si="121"/>
        <v>18</v>
      </c>
      <c r="P196" s="186">
        <f t="shared" si="121"/>
        <v>17</v>
      </c>
      <c r="Q196" s="186">
        <f t="shared" si="121"/>
        <v>7</v>
      </c>
      <c r="R196" s="186">
        <f t="shared" si="121"/>
        <v>0</v>
      </c>
      <c r="S196" s="187">
        <f t="shared" si="121"/>
        <v>59</v>
      </c>
      <c r="T196" s="185">
        <f t="shared" si="121"/>
        <v>395</v>
      </c>
      <c r="U196" s="186">
        <f t="shared" si="121"/>
        <v>194</v>
      </c>
      <c r="V196" s="186">
        <f t="shared" si="121"/>
        <v>386</v>
      </c>
      <c r="W196" s="186">
        <f t="shared" si="121"/>
        <v>181</v>
      </c>
      <c r="X196" s="186">
        <f t="shared" si="121"/>
        <v>381</v>
      </c>
      <c r="Y196" s="186">
        <f t="shared" si="121"/>
        <v>192</v>
      </c>
      <c r="Z196" s="186">
        <f t="shared" si="121"/>
        <v>1162</v>
      </c>
      <c r="AA196" s="187">
        <f t="shared" si="121"/>
        <v>567</v>
      </c>
      <c r="AB196" s="185">
        <f t="shared" si="121"/>
        <v>31</v>
      </c>
      <c r="AC196" s="186">
        <f t="shared" si="121"/>
        <v>8</v>
      </c>
      <c r="AD196" s="186">
        <f t="shared" si="121"/>
        <v>0</v>
      </c>
      <c r="AE196" s="187">
        <f t="shared" si="121"/>
        <v>0</v>
      </c>
      <c r="AF196" s="219"/>
    </row>
    <row r="197" spans="1:32" s="81" customFormat="1" ht="17.100000000000001" customHeight="1">
      <c r="A197" s="127" t="s">
        <v>138</v>
      </c>
      <c r="B197" s="127" t="s">
        <v>158</v>
      </c>
      <c r="C197" s="168" t="s">
        <v>158</v>
      </c>
      <c r="D197" s="127" t="s">
        <v>5</v>
      </c>
      <c r="E197" s="127" t="s">
        <v>26</v>
      </c>
      <c r="F197" s="127" t="s">
        <v>3156</v>
      </c>
      <c r="G197" s="82">
        <v>30012</v>
      </c>
      <c r="H197" s="50" t="s">
        <v>3157</v>
      </c>
      <c r="I197" s="83">
        <v>14773</v>
      </c>
      <c r="J197" s="84">
        <v>21070</v>
      </c>
      <c r="K197" s="50" t="s">
        <v>2048</v>
      </c>
      <c r="L197" s="50" t="s">
        <v>2049</v>
      </c>
      <c r="M197" s="85" t="s">
        <v>2050</v>
      </c>
      <c r="N197" s="90">
        <v>3</v>
      </c>
      <c r="O197" s="91">
        <v>3</v>
      </c>
      <c r="P197" s="91">
        <v>3</v>
      </c>
      <c r="Q197" s="91"/>
      <c r="R197" s="91"/>
      <c r="S197" s="133">
        <f t="shared" ref="S197" si="122">SUM(N197:R197)</f>
        <v>9</v>
      </c>
      <c r="T197" s="90">
        <v>73</v>
      </c>
      <c r="U197" s="91">
        <v>46</v>
      </c>
      <c r="V197" s="91">
        <v>73</v>
      </c>
      <c r="W197" s="91">
        <v>21</v>
      </c>
      <c r="X197" s="91">
        <v>71</v>
      </c>
      <c r="Y197" s="91">
        <v>31</v>
      </c>
      <c r="Z197" s="134">
        <f t="shared" ref="Z197:AA197" si="123">T197+V197+X197</f>
        <v>217</v>
      </c>
      <c r="AA197" s="133">
        <f t="shared" si="123"/>
        <v>98</v>
      </c>
      <c r="AB197" s="90"/>
      <c r="AC197" s="91"/>
      <c r="AD197" s="91"/>
      <c r="AE197" s="92"/>
      <c r="AF197" s="93"/>
    </row>
    <row r="198" spans="1:32" s="81" customFormat="1" ht="17.100000000000001" customHeight="1">
      <c r="A198" s="1684" t="s">
        <v>406</v>
      </c>
      <c r="B198" s="1684"/>
      <c r="C198" s="208"/>
      <c r="D198" s="207">
        <f>COUNTA(D197:D197)</f>
        <v>1</v>
      </c>
      <c r="E198" s="208"/>
      <c r="F198" s="829"/>
      <c r="G198" s="209"/>
      <c r="H198" s="210"/>
      <c r="I198" s="211"/>
      <c r="J198" s="212"/>
      <c r="K198" s="210"/>
      <c r="L198" s="210"/>
      <c r="M198" s="213"/>
      <c r="N198" s="214">
        <f t="shared" ref="N198:AE198" si="124">N197</f>
        <v>3</v>
      </c>
      <c r="O198" s="215">
        <f t="shared" si="124"/>
        <v>3</v>
      </c>
      <c r="P198" s="215">
        <f t="shared" si="124"/>
        <v>3</v>
      </c>
      <c r="Q198" s="215">
        <f t="shared" si="124"/>
        <v>0</v>
      </c>
      <c r="R198" s="215">
        <f t="shared" si="124"/>
        <v>0</v>
      </c>
      <c r="S198" s="216">
        <f t="shared" si="124"/>
        <v>9</v>
      </c>
      <c r="T198" s="214">
        <f t="shared" si="124"/>
        <v>73</v>
      </c>
      <c r="U198" s="215">
        <f t="shared" si="124"/>
        <v>46</v>
      </c>
      <c r="V198" s="215">
        <f t="shared" si="124"/>
        <v>73</v>
      </c>
      <c r="W198" s="215">
        <f t="shared" si="124"/>
        <v>21</v>
      </c>
      <c r="X198" s="215">
        <f t="shared" si="124"/>
        <v>71</v>
      </c>
      <c r="Y198" s="215">
        <f t="shared" si="124"/>
        <v>31</v>
      </c>
      <c r="Z198" s="215">
        <f t="shared" si="124"/>
        <v>217</v>
      </c>
      <c r="AA198" s="216">
        <f t="shared" si="124"/>
        <v>98</v>
      </c>
      <c r="AB198" s="214">
        <f t="shared" si="124"/>
        <v>0</v>
      </c>
      <c r="AC198" s="215">
        <f t="shared" si="124"/>
        <v>0</v>
      </c>
      <c r="AD198" s="215">
        <f t="shared" si="124"/>
        <v>0</v>
      </c>
      <c r="AE198" s="216">
        <f t="shared" si="124"/>
        <v>0</v>
      </c>
      <c r="AF198" s="89"/>
    </row>
    <row r="199" spans="1:32" s="81" customFormat="1" ht="17.100000000000001" customHeight="1">
      <c r="A199" s="127" t="s">
        <v>139</v>
      </c>
      <c r="B199" s="127" t="s">
        <v>158</v>
      </c>
      <c r="C199" s="168" t="s">
        <v>158</v>
      </c>
      <c r="D199" s="127" t="s">
        <v>5</v>
      </c>
      <c r="E199" s="127" t="s">
        <v>26</v>
      </c>
      <c r="F199" s="127" t="s">
        <v>3158</v>
      </c>
      <c r="G199" s="82">
        <v>36600</v>
      </c>
      <c r="H199" s="50" t="s">
        <v>273</v>
      </c>
      <c r="I199" s="83">
        <v>9722</v>
      </c>
      <c r="J199" s="84">
        <v>23056</v>
      </c>
      <c r="K199" s="50" t="s">
        <v>3159</v>
      </c>
      <c r="L199" s="50" t="s">
        <v>3160</v>
      </c>
      <c r="M199" s="85" t="s">
        <v>3161</v>
      </c>
      <c r="N199" s="86">
        <v>1</v>
      </c>
      <c r="O199" s="87">
        <v>1</v>
      </c>
      <c r="P199" s="87">
        <v>1</v>
      </c>
      <c r="Q199" s="87"/>
      <c r="R199" s="87"/>
      <c r="S199" s="133">
        <f>SUM(N199:R199)</f>
        <v>3</v>
      </c>
      <c r="T199" s="86">
        <v>14</v>
      </c>
      <c r="U199" s="87">
        <v>4</v>
      </c>
      <c r="V199" s="87">
        <v>14</v>
      </c>
      <c r="W199" s="87">
        <v>10</v>
      </c>
      <c r="X199" s="87">
        <v>17</v>
      </c>
      <c r="Y199" s="87">
        <v>6</v>
      </c>
      <c r="Z199" s="134">
        <f>T199+V199+X199</f>
        <v>45</v>
      </c>
      <c r="AA199" s="133">
        <f>U199+W199+Y199</f>
        <v>20</v>
      </c>
      <c r="AB199" s="86"/>
      <c r="AC199" s="87"/>
      <c r="AD199" s="87"/>
      <c r="AE199" s="88"/>
      <c r="AF199" s="89"/>
    </row>
    <row r="200" spans="1:32" s="81" customFormat="1" ht="17.100000000000001" customHeight="1">
      <c r="A200" s="127" t="s">
        <v>139</v>
      </c>
      <c r="B200" s="127" t="s">
        <v>158</v>
      </c>
      <c r="C200" s="168" t="s">
        <v>158</v>
      </c>
      <c r="D200" s="127" t="s">
        <v>5</v>
      </c>
      <c r="E200" s="127" t="s">
        <v>144</v>
      </c>
      <c r="F200" s="127" t="s">
        <v>3162</v>
      </c>
      <c r="G200" s="82">
        <v>26728</v>
      </c>
      <c r="H200" s="50" t="s">
        <v>3163</v>
      </c>
      <c r="I200" s="83">
        <v>83058</v>
      </c>
      <c r="J200" s="84">
        <v>23018</v>
      </c>
      <c r="K200" s="50" t="s">
        <v>3164</v>
      </c>
      <c r="L200" s="50" t="s">
        <v>3164</v>
      </c>
      <c r="M200" s="85" t="s">
        <v>3165</v>
      </c>
      <c r="N200" s="90">
        <v>4</v>
      </c>
      <c r="O200" s="91">
        <v>4</v>
      </c>
      <c r="P200" s="91">
        <v>4</v>
      </c>
      <c r="Q200" s="91"/>
      <c r="R200" s="91"/>
      <c r="S200" s="133">
        <f t="shared" ref="S200" si="125">SUM(N200:R200)</f>
        <v>12</v>
      </c>
      <c r="T200" s="90">
        <v>80</v>
      </c>
      <c r="U200" s="91"/>
      <c r="V200" s="91">
        <v>74</v>
      </c>
      <c r="W200" s="91"/>
      <c r="X200" s="91">
        <v>65</v>
      </c>
      <c r="Y200" s="91"/>
      <c r="Z200" s="134">
        <f t="shared" ref="Z200:AA200" si="126">T200+V200+X200</f>
        <v>219</v>
      </c>
      <c r="AA200" s="133">
        <f t="shared" si="126"/>
        <v>0</v>
      </c>
      <c r="AB200" s="90"/>
      <c r="AC200" s="91"/>
      <c r="AD200" s="91"/>
      <c r="AE200" s="92"/>
      <c r="AF200" s="93"/>
    </row>
    <row r="201" spans="1:32" ht="17.100000000000001" customHeight="1">
      <c r="A201" s="1684" t="s">
        <v>407</v>
      </c>
      <c r="B201" s="1684"/>
      <c r="C201" s="208"/>
      <c r="D201" s="207">
        <f>COUNTA(D199:D200)</f>
        <v>2</v>
      </c>
      <c r="E201" s="208"/>
      <c r="F201" s="829"/>
      <c r="G201" s="209"/>
      <c r="H201" s="210"/>
      <c r="I201" s="211"/>
      <c r="J201" s="212"/>
      <c r="K201" s="210"/>
      <c r="L201" s="210"/>
      <c r="M201" s="213"/>
      <c r="N201" s="214">
        <f t="shared" ref="N201:AE201" si="127">SUM(N199:N200)</f>
        <v>5</v>
      </c>
      <c r="O201" s="215">
        <f t="shared" si="127"/>
        <v>5</v>
      </c>
      <c r="P201" s="215">
        <f t="shared" si="127"/>
        <v>5</v>
      </c>
      <c r="Q201" s="215">
        <f t="shared" si="127"/>
        <v>0</v>
      </c>
      <c r="R201" s="215">
        <f t="shared" si="127"/>
        <v>0</v>
      </c>
      <c r="S201" s="216">
        <f t="shared" si="127"/>
        <v>15</v>
      </c>
      <c r="T201" s="214">
        <f t="shared" si="127"/>
        <v>94</v>
      </c>
      <c r="U201" s="215">
        <f t="shared" si="127"/>
        <v>4</v>
      </c>
      <c r="V201" s="215">
        <f t="shared" si="127"/>
        <v>88</v>
      </c>
      <c r="W201" s="215">
        <f t="shared" si="127"/>
        <v>10</v>
      </c>
      <c r="X201" s="215">
        <f t="shared" si="127"/>
        <v>82</v>
      </c>
      <c r="Y201" s="215">
        <f t="shared" si="127"/>
        <v>6</v>
      </c>
      <c r="Z201" s="215">
        <f t="shared" si="127"/>
        <v>264</v>
      </c>
      <c r="AA201" s="216">
        <f t="shared" si="127"/>
        <v>20</v>
      </c>
      <c r="AB201" s="214">
        <f t="shared" si="127"/>
        <v>0</v>
      </c>
      <c r="AC201" s="215">
        <f t="shared" si="127"/>
        <v>0</v>
      </c>
      <c r="AD201" s="215">
        <f t="shared" si="127"/>
        <v>0</v>
      </c>
      <c r="AE201" s="216">
        <f t="shared" si="127"/>
        <v>0</v>
      </c>
      <c r="AF201" s="89"/>
    </row>
    <row r="202" spans="1:32" ht="17.100000000000001" customHeight="1">
      <c r="A202" s="1681" t="s">
        <v>436</v>
      </c>
      <c r="B202" s="1682"/>
      <c r="C202" s="1682"/>
      <c r="D202" s="1683"/>
      <c r="E202" s="188">
        <f>D198+D201</f>
        <v>3</v>
      </c>
      <c r="F202" s="834"/>
      <c r="G202" s="189"/>
      <c r="H202" s="190"/>
      <c r="I202" s="191"/>
      <c r="J202" s="192"/>
      <c r="K202" s="190"/>
      <c r="L202" s="190"/>
      <c r="M202" s="193"/>
      <c r="N202" s="194">
        <f t="shared" ref="N202:AE202" si="128">N198+N201</f>
        <v>8</v>
      </c>
      <c r="O202" s="195">
        <f t="shared" si="128"/>
        <v>8</v>
      </c>
      <c r="P202" s="195">
        <f t="shared" si="128"/>
        <v>8</v>
      </c>
      <c r="Q202" s="195">
        <f t="shared" si="128"/>
        <v>0</v>
      </c>
      <c r="R202" s="195">
        <f t="shared" si="128"/>
        <v>0</v>
      </c>
      <c r="S202" s="196">
        <f t="shared" si="128"/>
        <v>24</v>
      </c>
      <c r="T202" s="194">
        <f t="shared" si="128"/>
        <v>167</v>
      </c>
      <c r="U202" s="195">
        <f t="shared" si="128"/>
        <v>50</v>
      </c>
      <c r="V202" s="195">
        <f t="shared" si="128"/>
        <v>161</v>
      </c>
      <c r="W202" s="195">
        <f t="shared" si="128"/>
        <v>31</v>
      </c>
      <c r="X202" s="195">
        <f t="shared" si="128"/>
        <v>153</v>
      </c>
      <c r="Y202" s="195">
        <f t="shared" si="128"/>
        <v>37</v>
      </c>
      <c r="Z202" s="195">
        <f t="shared" si="128"/>
        <v>481</v>
      </c>
      <c r="AA202" s="196">
        <f t="shared" si="128"/>
        <v>118</v>
      </c>
      <c r="AB202" s="194">
        <f t="shared" si="128"/>
        <v>0</v>
      </c>
      <c r="AC202" s="195">
        <f t="shared" si="128"/>
        <v>0</v>
      </c>
      <c r="AD202" s="195">
        <f t="shared" si="128"/>
        <v>0</v>
      </c>
      <c r="AE202" s="196">
        <f t="shared" si="128"/>
        <v>0</v>
      </c>
      <c r="AF202" s="220"/>
    </row>
    <row r="203" spans="1:32" ht="17.100000000000001" customHeight="1">
      <c r="A203" s="1672" t="s">
        <v>437</v>
      </c>
      <c r="B203" s="1672"/>
      <c r="C203" s="1672"/>
      <c r="D203" s="1672"/>
      <c r="E203" s="1672"/>
      <c r="F203" s="835">
        <f>E196+E202</f>
        <v>8</v>
      </c>
      <c r="G203" s="221"/>
      <c r="H203" s="222"/>
      <c r="I203" s="223"/>
      <c r="J203" s="224"/>
      <c r="K203" s="222"/>
      <c r="L203" s="222"/>
      <c r="M203" s="225"/>
      <c r="N203" s="226">
        <f t="shared" ref="N203:AE203" si="129">N196+N202</f>
        <v>25</v>
      </c>
      <c r="O203" s="227">
        <f t="shared" si="129"/>
        <v>26</v>
      </c>
      <c r="P203" s="227">
        <f t="shared" si="129"/>
        <v>25</v>
      </c>
      <c r="Q203" s="227">
        <f t="shared" si="129"/>
        <v>7</v>
      </c>
      <c r="R203" s="227">
        <f t="shared" si="129"/>
        <v>0</v>
      </c>
      <c r="S203" s="228">
        <f t="shared" si="129"/>
        <v>83</v>
      </c>
      <c r="T203" s="226">
        <f t="shared" si="129"/>
        <v>562</v>
      </c>
      <c r="U203" s="227">
        <f t="shared" si="129"/>
        <v>244</v>
      </c>
      <c r="V203" s="227">
        <f t="shared" si="129"/>
        <v>547</v>
      </c>
      <c r="W203" s="227">
        <f t="shared" si="129"/>
        <v>212</v>
      </c>
      <c r="X203" s="227">
        <f t="shared" si="129"/>
        <v>534</v>
      </c>
      <c r="Y203" s="227">
        <f t="shared" si="129"/>
        <v>229</v>
      </c>
      <c r="Z203" s="227">
        <f t="shared" si="129"/>
        <v>1643</v>
      </c>
      <c r="AA203" s="228">
        <f t="shared" si="129"/>
        <v>685</v>
      </c>
      <c r="AB203" s="226">
        <f t="shared" si="129"/>
        <v>31</v>
      </c>
      <c r="AC203" s="227">
        <f t="shared" si="129"/>
        <v>8</v>
      </c>
      <c r="AD203" s="227">
        <f t="shared" si="129"/>
        <v>0</v>
      </c>
      <c r="AE203" s="228">
        <f t="shared" si="129"/>
        <v>0</v>
      </c>
      <c r="AF203" s="229"/>
    </row>
    <row r="204" spans="1:32" ht="20.100000000000001" customHeight="1">
      <c r="A204" s="1571" t="s">
        <v>402</v>
      </c>
      <c r="B204" s="1572"/>
      <c r="C204" s="1572"/>
      <c r="D204" s="1572"/>
      <c r="E204" s="1572"/>
      <c r="F204" s="1573"/>
      <c r="G204" s="170">
        <f>F28+F35+F43+F70+F98+F113+F136+F160+F188+F203</f>
        <v>129</v>
      </c>
      <c r="H204" s="240"/>
      <c r="I204" s="241"/>
      <c r="J204" s="242"/>
      <c r="K204" s="240"/>
      <c r="L204" s="240"/>
      <c r="M204" s="243"/>
      <c r="N204" s="246">
        <f t="shared" ref="N204:AE204" si="130">N28+N35+N43+N70+N98+N113+N136+N160+N188+N203</f>
        <v>1059</v>
      </c>
      <c r="O204" s="171">
        <f t="shared" si="130"/>
        <v>1002</v>
      </c>
      <c r="P204" s="171">
        <f t="shared" si="130"/>
        <v>1017</v>
      </c>
      <c r="Q204" s="171">
        <f t="shared" si="130"/>
        <v>133</v>
      </c>
      <c r="R204" s="171">
        <f t="shared" si="130"/>
        <v>1</v>
      </c>
      <c r="S204" s="198">
        <f t="shared" si="130"/>
        <v>3212</v>
      </c>
      <c r="T204" s="246">
        <f t="shared" si="130"/>
        <v>26553</v>
      </c>
      <c r="U204" s="171">
        <f t="shared" si="130"/>
        <v>12894</v>
      </c>
      <c r="V204" s="171">
        <f t="shared" si="130"/>
        <v>24308</v>
      </c>
      <c r="W204" s="171">
        <f t="shared" si="130"/>
        <v>11706</v>
      </c>
      <c r="X204" s="171">
        <f t="shared" si="130"/>
        <v>24368</v>
      </c>
      <c r="Y204" s="171">
        <f t="shared" si="130"/>
        <v>11949</v>
      </c>
      <c r="Z204" s="175">
        <f t="shared" si="130"/>
        <v>75229</v>
      </c>
      <c r="AA204" s="198">
        <f t="shared" si="130"/>
        <v>36549</v>
      </c>
      <c r="AB204" s="246">
        <f t="shared" si="130"/>
        <v>806</v>
      </c>
      <c r="AC204" s="171">
        <f t="shared" si="130"/>
        <v>285</v>
      </c>
      <c r="AD204" s="171">
        <f t="shared" si="130"/>
        <v>38</v>
      </c>
      <c r="AE204" s="244">
        <f t="shared" si="130"/>
        <v>0</v>
      </c>
      <c r="AF204" s="245"/>
    </row>
    <row r="206" spans="1:32" ht="17.100000000000001" customHeight="1">
      <c r="A206" s="1567" t="s">
        <v>438</v>
      </c>
      <c r="B206" s="1567"/>
      <c r="C206" s="808"/>
      <c r="D206" s="247">
        <f>D11+D24+D30+D41+D53+D64+D82+D92+D109+D123+D132+D144+D156+D174+D182+D193+D198</f>
        <v>89</v>
      </c>
      <c r="E206" s="248"/>
      <c r="F206" s="248"/>
      <c r="G206" s="248"/>
      <c r="H206" s="248"/>
      <c r="I206" s="248"/>
      <c r="J206" s="248"/>
      <c r="K206" s="248"/>
      <c r="L206" s="248"/>
      <c r="M206" s="249"/>
      <c r="N206" s="250">
        <f t="shared" ref="N206:AE206" si="131">N11+N24+N30+N41+N53+N64+N82+N92+N109+N123+N132+N144+N156+N174+N182+N193+N198</f>
        <v>766</v>
      </c>
      <c r="O206" s="251">
        <f t="shared" si="131"/>
        <v>711</v>
      </c>
      <c r="P206" s="251">
        <f t="shared" si="131"/>
        <v>721</v>
      </c>
      <c r="Q206" s="251">
        <f t="shared" si="131"/>
        <v>113</v>
      </c>
      <c r="R206" s="251">
        <f t="shared" si="131"/>
        <v>0</v>
      </c>
      <c r="S206" s="252">
        <f t="shared" si="131"/>
        <v>2311</v>
      </c>
      <c r="T206" s="250">
        <f t="shared" si="131"/>
        <v>20554</v>
      </c>
      <c r="U206" s="251">
        <f t="shared" si="131"/>
        <v>9924</v>
      </c>
      <c r="V206" s="251">
        <f t="shared" si="131"/>
        <v>18910</v>
      </c>
      <c r="W206" s="251">
        <f t="shared" si="131"/>
        <v>9017</v>
      </c>
      <c r="X206" s="251">
        <f t="shared" si="131"/>
        <v>19145</v>
      </c>
      <c r="Y206" s="251">
        <f t="shared" si="131"/>
        <v>9404</v>
      </c>
      <c r="Z206" s="253">
        <f t="shared" si="131"/>
        <v>58609</v>
      </c>
      <c r="AA206" s="252">
        <f t="shared" si="131"/>
        <v>28345</v>
      </c>
      <c r="AB206" s="254">
        <f t="shared" si="131"/>
        <v>668</v>
      </c>
      <c r="AC206" s="251">
        <f t="shared" si="131"/>
        <v>247</v>
      </c>
      <c r="AD206" s="251">
        <f t="shared" si="131"/>
        <v>0</v>
      </c>
      <c r="AE206" s="255">
        <f t="shared" si="131"/>
        <v>0</v>
      </c>
      <c r="AF206" s="256"/>
    </row>
    <row r="207" spans="1:32" ht="17.100000000000001" customHeight="1">
      <c r="A207" s="1567" t="s">
        <v>439</v>
      </c>
      <c r="B207" s="1567"/>
      <c r="C207" s="808"/>
      <c r="D207" s="247">
        <f>D17+D26+D33+D57+D66+D85+D94+D111+D134+D149+D176+D186+D195+D201</f>
        <v>28</v>
      </c>
      <c r="E207" s="248"/>
      <c r="F207" s="248"/>
      <c r="G207" s="248"/>
      <c r="H207" s="248"/>
      <c r="I207" s="248"/>
      <c r="J207" s="248"/>
      <c r="K207" s="248"/>
      <c r="L207" s="248"/>
      <c r="M207" s="249"/>
      <c r="N207" s="250">
        <f t="shared" ref="N207:AE207" si="132">N17+N26+N33+N57+N66+N85+N94+N111+N134+N149+N176+N186+N195+N201</f>
        <v>216</v>
      </c>
      <c r="O207" s="251">
        <f t="shared" si="132"/>
        <v>215</v>
      </c>
      <c r="P207" s="251">
        <f t="shared" si="132"/>
        <v>220</v>
      </c>
      <c r="Q207" s="251">
        <f t="shared" si="132"/>
        <v>20</v>
      </c>
      <c r="R207" s="251">
        <f t="shared" si="132"/>
        <v>1</v>
      </c>
      <c r="S207" s="252">
        <f t="shared" si="132"/>
        <v>672</v>
      </c>
      <c r="T207" s="250">
        <f t="shared" si="132"/>
        <v>4218</v>
      </c>
      <c r="U207" s="251">
        <f t="shared" si="132"/>
        <v>2059</v>
      </c>
      <c r="V207" s="251">
        <f t="shared" si="132"/>
        <v>3668</v>
      </c>
      <c r="W207" s="251">
        <f t="shared" si="132"/>
        <v>1773</v>
      </c>
      <c r="X207" s="251">
        <f t="shared" si="132"/>
        <v>3631</v>
      </c>
      <c r="Y207" s="251">
        <f t="shared" si="132"/>
        <v>1727</v>
      </c>
      <c r="Z207" s="253">
        <f t="shared" si="132"/>
        <v>11517</v>
      </c>
      <c r="AA207" s="252">
        <f t="shared" si="132"/>
        <v>5559</v>
      </c>
      <c r="AB207" s="254">
        <f t="shared" si="132"/>
        <v>138</v>
      </c>
      <c r="AC207" s="251">
        <f t="shared" si="132"/>
        <v>38</v>
      </c>
      <c r="AD207" s="251">
        <f t="shared" si="132"/>
        <v>38</v>
      </c>
      <c r="AE207" s="255">
        <f t="shared" si="132"/>
        <v>0</v>
      </c>
      <c r="AF207" s="256"/>
    </row>
    <row r="208" spans="1:32" ht="17.100000000000001" customHeight="1">
      <c r="A208" s="1567" t="s">
        <v>440</v>
      </c>
      <c r="B208" s="1567"/>
      <c r="C208" s="808"/>
      <c r="D208" s="247">
        <f>D19+D45+D60+D87+D96+D126+D151+D178</f>
        <v>10</v>
      </c>
      <c r="E208" s="248"/>
      <c r="F208" s="248"/>
      <c r="G208" s="248"/>
      <c r="H208" s="248"/>
      <c r="I208" s="248"/>
      <c r="J208" s="248"/>
      <c r="K208" s="248"/>
      <c r="L208" s="248"/>
      <c r="M208" s="249"/>
      <c r="N208" s="250">
        <f t="shared" ref="N208:AE208" si="133">N19+N45+N60+N87+N96+N126+N151+N178</f>
        <v>61</v>
      </c>
      <c r="O208" s="251">
        <f t="shared" si="133"/>
        <v>60</v>
      </c>
      <c r="P208" s="251">
        <f t="shared" si="133"/>
        <v>60</v>
      </c>
      <c r="Q208" s="251">
        <f t="shared" si="133"/>
        <v>0</v>
      </c>
      <c r="R208" s="251">
        <f t="shared" si="133"/>
        <v>0</v>
      </c>
      <c r="S208" s="252">
        <f t="shared" si="133"/>
        <v>181</v>
      </c>
      <c r="T208" s="250">
        <f t="shared" si="133"/>
        <v>1309</v>
      </c>
      <c r="U208" s="251">
        <f t="shared" si="133"/>
        <v>674</v>
      </c>
      <c r="V208" s="251">
        <f t="shared" si="133"/>
        <v>1262</v>
      </c>
      <c r="W208" s="251">
        <f t="shared" si="133"/>
        <v>660</v>
      </c>
      <c r="X208" s="251">
        <f t="shared" si="133"/>
        <v>1143</v>
      </c>
      <c r="Y208" s="251">
        <f t="shared" si="133"/>
        <v>581</v>
      </c>
      <c r="Z208" s="253">
        <f t="shared" si="133"/>
        <v>3714</v>
      </c>
      <c r="AA208" s="252">
        <f t="shared" si="133"/>
        <v>1915</v>
      </c>
      <c r="AB208" s="262">
        <f t="shared" si="133"/>
        <v>0</v>
      </c>
      <c r="AC208" s="261">
        <f t="shared" si="133"/>
        <v>0</v>
      </c>
      <c r="AD208" s="261">
        <f t="shared" si="133"/>
        <v>0</v>
      </c>
      <c r="AE208" s="263">
        <f t="shared" si="133"/>
        <v>0</v>
      </c>
      <c r="AF208" s="256"/>
    </row>
    <row r="209" spans="1:32" ht="17.100000000000001" customHeight="1">
      <c r="A209" s="1567" t="s">
        <v>441</v>
      </c>
      <c r="B209" s="1567"/>
      <c r="C209" s="808"/>
      <c r="D209" s="247">
        <f>D68+D158</f>
        <v>2</v>
      </c>
      <c r="E209" s="248"/>
      <c r="F209" s="248"/>
      <c r="G209" s="248"/>
      <c r="H209" s="248"/>
      <c r="I209" s="248"/>
      <c r="J209" s="248"/>
      <c r="K209" s="248"/>
      <c r="L209" s="248"/>
      <c r="M209" s="249"/>
      <c r="N209" s="250">
        <f t="shared" ref="N209:AE209" si="134">N68+N158</f>
        <v>16</v>
      </c>
      <c r="O209" s="251">
        <f t="shared" si="134"/>
        <v>16</v>
      </c>
      <c r="P209" s="251">
        <f t="shared" si="134"/>
        <v>16</v>
      </c>
      <c r="Q209" s="251">
        <f t="shared" si="134"/>
        <v>0</v>
      </c>
      <c r="R209" s="251">
        <f t="shared" si="134"/>
        <v>0</v>
      </c>
      <c r="S209" s="252">
        <f t="shared" si="134"/>
        <v>48</v>
      </c>
      <c r="T209" s="250">
        <f t="shared" si="134"/>
        <v>472</v>
      </c>
      <c r="U209" s="251">
        <f t="shared" si="134"/>
        <v>237</v>
      </c>
      <c r="V209" s="251">
        <f t="shared" si="134"/>
        <v>468</v>
      </c>
      <c r="W209" s="251">
        <f t="shared" si="134"/>
        <v>256</v>
      </c>
      <c r="X209" s="251">
        <f t="shared" si="134"/>
        <v>449</v>
      </c>
      <c r="Y209" s="251">
        <f t="shared" si="134"/>
        <v>237</v>
      </c>
      <c r="Z209" s="253">
        <f t="shared" si="134"/>
        <v>1389</v>
      </c>
      <c r="AA209" s="252">
        <f t="shared" si="134"/>
        <v>730</v>
      </c>
      <c r="AB209" s="262">
        <f t="shared" si="134"/>
        <v>0</v>
      </c>
      <c r="AC209" s="261">
        <f t="shared" si="134"/>
        <v>0</v>
      </c>
      <c r="AD209" s="261">
        <f t="shared" si="134"/>
        <v>0</v>
      </c>
      <c r="AE209" s="263">
        <f t="shared" si="134"/>
        <v>0</v>
      </c>
      <c r="AF209" s="256"/>
    </row>
    <row r="210" spans="1:32" s="265" customFormat="1" ht="17.100000000000001" customHeight="1">
      <c r="A210" s="1566" t="s">
        <v>442</v>
      </c>
      <c r="B210" s="1566"/>
      <c r="C210" s="807"/>
      <c r="D210" s="257">
        <f>SUM(D206:D209)</f>
        <v>129</v>
      </c>
      <c r="E210" s="258"/>
      <c r="F210" s="258"/>
      <c r="G210" s="258"/>
      <c r="H210" s="258"/>
      <c r="I210" s="258"/>
      <c r="J210" s="258"/>
      <c r="K210" s="258"/>
      <c r="L210" s="258"/>
      <c r="M210" s="259"/>
      <c r="N210" s="260">
        <f>SUM(N206:N209)</f>
        <v>1059</v>
      </c>
      <c r="O210" s="261">
        <f t="shared" ref="O210:AE210" si="135">SUM(O206:O209)</f>
        <v>1002</v>
      </c>
      <c r="P210" s="261">
        <f t="shared" si="135"/>
        <v>1017</v>
      </c>
      <c r="Q210" s="261">
        <f t="shared" si="135"/>
        <v>133</v>
      </c>
      <c r="R210" s="261">
        <f t="shared" si="135"/>
        <v>1</v>
      </c>
      <c r="S210" s="252">
        <f t="shared" si="135"/>
        <v>3212</v>
      </c>
      <c r="T210" s="260">
        <f t="shared" si="135"/>
        <v>26553</v>
      </c>
      <c r="U210" s="261">
        <f t="shared" si="135"/>
        <v>12894</v>
      </c>
      <c r="V210" s="261">
        <f t="shared" si="135"/>
        <v>24308</v>
      </c>
      <c r="W210" s="261">
        <f t="shared" si="135"/>
        <v>11706</v>
      </c>
      <c r="X210" s="261">
        <f t="shared" si="135"/>
        <v>24368</v>
      </c>
      <c r="Y210" s="261">
        <f t="shared" si="135"/>
        <v>11949</v>
      </c>
      <c r="Z210" s="253">
        <f t="shared" si="135"/>
        <v>75229</v>
      </c>
      <c r="AA210" s="252">
        <f t="shared" si="135"/>
        <v>36549</v>
      </c>
      <c r="AB210" s="262">
        <f t="shared" si="135"/>
        <v>806</v>
      </c>
      <c r="AC210" s="261">
        <f t="shared" si="135"/>
        <v>285</v>
      </c>
      <c r="AD210" s="261">
        <f t="shared" si="135"/>
        <v>38</v>
      </c>
      <c r="AE210" s="263">
        <f t="shared" si="135"/>
        <v>0</v>
      </c>
      <c r="AF210" s="264"/>
    </row>
    <row r="211" spans="1:32" ht="17.100000000000001" customHeight="1"/>
    <row r="212" spans="1:32" ht="17.100000000000001" customHeight="1">
      <c r="A212" s="1567" t="s">
        <v>443</v>
      </c>
      <c r="B212" s="1567"/>
      <c r="C212" s="808"/>
      <c r="D212" s="247">
        <f>E46</f>
        <v>1</v>
      </c>
      <c r="E212" s="808"/>
      <c r="F212" s="808"/>
      <c r="G212" s="808"/>
      <c r="H212" s="808"/>
      <c r="I212" s="808"/>
      <c r="J212" s="808"/>
      <c r="K212" s="808"/>
      <c r="L212" s="808"/>
      <c r="M212" s="266"/>
      <c r="N212" s="267">
        <f t="shared" ref="N212:AE212" si="136">N46</f>
        <v>6</v>
      </c>
      <c r="O212" s="268">
        <f t="shared" si="136"/>
        <v>6</v>
      </c>
      <c r="P212" s="268">
        <f t="shared" si="136"/>
        <v>6</v>
      </c>
      <c r="Q212" s="268">
        <f t="shared" si="136"/>
        <v>0</v>
      </c>
      <c r="R212" s="268">
        <f t="shared" si="136"/>
        <v>0</v>
      </c>
      <c r="S212" s="269">
        <f t="shared" si="136"/>
        <v>18</v>
      </c>
      <c r="T212" s="267">
        <f t="shared" si="136"/>
        <v>109</v>
      </c>
      <c r="U212" s="268">
        <f t="shared" si="136"/>
        <v>12</v>
      </c>
      <c r="V212" s="268">
        <f t="shared" si="136"/>
        <v>98</v>
      </c>
      <c r="W212" s="268">
        <f t="shared" si="136"/>
        <v>9</v>
      </c>
      <c r="X212" s="268">
        <f t="shared" si="136"/>
        <v>103</v>
      </c>
      <c r="Y212" s="268">
        <f t="shared" si="136"/>
        <v>12</v>
      </c>
      <c r="Z212" s="270">
        <f t="shared" si="136"/>
        <v>310</v>
      </c>
      <c r="AA212" s="271">
        <f t="shared" si="136"/>
        <v>33</v>
      </c>
      <c r="AB212" s="391">
        <f t="shared" si="136"/>
        <v>0</v>
      </c>
      <c r="AC212" s="280">
        <f t="shared" si="136"/>
        <v>0</v>
      </c>
      <c r="AD212" s="280">
        <f t="shared" si="136"/>
        <v>0</v>
      </c>
      <c r="AE212" s="483">
        <f t="shared" si="136"/>
        <v>0</v>
      </c>
      <c r="AF212" s="267"/>
    </row>
    <row r="213" spans="1:32" ht="17.100000000000001" customHeight="1">
      <c r="A213" s="1567" t="s">
        <v>444</v>
      </c>
      <c r="B213" s="1567"/>
      <c r="C213" s="808"/>
      <c r="D213" s="247">
        <f>E20+E42+E61+E88+E112+E127+E152+E179+E196</f>
        <v>95</v>
      </c>
      <c r="E213" s="808"/>
      <c r="F213" s="808"/>
      <c r="G213" s="808"/>
      <c r="H213" s="808"/>
      <c r="I213" s="808"/>
      <c r="J213" s="808"/>
      <c r="K213" s="808"/>
      <c r="L213" s="808"/>
      <c r="M213" s="266"/>
      <c r="N213" s="267">
        <f t="shared" ref="N213:AE213" si="137">N20+N42+N61+N88+N112+N127+N152+N179+N196</f>
        <v>776</v>
      </c>
      <c r="O213" s="268">
        <f t="shared" si="137"/>
        <v>720</v>
      </c>
      <c r="P213" s="268">
        <f t="shared" si="137"/>
        <v>734</v>
      </c>
      <c r="Q213" s="268">
        <f t="shared" si="137"/>
        <v>126</v>
      </c>
      <c r="R213" s="268">
        <f t="shared" si="137"/>
        <v>1</v>
      </c>
      <c r="S213" s="269">
        <f t="shared" si="137"/>
        <v>2357</v>
      </c>
      <c r="T213" s="267">
        <f>T20+T42+T61+T88+T112+T127+T152+T179+T196</f>
        <v>19714</v>
      </c>
      <c r="U213" s="268">
        <f t="shared" si="137"/>
        <v>9561</v>
      </c>
      <c r="V213" s="268">
        <f t="shared" si="137"/>
        <v>17602</v>
      </c>
      <c r="W213" s="268">
        <f t="shared" si="137"/>
        <v>8401</v>
      </c>
      <c r="X213" s="268">
        <f t="shared" si="137"/>
        <v>17726</v>
      </c>
      <c r="Y213" s="268">
        <f t="shared" si="137"/>
        <v>8678</v>
      </c>
      <c r="Z213" s="270">
        <f t="shared" si="137"/>
        <v>55042</v>
      </c>
      <c r="AA213" s="271">
        <f t="shared" si="137"/>
        <v>26640</v>
      </c>
      <c r="AB213" s="385">
        <f t="shared" si="137"/>
        <v>752</v>
      </c>
      <c r="AC213" s="268">
        <f t="shared" si="137"/>
        <v>247</v>
      </c>
      <c r="AD213" s="268">
        <f t="shared" si="137"/>
        <v>38</v>
      </c>
      <c r="AE213" s="389">
        <f t="shared" si="137"/>
        <v>0</v>
      </c>
      <c r="AF213" s="267"/>
    </row>
    <row r="214" spans="1:32" ht="17.100000000000001" customHeight="1">
      <c r="A214" s="1567" t="s">
        <v>445</v>
      </c>
      <c r="B214" s="1567"/>
      <c r="C214" s="808"/>
      <c r="D214" s="247">
        <f>E27+E34+E69+E97+E135+E159+E187+E202</f>
        <v>33</v>
      </c>
      <c r="E214" s="808"/>
      <c r="F214" s="808"/>
      <c r="G214" s="808"/>
      <c r="H214" s="808"/>
      <c r="I214" s="808"/>
      <c r="J214" s="808"/>
      <c r="K214" s="808"/>
      <c r="L214" s="808"/>
      <c r="M214" s="266"/>
      <c r="N214" s="267">
        <f t="shared" ref="N214:AE214" si="138">N27+N34+N69+N97+N135+N159+N187+N202</f>
        <v>277</v>
      </c>
      <c r="O214" s="268">
        <f t="shared" si="138"/>
        <v>276</v>
      </c>
      <c r="P214" s="268">
        <f t="shared" si="138"/>
        <v>277</v>
      </c>
      <c r="Q214" s="268">
        <f t="shared" si="138"/>
        <v>7</v>
      </c>
      <c r="R214" s="268">
        <f t="shared" si="138"/>
        <v>0</v>
      </c>
      <c r="S214" s="269">
        <f t="shared" si="138"/>
        <v>837</v>
      </c>
      <c r="T214" s="267">
        <f t="shared" si="138"/>
        <v>6730</v>
      </c>
      <c r="U214" s="268">
        <f t="shared" si="138"/>
        <v>3321</v>
      </c>
      <c r="V214" s="268">
        <f t="shared" si="138"/>
        <v>6608</v>
      </c>
      <c r="W214" s="268">
        <f t="shared" si="138"/>
        <v>3296</v>
      </c>
      <c r="X214" s="268">
        <f t="shared" si="138"/>
        <v>6539</v>
      </c>
      <c r="Y214" s="268">
        <f t="shared" si="138"/>
        <v>3259</v>
      </c>
      <c r="Z214" s="270">
        <f t="shared" si="138"/>
        <v>19877</v>
      </c>
      <c r="AA214" s="271">
        <f t="shared" si="138"/>
        <v>9876</v>
      </c>
      <c r="AB214" s="385">
        <f t="shared" si="138"/>
        <v>54</v>
      </c>
      <c r="AC214" s="268">
        <f t="shared" si="138"/>
        <v>38</v>
      </c>
      <c r="AD214" s="268">
        <f t="shared" si="138"/>
        <v>0</v>
      </c>
      <c r="AE214" s="389">
        <f t="shared" si="138"/>
        <v>0</v>
      </c>
      <c r="AF214" s="267"/>
    </row>
    <row r="215" spans="1:32" ht="17.100000000000001" customHeight="1">
      <c r="A215" s="1566" t="s">
        <v>446</v>
      </c>
      <c r="B215" s="1566"/>
      <c r="C215" s="807"/>
      <c r="D215" s="257">
        <f>SUM(D212:D214)</f>
        <v>129</v>
      </c>
      <c r="E215" s="807"/>
      <c r="F215" s="807"/>
      <c r="G215" s="807"/>
      <c r="H215" s="807"/>
      <c r="I215" s="807"/>
      <c r="J215" s="807"/>
      <c r="K215" s="807"/>
      <c r="L215" s="807"/>
      <c r="M215" s="278"/>
      <c r="N215" s="279">
        <f>SUM(N212:N214)</f>
        <v>1059</v>
      </c>
      <c r="O215" s="280">
        <f>SUM(O212:O214)</f>
        <v>1002</v>
      </c>
      <c r="P215" s="280">
        <f>SUM(P212:P214)</f>
        <v>1017</v>
      </c>
      <c r="Q215" s="280">
        <f>SUM(Q212:Q214)</f>
        <v>133</v>
      </c>
      <c r="R215" s="280">
        <f t="shared" ref="R215:AE215" si="139">SUM(R212:R214)</f>
        <v>1</v>
      </c>
      <c r="S215" s="269">
        <f t="shared" si="139"/>
        <v>3212</v>
      </c>
      <c r="T215" s="279">
        <f t="shared" si="139"/>
        <v>26553</v>
      </c>
      <c r="U215" s="280">
        <f t="shared" si="139"/>
        <v>12894</v>
      </c>
      <c r="V215" s="280">
        <f>SUM(V212:V214)</f>
        <v>24308</v>
      </c>
      <c r="W215" s="280">
        <f t="shared" si="139"/>
        <v>11706</v>
      </c>
      <c r="X215" s="280">
        <f t="shared" si="139"/>
        <v>24368</v>
      </c>
      <c r="Y215" s="280">
        <f t="shared" si="139"/>
        <v>11949</v>
      </c>
      <c r="Z215" s="270">
        <f t="shared" si="139"/>
        <v>75229</v>
      </c>
      <c r="AA215" s="271">
        <f t="shared" si="139"/>
        <v>36549</v>
      </c>
      <c r="AB215" s="391">
        <f t="shared" si="139"/>
        <v>806</v>
      </c>
      <c r="AC215" s="280">
        <f t="shared" si="139"/>
        <v>285</v>
      </c>
      <c r="AD215" s="280">
        <f t="shared" si="139"/>
        <v>38</v>
      </c>
      <c r="AE215" s="483">
        <f t="shared" si="139"/>
        <v>0</v>
      </c>
      <c r="AF215" s="279"/>
    </row>
    <row r="216" spans="1:32">
      <c r="S216" s="799"/>
      <c r="T216" s="799"/>
      <c r="V216" s="799"/>
      <c r="X216" s="799"/>
      <c r="Z216" s="799"/>
      <c r="AA216" s="799"/>
    </row>
    <row r="217" spans="1:32">
      <c r="Q217" s="799"/>
      <c r="R217" s="799"/>
      <c r="S217" s="799"/>
      <c r="Z217" s="799"/>
      <c r="AA217" s="799"/>
    </row>
    <row r="218" spans="1:32">
      <c r="N218" s="799"/>
      <c r="R218" s="799"/>
      <c r="Z218" s="799"/>
      <c r="AA218" s="799"/>
    </row>
    <row r="219" spans="1:32">
      <c r="Z219" s="799"/>
      <c r="AA219" s="799"/>
    </row>
  </sheetData>
  <mergeCells count="101">
    <mergeCell ref="AB3:AC4"/>
    <mergeCell ref="AD3:AE4"/>
    <mergeCell ref="AF3:AF5"/>
    <mergeCell ref="T4:U4"/>
    <mergeCell ref="V4:W4"/>
    <mergeCell ref="X4:Y4"/>
    <mergeCell ref="Z4:AA4"/>
    <mergeCell ref="G3:G5"/>
    <mergeCell ref="H3:H5"/>
    <mergeCell ref="I3:I5"/>
    <mergeCell ref="J3:J5"/>
    <mergeCell ref="K3:K5"/>
    <mergeCell ref="L3:L5"/>
    <mergeCell ref="A11:B11"/>
    <mergeCell ref="A17:B17"/>
    <mergeCell ref="A19:B19"/>
    <mergeCell ref="A20:D20"/>
    <mergeCell ref="A24:B24"/>
    <mergeCell ref="A26:B26"/>
    <mergeCell ref="M3:M5"/>
    <mergeCell ref="N3:S4"/>
    <mergeCell ref="T3:AA3"/>
    <mergeCell ref="A3:A5"/>
    <mergeCell ref="B3:B5"/>
    <mergeCell ref="C3:C5"/>
    <mergeCell ref="D3:D5"/>
    <mergeCell ref="E3:E5"/>
    <mergeCell ref="F3:F5"/>
    <mergeCell ref="A41:B41"/>
    <mergeCell ref="A42:D42"/>
    <mergeCell ref="A43:E43"/>
    <mergeCell ref="A45:B45"/>
    <mergeCell ref="A46:D46"/>
    <mergeCell ref="A53:B53"/>
    <mergeCell ref="A27:D27"/>
    <mergeCell ref="A28:E28"/>
    <mergeCell ref="A30:B30"/>
    <mergeCell ref="A33:B33"/>
    <mergeCell ref="A34:D34"/>
    <mergeCell ref="A35:E35"/>
    <mergeCell ref="A69:D69"/>
    <mergeCell ref="A70:E70"/>
    <mergeCell ref="A82:B82"/>
    <mergeCell ref="A85:B85"/>
    <mergeCell ref="A87:B87"/>
    <mergeCell ref="A88:D88"/>
    <mergeCell ref="A57:B57"/>
    <mergeCell ref="A60:B60"/>
    <mergeCell ref="A61:D61"/>
    <mergeCell ref="A64:B64"/>
    <mergeCell ref="A66:B66"/>
    <mergeCell ref="A68:B68"/>
    <mergeCell ref="A111:B111"/>
    <mergeCell ref="A112:D112"/>
    <mergeCell ref="A113:E113"/>
    <mergeCell ref="A123:B123"/>
    <mergeCell ref="A126:B126"/>
    <mergeCell ref="A127:D127"/>
    <mergeCell ref="A92:B92"/>
    <mergeCell ref="A94:B94"/>
    <mergeCell ref="A96:B96"/>
    <mergeCell ref="A97:D97"/>
    <mergeCell ref="A98:E98"/>
    <mergeCell ref="A109:B109"/>
    <mergeCell ref="A151:B151"/>
    <mergeCell ref="A152:D152"/>
    <mergeCell ref="A156:B156"/>
    <mergeCell ref="A158:B158"/>
    <mergeCell ref="A159:D159"/>
    <mergeCell ref="A160:E160"/>
    <mergeCell ref="A132:B132"/>
    <mergeCell ref="A134:B134"/>
    <mergeCell ref="A135:D135"/>
    <mergeCell ref="A136:E136"/>
    <mergeCell ref="A144:B144"/>
    <mergeCell ref="A149:B149"/>
    <mergeCell ref="A187:D187"/>
    <mergeCell ref="A188:E188"/>
    <mergeCell ref="A193:B193"/>
    <mergeCell ref="A195:B195"/>
    <mergeCell ref="A196:D196"/>
    <mergeCell ref="A198:B198"/>
    <mergeCell ref="A174:B174"/>
    <mergeCell ref="A176:B176"/>
    <mergeCell ref="A178:B178"/>
    <mergeCell ref="A179:D179"/>
    <mergeCell ref="A182:B182"/>
    <mergeCell ref="A186:B186"/>
    <mergeCell ref="A215:B215"/>
    <mergeCell ref="A208:B208"/>
    <mergeCell ref="A209:B209"/>
    <mergeCell ref="A210:B210"/>
    <mergeCell ref="A212:B212"/>
    <mergeCell ref="A213:B213"/>
    <mergeCell ref="A214:B214"/>
    <mergeCell ref="A201:B201"/>
    <mergeCell ref="A202:D202"/>
    <mergeCell ref="A203:E203"/>
    <mergeCell ref="A204:F204"/>
    <mergeCell ref="A206:B206"/>
    <mergeCell ref="A207:B207"/>
  </mergeCells>
  <phoneticPr fontId="16" type="noConversion"/>
  <dataValidations count="5">
    <dataValidation type="list" allowBlank="1" showInputMessage="1" showErrorMessage="1" sqref="C54:C55 C177 C133 C36 C153:C155 C79:C81 C12 C31:C32 C165:C173 C38:C40 C89:C91 C18 C147:C148 C124:C125 C183:C185 C21:C23 C25 C189:C192 C6:C10 C65 C71:C77 C161:C163 C67 C62 C199:C200 C47:C52 C137:C143 C157 C58 C128:C131 C84 C99:C108 C114:C122 C175 C180:C181 C93 C197 C110 C44 C14:C16 C194 C95 C145" xr:uid="{31C16C21-27C6-43A6-A18A-A2F3C1FFC21E}">
      <formula1>"미추홀구,제물포구,영종구,옹진군,부평구,계양구,남동구,연수구,서구,검단구,강화군"</formula1>
    </dataValidation>
    <dataValidation type="list" allowBlank="1" showInputMessage="1" showErrorMessage="1" sqref="D54:D55 D177 D133 D36 D153:D155 D108 D110 D31:D32 D150 D165:D169 D38:D40 D89:D91 D18 D12:D16 D124:D125 D183:D185 D21:D23 D25 D189:D192 D6:D10 D65 D71:D81 D161:D163 D67 D62 D199:D200 D47:D52 D137:D143 D157 D58 D128:D131 D84 D99:D106 D114:D122 D175 D180:D181 D93 D197 D171:D173 D44 D194 D95 D145:D148" xr:uid="{62BF4284-07A0-45EB-91E7-5808D9996537}">
      <formula1>"국립,공립,사립"</formula1>
    </dataValidation>
    <dataValidation type="list" allowBlank="1" showInputMessage="1" showErrorMessage="1" sqref="A54:A56 A177 A133 A36 A153:A155 A110 A31:A32 A165:A169 A38:A40 A89:A91 A18 A12:A16 A124:A125 A183:A185 A21:A23 A25 A189:A192 A6:A10 A65 A71:A81 A161:A163 A67 A62 A199:A200 A47:A52 A137:A143 A157 A58 A29 A128:A131 A84 A99:A108 A114:A122 A175 A180:A181 A93 A197 A171:A173 A44 A194 A95 A145:A148" xr:uid="{85015047-5D6E-4812-8E25-EA373C304BAC}">
      <formula1>"일반,특성화,특목,자율형"</formula1>
    </dataValidation>
    <dataValidation type="list" allowBlank="1" showInputMessage="1" showErrorMessage="1" sqref="B110 B54:B56 B177 B133 B36 B153:B155 B79:B81 B171:B173 C13 B31:B32 B165:B169 B38:B40 B78:C78 B18 B147:B148 B124:B125 B183:B185 B146:C146 B21:B23 B25 B189:B192 B6:B10 B65 B71:B77 B161:B163 B67 B62 B199:B200 B47:B52 B137:B143 B157 B58 B128:B131 B84 B99:B108 B114:B122 B175 B180:B181 B93 B89:B91 B197 B44 B12:B16 B194 B95 B145" xr:uid="{9B154FFD-BA46-4513-8C1F-566F43440201}">
      <formula1>"미추홀구,동구,옹진군,중구,부평구,계양구,남동구,연수구,서구,강화군"</formula1>
    </dataValidation>
    <dataValidation type="list" allowBlank="1" showInputMessage="1" showErrorMessage="1" sqref="E89:E91 E54:E55 E177 E133 E36 E153:E155 E108 E110 E31:E32 E150 E165:E169 E38:E40 E183:E185 E18 E12:E16 E124:E125 E21:E23 E25 E189:E192 E6:E10 E65 E71:E81 E161:E163 E67 E62 E199:E200 E47:E52 E137:E143 E157 E58 E128:E131 E84 E99:E106 E114:E122 E175 E180:E181 E93 E197 E171:E173 E44 E194 E95 E145:E148" xr:uid="{30525CD8-7606-4E6A-8DC4-7CDFEF86915D}">
      <formula1>"남,여,공학"</formula1>
    </dataValidation>
  </dataValidations>
  <pageMargins left="0.25" right="0.25" top="0.75" bottom="0.75" header="0.3" footer="0.3"/>
  <pageSetup paperSize="9" scale="4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A808-218A-4B3B-AF73-B60705A561CF}">
  <sheetPr>
    <pageSetUpPr fitToPage="1"/>
  </sheetPr>
  <dimension ref="A1:W102"/>
  <sheetViews>
    <sheetView zoomScale="90" zoomScaleNormal="90" workbookViewId="0">
      <pane xSplit="5" ySplit="14" topLeftCell="F15" activePane="bottomRight" state="frozen"/>
      <selection pane="topRight" activeCell="F1" sqref="F1"/>
      <selection pane="bottomLeft" activeCell="A14" sqref="A14"/>
      <selection pane="bottomRight" activeCell="D1" sqref="D1"/>
    </sheetView>
  </sheetViews>
  <sheetFormatPr defaultRowHeight="16.5"/>
  <cols>
    <col min="1" max="1" width="5.25" bestFit="1" customWidth="1"/>
    <col min="2" max="2" width="8" bestFit="1" customWidth="1"/>
    <col min="3" max="3" width="7.125" bestFit="1" customWidth="1"/>
    <col min="4" max="4" width="7.75" bestFit="1" customWidth="1"/>
    <col min="5" max="5" width="3.75" bestFit="1" customWidth="1"/>
    <col min="6" max="11" width="19.625" customWidth="1"/>
    <col min="12" max="12" width="10.625" customWidth="1"/>
    <col min="13" max="16" width="19.625" customWidth="1"/>
    <col min="17" max="17" width="10.625" customWidth="1"/>
  </cols>
  <sheetData>
    <row r="1" spans="1:23" s="23" customFormat="1" ht="26.25">
      <c r="A1" s="10" t="s">
        <v>174</v>
      </c>
      <c r="B1" s="10"/>
      <c r="C1" s="10"/>
      <c r="D1" s="10"/>
      <c r="E1" s="10"/>
    </row>
    <row r="2" spans="1:23" s="3" customFormat="1" ht="20.100000000000001" customHeight="1">
      <c r="A2" s="848" t="s">
        <v>3243</v>
      </c>
      <c r="B2" s="12"/>
      <c r="C2" s="12"/>
      <c r="D2" s="12"/>
      <c r="E2" s="849"/>
      <c r="F2" s="850"/>
      <c r="G2" s="850"/>
      <c r="H2" s="850"/>
      <c r="I2" s="850"/>
      <c r="J2" s="851"/>
      <c r="K2" s="850"/>
      <c r="L2" s="850"/>
      <c r="M2" s="850"/>
      <c r="N2" s="852"/>
      <c r="O2" s="852"/>
      <c r="P2" s="850"/>
      <c r="Q2" s="852"/>
      <c r="R2" s="853"/>
      <c r="S2" s="853"/>
      <c r="T2" s="853"/>
      <c r="U2" s="854"/>
      <c r="V2" s="855"/>
      <c r="W2" s="854"/>
    </row>
    <row r="3" spans="1:23" ht="17.100000000000001" customHeight="1">
      <c r="A3" s="1756" t="s">
        <v>112</v>
      </c>
      <c r="B3" s="1757"/>
      <c r="C3" s="1757"/>
      <c r="D3" s="1757"/>
      <c r="E3" s="1758"/>
      <c r="F3" s="1759" t="s">
        <v>4</v>
      </c>
      <c r="G3" s="1760"/>
      <c r="H3" s="1760"/>
      <c r="I3" s="1760"/>
      <c r="J3" s="1760"/>
      <c r="K3" s="1760"/>
      <c r="L3" s="1761"/>
      <c r="M3" s="1762" t="s">
        <v>5</v>
      </c>
      <c r="N3" s="1763"/>
      <c r="O3" s="1763"/>
      <c r="P3" s="1763"/>
      <c r="Q3" s="1764"/>
      <c r="R3" s="1745" t="s">
        <v>402</v>
      </c>
    </row>
    <row r="4" spans="1:23" s="81" customFormat="1" ht="17.100000000000001" customHeight="1">
      <c r="A4" s="1730" t="s">
        <v>123</v>
      </c>
      <c r="B4" s="1737"/>
      <c r="C4" s="1737"/>
      <c r="D4" s="1737"/>
      <c r="E4" s="1731"/>
      <c r="F4" s="856" t="s">
        <v>10</v>
      </c>
      <c r="G4" s="857" t="s">
        <v>9</v>
      </c>
      <c r="H4" s="857" t="s">
        <v>8</v>
      </c>
      <c r="I4" s="857" t="s">
        <v>89</v>
      </c>
      <c r="J4" s="1312" t="s">
        <v>131</v>
      </c>
      <c r="K4" s="857" t="s">
        <v>103</v>
      </c>
      <c r="L4" s="1747" t="s">
        <v>117</v>
      </c>
      <c r="M4" s="1750" t="s">
        <v>7</v>
      </c>
      <c r="N4" s="1750"/>
      <c r="O4" s="1750"/>
      <c r="P4" s="1751"/>
      <c r="Q4" s="1752" t="s">
        <v>117</v>
      </c>
      <c r="R4" s="1746"/>
    </row>
    <row r="5" spans="1:23" s="81" customFormat="1" ht="17.100000000000001" customHeight="1">
      <c r="A5" s="1730" t="s">
        <v>3166</v>
      </c>
      <c r="B5" s="1737"/>
      <c r="C5" s="1737"/>
      <c r="D5" s="1737"/>
      <c r="E5" s="1731"/>
      <c r="F5" s="856" t="s">
        <v>10</v>
      </c>
      <c r="G5" s="857" t="s">
        <v>9</v>
      </c>
      <c r="H5" s="857" t="s">
        <v>8</v>
      </c>
      <c r="I5" s="857" t="s">
        <v>8</v>
      </c>
      <c r="J5" s="1312" t="s">
        <v>130</v>
      </c>
      <c r="K5" s="857" t="s">
        <v>2824</v>
      </c>
      <c r="L5" s="1748"/>
      <c r="M5" s="1755" t="s">
        <v>2624</v>
      </c>
      <c r="N5" s="1750"/>
      <c r="O5" s="1750"/>
      <c r="P5" s="1751"/>
      <c r="Q5" s="1753"/>
      <c r="R5" s="1746"/>
    </row>
    <row r="6" spans="1:23" s="81" customFormat="1" ht="17.100000000000001" customHeight="1">
      <c r="A6" s="1730" t="s">
        <v>124</v>
      </c>
      <c r="B6" s="1737"/>
      <c r="C6" s="1737"/>
      <c r="D6" s="1737"/>
      <c r="E6" s="1731"/>
      <c r="F6" s="856" t="s">
        <v>27</v>
      </c>
      <c r="G6" s="857" t="s">
        <v>29</v>
      </c>
      <c r="H6" s="857" t="s">
        <v>28</v>
      </c>
      <c r="I6" s="857" t="s">
        <v>129</v>
      </c>
      <c r="J6" s="1312" t="s">
        <v>132</v>
      </c>
      <c r="K6" s="857" t="s">
        <v>104</v>
      </c>
      <c r="L6" s="1748"/>
      <c r="M6" s="1199" t="s">
        <v>30</v>
      </c>
      <c r="N6" s="858" t="s">
        <v>33</v>
      </c>
      <c r="O6" s="857" t="s">
        <v>32</v>
      </c>
      <c r="P6" s="857" t="s">
        <v>31</v>
      </c>
      <c r="Q6" s="1753"/>
      <c r="R6" s="1746"/>
    </row>
    <row r="7" spans="1:23" s="81" customFormat="1" ht="17.100000000000001" customHeight="1">
      <c r="A7" s="1730" t="s">
        <v>133</v>
      </c>
      <c r="B7" s="1737"/>
      <c r="C7" s="1737"/>
      <c r="D7" s="1737"/>
      <c r="E7" s="1731"/>
      <c r="F7" s="95">
        <v>33664</v>
      </c>
      <c r="G7" s="71">
        <v>35490</v>
      </c>
      <c r="H7" s="71">
        <v>39508</v>
      </c>
      <c r="I7" s="71">
        <v>42795</v>
      </c>
      <c r="J7" s="1313">
        <v>43160</v>
      </c>
      <c r="K7" s="71">
        <v>43891</v>
      </c>
      <c r="L7" s="1748"/>
      <c r="M7" s="859">
        <v>27099</v>
      </c>
      <c r="N7" s="860">
        <v>29656</v>
      </c>
      <c r="O7" s="71">
        <v>20551</v>
      </c>
      <c r="P7" s="71">
        <v>22374</v>
      </c>
      <c r="Q7" s="1753"/>
      <c r="R7" s="1746"/>
    </row>
    <row r="8" spans="1:23" s="81" customFormat="1" ht="17.100000000000001" customHeight="1">
      <c r="A8" s="1730" t="s">
        <v>125</v>
      </c>
      <c r="B8" s="1737"/>
      <c r="C8" s="1737"/>
      <c r="D8" s="1737"/>
      <c r="E8" s="1731"/>
      <c r="F8" s="856" t="s">
        <v>379</v>
      </c>
      <c r="G8" s="857" t="s">
        <v>386</v>
      </c>
      <c r="H8" s="857" t="s">
        <v>386</v>
      </c>
      <c r="I8" s="857" t="s">
        <v>379</v>
      </c>
      <c r="J8" s="1314" t="s">
        <v>3167</v>
      </c>
      <c r="K8" s="857" t="s">
        <v>379</v>
      </c>
      <c r="L8" s="1748"/>
      <c r="M8" s="1199" t="s">
        <v>386</v>
      </c>
      <c r="N8" s="858" t="s">
        <v>3168</v>
      </c>
      <c r="O8" s="857" t="s">
        <v>265</v>
      </c>
      <c r="P8" s="857" t="s">
        <v>704</v>
      </c>
      <c r="Q8" s="1753"/>
      <c r="R8" s="1746"/>
    </row>
    <row r="9" spans="1:23" s="81" customFormat="1" ht="17.100000000000001" customHeight="1">
      <c r="A9" s="1730" t="s">
        <v>126</v>
      </c>
      <c r="B9" s="1737"/>
      <c r="C9" s="1737"/>
      <c r="D9" s="1737"/>
      <c r="E9" s="1731"/>
      <c r="F9" s="755" t="s">
        <v>380</v>
      </c>
      <c r="G9" s="53" t="s">
        <v>3169</v>
      </c>
      <c r="H9" s="53" t="s">
        <v>272</v>
      </c>
      <c r="I9" s="53" t="s">
        <v>387</v>
      </c>
      <c r="J9" s="1315" t="s">
        <v>3170</v>
      </c>
      <c r="K9" s="53" t="s">
        <v>405</v>
      </c>
      <c r="L9" s="1748"/>
      <c r="M9" s="862" t="s">
        <v>3171</v>
      </c>
      <c r="N9" s="317" t="s">
        <v>3172</v>
      </c>
      <c r="O9" s="53" t="s">
        <v>266</v>
      </c>
      <c r="P9" s="53" t="s">
        <v>705</v>
      </c>
      <c r="Q9" s="1753"/>
      <c r="R9" s="1746"/>
    </row>
    <row r="10" spans="1:23" s="81" customFormat="1" ht="17.100000000000001" customHeight="1">
      <c r="A10" s="1730" t="s">
        <v>101</v>
      </c>
      <c r="B10" s="1737"/>
      <c r="C10" s="1737"/>
      <c r="D10" s="1737"/>
      <c r="E10" s="1731"/>
      <c r="F10" s="863">
        <v>13000</v>
      </c>
      <c r="G10" s="864">
        <v>11000</v>
      </c>
      <c r="H10" s="864">
        <v>12447</v>
      </c>
      <c r="I10" s="864">
        <v>11089.5</v>
      </c>
      <c r="J10" s="1316" t="s">
        <v>3173</v>
      </c>
      <c r="K10" s="864">
        <v>12000</v>
      </c>
      <c r="L10" s="1748"/>
      <c r="M10" s="865">
        <v>4379</v>
      </c>
      <c r="N10" s="866">
        <v>3074</v>
      </c>
      <c r="O10" s="864">
        <v>5106</v>
      </c>
      <c r="P10" s="864">
        <v>7449</v>
      </c>
      <c r="Q10" s="1753"/>
      <c r="R10" s="1746"/>
    </row>
    <row r="11" spans="1:23" s="81" customFormat="1" ht="17.100000000000001" customHeight="1">
      <c r="A11" s="1730" t="s">
        <v>98</v>
      </c>
      <c r="B11" s="1737"/>
      <c r="C11" s="1737"/>
      <c r="D11" s="1737"/>
      <c r="E11" s="1731"/>
      <c r="F11" s="84">
        <v>21007</v>
      </c>
      <c r="G11" s="84">
        <v>21935</v>
      </c>
      <c r="H11" s="844">
        <v>21521</v>
      </c>
      <c r="I11" s="84">
        <v>21591</v>
      </c>
      <c r="J11" s="1317">
        <v>22100</v>
      </c>
      <c r="K11" s="844">
        <v>22686</v>
      </c>
      <c r="L11" s="1748"/>
      <c r="M11" s="867">
        <v>21425</v>
      </c>
      <c r="N11" s="868">
        <v>21421</v>
      </c>
      <c r="O11" s="84">
        <v>21428</v>
      </c>
      <c r="P11" s="844">
        <v>21435</v>
      </c>
      <c r="Q11" s="1753"/>
      <c r="R11" s="1746"/>
    </row>
    <row r="12" spans="1:23" s="81" customFormat="1" ht="17.100000000000001" customHeight="1">
      <c r="A12" s="1730" t="s">
        <v>127</v>
      </c>
      <c r="B12" s="1737"/>
      <c r="C12" s="1737"/>
      <c r="D12" s="1737"/>
      <c r="E12" s="1731"/>
      <c r="F12" s="50" t="s">
        <v>381</v>
      </c>
      <c r="G12" s="50" t="s">
        <v>3174</v>
      </c>
      <c r="H12" s="50" t="s">
        <v>269</v>
      </c>
      <c r="I12" s="50" t="s">
        <v>388</v>
      </c>
      <c r="J12" s="1318" t="s">
        <v>3175</v>
      </c>
      <c r="K12" s="50" t="s">
        <v>383</v>
      </c>
      <c r="L12" s="1748"/>
      <c r="M12" s="96" t="s">
        <v>3176</v>
      </c>
      <c r="N12" s="163" t="s">
        <v>3177</v>
      </c>
      <c r="O12" s="50" t="s">
        <v>267</v>
      </c>
      <c r="P12" s="50" t="s">
        <v>706</v>
      </c>
      <c r="Q12" s="1753"/>
      <c r="R12" s="1746"/>
    </row>
    <row r="13" spans="1:23" s="81" customFormat="1" ht="17.100000000000001" customHeight="1">
      <c r="A13" s="1730" t="s">
        <v>128</v>
      </c>
      <c r="B13" s="1737"/>
      <c r="C13" s="1737"/>
      <c r="D13" s="1737"/>
      <c r="E13" s="1731"/>
      <c r="F13" s="50" t="s">
        <v>382</v>
      </c>
      <c r="G13" s="50" t="s">
        <v>3178</v>
      </c>
      <c r="H13" s="50" t="s">
        <v>270</v>
      </c>
      <c r="I13" s="50" t="s">
        <v>3179</v>
      </c>
      <c r="J13" s="1319" t="s">
        <v>3180</v>
      </c>
      <c r="K13" s="50" t="s">
        <v>384</v>
      </c>
      <c r="L13" s="1748"/>
      <c r="M13" s="96" t="s">
        <v>3181</v>
      </c>
      <c r="N13" s="163" t="s">
        <v>3182</v>
      </c>
      <c r="O13" s="50" t="s">
        <v>267</v>
      </c>
      <c r="P13" s="50" t="s">
        <v>706</v>
      </c>
      <c r="Q13" s="1753"/>
      <c r="R13" s="1746"/>
    </row>
    <row r="14" spans="1:23" s="81" customFormat="1" ht="17.100000000000001" customHeight="1" thickBot="1">
      <c r="A14" s="1738" t="s">
        <v>176</v>
      </c>
      <c r="B14" s="1739"/>
      <c r="C14" s="1739"/>
      <c r="D14" s="1739"/>
      <c r="E14" s="1740"/>
      <c r="F14" s="97" t="s">
        <v>3183</v>
      </c>
      <c r="G14" s="97" t="s">
        <v>3184</v>
      </c>
      <c r="H14" s="97" t="s">
        <v>271</v>
      </c>
      <c r="I14" s="97" t="s">
        <v>3185</v>
      </c>
      <c r="J14" s="1320" t="s">
        <v>3186</v>
      </c>
      <c r="K14" s="97" t="s">
        <v>385</v>
      </c>
      <c r="L14" s="1749"/>
      <c r="M14" s="98" t="s">
        <v>3187</v>
      </c>
      <c r="N14" s="869" t="s">
        <v>3188</v>
      </c>
      <c r="O14" s="97" t="s">
        <v>268</v>
      </c>
      <c r="P14" s="97" t="s">
        <v>707</v>
      </c>
      <c r="Q14" s="1754"/>
      <c r="R14" s="1746"/>
    </row>
    <row r="15" spans="1:23" s="81" customFormat="1" ht="17.25" customHeight="1" thickTop="1">
      <c r="A15" s="1741" t="s">
        <v>183</v>
      </c>
      <c r="B15" s="1741" t="s">
        <v>184</v>
      </c>
      <c r="C15" s="1742" t="s">
        <v>2</v>
      </c>
      <c r="D15" s="1743"/>
      <c r="E15" s="1744"/>
      <c r="F15" s="112">
        <v>1</v>
      </c>
      <c r="G15" s="113">
        <v>1</v>
      </c>
      <c r="H15" s="113"/>
      <c r="I15" s="113">
        <v>1</v>
      </c>
      <c r="J15" s="870">
        <v>1</v>
      </c>
      <c r="K15" s="113">
        <v>1</v>
      </c>
      <c r="L15" s="698">
        <f t="shared" ref="L15:L46" si="0">SUM(F15:K15)</f>
        <v>5</v>
      </c>
      <c r="M15" s="114"/>
      <c r="N15" s="870">
        <v>0</v>
      </c>
      <c r="O15" s="113">
        <v>4</v>
      </c>
      <c r="P15" s="1200">
        <v>1</v>
      </c>
      <c r="Q15" s="705">
        <f t="shared" ref="Q15:Q44" si="1">SUM(M15:P15)</f>
        <v>5</v>
      </c>
      <c r="R15" s="871">
        <f>L15+Q15</f>
        <v>10</v>
      </c>
    </row>
    <row r="16" spans="1:23" s="81" customFormat="1">
      <c r="A16" s="1733"/>
      <c r="B16" s="1733"/>
      <c r="C16" s="1727" t="s">
        <v>3</v>
      </c>
      <c r="D16" s="1730" t="s">
        <v>1</v>
      </c>
      <c r="E16" s="1731"/>
      <c r="F16" s="115">
        <v>2</v>
      </c>
      <c r="G16" s="116">
        <v>4</v>
      </c>
      <c r="H16" s="116"/>
      <c r="I16" s="116">
        <v>3</v>
      </c>
      <c r="J16" s="1321">
        <v>2</v>
      </c>
      <c r="K16" s="116">
        <v>3</v>
      </c>
      <c r="L16" s="206">
        <f t="shared" si="0"/>
        <v>14</v>
      </c>
      <c r="M16" s="117"/>
      <c r="N16" s="872">
        <v>0</v>
      </c>
      <c r="O16" s="116">
        <v>10</v>
      </c>
      <c r="P16" s="1201">
        <v>3</v>
      </c>
      <c r="Q16" s="706">
        <f t="shared" si="1"/>
        <v>13</v>
      </c>
      <c r="R16" s="873">
        <f t="shared" ref="R16:R79" si="2">L16+Q16</f>
        <v>27</v>
      </c>
    </row>
    <row r="17" spans="1:18" s="81" customFormat="1">
      <c r="A17" s="1733"/>
      <c r="B17" s="1736"/>
      <c r="C17" s="1735"/>
      <c r="D17" s="1730" t="s">
        <v>24</v>
      </c>
      <c r="E17" s="1731"/>
      <c r="F17" s="115">
        <v>0</v>
      </c>
      <c r="G17" s="116">
        <v>1</v>
      </c>
      <c r="H17" s="116"/>
      <c r="I17" s="116">
        <v>1</v>
      </c>
      <c r="J17" s="1321">
        <v>1</v>
      </c>
      <c r="K17" s="116">
        <v>0</v>
      </c>
      <c r="L17" s="206">
        <f t="shared" si="0"/>
        <v>3</v>
      </c>
      <c r="M17" s="117"/>
      <c r="N17" s="872">
        <v>0</v>
      </c>
      <c r="O17" s="116">
        <v>4</v>
      </c>
      <c r="P17" s="1201">
        <v>3</v>
      </c>
      <c r="Q17" s="706">
        <f t="shared" si="1"/>
        <v>7</v>
      </c>
      <c r="R17" s="873">
        <f t="shared" si="2"/>
        <v>10</v>
      </c>
    </row>
    <row r="18" spans="1:18" s="81" customFormat="1" ht="18.75" customHeight="1">
      <c r="A18" s="1733"/>
      <c r="B18" s="1732" t="s">
        <v>186</v>
      </c>
      <c r="C18" s="1722" t="s">
        <v>87</v>
      </c>
      <c r="D18" s="1725" t="s">
        <v>35</v>
      </c>
      <c r="E18" s="1726"/>
      <c r="F18" s="99">
        <v>4</v>
      </c>
      <c r="G18" s="100">
        <v>6</v>
      </c>
      <c r="H18" s="100">
        <v>1</v>
      </c>
      <c r="I18" s="100">
        <v>7</v>
      </c>
      <c r="J18" s="874">
        <v>7</v>
      </c>
      <c r="K18" s="100">
        <v>6</v>
      </c>
      <c r="L18" s="699">
        <f t="shared" si="0"/>
        <v>31</v>
      </c>
      <c r="M18" s="101"/>
      <c r="N18" s="874">
        <v>4</v>
      </c>
      <c r="O18" s="100"/>
      <c r="P18" s="1202"/>
      <c r="Q18" s="707">
        <f t="shared" si="1"/>
        <v>4</v>
      </c>
      <c r="R18" s="875">
        <f t="shared" si="2"/>
        <v>35</v>
      </c>
    </row>
    <row r="19" spans="1:18" s="81" customFormat="1">
      <c r="A19" s="1733"/>
      <c r="B19" s="1733"/>
      <c r="C19" s="1723"/>
      <c r="D19" s="1722" t="s">
        <v>36</v>
      </c>
      <c r="E19" s="164" t="s">
        <v>41</v>
      </c>
      <c r="F19" s="102">
        <v>11</v>
      </c>
      <c r="G19" s="876">
        <v>21</v>
      </c>
      <c r="H19" s="103">
        <v>4</v>
      </c>
      <c r="I19" s="103">
        <v>24</v>
      </c>
      <c r="J19" s="877">
        <v>22</v>
      </c>
      <c r="K19" s="103">
        <v>21</v>
      </c>
      <c r="L19" s="700">
        <f t="shared" si="0"/>
        <v>103</v>
      </c>
      <c r="M19" s="104"/>
      <c r="N19" s="877">
        <v>15</v>
      </c>
      <c r="O19" s="103"/>
      <c r="P19" s="1203"/>
      <c r="Q19" s="708">
        <f t="shared" si="1"/>
        <v>15</v>
      </c>
      <c r="R19" s="879">
        <f t="shared" si="2"/>
        <v>118</v>
      </c>
    </row>
    <row r="20" spans="1:18" s="81" customFormat="1">
      <c r="A20" s="1733"/>
      <c r="B20" s="1733"/>
      <c r="C20" s="1724"/>
      <c r="D20" s="1724"/>
      <c r="E20" s="164" t="s">
        <v>43</v>
      </c>
      <c r="F20" s="102">
        <v>5</v>
      </c>
      <c r="G20" s="876">
        <v>8</v>
      </c>
      <c r="H20" s="103">
        <v>2</v>
      </c>
      <c r="I20" s="103">
        <v>11</v>
      </c>
      <c r="J20" s="877">
        <v>6</v>
      </c>
      <c r="K20" s="103">
        <v>10</v>
      </c>
      <c r="L20" s="700">
        <f t="shared" si="0"/>
        <v>42</v>
      </c>
      <c r="M20" s="104"/>
      <c r="N20" s="877">
        <v>8</v>
      </c>
      <c r="O20" s="103"/>
      <c r="P20" s="1203"/>
      <c r="Q20" s="708">
        <f t="shared" si="1"/>
        <v>8</v>
      </c>
      <c r="R20" s="879">
        <f t="shared" si="2"/>
        <v>50</v>
      </c>
    </row>
    <row r="21" spans="1:18" s="81" customFormat="1">
      <c r="A21" s="1733"/>
      <c r="B21" s="1733"/>
      <c r="C21" s="1722" t="s">
        <v>86</v>
      </c>
      <c r="D21" s="1725" t="s">
        <v>35</v>
      </c>
      <c r="E21" s="1726"/>
      <c r="F21" s="102">
        <v>0</v>
      </c>
      <c r="G21" s="103">
        <v>1</v>
      </c>
      <c r="H21" s="103"/>
      <c r="I21" s="102">
        <v>0</v>
      </c>
      <c r="J21" s="877"/>
      <c r="K21" s="103">
        <v>0</v>
      </c>
      <c r="L21" s="700">
        <f t="shared" si="0"/>
        <v>1</v>
      </c>
      <c r="M21" s="104"/>
      <c r="N21" s="877"/>
      <c r="O21" s="103"/>
      <c r="P21" s="1203"/>
      <c r="Q21" s="708">
        <f t="shared" si="1"/>
        <v>0</v>
      </c>
      <c r="R21" s="879">
        <f t="shared" si="2"/>
        <v>1</v>
      </c>
    </row>
    <row r="22" spans="1:18" s="81" customFormat="1">
      <c r="A22" s="1733"/>
      <c r="B22" s="1733"/>
      <c r="C22" s="1723"/>
      <c r="D22" s="1722" t="s">
        <v>36</v>
      </c>
      <c r="E22" s="164" t="s">
        <v>41</v>
      </c>
      <c r="F22" s="102">
        <v>0</v>
      </c>
      <c r="G22" s="103"/>
      <c r="H22" s="103"/>
      <c r="I22" s="102">
        <v>0</v>
      </c>
      <c r="J22" s="877"/>
      <c r="K22" s="103">
        <v>0</v>
      </c>
      <c r="L22" s="700">
        <f t="shared" si="0"/>
        <v>0</v>
      </c>
      <c r="M22" s="104"/>
      <c r="N22" s="877"/>
      <c r="O22" s="103"/>
      <c r="P22" s="1203"/>
      <c r="Q22" s="708">
        <f t="shared" si="1"/>
        <v>0</v>
      </c>
      <c r="R22" s="879">
        <f t="shared" si="2"/>
        <v>0</v>
      </c>
    </row>
    <row r="23" spans="1:18" s="81" customFormat="1">
      <c r="A23" s="1733"/>
      <c r="B23" s="1733"/>
      <c r="C23" s="1724"/>
      <c r="D23" s="1724"/>
      <c r="E23" s="164" t="s">
        <v>43</v>
      </c>
      <c r="F23" s="102">
        <v>0</v>
      </c>
      <c r="G23" s="103"/>
      <c r="H23" s="103"/>
      <c r="I23" s="102">
        <v>0</v>
      </c>
      <c r="J23" s="877"/>
      <c r="K23" s="103">
        <v>0</v>
      </c>
      <c r="L23" s="700">
        <f t="shared" si="0"/>
        <v>0</v>
      </c>
      <c r="M23" s="104"/>
      <c r="N23" s="877"/>
      <c r="O23" s="103"/>
      <c r="P23" s="1203"/>
      <c r="Q23" s="708">
        <f t="shared" si="1"/>
        <v>0</v>
      </c>
      <c r="R23" s="879">
        <f t="shared" si="2"/>
        <v>0</v>
      </c>
    </row>
    <row r="24" spans="1:18" s="81" customFormat="1">
      <c r="A24" s="1733"/>
      <c r="B24" s="1733"/>
      <c r="C24" s="1727" t="s">
        <v>41</v>
      </c>
      <c r="D24" s="1730" t="s">
        <v>35</v>
      </c>
      <c r="E24" s="1731"/>
      <c r="F24" s="108">
        <f t="shared" ref="F24:I26" si="3">F18+F21</f>
        <v>4</v>
      </c>
      <c r="G24" s="109">
        <f t="shared" si="3"/>
        <v>7</v>
      </c>
      <c r="H24" s="109">
        <f t="shared" si="3"/>
        <v>1</v>
      </c>
      <c r="I24" s="109">
        <f t="shared" si="3"/>
        <v>7</v>
      </c>
      <c r="J24" s="880">
        <f>J18+J21</f>
        <v>7</v>
      </c>
      <c r="K24" s="109">
        <f t="shared" ref="K24:K26" si="4">K18+K21</f>
        <v>6</v>
      </c>
      <c r="L24" s="700">
        <f t="shared" si="0"/>
        <v>32</v>
      </c>
      <c r="M24" s="110">
        <f t="shared" ref="M24:P26" si="5">M18+M21</f>
        <v>0</v>
      </c>
      <c r="N24" s="880">
        <f t="shared" si="5"/>
        <v>4</v>
      </c>
      <c r="O24" s="109">
        <f t="shared" si="5"/>
        <v>0</v>
      </c>
      <c r="P24" s="1204">
        <f t="shared" si="5"/>
        <v>0</v>
      </c>
      <c r="Q24" s="709">
        <f>SUM(M24:P24)</f>
        <v>4</v>
      </c>
      <c r="R24" s="879">
        <f t="shared" si="2"/>
        <v>36</v>
      </c>
    </row>
    <row r="25" spans="1:18" s="81" customFormat="1">
      <c r="A25" s="1733"/>
      <c r="B25" s="1733"/>
      <c r="C25" s="1728"/>
      <c r="D25" s="1727" t="s">
        <v>36</v>
      </c>
      <c r="E25" s="165" t="s">
        <v>41</v>
      </c>
      <c r="F25" s="108">
        <f t="shared" si="3"/>
        <v>11</v>
      </c>
      <c r="G25" s="109">
        <f>G19+G22</f>
        <v>21</v>
      </c>
      <c r="H25" s="109">
        <f t="shared" si="3"/>
        <v>4</v>
      </c>
      <c r="I25" s="109">
        <f t="shared" si="3"/>
        <v>24</v>
      </c>
      <c r="J25" s="880">
        <f>J19+J22</f>
        <v>22</v>
      </c>
      <c r="K25" s="109">
        <f t="shared" si="4"/>
        <v>21</v>
      </c>
      <c r="L25" s="700">
        <f t="shared" si="0"/>
        <v>103</v>
      </c>
      <c r="M25" s="110">
        <f t="shared" si="5"/>
        <v>0</v>
      </c>
      <c r="N25" s="880">
        <f t="shared" si="5"/>
        <v>15</v>
      </c>
      <c r="O25" s="109">
        <f t="shared" si="5"/>
        <v>0</v>
      </c>
      <c r="P25" s="1204">
        <f t="shared" si="5"/>
        <v>0</v>
      </c>
      <c r="Q25" s="709">
        <f t="shared" si="1"/>
        <v>15</v>
      </c>
      <c r="R25" s="879">
        <f t="shared" si="2"/>
        <v>118</v>
      </c>
    </row>
    <row r="26" spans="1:18" s="81" customFormat="1">
      <c r="A26" s="1733"/>
      <c r="B26" s="1736"/>
      <c r="C26" s="1735"/>
      <c r="D26" s="1735"/>
      <c r="E26" s="165" t="s">
        <v>43</v>
      </c>
      <c r="F26" s="118">
        <f t="shared" si="3"/>
        <v>5</v>
      </c>
      <c r="G26" s="119">
        <f t="shared" si="3"/>
        <v>8</v>
      </c>
      <c r="H26" s="119">
        <f t="shared" si="3"/>
        <v>2</v>
      </c>
      <c r="I26" s="119">
        <f t="shared" si="3"/>
        <v>11</v>
      </c>
      <c r="J26" s="881">
        <f>J20+J23</f>
        <v>6</v>
      </c>
      <c r="K26" s="119">
        <f t="shared" si="4"/>
        <v>10</v>
      </c>
      <c r="L26" s="701">
        <f t="shared" si="0"/>
        <v>42</v>
      </c>
      <c r="M26" s="120">
        <f t="shared" si="5"/>
        <v>0</v>
      </c>
      <c r="N26" s="881">
        <f t="shared" si="5"/>
        <v>8</v>
      </c>
      <c r="O26" s="119">
        <f t="shared" si="5"/>
        <v>0</v>
      </c>
      <c r="P26" s="1205">
        <f t="shared" si="5"/>
        <v>0</v>
      </c>
      <c r="Q26" s="710">
        <f t="shared" si="1"/>
        <v>8</v>
      </c>
      <c r="R26" s="882">
        <f t="shared" si="2"/>
        <v>50</v>
      </c>
    </row>
    <row r="27" spans="1:18" s="81" customFormat="1" ht="16.5" customHeight="1">
      <c r="A27" s="1733"/>
      <c r="B27" s="1732" t="s">
        <v>185</v>
      </c>
      <c r="C27" s="1722" t="s">
        <v>17</v>
      </c>
      <c r="D27" s="1725" t="s">
        <v>2</v>
      </c>
      <c r="E27" s="1726"/>
      <c r="F27" s="105">
        <v>2</v>
      </c>
      <c r="G27" s="106">
        <v>2</v>
      </c>
      <c r="H27" s="106"/>
      <c r="I27" s="106">
        <v>4</v>
      </c>
      <c r="J27" s="874">
        <v>3</v>
      </c>
      <c r="K27" s="106">
        <v>3</v>
      </c>
      <c r="L27" s="699">
        <f t="shared" si="0"/>
        <v>14</v>
      </c>
      <c r="M27" s="107">
        <v>1</v>
      </c>
      <c r="N27" s="883">
        <v>1</v>
      </c>
      <c r="O27" s="106">
        <v>1</v>
      </c>
      <c r="P27" s="1206">
        <v>1</v>
      </c>
      <c r="Q27" s="711">
        <f t="shared" si="1"/>
        <v>4</v>
      </c>
      <c r="R27" s="875">
        <f t="shared" si="2"/>
        <v>18</v>
      </c>
    </row>
    <row r="28" spans="1:18" s="81" customFormat="1">
      <c r="A28" s="1733"/>
      <c r="B28" s="1733"/>
      <c r="C28" s="1723"/>
      <c r="D28" s="1722" t="s">
        <v>3</v>
      </c>
      <c r="E28" s="164" t="s">
        <v>1</v>
      </c>
      <c r="F28" s="102">
        <v>12</v>
      </c>
      <c r="G28" s="876">
        <v>11</v>
      </c>
      <c r="H28" s="103"/>
      <c r="I28" s="103">
        <v>24</v>
      </c>
      <c r="J28" s="877">
        <v>18</v>
      </c>
      <c r="K28" s="103">
        <v>18</v>
      </c>
      <c r="L28" s="700">
        <f t="shared" si="0"/>
        <v>83</v>
      </c>
      <c r="M28" s="104">
        <v>6</v>
      </c>
      <c r="N28" s="877">
        <v>2</v>
      </c>
      <c r="O28" s="103">
        <v>2</v>
      </c>
      <c r="P28" s="1203">
        <v>1</v>
      </c>
      <c r="Q28" s="708">
        <f t="shared" si="1"/>
        <v>11</v>
      </c>
      <c r="R28" s="879">
        <f t="shared" si="2"/>
        <v>94</v>
      </c>
    </row>
    <row r="29" spans="1:18" s="81" customFormat="1">
      <c r="A29" s="1733"/>
      <c r="B29" s="1733"/>
      <c r="C29" s="1724"/>
      <c r="D29" s="1724"/>
      <c r="E29" s="164" t="s">
        <v>24</v>
      </c>
      <c r="F29" s="102">
        <v>3</v>
      </c>
      <c r="G29" s="876">
        <v>5</v>
      </c>
      <c r="H29" s="103"/>
      <c r="I29" s="103">
        <v>5</v>
      </c>
      <c r="J29" s="877">
        <v>5</v>
      </c>
      <c r="K29" s="103">
        <v>6</v>
      </c>
      <c r="L29" s="700">
        <f t="shared" si="0"/>
        <v>24</v>
      </c>
      <c r="M29" s="104">
        <v>2</v>
      </c>
      <c r="N29" s="877">
        <v>1</v>
      </c>
      <c r="O29" s="103">
        <v>2</v>
      </c>
      <c r="P29" s="1203">
        <v>0</v>
      </c>
      <c r="Q29" s="708">
        <f t="shared" si="1"/>
        <v>5</v>
      </c>
      <c r="R29" s="879">
        <f t="shared" si="2"/>
        <v>29</v>
      </c>
    </row>
    <row r="30" spans="1:18" s="81" customFormat="1">
      <c r="A30" s="1733"/>
      <c r="B30" s="1733"/>
      <c r="C30" s="1722" t="s">
        <v>18</v>
      </c>
      <c r="D30" s="1725" t="s">
        <v>2</v>
      </c>
      <c r="E30" s="1726"/>
      <c r="F30" s="102">
        <v>2</v>
      </c>
      <c r="G30" s="103">
        <v>2</v>
      </c>
      <c r="H30" s="103"/>
      <c r="I30" s="103">
        <v>4</v>
      </c>
      <c r="J30" s="877">
        <v>2</v>
      </c>
      <c r="K30" s="103">
        <v>2</v>
      </c>
      <c r="L30" s="700">
        <f t="shared" si="0"/>
        <v>12</v>
      </c>
      <c r="M30" s="104">
        <v>1</v>
      </c>
      <c r="N30" s="877">
        <v>1</v>
      </c>
      <c r="O30" s="103">
        <v>1</v>
      </c>
      <c r="P30" s="1203">
        <v>1</v>
      </c>
      <c r="Q30" s="708">
        <f t="shared" si="1"/>
        <v>4</v>
      </c>
      <c r="R30" s="879">
        <f t="shared" si="2"/>
        <v>16</v>
      </c>
    </row>
    <row r="31" spans="1:18" s="81" customFormat="1">
      <c r="A31" s="1733"/>
      <c r="B31" s="1733"/>
      <c r="C31" s="1723"/>
      <c r="D31" s="1722" t="s">
        <v>3</v>
      </c>
      <c r="E31" s="164" t="s">
        <v>1</v>
      </c>
      <c r="F31" s="102">
        <v>12</v>
      </c>
      <c r="G31" s="103">
        <v>12</v>
      </c>
      <c r="H31" s="103"/>
      <c r="I31" s="103">
        <v>24</v>
      </c>
      <c r="J31" s="877">
        <v>12</v>
      </c>
      <c r="K31" s="103">
        <v>12</v>
      </c>
      <c r="L31" s="700">
        <f t="shared" si="0"/>
        <v>72</v>
      </c>
      <c r="M31" s="104">
        <v>6</v>
      </c>
      <c r="N31" s="877">
        <v>6</v>
      </c>
      <c r="O31" s="103">
        <v>1</v>
      </c>
      <c r="P31" s="1203">
        <v>3</v>
      </c>
      <c r="Q31" s="708">
        <f t="shared" si="1"/>
        <v>16</v>
      </c>
      <c r="R31" s="879">
        <f t="shared" si="2"/>
        <v>88</v>
      </c>
    </row>
    <row r="32" spans="1:18" s="81" customFormat="1">
      <c r="A32" s="1733"/>
      <c r="B32" s="1733"/>
      <c r="C32" s="1724"/>
      <c r="D32" s="1724"/>
      <c r="E32" s="164" t="s">
        <v>24</v>
      </c>
      <c r="F32" s="102">
        <v>4</v>
      </c>
      <c r="G32" s="103">
        <v>5</v>
      </c>
      <c r="H32" s="103"/>
      <c r="I32" s="103">
        <v>6</v>
      </c>
      <c r="J32" s="877">
        <v>4</v>
      </c>
      <c r="K32" s="103">
        <v>4</v>
      </c>
      <c r="L32" s="700">
        <f t="shared" si="0"/>
        <v>23</v>
      </c>
      <c r="M32" s="104">
        <v>4</v>
      </c>
      <c r="N32" s="877">
        <v>0</v>
      </c>
      <c r="O32" s="103">
        <v>1</v>
      </c>
      <c r="P32" s="1203">
        <v>1</v>
      </c>
      <c r="Q32" s="712">
        <f t="shared" si="1"/>
        <v>6</v>
      </c>
      <c r="R32" s="879">
        <f t="shared" si="2"/>
        <v>29</v>
      </c>
    </row>
    <row r="33" spans="1:18" s="81" customFormat="1">
      <c r="A33" s="1733"/>
      <c r="B33" s="1733"/>
      <c r="C33" s="1722" t="s">
        <v>19</v>
      </c>
      <c r="D33" s="1725" t="s">
        <v>2</v>
      </c>
      <c r="E33" s="1726"/>
      <c r="F33" s="102">
        <v>2</v>
      </c>
      <c r="G33" s="103">
        <v>2</v>
      </c>
      <c r="H33" s="103"/>
      <c r="I33" s="103">
        <v>4</v>
      </c>
      <c r="J33" s="877">
        <v>2</v>
      </c>
      <c r="K33" s="103">
        <v>2</v>
      </c>
      <c r="L33" s="700">
        <f t="shared" si="0"/>
        <v>12</v>
      </c>
      <c r="M33" s="104">
        <v>1</v>
      </c>
      <c r="N33" s="877">
        <v>1</v>
      </c>
      <c r="O33" s="103">
        <v>1</v>
      </c>
      <c r="P33" s="1203">
        <v>1</v>
      </c>
      <c r="Q33" s="712">
        <f t="shared" si="1"/>
        <v>4</v>
      </c>
      <c r="R33" s="879">
        <f t="shared" si="2"/>
        <v>16</v>
      </c>
    </row>
    <row r="34" spans="1:18" s="81" customFormat="1">
      <c r="A34" s="1733"/>
      <c r="B34" s="1733"/>
      <c r="C34" s="1723"/>
      <c r="D34" s="1722" t="s">
        <v>3</v>
      </c>
      <c r="E34" s="164" t="s">
        <v>1</v>
      </c>
      <c r="F34" s="102">
        <v>12</v>
      </c>
      <c r="G34" s="103">
        <v>12</v>
      </c>
      <c r="H34" s="103"/>
      <c r="I34" s="103">
        <v>24</v>
      </c>
      <c r="J34" s="877">
        <v>12</v>
      </c>
      <c r="K34" s="103">
        <v>12</v>
      </c>
      <c r="L34" s="700">
        <f t="shared" si="0"/>
        <v>72</v>
      </c>
      <c r="M34" s="104">
        <v>7</v>
      </c>
      <c r="N34" s="877">
        <v>4</v>
      </c>
      <c r="O34" s="103">
        <v>2</v>
      </c>
      <c r="P34" s="1203">
        <v>2</v>
      </c>
      <c r="Q34" s="712">
        <f t="shared" si="1"/>
        <v>15</v>
      </c>
      <c r="R34" s="879">
        <f t="shared" si="2"/>
        <v>87</v>
      </c>
    </row>
    <row r="35" spans="1:18" s="81" customFormat="1">
      <c r="A35" s="1733"/>
      <c r="B35" s="1733"/>
      <c r="C35" s="1724"/>
      <c r="D35" s="1724"/>
      <c r="E35" s="164" t="s">
        <v>24</v>
      </c>
      <c r="F35" s="102">
        <v>2</v>
      </c>
      <c r="G35" s="103">
        <v>1</v>
      </c>
      <c r="H35" s="103"/>
      <c r="I35" s="103">
        <v>6</v>
      </c>
      <c r="J35" s="877">
        <v>5</v>
      </c>
      <c r="K35" s="103">
        <v>4</v>
      </c>
      <c r="L35" s="700">
        <f t="shared" si="0"/>
        <v>18</v>
      </c>
      <c r="M35" s="104">
        <v>1</v>
      </c>
      <c r="N35" s="877">
        <v>1</v>
      </c>
      <c r="O35" s="103">
        <v>1</v>
      </c>
      <c r="P35" s="1203">
        <v>0</v>
      </c>
      <c r="Q35" s="712">
        <f t="shared" si="1"/>
        <v>3</v>
      </c>
      <c r="R35" s="879">
        <f t="shared" si="2"/>
        <v>21</v>
      </c>
    </row>
    <row r="36" spans="1:18" s="81" customFormat="1">
      <c r="A36" s="1733"/>
      <c r="B36" s="1733"/>
      <c r="C36" s="1722" t="s">
        <v>20</v>
      </c>
      <c r="D36" s="1725" t="s">
        <v>2</v>
      </c>
      <c r="E36" s="1726"/>
      <c r="F36" s="102">
        <v>3</v>
      </c>
      <c r="G36" s="103">
        <v>2</v>
      </c>
      <c r="H36" s="103"/>
      <c r="I36" s="103">
        <v>3</v>
      </c>
      <c r="J36" s="877">
        <v>2</v>
      </c>
      <c r="K36" s="103">
        <v>3</v>
      </c>
      <c r="L36" s="700">
        <f t="shared" si="0"/>
        <v>13</v>
      </c>
      <c r="M36" s="104">
        <v>1</v>
      </c>
      <c r="N36" s="877">
        <v>1</v>
      </c>
      <c r="O36" s="103">
        <v>1</v>
      </c>
      <c r="P36" s="1203">
        <v>1</v>
      </c>
      <c r="Q36" s="712">
        <f t="shared" si="1"/>
        <v>4</v>
      </c>
      <c r="R36" s="879">
        <f t="shared" si="2"/>
        <v>17</v>
      </c>
    </row>
    <row r="37" spans="1:18" s="81" customFormat="1">
      <c r="A37" s="1733"/>
      <c r="B37" s="1733"/>
      <c r="C37" s="1723"/>
      <c r="D37" s="1722" t="s">
        <v>3</v>
      </c>
      <c r="E37" s="164" t="s">
        <v>1</v>
      </c>
      <c r="F37" s="102">
        <v>18</v>
      </c>
      <c r="G37" s="103">
        <v>12</v>
      </c>
      <c r="H37" s="103"/>
      <c r="I37" s="103">
        <v>18</v>
      </c>
      <c r="J37" s="877">
        <v>12</v>
      </c>
      <c r="K37" s="103">
        <v>18</v>
      </c>
      <c r="L37" s="700">
        <f t="shared" si="0"/>
        <v>78</v>
      </c>
      <c r="M37" s="104">
        <v>7</v>
      </c>
      <c r="N37" s="877">
        <v>1</v>
      </c>
      <c r="O37" s="103">
        <v>5</v>
      </c>
      <c r="P37" s="1203">
        <v>1</v>
      </c>
      <c r="Q37" s="712">
        <f t="shared" si="1"/>
        <v>14</v>
      </c>
      <c r="R37" s="879">
        <f t="shared" si="2"/>
        <v>92</v>
      </c>
    </row>
    <row r="38" spans="1:18" s="81" customFormat="1">
      <c r="A38" s="1733"/>
      <c r="B38" s="1733"/>
      <c r="C38" s="1724"/>
      <c r="D38" s="1724"/>
      <c r="E38" s="164" t="s">
        <v>24</v>
      </c>
      <c r="F38" s="102">
        <v>3</v>
      </c>
      <c r="G38" s="103">
        <v>2</v>
      </c>
      <c r="H38" s="103"/>
      <c r="I38" s="103">
        <v>8</v>
      </c>
      <c r="J38" s="877">
        <v>3</v>
      </c>
      <c r="K38" s="103">
        <v>6</v>
      </c>
      <c r="L38" s="700">
        <f t="shared" si="0"/>
        <v>22</v>
      </c>
      <c r="M38" s="104">
        <v>4</v>
      </c>
      <c r="N38" s="877">
        <v>0</v>
      </c>
      <c r="O38" s="103">
        <v>4</v>
      </c>
      <c r="P38" s="1203">
        <v>1</v>
      </c>
      <c r="Q38" s="712">
        <f t="shared" si="1"/>
        <v>9</v>
      </c>
      <c r="R38" s="879">
        <f t="shared" si="2"/>
        <v>31</v>
      </c>
    </row>
    <row r="39" spans="1:18" s="81" customFormat="1">
      <c r="A39" s="1733"/>
      <c r="B39" s="1733"/>
      <c r="C39" s="1722" t="s">
        <v>21</v>
      </c>
      <c r="D39" s="1725" t="s">
        <v>2</v>
      </c>
      <c r="E39" s="1726"/>
      <c r="F39" s="102">
        <v>4</v>
      </c>
      <c r="G39" s="103">
        <v>3</v>
      </c>
      <c r="H39" s="103"/>
      <c r="I39" s="103">
        <v>4</v>
      </c>
      <c r="J39" s="877">
        <v>3</v>
      </c>
      <c r="K39" s="103">
        <v>5</v>
      </c>
      <c r="L39" s="700">
        <f t="shared" si="0"/>
        <v>19</v>
      </c>
      <c r="M39" s="104">
        <v>2</v>
      </c>
      <c r="N39" s="877">
        <v>1</v>
      </c>
      <c r="O39" s="103">
        <v>1</v>
      </c>
      <c r="P39" s="1203">
        <v>1</v>
      </c>
      <c r="Q39" s="712">
        <f t="shared" si="1"/>
        <v>5</v>
      </c>
      <c r="R39" s="879">
        <f t="shared" si="2"/>
        <v>24</v>
      </c>
    </row>
    <row r="40" spans="1:18" s="81" customFormat="1">
      <c r="A40" s="1733"/>
      <c r="B40" s="1733"/>
      <c r="C40" s="1723"/>
      <c r="D40" s="1722" t="s">
        <v>3</v>
      </c>
      <c r="E40" s="164" t="s">
        <v>1</v>
      </c>
      <c r="F40" s="102">
        <v>24</v>
      </c>
      <c r="G40" s="103">
        <v>18</v>
      </c>
      <c r="H40" s="103"/>
      <c r="I40" s="103">
        <v>24</v>
      </c>
      <c r="J40" s="877">
        <v>18</v>
      </c>
      <c r="K40" s="103">
        <v>29</v>
      </c>
      <c r="L40" s="700">
        <f t="shared" si="0"/>
        <v>113</v>
      </c>
      <c r="M40" s="104">
        <v>12</v>
      </c>
      <c r="N40" s="877">
        <v>5</v>
      </c>
      <c r="O40" s="103">
        <v>3</v>
      </c>
      <c r="P40" s="1203">
        <v>4</v>
      </c>
      <c r="Q40" s="712">
        <f t="shared" si="1"/>
        <v>24</v>
      </c>
      <c r="R40" s="879">
        <f t="shared" si="2"/>
        <v>137</v>
      </c>
    </row>
    <row r="41" spans="1:18" s="81" customFormat="1">
      <c r="A41" s="1733"/>
      <c r="B41" s="1733"/>
      <c r="C41" s="1724"/>
      <c r="D41" s="1724"/>
      <c r="E41" s="164" t="s">
        <v>24</v>
      </c>
      <c r="F41" s="102">
        <v>4</v>
      </c>
      <c r="G41" s="103">
        <v>3</v>
      </c>
      <c r="H41" s="103"/>
      <c r="I41" s="103">
        <v>5</v>
      </c>
      <c r="J41" s="877">
        <v>5</v>
      </c>
      <c r="K41" s="103">
        <v>12</v>
      </c>
      <c r="L41" s="700">
        <f t="shared" si="0"/>
        <v>29</v>
      </c>
      <c r="M41" s="104">
        <v>2</v>
      </c>
      <c r="N41" s="877">
        <v>4</v>
      </c>
      <c r="O41" s="103">
        <v>2</v>
      </c>
      <c r="P41" s="1203">
        <v>2</v>
      </c>
      <c r="Q41" s="712">
        <f t="shared" si="1"/>
        <v>10</v>
      </c>
      <c r="R41" s="879">
        <f t="shared" si="2"/>
        <v>39</v>
      </c>
    </row>
    <row r="42" spans="1:18" s="81" customFormat="1">
      <c r="A42" s="1733"/>
      <c r="B42" s="1733"/>
      <c r="C42" s="1722" t="s">
        <v>22</v>
      </c>
      <c r="D42" s="1725" t="s">
        <v>2</v>
      </c>
      <c r="E42" s="1726"/>
      <c r="F42" s="102">
        <v>2</v>
      </c>
      <c r="G42" s="103">
        <v>3</v>
      </c>
      <c r="H42" s="103"/>
      <c r="I42" s="103">
        <v>3</v>
      </c>
      <c r="J42" s="877">
        <v>2</v>
      </c>
      <c r="K42" s="103">
        <v>4</v>
      </c>
      <c r="L42" s="700">
        <f t="shared" si="0"/>
        <v>14</v>
      </c>
      <c r="M42" s="104">
        <v>1</v>
      </c>
      <c r="N42" s="877">
        <v>1</v>
      </c>
      <c r="O42" s="103">
        <v>1</v>
      </c>
      <c r="P42" s="1203">
        <v>1</v>
      </c>
      <c r="Q42" s="712">
        <f t="shared" si="1"/>
        <v>4</v>
      </c>
      <c r="R42" s="879">
        <f t="shared" si="2"/>
        <v>18</v>
      </c>
    </row>
    <row r="43" spans="1:18" s="81" customFormat="1">
      <c r="A43" s="1733"/>
      <c r="B43" s="1733"/>
      <c r="C43" s="1723"/>
      <c r="D43" s="1722" t="s">
        <v>3</v>
      </c>
      <c r="E43" s="164" t="s">
        <v>1</v>
      </c>
      <c r="F43" s="102">
        <v>11</v>
      </c>
      <c r="G43" s="103">
        <v>18</v>
      </c>
      <c r="H43" s="103"/>
      <c r="I43" s="103">
        <v>18</v>
      </c>
      <c r="J43" s="877">
        <v>12</v>
      </c>
      <c r="K43" s="103">
        <v>25</v>
      </c>
      <c r="L43" s="700">
        <f t="shared" si="0"/>
        <v>84</v>
      </c>
      <c r="M43" s="104">
        <v>6</v>
      </c>
      <c r="N43" s="877">
        <v>6</v>
      </c>
      <c r="O43" s="103">
        <v>6</v>
      </c>
      <c r="P43" s="1203">
        <v>3</v>
      </c>
      <c r="Q43" s="712">
        <f t="shared" si="1"/>
        <v>21</v>
      </c>
      <c r="R43" s="879">
        <f t="shared" si="2"/>
        <v>105</v>
      </c>
    </row>
    <row r="44" spans="1:18" s="81" customFormat="1">
      <c r="A44" s="1733"/>
      <c r="B44" s="1733"/>
      <c r="C44" s="1724"/>
      <c r="D44" s="1724"/>
      <c r="E44" s="164" t="s">
        <v>24</v>
      </c>
      <c r="F44" s="102">
        <v>4</v>
      </c>
      <c r="G44" s="103">
        <v>3</v>
      </c>
      <c r="H44" s="103"/>
      <c r="I44" s="103">
        <v>4</v>
      </c>
      <c r="J44" s="877">
        <v>3</v>
      </c>
      <c r="K44" s="103">
        <v>4</v>
      </c>
      <c r="L44" s="700">
        <f t="shared" si="0"/>
        <v>18</v>
      </c>
      <c r="M44" s="104">
        <v>3</v>
      </c>
      <c r="N44" s="877">
        <v>3</v>
      </c>
      <c r="O44" s="103">
        <v>5</v>
      </c>
      <c r="P44" s="1203">
        <v>1</v>
      </c>
      <c r="Q44" s="712">
        <f t="shared" si="1"/>
        <v>12</v>
      </c>
      <c r="R44" s="879">
        <f t="shared" si="2"/>
        <v>30</v>
      </c>
    </row>
    <row r="45" spans="1:18" s="81" customFormat="1">
      <c r="A45" s="1733"/>
      <c r="B45" s="1733"/>
      <c r="C45" s="1727" t="s">
        <v>1</v>
      </c>
      <c r="D45" s="1730" t="s">
        <v>2</v>
      </c>
      <c r="E45" s="1731"/>
      <c r="F45" s="108">
        <f t="shared" ref="F45:K47" si="6">F27+F30+F33+F36+F39+F42</f>
        <v>15</v>
      </c>
      <c r="G45" s="109">
        <f t="shared" si="6"/>
        <v>14</v>
      </c>
      <c r="H45" s="109">
        <f t="shared" si="6"/>
        <v>0</v>
      </c>
      <c r="I45" s="109">
        <f t="shared" si="6"/>
        <v>22</v>
      </c>
      <c r="J45" s="880">
        <f t="shared" si="6"/>
        <v>14</v>
      </c>
      <c r="K45" s="109">
        <f t="shared" si="6"/>
        <v>19</v>
      </c>
      <c r="L45" s="700">
        <f t="shared" si="0"/>
        <v>84</v>
      </c>
      <c r="M45" s="110">
        <f t="shared" ref="M45:P47" si="7">M27+M30+M33+M36+M39+M42</f>
        <v>7</v>
      </c>
      <c r="N45" s="880">
        <f t="shared" si="7"/>
        <v>6</v>
      </c>
      <c r="O45" s="109">
        <f t="shared" si="7"/>
        <v>6</v>
      </c>
      <c r="P45" s="1204">
        <f t="shared" si="7"/>
        <v>6</v>
      </c>
      <c r="Q45" s="713">
        <f>SUM(M45:P45)</f>
        <v>25</v>
      </c>
      <c r="R45" s="879">
        <f t="shared" si="2"/>
        <v>109</v>
      </c>
    </row>
    <row r="46" spans="1:18" s="81" customFormat="1">
      <c r="A46" s="1733"/>
      <c r="B46" s="1733"/>
      <c r="C46" s="1728"/>
      <c r="D46" s="1727" t="s">
        <v>3</v>
      </c>
      <c r="E46" s="165" t="s">
        <v>1</v>
      </c>
      <c r="F46" s="108">
        <f t="shared" si="6"/>
        <v>89</v>
      </c>
      <c r="G46" s="109">
        <f t="shared" si="6"/>
        <v>83</v>
      </c>
      <c r="H46" s="109">
        <f t="shared" si="6"/>
        <v>0</v>
      </c>
      <c r="I46" s="109">
        <f t="shared" si="6"/>
        <v>132</v>
      </c>
      <c r="J46" s="880">
        <f t="shared" si="6"/>
        <v>84</v>
      </c>
      <c r="K46" s="109">
        <f t="shared" si="6"/>
        <v>114</v>
      </c>
      <c r="L46" s="700">
        <f t="shared" si="0"/>
        <v>502</v>
      </c>
      <c r="M46" s="110">
        <f t="shared" si="7"/>
        <v>44</v>
      </c>
      <c r="N46" s="880">
        <f t="shared" si="7"/>
        <v>24</v>
      </c>
      <c r="O46" s="109">
        <f t="shared" si="7"/>
        <v>19</v>
      </c>
      <c r="P46" s="1204">
        <f t="shared" si="7"/>
        <v>14</v>
      </c>
      <c r="Q46" s="713">
        <f>SUM(M46:P46)</f>
        <v>101</v>
      </c>
      <c r="R46" s="879">
        <f t="shared" si="2"/>
        <v>603</v>
      </c>
    </row>
    <row r="47" spans="1:18" s="81" customFormat="1">
      <c r="A47" s="1733"/>
      <c r="B47" s="1736"/>
      <c r="C47" s="1735"/>
      <c r="D47" s="1735"/>
      <c r="E47" s="165" t="s">
        <v>24</v>
      </c>
      <c r="F47" s="118">
        <f>F29+F32+F35+F38+F41+F44</f>
        <v>20</v>
      </c>
      <c r="G47" s="119">
        <f t="shared" si="6"/>
        <v>19</v>
      </c>
      <c r="H47" s="119">
        <f t="shared" si="6"/>
        <v>0</v>
      </c>
      <c r="I47" s="119">
        <f t="shared" si="6"/>
        <v>34</v>
      </c>
      <c r="J47" s="881">
        <f>J29+J32+J35+J38+J41+J44</f>
        <v>25</v>
      </c>
      <c r="K47" s="119">
        <f>K29+K32+K35+K38+K41+K44</f>
        <v>36</v>
      </c>
      <c r="L47" s="701">
        <f t="shared" ref="L47:L78" si="8">SUM(F47:K47)</f>
        <v>134</v>
      </c>
      <c r="M47" s="120">
        <f t="shared" si="7"/>
        <v>16</v>
      </c>
      <c r="N47" s="881">
        <f t="shared" si="7"/>
        <v>9</v>
      </c>
      <c r="O47" s="119">
        <f t="shared" si="7"/>
        <v>15</v>
      </c>
      <c r="P47" s="1205">
        <f t="shared" si="7"/>
        <v>5</v>
      </c>
      <c r="Q47" s="714">
        <f>SUM(M47:P47)</f>
        <v>45</v>
      </c>
      <c r="R47" s="882">
        <f t="shared" si="2"/>
        <v>179</v>
      </c>
    </row>
    <row r="48" spans="1:18" s="81" customFormat="1" ht="16.5" customHeight="1">
      <c r="A48" s="1733"/>
      <c r="B48" s="1732" t="s">
        <v>179</v>
      </c>
      <c r="C48" s="1722" t="s">
        <v>17</v>
      </c>
      <c r="D48" s="1725" t="s">
        <v>2</v>
      </c>
      <c r="E48" s="1726"/>
      <c r="F48" s="105">
        <v>3</v>
      </c>
      <c r="G48" s="106">
        <v>3</v>
      </c>
      <c r="H48" s="106">
        <v>3</v>
      </c>
      <c r="I48" s="106">
        <v>4</v>
      </c>
      <c r="J48" s="883">
        <v>3</v>
      </c>
      <c r="K48" s="106">
        <v>4</v>
      </c>
      <c r="L48" s="702">
        <f t="shared" si="8"/>
        <v>20</v>
      </c>
      <c r="M48" s="107">
        <v>2</v>
      </c>
      <c r="N48" s="883">
        <v>1</v>
      </c>
      <c r="O48" s="106">
        <v>2</v>
      </c>
      <c r="P48" s="1203">
        <v>1</v>
      </c>
      <c r="Q48" s="715">
        <f>SUM(M48:P48)</f>
        <v>6</v>
      </c>
      <c r="R48" s="875">
        <f t="shared" si="2"/>
        <v>26</v>
      </c>
    </row>
    <row r="49" spans="1:18" s="81" customFormat="1">
      <c r="A49" s="1733"/>
      <c r="B49" s="1733"/>
      <c r="C49" s="1723"/>
      <c r="D49" s="1722" t="s">
        <v>3</v>
      </c>
      <c r="E49" s="164" t="s">
        <v>1</v>
      </c>
      <c r="F49" s="102">
        <v>18</v>
      </c>
      <c r="G49" s="103">
        <v>17</v>
      </c>
      <c r="H49" s="103">
        <v>18</v>
      </c>
      <c r="I49" s="103">
        <v>24</v>
      </c>
      <c r="J49" s="877">
        <v>18</v>
      </c>
      <c r="K49" s="103">
        <v>24</v>
      </c>
      <c r="L49" s="700">
        <f t="shared" si="8"/>
        <v>119</v>
      </c>
      <c r="M49" s="104">
        <v>12</v>
      </c>
      <c r="N49" s="877">
        <v>6</v>
      </c>
      <c r="O49" s="103">
        <v>7</v>
      </c>
      <c r="P49" s="1203">
        <v>5</v>
      </c>
      <c r="Q49" s="712">
        <f>SUM(M49:P49)</f>
        <v>30</v>
      </c>
      <c r="R49" s="879">
        <f t="shared" si="2"/>
        <v>149</v>
      </c>
    </row>
    <row r="50" spans="1:18" s="81" customFormat="1">
      <c r="A50" s="1733"/>
      <c r="B50" s="1733"/>
      <c r="C50" s="1724"/>
      <c r="D50" s="1724"/>
      <c r="E50" s="164" t="s">
        <v>24</v>
      </c>
      <c r="F50" s="102">
        <v>2</v>
      </c>
      <c r="G50" s="103">
        <v>3</v>
      </c>
      <c r="H50" s="103">
        <v>5</v>
      </c>
      <c r="I50" s="103">
        <v>9</v>
      </c>
      <c r="J50" s="877">
        <v>2</v>
      </c>
      <c r="K50" s="103">
        <v>3</v>
      </c>
      <c r="L50" s="700">
        <f t="shared" si="8"/>
        <v>24</v>
      </c>
      <c r="M50" s="104">
        <v>6</v>
      </c>
      <c r="N50" s="877">
        <v>3</v>
      </c>
      <c r="O50" s="103">
        <v>4</v>
      </c>
      <c r="P50" s="1203">
        <v>3</v>
      </c>
      <c r="Q50" s="712">
        <f t="shared" ref="Q50:Q56" si="9">SUM(M50:P50)</f>
        <v>16</v>
      </c>
      <c r="R50" s="879">
        <f t="shared" si="2"/>
        <v>40</v>
      </c>
    </row>
    <row r="51" spans="1:18" s="81" customFormat="1">
      <c r="A51" s="1733"/>
      <c r="B51" s="1733"/>
      <c r="C51" s="1722" t="s">
        <v>18</v>
      </c>
      <c r="D51" s="1725" t="s">
        <v>2</v>
      </c>
      <c r="E51" s="1726"/>
      <c r="F51" s="102">
        <v>4</v>
      </c>
      <c r="G51" s="103">
        <v>2</v>
      </c>
      <c r="H51" s="103">
        <v>3</v>
      </c>
      <c r="I51" s="103">
        <v>4</v>
      </c>
      <c r="J51" s="877">
        <v>4</v>
      </c>
      <c r="K51" s="103">
        <v>3</v>
      </c>
      <c r="L51" s="700">
        <f t="shared" si="8"/>
        <v>20</v>
      </c>
      <c r="M51" s="104">
        <v>2</v>
      </c>
      <c r="N51" s="877">
        <v>1</v>
      </c>
      <c r="O51" s="103">
        <v>1</v>
      </c>
      <c r="P51" s="1203">
        <v>1</v>
      </c>
      <c r="Q51" s="712">
        <f t="shared" si="9"/>
        <v>5</v>
      </c>
      <c r="R51" s="879">
        <f t="shared" si="2"/>
        <v>25</v>
      </c>
    </row>
    <row r="52" spans="1:18" s="81" customFormat="1">
      <c r="A52" s="1733"/>
      <c r="B52" s="1733"/>
      <c r="C52" s="1723"/>
      <c r="D52" s="1722" t="s">
        <v>3</v>
      </c>
      <c r="E52" s="164" t="s">
        <v>1</v>
      </c>
      <c r="F52" s="102">
        <v>23</v>
      </c>
      <c r="G52" s="103">
        <v>13</v>
      </c>
      <c r="H52" s="103">
        <v>18</v>
      </c>
      <c r="I52" s="103">
        <v>23</v>
      </c>
      <c r="J52" s="877">
        <v>25</v>
      </c>
      <c r="K52" s="103">
        <v>18</v>
      </c>
      <c r="L52" s="700">
        <f t="shared" si="8"/>
        <v>120</v>
      </c>
      <c r="M52" s="104">
        <v>12</v>
      </c>
      <c r="N52" s="877">
        <v>6</v>
      </c>
      <c r="O52" s="103">
        <v>6</v>
      </c>
      <c r="P52" s="1203">
        <v>5</v>
      </c>
      <c r="Q52" s="712">
        <f t="shared" si="9"/>
        <v>29</v>
      </c>
      <c r="R52" s="879">
        <f t="shared" si="2"/>
        <v>149</v>
      </c>
    </row>
    <row r="53" spans="1:18" s="81" customFormat="1">
      <c r="A53" s="1733"/>
      <c r="B53" s="1733"/>
      <c r="C53" s="1724"/>
      <c r="D53" s="1724"/>
      <c r="E53" s="164" t="s">
        <v>24</v>
      </c>
      <c r="F53" s="102">
        <v>8</v>
      </c>
      <c r="G53" s="103">
        <v>3</v>
      </c>
      <c r="H53" s="103">
        <v>9</v>
      </c>
      <c r="I53" s="103">
        <v>6</v>
      </c>
      <c r="J53" s="877">
        <v>4</v>
      </c>
      <c r="K53" s="103">
        <v>1</v>
      </c>
      <c r="L53" s="700">
        <f t="shared" si="8"/>
        <v>31</v>
      </c>
      <c r="M53" s="104">
        <v>4</v>
      </c>
      <c r="N53" s="877">
        <v>3</v>
      </c>
      <c r="O53" s="103">
        <v>1</v>
      </c>
      <c r="P53" s="1203">
        <v>2</v>
      </c>
      <c r="Q53" s="712">
        <f t="shared" si="9"/>
        <v>10</v>
      </c>
      <c r="R53" s="879">
        <f t="shared" si="2"/>
        <v>41</v>
      </c>
    </row>
    <row r="54" spans="1:18" s="81" customFormat="1">
      <c r="A54" s="1733"/>
      <c r="B54" s="1733"/>
      <c r="C54" s="1722" t="s">
        <v>19</v>
      </c>
      <c r="D54" s="1725" t="s">
        <v>2</v>
      </c>
      <c r="E54" s="1726"/>
      <c r="F54" s="102">
        <v>3</v>
      </c>
      <c r="G54" s="103">
        <v>4</v>
      </c>
      <c r="H54" s="103">
        <v>3</v>
      </c>
      <c r="I54" s="103">
        <v>5</v>
      </c>
      <c r="J54" s="877">
        <v>3</v>
      </c>
      <c r="K54" s="103">
        <v>3</v>
      </c>
      <c r="L54" s="700">
        <f t="shared" si="8"/>
        <v>21</v>
      </c>
      <c r="M54" s="104">
        <v>2</v>
      </c>
      <c r="N54" s="877">
        <v>1</v>
      </c>
      <c r="O54" s="103">
        <v>1</v>
      </c>
      <c r="P54" s="1203">
        <v>1</v>
      </c>
      <c r="Q54" s="712">
        <f t="shared" si="9"/>
        <v>5</v>
      </c>
      <c r="R54" s="879">
        <f t="shared" si="2"/>
        <v>26</v>
      </c>
    </row>
    <row r="55" spans="1:18" s="81" customFormat="1">
      <c r="A55" s="1733"/>
      <c r="B55" s="1733"/>
      <c r="C55" s="1723"/>
      <c r="D55" s="1722" t="s">
        <v>3</v>
      </c>
      <c r="E55" s="164" t="s">
        <v>1</v>
      </c>
      <c r="F55" s="102">
        <v>18</v>
      </c>
      <c r="G55" s="103">
        <v>24</v>
      </c>
      <c r="H55" s="103">
        <v>18</v>
      </c>
      <c r="I55" s="103">
        <v>28</v>
      </c>
      <c r="J55" s="877">
        <v>17</v>
      </c>
      <c r="K55" s="103">
        <v>18</v>
      </c>
      <c r="L55" s="700">
        <f t="shared" si="8"/>
        <v>123</v>
      </c>
      <c r="M55" s="104">
        <v>12</v>
      </c>
      <c r="N55" s="877">
        <v>6</v>
      </c>
      <c r="O55" s="103">
        <v>2</v>
      </c>
      <c r="P55" s="1203">
        <v>5</v>
      </c>
      <c r="Q55" s="712">
        <f t="shared" si="9"/>
        <v>25</v>
      </c>
      <c r="R55" s="879">
        <f t="shared" si="2"/>
        <v>148</v>
      </c>
    </row>
    <row r="56" spans="1:18" s="81" customFormat="1">
      <c r="A56" s="1733"/>
      <c r="B56" s="1733"/>
      <c r="C56" s="1724"/>
      <c r="D56" s="1724"/>
      <c r="E56" s="164" t="s">
        <v>24</v>
      </c>
      <c r="F56" s="102">
        <v>4</v>
      </c>
      <c r="G56" s="103">
        <v>4</v>
      </c>
      <c r="H56" s="103">
        <v>3</v>
      </c>
      <c r="I56" s="103">
        <v>7</v>
      </c>
      <c r="J56" s="877">
        <v>4</v>
      </c>
      <c r="K56" s="103">
        <v>4</v>
      </c>
      <c r="L56" s="700">
        <f t="shared" si="8"/>
        <v>26</v>
      </c>
      <c r="M56" s="104">
        <v>3</v>
      </c>
      <c r="N56" s="877">
        <v>2</v>
      </c>
      <c r="O56" s="103">
        <v>0</v>
      </c>
      <c r="P56" s="1203">
        <v>3</v>
      </c>
      <c r="Q56" s="712">
        <f t="shared" si="9"/>
        <v>8</v>
      </c>
      <c r="R56" s="879">
        <f t="shared" si="2"/>
        <v>34</v>
      </c>
    </row>
    <row r="57" spans="1:18" s="81" customFormat="1">
      <c r="A57" s="1733"/>
      <c r="B57" s="1733"/>
      <c r="C57" s="1727" t="s">
        <v>1</v>
      </c>
      <c r="D57" s="1730" t="s">
        <v>2</v>
      </c>
      <c r="E57" s="1731"/>
      <c r="F57" s="108">
        <f t="shared" ref="F57:I59" si="10">F48+F51+F54</f>
        <v>10</v>
      </c>
      <c r="G57" s="109">
        <f t="shared" si="10"/>
        <v>9</v>
      </c>
      <c r="H57" s="109">
        <f t="shared" si="10"/>
        <v>9</v>
      </c>
      <c r="I57" s="109">
        <f t="shared" si="10"/>
        <v>13</v>
      </c>
      <c r="J57" s="880">
        <f>J48+J51+J54</f>
        <v>10</v>
      </c>
      <c r="K57" s="109">
        <f t="shared" ref="K57:K59" si="11">K48+K51+K54</f>
        <v>10</v>
      </c>
      <c r="L57" s="700">
        <f t="shared" si="8"/>
        <v>61</v>
      </c>
      <c r="M57" s="110">
        <f t="shared" ref="M57:P59" si="12">M48+M51+M54</f>
        <v>6</v>
      </c>
      <c r="N57" s="880">
        <f t="shared" si="12"/>
        <v>3</v>
      </c>
      <c r="O57" s="109">
        <f t="shared" si="12"/>
        <v>4</v>
      </c>
      <c r="P57" s="1204">
        <f t="shared" si="12"/>
        <v>3</v>
      </c>
      <c r="Q57" s="713">
        <f>SUM(M57:P57)</f>
        <v>16</v>
      </c>
      <c r="R57" s="879">
        <f t="shared" si="2"/>
        <v>77</v>
      </c>
    </row>
    <row r="58" spans="1:18" s="81" customFormat="1">
      <c r="A58" s="1733"/>
      <c r="B58" s="1733"/>
      <c r="C58" s="1728"/>
      <c r="D58" s="1727" t="s">
        <v>3</v>
      </c>
      <c r="E58" s="165" t="s">
        <v>1</v>
      </c>
      <c r="F58" s="108">
        <f t="shared" si="10"/>
        <v>59</v>
      </c>
      <c r="G58" s="109">
        <f t="shared" si="10"/>
        <v>54</v>
      </c>
      <c r="H58" s="109">
        <f t="shared" si="10"/>
        <v>54</v>
      </c>
      <c r="I58" s="109">
        <f t="shared" si="10"/>
        <v>75</v>
      </c>
      <c r="J58" s="880">
        <f>J49+J52+J55</f>
        <v>60</v>
      </c>
      <c r="K58" s="109">
        <f t="shared" si="11"/>
        <v>60</v>
      </c>
      <c r="L58" s="700">
        <f t="shared" si="8"/>
        <v>362</v>
      </c>
      <c r="M58" s="110">
        <f t="shared" si="12"/>
        <v>36</v>
      </c>
      <c r="N58" s="880">
        <f t="shared" si="12"/>
        <v>18</v>
      </c>
      <c r="O58" s="109">
        <f t="shared" si="12"/>
        <v>15</v>
      </c>
      <c r="P58" s="1204">
        <f t="shared" si="12"/>
        <v>15</v>
      </c>
      <c r="Q58" s="713">
        <f>SUM(M58:P58)</f>
        <v>84</v>
      </c>
      <c r="R58" s="879">
        <f t="shared" si="2"/>
        <v>446</v>
      </c>
    </row>
    <row r="59" spans="1:18" s="81" customFormat="1">
      <c r="A59" s="1733"/>
      <c r="B59" s="1736"/>
      <c r="C59" s="1735"/>
      <c r="D59" s="1735"/>
      <c r="E59" s="165" t="s">
        <v>24</v>
      </c>
      <c r="F59" s="118">
        <f t="shared" si="10"/>
        <v>14</v>
      </c>
      <c r="G59" s="119">
        <f t="shared" si="10"/>
        <v>10</v>
      </c>
      <c r="H59" s="119">
        <f t="shared" si="10"/>
        <v>17</v>
      </c>
      <c r="I59" s="119">
        <f t="shared" si="10"/>
        <v>22</v>
      </c>
      <c r="J59" s="881">
        <f>J50+J53+J56</f>
        <v>10</v>
      </c>
      <c r="K59" s="119">
        <f t="shared" si="11"/>
        <v>8</v>
      </c>
      <c r="L59" s="701">
        <f t="shared" si="8"/>
        <v>81</v>
      </c>
      <c r="M59" s="120">
        <f t="shared" si="12"/>
        <v>13</v>
      </c>
      <c r="N59" s="881">
        <f t="shared" si="12"/>
        <v>8</v>
      </c>
      <c r="O59" s="119">
        <f t="shared" si="12"/>
        <v>5</v>
      </c>
      <c r="P59" s="1205">
        <f t="shared" si="12"/>
        <v>8</v>
      </c>
      <c r="Q59" s="714">
        <f>SUM(M59:P59)</f>
        <v>34</v>
      </c>
      <c r="R59" s="882">
        <f t="shared" si="2"/>
        <v>115</v>
      </c>
    </row>
    <row r="60" spans="1:18" s="81" customFormat="1" ht="16.5" customHeight="1">
      <c r="A60" s="1733"/>
      <c r="B60" s="1732" t="s">
        <v>178</v>
      </c>
      <c r="C60" s="1722" t="s">
        <v>17</v>
      </c>
      <c r="D60" s="1725" t="s">
        <v>2</v>
      </c>
      <c r="E60" s="1726"/>
      <c r="F60" s="105">
        <v>4</v>
      </c>
      <c r="G60" s="106">
        <v>4</v>
      </c>
      <c r="H60" s="106">
        <v>6</v>
      </c>
      <c r="I60" s="106">
        <v>0</v>
      </c>
      <c r="J60" s="883">
        <v>5</v>
      </c>
      <c r="K60" s="106">
        <v>3</v>
      </c>
      <c r="L60" s="702">
        <f t="shared" si="8"/>
        <v>22</v>
      </c>
      <c r="M60" s="107">
        <v>2</v>
      </c>
      <c r="N60" s="883">
        <v>1</v>
      </c>
      <c r="O60" s="106">
        <v>1</v>
      </c>
      <c r="P60" s="1203">
        <v>1</v>
      </c>
      <c r="Q60" s="715">
        <f>SUM(M60:P60)</f>
        <v>5</v>
      </c>
      <c r="R60" s="875">
        <f t="shared" si="2"/>
        <v>27</v>
      </c>
    </row>
    <row r="61" spans="1:18" s="81" customFormat="1">
      <c r="A61" s="1733"/>
      <c r="B61" s="1733"/>
      <c r="C61" s="1723"/>
      <c r="D61" s="1722" t="s">
        <v>3</v>
      </c>
      <c r="E61" s="164" t="s">
        <v>1</v>
      </c>
      <c r="F61" s="102">
        <v>28</v>
      </c>
      <c r="G61" s="103">
        <v>24</v>
      </c>
      <c r="H61" s="103">
        <v>42</v>
      </c>
      <c r="I61" s="103">
        <v>0</v>
      </c>
      <c r="J61" s="877">
        <v>35</v>
      </c>
      <c r="K61" s="103">
        <v>21</v>
      </c>
      <c r="L61" s="700">
        <f t="shared" si="8"/>
        <v>150</v>
      </c>
      <c r="M61" s="104">
        <v>14</v>
      </c>
      <c r="N61" s="877">
        <v>7</v>
      </c>
      <c r="O61" s="103">
        <v>2</v>
      </c>
      <c r="P61" s="1203">
        <v>7</v>
      </c>
      <c r="Q61" s="712">
        <f>SUM(M61:P61)</f>
        <v>30</v>
      </c>
      <c r="R61" s="879">
        <f t="shared" si="2"/>
        <v>180</v>
      </c>
    </row>
    <row r="62" spans="1:18" s="81" customFormat="1">
      <c r="A62" s="1733"/>
      <c r="B62" s="1733"/>
      <c r="C62" s="1724"/>
      <c r="D62" s="1724"/>
      <c r="E62" s="164" t="s">
        <v>24</v>
      </c>
      <c r="F62" s="102">
        <v>10</v>
      </c>
      <c r="G62" s="103">
        <v>4</v>
      </c>
      <c r="H62" s="103">
        <v>13</v>
      </c>
      <c r="I62" s="103">
        <v>0</v>
      </c>
      <c r="J62" s="877">
        <v>16</v>
      </c>
      <c r="K62" s="103">
        <v>9</v>
      </c>
      <c r="L62" s="700">
        <f t="shared" si="8"/>
        <v>52</v>
      </c>
      <c r="M62" s="104">
        <v>3</v>
      </c>
      <c r="N62" s="877">
        <v>1</v>
      </c>
      <c r="O62" s="103">
        <v>1</v>
      </c>
      <c r="P62" s="1203">
        <v>2</v>
      </c>
      <c r="Q62" s="712">
        <f t="shared" ref="Q62:Q68" si="13">SUM(M62:P62)</f>
        <v>7</v>
      </c>
      <c r="R62" s="879">
        <f t="shared" si="2"/>
        <v>59</v>
      </c>
    </row>
    <row r="63" spans="1:18" s="81" customFormat="1">
      <c r="A63" s="1733"/>
      <c r="B63" s="1733"/>
      <c r="C63" s="1722" t="s">
        <v>18</v>
      </c>
      <c r="D63" s="1725" t="s">
        <v>2</v>
      </c>
      <c r="E63" s="1726"/>
      <c r="F63" s="102">
        <v>3</v>
      </c>
      <c r="G63" s="103">
        <v>3</v>
      </c>
      <c r="H63" s="103">
        <v>5</v>
      </c>
      <c r="I63" s="103">
        <v>0</v>
      </c>
      <c r="J63" s="877">
        <v>4</v>
      </c>
      <c r="K63" s="103">
        <v>2</v>
      </c>
      <c r="L63" s="700">
        <f t="shared" si="8"/>
        <v>17</v>
      </c>
      <c r="M63" s="104">
        <v>2</v>
      </c>
      <c r="N63" s="877">
        <v>1</v>
      </c>
      <c r="O63" s="103">
        <v>1</v>
      </c>
      <c r="P63" s="1203">
        <v>1</v>
      </c>
      <c r="Q63" s="712">
        <f t="shared" si="13"/>
        <v>5</v>
      </c>
      <c r="R63" s="879">
        <f t="shared" si="2"/>
        <v>22</v>
      </c>
    </row>
    <row r="64" spans="1:18" s="81" customFormat="1">
      <c r="A64" s="1733"/>
      <c r="B64" s="1733"/>
      <c r="C64" s="1723"/>
      <c r="D64" s="1722" t="s">
        <v>3</v>
      </c>
      <c r="E64" s="164" t="s">
        <v>1</v>
      </c>
      <c r="F64" s="102">
        <v>21</v>
      </c>
      <c r="G64" s="103">
        <v>19</v>
      </c>
      <c r="H64" s="103">
        <v>35</v>
      </c>
      <c r="I64" s="103">
        <v>0</v>
      </c>
      <c r="J64" s="877">
        <v>28</v>
      </c>
      <c r="K64" s="103">
        <v>14</v>
      </c>
      <c r="L64" s="700">
        <f t="shared" si="8"/>
        <v>117</v>
      </c>
      <c r="M64" s="104">
        <v>9</v>
      </c>
      <c r="N64" s="877">
        <v>6</v>
      </c>
      <c r="O64" s="103">
        <v>4</v>
      </c>
      <c r="P64" s="1203">
        <v>2</v>
      </c>
      <c r="Q64" s="712">
        <f t="shared" si="13"/>
        <v>21</v>
      </c>
      <c r="R64" s="879">
        <f t="shared" si="2"/>
        <v>138</v>
      </c>
    </row>
    <row r="65" spans="1:18" s="81" customFormat="1">
      <c r="A65" s="1733"/>
      <c r="B65" s="1733"/>
      <c r="C65" s="1724"/>
      <c r="D65" s="1724"/>
      <c r="E65" s="164" t="s">
        <v>24</v>
      </c>
      <c r="F65" s="102">
        <v>6</v>
      </c>
      <c r="G65" s="103">
        <v>3</v>
      </c>
      <c r="H65" s="103">
        <v>6</v>
      </c>
      <c r="I65" s="103">
        <v>0</v>
      </c>
      <c r="J65" s="877">
        <v>10</v>
      </c>
      <c r="K65" s="103">
        <v>2</v>
      </c>
      <c r="L65" s="700">
        <f t="shared" si="8"/>
        <v>27</v>
      </c>
      <c r="M65" s="104">
        <v>3</v>
      </c>
      <c r="N65" s="877">
        <v>1</v>
      </c>
      <c r="O65" s="103">
        <v>3</v>
      </c>
      <c r="P65" s="1203">
        <v>1</v>
      </c>
      <c r="Q65" s="712">
        <f t="shared" si="13"/>
        <v>8</v>
      </c>
      <c r="R65" s="879">
        <f t="shared" si="2"/>
        <v>35</v>
      </c>
    </row>
    <row r="66" spans="1:18" s="81" customFormat="1">
      <c r="A66" s="1733"/>
      <c r="B66" s="1733"/>
      <c r="C66" s="1722" t="s">
        <v>19</v>
      </c>
      <c r="D66" s="1725" t="s">
        <v>2</v>
      </c>
      <c r="E66" s="1726"/>
      <c r="F66" s="102">
        <v>2</v>
      </c>
      <c r="G66" s="103">
        <v>2</v>
      </c>
      <c r="H66" s="103">
        <v>7</v>
      </c>
      <c r="I66" s="103">
        <v>0</v>
      </c>
      <c r="J66" s="877">
        <v>4</v>
      </c>
      <c r="K66" s="103">
        <v>4</v>
      </c>
      <c r="L66" s="700">
        <f t="shared" si="8"/>
        <v>19</v>
      </c>
      <c r="M66" s="104">
        <v>2</v>
      </c>
      <c r="N66" s="877">
        <v>2</v>
      </c>
      <c r="O66" s="103">
        <v>1</v>
      </c>
      <c r="P66" s="1203">
        <v>1</v>
      </c>
      <c r="Q66" s="712">
        <f t="shared" si="13"/>
        <v>6</v>
      </c>
      <c r="R66" s="879">
        <f t="shared" si="2"/>
        <v>25</v>
      </c>
    </row>
    <row r="67" spans="1:18" s="81" customFormat="1">
      <c r="A67" s="1733"/>
      <c r="B67" s="1733"/>
      <c r="C67" s="1723"/>
      <c r="D67" s="1722" t="s">
        <v>3</v>
      </c>
      <c r="E67" s="164" t="s">
        <v>1</v>
      </c>
      <c r="F67" s="102">
        <v>13</v>
      </c>
      <c r="G67" s="103">
        <v>15</v>
      </c>
      <c r="H67" s="103">
        <v>48</v>
      </c>
      <c r="I67" s="103">
        <v>0</v>
      </c>
      <c r="J67" s="877">
        <v>23</v>
      </c>
      <c r="K67" s="103">
        <v>28</v>
      </c>
      <c r="L67" s="700">
        <f t="shared" si="8"/>
        <v>127</v>
      </c>
      <c r="M67" s="104">
        <v>11</v>
      </c>
      <c r="N67" s="877">
        <v>10</v>
      </c>
      <c r="O67" s="103">
        <v>4</v>
      </c>
      <c r="P67" s="1203">
        <v>5</v>
      </c>
      <c r="Q67" s="712">
        <f t="shared" si="13"/>
        <v>30</v>
      </c>
      <c r="R67" s="879">
        <f t="shared" si="2"/>
        <v>157</v>
      </c>
    </row>
    <row r="68" spans="1:18" s="81" customFormat="1">
      <c r="A68" s="1733"/>
      <c r="B68" s="1733"/>
      <c r="C68" s="1724"/>
      <c r="D68" s="1724"/>
      <c r="E68" s="164" t="s">
        <v>24</v>
      </c>
      <c r="F68" s="102">
        <v>2</v>
      </c>
      <c r="G68" s="103">
        <v>3</v>
      </c>
      <c r="H68" s="103">
        <v>16</v>
      </c>
      <c r="I68" s="103">
        <v>0</v>
      </c>
      <c r="J68" s="877">
        <v>7</v>
      </c>
      <c r="K68" s="103">
        <v>7</v>
      </c>
      <c r="L68" s="700">
        <f t="shared" si="8"/>
        <v>35</v>
      </c>
      <c r="M68" s="104">
        <v>3</v>
      </c>
      <c r="N68" s="877">
        <v>7</v>
      </c>
      <c r="O68" s="103">
        <v>4</v>
      </c>
      <c r="P68" s="1203">
        <v>2</v>
      </c>
      <c r="Q68" s="712">
        <f t="shared" si="13"/>
        <v>16</v>
      </c>
      <c r="R68" s="879">
        <f t="shared" si="2"/>
        <v>51</v>
      </c>
    </row>
    <row r="69" spans="1:18" s="81" customFormat="1">
      <c r="A69" s="1733"/>
      <c r="B69" s="1733"/>
      <c r="C69" s="1727" t="s">
        <v>1</v>
      </c>
      <c r="D69" s="1730" t="s">
        <v>2</v>
      </c>
      <c r="E69" s="1731"/>
      <c r="F69" s="108">
        <f t="shared" ref="F69:I83" si="14">F60+F63+F66</f>
        <v>9</v>
      </c>
      <c r="G69" s="109">
        <f t="shared" si="14"/>
        <v>9</v>
      </c>
      <c r="H69" s="109">
        <f t="shared" si="14"/>
        <v>18</v>
      </c>
      <c r="I69" s="109">
        <f t="shared" si="14"/>
        <v>0</v>
      </c>
      <c r="J69" s="880">
        <f>J60+J63+J66</f>
        <v>13</v>
      </c>
      <c r="K69" s="109">
        <f t="shared" ref="K69:K71" si="15">K60+K63+K66</f>
        <v>9</v>
      </c>
      <c r="L69" s="700">
        <f t="shared" si="8"/>
        <v>58</v>
      </c>
      <c r="M69" s="110">
        <f t="shared" ref="M69:P71" si="16">M60+M63+M66</f>
        <v>6</v>
      </c>
      <c r="N69" s="880">
        <f t="shared" si="16"/>
        <v>4</v>
      </c>
      <c r="O69" s="109">
        <f t="shared" si="16"/>
        <v>3</v>
      </c>
      <c r="P69" s="1204">
        <f t="shared" si="16"/>
        <v>3</v>
      </c>
      <c r="Q69" s="713">
        <f>SUM(M69:P69)</f>
        <v>16</v>
      </c>
      <c r="R69" s="879">
        <f t="shared" si="2"/>
        <v>74</v>
      </c>
    </row>
    <row r="70" spans="1:18" s="81" customFormat="1">
      <c r="A70" s="1733"/>
      <c r="B70" s="1733"/>
      <c r="C70" s="1728"/>
      <c r="D70" s="1727" t="s">
        <v>3</v>
      </c>
      <c r="E70" s="165" t="s">
        <v>1</v>
      </c>
      <c r="F70" s="108">
        <f t="shared" si="14"/>
        <v>62</v>
      </c>
      <c r="G70" s="109">
        <f t="shared" si="14"/>
        <v>58</v>
      </c>
      <c r="H70" s="109">
        <f t="shared" si="14"/>
        <v>125</v>
      </c>
      <c r="I70" s="109">
        <f t="shared" si="14"/>
        <v>0</v>
      </c>
      <c r="J70" s="880">
        <f>J61+J64+J67</f>
        <v>86</v>
      </c>
      <c r="K70" s="109">
        <f t="shared" si="15"/>
        <v>63</v>
      </c>
      <c r="L70" s="700">
        <f t="shared" si="8"/>
        <v>394</v>
      </c>
      <c r="M70" s="110">
        <f t="shared" si="16"/>
        <v>34</v>
      </c>
      <c r="N70" s="880">
        <f t="shared" si="16"/>
        <v>23</v>
      </c>
      <c r="O70" s="109">
        <f t="shared" si="16"/>
        <v>10</v>
      </c>
      <c r="P70" s="1204">
        <f t="shared" si="16"/>
        <v>14</v>
      </c>
      <c r="Q70" s="713">
        <f>SUM(M70:P70)</f>
        <v>81</v>
      </c>
      <c r="R70" s="879">
        <f t="shared" si="2"/>
        <v>475</v>
      </c>
    </row>
    <row r="71" spans="1:18" s="81" customFormat="1">
      <c r="A71" s="1733"/>
      <c r="B71" s="1736"/>
      <c r="C71" s="1735"/>
      <c r="D71" s="1735"/>
      <c r="E71" s="165" t="s">
        <v>24</v>
      </c>
      <c r="F71" s="118">
        <f t="shared" si="14"/>
        <v>18</v>
      </c>
      <c r="G71" s="119">
        <f t="shared" si="14"/>
        <v>10</v>
      </c>
      <c r="H71" s="119">
        <f t="shared" si="14"/>
        <v>35</v>
      </c>
      <c r="I71" s="119">
        <f t="shared" si="14"/>
        <v>0</v>
      </c>
      <c r="J71" s="881">
        <f>J62+J65+J68</f>
        <v>33</v>
      </c>
      <c r="K71" s="119">
        <f t="shared" si="15"/>
        <v>18</v>
      </c>
      <c r="L71" s="701">
        <f t="shared" si="8"/>
        <v>114</v>
      </c>
      <c r="M71" s="120">
        <f t="shared" si="16"/>
        <v>9</v>
      </c>
      <c r="N71" s="881">
        <f t="shared" si="16"/>
        <v>9</v>
      </c>
      <c r="O71" s="119">
        <f t="shared" si="16"/>
        <v>8</v>
      </c>
      <c r="P71" s="1205">
        <f t="shared" si="16"/>
        <v>5</v>
      </c>
      <c r="Q71" s="714">
        <f>SUM(M71:P71)</f>
        <v>31</v>
      </c>
      <c r="R71" s="882">
        <f t="shared" si="2"/>
        <v>145</v>
      </c>
    </row>
    <row r="72" spans="1:18" s="81" customFormat="1" ht="16.5" customHeight="1">
      <c r="A72" s="1733"/>
      <c r="B72" s="1732" t="s">
        <v>177</v>
      </c>
      <c r="C72" s="1722" t="s">
        <v>85</v>
      </c>
      <c r="D72" s="1725" t="s">
        <v>35</v>
      </c>
      <c r="E72" s="1726"/>
      <c r="F72" s="121">
        <v>2</v>
      </c>
      <c r="G72" s="122">
        <v>4</v>
      </c>
      <c r="H72" s="122">
        <v>4</v>
      </c>
      <c r="I72" s="109">
        <f t="shared" si="14"/>
        <v>0</v>
      </c>
      <c r="J72" s="886">
        <v>4</v>
      </c>
      <c r="K72" s="122">
        <v>2</v>
      </c>
      <c r="L72" s="703">
        <f t="shared" si="8"/>
        <v>16</v>
      </c>
      <c r="M72" s="123">
        <v>2</v>
      </c>
      <c r="N72" s="886">
        <v>1</v>
      </c>
      <c r="O72" s="122"/>
      <c r="P72" s="1203">
        <v>4</v>
      </c>
      <c r="Q72" s="716">
        <f>SUM(M72:P72)</f>
        <v>7</v>
      </c>
      <c r="R72" s="875">
        <f t="shared" si="2"/>
        <v>23</v>
      </c>
    </row>
    <row r="73" spans="1:18" s="81" customFormat="1">
      <c r="A73" s="1733"/>
      <c r="B73" s="1733"/>
      <c r="C73" s="1723"/>
      <c r="D73" s="1722" t="s">
        <v>36</v>
      </c>
      <c r="E73" s="164" t="s">
        <v>41</v>
      </c>
      <c r="F73" s="102">
        <v>14</v>
      </c>
      <c r="G73" s="103">
        <v>34</v>
      </c>
      <c r="H73" s="103">
        <v>28</v>
      </c>
      <c r="I73" s="109">
        <f t="shared" si="14"/>
        <v>0</v>
      </c>
      <c r="J73" s="877">
        <v>33</v>
      </c>
      <c r="K73" s="103">
        <v>14</v>
      </c>
      <c r="L73" s="700">
        <f t="shared" si="8"/>
        <v>123</v>
      </c>
      <c r="M73" s="104">
        <v>18</v>
      </c>
      <c r="N73" s="877">
        <v>5</v>
      </c>
      <c r="O73" s="103"/>
      <c r="P73" s="1203">
        <v>23</v>
      </c>
      <c r="Q73" s="712">
        <f>SUM(M73:P73)</f>
        <v>46</v>
      </c>
      <c r="R73" s="879">
        <f t="shared" si="2"/>
        <v>169</v>
      </c>
    </row>
    <row r="74" spans="1:18" s="81" customFormat="1">
      <c r="A74" s="1733"/>
      <c r="B74" s="1733"/>
      <c r="C74" s="1724"/>
      <c r="D74" s="1724"/>
      <c r="E74" s="164" t="s">
        <v>43</v>
      </c>
      <c r="F74" s="102">
        <v>6</v>
      </c>
      <c r="G74" s="103">
        <v>11</v>
      </c>
      <c r="H74" s="103">
        <v>8</v>
      </c>
      <c r="I74" s="109">
        <f t="shared" si="14"/>
        <v>0</v>
      </c>
      <c r="J74" s="877">
        <v>15</v>
      </c>
      <c r="K74" s="103">
        <v>2</v>
      </c>
      <c r="L74" s="700">
        <f t="shared" si="8"/>
        <v>42</v>
      </c>
      <c r="M74" s="104">
        <v>4</v>
      </c>
      <c r="N74" s="877">
        <v>2</v>
      </c>
      <c r="O74" s="103"/>
      <c r="P74" s="1203">
        <v>7</v>
      </c>
      <c r="Q74" s="712">
        <f t="shared" ref="Q74:Q80" si="17">SUM(M74:P74)</f>
        <v>13</v>
      </c>
      <c r="R74" s="879">
        <f t="shared" si="2"/>
        <v>55</v>
      </c>
    </row>
    <row r="75" spans="1:18" s="81" customFormat="1">
      <c r="A75" s="1733"/>
      <c r="B75" s="1733"/>
      <c r="C75" s="1722" t="s">
        <v>84</v>
      </c>
      <c r="D75" s="1725" t="s">
        <v>35</v>
      </c>
      <c r="E75" s="1726"/>
      <c r="F75" s="102">
        <v>2</v>
      </c>
      <c r="G75" s="103">
        <v>4</v>
      </c>
      <c r="H75" s="103">
        <v>4</v>
      </c>
      <c r="I75" s="109">
        <f t="shared" si="14"/>
        <v>0</v>
      </c>
      <c r="J75" s="877">
        <v>4</v>
      </c>
      <c r="K75" s="103">
        <v>2</v>
      </c>
      <c r="L75" s="700">
        <f t="shared" si="8"/>
        <v>16</v>
      </c>
      <c r="M75" s="104">
        <v>2</v>
      </c>
      <c r="N75" s="877">
        <v>1</v>
      </c>
      <c r="O75" s="103"/>
      <c r="P75" s="1203">
        <v>4</v>
      </c>
      <c r="Q75" s="712">
        <f t="shared" si="17"/>
        <v>7</v>
      </c>
      <c r="R75" s="879">
        <f t="shared" si="2"/>
        <v>23</v>
      </c>
    </row>
    <row r="76" spans="1:18" s="81" customFormat="1">
      <c r="A76" s="1733"/>
      <c r="B76" s="1733"/>
      <c r="C76" s="1723"/>
      <c r="D76" s="1722" t="s">
        <v>36</v>
      </c>
      <c r="E76" s="164" t="s">
        <v>41</v>
      </c>
      <c r="F76" s="102">
        <v>13</v>
      </c>
      <c r="G76" s="103">
        <v>31</v>
      </c>
      <c r="H76" s="103">
        <v>27</v>
      </c>
      <c r="I76" s="109">
        <f t="shared" si="14"/>
        <v>0</v>
      </c>
      <c r="J76" s="877">
        <v>32</v>
      </c>
      <c r="K76" s="103">
        <v>14</v>
      </c>
      <c r="L76" s="700">
        <f t="shared" si="8"/>
        <v>117</v>
      </c>
      <c r="M76" s="104">
        <v>15</v>
      </c>
      <c r="N76" s="877">
        <v>1</v>
      </c>
      <c r="O76" s="103"/>
      <c r="P76" s="1203">
        <v>18</v>
      </c>
      <c r="Q76" s="712">
        <f t="shared" si="17"/>
        <v>34</v>
      </c>
      <c r="R76" s="879">
        <f t="shared" si="2"/>
        <v>151</v>
      </c>
    </row>
    <row r="77" spans="1:18" s="81" customFormat="1">
      <c r="A77" s="1733"/>
      <c r="B77" s="1733"/>
      <c r="C77" s="1724"/>
      <c r="D77" s="1724"/>
      <c r="E77" s="164" t="s">
        <v>43</v>
      </c>
      <c r="F77" s="102">
        <v>3</v>
      </c>
      <c r="G77" s="103">
        <v>8</v>
      </c>
      <c r="H77" s="103">
        <v>14</v>
      </c>
      <c r="I77" s="109">
        <f t="shared" si="14"/>
        <v>0</v>
      </c>
      <c r="J77" s="877">
        <v>15</v>
      </c>
      <c r="K77" s="103">
        <v>3</v>
      </c>
      <c r="L77" s="700">
        <f t="shared" si="8"/>
        <v>43</v>
      </c>
      <c r="M77" s="104">
        <v>4</v>
      </c>
      <c r="N77" s="877">
        <v>0</v>
      </c>
      <c r="O77" s="103"/>
      <c r="P77" s="1203">
        <v>6</v>
      </c>
      <c r="Q77" s="712">
        <f t="shared" si="17"/>
        <v>10</v>
      </c>
      <c r="R77" s="879">
        <f t="shared" si="2"/>
        <v>53</v>
      </c>
    </row>
    <row r="78" spans="1:18" s="81" customFormat="1">
      <c r="A78" s="1733"/>
      <c r="B78" s="1733"/>
      <c r="C78" s="1722" t="s">
        <v>83</v>
      </c>
      <c r="D78" s="1725" t="s">
        <v>35</v>
      </c>
      <c r="E78" s="1726"/>
      <c r="F78" s="102">
        <v>0</v>
      </c>
      <c r="G78" s="103"/>
      <c r="H78" s="103"/>
      <c r="I78" s="109">
        <f t="shared" si="14"/>
        <v>0</v>
      </c>
      <c r="J78" s="877"/>
      <c r="K78" s="103">
        <v>0</v>
      </c>
      <c r="L78" s="700">
        <f t="shared" si="8"/>
        <v>0</v>
      </c>
      <c r="M78" s="104"/>
      <c r="N78" s="877"/>
      <c r="O78" s="103"/>
      <c r="P78" s="1203">
        <v>1</v>
      </c>
      <c r="Q78" s="712">
        <f t="shared" si="17"/>
        <v>1</v>
      </c>
      <c r="R78" s="879">
        <f t="shared" si="2"/>
        <v>1</v>
      </c>
    </row>
    <row r="79" spans="1:18" s="81" customFormat="1">
      <c r="A79" s="1733"/>
      <c r="B79" s="1733"/>
      <c r="C79" s="1723"/>
      <c r="D79" s="1722" t="s">
        <v>36</v>
      </c>
      <c r="E79" s="164" t="s">
        <v>41</v>
      </c>
      <c r="F79" s="102">
        <v>0</v>
      </c>
      <c r="G79" s="103"/>
      <c r="H79" s="103"/>
      <c r="I79" s="109">
        <f t="shared" si="14"/>
        <v>0</v>
      </c>
      <c r="J79" s="877"/>
      <c r="K79" s="103">
        <v>0</v>
      </c>
      <c r="L79" s="700">
        <f t="shared" ref="L79:L101" si="18">SUM(F79:K79)</f>
        <v>0</v>
      </c>
      <c r="M79" s="104"/>
      <c r="N79" s="877"/>
      <c r="O79" s="103"/>
      <c r="P79" s="1203">
        <v>3</v>
      </c>
      <c r="Q79" s="712">
        <f t="shared" si="17"/>
        <v>3</v>
      </c>
      <c r="R79" s="879">
        <f t="shared" si="2"/>
        <v>3</v>
      </c>
    </row>
    <row r="80" spans="1:18" s="81" customFormat="1">
      <c r="A80" s="1733"/>
      <c r="B80" s="1733"/>
      <c r="C80" s="1724"/>
      <c r="D80" s="1724"/>
      <c r="E80" s="164" t="s">
        <v>43</v>
      </c>
      <c r="F80" s="102">
        <v>0</v>
      </c>
      <c r="G80" s="103"/>
      <c r="H80" s="103"/>
      <c r="I80" s="109">
        <f t="shared" si="14"/>
        <v>0</v>
      </c>
      <c r="J80" s="877"/>
      <c r="K80" s="103">
        <v>0</v>
      </c>
      <c r="L80" s="700">
        <f t="shared" si="18"/>
        <v>0</v>
      </c>
      <c r="M80" s="104"/>
      <c r="N80" s="877"/>
      <c r="O80" s="103"/>
      <c r="P80" s="1203">
        <v>1</v>
      </c>
      <c r="Q80" s="712">
        <f t="shared" si="17"/>
        <v>1</v>
      </c>
      <c r="R80" s="879">
        <f t="shared" ref="R80:R101" si="19">L80+Q80</f>
        <v>1</v>
      </c>
    </row>
    <row r="81" spans="1:18" s="81" customFormat="1">
      <c r="A81" s="1733"/>
      <c r="B81" s="1733"/>
      <c r="C81" s="1727" t="s">
        <v>41</v>
      </c>
      <c r="D81" s="1730" t="s">
        <v>35</v>
      </c>
      <c r="E81" s="1731"/>
      <c r="F81" s="108">
        <f t="shared" ref="F81:H83" si="20">F72+F75+F78</f>
        <v>4</v>
      </c>
      <c r="G81" s="109">
        <f t="shared" si="20"/>
        <v>8</v>
      </c>
      <c r="H81" s="109">
        <f t="shared" si="20"/>
        <v>8</v>
      </c>
      <c r="I81" s="109">
        <f t="shared" si="14"/>
        <v>0</v>
      </c>
      <c r="J81" s="880">
        <f>J72+J75+J78</f>
        <v>8</v>
      </c>
      <c r="K81" s="109">
        <f t="shared" ref="K81:K83" si="21">K72+K75+K78</f>
        <v>4</v>
      </c>
      <c r="L81" s="700">
        <f t="shared" si="18"/>
        <v>32</v>
      </c>
      <c r="M81" s="110">
        <f t="shared" ref="M81:P83" si="22">M72+M75+M78</f>
        <v>4</v>
      </c>
      <c r="N81" s="880">
        <f t="shared" si="22"/>
        <v>2</v>
      </c>
      <c r="O81" s="109">
        <f t="shared" si="22"/>
        <v>0</v>
      </c>
      <c r="P81" s="1204">
        <f t="shared" si="22"/>
        <v>9</v>
      </c>
      <c r="Q81" s="713">
        <f>SUM(M81:P81)</f>
        <v>15</v>
      </c>
      <c r="R81" s="879">
        <f t="shared" si="19"/>
        <v>47</v>
      </c>
    </row>
    <row r="82" spans="1:18" s="81" customFormat="1">
      <c r="A82" s="1733"/>
      <c r="B82" s="1733"/>
      <c r="C82" s="1728"/>
      <c r="D82" s="1727" t="s">
        <v>36</v>
      </c>
      <c r="E82" s="165" t="s">
        <v>1</v>
      </c>
      <c r="F82" s="108">
        <f t="shared" si="20"/>
        <v>27</v>
      </c>
      <c r="G82" s="109">
        <f t="shared" si="20"/>
        <v>65</v>
      </c>
      <c r="H82" s="109">
        <f t="shared" si="20"/>
        <v>55</v>
      </c>
      <c r="I82" s="109">
        <f t="shared" si="14"/>
        <v>0</v>
      </c>
      <c r="J82" s="880">
        <f>J73+J76+J79</f>
        <v>65</v>
      </c>
      <c r="K82" s="109">
        <f t="shared" si="21"/>
        <v>28</v>
      </c>
      <c r="L82" s="700">
        <f t="shared" si="18"/>
        <v>240</v>
      </c>
      <c r="M82" s="110">
        <f t="shared" si="22"/>
        <v>33</v>
      </c>
      <c r="N82" s="880">
        <f t="shared" si="22"/>
        <v>6</v>
      </c>
      <c r="O82" s="109">
        <f t="shared" si="22"/>
        <v>0</v>
      </c>
      <c r="P82" s="1204">
        <f t="shared" si="22"/>
        <v>44</v>
      </c>
      <c r="Q82" s="713">
        <f>SUM(M82:P82)</f>
        <v>83</v>
      </c>
      <c r="R82" s="879">
        <f t="shared" si="19"/>
        <v>323</v>
      </c>
    </row>
    <row r="83" spans="1:18" s="81" customFormat="1">
      <c r="A83" s="1733"/>
      <c r="B83" s="1736"/>
      <c r="C83" s="1735"/>
      <c r="D83" s="1735"/>
      <c r="E83" s="111" t="s">
        <v>24</v>
      </c>
      <c r="F83" s="118">
        <f t="shared" si="20"/>
        <v>9</v>
      </c>
      <c r="G83" s="119">
        <f t="shared" si="20"/>
        <v>19</v>
      </c>
      <c r="H83" s="119">
        <f t="shared" si="20"/>
        <v>22</v>
      </c>
      <c r="I83" s="119">
        <f t="shared" si="14"/>
        <v>0</v>
      </c>
      <c r="J83" s="881">
        <f>J74+J77+J80</f>
        <v>30</v>
      </c>
      <c r="K83" s="119">
        <f t="shared" si="21"/>
        <v>5</v>
      </c>
      <c r="L83" s="701">
        <f t="shared" si="18"/>
        <v>85</v>
      </c>
      <c r="M83" s="120">
        <f t="shared" si="22"/>
        <v>8</v>
      </c>
      <c r="N83" s="881">
        <f t="shared" si="22"/>
        <v>2</v>
      </c>
      <c r="O83" s="119">
        <f t="shared" si="22"/>
        <v>0</v>
      </c>
      <c r="P83" s="1205">
        <f t="shared" si="22"/>
        <v>14</v>
      </c>
      <c r="Q83" s="714">
        <f>SUM(M83:P83)</f>
        <v>24</v>
      </c>
      <c r="R83" s="882">
        <f t="shared" si="19"/>
        <v>109</v>
      </c>
    </row>
    <row r="84" spans="1:18" s="81" customFormat="1" ht="16.5" customHeight="1">
      <c r="A84" s="1733"/>
      <c r="B84" s="1732" t="s">
        <v>180</v>
      </c>
      <c r="C84" s="1722" t="s">
        <v>2816</v>
      </c>
      <c r="D84" s="1725" t="s">
        <v>35</v>
      </c>
      <c r="E84" s="1726"/>
      <c r="F84" s="105">
        <v>0</v>
      </c>
      <c r="G84" s="106"/>
      <c r="H84" s="106"/>
      <c r="I84" s="884"/>
      <c r="J84" s="883">
        <v>1</v>
      </c>
      <c r="K84" s="106">
        <v>1</v>
      </c>
      <c r="L84" s="702">
        <f t="shared" si="18"/>
        <v>2</v>
      </c>
      <c r="M84" s="107"/>
      <c r="N84" s="883"/>
      <c r="O84" s="106"/>
      <c r="P84" s="1206"/>
      <c r="Q84" s="715">
        <f>SUM(M84:P84)</f>
        <v>0</v>
      </c>
      <c r="R84" s="875">
        <f t="shared" si="19"/>
        <v>2</v>
      </c>
    </row>
    <row r="85" spans="1:18" s="81" customFormat="1">
      <c r="A85" s="1733"/>
      <c r="B85" s="1733"/>
      <c r="C85" s="1723"/>
      <c r="D85" s="1722" t="s">
        <v>36</v>
      </c>
      <c r="E85" s="164" t="s">
        <v>41</v>
      </c>
      <c r="F85" s="102">
        <v>0</v>
      </c>
      <c r="G85" s="103"/>
      <c r="H85" s="103"/>
      <c r="I85" s="878"/>
      <c r="J85" s="877">
        <v>1</v>
      </c>
      <c r="K85" s="103">
        <v>2</v>
      </c>
      <c r="L85" s="700">
        <f t="shared" si="18"/>
        <v>3</v>
      </c>
      <c r="M85" s="104"/>
      <c r="N85" s="877"/>
      <c r="O85" s="103"/>
      <c r="P85" s="1203"/>
      <c r="Q85" s="712">
        <f>SUM(M85:P85)</f>
        <v>0</v>
      </c>
      <c r="R85" s="879">
        <f t="shared" si="19"/>
        <v>3</v>
      </c>
    </row>
    <row r="86" spans="1:18" s="81" customFormat="1">
      <c r="A86" s="1733"/>
      <c r="B86" s="1733"/>
      <c r="C86" s="1724"/>
      <c r="D86" s="1724"/>
      <c r="E86" s="164" t="s">
        <v>43</v>
      </c>
      <c r="F86" s="102">
        <v>0</v>
      </c>
      <c r="G86" s="103"/>
      <c r="H86" s="103"/>
      <c r="I86" s="878"/>
      <c r="J86" s="877">
        <v>1</v>
      </c>
      <c r="K86" s="103">
        <v>0</v>
      </c>
      <c r="L86" s="700">
        <f t="shared" si="18"/>
        <v>1</v>
      </c>
      <c r="M86" s="104"/>
      <c r="N86" s="877"/>
      <c r="O86" s="103"/>
      <c r="P86" s="1203"/>
      <c r="Q86" s="712">
        <f t="shared" ref="Q86" si="23">SUM(M86:P86)</f>
        <v>0</v>
      </c>
      <c r="R86" s="879">
        <f t="shared" si="19"/>
        <v>1</v>
      </c>
    </row>
    <row r="87" spans="1:18" s="81" customFormat="1" ht="16.5" customHeight="1">
      <c r="A87" s="1733"/>
      <c r="B87" s="1733"/>
      <c r="C87" s="1722" t="s">
        <v>181</v>
      </c>
      <c r="D87" s="1725" t="s">
        <v>35</v>
      </c>
      <c r="E87" s="1726"/>
      <c r="F87" s="102">
        <v>0</v>
      </c>
      <c r="G87" s="103"/>
      <c r="H87" s="103"/>
      <c r="I87" s="106">
        <v>1</v>
      </c>
      <c r="J87" s="877">
        <v>1</v>
      </c>
      <c r="K87" s="103">
        <v>1</v>
      </c>
      <c r="L87" s="702">
        <f t="shared" si="18"/>
        <v>3</v>
      </c>
      <c r="M87" s="104"/>
      <c r="N87" s="877"/>
      <c r="O87" s="103"/>
      <c r="P87" s="1206"/>
      <c r="Q87" s="715">
        <f>SUM(M87:P87)</f>
        <v>0</v>
      </c>
      <c r="R87" s="879">
        <f t="shared" si="19"/>
        <v>3</v>
      </c>
    </row>
    <row r="88" spans="1:18" s="81" customFormat="1">
      <c r="A88" s="1733"/>
      <c r="B88" s="1733"/>
      <c r="C88" s="1723"/>
      <c r="D88" s="1722" t="s">
        <v>36</v>
      </c>
      <c r="E88" s="164" t="s">
        <v>41</v>
      </c>
      <c r="F88" s="102">
        <v>0</v>
      </c>
      <c r="G88" s="103"/>
      <c r="H88" s="103"/>
      <c r="I88" s="103">
        <v>4</v>
      </c>
      <c r="J88" s="877">
        <v>5</v>
      </c>
      <c r="K88" s="103">
        <v>4</v>
      </c>
      <c r="L88" s="700">
        <f t="shared" si="18"/>
        <v>13</v>
      </c>
      <c r="M88" s="104"/>
      <c r="N88" s="877"/>
      <c r="O88" s="103"/>
      <c r="P88" s="1203"/>
      <c r="Q88" s="712">
        <f>SUM(M88:P88)</f>
        <v>0</v>
      </c>
      <c r="R88" s="879">
        <f t="shared" si="19"/>
        <v>13</v>
      </c>
    </row>
    <row r="89" spans="1:18" s="81" customFormat="1">
      <c r="A89" s="1733"/>
      <c r="B89" s="1733"/>
      <c r="C89" s="1724"/>
      <c r="D89" s="1724"/>
      <c r="E89" s="164" t="s">
        <v>43</v>
      </c>
      <c r="F89" s="102">
        <v>0</v>
      </c>
      <c r="G89" s="103"/>
      <c r="H89" s="103"/>
      <c r="I89" s="103">
        <v>1</v>
      </c>
      <c r="J89" s="877">
        <v>1</v>
      </c>
      <c r="K89" s="103">
        <v>1</v>
      </c>
      <c r="L89" s="700">
        <f t="shared" si="18"/>
        <v>3</v>
      </c>
      <c r="M89" s="104"/>
      <c r="N89" s="877"/>
      <c r="O89" s="103"/>
      <c r="P89" s="1203"/>
      <c r="Q89" s="712">
        <f t="shared" ref="Q89:Q101" si="24">SUM(M89:P89)</f>
        <v>0</v>
      </c>
      <c r="R89" s="879">
        <f t="shared" si="19"/>
        <v>3</v>
      </c>
    </row>
    <row r="90" spans="1:18" s="81" customFormat="1">
      <c r="A90" s="1733"/>
      <c r="B90" s="1733"/>
      <c r="C90" s="1722" t="s">
        <v>182</v>
      </c>
      <c r="D90" s="1725" t="s">
        <v>35</v>
      </c>
      <c r="E90" s="1726"/>
      <c r="F90" s="102">
        <v>0</v>
      </c>
      <c r="G90" s="103"/>
      <c r="H90" s="103"/>
      <c r="I90" s="103">
        <v>1</v>
      </c>
      <c r="J90" s="877">
        <v>1</v>
      </c>
      <c r="K90" s="103">
        <v>1</v>
      </c>
      <c r="L90" s="700">
        <f t="shared" si="18"/>
        <v>3</v>
      </c>
      <c r="M90" s="104"/>
      <c r="N90" s="877"/>
      <c r="O90" s="103"/>
      <c r="P90" s="1203"/>
      <c r="Q90" s="712">
        <f t="shared" si="24"/>
        <v>0</v>
      </c>
      <c r="R90" s="879">
        <f t="shared" si="19"/>
        <v>3</v>
      </c>
    </row>
    <row r="91" spans="1:18" s="81" customFormat="1">
      <c r="A91" s="1733"/>
      <c r="B91" s="1733"/>
      <c r="C91" s="1723"/>
      <c r="D91" s="1722" t="s">
        <v>36</v>
      </c>
      <c r="E91" s="164" t="s">
        <v>41</v>
      </c>
      <c r="F91" s="102">
        <v>0</v>
      </c>
      <c r="G91" s="103"/>
      <c r="H91" s="103"/>
      <c r="I91" s="103">
        <v>2</v>
      </c>
      <c r="J91" s="877">
        <v>4</v>
      </c>
      <c r="K91" s="103">
        <v>4</v>
      </c>
      <c r="L91" s="700">
        <f t="shared" si="18"/>
        <v>10</v>
      </c>
      <c r="M91" s="104"/>
      <c r="N91" s="877"/>
      <c r="O91" s="103"/>
      <c r="P91" s="1203"/>
      <c r="Q91" s="712">
        <f t="shared" si="24"/>
        <v>0</v>
      </c>
      <c r="R91" s="879">
        <f t="shared" si="19"/>
        <v>10</v>
      </c>
    </row>
    <row r="92" spans="1:18" s="81" customFormat="1">
      <c r="A92" s="1733"/>
      <c r="B92" s="1733"/>
      <c r="C92" s="1724"/>
      <c r="D92" s="1724"/>
      <c r="E92" s="164" t="s">
        <v>43</v>
      </c>
      <c r="F92" s="102">
        <v>0</v>
      </c>
      <c r="G92" s="103"/>
      <c r="H92" s="103"/>
      <c r="I92" s="103">
        <v>2</v>
      </c>
      <c r="J92" s="877">
        <v>2</v>
      </c>
      <c r="K92" s="103">
        <v>2</v>
      </c>
      <c r="L92" s="700">
        <f t="shared" si="18"/>
        <v>6</v>
      </c>
      <c r="M92" s="104"/>
      <c r="N92" s="877"/>
      <c r="O92" s="103"/>
      <c r="P92" s="1203"/>
      <c r="Q92" s="712">
        <f t="shared" si="24"/>
        <v>0</v>
      </c>
      <c r="R92" s="879">
        <f t="shared" si="19"/>
        <v>6</v>
      </c>
    </row>
    <row r="93" spans="1:18" s="81" customFormat="1">
      <c r="A93" s="1733"/>
      <c r="B93" s="1733"/>
      <c r="C93" s="1722" t="s">
        <v>1898</v>
      </c>
      <c r="D93" s="1725" t="s">
        <v>35</v>
      </c>
      <c r="E93" s="1726"/>
      <c r="F93" s="102">
        <v>0</v>
      </c>
      <c r="G93" s="103"/>
      <c r="H93" s="103">
        <v>1</v>
      </c>
      <c r="I93" s="885"/>
      <c r="J93" s="877">
        <v>1</v>
      </c>
      <c r="K93" s="103">
        <v>1</v>
      </c>
      <c r="L93" s="700">
        <f t="shared" si="18"/>
        <v>3</v>
      </c>
      <c r="M93" s="104"/>
      <c r="N93" s="877"/>
      <c r="O93" s="103"/>
      <c r="P93" s="1203"/>
      <c r="Q93" s="712">
        <f t="shared" si="24"/>
        <v>0</v>
      </c>
      <c r="R93" s="879">
        <f t="shared" si="19"/>
        <v>3</v>
      </c>
    </row>
    <row r="94" spans="1:18" s="81" customFormat="1">
      <c r="A94" s="1733"/>
      <c r="B94" s="1733"/>
      <c r="C94" s="1723"/>
      <c r="D94" s="1722" t="s">
        <v>36</v>
      </c>
      <c r="E94" s="164" t="s">
        <v>41</v>
      </c>
      <c r="F94" s="102">
        <v>0</v>
      </c>
      <c r="G94" s="103"/>
      <c r="H94" s="103">
        <v>3</v>
      </c>
      <c r="I94" s="885"/>
      <c r="J94" s="877">
        <v>4</v>
      </c>
      <c r="K94" s="103">
        <v>2</v>
      </c>
      <c r="L94" s="700">
        <f t="shared" si="18"/>
        <v>9</v>
      </c>
      <c r="M94" s="104"/>
      <c r="N94" s="877"/>
      <c r="O94" s="103"/>
      <c r="P94" s="1203"/>
      <c r="Q94" s="712">
        <f t="shared" si="24"/>
        <v>0</v>
      </c>
      <c r="R94" s="879">
        <f t="shared" si="19"/>
        <v>9</v>
      </c>
    </row>
    <row r="95" spans="1:18" s="81" customFormat="1">
      <c r="A95" s="1733"/>
      <c r="B95" s="1733"/>
      <c r="C95" s="1724"/>
      <c r="D95" s="1724"/>
      <c r="E95" s="164" t="s">
        <v>43</v>
      </c>
      <c r="F95" s="1305">
        <v>0</v>
      </c>
      <c r="G95" s="1306"/>
      <c r="H95" s="1306">
        <v>2</v>
      </c>
      <c r="I95" s="1307"/>
      <c r="J95" s="1322">
        <v>1</v>
      </c>
      <c r="K95" s="103">
        <v>2</v>
      </c>
      <c r="L95" s="700">
        <f t="shared" si="18"/>
        <v>5</v>
      </c>
      <c r="M95" s="104"/>
      <c r="N95" s="877"/>
      <c r="O95" s="103"/>
      <c r="P95" s="1203"/>
      <c r="Q95" s="712">
        <f t="shared" si="24"/>
        <v>0</v>
      </c>
      <c r="R95" s="879">
        <f t="shared" si="19"/>
        <v>5</v>
      </c>
    </row>
    <row r="96" spans="1:18" s="81" customFormat="1" ht="16.5" customHeight="1">
      <c r="A96" s="1733"/>
      <c r="B96" s="1733"/>
      <c r="C96" s="1727" t="s">
        <v>41</v>
      </c>
      <c r="D96" s="1730" t="s">
        <v>35</v>
      </c>
      <c r="E96" s="1731"/>
      <c r="F96" s="1308">
        <f>F84+F87+F90+F93</f>
        <v>0</v>
      </c>
      <c r="G96" s="1309">
        <f t="shared" ref="G96:L96" si="25">G84+G87+G90+G93</f>
        <v>0</v>
      </c>
      <c r="H96" s="1309">
        <f t="shared" si="25"/>
        <v>1</v>
      </c>
      <c r="I96" s="1309">
        <f t="shared" si="25"/>
        <v>2</v>
      </c>
      <c r="J96" s="1323">
        <f t="shared" si="25"/>
        <v>4</v>
      </c>
      <c r="K96" s="109">
        <f t="shared" si="25"/>
        <v>4</v>
      </c>
      <c r="L96" s="700">
        <f t="shared" si="25"/>
        <v>11</v>
      </c>
      <c r="M96" s="110">
        <f t="shared" ref="M96:O96" si="26">M84+M93+M87+M90</f>
        <v>0</v>
      </c>
      <c r="N96" s="880">
        <f t="shared" si="26"/>
        <v>0</v>
      </c>
      <c r="O96" s="109">
        <f t="shared" si="26"/>
        <v>0</v>
      </c>
      <c r="P96" s="1204">
        <f>P87+P90</f>
        <v>0</v>
      </c>
      <c r="Q96" s="713">
        <f t="shared" si="24"/>
        <v>0</v>
      </c>
      <c r="R96" s="879">
        <f t="shared" si="19"/>
        <v>11</v>
      </c>
    </row>
    <row r="97" spans="1:18" s="81" customFormat="1">
      <c r="A97" s="1733"/>
      <c r="B97" s="1733"/>
      <c r="C97" s="1728"/>
      <c r="D97" s="1727" t="s">
        <v>36</v>
      </c>
      <c r="E97" s="165" t="s">
        <v>1</v>
      </c>
      <c r="F97" s="1308">
        <f>F85+F88+F91+F94</f>
        <v>0</v>
      </c>
      <c r="G97" s="1309">
        <f t="shared" ref="G97:L97" si="27">G85+G88+G91+G94</f>
        <v>0</v>
      </c>
      <c r="H97" s="1309">
        <f t="shared" si="27"/>
        <v>3</v>
      </c>
      <c r="I97" s="1309">
        <f t="shared" si="27"/>
        <v>6</v>
      </c>
      <c r="J97" s="1323">
        <f t="shared" si="27"/>
        <v>14</v>
      </c>
      <c r="K97" s="109">
        <f t="shared" si="27"/>
        <v>12</v>
      </c>
      <c r="L97" s="700">
        <f t="shared" si="27"/>
        <v>35</v>
      </c>
      <c r="M97" s="110">
        <f t="shared" ref="M97:O98" si="28">M85+M88+M91+M94</f>
        <v>0</v>
      </c>
      <c r="N97" s="880">
        <f t="shared" si="28"/>
        <v>0</v>
      </c>
      <c r="O97" s="109">
        <f t="shared" si="28"/>
        <v>0</v>
      </c>
      <c r="P97" s="1204">
        <f>P88+P91</f>
        <v>0</v>
      </c>
      <c r="Q97" s="713">
        <f t="shared" si="24"/>
        <v>0</v>
      </c>
      <c r="R97" s="879">
        <f t="shared" si="19"/>
        <v>35</v>
      </c>
    </row>
    <row r="98" spans="1:18" s="81" customFormat="1" ht="17.25" thickBot="1">
      <c r="A98" s="1734"/>
      <c r="B98" s="1734"/>
      <c r="C98" s="1729"/>
      <c r="D98" s="1729"/>
      <c r="E98" s="166" t="s">
        <v>24</v>
      </c>
      <c r="F98" s="1310">
        <f>F86+F89+F92+F95</f>
        <v>0</v>
      </c>
      <c r="G98" s="1311">
        <f t="shared" ref="G98:L98" si="29">G86+G89+G92+G95</f>
        <v>0</v>
      </c>
      <c r="H98" s="1311">
        <f t="shared" si="29"/>
        <v>2</v>
      </c>
      <c r="I98" s="1311">
        <f t="shared" si="29"/>
        <v>3</v>
      </c>
      <c r="J98" s="1324">
        <f t="shared" si="29"/>
        <v>5</v>
      </c>
      <c r="K98" s="124">
        <f t="shared" si="29"/>
        <v>5</v>
      </c>
      <c r="L98" s="704">
        <f t="shared" si="29"/>
        <v>15</v>
      </c>
      <c r="M98" s="125">
        <f t="shared" si="28"/>
        <v>0</v>
      </c>
      <c r="N98" s="887">
        <f t="shared" si="28"/>
        <v>0</v>
      </c>
      <c r="O98" s="124">
        <f t="shared" si="28"/>
        <v>0</v>
      </c>
      <c r="P98" s="1207">
        <f>P89+P92</f>
        <v>0</v>
      </c>
      <c r="Q98" s="717">
        <f t="shared" si="24"/>
        <v>0</v>
      </c>
      <c r="R98" s="888">
        <f t="shared" si="19"/>
        <v>15</v>
      </c>
    </row>
    <row r="99" spans="1:18" s="81" customFormat="1" ht="17.25" thickTop="1">
      <c r="A99" s="1711" t="s">
        <v>6</v>
      </c>
      <c r="B99" s="1712"/>
      <c r="C99" s="1717" t="s">
        <v>134</v>
      </c>
      <c r="D99" s="1718"/>
      <c r="E99" s="1719"/>
      <c r="F99" s="199">
        <f>F15+F24+F45+F57+F69+F81+F96</f>
        <v>43</v>
      </c>
      <c r="G99" s="200">
        <f t="shared" ref="F99:K101" si="30">G15+G24+G45+G57+G69+G81+G96</f>
        <v>48</v>
      </c>
      <c r="H99" s="200">
        <f t="shared" si="30"/>
        <v>37</v>
      </c>
      <c r="I99" s="200">
        <f t="shared" si="30"/>
        <v>45</v>
      </c>
      <c r="J99" s="889">
        <f t="shared" si="30"/>
        <v>57</v>
      </c>
      <c r="K99" s="200">
        <f t="shared" si="30"/>
        <v>53</v>
      </c>
      <c r="L99" s="890">
        <f t="shared" si="18"/>
        <v>283</v>
      </c>
      <c r="M99" s="201">
        <f t="shared" ref="M99:P101" si="31">M15+M24+M45+M57+M69+M81+M96</f>
        <v>23</v>
      </c>
      <c r="N99" s="891">
        <f t="shared" si="31"/>
        <v>19</v>
      </c>
      <c r="O99" s="200">
        <f t="shared" si="31"/>
        <v>17</v>
      </c>
      <c r="P99" s="200">
        <f t="shared" si="31"/>
        <v>22</v>
      </c>
      <c r="Q99" s="200">
        <f t="shared" si="24"/>
        <v>81</v>
      </c>
      <c r="R99" s="892">
        <f t="shared" si="19"/>
        <v>364</v>
      </c>
    </row>
    <row r="100" spans="1:18" s="81" customFormat="1">
      <c r="A100" s="1713"/>
      <c r="B100" s="1714"/>
      <c r="C100" s="1720" t="s">
        <v>3</v>
      </c>
      <c r="D100" s="1721"/>
      <c r="E100" s="202" t="s">
        <v>1</v>
      </c>
      <c r="F100" s="203">
        <f t="shared" si="30"/>
        <v>250</v>
      </c>
      <c r="G100" s="204">
        <f t="shared" si="30"/>
        <v>285</v>
      </c>
      <c r="H100" s="204">
        <f t="shared" si="30"/>
        <v>241</v>
      </c>
      <c r="I100" s="204">
        <f t="shared" si="30"/>
        <v>240</v>
      </c>
      <c r="J100" s="893">
        <f t="shared" si="30"/>
        <v>333</v>
      </c>
      <c r="K100" s="204">
        <f t="shared" si="30"/>
        <v>301</v>
      </c>
      <c r="L100" s="894">
        <f t="shared" si="18"/>
        <v>1650</v>
      </c>
      <c r="M100" s="205">
        <f t="shared" si="31"/>
        <v>147</v>
      </c>
      <c r="N100" s="895">
        <f t="shared" si="31"/>
        <v>86</v>
      </c>
      <c r="O100" s="204">
        <f t="shared" si="31"/>
        <v>54</v>
      </c>
      <c r="P100" s="204">
        <f t="shared" si="31"/>
        <v>90</v>
      </c>
      <c r="Q100" s="204">
        <f t="shared" si="24"/>
        <v>377</v>
      </c>
      <c r="R100" s="896">
        <f t="shared" si="19"/>
        <v>2027</v>
      </c>
    </row>
    <row r="101" spans="1:18" s="81" customFormat="1">
      <c r="A101" s="1715"/>
      <c r="B101" s="1716"/>
      <c r="C101" s="1715"/>
      <c r="D101" s="1716"/>
      <c r="E101" s="202" t="s">
        <v>24</v>
      </c>
      <c r="F101" s="203">
        <f t="shared" si="30"/>
        <v>66</v>
      </c>
      <c r="G101" s="204">
        <f t="shared" si="30"/>
        <v>67</v>
      </c>
      <c r="H101" s="204">
        <f t="shared" si="30"/>
        <v>78</v>
      </c>
      <c r="I101" s="204">
        <f t="shared" si="30"/>
        <v>71</v>
      </c>
      <c r="J101" s="893">
        <f t="shared" si="30"/>
        <v>110</v>
      </c>
      <c r="K101" s="204">
        <f t="shared" si="30"/>
        <v>82</v>
      </c>
      <c r="L101" s="894">
        <f t="shared" si="18"/>
        <v>474</v>
      </c>
      <c r="M101" s="205">
        <f t="shared" si="31"/>
        <v>46</v>
      </c>
      <c r="N101" s="895">
        <f t="shared" si="31"/>
        <v>36</v>
      </c>
      <c r="O101" s="204">
        <f t="shared" si="31"/>
        <v>32</v>
      </c>
      <c r="P101" s="204">
        <f t="shared" si="31"/>
        <v>35</v>
      </c>
      <c r="Q101" s="204">
        <f t="shared" si="24"/>
        <v>149</v>
      </c>
      <c r="R101" s="896">
        <f t="shared" si="19"/>
        <v>623</v>
      </c>
    </row>
    <row r="102" spans="1:18" ht="16.5" customHeight="1"/>
  </sheetData>
  <mergeCells count="115">
    <mergeCell ref="R3:R14"/>
    <mergeCell ref="A4:E4"/>
    <mergeCell ref="L4:L14"/>
    <mergeCell ref="M4:P4"/>
    <mergeCell ref="Q4:Q14"/>
    <mergeCell ref="A5:E5"/>
    <mergeCell ref="M5:P5"/>
    <mergeCell ref="A6:E6"/>
    <mergeCell ref="A7:E7"/>
    <mergeCell ref="A8:E8"/>
    <mergeCell ref="A9:E9"/>
    <mergeCell ref="A10:E10"/>
    <mergeCell ref="A11:E11"/>
    <mergeCell ref="A3:E3"/>
    <mergeCell ref="F3:L3"/>
    <mergeCell ref="M3:Q3"/>
    <mergeCell ref="C18:C20"/>
    <mergeCell ref="D18:E18"/>
    <mergeCell ref="D19:D20"/>
    <mergeCell ref="C21:C23"/>
    <mergeCell ref="D21:E21"/>
    <mergeCell ref="D22:D23"/>
    <mergeCell ref="A12:E12"/>
    <mergeCell ref="A13:E13"/>
    <mergeCell ref="A14:E14"/>
    <mergeCell ref="A15:A98"/>
    <mergeCell ref="B15:B17"/>
    <mergeCell ref="C15:E15"/>
    <mergeCell ref="C16:C17"/>
    <mergeCell ref="D16:E16"/>
    <mergeCell ref="D17:E17"/>
    <mergeCell ref="B18:B26"/>
    <mergeCell ref="C33:C35"/>
    <mergeCell ref="D33:E33"/>
    <mergeCell ref="D34:D35"/>
    <mergeCell ref="C36:C38"/>
    <mergeCell ref="D36:E36"/>
    <mergeCell ref="D37:D38"/>
    <mergeCell ref="C24:C26"/>
    <mergeCell ref="D24:E24"/>
    <mergeCell ref="D25:D26"/>
    <mergeCell ref="C27:C29"/>
    <mergeCell ref="D27:E27"/>
    <mergeCell ref="D28:D29"/>
    <mergeCell ref="C30:C32"/>
    <mergeCell ref="D30:E30"/>
    <mergeCell ref="D31:D32"/>
    <mergeCell ref="B48:B59"/>
    <mergeCell ref="C48:C50"/>
    <mergeCell ref="D48:E48"/>
    <mergeCell ref="D49:D50"/>
    <mergeCell ref="C51:C53"/>
    <mergeCell ref="D51:E51"/>
    <mergeCell ref="D52:D53"/>
    <mergeCell ref="C39:C41"/>
    <mergeCell ref="D39:E39"/>
    <mergeCell ref="D40:D41"/>
    <mergeCell ref="C42:C44"/>
    <mergeCell ref="D42:E42"/>
    <mergeCell ref="D43:D44"/>
    <mergeCell ref="B27:B47"/>
    <mergeCell ref="C54:C56"/>
    <mergeCell ref="D54:E54"/>
    <mergeCell ref="D55:D56"/>
    <mergeCell ref="B72:B83"/>
    <mergeCell ref="C72:C74"/>
    <mergeCell ref="D72:E72"/>
    <mergeCell ref="D73:D74"/>
    <mergeCell ref="C75:C77"/>
    <mergeCell ref="D75:E75"/>
    <mergeCell ref="D76:D77"/>
    <mergeCell ref="B60:B71"/>
    <mergeCell ref="C60:C62"/>
    <mergeCell ref="D60:E60"/>
    <mergeCell ref="D61:D62"/>
    <mergeCell ref="C63:C65"/>
    <mergeCell ref="D63:E63"/>
    <mergeCell ref="D64:D65"/>
    <mergeCell ref="C66:C68"/>
    <mergeCell ref="D66:E66"/>
    <mergeCell ref="D67:D68"/>
    <mergeCell ref="C78:C80"/>
    <mergeCell ref="C57:C59"/>
    <mergeCell ref="D57:E57"/>
    <mergeCell ref="D58:D59"/>
    <mergeCell ref="C45:C47"/>
    <mergeCell ref="D45:E45"/>
    <mergeCell ref="D46:D47"/>
    <mergeCell ref="D78:E78"/>
    <mergeCell ref="D79:D80"/>
    <mergeCell ref="C81:C83"/>
    <mergeCell ref="D81:E81"/>
    <mergeCell ref="D82:D83"/>
    <mergeCell ref="C69:C71"/>
    <mergeCell ref="D69:E69"/>
    <mergeCell ref="D70:D71"/>
    <mergeCell ref="A99:B101"/>
    <mergeCell ref="C99:E99"/>
    <mergeCell ref="C100:D101"/>
    <mergeCell ref="C93:C95"/>
    <mergeCell ref="D93:E93"/>
    <mergeCell ref="D94:D95"/>
    <mergeCell ref="C96:C98"/>
    <mergeCell ref="D96:E96"/>
    <mergeCell ref="D97:D98"/>
    <mergeCell ref="B84:B98"/>
    <mergeCell ref="C84:C86"/>
    <mergeCell ref="D84:E84"/>
    <mergeCell ref="D85:D86"/>
    <mergeCell ref="C87:C89"/>
    <mergeCell ref="D87:E87"/>
    <mergeCell ref="D88:D89"/>
    <mergeCell ref="C90:C92"/>
    <mergeCell ref="D90:E90"/>
    <mergeCell ref="D91:D92"/>
  </mergeCells>
  <phoneticPr fontId="16" type="noConversion"/>
  <dataValidations count="1">
    <dataValidation type="list" allowBlank="1" showInputMessage="1" showErrorMessage="1" sqref="F5:K5" xr:uid="{B60F988A-FBB6-4534-AE70-E258D11AF3AB}">
      <formula1>"미추홀구,제물포구,영종구,옹진군,부평구,계양구,남동구,연수구,서구,검단구,강화군"</formula1>
    </dataValidation>
  </dataValidations>
  <printOptions horizontalCentered="1"/>
  <pageMargins left="0.25" right="0.25" top="0.75" bottom="0.75" header="0.3" footer="0.3"/>
  <pageSetup paperSize="9" scale="5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2699-D8FB-4DD2-AA6F-5C8CB2FFBCD2}">
  <sheetPr>
    <pageSetUpPr fitToPage="1"/>
  </sheetPr>
  <dimension ref="A1:AK20"/>
  <sheetViews>
    <sheetView zoomScaleNormal="100" workbookViewId="0">
      <selection activeCell="C1" sqref="C1"/>
    </sheetView>
  </sheetViews>
  <sheetFormatPr defaultRowHeight="16.5"/>
  <cols>
    <col min="1" max="1" width="9.625" customWidth="1"/>
    <col min="2" max="2" width="13.625" customWidth="1"/>
    <col min="3" max="6" width="9.625" customWidth="1"/>
    <col min="7" max="7" width="15.625" customWidth="1"/>
    <col min="8" max="8" width="10.625" customWidth="1"/>
    <col min="9" max="9" width="26.625" customWidth="1"/>
    <col min="10" max="10" width="11.125" customWidth="1"/>
    <col min="11" max="14" width="8.625" customWidth="1"/>
    <col min="15" max="37" width="7.625" customWidth="1"/>
  </cols>
  <sheetData>
    <row r="1" spans="1:37" s="23" customFormat="1" ht="26.25">
      <c r="A1" s="10" t="s">
        <v>175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s="3" customFormat="1" ht="20.100000000000001" customHeight="1">
      <c r="A2" s="848" t="s">
        <v>3243</v>
      </c>
      <c r="B2" s="848"/>
      <c r="C2" s="848"/>
      <c r="D2" s="12"/>
      <c r="E2" s="12"/>
      <c r="F2" s="12"/>
      <c r="G2" s="12"/>
      <c r="H2" s="849"/>
      <c r="I2" s="850"/>
      <c r="J2" s="850"/>
      <c r="K2" s="850"/>
      <c r="L2" s="850"/>
      <c r="M2" s="851"/>
      <c r="N2" s="851"/>
      <c r="O2" s="850"/>
      <c r="P2" s="850"/>
      <c r="Q2" s="852"/>
      <c r="R2" s="852"/>
      <c r="S2" s="852"/>
      <c r="T2" s="852"/>
      <c r="U2" s="852"/>
      <c r="V2" s="852"/>
      <c r="W2" s="852"/>
      <c r="X2" s="12"/>
      <c r="Y2" s="30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16.5" customHeight="1">
      <c r="A3" s="1631" t="s">
        <v>106</v>
      </c>
      <c r="B3" s="1695" t="s">
        <v>3189</v>
      </c>
      <c r="C3" s="1638" t="s">
        <v>107</v>
      </c>
      <c r="D3" s="1636" t="s">
        <v>120</v>
      </c>
      <c r="E3" s="1695" t="s">
        <v>105</v>
      </c>
      <c r="F3" s="1636" t="s">
        <v>114</v>
      </c>
      <c r="G3" s="1631" t="s">
        <v>12</v>
      </c>
      <c r="H3" s="1631" t="s">
        <v>13</v>
      </c>
      <c r="I3" s="1631" t="s">
        <v>14</v>
      </c>
      <c r="J3" s="1638" t="s">
        <v>102</v>
      </c>
      <c r="K3" s="1631" t="s">
        <v>15</v>
      </c>
      <c r="L3" s="1636" t="s">
        <v>16</v>
      </c>
      <c r="M3" s="1636" t="s">
        <v>77</v>
      </c>
      <c r="N3" s="1768" t="s">
        <v>151</v>
      </c>
      <c r="O3" s="1770" t="s">
        <v>35</v>
      </c>
      <c r="P3" s="1636"/>
      <c r="Q3" s="1636"/>
      <c r="R3" s="1636"/>
      <c r="S3" s="1768"/>
      <c r="T3" s="1771" t="s">
        <v>36</v>
      </c>
      <c r="U3" s="1771"/>
      <c r="V3" s="1771"/>
      <c r="W3" s="1771"/>
      <c r="X3" s="1771"/>
      <c r="Y3" s="1771"/>
      <c r="Z3" s="1771"/>
      <c r="AA3" s="1771"/>
      <c r="AB3" s="1771"/>
      <c r="AC3" s="1771"/>
      <c r="AD3" s="1771"/>
      <c r="AE3" s="1771"/>
      <c r="AF3" s="1771"/>
      <c r="AG3" s="1771"/>
      <c r="AH3" s="1771"/>
      <c r="AI3" s="1771"/>
      <c r="AJ3" s="1771"/>
      <c r="AK3" s="1772"/>
    </row>
    <row r="4" spans="1:37">
      <c r="A4" s="1631"/>
      <c r="B4" s="1780"/>
      <c r="C4" s="1639"/>
      <c r="D4" s="1636"/>
      <c r="E4" s="1780"/>
      <c r="F4" s="1631"/>
      <c r="G4" s="1631"/>
      <c r="H4" s="1631"/>
      <c r="I4" s="1631"/>
      <c r="J4" s="1639"/>
      <c r="K4" s="1631"/>
      <c r="L4" s="1636"/>
      <c r="M4" s="1636"/>
      <c r="N4" s="1768"/>
      <c r="O4" s="1770" t="s">
        <v>48</v>
      </c>
      <c r="P4" s="1774" t="s">
        <v>45</v>
      </c>
      <c r="Q4" s="1636" t="s">
        <v>46</v>
      </c>
      <c r="R4" s="1774" t="s">
        <v>47</v>
      </c>
      <c r="S4" s="1777" t="s">
        <v>41</v>
      </c>
      <c r="T4" s="1772" t="s">
        <v>37</v>
      </c>
      <c r="U4" s="1636"/>
      <c r="V4" s="1779" t="s">
        <v>38</v>
      </c>
      <c r="W4" s="1771"/>
      <c r="X4" s="1771"/>
      <c r="Y4" s="1772"/>
      <c r="Z4" s="1779" t="s">
        <v>39</v>
      </c>
      <c r="AA4" s="1771"/>
      <c r="AB4" s="1771"/>
      <c r="AC4" s="1772"/>
      <c r="AD4" s="1779" t="s">
        <v>40</v>
      </c>
      <c r="AE4" s="1771"/>
      <c r="AF4" s="1771"/>
      <c r="AG4" s="1772"/>
      <c r="AH4" s="1765" t="s">
        <v>42</v>
      </c>
      <c r="AI4" s="1766"/>
      <c r="AJ4" s="1766"/>
      <c r="AK4" s="1767"/>
    </row>
    <row r="5" spans="1:37" ht="27" customHeight="1" thickBot="1">
      <c r="A5" s="1637"/>
      <c r="B5" s="1781"/>
      <c r="C5" s="1640"/>
      <c r="D5" s="1637"/>
      <c r="E5" s="1781"/>
      <c r="F5" s="1637"/>
      <c r="G5" s="1637"/>
      <c r="H5" s="1637"/>
      <c r="I5" s="1637"/>
      <c r="J5" s="1640"/>
      <c r="K5" s="1637"/>
      <c r="L5" s="1637"/>
      <c r="M5" s="1637"/>
      <c r="N5" s="1769"/>
      <c r="O5" s="1773"/>
      <c r="P5" s="1775"/>
      <c r="Q5" s="1776"/>
      <c r="R5" s="1775"/>
      <c r="S5" s="1778"/>
      <c r="T5" s="897" t="s">
        <v>41</v>
      </c>
      <c r="U5" s="1198" t="s">
        <v>43</v>
      </c>
      <c r="V5" s="1198" t="s">
        <v>41</v>
      </c>
      <c r="W5" s="49" t="s">
        <v>93</v>
      </c>
      <c r="X5" s="48" t="s">
        <v>43</v>
      </c>
      <c r="Y5" s="49" t="s">
        <v>94</v>
      </c>
      <c r="Z5" s="48" t="s">
        <v>41</v>
      </c>
      <c r="AA5" s="49" t="s">
        <v>93</v>
      </c>
      <c r="AB5" s="48" t="s">
        <v>43</v>
      </c>
      <c r="AC5" s="49" t="s">
        <v>94</v>
      </c>
      <c r="AD5" s="48" t="s">
        <v>41</v>
      </c>
      <c r="AE5" s="49" t="s">
        <v>93</v>
      </c>
      <c r="AF5" s="48" t="s">
        <v>43</v>
      </c>
      <c r="AG5" s="49" t="s">
        <v>94</v>
      </c>
      <c r="AH5" s="48" t="s">
        <v>41</v>
      </c>
      <c r="AI5" s="49" t="s">
        <v>93</v>
      </c>
      <c r="AJ5" s="48" t="s">
        <v>43</v>
      </c>
      <c r="AK5" s="49" t="s">
        <v>94</v>
      </c>
    </row>
    <row r="6" spans="1:37" s="81" customFormat="1" ht="20.100000000000001" customHeight="1" thickTop="1">
      <c r="A6" s="168" t="s">
        <v>3190</v>
      </c>
      <c r="B6" s="168" t="s">
        <v>3191</v>
      </c>
      <c r="C6" s="168" t="s">
        <v>4</v>
      </c>
      <c r="D6" s="168" t="s">
        <v>26</v>
      </c>
      <c r="E6" s="168" t="s">
        <v>3192</v>
      </c>
      <c r="F6" s="168" t="s">
        <v>119</v>
      </c>
      <c r="G6" s="168" t="s">
        <v>3193</v>
      </c>
      <c r="H6" s="71">
        <v>34395</v>
      </c>
      <c r="I6" s="53" t="s">
        <v>230</v>
      </c>
      <c r="J6" s="72">
        <v>11199.3</v>
      </c>
      <c r="K6" s="456">
        <v>22564</v>
      </c>
      <c r="L6" s="53" t="s">
        <v>228</v>
      </c>
      <c r="M6" s="53" t="s">
        <v>3194</v>
      </c>
      <c r="N6" s="54" t="s">
        <v>229</v>
      </c>
      <c r="O6" s="75"/>
      <c r="P6" s="73"/>
      <c r="Q6" s="73"/>
      <c r="R6" s="73">
        <v>9</v>
      </c>
      <c r="S6" s="137">
        <f>SUM(O6:R6)</f>
        <v>9</v>
      </c>
      <c r="T6" s="898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>
        <v>126</v>
      </c>
      <c r="AF6" s="73"/>
      <c r="AG6" s="73">
        <v>63</v>
      </c>
      <c r="AH6" s="162">
        <f>T6+V6+Z6+AD6</f>
        <v>0</v>
      </c>
      <c r="AI6" s="162">
        <f>W6+AA6+AE6</f>
        <v>126</v>
      </c>
      <c r="AJ6" s="138">
        <f>U6+X6+AB6+AF6</f>
        <v>0</v>
      </c>
      <c r="AK6" s="138">
        <f>Y6+AC6+AG6</f>
        <v>63</v>
      </c>
    </row>
    <row r="7" spans="1:37" s="81" customFormat="1" ht="20.100000000000001" customHeight="1">
      <c r="A7" s="168" t="s">
        <v>7</v>
      </c>
      <c r="B7" s="168" t="s">
        <v>7</v>
      </c>
      <c r="C7" s="168" t="s">
        <v>4</v>
      </c>
      <c r="D7" s="168" t="s">
        <v>26</v>
      </c>
      <c r="E7" s="168" t="s">
        <v>202</v>
      </c>
      <c r="F7" s="168" t="s">
        <v>44</v>
      </c>
      <c r="G7" s="168" t="s">
        <v>264</v>
      </c>
      <c r="H7" s="71">
        <v>45170</v>
      </c>
      <c r="I7" s="53" t="s">
        <v>3195</v>
      </c>
      <c r="J7" s="72">
        <v>2035</v>
      </c>
      <c r="K7" s="52">
        <v>21331</v>
      </c>
      <c r="L7" s="55" t="s">
        <v>3196</v>
      </c>
      <c r="M7" s="862" t="s">
        <v>3196</v>
      </c>
      <c r="N7" s="54" t="s">
        <v>3197</v>
      </c>
      <c r="O7" s="75"/>
      <c r="P7" s="73"/>
      <c r="Q7" s="73"/>
      <c r="R7" s="73">
        <v>6</v>
      </c>
      <c r="S7" s="137">
        <f>SUM(O7:R7)</f>
        <v>6</v>
      </c>
      <c r="T7" s="898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>
        <v>1661</v>
      </c>
      <c r="AF7" s="73"/>
      <c r="AG7" s="73">
        <v>1337</v>
      </c>
      <c r="AH7" s="162">
        <f>T7+V7+Z7+AD7</f>
        <v>0</v>
      </c>
      <c r="AI7" s="162">
        <f>W7+AA7+AE7</f>
        <v>1661</v>
      </c>
      <c r="AJ7" s="138">
        <f>U7+X7+AB7+AF7</f>
        <v>0</v>
      </c>
      <c r="AK7" s="138">
        <f>Y7+AC7+AG7</f>
        <v>1337</v>
      </c>
    </row>
    <row r="8" spans="1:37" s="81" customFormat="1" ht="20.100000000000001" customHeight="1">
      <c r="A8" s="168" t="s">
        <v>8</v>
      </c>
      <c r="B8" s="168" t="s">
        <v>8</v>
      </c>
      <c r="C8" s="168" t="s">
        <v>4</v>
      </c>
      <c r="D8" s="168" t="s">
        <v>26</v>
      </c>
      <c r="E8" s="168" t="s">
        <v>3192</v>
      </c>
      <c r="F8" s="168" t="s">
        <v>119</v>
      </c>
      <c r="G8" s="168" t="s">
        <v>1980</v>
      </c>
      <c r="H8" s="71">
        <v>41334</v>
      </c>
      <c r="I8" s="53" t="s">
        <v>1981</v>
      </c>
      <c r="J8" s="72">
        <v>10982</v>
      </c>
      <c r="K8" s="52">
        <v>21655</v>
      </c>
      <c r="L8" s="53" t="s">
        <v>3198</v>
      </c>
      <c r="M8" s="862" t="s">
        <v>3199</v>
      </c>
      <c r="N8" s="54" t="s">
        <v>3200</v>
      </c>
      <c r="O8" s="75"/>
      <c r="P8" s="73"/>
      <c r="Q8" s="73">
        <v>10</v>
      </c>
      <c r="R8" s="73">
        <v>1</v>
      </c>
      <c r="S8" s="137">
        <f>SUM(O8:R8)</f>
        <v>11</v>
      </c>
      <c r="T8" s="898"/>
      <c r="U8" s="73"/>
      <c r="V8" s="73"/>
      <c r="W8" s="73"/>
      <c r="X8" s="73"/>
      <c r="Y8" s="73"/>
      <c r="Z8" s="73">
        <v>86</v>
      </c>
      <c r="AA8" s="73"/>
      <c r="AB8" s="73">
        <v>50</v>
      </c>
      <c r="AC8" s="73"/>
      <c r="AD8" s="73">
        <v>4</v>
      </c>
      <c r="AE8" s="73">
        <v>4</v>
      </c>
      <c r="AF8" s="73">
        <v>3</v>
      </c>
      <c r="AG8" s="73">
        <v>3</v>
      </c>
      <c r="AH8" s="162">
        <f>T8+V8+Z8+AD8</f>
        <v>90</v>
      </c>
      <c r="AI8" s="162">
        <f>W8+AA8+AE8</f>
        <v>4</v>
      </c>
      <c r="AJ8" s="162">
        <f>U8+X8+AB8+AF8</f>
        <v>53</v>
      </c>
      <c r="AK8" s="138">
        <f>Y8+AC8+AG8</f>
        <v>3</v>
      </c>
    </row>
    <row r="9" spans="1:37" s="81" customFormat="1" ht="20.100000000000001" customHeight="1">
      <c r="A9" s="168" t="s">
        <v>8</v>
      </c>
      <c r="B9" s="168" t="s">
        <v>8</v>
      </c>
      <c r="C9" s="168" t="s">
        <v>4</v>
      </c>
      <c r="D9" s="168" t="s">
        <v>26</v>
      </c>
      <c r="E9" s="168" t="s">
        <v>202</v>
      </c>
      <c r="F9" s="168" t="s">
        <v>44</v>
      </c>
      <c r="G9" s="168" t="s">
        <v>3201</v>
      </c>
      <c r="H9" s="71">
        <v>40969</v>
      </c>
      <c r="I9" s="53" t="s">
        <v>3202</v>
      </c>
      <c r="J9" s="72">
        <v>2182.6999999999998</v>
      </c>
      <c r="K9" s="52">
        <v>21553</v>
      </c>
      <c r="L9" s="53" t="s">
        <v>3203</v>
      </c>
      <c r="M9" s="862" t="s">
        <v>3204</v>
      </c>
      <c r="N9" s="54" t="s">
        <v>389</v>
      </c>
      <c r="O9" s="75"/>
      <c r="P9" s="73"/>
      <c r="Q9" s="73"/>
      <c r="R9" s="73">
        <v>5</v>
      </c>
      <c r="S9" s="137">
        <f>SUM(O9:R9)</f>
        <v>5</v>
      </c>
      <c r="T9" s="898"/>
      <c r="U9" s="73"/>
      <c r="V9" s="73"/>
      <c r="W9" s="73"/>
      <c r="X9" s="73"/>
      <c r="Y9" s="73"/>
      <c r="Z9" s="73"/>
      <c r="AA9" s="73"/>
      <c r="AB9" s="73"/>
      <c r="AC9" s="73"/>
      <c r="AD9" s="73">
        <v>30</v>
      </c>
      <c r="AE9" s="73"/>
      <c r="AF9" s="73">
        <v>16</v>
      </c>
      <c r="AG9" s="73"/>
      <c r="AH9" s="162">
        <f>T9+V9+Z9+AD9</f>
        <v>30</v>
      </c>
      <c r="AI9" s="162">
        <f>W9+AA9+AE9</f>
        <v>0</v>
      </c>
      <c r="AJ9" s="162">
        <f>U9+X9+AB9+AF9</f>
        <v>16</v>
      </c>
      <c r="AK9" s="138">
        <f>Y9+AC9+AG9</f>
        <v>0</v>
      </c>
    </row>
    <row r="10" spans="1:37" s="81" customFormat="1" ht="20.100000000000001" customHeight="1">
      <c r="A10" s="1625" t="s">
        <v>403</v>
      </c>
      <c r="B10" s="1626"/>
      <c r="C10" s="1626"/>
      <c r="D10" s="1665"/>
      <c r="E10" s="179">
        <f>COUNTA(E5:E9)</f>
        <v>4</v>
      </c>
      <c r="F10" s="180"/>
      <c r="G10" s="181"/>
      <c r="H10" s="182"/>
      <c r="I10" s="899"/>
      <c r="J10" s="181"/>
      <c r="K10" s="181"/>
      <c r="L10" s="181"/>
      <c r="M10" s="900">
        <f t="shared" ref="M10:AK10" si="0">SUM(M5:M9)</f>
        <v>0</v>
      </c>
      <c r="N10" s="186">
        <f t="shared" si="0"/>
        <v>0</v>
      </c>
      <c r="O10" s="185">
        <f t="shared" si="0"/>
        <v>0</v>
      </c>
      <c r="P10" s="186">
        <f t="shared" si="0"/>
        <v>0</v>
      </c>
      <c r="Q10" s="186">
        <f t="shared" si="0"/>
        <v>10</v>
      </c>
      <c r="R10" s="186">
        <f t="shared" si="0"/>
        <v>21</v>
      </c>
      <c r="S10" s="187">
        <f t="shared" si="0"/>
        <v>31</v>
      </c>
      <c r="T10" s="185">
        <f t="shared" si="0"/>
        <v>0</v>
      </c>
      <c r="U10" s="186">
        <f t="shared" si="0"/>
        <v>0</v>
      </c>
      <c r="V10" s="186">
        <f t="shared" si="0"/>
        <v>0</v>
      </c>
      <c r="W10" s="186">
        <f t="shared" si="0"/>
        <v>0</v>
      </c>
      <c r="X10" s="186">
        <f t="shared" si="0"/>
        <v>0</v>
      </c>
      <c r="Y10" s="186">
        <f t="shared" si="0"/>
        <v>0</v>
      </c>
      <c r="Z10" s="186">
        <f t="shared" si="0"/>
        <v>86</v>
      </c>
      <c r="AA10" s="186">
        <f t="shared" si="0"/>
        <v>0</v>
      </c>
      <c r="AB10" s="186">
        <f t="shared" si="0"/>
        <v>50</v>
      </c>
      <c r="AC10" s="186">
        <f t="shared" si="0"/>
        <v>0</v>
      </c>
      <c r="AD10" s="186">
        <f t="shared" si="0"/>
        <v>34</v>
      </c>
      <c r="AE10" s="186">
        <f t="shared" si="0"/>
        <v>1791</v>
      </c>
      <c r="AF10" s="186">
        <f t="shared" si="0"/>
        <v>19</v>
      </c>
      <c r="AG10" s="186">
        <f t="shared" si="0"/>
        <v>1403</v>
      </c>
      <c r="AH10" s="186">
        <f t="shared" si="0"/>
        <v>120</v>
      </c>
      <c r="AI10" s="186">
        <f t="shared" si="0"/>
        <v>1791</v>
      </c>
      <c r="AJ10" s="186">
        <f t="shared" si="0"/>
        <v>69</v>
      </c>
      <c r="AK10" s="186">
        <f t="shared" si="0"/>
        <v>1403</v>
      </c>
    </row>
    <row r="11" spans="1:37" s="81" customFormat="1" ht="20.100000000000001" customHeight="1">
      <c r="A11" s="168" t="s">
        <v>9</v>
      </c>
      <c r="B11" s="168" t="s">
        <v>9</v>
      </c>
      <c r="C11" s="168" t="s">
        <v>5</v>
      </c>
      <c r="D11" s="168" t="s">
        <v>26</v>
      </c>
      <c r="E11" s="168" t="s">
        <v>202</v>
      </c>
      <c r="F11" s="168" t="s">
        <v>119</v>
      </c>
      <c r="G11" s="168" t="s">
        <v>3205</v>
      </c>
      <c r="H11" s="71">
        <v>40669</v>
      </c>
      <c r="I11" s="53" t="s">
        <v>3206</v>
      </c>
      <c r="J11" s="72">
        <v>315</v>
      </c>
      <c r="K11" s="52">
        <v>21980</v>
      </c>
      <c r="L11" s="53" t="s">
        <v>1999</v>
      </c>
      <c r="M11" s="862" t="s">
        <v>1999</v>
      </c>
      <c r="N11" s="54" t="s">
        <v>2000</v>
      </c>
      <c r="O11" s="75"/>
      <c r="P11" s="73"/>
      <c r="Q11" s="73"/>
      <c r="R11" s="73">
        <v>3</v>
      </c>
      <c r="S11" s="137">
        <v>3</v>
      </c>
      <c r="T11" s="898"/>
      <c r="U11" s="73"/>
      <c r="V11" s="73"/>
      <c r="W11" s="73"/>
      <c r="X11" s="73"/>
      <c r="Y11" s="73"/>
      <c r="Z11" s="73"/>
      <c r="AA11" s="73"/>
      <c r="AB11" s="73"/>
      <c r="AC11" s="73"/>
      <c r="AD11" s="73">
        <v>38</v>
      </c>
      <c r="AE11" s="73"/>
      <c r="AF11" s="73">
        <v>18</v>
      </c>
      <c r="AG11" s="73"/>
      <c r="AH11" s="138">
        <f>T11+V11+Z11+AD11</f>
        <v>38</v>
      </c>
      <c r="AI11" s="138">
        <f>W11+AA11+AE11</f>
        <v>0</v>
      </c>
      <c r="AJ11" s="162">
        <f>U11+X11+AB11+AF11</f>
        <v>18</v>
      </c>
      <c r="AK11" s="138">
        <f>Y11+AC11+AG11</f>
        <v>0</v>
      </c>
    </row>
    <row r="12" spans="1:37" s="81" customFormat="1" ht="20.100000000000001" customHeight="1">
      <c r="A12" s="168" t="s">
        <v>218</v>
      </c>
      <c r="B12" s="168" t="s">
        <v>2820</v>
      </c>
      <c r="C12" s="167" t="s">
        <v>5</v>
      </c>
      <c r="D12" s="167" t="s">
        <v>26</v>
      </c>
      <c r="E12" s="167" t="s">
        <v>3207</v>
      </c>
      <c r="F12" s="167" t="s">
        <v>119</v>
      </c>
      <c r="G12" s="168" t="s">
        <v>3208</v>
      </c>
      <c r="H12" s="71">
        <v>37834</v>
      </c>
      <c r="I12" s="53" t="s">
        <v>3209</v>
      </c>
      <c r="J12" s="77" t="s">
        <v>3210</v>
      </c>
      <c r="K12" s="52">
        <v>22314</v>
      </c>
      <c r="L12" s="53" t="s">
        <v>3211</v>
      </c>
      <c r="M12" s="901" t="s">
        <v>3211</v>
      </c>
      <c r="N12" s="902" t="s">
        <v>3212</v>
      </c>
      <c r="O12" s="314">
        <v>1</v>
      </c>
      <c r="P12" s="169">
        <v>6</v>
      </c>
      <c r="Q12" s="169">
        <v>3</v>
      </c>
      <c r="R12" s="169">
        <v>3</v>
      </c>
      <c r="S12" s="800">
        <f t="shared" ref="S12:S13" si="1">SUM(O12:R12)</f>
        <v>13</v>
      </c>
      <c r="T12" s="1208">
        <v>8</v>
      </c>
      <c r="U12" s="1209">
        <v>3</v>
      </c>
      <c r="V12" s="1209">
        <v>129</v>
      </c>
      <c r="W12" s="1209"/>
      <c r="X12" s="1209">
        <v>73</v>
      </c>
      <c r="Y12" s="1209"/>
      <c r="Z12" s="1209">
        <v>93</v>
      </c>
      <c r="AA12" s="1209"/>
      <c r="AB12" s="1210">
        <v>57</v>
      </c>
      <c r="AC12" s="1210"/>
      <c r="AD12" s="1210">
        <v>117</v>
      </c>
      <c r="AE12" s="169"/>
      <c r="AF12" s="169">
        <v>67</v>
      </c>
      <c r="AG12" s="169"/>
      <c r="AH12" s="162">
        <f t="shared" ref="AH12:AH13" si="2">T12+V12+Z12+AD12</f>
        <v>347</v>
      </c>
      <c r="AI12" s="162">
        <f t="shared" ref="AI12:AI13" si="3">W12+AA12+AE12</f>
        <v>0</v>
      </c>
      <c r="AJ12" s="162">
        <f t="shared" ref="AJ12:AJ13" si="4">U12+X12+AB12+AF12</f>
        <v>200</v>
      </c>
      <c r="AK12" s="162">
        <f t="shared" ref="AK12:AK13" si="5">Y12+AC12+AG12</f>
        <v>0</v>
      </c>
    </row>
    <row r="13" spans="1:37" s="81" customFormat="1" ht="20.100000000000001" customHeight="1">
      <c r="A13" s="168" t="s">
        <v>142</v>
      </c>
      <c r="B13" s="168" t="s">
        <v>142</v>
      </c>
      <c r="C13" s="167" t="s">
        <v>5</v>
      </c>
      <c r="D13" s="167" t="s">
        <v>26</v>
      </c>
      <c r="E13" s="167" t="s">
        <v>3207</v>
      </c>
      <c r="F13" s="167" t="s">
        <v>119</v>
      </c>
      <c r="G13" s="168" t="s">
        <v>3213</v>
      </c>
      <c r="H13" s="71">
        <v>40787</v>
      </c>
      <c r="I13" s="53" t="s">
        <v>3214</v>
      </c>
      <c r="J13" s="77">
        <v>46200</v>
      </c>
      <c r="K13" s="52">
        <v>22742</v>
      </c>
      <c r="L13" s="53" t="s">
        <v>3215</v>
      </c>
      <c r="M13" s="862" t="s">
        <v>3215</v>
      </c>
      <c r="N13" s="54" t="s">
        <v>3216</v>
      </c>
      <c r="O13" s="79">
        <v>3</v>
      </c>
      <c r="P13" s="78">
        <v>10</v>
      </c>
      <c r="Q13" s="78">
        <v>7</v>
      </c>
      <c r="R13" s="78">
        <v>20</v>
      </c>
      <c r="S13" s="800">
        <f t="shared" si="1"/>
        <v>40</v>
      </c>
      <c r="T13" s="898">
        <v>29</v>
      </c>
      <c r="U13" s="73">
        <v>17</v>
      </c>
      <c r="V13" s="73">
        <v>142</v>
      </c>
      <c r="W13" s="73"/>
      <c r="X13" s="73">
        <v>82</v>
      </c>
      <c r="Y13" s="73"/>
      <c r="Z13" s="73">
        <v>117</v>
      </c>
      <c r="AA13" s="73"/>
      <c r="AB13" s="73">
        <v>66</v>
      </c>
      <c r="AC13" s="73"/>
      <c r="AD13" s="73">
        <v>267</v>
      </c>
      <c r="AE13" s="73"/>
      <c r="AF13" s="73">
        <v>134</v>
      </c>
      <c r="AG13" s="73"/>
      <c r="AH13" s="162">
        <f t="shared" si="2"/>
        <v>555</v>
      </c>
      <c r="AI13" s="162">
        <f t="shared" si="3"/>
        <v>0</v>
      </c>
      <c r="AJ13" s="162">
        <f t="shared" si="4"/>
        <v>299</v>
      </c>
      <c r="AK13" s="138">
        <f t="shared" si="5"/>
        <v>0</v>
      </c>
    </row>
    <row r="14" spans="1:37" ht="20.100000000000001" customHeight="1">
      <c r="A14" s="1681" t="s">
        <v>404</v>
      </c>
      <c r="B14" s="1682"/>
      <c r="C14" s="1682"/>
      <c r="D14" s="1683"/>
      <c r="E14" s="188">
        <f>COUNTA(E11:E13)</f>
        <v>3</v>
      </c>
      <c r="F14" s="189"/>
      <c r="G14" s="190"/>
      <c r="H14" s="191"/>
      <c r="I14" s="192"/>
      <c r="J14" s="190"/>
      <c r="K14" s="190"/>
      <c r="L14" s="190"/>
      <c r="M14" s="904">
        <f t="shared" ref="M14:AK14" si="6">SUM(M11:M13)</f>
        <v>0</v>
      </c>
      <c r="N14" s="195">
        <f t="shared" si="6"/>
        <v>0</v>
      </c>
      <c r="O14" s="194">
        <f t="shared" si="6"/>
        <v>4</v>
      </c>
      <c r="P14" s="195">
        <f t="shared" si="6"/>
        <v>16</v>
      </c>
      <c r="Q14" s="195">
        <f t="shared" si="6"/>
        <v>10</v>
      </c>
      <c r="R14" s="195">
        <f t="shared" si="6"/>
        <v>26</v>
      </c>
      <c r="S14" s="196">
        <f t="shared" si="6"/>
        <v>56</v>
      </c>
      <c r="T14" s="194">
        <f t="shared" si="6"/>
        <v>37</v>
      </c>
      <c r="U14" s="195">
        <f t="shared" si="6"/>
        <v>20</v>
      </c>
      <c r="V14" s="195">
        <f t="shared" si="6"/>
        <v>271</v>
      </c>
      <c r="W14" s="195">
        <f t="shared" si="6"/>
        <v>0</v>
      </c>
      <c r="X14" s="195">
        <f t="shared" si="6"/>
        <v>155</v>
      </c>
      <c r="Y14" s="195">
        <f t="shared" si="6"/>
        <v>0</v>
      </c>
      <c r="Z14" s="195">
        <f t="shared" si="6"/>
        <v>210</v>
      </c>
      <c r="AA14" s="195">
        <f t="shared" si="6"/>
        <v>0</v>
      </c>
      <c r="AB14" s="195">
        <f t="shared" si="6"/>
        <v>123</v>
      </c>
      <c r="AC14" s="195">
        <f t="shared" si="6"/>
        <v>0</v>
      </c>
      <c r="AD14" s="195">
        <f t="shared" si="6"/>
        <v>422</v>
      </c>
      <c r="AE14" s="195">
        <f t="shared" si="6"/>
        <v>0</v>
      </c>
      <c r="AF14" s="195">
        <f t="shared" si="6"/>
        <v>219</v>
      </c>
      <c r="AG14" s="195">
        <f t="shared" si="6"/>
        <v>0</v>
      </c>
      <c r="AH14" s="195">
        <f t="shared" si="6"/>
        <v>940</v>
      </c>
      <c r="AI14" s="195">
        <f t="shared" si="6"/>
        <v>0</v>
      </c>
      <c r="AJ14" s="195">
        <f t="shared" si="6"/>
        <v>517</v>
      </c>
      <c r="AK14" s="195">
        <f t="shared" si="6"/>
        <v>0</v>
      </c>
    </row>
    <row r="15" spans="1:37" ht="20.100000000000001" customHeight="1">
      <c r="A15" s="1571" t="s">
        <v>402</v>
      </c>
      <c r="B15" s="1572"/>
      <c r="C15" s="1572"/>
      <c r="D15" s="1573"/>
      <c r="E15" s="170">
        <f>E10+E14</f>
        <v>7</v>
      </c>
      <c r="F15" s="905"/>
      <c r="G15" s="905"/>
      <c r="H15" s="905"/>
      <c r="I15" s="906"/>
      <c r="J15" s="240"/>
      <c r="K15" s="907"/>
      <c r="L15" s="240"/>
      <c r="M15" s="908">
        <f t="shared" ref="M15:AK15" si="7">M10+M14</f>
        <v>0</v>
      </c>
      <c r="N15" s="174">
        <f t="shared" si="7"/>
        <v>0</v>
      </c>
      <c r="O15" s="197">
        <f t="shared" si="7"/>
        <v>4</v>
      </c>
      <c r="P15" s="174">
        <f t="shared" si="7"/>
        <v>16</v>
      </c>
      <c r="Q15" s="174">
        <f t="shared" si="7"/>
        <v>20</v>
      </c>
      <c r="R15" s="174">
        <f t="shared" si="7"/>
        <v>47</v>
      </c>
      <c r="S15" s="198">
        <f t="shared" si="7"/>
        <v>87</v>
      </c>
      <c r="T15" s="197">
        <f t="shared" si="7"/>
        <v>37</v>
      </c>
      <c r="U15" s="174">
        <f t="shared" si="7"/>
        <v>20</v>
      </c>
      <c r="V15" s="174">
        <f t="shared" si="7"/>
        <v>271</v>
      </c>
      <c r="W15" s="174">
        <f t="shared" si="7"/>
        <v>0</v>
      </c>
      <c r="X15" s="174">
        <f t="shared" si="7"/>
        <v>155</v>
      </c>
      <c r="Y15" s="174">
        <f t="shared" si="7"/>
        <v>0</v>
      </c>
      <c r="Z15" s="174">
        <f t="shared" si="7"/>
        <v>296</v>
      </c>
      <c r="AA15" s="174">
        <f t="shared" si="7"/>
        <v>0</v>
      </c>
      <c r="AB15" s="174">
        <f t="shared" si="7"/>
        <v>173</v>
      </c>
      <c r="AC15" s="174">
        <f t="shared" si="7"/>
        <v>0</v>
      </c>
      <c r="AD15" s="174">
        <f t="shared" si="7"/>
        <v>456</v>
      </c>
      <c r="AE15" s="174">
        <f t="shared" si="7"/>
        <v>1791</v>
      </c>
      <c r="AF15" s="174">
        <f t="shared" si="7"/>
        <v>238</v>
      </c>
      <c r="AG15" s="174">
        <f t="shared" si="7"/>
        <v>1403</v>
      </c>
      <c r="AH15" s="175">
        <f t="shared" si="7"/>
        <v>1060</v>
      </c>
      <c r="AI15" s="175">
        <f t="shared" si="7"/>
        <v>1791</v>
      </c>
      <c r="AJ15" s="175">
        <f t="shared" si="7"/>
        <v>586</v>
      </c>
      <c r="AK15" s="175">
        <f t="shared" si="7"/>
        <v>1403</v>
      </c>
    </row>
    <row r="16" spans="1:37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9" spans="33:34">
      <c r="AG19" s="793"/>
    </row>
    <row r="20" spans="33:34">
      <c r="AH20" s="793"/>
    </row>
  </sheetData>
  <mergeCells count="29">
    <mergeCell ref="A15:D15"/>
    <mergeCell ref="V4:Y4"/>
    <mergeCell ref="Z4:AC4"/>
    <mergeCell ref="AD4:AG4"/>
    <mergeCell ref="J3:J5"/>
    <mergeCell ref="K3:K5"/>
    <mergeCell ref="L3:L5"/>
    <mergeCell ref="A3:A5"/>
    <mergeCell ref="B3:B5"/>
    <mergeCell ref="C3:C5"/>
    <mergeCell ref="D3:D5"/>
    <mergeCell ref="E3:E5"/>
    <mergeCell ref="F3:F5"/>
    <mergeCell ref="AH4:AK4"/>
    <mergeCell ref="A10:D10"/>
    <mergeCell ref="A14:D14"/>
    <mergeCell ref="M3:M5"/>
    <mergeCell ref="N3:N5"/>
    <mergeCell ref="O3:S3"/>
    <mergeCell ref="T3:AK3"/>
    <mergeCell ref="O4:O5"/>
    <mergeCell ref="P4:P5"/>
    <mergeCell ref="Q4:Q5"/>
    <mergeCell ref="R4:R5"/>
    <mergeCell ref="S4:S5"/>
    <mergeCell ref="T4:U4"/>
    <mergeCell ref="G3:G5"/>
    <mergeCell ref="H3:H5"/>
    <mergeCell ref="I3:I5"/>
  </mergeCells>
  <phoneticPr fontId="16" type="noConversion"/>
  <dataValidations count="6">
    <dataValidation type="list" allowBlank="1" showInputMessage="1" showErrorMessage="1" sqref="C6:C15" xr:uid="{FB12C684-EF0F-4306-8A3B-4631B8287A34}">
      <formula1>"국립,공립,사립"</formula1>
    </dataValidation>
    <dataValidation type="list" allowBlank="1" showInputMessage="1" showErrorMessage="1" sqref="A6:A15" xr:uid="{22BDDE33-4B8C-4304-8B08-1D16B4593EA1}">
      <formula1>"미추홀구,동구,옹진군,중구,부평구,계양구,남동구,연수구,서구,강화군"</formula1>
    </dataValidation>
    <dataValidation type="list" allowBlank="1" showInputMessage="1" showErrorMessage="1" sqref="B6:B15" xr:uid="{129BED5F-D8DE-4362-9941-46548FBAFCE7}">
      <formula1>"미추홀구,제물포구,영종구,옹진군,부평구,계양구,남동구,연수구,서구,검단구,강화군"</formula1>
    </dataValidation>
    <dataValidation type="list" allowBlank="1" showInputMessage="1" showErrorMessage="1" sqref="F6:F15" xr:uid="{AA545CFB-87F7-4787-B7B6-29C705482553}">
      <formula1>"주간,야간,주간/야간"</formula1>
    </dataValidation>
    <dataValidation type="list" allowBlank="1" showInputMessage="1" showErrorMessage="1" sqref="E6:E15" xr:uid="{3AD1AB66-F6CD-42DD-8743-81FB67B30B13}">
      <formula1>"각종,대안,외국인"</formula1>
    </dataValidation>
    <dataValidation type="list" allowBlank="1" showInputMessage="1" showErrorMessage="1" sqref="D6:D15" xr:uid="{462384DF-AD13-4ACE-9AB5-2B50698C4DBA}">
      <formula1>"남,여,공학"</formula1>
    </dataValidation>
  </dataValidations>
  <pageMargins left="0.23622047244094491" right="0.23622047244094491" top="0.74803149606299213" bottom="0.74803149606299213" header="0.31496062992125984" footer="0.31496062992125984"/>
  <pageSetup paperSize="9" scale="77" fitToWidth="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FE0F-588C-448C-AE78-B5279E764591}">
  <sheetPr>
    <pageSetUpPr fitToPage="1"/>
  </sheetPr>
  <dimension ref="A1:AA9"/>
  <sheetViews>
    <sheetView zoomScaleNormal="100" workbookViewId="0">
      <selection activeCell="D1" sqref="D1"/>
    </sheetView>
  </sheetViews>
  <sheetFormatPr defaultRowHeight="16.5"/>
  <cols>
    <col min="1" max="3" width="9.625" customWidth="1"/>
    <col min="4" max="4" width="15.625" customWidth="1"/>
    <col min="5" max="5" width="10.625" customWidth="1"/>
    <col min="6" max="6" width="26.625" customWidth="1"/>
    <col min="7" max="7" width="11.125" customWidth="1"/>
    <col min="8" max="11" width="8.625" customWidth="1"/>
    <col min="12" max="27" width="7.625" customWidth="1"/>
  </cols>
  <sheetData>
    <row r="1" spans="1:27" s="23" customFormat="1" ht="26.25">
      <c r="A1" s="10" t="s">
        <v>3225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3" customFormat="1" ht="20.100000000000001" customHeight="1">
      <c r="A2" s="848" t="s">
        <v>3243</v>
      </c>
      <c r="B2" s="12"/>
      <c r="C2" s="12"/>
      <c r="D2" s="12"/>
      <c r="E2" s="849"/>
      <c r="F2" s="850"/>
      <c r="G2" s="850"/>
      <c r="H2" s="850"/>
      <c r="I2" s="850"/>
      <c r="J2" s="851"/>
      <c r="K2" s="851"/>
      <c r="L2" s="850"/>
      <c r="M2" s="850"/>
      <c r="N2" s="852"/>
      <c r="O2" s="852"/>
      <c r="P2" s="852"/>
      <c r="Q2" s="852"/>
      <c r="R2" s="852"/>
      <c r="S2" s="852"/>
      <c r="T2" s="852"/>
      <c r="U2" s="12"/>
      <c r="V2" s="30"/>
      <c r="W2" s="12"/>
      <c r="X2" s="12"/>
      <c r="Y2" s="12"/>
      <c r="Z2" s="12"/>
      <c r="AA2" s="12"/>
    </row>
    <row r="3" spans="1:27" ht="18" customHeight="1">
      <c r="A3" s="1638" t="s">
        <v>11</v>
      </c>
      <c r="B3" s="1636" t="s">
        <v>113</v>
      </c>
      <c r="C3" s="1636" t="s">
        <v>114</v>
      </c>
      <c r="D3" s="1631" t="s">
        <v>12</v>
      </c>
      <c r="E3" s="1631" t="s">
        <v>13</v>
      </c>
      <c r="F3" s="1631" t="s">
        <v>14</v>
      </c>
      <c r="G3" s="1638" t="s">
        <v>101</v>
      </c>
      <c r="H3" s="1631" t="s">
        <v>15</v>
      </c>
      <c r="I3" s="1636" t="s">
        <v>16</v>
      </c>
      <c r="J3" s="1636" t="s">
        <v>77</v>
      </c>
      <c r="K3" s="1768" t="s">
        <v>151</v>
      </c>
      <c r="L3" s="1770" t="s">
        <v>35</v>
      </c>
      <c r="M3" s="1636"/>
      <c r="N3" s="1636"/>
      <c r="O3" s="1636"/>
      <c r="P3" s="1768"/>
      <c r="Q3" s="1770" t="s">
        <v>36</v>
      </c>
      <c r="R3" s="1636"/>
      <c r="S3" s="1636"/>
      <c r="T3" s="1636"/>
      <c r="U3" s="1636"/>
      <c r="V3" s="1636"/>
      <c r="W3" s="1636"/>
      <c r="X3" s="1636"/>
      <c r="Y3" s="1636"/>
      <c r="Z3" s="1768"/>
      <c r="AA3" s="1644" t="s">
        <v>3226</v>
      </c>
    </row>
    <row r="4" spans="1:27" ht="18" customHeight="1">
      <c r="A4" s="1639"/>
      <c r="B4" s="1636"/>
      <c r="C4" s="1631"/>
      <c r="D4" s="1631"/>
      <c r="E4" s="1631"/>
      <c r="F4" s="1631"/>
      <c r="G4" s="1639"/>
      <c r="H4" s="1631"/>
      <c r="I4" s="1636"/>
      <c r="J4" s="1636"/>
      <c r="K4" s="1768"/>
      <c r="L4" s="1770" t="s">
        <v>48</v>
      </c>
      <c r="M4" s="1774" t="s">
        <v>45</v>
      </c>
      <c r="N4" s="1636" t="s">
        <v>46</v>
      </c>
      <c r="O4" s="1774" t="s">
        <v>47</v>
      </c>
      <c r="P4" s="1777" t="s">
        <v>41</v>
      </c>
      <c r="Q4" s="1770" t="s">
        <v>37</v>
      </c>
      <c r="R4" s="1636"/>
      <c r="S4" s="1636" t="s">
        <v>38</v>
      </c>
      <c r="T4" s="1636"/>
      <c r="U4" s="1636" t="s">
        <v>39</v>
      </c>
      <c r="V4" s="1636"/>
      <c r="W4" s="1636" t="s">
        <v>40</v>
      </c>
      <c r="X4" s="1636"/>
      <c r="Y4" s="1782" t="s">
        <v>42</v>
      </c>
      <c r="Z4" s="1777"/>
      <c r="AA4" s="1644"/>
    </row>
    <row r="5" spans="1:27" ht="18" customHeight="1" thickBot="1">
      <c r="A5" s="1640"/>
      <c r="B5" s="1637"/>
      <c r="C5" s="1637"/>
      <c r="D5" s="1637"/>
      <c r="E5" s="1637"/>
      <c r="F5" s="1637"/>
      <c r="G5" s="1640"/>
      <c r="H5" s="1637"/>
      <c r="I5" s="1637"/>
      <c r="J5" s="1637"/>
      <c r="K5" s="1769"/>
      <c r="L5" s="1773"/>
      <c r="M5" s="1775"/>
      <c r="N5" s="1776"/>
      <c r="O5" s="1775"/>
      <c r="P5" s="1778"/>
      <c r="Q5" s="814" t="s">
        <v>41</v>
      </c>
      <c r="R5" s="817" t="s">
        <v>43</v>
      </c>
      <c r="S5" s="817" t="s">
        <v>41</v>
      </c>
      <c r="T5" s="817" t="s">
        <v>43</v>
      </c>
      <c r="U5" s="817" t="s">
        <v>41</v>
      </c>
      <c r="V5" s="817" t="s">
        <v>43</v>
      </c>
      <c r="W5" s="817" t="s">
        <v>41</v>
      </c>
      <c r="X5" s="817" t="s">
        <v>43</v>
      </c>
      <c r="Y5" s="148" t="s">
        <v>41</v>
      </c>
      <c r="Z5" s="816" t="s">
        <v>43</v>
      </c>
      <c r="AA5" s="1645"/>
    </row>
    <row r="6" spans="1:27" s="81" customFormat="1" ht="20.100000000000001" customHeight="1" thickTop="1">
      <c r="A6" s="139" t="s">
        <v>5</v>
      </c>
      <c r="B6" s="139" t="s">
        <v>26</v>
      </c>
      <c r="C6" s="139" t="s">
        <v>44</v>
      </c>
      <c r="D6" s="139" t="s">
        <v>390</v>
      </c>
      <c r="E6" s="757">
        <v>40428</v>
      </c>
      <c r="F6" s="756" t="s">
        <v>3227</v>
      </c>
      <c r="G6" s="913">
        <v>71403</v>
      </c>
      <c r="H6" s="758">
        <v>22002</v>
      </c>
      <c r="I6" s="756" t="s">
        <v>391</v>
      </c>
      <c r="J6" s="756" t="s">
        <v>391</v>
      </c>
      <c r="K6" s="759" t="s">
        <v>392</v>
      </c>
      <c r="L6" s="146">
        <v>7</v>
      </c>
      <c r="M6" s="147">
        <v>27</v>
      </c>
      <c r="N6" s="147">
        <v>16</v>
      </c>
      <c r="O6" s="147">
        <v>16</v>
      </c>
      <c r="P6" s="696">
        <f>SUM(L6:O6)</f>
        <v>66</v>
      </c>
      <c r="Q6" s="146">
        <v>117</v>
      </c>
      <c r="R6" s="147">
        <v>59</v>
      </c>
      <c r="S6" s="147">
        <v>550</v>
      </c>
      <c r="T6" s="147">
        <v>272</v>
      </c>
      <c r="U6" s="147">
        <v>364</v>
      </c>
      <c r="V6" s="147">
        <v>186</v>
      </c>
      <c r="W6" s="147">
        <v>425</v>
      </c>
      <c r="X6" s="147">
        <v>227</v>
      </c>
      <c r="Y6" s="697">
        <f>Q6+S6+U6+W6</f>
        <v>1456</v>
      </c>
      <c r="Z6" s="696">
        <f>R6+T6+V6+X6</f>
        <v>744</v>
      </c>
      <c r="AA6" s="914"/>
    </row>
    <row r="7" spans="1:27" s="81" customFormat="1" ht="20.100000000000001" customHeight="1">
      <c r="A7" s="168" t="s">
        <v>5</v>
      </c>
      <c r="B7" s="168" t="s">
        <v>26</v>
      </c>
      <c r="C7" s="168" t="s">
        <v>44</v>
      </c>
      <c r="D7" s="168" t="s">
        <v>3228</v>
      </c>
      <c r="E7" s="71">
        <v>45170</v>
      </c>
      <c r="F7" s="53" t="s">
        <v>3229</v>
      </c>
      <c r="G7" s="72">
        <v>15577</v>
      </c>
      <c r="H7" s="52">
        <v>22000</v>
      </c>
      <c r="I7" s="53" t="s">
        <v>3230</v>
      </c>
      <c r="J7" s="53" t="s">
        <v>3230</v>
      </c>
      <c r="K7" s="54" t="s">
        <v>3231</v>
      </c>
      <c r="L7" s="311">
        <v>2</v>
      </c>
      <c r="M7" s="162">
        <v>16</v>
      </c>
      <c r="N7" s="162">
        <v>7</v>
      </c>
      <c r="O7" s="162">
        <v>6</v>
      </c>
      <c r="P7" s="137">
        <f>SUM(L7:O7)</f>
        <v>31</v>
      </c>
      <c r="Q7" s="311">
        <v>35</v>
      </c>
      <c r="R7" s="162">
        <v>18</v>
      </c>
      <c r="S7" s="162">
        <v>274</v>
      </c>
      <c r="T7" s="162">
        <v>143</v>
      </c>
      <c r="U7" s="162">
        <v>120</v>
      </c>
      <c r="V7" s="162">
        <v>52</v>
      </c>
      <c r="W7" s="162">
        <v>75</v>
      </c>
      <c r="X7" s="162">
        <v>38</v>
      </c>
      <c r="Y7" s="138">
        <f>Q7+S7+U7+W7</f>
        <v>504</v>
      </c>
      <c r="Z7" s="137">
        <f>R7+T7+V7+X7</f>
        <v>251</v>
      </c>
      <c r="AA7" s="915"/>
    </row>
    <row r="8" spans="1:27" ht="20.100000000000001" customHeight="1">
      <c r="A8" s="1571" t="s">
        <v>402</v>
      </c>
      <c r="B8" s="1572"/>
      <c r="C8" s="1572"/>
      <c r="D8" s="170">
        <f>COUNTA(D6:D7)</f>
        <v>2</v>
      </c>
      <c r="E8" s="176"/>
      <c r="F8" s="905"/>
      <c r="G8" s="905"/>
      <c r="H8" s="905"/>
      <c r="I8" s="906"/>
      <c r="J8" s="240"/>
      <c r="K8" s="243"/>
      <c r="L8" s="177">
        <f t="shared" ref="L8:Z8" si="0">SUM(L6:L7)</f>
        <v>9</v>
      </c>
      <c r="M8" s="171">
        <f t="shared" si="0"/>
        <v>43</v>
      </c>
      <c r="N8" s="171">
        <f t="shared" si="0"/>
        <v>23</v>
      </c>
      <c r="O8" s="171">
        <f t="shared" si="0"/>
        <v>22</v>
      </c>
      <c r="P8" s="173">
        <f t="shared" si="0"/>
        <v>97</v>
      </c>
      <c r="Q8" s="178">
        <f t="shared" si="0"/>
        <v>152</v>
      </c>
      <c r="R8" s="171">
        <f t="shared" si="0"/>
        <v>77</v>
      </c>
      <c r="S8" s="171">
        <f t="shared" si="0"/>
        <v>824</v>
      </c>
      <c r="T8" s="171">
        <f t="shared" si="0"/>
        <v>415</v>
      </c>
      <c r="U8" s="171">
        <f t="shared" si="0"/>
        <v>484</v>
      </c>
      <c r="V8" s="171">
        <f t="shared" si="0"/>
        <v>238</v>
      </c>
      <c r="W8" s="171">
        <f t="shared" si="0"/>
        <v>500</v>
      </c>
      <c r="X8" s="171">
        <f t="shared" si="0"/>
        <v>265</v>
      </c>
      <c r="Y8" s="172">
        <f t="shared" si="0"/>
        <v>1960</v>
      </c>
      <c r="Z8" s="172">
        <f t="shared" si="0"/>
        <v>995</v>
      </c>
      <c r="AA8" s="915"/>
    </row>
    <row r="9" spans="1:27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</sheetData>
  <mergeCells count="25">
    <mergeCell ref="J3:J5"/>
    <mergeCell ref="K3:K5"/>
    <mergeCell ref="L3:P3"/>
    <mergeCell ref="A3:A5"/>
    <mergeCell ref="B3:B5"/>
    <mergeCell ref="C3:C5"/>
    <mergeCell ref="D3:D5"/>
    <mergeCell ref="E3:E5"/>
    <mergeCell ref="F3:F5"/>
    <mergeCell ref="W4:X4"/>
    <mergeCell ref="Y4:Z4"/>
    <mergeCell ref="A8:C8"/>
    <mergeCell ref="Q3:Z3"/>
    <mergeCell ref="AA3:AA5"/>
    <mergeCell ref="L4:L5"/>
    <mergeCell ref="M4:M5"/>
    <mergeCell ref="N4:N5"/>
    <mergeCell ref="O4:O5"/>
    <mergeCell ref="P4:P5"/>
    <mergeCell ref="Q4:R4"/>
    <mergeCell ref="S4:T4"/>
    <mergeCell ref="U4:V4"/>
    <mergeCell ref="G3:G5"/>
    <mergeCell ref="H3:H5"/>
    <mergeCell ref="I3:I5"/>
  </mergeCells>
  <phoneticPr fontId="16" type="noConversion"/>
  <dataValidations count="3">
    <dataValidation type="list" allowBlank="1" showInputMessage="1" showErrorMessage="1" sqref="A6:A8" xr:uid="{BCD08523-6C57-4A60-88DE-00559A8121B9}">
      <formula1>"국립,공립,사립"</formula1>
    </dataValidation>
    <dataValidation type="list" allowBlank="1" showInputMessage="1" showErrorMessage="1" sqref="B6:B8" xr:uid="{9C3B498B-0E50-4F76-8860-670C405EADAB}">
      <formula1>"남,여,공학"</formula1>
    </dataValidation>
    <dataValidation type="list" allowBlank="1" showInputMessage="1" showErrorMessage="1" sqref="C6:C8" xr:uid="{8CBF4B43-EF81-4B42-A1DB-4DF775BC4767}">
      <formula1>"주간,야간,주간/야간"</formula1>
    </dataValidation>
  </dataValidations>
  <pageMargins left="0.25" right="0.25" top="0.75" bottom="0.75" header="0.3" footer="0.3"/>
  <pageSetup paperSize="9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7936-3ED6-4ED3-810C-BDC6A067CD17}">
  <dimension ref="A1:Y11"/>
  <sheetViews>
    <sheetView workbookViewId="0">
      <selection activeCell="B1" sqref="B1"/>
    </sheetView>
  </sheetViews>
  <sheetFormatPr defaultColWidth="9" defaultRowHeight="18" customHeight="1"/>
  <cols>
    <col min="1" max="1" width="9.625" style="13" customWidth="1"/>
    <col min="2" max="2" width="13.25" customWidth="1"/>
    <col min="3" max="4" width="9.625" style="13" customWidth="1"/>
    <col min="5" max="5" width="28.625" style="13" bestFit="1" customWidth="1"/>
    <col min="6" max="6" width="10.625" style="13" customWidth="1"/>
    <col min="7" max="7" width="26.625" style="13" customWidth="1"/>
    <col min="8" max="8" width="11.125" style="912" customWidth="1"/>
    <col min="9" max="12" width="8.625" style="13" customWidth="1"/>
    <col min="13" max="25" width="7.625" style="13" customWidth="1"/>
    <col min="26" max="16384" width="9" style="13"/>
  </cols>
  <sheetData>
    <row r="1" spans="1:25" s="33" customFormat="1" ht="26.25">
      <c r="A1" s="32" t="s">
        <v>121</v>
      </c>
      <c r="B1" s="10"/>
      <c r="C1" s="32"/>
      <c r="D1" s="32"/>
      <c r="E1" s="31"/>
      <c r="F1" s="32"/>
      <c r="G1" s="32"/>
      <c r="H1" s="90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s="15" customFormat="1" ht="20.100000000000001" customHeight="1">
      <c r="A2" s="910" t="s">
        <v>3244</v>
      </c>
      <c r="B2" s="12"/>
      <c r="C2" s="910"/>
      <c r="D2" s="910"/>
      <c r="E2" s="34"/>
      <c r="F2" s="35"/>
      <c r="G2" s="35"/>
      <c r="H2" s="911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s="14" customFormat="1" ht="17.25" customHeight="1">
      <c r="A3" s="1784" t="s">
        <v>106</v>
      </c>
      <c r="B3" s="1695" t="s">
        <v>3217</v>
      </c>
      <c r="C3" s="1784" t="s">
        <v>107</v>
      </c>
      <c r="D3" s="1794" t="s">
        <v>113</v>
      </c>
      <c r="E3" s="1784" t="s">
        <v>108</v>
      </c>
      <c r="F3" s="1784" t="s">
        <v>109</v>
      </c>
      <c r="G3" s="1784" t="s">
        <v>110</v>
      </c>
      <c r="H3" s="1794" t="s">
        <v>101</v>
      </c>
      <c r="I3" s="1784" t="s">
        <v>111</v>
      </c>
      <c r="J3" s="1797" t="s">
        <v>135</v>
      </c>
      <c r="K3" s="1797" t="s">
        <v>77</v>
      </c>
      <c r="L3" s="1790" t="s">
        <v>151</v>
      </c>
      <c r="M3" s="1783" t="s">
        <v>35</v>
      </c>
      <c r="N3" s="1784"/>
      <c r="O3" s="1784"/>
      <c r="P3" s="1785"/>
      <c r="Q3" s="1783" t="s">
        <v>99</v>
      </c>
      <c r="R3" s="1784"/>
      <c r="S3" s="1784"/>
      <c r="T3" s="1784"/>
      <c r="U3" s="1784"/>
      <c r="V3" s="1784"/>
      <c r="W3" s="1784"/>
      <c r="X3" s="1785"/>
      <c r="Y3" s="1786" t="s">
        <v>0</v>
      </c>
    </row>
    <row r="4" spans="1:25" s="14" customFormat="1" ht="17.25" customHeight="1">
      <c r="A4" s="1784"/>
      <c r="B4" s="1639"/>
      <c r="C4" s="1784"/>
      <c r="D4" s="1795"/>
      <c r="E4" s="1784"/>
      <c r="F4" s="1784"/>
      <c r="G4" s="1784"/>
      <c r="H4" s="1795"/>
      <c r="I4" s="1784"/>
      <c r="J4" s="1784"/>
      <c r="K4" s="1784"/>
      <c r="L4" s="1791"/>
      <c r="M4" s="1783"/>
      <c r="N4" s="1784"/>
      <c r="O4" s="1784"/>
      <c r="P4" s="1785"/>
      <c r="Q4" s="1783" t="s">
        <v>17</v>
      </c>
      <c r="R4" s="1784"/>
      <c r="S4" s="1784" t="s">
        <v>18</v>
      </c>
      <c r="T4" s="1784"/>
      <c r="U4" s="1784" t="s">
        <v>19</v>
      </c>
      <c r="V4" s="1784"/>
      <c r="W4" s="1788" t="s">
        <v>6</v>
      </c>
      <c r="X4" s="1789"/>
      <c r="Y4" s="1786"/>
    </row>
    <row r="5" spans="1:25" s="14" customFormat="1" ht="17.25" customHeight="1" thickBot="1">
      <c r="A5" s="1793"/>
      <c r="B5" s="1640"/>
      <c r="C5" s="1793"/>
      <c r="D5" s="1796"/>
      <c r="E5" s="1793"/>
      <c r="F5" s="1793"/>
      <c r="G5" s="1793"/>
      <c r="H5" s="1796"/>
      <c r="I5" s="1793"/>
      <c r="J5" s="1793"/>
      <c r="K5" s="1793"/>
      <c r="L5" s="1792"/>
      <c r="M5" s="47" t="s">
        <v>17</v>
      </c>
      <c r="N5" s="818" t="s">
        <v>18</v>
      </c>
      <c r="O5" s="818" t="s">
        <v>19</v>
      </c>
      <c r="P5" s="149" t="s">
        <v>1</v>
      </c>
      <c r="Q5" s="47" t="s">
        <v>1</v>
      </c>
      <c r="R5" s="818" t="s">
        <v>24</v>
      </c>
      <c r="S5" s="818" t="s">
        <v>1</v>
      </c>
      <c r="T5" s="818" t="s">
        <v>24</v>
      </c>
      <c r="U5" s="818" t="s">
        <v>1</v>
      </c>
      <c r="V5" s="818" t="s">
        <v>24</v>
      </c>
      <c r="W5" s="150" t="s">
        <v>1</v>
      </c>
      <c r="X5" s="149" t="s">
        <v>24</v>
      </c>
      <c r="Y5" s="1787"/>
    </row>
    <row r="6" spans="1:25" s="15" customFormat="1" ht="20.100000000000001" customHeight="1" thickTop="1">
      <c r="A6" s="127" t="s">
        <v>89</v>
      </c>
      <c r="B6" s="168" t="s">
        <v>8</v>
      </c>
      <c r="C6" s="127" t="s">
        <v>4</v>
      </c>
      <c r="D6" s="127" t="s">
        <v>26</v>
      </c>
      <c r="E6" s="127" t="s">
        <v>393</v>
      </c>
      <c r="F6" s="82">
        <v>42434</v>
      </c>
      <c r="G6" s="50" t="s">
        <v>394</v>
      </c>
      <c r="H6" s="83">
        <v>11227</v>
      </c>
      <c r="I6" s="844">
        <v>21570</v>
      </c>
      <c r="J6" s="50" t="s">
        <v>395</v>
      </c>
      <c r="K6" s="50" t="s">
        <v>396</v>
      </c>
      <c r="L6" s="85" t="s">
        <v>397</v>
      </c>
      <c r="M6" s="86">
        <v>2</v>
      </c>
      <c r="N6" s="87">
        <v>2</v>
      </c>
      <c r="O6" s="87">
        <v>2</v>
      </c>
      <c r="P6" s="135">
        <f>SUM(M6:O6)</f>
        <v>6</v>
      </c>
      <c r="Q6" s="86">
        <v>52</v>
      </c>
      <c r="R6" s="87">
        <v>46</v>
      </c>
      <c r="S6" s="87">
        <v>32</v>
      </c>
      <c r="T6" s="87">
        <v>30</v>
      </c>
      <c r="U6" s="87">
        <v>51</v>
      </c>
      <c r="V6" s="87">
        <v>47</v>
      </c>
      <c r="W6" s="136">
        <f>Q6+S6+U6</f>
        <v>135</v>
      </c>
      <c r="X6" s="135">
        <f>R6+T6+V6</f>
        <v>123</v>
      </c>
      <c r="Y6" s="89"/>
    </row>
    <row r="7" spans="1:25" s="15" customFormat="1" ht="20.100000000000001" customHeight="1">
      <c r="A7" s="94" t="s">
        <v>9</v>
      </c>
      <c r="B7" s="168" t="s">
        <v>9</v>
      </c>
      <c r="C7" s="127" t="s">
        <v>4</v>
      </c>
      <c r="D7" s="94" t="s">
        <v>24</v>
      </c>
      <c r="E7" s="94" t="s">
        <v>3218</v>
      </c>
      <c r="F7" s="82">
        <v>27778</v>
      </c>
      <c r="G7" s="50" t="s">
        <v>3219</v>
      </c>
      <c r="H7" s="126">
        <v>15084.7</v>
      </c>
      <c r="I7" s="84">
        <v>21936</v>
      </c>
      <c r="J7" s="50" t="s">
        <v>3220</v>
      </c>
      <c r="K7" s="50" t="s">
        <v>3221</v>
      </c>
      <c r="L7" s="85" t="s">
        <v>3064</v>
      </c>
      <c r="M7" s="90">
        <v>4</v>
      </c>
      <c r="N7" s="91">
        <v>4</v>
      </c>
      <c r="O7" s="91">
        <v>4</v>
      </c>
      <c r="P7" s="135">
        <f>SUM(M7:O7)</f>
        <v>12</v>
      </c>
      <c r="Q7" s="90">
        <v>90</v>
      </c>
      <c r="R7" s="91">
        <v>90</v>
      </c>
      <c r="S7" s="91">
        <v>83</v>
      </c>
      <c r="T7" s="91">
        <v>83</v>
      </c>
      <c r="U7" s="91">
        <v>85</v>
      </c>
      <c r="V7" s="91">
        <v>85</v>
      </c>
      <c r="W7" s="136">
        <f>Q7+S7+U7</f>
        <v>258</v>
      </c>
      <c r="X7" s="135">
        <f t="shared" ref="X7:X8" si="0">R7+T7+V7</f>
        <v>258</v>
      </c>
      <c r="Y7" s="93"/>
    </row>
    <row r="8" spans="1:25" s="15" customFormat="1" ht="20.100000000000001" customHeight="1">
      <c r="A8" s="94" t="s">
        <v>1906</v>
      </c>
      <c r="B8" s="168" t="s">
        <v>2820</v>
      </c>
      <c r="C8" s="127" t="s">
        <v>4</v>
      </c>
      <c r="D8" s="94" t="s">
        <v>26</v>
      </c>
      <c r="E8" s="94" t="s">
        <v>3222</v>
      </c>
      <c r="F8" s="82">
        <v>27469</v>
      </c>
      <c r="G8" s="50" t="s">
        <v>3223</v>
      </c>
      <c r="H8" s="128">
        <v>57963.3</v>
      </c>
      <c r="I8" s="84">
        <v>22310</v>
      </c>
      <c r="J8" s="50" t="s">
        <v>278</v>
      </c>
      <c r="K8" s="50" t="s">
        <v>279</v>
      </c>
      <c r="L8" s="85" t="s">
        <v>3224</v>
      </c>
      <c r="M8" s="90">
        <v>2</v>
      </c>
      <c r="N8" s="91">
        <v>2</v>
      </c>
      <c r="O8" s="91">
        <v>2</v>
      </c>
      <c r="P8" s="135">
        <v>6</v>
      </c>
      <c r="Q8" s="90">
        <v>40</v>
      </c>
      <c r="R8" s="91">
        <v>13</v>
      </c>
      <c r="S8" s="91">
        <v>49</v>
      </c>
      <c r="T8" s="91">
        <v>29</v>
      </c>
      <c r="U8" s="91">
        <v>49</v>
      </c>
      <c r="V8" s="91">
        <v>22</v>
      </c>
      <c r="W8" s="136">
        <f>Q8+S8+U8</f>
        <v>138</v>
      </c>
      <c r="X8" s="135">
        <f t="shared" si="0"/>
        <v>64</v>
      </c>
      <c r="Y8" s="93"/>
    </row>
    <row r="9" spans="1:25" ht="20.100000000000001" customHeight="1">
      <c r="A9" s="1571" t="s">
        <v>402</v>
      </c>
      <c r="B9" s="1572"/>
      <c r="C9" s="1572"/>
      <c r="D9" s="170">
        <f>COUNTA(D6:D8)</f>
        <v>3</v>
      </c>
      <c r="E9" s="176"/>
      <c r="F9" s="905"/>
      <c r="G9" s="905"/>
      <c r="H9" s="905"/>
      <c r="I9" s="906"/>
      <c r="J9" s="240"/>
      <c r="K9" s="243"/>
      <c r="L9" s="243"/>
      <c r="M9" s="177">
        <f>SUM(M6:M8)</f>
        <v>8</v>
      </c>
      <c r="N9" s="177">
        <f t="shared" ref="N9:O9" si="1">SUM(N6:N8)</f>
        <v>8</v>
      </c>
      <c r="O9" s="177">
        <f t="shared" si="1"/>
        <v>8</v>
      </c>
      <c r="P9" s="173">
        <f>SUM(P6:P8)</f>
        <v>24</v>
      </c>
      <c r="Q9" s="178">
        <f>SUM(Q6:Q8)</f>
        <v>182</v>
      </c>
      <c r="R9" s="178">
        <f t="shared" ref="R9:V9" si="2">SUM(R6:R8)</f>
        <v>149</v>
      </c>
      <c r="S9" s="178">
        <f t="shared" si="2"/>
        <v>164</v>
      </c>
      <c r="T9" s="178">
        <f t="shared" si="2"/>
        <v>142</v>
      </c>
      <c r="U9" s="178">
        <f t="shared" si="2"/>
        <v>185</v>
      </c>
      <c r="V9" s="178">
        <f t="shared" si="2"/>
        <v>154</v>
      </c>
      <c r="W9" s="172">
        <f>SUM(W6:W8)</f>
        <v>531</v>
      </c>
      <c r="X9" s="172">
        <f>SUM(X6:X8)</f>
        <v>445</v>
      </c>
      <c r="Y9" s="693"/>
    </row>
    <row r="10" spans="1:25" ht="16.5" customHeight="1"/>
    <row r="11" spans="1:25" ht="18" customHeight="1">
      <c r="B11" s="14"/>
    </row>
  </sheetData>
  <mergeCells count="20">
    <mergeCell ref="C3:C5"/>
    <mergeCell ref="D3:D5"/>
    <mergeCell ref="E3:E5"/>
    <mergeCell ref="F3:F5"/>
    <mergeCell ref="A9:C9"/>
    <mergeCell ref="M3:P4"/>
    <mergeCell ref="Q3:X3"/>
    <mergeCell ref="Y3:Y5"/>
    <mergeCell ref="Q4:R4"/>
    <mergeCell ref="S4:T4"/>
    <mergeCell ref="U4:V4"/>
    <mergeCell ref="W4:X4"/>
    <mergeCell ref="L3:L5"/>
    <mergeCell ref="A3:A5"/>
    <mergeCell ref="B3:B5"/>
    <mergeCell ref="G3:G5"/>
    <mergeCell ref="H3:H5"/>
    <mergeCell ref="I3:I5"/>
    <mergeCell ref="J3:J5"/>
    <mergeCell ref="K3:K5"/>
  </mergeCells>
  <phoneticPr fontId="16" type="noConversion"/>
  <dataValidations count="4">
    <dataValidation type="list" allowBlank="1" showInputMessage="1" showErrorMessage="1" sqref="C6:C9" xr:uid="{7DF1D2FD-F2E8-42E2-9433-54421B64483D}">
      <formula1>"국립,공립,사립"</formula1>
    </dataValidation>
    <dataValidation type="list" allowBlank="1" showInputMessage="1" showErrorMessage="1" sqref="D6:D9" xr:uid="{1A606982-4F30-47B4-A526-1C40D4FF47E7}">
      <formula1>"남,여,공학"</formula1>
    </dataValidation>
    <dataValidation type="list" allowBlank="1" showInputMessage="1" showErrorMessage="1" sqref="A6:A9" xr:uid="{DD6F093A-CCCA-45A9-99B6-E91D9C0CEA60}">
      <formula1>"미추홀구,동구,옹진군,중구,부평구,남동구,연수구,서구,계양구,강화군"</formula1>
    </dataValidation>
    <dataValidation type="list" allowBlank="1" showInputMessage="1" showErrorMessage="1" sqref="B6:B9" xr:uid="{8F99A8F2-7FDA-4D2F-80FA-84704B06990F}">
      <formula1>"미추홀구,제물포구,영종구,옹진군,부평구,계양구,남동구,연수구,서구,검단구,강화군"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DA2D-F3CD-465A-8114-6AE84ED25090}">
  <sheetPr>
    <pageSetUpPr fitToPage="1"/>
  </sheetPr>
  <dimension ref="A1:AD14"/>
  <sheetViews>
    <sheetView zoomScaleNormal="100" workbookViewId="0">
      <selection activeCell="F26" sqref="F26"/>
    </sheetView>
  </sheetViews>
  <sheetFormatPr defaultRowHeight="16.5"/>
  <cols>
    <col min="1" max="3" width="9.625" customWidth="1"/>
    <col min="4" max="4" width="26.5" bestFit="1" customWidth="1"/>
    <col min="5" max="5" width="10.625" customWidth="1"/>
    <col min="6" max="6" width="26.625" customWidth="1"/>
    <col min="7" max="7" width="11.125" customWidth="1"/>
    <col min="8" max="11" width="8.625" customWidth="1"/>
    <col min="12" max="30" width="7.625" customWidth="1"/>
  </cols>
  <sheetData>
    <row r="1" spans="1:30" s="23" customFormat="1" ht="26.25">
      <c r="A1" s="10" t="s">
        <v>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s="3" customFormat="1" ht="20.100000000000001" customHeight="1">
      <c r="A2" s="848" t="s">
        <v>3243</v>
      </c>
      <c r="B2" s="12"/>
      <c r="C2" s="12"/>
      <c r="D2" s="12"/>
      <c r="E2" s="849"/>
      <c r="F2" s="850"/>
      <c r="G2" s="850"/>
      <c r="H2" s="850"/>
      <c r="I2" s="850"/>
      <c r="J2" s="851"/>
      <c r="K2" s="851"/>
      <c r="L2" s="852"/>
      <c r="M2" s="852"/>
      <c r="N2" s="852"/>
      <c r="O2" s="852"/>
      <c r="P2" s="852"/>
      <c r="Q2" s="852"/>
      <c r="R2" s="12"/>
      <c r="S2" s="12"/>
      <c r="T2" s="30"/>
      <c r="U2" s="30"/>
      <c r="V2" s="12"/>
      <c r="W2" s="12"/>
      <c r="X2" s="12"/>
      <c r="Y2" s="12"/>
      <c r="Z2" s="12"/>
      <c r="AA2" s="12"/>
      <c r="AB2" s="12"/>
      <c r="AC2" s="12"/>
      <c r="AD2" s="12"/>
    </row>
    <row r="3" spans="1:30">
      <c r="A3" s="1631" t="s">
        <v>112</v>
      </c>
      <c r="B3" s="1636" t="s">
        <v>113</v>
      </c>
      <c r="C3" s="1636" t="s">
        <v>114</v>
      </c>
      <c r="D3" s="1631" t="s">
        <v>12</v>
      </c>
      <c r="E3" s="1631" t="s">
        <v>13</v>
      </c>
      <c r="F3" s="1631" t="s">
        <v>14</v>
      </c>
      <c r="G3" s="1638" t="s">
        <v>101</v>
      </c>
      <c r="H3" s="1631" t="s">
        <v>15</v>
      </c>
      <c r="I3" s="1636" t="s">
        <v>16</v>
      </c>
      <c r="J3" s="1636" t="s">
        <v>77</v>
      </c>
      <c r="K3" s="1768" t="s">
        <v>151</v>
      </c>
      <c r="L3" s="1771"/>
      <c r="M3" s="1771"/>
      <c r="N3" s="1771"/>
      <c r="O3" s="1771"/>
      <c r="P3" s="1771"/>
      <c r="Q3" s="1811"/>
      <c r="R3" s="1771"/>
      <c r="S3" s="1771"/>
      <c r="T3" s="1771"/>
      <c r="U3" s="1771"/>
      <c r="V3" s="1771"/>
      <c r="W3" s="1771"/>
      <c r="X3" s="1771"/>
      <c r="Y3" s="1771"/>
      <c r="Z3" s="1771"/>
      <c r="AA3" s="1771"/>
      <c r="AB3" s="1771"/>
      <c r="AC3" s="819"/>
      <c r="AD3" s="1644" t="s">
        <v>3226</v>
      </c>
    </row>
    <row r="4" spans="1:30">
      <c r="A4" s="1631"/>
      <c r="B4" s="1636"/>
      <c r="C4" s="1631"/>
      <c r="D4" s="1631"/>
      <c r="E4" s="1631"/>
      <c r="F4" s="1631"/>
      <c r="G4" s="1639"/>
      <c r="H4" s="1631"/>
      <c r="I4" s="1636"/>
      <c r="J4" s="1636"/>
      <c r="K4" s="1768"/>
      <c r="L4" s="1798" t="s">
        <v>46</v>
      </c>
      <c r="M4" s="1799"/>
      <c r="N4" s="1802" t="s">
        <v>47</v>
      </c>
      <c r="O4" s="1803"/>
      <c r="P4" s="1806" t="s">
        <v>41</v>
      </c>
      <c r="Q4" s="1807"/>
      <c r="R4" s="1779" t="s">
        <v>39</v>
      </c>
      <c r="S4" s="1771"/>
      <c r="T4" s="1771"/>
      <c r="U4" s="1772"/>
      <c r="V4" s="1779" t="s">
        <v>40</v>
      </c>
      <c r="W4" s="1771"/>
      <c r="X4" s="1771"/>
      <c r="Y4" s="1772"/>
      <c r="Z4" s="1765" t="s">
        <v>42</v>
      </c>
      <c r="AA4" s="1766"/>
      <c r="AB4" s="1766"/>
      <c r="AC4" s="1810"/>
      <c r="AD4" s="1644"/>
    </row>
    <row r="5" spans="1:30">
      <c r="A5" s="1638"/>
      <c r="B5" s="1695"/>
      <c r="C5" s="1638"/>
      <c r="D5" s="1638"/>
      <c r="E5" s="1638"/>
      <c r="F5" s="1638"/>
      <c r="G5" s="1639"/>
      <c r="H5" s="1638"/>
      <c r="I5" s="1695"/>
      <c r="J5" s="1695"/>
      <c r="K5" s="1633"/>
      <c r="L5" s="1800"/>
      <c r="M5" s="1801"/>
      <c r="N5" s="1804"/>
      <c r="O5" s="1805"/>
      <c r="P5" s="1808"/>
      <c r="Q5" s="1809"/>
      <c r="R5" s="1779" t="s">
        <v>117</v>
      </c>
      <c r="S5" s="1772"/>
      <c r="T5" s="1779" t="s">
        <v>118</v>
      </c>
      <c r="U5" s="1772"/>
      <c r="V5" s="1779" t="s">
        <v>117</v>
      </c>
      <c r="W5" s="1772"/>
      <c r="X5" s="1779" t="s">
        <v>118</v>
      </c>
      <c r="Y5" s="1772"/>
      <c r="Z5" s="1765" t="s">
        <v>117</v>
      </c>
      <c r="AA5" s="1767"/>
      <c r="AB5" s="1765" t="s">
        <v>118</v>
      </c>
      <c r="AC5" s="1810"/>
      <c r="AD5" s="1649"/>
    </row>
    <row r="6" spans="1:30" ht="17.25" thickBot="1">
      <c r="A6" s="1637"/>
      <c r="B6" s="1637"/>
      <c r="C6" s="1637"/>
      <c r="D6" s="1637"/>
      <c r="E6" s="1637"/>
      <c r="F6" s="1637"/>
      <c r="G6" s="1640"/>
      <c r="H6" s="1637"/>
      <c r="I6" s="1637"/>
      <c r="J6" s="1637"/>
      <c r="K6" s="1769"/>
      <c r="L6" s="815" t="s">
        <v>115</v>
      </c>
      <c r="M6" s="815" t="s">
        <v>116</v>
      </c>
      <c r="N6" s="815" t="s">
        <v>115</v>
      </c>
      <c r="O6" s="815" t="s">
        <v>116</v>
      </c>
      <c r="P6" s="151" t="s">
        <v>115</v>
      </c>
      <c r="Q6" s="152" t="s">
        <v>116</v>
      </c>
      <c r="R6" s="817" t="s">
        <v>119</v>
      </c>
      <c r="S6" s="817" t="s">
        <v>116</v>
      </c>
      <c r="T6" s="817" t="s">
        <v>119</v>
      </c>
      <c r="U6" s="817" t="s">
        <v>116</v>
      </c>
      <c r="V6" s="817" t="s">
        <v>119</v>
      </c>
      <c r="W6" s="817" t="s">
        <v>116</v>
      </c>
      <c r="X6" s="817" t="s">
        <v>119</v>
      </c>
      <c r="Y6" s="817" t="s">
        <v>116</v>
      </c>
      <c r="Z6" s="148" t="s">
        <v>119</v>
      </c>
      <c r="AA6" s="148" t="s">
        <v>116</v>
      </c>
      <c r="AB6" s="148" t="s">
        <v>119</v>
      </c>
      <c r="AC6" s="816" t="s">
        <v>116</v>
      </c>
      <c r="AD6" s="1645"/>
    </row>
    <row r="7" spans="1:30" s="81" customFormat="1" ht="20.100000000000001" customHeight="1" thickTop="1">
      <c r="A7" s="168" t="s">
        <v>445</v>
      </c>
      <c r="B7" s="168" t="s">
        <v>26</v>
      </c>
      <c r="C7" s="168" t="s">
        <v>34</v>
      </c>
      <c r="D7" s="168" t="s">
        <v>3232</v>
      </c>
      <c r="E7" s="71">
        <v>30945</v>
      </c>
      <c r="F7" s="53" t="s">
        <v>3233</v>
      </c>
      <c r="G7" s="72">
        <v>6542.5</v>
      </c>
      <c r="H7" s="52">
        <v>22225</v>
      </c>
      <c r="I7" s="53" t="s">
        <v>3234</v>
      </c>
      <c r="J7" s="53" t="s">
        <v>3235</v>
      </c>
      <c r="K7" s="54" t="s">
        <v>3236</v>
      </c>
      <c r="L7" s="73">
        <v>7</v>
      </c>
      <c r="M7" s="73">
        <v>4</v>
      </c>
      <c r="N7" s="73">
        <v>8</v>
      </c>
      <c r="O7" s="73">
        <v>5</v>
      </c>
      <c r="P7" s="138">
        <f t="shared" ref="P7:Q8" si="0">L7+N7</f>
        <v>15</v>
      </c>
      <c r="Q7" s="137">
        <f t="shared" si="0"/>
        <v>9</v>
      </c>
      <c r="R7" s="73">
        <v>280</v>
      </c>
      <c r="S7" s="73">
        <v>161</v>
      </c>
      <c r="T7" s="73">
        <v>250</v>
      </c>
      <c r="U7" s="73">
        <v>128</v>
      </c>
      <c r="V7" s="73">
        <v>332</v>
      </c>
      <c r="W7" s="73">
        <v>186</v>
      </c>
      <c r="X7" s="73">
        <v>304</v>
      </c>
      <c r="Y7" s="73">
        <v>140</v>
      </c>
      <c r="Z7" s="138">
        <f t="shared" ref="Z7:AC8" si="1">R7+V7</f>
        <v>612</v>
      </c>
      <c r="AA7" s="138">
        <f t="shared" si="1"/>
        <v>347</v>
      </c>
      <c r="AB7" s="138">
        <f t="shared" si="1"/>
        <v>554</v>
      </c>
      <c r="AC7" s="137">
        <f t="shared" si="1"/>
        <v>268</v>
      </c>
      <c r="AD7" s="915" t="s">
        <v>3237</v>
      </c>
    </row>
    <row r="8" spans="1:30" s="81" customFormat="1" ht="20.100000000000001" customHeight="1">
      <c r="A8" s="168" t="s">
        <v>445</v>
      </c>
      <c r="B8" s="168" t="s">
        <v>26</v>
      </c>
      <c r="C8" s="168" t="s">
        <v>44</v>
      </c>
      <c r="D8" s="168" t="s">
        <v>3238</v>
      </c>
      <c r="E8" s="71">
        <v>27638</v>
      </c>
      <c r="F8" s="53" t="s">
        <v>3239</v>
      </c>
      <c r="G8" s="72">
        <v>5836.99</v>
      </c>
      <c r="H8" s="52">
        <v>21359</v>
      </c>
      <c r="I8" s="53" t="s">
        <v>3240</v>
      </c>
      <c r="J8" s="53" t="s">
        <v>3241</v>
      </c>
      <c r="K8" s="54" t="s">
        <v>3242</v>
      </c>
      <c r="L8" s="73">
        <v>0</v>
      </c>
      <c r="M8" s="73">
        <v>0</v>
      </c>
      <c r="N8" s="73">
        <v>19</v>
      </c>
      <c r="O8" s="73">
        <v>2</v>
      </c>
      <c r="P8" s="138">
        <f t="shared" si="0"/>
        <v>19</v>
      </c>
      <c r="Q8" s="137">
        <f t="shared" si="0"/>
        <v>2</v>
      </c>
      <c r="R8" s="73">
        <v>0</v>
      </c>
      <c r="S8" s="73">
        <v>0</v>
      </c>
      <c r="T8" s="73">
        <v>0</v>
      </c>
      <c r="U8" s="73">
        <v>0</v>
      </c>
      <c r="V8" s="73">
        <v>301</v>
      </c>
      <c r="W8" s="73">
        <v>37</v>
      </c>
      <c r="X8" s="73">
        <v>193</v>
      </c>
      <c r="Y8" s="73">
        <v>34</v>
      </c>
      <c r="Z8" s="138">
        <f t="shared" si="1"/>
        <v>301</v>
      </c>
      <c r="AA8" s="138">
        <f t="shared" si="1"/>
        <v>37</v>
      </c>
      <c r="AB8" s="138">
        <f t="shared" si="1"/>
        <v>193</v>
      </c>
      <c r="AC8" s="137">
        <f t="shared" si="1"/>
        <v>34</v>
      </c>
      <c r="AD8" s="915"/>
    </row>
    <row r="9" spans="1:30" ht="20.100000000000001" customHeight="1">
      <c r="A9" s="1571" t="s">
        <v>402</v>
      </c>
      <c r="B9" s="1572"/>
      <c r="C9" s="1573"/>
      <c r="D9" s="170">
        <f>COUNTA(D7:D8)</f>
        <v>2</v>
      </c>
      <c r="E9" s="905"/>
      <c r="F9" s="905"/>
      <c r="G9" s="905"/>
      <c r="H9" s="905"/>
      <c r="I9" s="906"/>
      <c r="J9" s="240"/>
      <c r="K9" s="916"/>
      <c r="L9" s="172">
        <f>SUM(L7:L8)</f>
        <v>7</v>
      </c>
      <c r="M9" s="172">
        <f>SUM(M7:M8)</f>
        <v>4</v>
      </c>
      <c r="N9" s="174">
        <f>SUM(N7:N8)</f>
        <v>27</v>
      </c>
      <c r="O9" s="174">
        <f t="shared" ref="O9:AC9" si="2">SUM(O7:O8)</f>
        <v>7</v>
      </c>
      <c r="P9" s="174">
        <f t="shared" si="2"/>
        <v>34</v>
      </c>
      <c r="Q9" s="174">
        <f t="shared" si="2"/>
        <v>11</v>
      </c>
      <c r="R9" s="174">
        <f t="shared" si="2"/>
        <v>280</v>
      </c>
      <c r="S9" s="174">
        <f t="shared" si="2"/>
        <v>161</v>
      </c>
      <c r="T9" s="174">
        <f t="shared" si="2"/>
        <v>250</v>
      </c>
      <c r="U9" s="174">
        <f t="shared" si="2"/>
        <v>128</v>
      </c>
      <c r="V9" s="174">
        <f t="shared" si="2"/>
        <v>633</v>
      </c>
      <c r="W9" s="174">
        <f t="shared" si="2"/>
        <v>223</v>
      </c>
      <c r="X9" s="174">
        <f t="shared" si="2"/>
        <v>497</v>
      </c>
      <c r="Y9" s="174">
        <f t="shared" si="2"/>
        <v>174</v>
      </c>
      <c r="Z9" s="175">
        <f t="shared" si="2"/>
        <v>913</v>
      </c>
      <c r="AA9" s="175">
        <f t="shared" si="2"/>
        <v>384</v>
      </c>
      <c r="AB9" s="175">
        <f t="shared" si="2"/>
        <v>747</v>
      </c>
      <c r="AC9" s="917">
        <f t="shared" si="2"/>
        <v>302</v>
      </c>
      <c r="AD9" s="730"/>
    </row>
    <row r="10" spans="1:30" ht="16.5" customHeight="1">
      <c r="A10" s="918"/>
      <c r="B10" s="918"/>
      <c r="C10" s="918"/>
      <c r="D10" s="918"/>
      <c r="E10" s="919"/>
      <c r="F10" s="920"/>
      <c r="G10" s="920"/>
      <c r="H10" s="921"/>
      <c r="I10" s="922"/>
      <c r="J10" s="922"/>
      <c r="K10" s="922"/>
      <c r="L10" s="923"/>
      <c r="M10" s="923"/>
      <c r="N10" s="923"/>
    </row>
    <row r="11" spans="1:30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X12" s="793"/>
      <c r="Y12" s="793"/>
      <c r="Z12" s="793"/>
      <c r="AA12" s="793"/>
    </row>
    <row r="13" spans="1:30">
      <c r="X13" s="793"/>
      <c r="Y13" s="793"/>
      <c r="Z13" s="793"/>
      <c r="AA13" s="793"/>
    </row>
    <row r="14" spans="1:30">
      <c r="X14" s="793"/>
      <c r="Y14" s="793"/>
      <c r="Z14" s="793"/>
      <c r="AA14" s="793"/>
    </row>
  </sheetData>
  <mergeCells count="27">
    <mergeCell ref="R3:AB3"/>
    <mergeCell ref="AD3:AD6"/>
    <mergeCell ref="L4:M5"/>
    <mergeCell ref="N4:O5"/>
    <mergeCell ref="P4:Q5"/>
    <mergeCell ref="R4:U4"/>
    <mergeCell ref="V4:Y4"/>
    <mergeCell ref="Z4:AC4"/>
    <mergeCell ref="R5:S5"/>
    <mergeCell ref="T5:U5"/>
    <mergeCell ref="L3:Q3"/>
    <mergeCell ref="V5:W5"/>
    <mergeCell ref="X5:Y5"/>
    <mergeCell ref="Z5:AA5"/>
    <mergeCell ref="AB5:AC5"/>
    <mergeCell ref="A9:C9"/>
    <mergeCell ref="G3:G6"/>
    <mergeCell ref="H3:H6"/>
    <mergeCell ref="I3:I6"/>
    <mergeCell ref="J3:J6"/>
    <mergeCell ref="K3:K6"/>
    <mergeCell ref="A3:A6"/>
    <mergeCell ref="B3:B6"/>
    <mergeCell ref="C3:C6"/>
    <mergeCell ref="D3:D6"/>
    <mergeCell ref="E3:E6"/>
    <mergeCell ref="F3:F6"/>
  </mergeCells>
  <phoneticPr fontId="16" type="noConversion"/>
  <dataValidations count="2">
    <dataValidation type="list" allowBlank="1" showInputMessage="1" showErrorMessage="1" sqref="B7:B10" xr:uid="{4329EF7C-FDC9-40DC-86D1-7F078B68B459}">
      <formula1>"남,여,공학"</formula1>
    </dataValidation>
    <dataValidation type="list" allowBlank="1" showInputMessage="1" showErrorMessage="1" sqref="C7:C10" xr:uid="{D4072360-5C5A-45A6-B499-D1E2F16A32FB}">
      <formula1>"주간,야간,주간/야간"</formula1>
    </dataValidation>
  </dataValidations>
  <pageMargins left="0.25" right="0.25" top="0.75" bottom="0.75" header="0.3" footer="0.3"/>
  <pageSetup paperSize="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9</vt:i4>
      </vt:variant>
    </vt:vector>
  </HeadingPairs>
  <TitlesOfParts>
    <vt:vector size="21" baseType="lpstr">
      <vt:lpstr>총괄</vt:lpstr>
      <vt:lpstr>구·군별</vt:lpstr>
      <vt:lpstr>(계열별)고등학교</vt:lpstr>
      <vt:lpstr>유치원</vt:lpstr>
      <vt:lpstr>초등학교</vt:lpstr>
      <vt:lpstr>중학교</vt:lpstr>
      <vt:lpstr>고등학교</vt:lpstr>
      <vt:lpstr>특수학교</vt:lpstr>
      <vt:lpstr>각종학교(각종,대안,외국인)</vt:lpstr>
      <vt:lpstr>외국교육기관(국제학교)</vt:lpstr>
      <vt:lpstr>방송통신중고등학교</vt:lpstr>
      <vt:lpstr>학력인정평생교육시설</vt:lpstr>
      <vt:lpstr>'각종학교(각종,대안,외국인)'!Print_Area</vt:lpstr>
      <vt:lpstr>'각종학교(각종,대안,외국인)'!Print_Titles</vt:lpstr>
      <vt:lpstr>고등학교!Print_Titles</vt:lpstr>
      <vt:lpstr>'외국교육기관(국제학교)'!Print_Titles</vt:lpstr>
      <vt:lpstr>유치원!Print_Titles</vt:lpstr>
      <vt:lpstr>중학교!Print_Titles</vt:lpstr>
      <vt:lpstr>초등학교!Print_Titles</vt:lpstr>
      <vt:lpstr>특수학교!Print_Titles</vt:lpstr>
      <vt:lpstr>학력인정평생교육시설!Print_Titles</vt:lpstr>
    </vt:vector>
  </TitlesOfParts>
  <Company>인천시교육청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교육</dc:creator>
  <cp:lastModifiedBy>user</cp:lastModifiedBy>
  <cp:lastPrinted>2025-04-16T07:34:21Z</cp:lastPrinted>
  <dcterms:created xsi:type="dcterms:W3CDTF">2013-04-21T23:31:59Z</dcterms:created>
  <dcterms:modified xsi:type="dcterms:W3CDTF">2026-04-24T06:28:05Z</dcterms:modified>
</cp:coreProperties>
</file>